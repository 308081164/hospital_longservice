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tabRatio="879" activeTab="12"/>
  </bookViews>
  <sheets>
    <sheet name="（二）手术室" sheetId="33" r:id="rId1"/>
    <sheet name="二手费用调整" sheetId="32" r:id="rId2"/>
    <sheet name="二手调骨一（一）" sheetId="71" r:id="rId3"/>
    <sheet name="二手调骨一（二）" sheetId="70" r:id="rId4"/>
    <sheet name="二手调骨二" sheetId="64" r:id="rId5"/>
    <sheet name="二手调骨五" sheetId="65" r:id="rId6"/>
    <sheet name="二手调ICU" sheetId="63" r:id="rId7"/>
    <sheet name="二手调急诊" sheetId="66" r:id="rId8"/>
    <sheet name="二手调慢创" sheetId="67" r:id="rId9"/>
    <sheet name="二手调烧伤一科" sheetId="69" r:id="rId10"/>
    <sheet name="二手调烧伤二" sheetId="68" r:id="rId11"/>
    <sheet name="二手调烧伤三" sheetId="35" r:id="rId12"/>
    <sheet name="二手调骨一（一）器械" sheetId="34" r:id="rId13"/>
    <sheet name="（一）手术室" sheetId="2" r:id="rId14"/>
    <sheet name="一手费用调整" sheetId="54" r:id="rId15"/>
    <sheet name="一手调骨八" sheetId="55" r:id="rId16"/>
    <sheet name="一手调骨二" sheetId="56" r:id="rId17"/>
    <sheet name="一手调骨六" sheetId="57" r:id="rId18"/>
    <sheet name="一手调骨十" sheetId="58" r:id="rId19"/>
    <sheet name="一手调骨十一" sheetId="59" r:id="rId20"/>
    <sheet name="一手调骨五" sheetId="60" r:id="rId21"/>
    <sheet name="一手调骨一一" sheetId="61" r:id="rId22"/>
    <sheet name="一手调骨一二" sheetId="62" r:id="rId23"/>
    <sheet name="手术室调骨九" sheetId="51" r:id="rId24"/>
    <sheet name="手术室调骨四" sheetId="52" r:id="rId25"/>
    <sheet name="手术室调偏瘫" sheetId="53" r:id="rId26"/>
    <sheet name="骨十一低温" sheetId="36" r:id="rId27"/>
    <sheet name="创伤外科低温" sheetId="37" r:id="rId28"/>
    <sheet name="骨一一低温" sheetId="38" r:id="rId29"/>
    <sheet name="骨一二低温" sheetId="39" r:id="rId30"/>
    <sheet name="骨十低温" sheetId="40" r:id="rId31"/>
    <sheet name="骨二低温" sheetId="41" r:id="rId32"/>
    <sheet name="骨四低温" sheetId="42" r:id="rId33"/>
    <sheet name="骨四二低温" sheetId="43" r:id="rId34"/>
    <sheet name="骨五低温" sheetId="44" r:id="rId35"/>
    <sheet name="骨六低温" sheetId="45" r:id="rId36"/>
    <sheet name="骨七低温" sheetId="46" r:id="rId37"/>
    <sheet name="骨八低温" sheetId="47" r:id="rId38"/>
    <sheet name="骨九低温" sheetId="48" r:id="rId39"/>
    <sheet name="胸外低温" sheetId="49" r:id="rId40"/>
    <sheet name="ICU" sheetId="3" r:id="rId41"/>
    <sheet name="产科分娩室" sheetId="4" r:id="rId42"/>
    <sheet name="冲击波门诊" sheetId="5" r:id="rId43"/>
    <sheet name="耳鼻喉门诊" sheetId="6" r:id="rId44"/>
    <sheet name="耳鼻喉手术室" sheetId="7" r:id="rId45"/>
    <sheet name="妇科门诊" sheetId="8" r:id="rId46"/>
    <sheet name="供应室" sheetId="9" r:id="rId47"/>
    <sheet name="烧伤二科借包" sheetId="79" r:id="rId48"/>
    <sheet name="耳门借包" sheetId="80" r:id="rId49"/>
    <sheet name="口内借包" sheetId="81" r:id="rId50"/>
    <sheet name="口外借包" sheetId="82" r:id="rId51"/>
    <sheet name="肾内借包" sheetId="83" r:id="rId52"/>
    <sheet name="急诊借包" sheetId="84" r:id="rId53"/>
    <sheet name="ICU借包" sheetId="85" r:id="rId54"/>
    <sheet name="骨一一借包" sheetId="72" r:id="rId55"/>
    <sheet name="骨二借包" sheetId="73" r:id="rId56"/>
    <sheet name="骨四（二）借包" sheetId="74" r:id="rId57"/>
    <sheet name="骨九借包" sheetId="75" r:id="rId58"/>
    <sheet name="胸外借包" sheetId="76" r:id="rId59"/>
    <sheet name="外二借包" sheetId="77" r:id="rId60"/>
    <sheet name="烧伤三借包" sheetId="78" r:id="rId61"/>
    <sheet name="骨八" sheetId="10" r:id="rId62"/>
    <sheet name="骨科（送二手）" sheetId="11" r:id="rId63"/>
    <sheet name="骨科（送一手）" sheetId="12" r:id="rId64"/>
    <sheet name="骨科调骨一（二)" sheetId="86" r:id="rId65"/>
    <sheet name="骨科调骨一（一）" sheetId="87" r:id="rId66"/>
    <sheet name="骨科调骨十一" sheetId="88" r:id="rId67"/>
    <sheet name="骨科调骨九" sheetId="89" r:id="rId68"/>
    <sheet name="骨科调骨六" sheetId="90" r:id="rId69"/>
    <sheet name="骨科调骨四" sheetId="91" r:id="rId70"/>
    <sheet name="骨六" sheetId="13" r:id="rId71"/>
    <sheet name="骨三" sheetId="14" r:id="rId72"/>
    <sheet name="骨四" sheetId="15" r:id="rId73"/>
    <sheet name="骨五" sheetId="16" r:id="rId74"/>
    <sheet name="骨一(二病区)" sheetId="17" r:id="rId75"/>
    <sheet name="骨一（一病区）" sheetId="18" r:id="rId76"/>
    <sheet name="急诊科" sheetId="19" r:id="rId77"/>
    <sheet name="口内" sheetId="20" r:id="rId78"/>
    <sheet name="口外" sheetId="21" r:id="rId79"/>
    <sheet name="慢创" sheetId="22" r:id="rId80"/>
    <sheet name="美容科" sheetId="23" r:id="rId81"/>
    <sheet name="门诊换药室" sheetId="24" r:id="rId82"/>
    <sheet name="偏瘫科" sheetId="25" r:id="rId83"/>
    <sheet name="烧伤二科" sheetId="26" r:id="rId84"/>
    <sheet name="烧伤科（送二手）" sheetId="27" r:id="rId85"/>
    <sheet name="烧伤三科" sheetId="28" r:id="rId86"/>
    <sheet name="烧伤一科" sheetId="29" r:id="rId87"/>
    <sheet name="外三" sheetId="30" r:id="rId88"/>
    <sheet name="眼科门诊" sheetId="31" r:id="rId89"/>
  </sheets>
  <definedNames>
    <definedName name="_xlnm._FilterDatabase" localSheetId="0" hidden="1">'（二）手术室'!$A$9:$K$621</definedName>
    <definedName name="_xlnm._FilterDatabase" localSheetId="1" hidden="1">二手费用调整!$A$10:$G$102</definedName>
    <definedName name="_xlnm._FilterDatabase" localSheetId="11" hidden="1">二手调烧伤三!$A$8:$G$15</definedName>
    <definedName name="_xlnm._FilterDatabase" localSheetId="13" hidden="1">'（一）手术室'!$A$7:$K$1168</definedName>
    <definedName name="_xlnm._FilterDatabase" localSheetId="14" hidden="1">一手费用调整!$A$8:$J$29</definedName>
    <definedName name="_xlnm._FilterDatabase" localSheetId="40" hidden="1">ICU!$A$7:$K$19</definedName>
    <definedName name="_xlnm._FilterDatabase" localSheetId="43" hidden="1">耳鼻喉门诊!$A$7:$K$43</definedName>
    <definedName name="_xlnm._FilterDatabase" localSheetId="44" hidden="1">耳鼻喉手术室!$A$7:$K$34</definedName>
    <definedName name="_xlnm._FilterDatabase" localSheetId="45" hidden="1">妇科门诊!$A$7:$K$67</definedName>
    <definedName name="_xlnm._FilterDatabase" localSheetId="46" hidden="1">供应室!$A$7:$K$43</definedName>
    <definedName name="_xlnm._FilterDatabase" localSheetId="62" hidden="1">'骨科（送二手）'!$A$7:$K$58</definedName>
    <definedName name="_xlnm._FilterDatabase" localSheetId="63" hidden="1">'骨科（送一手）'!$A$7:$K$47</definedName>
    <definedName name="_xlnm._FilterDatabase" localSheetId="69" hidden="1">骨科调骨四!$A$8:$K$40</definedName>
    <definedName name="_xlnm._FilterDatabase" localSheetId="77" hidden="1">口内!$A$7:$K$308</definedName>
    <definedName name="_xlnm._FilterDatabase" localSheetId="78" hidden="1">口外!$A$7:$K$257</definedName>
    <definedName name="_xlnm._FilterDatabase" localSheetId="79" hidden="1">慢创!$A$7:$K$22</definedName>
    <definedName name="_xlnm._FilterDatabase" localSheetId="80" hidden="1">美容科!$A$7:$K$59</definedName>
    <definedName name="_xlnm._FilterDatabase" localSheetId="83" hidden="1">烧伤二科!$A$7:$K$41</definedName>
    <definedName name="_xlnm._FilterDatabase" localSheetId="88" hidden="1">眼科门诊!$A$7:$K$41</definedName>
    <definedName name="_xlnm.Print_Titles" localSheetId="13">'（一）手术室'!$1:$6</definedName>
    <definedName name="_xlnm.Print_Titles" localSheetId="40">ICU!$1:$6</definedName>
    <definedName name="_xlnm.Print_Titles" localSheetId="41">产科分娩室!$1:$6</definedName>
    <definedName name="_xlnm.Print_Titles" localSheetId="42">冲击波门诊!$1:$6</definedName>
    <definedName name="_xlnm.Print_Titles" localSheetId="43">耳鼻喉门诊!$1:$6</definedName>
    <definedName name="_xlnm.Print_Titles" localSheetId="44">耳鼻喉手术室!$1:$6</definedName>
    <definedName name="_xlnm.Print_Titles" localSheetId="45">妇科门诊!$1:$6</definedName>
    <definedName name="_xlnm.Print_Titles" localSheetId="46">供应室!$1:$6</definedName>
    <definedName name="_xlnm.Print_Titles" localSheetId="61">骨八!$1:$6</definedName>
    <definedName name="_xlnm.Print_Titles" localSheetId="62">'骨科（送二手）'!$1:$6</definedName>
    <definedName name="_xlnm.Print_Titles" localSheetId="63">'骨科（送一手）'!$1:$6</definedName>
    <definedName name="_xlnm.Print_Titles" localSheetId="70">骨六!$1:$6</definedName>
    <definedName name="_xlnm.Print_Titles" localSheetId="71">骨三!$1:$6</definedName>
    <definedName name="_xlnm.Print_Titles" localSheetId="72">骨四!$1:$6</definedName>
    <definedName name="_xlnm.Print_Titles" localSheetId="73">骨五!$1:$6</definedName>
    <definedName name="_xlnm.Print_Titles" localSheetId="74">'骨一(二病区)'!$1:$6</definedName>
    <definedName name="_xlnm.Print_Titles" localSheetId="75">'骨一（一病区）'!$1:$6</definedName>
    <definedName name="_xlnm.Print_Titles" localSheetId="76">急诊科!$1:$6</definedName>
    <definedName name="_xlnm.Print_Titles" localSheetId="77">口内!$1:$6</definedName>
    <definedName name="_xlnm.Print_Titles" localSheetId="78">口外!$1:$6</definedName>
    <definedName name="_xlnm.Print_Titles" localSheetId="79">慢创!$1:$6</definedName>
    <definedName name="_xlnm.Print_Titles" localSheetId="80">美容科!$1:$6</definedName>
    <definedName name="_xlnm.Print_Titles" localSheetId="81">门诊换药室!$1:$6</definedName>
    <definedName name="_xlnm.Print_Titles" localSheetId="82">偏瘫科!$1:$6</definedName>
    <definedName name="_xlnm.Print_Titles" localSheetId="83">烧伤二科!$1:$6</definedName>
    <definedName name="_xlnm.Print_Titles" localSheetId="84">'烧伤科（送二手）'!$1:$6</definedName>
    <definedName name="_xlnm.Print_Titles" localSheetId="85">烧伤三科!$1:$6</definedName>
    <definedName name="_xlnm.Print_Titles" localSheetId="86">烧伤一科!$1:$6</definedName>
    <definedName name="_xlnm.Print_Titles" localSheetId="87">外三!$1:$6</definedName>
    <definedName name="_xlnm.Print_Titles" localSheetId="88">眼科门诊!$1:$6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<sst xmlns="http://schemas.openxmlformats.org/spreadsheetml/2006/main" count="8573" uniqueCount="526">
  <si>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</si>
  <si>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2026/2/9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2026/3/8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</si>
  <si>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</si>
  <si>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哈尔滨市第五医院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</si>
  <si>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</si>
  <si>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</si>
  <si>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</si>
  <si>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</si>
  <si>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</si>
  <si>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</si>
  <si>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</si>
  <si>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</si>
  <si>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（二）手术室</t>
  </si>
  <si>
    <t>器械包</t>
  </si>
  <si>
    <t>缝合包</t>
  </si>
  <si>
    <t>手科包</t>
  </si>
  <si>
    <t>额外包(纸塑袋)</t>
  </si>
  <si>
    <t>咬骨钳-1/Z2032</t>
  </si>
  <si>
    <t>敷料包</t>
  </si>
  <si>
    <t>地巾</t>
  </si>
  <si>
    <t>额外包(无纺布)</t>
  </si>
  <si>
    <t>持物钳罐-2件/W605060</t>
  </si>
  <si>
    <t>弹钩-2/W6050</t>
  </si>
  <si>
    <t>电钻-4/W705060</t>
  </si>
  <si>
    <t>方盘-1/W9050</t>
  </si>
  <si>
    <t>咬丝器1持针器1/W6050</t>
  </si>
  <si>
    <t>中心持骨器-2/w6050</t>
  </si>
  <si>
    <t>刮勺-1/Z7526</t>
  </si>
  <si>
    <t>剪刀小-1/Z1026</t>
  </si>
  <si>
    <t>手科爪鞍钩-1 /Z7526</t>
  </si>
  <si>
    <t>器械包(ZSD)</t>
  </si>
  <si>
    <t>门诊整形包</t>
  </si>
  <si>
    <r>
      <rPr>
        <sz val="10"/>
        <color rgb="FF000000"/>
        <rFont val="宋体"/>
        <charset val="134"/>
      </rPr>
      <t>方盘</t>
    </r>
    <r>
      <rPr>
        <sz val="10"/>
        <color rgb="FF000000"/>
        <rFont val="Droid Sans Fallback"/>
        <charset val="134"/>
      </rPr>
      <t>-1/W9050</t>
    </r>
  </si>
  <si>
    <t>弯盘1小碗1/W9050</t>
  </si>
  <si>
    <t>咬丝器-1/Z双2032</t>
  </si>
  <si>
    <t>止血钳大-2/Z1535</t>
  </si>
  <si>
    <t>切开包-10件</t>
  </si>
  <si>
    <t>电钻-3/W705060</t>
  </si>
  <si>
    <t>骨电钻-2件</t>
  </si>
  <si>
    <t>单包装包</t>
  </si>
  <si>
    <t>电动取皮机-6件 筐1/W12050</t>
  </si>
  <si>
    <t>止血钳-4/Z1530</t>
  </si>
  <si>
    <t>巾钳子-1/Z1026</t>
  </si>
  <si>
    <t>小止血钳-2/z1026</t>
  </si>
  <si>
    <t>组织钳-1/Z1026</t>
  </si>
  <si>
    <t>门诊整形.</t>
  </si>
  <si>
    <t>克氏钳-1/双z1029</t>
  </si>
  <si>
    <t>手科剥离质-1/Z7530</t>
  </si>
  <si>
    <t>手科骨锉-1/Z7526</t>
  </si>
  <si>
    <t>爪鞍钩-2 /Z7526</t>
  </si>
  <si>
    <t>骨科剥离质-1/Z7534</t>
  </si>
  <si>
    <t>肌钩-2/Z1026</t>
  </si>
  <si>
    <t>剪刀-1/Z1530</t>
  </si>
  <si>
    <t>敷料包(无纺布包)</t>
  </si>
  <si>
    <t>手刷盒/w9050</t>
  </si>
  <si>
    <t>尖嘴复位器-1/Z1535</t>
  </si>
  <si>
    <t>气管切开包</t>
  </si>
  <si>
    <t>刀柄-1/z7526</t>
  </si>
  <si>
    <t>线锯-1/Z1026</t>
  </si>
  <si>
    <t>咬骨剪-1/Z2032</t>
  </si>
  <si>
    <t>植皮刀片-1/Z7520</t>
  </si>
  <si>
    <t>骨锉-1/W605060</t>
  </si>
  <si>
    <t>手科爪钩-2/Z1535</t>
  </si>
  <si>
    <t>固指板-1/W7050</t>
  </si>
  <si>
    <t>钩镊-1/Z7526</t>
  </si>
  <si>
    <t>锤子-1/双z1535</t>
  </si>
  <si>
    <t>凿子-3/双z1029</t>
  </si>
  <si>
    <t>肱骨复位器-2/W5050</t>
  </si>
  <si>
    <t>骨电钻-3件/W705060</t>
  </si>
  <si>
    <t>滚轴(植皮刀)-1件/W6050</t>
  </si>
  <si>
    <t>地巾辅料包/W1205060</t>
  </si>
  <si>
    <t>大烧伤</t>
  </si>
  <si>
    <t>小烧伤</t>
  </si>
  <si>
    <t>慢创包</t>
  </si>
  <si>
    <t>持针器-1/Z1026</t>
  </si>
  <si>
    <t>显微器械-6件</t>
  </si>
  <si>
    <t>尺-1/W605060</t>
  </si>
  <si>
    <t>肛肠包</t>
  </si>
  <si>
    <t>肛肠探针-1/Z7520</t>
  </si>
  <si>
    <t>平骨凿-1/Z7526</t>
  </si>
  <si>
    <t>手科指锯-1/Z7520</t>
  </si>
  <si>
    <t>驱血带</t>
  </si>
  <si>
    <t>小弯止血钳-4/Z1530</t>
  </si>
  <si>
    <t>肖啸钻头-1/Z7520</t>
  </si>
  <si>
    <t>（烧三）肖啸钻头-2/Z7520</t>
  </si>
  <si>
    <t>从发票中删除-按客户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</si>
  <si>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2026/3/9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2026/3/9</t>
    </r>
  </si>
  <si>
    <t>处理序号</t>
  </si>
  <si>
    <t>发票操作时间</t>
  </si>
  <si>
    <t>原因</t>
  </si>
  <si>
    <t>处理序号完成时间</t>
  </si>
  <si>
    <t>包名称</t>
  </si>
  <si>
    <t>金额</t>
  </si>
  <si>
    <t>额外包</t>
  </si>
  <si>
    <t>调整</t>
  </si>
  <si>
    <r>
      <rPr>
        <sz val="18"/>
        <color rgb="FF000000"/>
        <rFont val="宋体"/>
        <charset val="134"/>
      </rPr>
      <t>从发票中增加</t>
    </r>
    <r>
      <rPr>
        <sz val="18"/>
        <color rgb="FF000000"/>
        <rFont val="Droid Sans Fallback"/>
        <charset val="134"/>
      </rPr>
      <t>-</t>
    </r>
    <r>
      <rPr>
        <sz val="18"/>
        <color rgb="FF000000"/>
        <rFont val="宋体"/>
        <charset val="134"/>
      </rPr>
      <t>按客户</t>
    </r>
  </si>
  <si>
    <t>骨一（一病区）</t>
  </si>
  <si>
    <t>骨一（二病区）</t>
  </si>
  <si>
    <t>骨二</t>
  </si>
  <si>
    <t>骨五</t>
  </si>
  <si>
    <t>ICU</t>
  </si>
  <si>
    <t>急诊科</t>
  </si>
  <si>
    <t>慢创</t>
  </si>
  <si>
    <t>烧伤一科</t>
  </si>
  <si>
    <t>烧伤二科</t>
  </si>
  <si>
    <t>烧伤三</t>
  </si>
  <si>
    <t>聂广辰专用解剖剪-1/Z1029</t>
  </si>
  <si>
    <t>聂广辰专用剪刀-1/Z1029</t>
  </si>
  <si>
    <t>薛岩单子大号/W9050</t>
  </si>
  <si>
    <t>薛岩单子中号/W9050</t>
  </si>
  <si>
    <t>骨一薛岩撑开器-1/Z1526</t>
  </si>
  <si>
    <t>（一）手术室</t>
  </si>
  <si>
    <t>刷手服</t>
  </si>
  <si>
    <t>洗手巾/W12050</t>
  </si>
  <si>
    <t>蚊式2 中弯2/Z1530</t>
  </si>
  <si>
    <t>咬丝器-1/W6050</t>
  </si>
  <si>
    <t>单包装包(老肯低温)</t>
  </si>
  <si>
    <r>
      <rPr>
        <sz val="10"/>
        <color rgb="FF000000"/>
        <rFont val="宋体"/>
        <charset val="134"/>
      </rPr>
      <t>腕关节镜头</t>
    </r>
    <r>
      <rPr>
        <sz val="10"/>
        <color rgb="FF000000"/>
        <rFont val="Droid Sans Fallback"/>
        <charset val="134"/>
      </rPr>
      <t>-2</t>
    </r>
  </si>
  <si>
    <t>2.8钻头3件（继元）/Z7530</t>
  </si>
  <si>
    <t>3.2钻头3件（继元）/Z7530</t>
  </si>
  <si>
    <t>3.5钻头3件（继元）/Z7530</t>
  </si>
  <si>
    <t>4.3钻头3件（继元）/Z7530</t>
  </si>
  <si>
    <t>4.5钻头3件（继元）/Z7530</t>
  </si>
  <si>
    <t>钻头2件（伊优品）/Z7545</t>
  </si>
  <si>
    <t>钻头4件（宜林唤方）/Z7545</t>
  </si>
  <si>
    <t>钻头6件（国药）/Z7545</t>
  </si>
  <si>
    <t>钻头备用（久时玖）-9/Z1029</t>
  </si>
  <si>
    <t>打孔器-1/W605060</t>
  </si>
  <si>
    <t>尖嘴复位器-2/W605060</t>
  </si>
  <si>
    <t>开颅精密器械-6件/W705060</t>
  </si>
  <si>
    <t>下肢包</t>
  </si>
  <si>
    <t>子宫包</t>
  </si>
  <si>
    <t>子宫加件</t>
  </si>
  <si>
    <r>
      <rPr>
        <sz val="10"/>
        <color rgb="FF000000"/>
        <rFont val="宋体"/>
        <charset val="134"/>
      </rPr>
      <t>林海工具</t>
    </r>
    <r>
      <rPr>
        <sz val="10"/>
        <color rgb="FF000000"/>
        <rFont val="Droid Sans Fallback"/>
        <charset val="134"/>
      </rPr>
      <t>-2</t>
    </r>
    <r>
      <rPr>
        <sz val="10"/>
        <color rgb="FF000000"/>
        <rFont val="宋体"/>
        <charset val="134"/>
      </rPr>
      <t>件</t>
    </r>
    <r>
      <rPr>
        <sz val="10"/>
        <color rgb="FF000000"/>
        <rFont val="Droid Sans Fallback"/>
        <charset val="134"/>
      </rPr>
      <t>/W505060</t>
    </r>
  </si>
  <si>
    <t>颅骨固定器-9件/W505060</t>
  </si>
  <si>
    <t>脑外无齿镊2件/W5060</t>
  </si>
  <si>
    <t>神外牵开器-2件/W905060</t>
  </si>
  <si>
    <t>咬骨钳1刮勺1/W605060</t>
  </si>
  <si>
    <t>自动拉钩-5/W7050</t>
  </si>
  <si>
    <t>小布袋/w6050</t>
  </si>
  <si>
    <t>西山UBE线/W505060</t>
  </si>
  <si>
    <t>手套</t>
  </si>
  <si>
    <t>下肢止血带</t>
  </si>
  <si>
    <t>剪切钳-1/W505060</t>
  </si>
  <si>
    <t>克氏钳-1/W405060</t>
  </si>
  <si>
    <t>手科咬骨钳1 刮勺1/W505060</t>
  </si>
  <si>
    <t>40001机器人-8件（高温）</t>
  </si>
  <si>
    <t>上肢包</t>
  </si>
  <si>
    <t>263机器人-9件（高温）</t>
  </si>
  <si>
    <t>264机器人-8件（高温）</t>
  </si>
  <si>
    <t>弹钩-2/W605060</t>
  </si>
  <si>
    <t>手科爪鞍钩-4件/W505060</t>
  </si>
  <si>
    <t>超声骨动力系统</t>
  </si>
  <si>
    <t>脊柱加件-6件/W605060</t>
  </si>
  <si>
    <t>施乐辉肩镜器械</t>
  </si>
  <si>
    <t>德美刨刀（高温）-1/Z2044</t>
  </si>
  <si>
    <t>解剖剪刀-1/Z1029</t>
  </si>
  <si>
    <t>上肢加件-3/W605060</t>
  </si>
  <si>
    <t>史赛克摆锯-4（带盒5件）</t>
  </si>
  <si>
    <t>赵德来取50件</t>
  </si>
  <si>
    <t>德美新2水管-2件/Z1530</t>
  </si>
  <si>
    <t>中直钳-2/Z1530</t>
  </si>
  <si>
    <t>新膝镜（一）-10件/W9050</t>
  </si>
  <si>
    <t>胫腓骨拉勾-2/W605060</t>
  </si>
  <si>
    <t>盘1碗2/w9050</t>
  </si>
  <si>
    <t>脊柱常备器械</t>
  </si>
  <si>
    <t>机器人器械-4件/w5050</t>
  </si>
  <si>
    <t>机器人套筒-1/W4050</t>
  </si>
  <si>
    <t>闭合包</t>
  </si>
  <si>
    <t>史赛克磨钻-9件 筐1/W1205060</t>
  </si>
  <si>
    <t>鹰嘴咬骨钳1刮勺1/W605060</t>
  </si>
  <si>
    <t>脊柱常备器械髓核少1</t>
  </si>
  <si>
    <t>上肢止血带</t>
  </si>
  <si>
    <t>取针钳-1/W505060</t>
  </si>
  <si>
    <t>UBE拇外翻线-1/双/Z2530</t>
  </si>
  <si>
    <t>大盆-1/w1205060</t>
  </si>
  <si>
    <t>镜骨九（2）</t>
  </si>
  <si>
    <t>史赛克多功能锯钻-7（带盒8件）</t>
  </si>
  <si>
    <t>深钩-2/W605060</t>
  </si>
  <si>
    <t>抓线钳-1/W4550</t>
  </si>
  <si>
    <t>骨二高川勃（伊）万能取-64/W9060</t>
  </si>
  <si>
    <t>外科包</t>
  </si>
  <si>
    <t>肌钩-2/W5050</t>
  </si>
  <si>
    <t>德美膝器械12件盒1（三）</t>
  </si>
  <si>
    <t>骨把持器1钢板折弯器2/W605060</t>
  </si>
  <si>
    <t>尺桡复位器-2/W405060</t>
  </si>
  <si>
    <t>史赛克磨头-1/Z7520</t>
  </si>
  <si>
    <t>锤子1凿子1剥离质1/W605060</t>
  </si>
  <si>
    <t>妇产科布袋/ W6050</t>
  </si>
  <si>
    <t>洗毛盒</t>
  </si>
  <si>
    <t>咬钉器-1手柄-2/W6050</t>
  </si>
  <si>
    <t>骨二李琛万能取-49件</t>
  </si>
  <si>
    <t>咬骨剪子1刮勺1/W605060</t>
  </si>
  <si>
    <t>博进骨动力-带盒10件/W1205060</t>
  </si>
  <si>
    <t>穿刺针（带芯）-2/Z7520</t>
  </si>
  <si>
    <t>德美刨刀3号-1/双Z2550</t>
  </si>
  <si>
    <t>德美新1水管-2/双/Z1526</t>
  </si>
  <si>
    <t>德美膝器械11件盒1（二）</t>
  </si>
  <si>
    <t>骨动力-带盒10件</t>
  </si>
  <si>
    <t>骨动力-带盒9件</t>
  </si>
  <si>
    <t>德美膝器械11件盒1（一）</t>
  </si>
  <si>
    <t>德美膝器械12件盒1（四）</t>
  </si>
  <si>
    <t>叉勾-7/W605060</t>
  </si>
  <si>
    <t>博进骨动力-带盒9件/W1205060</t>
  </si>
  <si>
    <t>产科手术器械包</t>
  </si>
  <si>
    <t>脑外专用包</t>
  </si>
  <si>
    <t>手科加件3件(小剪1组剪1挫1)/Z1030</t>
  </si>
  <si>
    <t>刘断钉取（蓝)-51件（盒1）</t>
  </si>
  <si>
    <t>骶棘拉钩-2/W605060</t>
  </si>
  <si>
    <t>胸腔镜-11件（筐1）</t>
  </si>
  <si>
    <t>史赛克锯片-1/Z1020</t>
  </si>
  <si>
    <t>额外包(低温等离子)</t>
  </si>
  <si>
    <r>
      <rPr>
        <sz val="10"/>
        <color rgb="FF000000"/>
        <rFont val="宋体"/>
        <charset val="134"/>
      </rPr>
      <t>德美肩镜缝合针</t>
    </r>
    <r>
      <rPr>
        <sz val="10"/>
        <color rgb="FF000000"/>
        <rFont val="Droid Sans Fallback"/>
        <charset val="134"/>
      </rPr>
      <t>-1/Z7530</t>
    </r>
  </si>
  <si>
    <r>
      <rPr>
        <sz val="10"/>
        <color rgb="FF000000"/>
        <rFont val="宋体"/>
        <charset val="134"/>
      </rPr>
      <t>髋关节器械</t>
    </r>
    <r>
      <rPr>
        <sz val="10"/>
        <color rgb="FF000000"/>
        <rFont val="Droid Sans Fallback"/>
        <charset val="134"/>
      </rPr>
      <t>-10</t>
    </r>
    <r>
      <rPr>
        <sz val="10"/>
        <color rgb="FF000000"/>
        <rFont val="宋体"/>
        <charset val="134"/>
      </rPr>
      <t>件</t>
    </r>
  </si>
  <si>
    <t>妇产科纱条/W5050</t>
  </si>
  <si>
    <t>阑尾加件（阑1，扣2）/W505060</t>
  </si>
  <si>
    <t>新膝镜（二）-10件/W9050</t>
  </si>
  <si>
    <t>胸外盖冠男器械-7件（筐1）/W1505060</t>
  </si>
  <si>
    <t>史赛克3.2克氏针钻-带盒4件</t>
  </si>
  <si>
    <t>椎间孔镜（三）</t>
  </si>
  <si>
    <t>超声骨动力刀头-1/Z7520</t>
  </si>
  <si>
    <t>刘绍辉断钉取-带盒48件</t>
  </si>
  <si>
    <t>取针咬骨钳-1件/W505060</t>
  </si>
  <si>
    <t>西山摆锯-3件/W6050</t>
  </si>
  <si>
    <t>镜骨九（1）</t>
  </si>
  <si>
    <t>甲状腺拉钩-2/W505060</t>
  </si>
  <si>
    <t>镜骨九（3）</t>
  </si>
  <si>
    <t>半月板钩-6/W605060</t>
  </si>
  <si>
    <t>博进骨动力-9件（盒1）/W1205060</t>
  </si>
  <si>
    <t>骨动力-8件（盒1）/W1205060</t>
  </si>
  <si>
    <t>德美2号刨刀-1/双/Z2550</t>
  </si>
  <si>
    <t>德美新3水管 -2件/Z2530</t>
  </si>
  <si>
    <t>凿子-3/W605060</t>
  </si>
  <si>
    <t>博进骨动力-8件（盒1）/W1205060</t>
  </si>
  <si>
    <t>骨动力-9件（盒1）/W1205060</t>
  </si>
  <si>
    <t>骨动力-8 盒1/w1205060</t>
  </si>
  <si>
    <t>胸骨磨钻-带盒13件</t>
  </si>
  <si>
    <t>胸骨磨钻头5.0-1/Z7526</t>
  </si>
  <si>
    <t>胸骨磨钻头6.0-1/Z7526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</si>
  <si>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2026/3/8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2026/3/11</t>
    </r>
  </si>
  <si>
    <r>
      <rPr>
        <sz val="9"/>
        <color rgb="FF000000"/>
        <rFont val="宋体"/>
        <charset val="134"/>
      </rPr>
      <t>从</t>
    </r>
    <r>
      <rPr>
        <sz val="9"/>
        <color rgb="FF000000"/>
        <rFont val="Droid Sans Fallback"/>
        <charset val="134"/>
      </rPr>
      <t xml:space="preserve">:2026/3/8 </t>
    </r>
    <r>
      <rPr>
        <sz val="9"/>
        <color rgb="FF000000"/>
        <rFont val="宋体"/>
        <charset val="134"/>
      </rPr>
      <t>至</t>
    </r>
    <r>
      <rPr>
        <sz val="9"/>
        <color rgb="FF000000"/>
        <rFont val="Droid Sans Fallback"/>
        <charset val="134"/>
      </rPr>
      <t>: 2026/3/11</t>
    </r>
  </si>
  <si>
    <t>骨八</t>
  </si>
  <si>
    <t>骨六</t>
  </si>
  <si>
    <t>骨十</t>
  </si>
  <si>
    <t>骨十一</t>
  </si>
  <si>
    <t>骨九</t>
  </si>
  <si>
    <t>鞠超杰肩袖缝合钩-3件/W605060</t>
  </si>
  <si>
    <t>于洪文器械-2件/W505060</t>
  </si>
  <si>
    <t>鞠超杰剪线器-1/W605060</t>
  </si>
  <si>
    <t>鞠定向器-2件/W505060</t>
  </si>
  <si>
    <t>骨九张伟四件</t>
  </si>
  <si>
    <t>鞠超杰肩钩-3/W605060</t>
  </si>
  <si>
    <t>骨四</t>
  </si>
  <si>
    <t>骨四宋晓辉椎间孔器械</t>
  </si>
  <si>
    <t>偏瘫科</t>
  </si>
  <si>
    <t>偏瘫陈冲显微器械-15件（盒1）</t>
  </si>
  <si>
    <t>器械包(低温等离子)</t>
  </si>
  <si>
    <t>475机器人-7件（带盒8件）</t>
  </si>
  <si>
    <t>373机器人-7件（带盒8件）</t>
  </si>
  <si>
    <t>218机器人-7件（带盒8件）</t>
  </si>
  <si>
    <t>史赛克无线摆锯-4/Z2030</t>
  </si>
  <si>
    <t>创伤外科</t>
  </si>
  <si>
    <t>新史赛克手控加件-1</t>
  </si>
  <si>
    <t>五官电钻-1</t>
  </si>
  <si>
    <t>0261机器人-8件（带盒9件）</t>
  </si>
  <si>
    <t>213机器人-8件（带盒9件）</t>
  </si>
  <si>
    <t>骨四（一）兰青常备光源线-1件/Z2530</t>
  </si>
  <si>
    <t>骨四（一）兰青磨头-1件/Z1026</t>
  </si>
  <si>
    <t>348机器人-8件（带盒9件）</t>
  </si>
  <si>
    <t>德美4K光源（3号）-1/W905060</t>
  </si>
  <si>
    <t>椎间孔镜头2号-1/W905060</t>
  </si>
  <si>
    <t>椎间孔镜头-1/W905060</t>
  </si>
  <si>
    <t>光源线-膝镜通用-1/Z2540</t>
  </si>
  <si>
    <t>骨四（二）</t>
  </si>
  <si>
    <t>动力转换器-1/Z1526</t>
  </si>
  <si>
    <t>施乐辉刨刀-1/z2530</t>
  </si>
  <si>
    <t>DMD1号镜头3件（盒1）/W705060</t>
  </si>
  <si>
    <t>新4光源-1（带盒两件）/W12050</t>
  </si>
  <si>
    <t>DMD3号镜头3件/W705060</t>
  </si>
  <si>
    <t>新3光源-1（带盒两件）/W12050</t>
  </si>
  <si>
    <t>刨刀线-膝关节-旧1/Z2545</t>
  </si>
  <si>
    <t>新4刨刀-1件/Z2550</t>
  </si>
  <si>
    <t>DMD2号镜头3件/W705060</t>
  </si>
  <si>
    <t>旧2刨刀-1/Z3040</t>
  </si>
  <si>
    <t>刨刀线-膝关节-施乐辉/Z2545</t>
  </si>
  <si>
    <t>DMD5号镜头-3件</t>
  </si>
  <si>
    <t>DMD4号镜头3件/W705060</t>
  </si>
  <si>
    <t>刨刀-房玉立/Z2545</t>
  </si>
  <si>
    <t>新1光源-1（带盒两件）/W12050</t>
  </si>
  <si>
    <t>新3刨刀-1件/Z2550</t>
  </si>
  <si>
    <t>DMD光源2号-1（带盒）</t>
  </si>
  <si>
    <t>DMD光源3号-1/W905060</t>
  </si>
  <si>
    <t>DMD光源1号-1/W905060</t>
  </si>
  <si>
    <t>新1 刨刀-1件/Z2545</t>
  </si>
  <si>
    <t>DMD6号水管-2件/W505060</t>
  </si>
  <si>
    <t>DMD6号镜头-1件</t>
  </si>
  <si>
    <t>DMD光源4号-1/W905060</t>
  </si>
  <si>
    <t>新1镜头-3件(无转换帽)/W9050</t>
  </si>
  <si>
    <t>新4镜头-3件 盒1/W6050</t>
  </si>
  <si>
    <t>新5光源-1件（盒1）/W905060</t>
  </si>
  <si>
    <t>DMD刨刀-1/Z2550</t>
  </si>
  <si>
    <t>骨七</t>
  </si>
  <si>
    <r>
      <rPr>
        <sz val="10"/>
        <color rgb="FF000000"/>
        <rFont val="宋体"/>
        <charset val="134"/>
      </rPr>
      <t>郝松楠镜头</t>
    </r>
    <r>
      <rPr>
        <sz val="10"/>
        <color rgb="FF000000"/>
        <rFont val="Droid Sans Fallback"/>
        <charset val="134"/>
      </rPr>
      <t>-1/W605060</t>
    </r>
  </si>
  <si>
    <t>德美4K光源（1号）-1/W905060</t>
  </si>
  <si>
    <t>德美新2镜头-1件/W605060</t>
  </si>
  <si>
    <t>德美新1镜头-1件（盒1）</t>
  </si>
  <si>
    <t>德美4K光源（2号）-1/W905060</t>
  </si>
  <si>
    <t>德美新3镜头-1件/W605060</t>
  </si>
  <si>
    <t>胸外</t>
  </si>
  <si>
    <t>气腹管1单极线1/Z3045</t>
  </si>
  <si>
    <t>外妇通用光源线-1/Z2545</t>
  </si>
  <si>
    <t>妇腔镜器械-17（铁帽3胶帽8）</t>
  </si>
  <si>
    <t>腹腔镜戳卡-10件/W1205060</t>
  </si>
  <si>
    <t>镜头-腹腔镜30°-1/W9050</t>
  </si>
  <si>
    <t>腔内超声-2/w1550</t>
  </si>
  <si>
    <t>胸外光源线-1件/Z2530</t>
  </si>
  <si>
    <t>胸外镜头-1（盒1）W9050</t>
  </si>
  <si>
    <t>胸外镜头30°-1（盒1）W9050</t>
  </si>
  <si>
    <t>安速康超声刀手柄1线1/Z2530</t>
  </si>
  <si>
    <t>胸外盖冠男电钩2线1/Z2050</t>
  </si>
  <si>
    <t>切开包-8件</t>
  </si>
  <si>
    <t>额外包(ETO)</t>
  </si>
  <si>
    <t>呼吸气囊-1/Z3060</t>
  </si>
  <si>
    <t>剪刀-1/Z1029</t>
  </si>
  <si>
    <t>气管切开</t>
  </si>
  <si>
    <t>产科分娩室</t>
  </si>
  <si>
    <t>取环包-6件/W6050</t>
  </si>
  <si>
    <t>刮宫加件-5件</t>
  </si>
  <si>
    <t>产包</t>
  </si>
  <si>
    <t>冲击波门诊</t>
  </si>
  <si>
    <t>PRP冲击波-4件/W905060</t>
  </si>
  <si>
    <t>耳鼻喉门诊</t>
  </si>
  <si>
    <t>耵聍钩1耵聍勺1/Z7526</t>
  </si>
  <si>
    <t>耳吸引器头-5/Z7534</t>
  </si>
  <si>
    <t>喉异物钳-1/Z1535</t>
  </si>
  <si>
    <t>枪状镊-5/Z1029</t>
  </si>
  <si>
    <t>枪状镊-6/Z7530</t>
  </si>
  <si>
    <t>耳门切开包-8件</t>
  </si>
  <si>
    <t>耳吸引器-3/Z7530</t>
  </si>
  <si>
    <t>枪状镊-4/z1029</t>
  </si>
  <si>
    <t>拆线剪-1/Z1026</t>
  </si>
  <si>
    <t>耳吸引器头-4/Z1020</t>
  </si>
  <si>
    <t>鼻吸引器-2件/Z7530</t>
  </si>
  <si>
    <t>耳吸引器头6件/Z7520</t>
  </si>
  <si>
    <t>耳镜-1/Z1020</t>
  </si>
  <si>
    <t>耵聍钩-2/Z7526</t>
  </si>
  <si>
    <t>耳鼻喉手术室</t>
  </si>
  <si>
    <t>鼻窦镜-6号/双Z1040</t>
  </si>
  <si>
    <t>鼻手术器械包</t>
  </si>
  <si>
    <t>鼻窦镜-5号/W6050</t>
  </si>
  <si>
    <t>鼻窦内镜2号-1件/双Z1040</t>
  </si>
  <si>
    <t>镊子缸-3件/W6050</t>
  </si>
  <si>
    <t>碗3麻杯1/W7050</t>
  </si>
  <si>
    <t>咬骨钳-1/Z1530</t>
  </si>
  <si>
    <t>支撑喉镜</t>
  </si>
  <si>
    <t>鼻窦内镜4号-1件/W6050</t>
  </si>
  <si>
    <t>中隔器械-4件/Z1530</t>
  </si>
  <si>
    <t>扁桃器械</t>
  </si>
  <si>
    <t>吸引器-2/Z7526</t>
  </si>
  <si>
    <t>弯刀头-4件/Z1030</t>
  </si>
  <si>
    <t>直刀头-4/Z7526</t>
  </si>
  <si>
    <t>妇科门诊</t>
  </si>
  <si>
    <t>宫腔镜膨宫仪-5件</t>
  </si>
  <si>
    <t>宫腔检查镜-3件（一）</t>
  </si>
  <si>
    <t>取环钩-1/Z7537</t>
  </si>
  <si>
    <t>宫腔检查镜-3件（二）</t>
  </si>
  <si>
    <t>人流包-9件/W6050</t>
  </si>
  <si>
    <t>妇门电切镜-6件（一）</t>
  </si>
  <si>
    <t>扩棒-10/w5050</t>
  </si>
  <si>
    <t>阴道套筒-1/Z1029</t>
  </si>
  <si>
    <t>电切镜-6件（二）</t>
  </si>
  <si>
    <t>宫腔镜钳-3件（剪勺齿）/双/z1560</t>
  </si>
  <si>
    <t>电切镜-6件（带帽）（二）</t>
  </si>
  <si>
    <t>扩棒包-6件（3-5.5）/Z1026</t>
  </si>
  <si>
    <t>供应室</t>
  </si>
  <si>
    <t>敷料包(纸塑袋)</t>
  </si>
  <si>
    <t>棉球/Z1530</t>
  </si>
  <si>
    <t>供应中心气管切开</t>
  </si>
  <si>
    <t>供应中心气管切开(一)</t>
  </si>
  <si>
    <t>供应室缝合3件（钩镊.钳.持）/W5050</t>
  </si>
  <si>
    <t>孔巾</t>
  </si>
  <si>
    <t>气管套管10号-3/Z1020</t>
  </si>
  <si>
    <t>口内</t>
  </si>
  <si>
    <t>口外</t>
  </si>
  <si>
    <t>肾内科</t>
  </si>
  <si>
    <t>孔巾1 纱布5/Z2025</t>
  </si>
  <si>
    <t>外二</t>
  </si>
  <si>
    <t>烧伤三科</t>
  </si>
  <si>
    <t>骨科（送二手）</t>
  </si>
  <si>
    <t>骨一（一）姜龙血管夹-1/Z7520</t>
  </si>
  <si>
    <t>骨一（二）张浩 显微器械-9件</t>
  </si>
  <si>
    <t>骨一（一）薛岩显微器械-9件</t>
  </si>
  <si>
    <t>骨一（一）徐强显微器械6件</t>
  </si>
  <si>
    <t>骨一（一）姜龙剪刀-1/z1026</t>
  </si>
  <si>
    <t xml:space="preserve">骨一（二）王禹显微器械-5件 </t>
  </si>
  <si>
    <t xml:space="preserve">骨一（一）徐强显微器械-6件 </t>
  </si>
  <si>
    <t>骨一（一）姜龙甲沟钳-1/Z1526</t>
  </si>
  <si>
    <t>骨一（一）鲁一村显微器械-6件</t>
  </si>
  <si>
    <t>骨一（一）鲁一村显微器械-7件</t>
  </si>
  <si>
    <t>骨一（一）向首阳显微器械-5</t>
  </si>
  <si>
    <t>骨一（二）陈一凡显微器械-5 件</t>
  </si>
  <si>
    <t>骨一（二）李宇实显微器械-6件</t>
  </si>
  <si>
    <t>骨一（一）薛岩显微器械-12件</t>
  </si>
  <si>
    <t>骨一（一）姜龙止血钳-1/z1020</t>
  </si>
  <si>
    <t>骨一（一）姜龙凿子-1件/z7530</t>
  </si>
  <si>
    <t>骨一（一）王仲博手科显微器械-8件</t>
  </si>
  <si>
    <t>骨一（二）陈一凡万能取41件（盒1）</t>
  </si>
  <si>
    <t>骨一（二）龚伟勋显微器械-5件</t>
  </si>
  <si>
    <t>骨科（送一手）</t>
  </si>
  <si>
    <t>骨四（一）兰青常备镜头-2件盒1</t>
  </si>
  <si>
    <t>骨四（一）兰青UBE-31件，筐1</t>
  </si>
  <si>
    <t>骨四（一）宋晓辉磨头-1/双/Z7520</t>
  </si>
  <si>
    <t>骨四（一）宋晓辉常备镜头-3件盒1</t>
  </si>
  <si>
    <t>骨四（一）宋小辉内镜常备36件筐1</t>
  </si>
  <si>
    <t>骨四一宋晓辉备用磨头-1/Z7520</t>
  </si>
  <si>
    <t>骨四（一）宋小辉UBE35件</t>
  </si>
  <si>
    <t>骨九张伟断钉取-52件（盒1）/W12050</t>
  </si>
  <si>
    <t>骨11赵德来取器械52盒1/W1205060</t>
  </si>
  <si>
    <t>骨一（一）聂广辰解剖剪刀-1/Z1026</t>
  </si>
  <si>
    <t>骨六房玉利半月板缝合器械-10/Z1020</t>
  </si>
  <si>
    <t>骨三</t>
  </si>
  <si>
    <t>颅骨牵引器-1(布)</t>
  </si>
  <si>
    <t>骨一(二病区)</t>
  </si>
  <si>
    <t>剪刀-4/W4550</t>
  </si>
  <si>
    <t>开口器3件/Z1526</t>
  </si>
  <si>
    <t>呼吸气囊-1/Z2025</t>
  </si>
  <si>
    <t>高速手机-1/Z7526</t>
  </si>
  <si>
    <t>刮勺-1/（保护）z7526</t>
  </si>
  <si>
    <t>光敏刀-2/z7526</t>
  </si>
  <si>
    <t>洁牙机组件-4件/z7526</t>
  </si>
  <si>
    <t>喷头-2/z7526</t>
  </si>
  <si>
    <t>玻璃板-1/z1526</t>
  </si>
  <si>
    <t>车针-5件/(同颜色一包)Z7520</t>
  </si>
  <si>
    <t>成型片-5/Z7520</t>
  </si>
  <si>
    <t>充填器-1/Z7530</t>
  </si>
  <si>
    <t>唇钩-2/z7520</t>
  </si>
  <si>
    <t>低速手机-1/Z7520</t>
  </si>
  <si>
    <t>调刀-1/z7526</t>
  </si>
  <si>
    <t>起冠器-1/z7526</t>
  </si>
  <si>
    <t>球钻-5/z7526</t>
  </si>
  <si>
    <t>小根管锉-9/z7520</t>
  </si>
  <si>
    <t>针柄-3/z7520</t>
  </si>
  <si>
    <t>棉球缸(小)-2/w6050</t>
  </si>
  <si>
    <t>棉球缸(中)-3件/W6050</t>
  </si>
  <si>
    <t>镊子缸-6件(3套)/w9050</t>
  </si>
  <si>
    <t>不锈钢牙托-2/z1526</t>
  </si>
  <si>
    <t>大根管锉-6/z7520</t>
  </si>
  <si>
    <t>洗拔髓针-5/z7520</t>
  </si>
  <si>
    <t>G钻-3/z7520</t>
  </si>
  <si>
    <t>镊子缸-4件/W5050</t>
  </si>
  <si>
    <t>螺旋输送器-3件/Z7520</t>
  </si>
  <si>
    <t>镊子缸-2件/W4550</t>
  </si>
  <si>
    <t>棉球缸（大中小）-3件/w6050</t>
  </si>
  <si>
    <t>车针-5球钻-2/z7520</t>
  </si>
  <si>
    <t>45 度拔牙手机 -1/z7526</t>
  </si>
  <si>
    <t>拔牙钳-1/z1029</t>
  </si>
  <si>
    <t>拔牙挺-1/Z7526</t>
  </si>
  <si>
    <t>唇颊拉钩-1/z7520</t>
  </si>
  <si>
    <t>金属注射器-1/z1026</t>
  </si>
  <si>
    <t>止血钳 -1/Z1026</t>
  </si>
  <si>
    <t>阻生齿车针-1/Z7520</t>
  </si>
  <si>
    <t>阻生齿拔牙包</t>
  </si>
  <si>
    <t>镊子-1/Z7534</t>
  </si>
  <si>
    <t>吸唾管-1/z7526</t>
  </si>
  <si>
    <t>眼科剪刀-1/Z7526</t>
  </si>
  <si>
    <t>镊子缸-2件/w6050</t>
  </si>
  <si>
    <t>无菌缸-3（大中小）/w6050</t>
  </si>
  <si>
    <t>吸唾管-2/z7526</t>
  </si>
  <si>
    <t>口外缝合包</t>
  </si>
  <si>
    <t>残根挺-1/z7526</t>
  </si>
  <si>
    <t>大球钻-1/z7520</t>
  </si>
  <si>
    <t>喷头-1/z7520</t>
  </si>
  <si>
    <t>修复工具盒-5 盒1/W6050</t>
  </si>
  <si>
    <t>挡舌板-1/Z1026</t>
  </si>
  <si>
    <t>螺丝刀柄1 刀头1/z7526</t>
  </si>
  <si>
    <t>剥离器-1/z7526</t>
  </si>
  <si>
    <t>种植手机-1/Z7526</t>
  </si>
  <si>
    <t>冉大夫器械-29件盒1/w9050</t>
  </si>
  <si>
    <t>冉大夫器械-35件（盒1）/W905050</t>
  </si>
  <si>
    <t>舌钳子-1/z1526</t>
  </si>
  <si>
    <t>冉大夫器械5件（盒1）/W5050</t>
  </si>
  <si>
    <t>金属开口器-1/z1526</t>
  </si>
  <si>
    <t>换药包-4件/W4050</t>
  </si>
  <si>
    <t>美容科</t>
  </si>
  <si>
    <t>1.0钻头-1/z7520</t>
  </si>
  <si>
    <t>钻头1.5-1件/z7520</t>
  </si>
  <si>
    <t>钻头2.0-1/Z7520</t>
  </si>
  <si>
    <t>刀柄1剪子1钩镊1持针器1/Z1526</t>
  </si>
  <si>
    <t>基础包</t>
  </si>
  <si>
    <t>麻杯1换药碗1/W6050</t>
  </si>
  <si>
    <t>辅料包/ W9050</t>
  </si>
  <si>
    <t>0.8钻头-1/7520</t>
  </si>
  <si>
    <t>过滤网-5/Z7520</t>
  </si>
  <si>
    <t>吸脂针-1/Z7530</t>
  </si>
  <si>
    <t>注水针-1/Z7530</t>
  </si>
  <si>
    <t>转换头-1/Z1026</t>
  </si>
  <si>
    <t>拉钩-1/Z1026</t>
  </si>
  <si>
    <t>排针-5/Z7520</t>
  </si>
  <si>
    <t>0.5钻头-1/Z7520</t>
  </si>
  <si>
    <t>吸脂针（长）-2件/Z1050</t>
  </si>
  <si>
    <t>剥离质-1/Z1035</t>
  </si>
  <si>
    <t>基础包（二）</t>
  </si>
  <si>
    <t>门诊换药室</t>
  </si>
  <si>
    <t>门换换药包</t>
  </si>
  <si>
    <t>压舌板-1/Z7526</t>
  </si>
  <si>
    <t>偏瘫陈冲显微器械-12件（盒1）</t>
  </si>
  <si>
    <t>剪刀-3件/W4050</t>
  </si>
  <si>
    <t>支气管软镜-5件/双/Z3095</t>
  </si>
  <si>
    <t>肖啸垫板蓝-1/z1520</t>
  </si>
  <si>
    <t>肖啸 烧三器械(二)-9件</t>
  </si>
  <si>
    <t>外三</t>
  </si>
  <si>
    <t>眼科门诊</t>
  </si>
  <si>
    <t>睫毛镊子-1件/Z7526</t>
  </si>
  <si>
    <t>受水器-1/Z1029</t>
  </si>
  <si>
    <t>眼科无钩弯镊子-1/Z7526</t>
  </si>
  <si>
    <t>方头按摩镊子-1/Z7526</t>
  </si>
  <si>
    <t>眼科有钩直镊子-1/Z7526</t>
  </si>
  <si>
    <t>圆头按摩镊子-1/Z7526</t>
  </si>
  <si>
    <t>眼科显微器械包</t>
  </si>
  <si>
    <t>眼科缝合包</t>
  </si>
  <si>
    <t>泪小点扩张器-1/Z7520</t>
  </si>
  <si>
    <t>无钩镊-1/Z7526</t>
  </si>
  <si>
    <t>孔巾/Z1526</t>
  </si>
  <si>
    <t>眼科散粒肿包</t>
  </si>
  <si>
    <t>眼科拉钩-1/Z1029</t>
  </si>
  <si>
    <t>眼科弯止血钳-2件/Z1526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</si>
</sst>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  <numFmt numFmtId="178" formatCode="[$-10804]0.00"/>
    <numFmt numFmtId="179" formatCode="[$-10804]yyyy/m/d\ h:mm:ss"/>
  </numFmts>
  <fonts count="33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1"/>
      <color rgb="FF000000"/>
      <name val="宋体"/>
      <charset val="134"/>
    </font>
    <font>
      <sz val="10"/>
      <name val="Droid Sans Fallback"/>
      <charset val="134"/>
    </font>
    <font>
      <sz val="10"/>
      <color rgb="FF000000"/>
      <name val="宋体"/>
      <charset val="134"/>
    </font>
    <font>
      <sz val="18"/>
      <color rgb="FF000000"/>
      <name val="宋体"/>
      <charset val="134"/>
    </font>
    <font>
      <sz val="9"/>
      <color rgb="FF000000"/>
      <name val="宋体"/>
      <charset val="134"/>
    </font>
    <font>
      <b/>
      <sz val="12"/>
      <color rgb="FFFFFFFF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FFFF00"/>
        <bgColor indexed="64"/>
      </patternFill>
    </fill>
    <fill>
      <patternFill patternType="solid">
        <fgColor rgb="FF6799AF"/>
        <bgColor rgb="FF6799AF"/>
      </patternFill>
    </fill>
    <fill>
      <patternFill patternType="solid">
        <fgColor rgb="FFDFE3E8"/>
        <bgColor rgb="FFDFE3E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thin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6" borderId="9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12" applyNumberFormat="0" applyAlignment="0" applyProtection="0">
      <alignment vertical="center"/>
    </xf>
    <xf numFmtId="0" fontId="22" fillId="8" borderId="13" applyNumberFormat="0" applyAlignment="0" applyProtection="0">
      <alignment vertical="center"/>
    </xf>
    <xf numFmtId="0" fontId="23" fillId="8" borderId="12" applyNumberFormat="0" applyAlignment="0" applyProtection="0">
      <alignment vertical="center"/>
    </xf>
    <xf numFmtId="0" fontId="24" fillId="9" borderId="14" applyNumberFormat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2" fillId="0" borderId="0"/>
  </cellStyleXfs>
  <cellXfs count="62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176" fontId="5" fillId="2" borderId="3" xfId="0" applyNumberFormat="1" applyFont="1" applyFill="1" applyBorder="1" applyAlignment="1">
      <alignment horizontal="center" vertical="top" wrapText="1" readingOrder="1"/>
    </xf>
    <xf numFmtId="0" fontId="0" fillId="0" borderId="5" xfId="0" applyNumberFormat="1" applyFont="1" applyFill="1" applyBorder="1" applyAlignment="1">
      <alignment vertical="top" wrapText="1"/>
    </xf>
    <xf numFmtId="0" fontId="0" fillId="0" borderId="6" xfId="0" applyNumberFormat="1" applyFont="1" applyFill="1" applyBorder="1" applyAlignment="1">
      <alignment vertical="top" wrapText="1"/>
    </xf>
    <xf numFmtId="0" fontId="0" fillId="0" borderId="7" xfId="0" applyNumberFormat="1" applyFont="1" applyFill="1" applyBorder="1" applyAlignment="1">
      <alignment vertical="top" wrapText="1"/>
    </xf>
    <xf numFmtId="0" fontId="5" fillId="2" borderId="3" xfId="0" applyNumberFormat="1" applyFont="1" applyFill="1" applyBorder="1" applyAlignment="1">
      <alignment vertical="top" wrapText="1" readingOrder="1"/>
    </xf>
    <xf numFmtId="176" fontId="6" fillId="0" borderId="3" xfId="0" applyNumberFormat="1" applyFont="1" applyFill="1" applyBorder="1" applyAlignment="1">
      <alignment horizontal="center" vertical="top" wrapText="1" readingOrder="1"/>
    </xf>
    <xf numFmtId="177" fontId="3" fillId="3" borderId="3" xfId="0" applyNumberFormat="1" applyFont="1" applyFill="1" applyBorder="1" applyAlignment="1">
      <alignment vertical="top" wrapText="1" readingOrder="1"/>
    </xf>
    <xf numFmtId="0" fontId="3" fillId="3" borderId="3" xfId="0" applyNumberFormat="1" applyFont="1" applyFill="1" applyBorder="1" applyAlignment="1">
      <alignment vertical="top" wrapText="1" readingOrder="1"/>
    </xf>
    <xf numFmtId="0" fontId="3" fillId="3" borderId="3" xfId="0" applyNumberFormat="1" applyFont="1" applyFill="1" applyBorder="1" applyAlignment="1">
      <alignment horizontal="center" vertical="top" wrapText="1" readingOrder="1"/>
    </xf>
    <xf numFmtId="176" fontId="3" fillId="3" borderId="3" xfId="0" applyNumberFormat="1" applyFont="1" applyFill="1" applyBorder="1" applyAlignment="1">
      <alignment horizontal="center" vertical="top" wrapText="1" readingOrder="1"/>
    </xf>
    <xf numFmtId="176" fontId="6" fillId="3" borderId="3" xfId="0" applyNumberFormat="1" applyFont="1" applyFill="1" applyBorder="1" applyAlignment="1">
      <alignment horizontal="center" vertical="top" wrapText="1" readingOrder="1"/>
    </xf>
    <xf numFmtId="0" fontId="7" fillId="0" borderId="3" xfId="0" applyNumberFormat="1" applyFont="1" applyFill="1" applyBorder="1" applyAlignment="1">
      <alignment vertical="top" wrapText="1" readingOrder="1"/>
    </xf>
    <xf numFmtId="0" fontId="8" fillId="0" borderId="0" xfId="0" applyNumberFormat="1" applyFont="1" applyFill="1" applyBorder="1" applyAlignment="1">
      <alignment horizontal="left" vertical="top" wrapText="1" readingOrder="1"/>
    </xf>
    <xf numFmtId="0" fontId="9" fillId="0" borderId="0" xfId="0" applyNumberFormat="1" applyFont="1" applyFill="1" applyBorder="1" applyAlignment="1">
      <alignment vertical="top" wrapText="1" readingOrder="1"/>
    </xf>
    <xf numFmtId="0" fontId="10" fillId="4" borderId="8" xfId="0" applyNumberFormat="1" applyFont="1" applyFill="1" applyBorder="1" applyAlignment="1">
      <alignment vertical="top" wrapText="1" readingOrder="1"/>
    </xf>
    <xf numFmtId="0" fontId="0" fillId="0" borderId="8" xfId="0" applyNumberFormat="1" applyFont="1" applyFill="1" applyBorder="1" applyAlignment="1">
      <alignment vertical="top" wrapText="1"/>
    </xf>
    <xf numFmtId="0" fontId="3" fillId="4" borderId="8" xfId="0" applyNumberFormat="1" applyFont="1" applyFill="1" applyBorder="1" applyAlignment="1">
      <alignment vertical="top" wrapText="1" readingOrder="1"/>
    </xf>
    <xf numFmtId="178" fontId="3" fillId="4" borderId="8" xfId="0" applyNumberFormat="1" applyFont="1" applyFill="1" applyBorder="1" applyAlignment="1">
      <alignment vertical="top" wrapText="1" readingOrder="1"/>
    </xf>
    <xf numFmtId="0" fontId="3" fillId="2" borderId="8" xfId="0" applyNumberFormat="1" applyFont="1" applyFill="1" applyBorder="1" applyAlignment="1">
      <alignment vertical="top" wrapText="1" readingOrder="1"/>
    </xf>
    <xf numFmtId="0" fontId="5" fillId="2" borderId="8" xfId="0" applyNumberFormat="1" applyFont="1" applyFill="1" applyBorder="1" applyAlignment="1">
      <alignment vertical="top" wrapText="1" readingOrder="1"/>
    </xf>
    <xf numFmtId="178" fontId="3" fillId="2" borderId="8" xfId="0" applyNumberFormat="1" applyFont="1" applyFill="1" applyBorder="1" applyAlignment="1">
      <alignment vertical="top" wrapText="1" readingOrder="1"/>
    </xf>
    <xf numFmtId="0" fontId="3" fillId="5" borderId="8" xfId="0" applyNumberFormat="1" applyFont="1" applyFill="1" applyBorder="1" applyAlignment="1">
      <alignment horizontal="left" vertical="top" wrapText="1" readingOrder="1"/>
    </xf>
    <xf numFmtId="0" fontId="3" fillId="5" borderId="8" xfId="0" applyNumberFormat="1" applyFont="1" applyFill="1" applyBorder="1" applyAlignment="1">
      <alignment vertical="top" wrapText="1" readingOrder="1"/>
    </xf>
    <xf numFmtId="178" fontId="3" fillId="5" borderId="8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left" vertical="top" wrapText="1" readingOrder="1"/>
    </xf>
    <xf numFmtId="179" fontId="3" fillId="0" borderId="3" xfId="0" applyNumberFormat="1" applyFont="1" applyFill="1" applyBorder="1" applyAlignment="1">
      <alignment horizontal="left" vertical="top" wrapText="1" readingOrder="1"/>
    </xf>
    <xf numFmtId="179" fontId="3" fillId="0" borderId="3" xfId="0" applyNumberFormat="1" applyFont="1" applyFill="1" applyBorder="1" applyAlignment="1">
      <alignment vertical="top" wrapText="1" readingOrder="1"/>
    </xf>
    <xf numFmtId="178" fontId="3" fillId="0" borderId="3" xfId="0" applyNumberFormat="1" applyFont="1" applyFill="1" applyBorder="1" applyAlignment="1">
      <alignment vertical="top" wrapText="1" readingOrder="1"/>
    </xf>
    <xf numFmtId="0" fontId="4" fillId="2" borderId="8" xfId="0" applyNumberFormat="1" applyFont="1" applyFill="1" applyBorder="1" applyAlignment="1">
      <alignment vertical="top" wrapText="1" readingOrder="1"/>
    </xf>
    <xf numFmtId="178" fontId="6" fillId="0" borderId="3" xfId="0" applyNumberFormat="1" applyFont="1" applyFill="1" applyBorder="1" applyAlignment="1">
      <alignment vertical="top" wrapText="1" readingOrder="1"/>
    </xf>
    <xf numFmtId="177" fontId="3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horizontal="center" vertical="top" wrapText="1" readingOrder="1"/>
    </xf>
    <xf numFmtId="176" fontId="3" fillId="0" borderId="3" xfId="49" applyNumberFormat="1" applyFont="1" applyFill="1" applyBorder="1" applyAlignment="1">
      <alignment horizontal="center" vertical="top" wrapText="1" readingOrder="1"/>
    </xf>
    <xf numFmtId="0" fontId="0" fillId="0" borderId="0" xfId="49" applyFont="1" applyFill="1" applyBorder="1" applyAlignment="1"/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vertical="top" wrapText="1" readingOrder="1"/>
    </xf>
    <xf numFmtId="0" fontId="0" fillId="0" borderId="1" xfId="49" applyNumberFormat="1" applyFont="1" applyFill="1" applyBorder="1" applyAlignment="1">
      <alignment vertical="top" wrapText="1"/>
    </xf>
    <xf numFmtId="0" fontId="3" fillId="0" borderId="0" xfId="49" applyNumberFormat="1" applyFont="1" applyFill="1" applyBorder="1" applyAlignment="1">
      <alignment vertical="top" wrapText="1" readingOrder="1"/>
    </xf>
    <xf numFmtId="0" fontId="11" fillId="4" borderId="3" xfId="49" applyNumberFormat="1" applyFont="1" applyFill="1" applyBorder="1" applyAlignment="1">
      <alignment vertical="top" wrapText="1" readingOrder="1"/>
    </xf>
    <xf numFmtId="0" fontId="0" fillId="0" borderId="4" xfId="49" applyNumberFormat="1" applyFont="1" applyFill="1" applyBorder="1" applyAlignment="1">
      <alignment vertical="top" wrapText="1"/>
    </xf>
    <xf numFmtId="0" fontId="11" fillId="4" borderId="3" xfId="49" applyNumberFormat="1" applyFont="1" applyFill="1" applyBorder="1" applyAlignment="1">
      <alignment horizontal="center" vertical="top" wrapText="1" readingOrder="1"/>
    </xf>
    <xf numFmtId="176" fontId="11" fillId="4" borderId="3" xfId="49" applyNumberFormat="1" applyFont="1" applyFill="1" applyBorder="1" applyAlignment="1">
      <alignment horizontal="center" vertical="top" wrapText="1" readingOrder="1"/>
    </xf>
    <xf numFmtId="0" fontId="4" fillId="2" borderId="3" xfId="49" applyNumberFormat="1" applyFont="1" applyFill="1" applyBorder="1" applyAlignment="1">
      <alignment vertical="top" wrapText="1" readingOrder="1"/>
    </xf>
    <xf numFmtId="0" fontId="4" fillId="2" borderId="3" xfId="49" applyNumberFormat="1" applyFont="1" applyFill="1" applyBorder="1" applyAlignment="1">
      <alignment horizontal="center" vertical="top" wrapText="1" readingOrder="1"/>
    </xf>
    <xf numFmtId="176" fontId="4" fillId="2" borderId="3" xfId="49" applyNumberFormat="1" applyFont="1" applyFill="1" applyBorder="1" applyAlignment="1">
      <alignment horizontal="center" vertical="top" wrapText="1" readingOrder="1"/>
    </xf>
    <xf numFmtId="0" fontId="7" fillId="0" borderId="3" xfId="49" applyNumberFormat="1" applyFont="1" applyFill="1" applyBorder="1" applyAlignment="1">
      <alignment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">
    <dxf>
      <fill>
        <patternFill patternType="solid">
          <fgColor rgb="FFFFFF00"/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2" Type="http://schemas.openxmlformats.org/officeDocument/2006/relationships/styles" Target="styles.xml"/><Relationship Id="rId91" Type="http://schemas.openxmlformats.org/officeDocument/2006/relationships/sharedStrings" Target="sharedStrings.xml"/><Relationship Id="rId90" Type="http://schemas.openxmlformats.org/officeDocument/2006/relationships/theme" Target="theme/theme1.xml"/><Relationship Id="rId9" Type="http://schemas.openxmlformats.org/officeDocument/2006/relationships/worksheet" Target="worksheets/sheet9.xml"/><Relationship Id="rId89" Type="http://schemas.openxmlformats.org/officeDocument/2006/relationships/worksheet" Target="worksheets/sheet89.xml"/><Relationship Id="rId88" Type="http://schemas.openxmlformats.org/officeDocument/2006/relationships/worksheet" Target="worksheets/sheet88.xml"/><Relationship Id="rId87" Type="http://schemas.openxmlformats.org/officeDocument/2006/relationships/worksheet" Target="worksheets/sheet87.xml"/><Relationship Id="rId86" Type="http://schemas.openxmlformats.org/officeDocument/2006/relationships/worksheet" Target="worksheets/sheet86.xml"/><Relationship Id="rId85" Type="http://schemas.openxmlformats.org/officeDocument/2006/relationships/worksheet" Target="worksheets/sheet85.xml"/><Relationship Id="rId84" Type="http://schemas.openxmlformats.org/officeDocument/2006/relationships/worksheet" Target="worksheets/sheet84.xml"/><Relationship Id="rId83" Type="http://schemas.openxmlformats.org/officeDocument/2006/relationships/worksheet" Target="worksheets/sheet83.xml"/><Relationship Id="rId82" Type="http://schemas.openxmlformats.org/officeDocument/2006/relationships/worksheet" Target="worksheets/sheet82.xml"/><Relationship Id="rId81" Type="http://schemas.openxmlformats.org/officeDocument/2006/relationships/worksheet" Target="worksheets/sheet81.xml"/><Relationship Id="rId80" Type="http://schemas.openxmlformats.org/officeDocument/2006/relationships/worksheet" Target="worksheets/sheet80.xml"/><Relationship Id="rId8" Type="http://schemas.openxmlformats.org/officeDocument/2006/relationships/worksheet" Target="worksheets/sheet8.xml"/><Relationship Id="rId79" Type="http://schemas.openxmlformats.org/officeDocument/2006/relationships/worksheet" Target="worksheets/sheet79.xml"/><Relationship Id="rId78" Type="http://schemas.openxmlformats.org/officeDocument/2006/relationships/worksheet" Target="worksheets/sheet78.xml"/><Relationship Id="rId77" Type="http://schemas.openxmlformats.org/officeDocument/2006/relationships/worksheet" Target="worksheets/sheet77.xml"/><Relationship Id="rId76" Type="http://schemas.openxmlformats.org/officeDocument/2006/relationships/worksheet" Target="worksheets/sheet76.xml"/><Relationship Id="rId75" Type="http://schemas.openxmlformats.org/officeDocument/2006/relationships/worksheet" Target="worksheets/sheet75.xml"/><Relationship Id="rId74" Type="http://schemas.openxmlformats.org/officeDocument/2006/relationships/worksheet" Target="worksheets/sheet74.xml"/><Relationship Id="rId73" Type="http://schemas.openxmlformats.org/officeDocument/2006/relationships/worksheet" Target="worksheets/sheet73.xml"/><Relationship Id="rId72" Type="http://schemas.openxmlformats.org/officeDocument/2006/relationships/worksheet" Target="worksheets/sheet72.xml"/><Relationship Id="rId71" Type="http://schemas.openxmlformats.org/officeDocument/2006/relationships/worksheet" Target="worksheets/sheet71.xml"/><Relationship Id="rId70" Type="http://schemas.openxmlformats.org/officeDocument/2006/relationships/worksheet" Target="worksheets/sheet70.xml"/><Relationship Id="rId7" Type="http://schemas.openxmlformats.org/officeDocument/2006/relationships/worksheet" Target="worksheets/sheet7.xml"/><Relationship Id="rId69" Type="http://schemas.openxmlformats.org/officeDocument/2006/relationships/worksheet" Target="worksheets/sheet69.xml"/><Relationship Id="rId68" Type="http://schemas.openxmlformats.org/officeDocument/2006/relationships/worksheet" Target="worksheets/sheet68.xml"/><Relationship Id="rId67" Type="http://schemas.openxmlformats.org/officeDocument/2006/relationships/worksheet" Target="worksheets/sheet67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152400</xdr:colOff>
      <xdr:row>1</xdr:row>
      <xdr:rowOff>85725</xdr:rowOff>
    </xdr:from>
    <xdr:to>
      <xdr:col>10</xdr:col>
      <xdr:colOff>662388</xdr:colOff>
      <xdr:row>4</xdr:row>
      <xdr:rowOff>83185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018020" y="257175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302260</xdr:colOff>
      <xdr:row>0</xdr:row>
      <xdr:rowOff>95885</xdr:rowOff>
    </xdr:from>
    <xdr:to>
      <xdr:col>6</xdr:col>
      <xdr:colOff>812248</xdr:colOff>
      <xdr:row>3</xdr:row>
      <xdr:rowOff>86360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035165" y="95885"/>
          <a:ext cx="509905" cy="5016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302260</xdr:colOff>
      <xdr:row>0</xdr:row>
      <xdr:rowOff>95885</xdr:rowOff>
    </xdr:from>
    <xdr:to>
      <xdr:col>6</xdr:col>
      <xdr:colOff>812248</xdr:colOff>
      <xdr:row>3</xdr:row>
      <xdr:rowOff>86360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035165" y="95885"/>
          <a:ext cx="509905" cy="5016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302260</xdr:colOff>
      <xdr:row>0</xdr:row>
      <xdr:rowOff>95885</xdr:rowOff>
    </xdr:from>
    <xdr:to>
      <xdr:col>6</xdr:col>
      <xdr:colOff>812248</xdr:colOff>
      <xdr:row>3</xdr:row>
      <xdr:rowOff>86360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035165" y="95885"/>
          <a:ext cx="509905" cy="5016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302260</xdr:colOff>
      <xdr:row>0</xdr:row>
      <xdr:rowOff>95885</xdr:rowOff>
    </xdr:from>
    <xdr:to>
      <xdr:col>6</xdr:col>
      <xdr:colOff>812248</xdr:colOff>
      <xdr:row>3</xdr:row>
      <xdr:rowOff>86360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035165" y="95885"/>
          <a:ext cx="509905" cy="5016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302260</xdr:colOff>
      <xdr:row>0</xdr:row>
      <xdr:rowOff>95885</xdr:rowOff>
    </xdr:from>
    <xdr:to>
      <xdr:col>6</xdr:col>
      <xdr:colOff>812248</xdr:colOff>
      <xdr:row>3</xdr:row>
      <xdr:rowOff>86360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035165" y="95885"/>
          <a:ext cx="509905" cy="5016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302260</xdr:colOff>
      <xdr:row>0</xdr:row>
      <xdr:rowOff>95885</xdr:rowOff>
    </xdr:from>
    <xdr:to>
      <xdr:col>6</xdr:col>
      <xdr:colOff>812248</xdr:colOff>
      <xdr:row>3</xdr:row>
      <xdr:rowOff>86360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035165" y="95885"/>
          <a:ext cx="509905" cy="5016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302260</xdr:colOff>
      <xdr:row>0</xdr:row>
      <xdr:rowOff>95885</xdr:rowOff>
    </xdr:from>
    <xdr:to>
      <xdr:col>6</xdr:col>
      <xdr:colOff>812248</xdr:colOff>
      <xdr:row>3</xdr:row>
      <xdr:rowOff>86360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035165" y="95885"/>
          <a:ext cx="509905" cy="5016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302260</xdr:colOff>
      <xdr:row>0</xdr:row>
      <xdr:rowOff>95885</xdr:rowOff>
    </xdr:from>
    <xdr:to>
      <xdr:col>6</xdr:col>
      <xdr:colOff>812248</xdr:colOff>
      <xdr:row>3</xdr:row>
      <xdr:rowOff>86360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035165" y="95885"/>
          <a:ext cx="509905" cy="5016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302260</xdr:colOff>
      <xdr:row>0</xdr:row>
      <xdr:rowOff>95885</xdr:rowOff>
    </xdr:from>
    <xdr:to>
      <xdr:col>6</xdr:col>
      <xdr:colOff>812248</xdr:colOff>
      <xdr:row>3</xdr:row>
      <xdr:rowOff>86360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035165" y="95885"/>
          <a:ext cx="509905" cy="5016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302260</xdr:colOff>
      <xdr:row>0</xdr:row>
      <xdr:rowOff>95885</xdr:rowOff>
    </xdr:from>
    <xdr:to>
      <xdr:col>6</xdr:col>
      <xdr:colOff>812248</xdr:colOff>
      <xdr:row>3</xdr:row>
      <xdr:rowOff>86360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035165" y="95885"/>
          <a:ext cx="509905" cy="5016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302260</xdr:colOff>
      <xdr:row>0</xdr:row>
      <xdr:rowOff>95885</xdr:rowOff>
    </xdr:from>
    <xdr:to>
      <xdr:col>6</xdr:col>
      <xdr:colOff>812248</xdr:colOff>
      <xdr:row>3</xdr:row>
      <xdr:rowOff>86360</xdr:rowOff>
    </xdr:to>
    <xdr:pic>
      <xdr:nvPicPr>
        <xdr:cNvPr id="3" name="Picture 1"/>
        <xdr:cNvPicPr/>
      </xdr:nvPicPr>
      <xdr:blipFill>
        <a:blip r:embed="rId1" cstate="print"/>
        <a:stretch>
          <a:fillRect/>
        </a:stretch>
      </xdr:blipFill>
      <xdr:spPr>
        <a:xfrm>
          <a:off x="7035165" y="95885"/>
          <a:ext cx="509905" cy="5016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247015</xdr:colOff>
      <xdr:row>1</xdr:row>
      <xdr:rowOff>57150</xdr:rowOff>
    </xdr:from>
    <xdr:to>
      <xdr:col>9</xdr:col>
      <xdr:colOff>757003</xdr:colOff>
      <xdr:row>4</xdr:row>
      <xdr:rowOff>54610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39790" y="228600"/>
          <a:ext cx="509905" cy="50863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313690</xdr:colOff>
      <xdr:row>1</xdr:row>
      <xdr:rowOff>19050</xdr:rowOff>
    </xdr:from>
    <xdr:to>
      <xdr:col>9</xdr:col>
      <xdr:colOff>823678</xdr:colOff>
      <xdr:row>4</xdr:row>
      <xdr:rowOff>16510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006465" y="190500"/>
          <a:ext cx="509905" cy="50863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152400</xdr:colOff>
      <xdr:row>0</xdr:row>
      <xdr:rowOff>67310</xdr:rowOff>
    </xdr:from>
    <xdr:to>
      <xdr:col>9</xdr:col>
      <xdr:colOff>662388</xdr:colOff>
      <xdr:row>3</xdr:row>
      <xdr:rowOff>57785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675245" y="67310"/>
          <a:ext cx="509905" cy="5016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302260</xdr:colOff>
      <xdr:row>0</xdr:row>
      <xdr:rowOff>95885</xdr:rowOff>
    </xdr:from>
    <xdr:to>
      <xdr:col>6</xdr:col>
      <xdr:colOff>812248</xdr:colOff>
      <xdr:row>3</xdr:row>
      <xdr:rowOff>86360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035165" y="95885"/>
          <a:ext cx="509905" cy="5016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302260</xdr:colOff>
      <xdr:row>0</xdr:row>
      <xdr:rowOff>95885</xdr:rowOff>
    </xdr:from>
    <xdr:to>
      <xdr:col>6</xdr:col>
      <xdr:colOff>812248</xdr:colOff>
      <xdr:row>3</xdr:row>
      <xdr:rowOff>86360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035165" y="95885"/>
          <a:ext cx="509905" cy="5016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302260</xdr:colOff>
      <xdr:row>0</xdr:row>
      <xdr:rowOff>95885</xdr:rowOff>
    </xdr:from>
    <xdr:to>
      <xdr:col>6</xdr:col>
      <xdr:colOff>812248</xdr:colOff>
      <xdr:row>3</xdr:row>
      <xdr:rowOff>86360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035165" y="95885"/>
          <a:ext cx="509905" cy="5016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302260</xdr:colOff>
      <xdr:row>0</xdr:row>
      <xdr:rowOff>95885</xdr:rowOff>
    </xdr:from>
    <xdr:to>
      <xdr:col>6</xdr:col>
      <xdr:colOff>812248</xdr:colOff>
      <xdr:row>3</xdr:row>
      <xdr:rowOff>86360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035165" y="95885"/>
          <a:ext cx="509905" cy="5016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302260</xdr:colOff>
      <xdr:row>0</xdr:row>
      <xdr:rowOff>95885</xdr:rowOff>
    </xdr:from>
    <xdr:to>
      <xdr:col>6</xdr:col>
      <xdr:colOff>812248</xdr:colOff>
      <xdr:row>3</xdr:row>
      <xdr:rowOff>86360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035165" y="95885"/>
          <a:ext cx="509905" cy="5016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302260</xdr:colOff>
      <xdr:row>0</xdr:row>
      <xdr:rowOff>95885</xdr:rowOff>
    </xdr:from>
    <xdr:to>
      <xdr:col>6</xdr:col>
      <xdr:colOff>812248</xdr:colOff>
      <xdr:row>3</xdr:row>
      <xdr:rowOff>86360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035165" y="95885"/>
          <a:ext cx="509905" cy="5016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302260</xdr:colOff>
      <xdr:row>0</xdr:row>
      <xdr:rowOff>95885</xdr:rowOff>
    </xdr:from>
    <xdr:to>
      <xdr:col>6</xdr:col>
      <xdr:colOff>812248</xdr:colOff>
      <xdr:row>3</xdr:row>
      <xdr:rowOff>86360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035165" y="95885"/>
          <a:ext cx="509905" cy="5016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302260</xdr:colOff>
      <xdr:row>0</xdr:row>
      <xdr:rowOff>95885</xdr:rowOff>
    </xdr:from>
    <xdr:to>
      <xdr:col>6</xdr:col>
      <xdr:colOff>812248</xdr:colOff>
      <xdr:row>3</xdr:row>
      <xdr:rowOff>86360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035165" y="95885"/>
          <a:ext cx="509905" cy="50165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427990</xdr:colOff>
      <xdr:row>0</xdr:row>
      <xdr:rowOff>161925</xdr:rowOff>
    </xdr:from>
    <xdr:to>
      <xdr:col>10</xdr:col>
      <xdr:colOff>7703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120765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427990</xdr:colOff>
      <xdr:row>0</xdr:row>
      <xdr:rowOff>161925</xdr:rowOff>
    </xdr:from>
    <xdr:to>
      <xdr:col>10</xdr:col>
      <xdr:colOff>7703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120765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427990</xdr:colOff>
      <xdr:row>0</xdr:row>
      <xdr:rowOff>161925</xdr:rowOff>
    </xdr:from>
    <xdr:to>
      <xdr:col>10</xdr:col>
      <xdr:colOff>7703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120765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247015</xdr:colOff>
      <xdr:row>1</xdr:row>
      <xdr:rowOff>57150</xdr:rowOff>
    </xdr:from>
    <xdr:to>
      <xdr:col>9</xdr:col>
      <xdr:colOff>757003</xdr:colOff>
      <xdr:row>4</xdr:row>
      <xdr:rowOff>54610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39790" y="228600"/>
          <a:ext cx="509905" cy="508635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247015</xdr:colOff>
      <xdr:row>1</xdr:row>
      <xdr:rowOff>57150</xdr:rowOff>
    </xdr:from>
    <xdr:to>
      <xdr:col>9</xdr:col>
      <xdr:colOff>757003</xdr:colOff>
      <xdr:row>4</xdr:row>
      <xdr:rowOff>54610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39790" y="228600"/>
          <a:ext cx="509905" cy="508635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247015</xdr:colOff>
      <xdr:row>1</xdr:row>
      <xdr:rowOff>57150</xdr:rowOff>
    </xdr:from>
    <xdr:to>
      <xdr:col>9</xdr:col>
      <xdr:colOff>757003</xdr:colOff>
      <xdr:row>4</xdr:row>
      <xdr:rowOff>54610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39790" y="228600"/>
          <a:ext cx="509905" cy="508635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247015</xdr:colOff>
      <xdr:row>1</xdr:row>
      <xdr:rowOff>57150</xdr:rowOff>
    </xdr:from>
    <xdr:to>
      <xdr:col>9</xdr:col>
      <xdr:colOff>757003</xdr:colOff>
      <xdr:row>4</xdr:row>
      <xdr:rowOff>54610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39790" y="228600"/>
          <a:ext cx="509905" cy="508635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247015</xdr:colOff>
      <xdr:row>1</xdr:row>
      <xdr:rowOff>57150</xdr:rowOff>
    </xdr:from>
    <xdr:to>
      <xdr:col>9</xdr:col>
      <xdr:colOff>757003</xdr:colOff>
      <xdr:row>4</xdr:row>
      <xdr:rowOff>54610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39790" y="228600"/>
          <a:ext cx="509905" cy="508635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247015</xdr:colOff>
      <xdr:row>1</xdr:row>
      <xdr:rowOff>57150</xdr:rowOff>
    </xdr:from>
    <xdr:to>
      <xdr:col>9</xdr:col>
      <xdr:colOff>757003</xdr:colOff>
      <xdr:row>4</xdr:row>
      <xdr:rowOff>54610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39790" y="228600"/>
          <a:ext cx="509905" cy="508635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247015</xdr:colOff>
      <xdr:row>1</xdr:row>
      <xdr:rowOff>57150</xdr:rowOff>
    </xdr:from>
    <xdr:to>
      <xdr:col>9</xdr:col>
      <xdr:colOff>757003</xdr:colOff>
      <xdr:row>4</xdr:row>
      <xdr:rowOff>54610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39790" y="228600"/>
          <a:ext cx="509905" cy="508635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247015</xdr:colOff>
      <xdr:row>1</xdr:row>
      <xdr:rowOff>57150</xdr:rowOff>
    </xdr:from>
    <xdr:to>
      <xdr:col>9</xdr:col>
      <xdr:colOff>757003</xdr:colOff>
      <xdr:row>4</xdr:row>
      <xdr:rowOff>54610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39790" y="228600"/>
          <a:ext cx="509905" cy="508635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247015</xdr:colOff>
      <xdr:row>1</xdr:row>
      <xdr:rowOff>57150</xdr:rowOff>
    </xdr:from>
    <xdr:to>
      <xdr:col>9</xdr:col>
      <xdr:colOff>757003</xdr:colOff>
      <xdr:row>4</xdr:row>
      <xdr:rowOff>54610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39790" y="228600"/>
          <a:ext cx="509905" cy="508635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247015</xdr:colOff>
      <xdr:row>1</xdr:row>
      <xdr:rowOff>57150</xdr:rowOff>
    </xdr:from>
    <xdr:to>
      <xdr:col>9</xdr:col>
      <xdr:colOff>757003</xdr:colOff>
      <xdr:row>4</xdr:row>
      <xdr:rowOff>54610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39790" y="228600"/>
          <a:ext cx="509905" cy="508635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247015</xdr:colOff>
      <xdr:row>1</xdr:row>
      <xdr:rowOff>57150</xdr:rowOff>
    </xdr:from>
    <xdr:to>
      <xdr:col>9</xdr:col>
      <xdr:colOff>757003</xdr:colOff>
      <xdr:row>4</xdr:row>
      <xdr:rowOff>54610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39790" y="228600"/>
          <a:ext cx="509905" cy="508635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247015</xdr:colOff>
      <xdr:row>1</xdr:row>
      <xdr:rowOff>57150</xdr:rowOff>
    </xdr:from>
    <xdr:to>
      <xdr:col>9</xdr:col>
      <xdr:colOff>757003</xdr:colOff>
      <xdr:row>4</xdr:row>
      <xdr:rowOff>54610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39790" y="228600"/>
          <a:ext cx="509905" cy="508635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247015</xdr:colOff>
      <xdr:row>1</xdr:row>
      <xdr:rowOff>57150</xdr:rowOff>
    </xdr:from>
    <xdr:to>
      <xdr:col>9</xdr:col>
      <xdr:colOff>757003</xdr:colOff>
      <xdr:row>4</xdr:row>
      <xdr:rowOff>54610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39790" y="228600"/>
          <a:ext cx="509905" cy="508635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247015</xdr:colOff>
      <xdr:row>1</xdr:row>
      <xdr:rowOff>57150</xdr:rowOff>
    </xdr:from>
    <xdr:to>
      <xdr:col>9</xdr:col>
      <xdr:colOff>757003</xdr:colOff>
      <xdr:row>4</xdr:row>
      <xdr:rowOff>54610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39790" y="228600"/>
          <a:ext cx="509905" cy="508635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218440</xdr:colOff>
      <xdr:row>1</xdr:row>
      <xdr:rowOff>57150</xdr:rowOff>
    </xdr:from>
    <xdr:to>
      <xdr:col>9</xdr:col>
      <xdr:colOff>728428</xdr:colOff>
      <xdr:row>4</xdr:row>
      <xdr:rowOff>54610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11215" y="228600"/>
          <a:ext cx="509905" cy="508635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427990</xdr:colOff>
      <xdr:row>0</xdr:row>
      <xdr:rowOff>161925</xdr:rowOff>
    </xdr:from>
    <xdr:to>
      <xdr:col>10</xdr:col>
      <xdr:colOff>7703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120765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342265</xdr:colOff>
      <xdr:row>1</xdr:row>
      <xdr:rowOff>9525</xdr:rowOff>
    </xdr:from>
    <xdr:to>
      <xdr:col>9</xdr:col>
      <xdr:colOff>852253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035040" y="180975"/>
          <a:ext cx="509905" cy="508635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313690</xdr:colOff>
      <xdr:row>0</xdr:row>
      <xdr:rowOff>161925</xdr:rowOff>
    </xdr:from>
    <xdr:to>
      <xdr:col>9</xdr:col>
      <xdr:colOff>823678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006465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275590</xdr:colOff>
      <xdr:row>1</xdr:row>
      <xdr:rowOff>19050</xdr:rowOff>
    </xdr:from>
    <xdr:to>
      <xdr:col>9</xdr:col>
      <xdr:colOff>785578</xdr:colOff>
      <xdr:row>4</xdr:row>
      <xdr:rowOff>16510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68365" y="190500"/>
          <a:ext cx="509905" cy="508635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256540</xdr:colOff>
      <xdr:row>0</xdr:row>
      <xdr:rowOff>161925</xdr:rowOff>
    </xdr:from>
    <xdr:to>
      <xdr:col>9</xdr:col>
      <xdr:colOff>766528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49315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323215</xdr:colOff>
      <xdr:row>1</xdr:row>
      <xdr:rowOff>38100</xdr:rowOff>
    </xdr:from>
    <xdr:to>
      <xdr:col>9</xdr:col>
      <xdr:colOff>833203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015990" y="209550"/>
          <a:ext cx="509905" cy="508635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656590</xdr:colOff>
      <xdr:row>1</xdr:row>
      <xdr:rowOff>38100</xdr:rowOff>
    </xdr:from>
    <xdr:to>
      <xdr:col>10</xdr:col>
      <xdr:colOff>236303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349365" y="209550"/>
          <a:ext cx="509905" cy="508635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656590</xdr:colOff>
      <xdr:row>1</xdr:row>
      <xdr:rowOff>38100</xdr:rowOff>
    </xdr:from>
    <xdr:to>
      <xdr:col>10</xdr:col>
      <xdr:colOff>236303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349365" y="209550"/>
          <a:ext cx="509905" cy="508635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656590</xdr:colOff>
      <xdr:row>1</xdr:row>
      <xdr:rowOff>38100</xdr:rowOff>
    </xdr:from>
    <xdr:to>
      <xdr:col>10</xdr:col>
      <xdr:colOff>236303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349365" y="209550"/>
          <a:ext cx="509905" cy="508635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656590</xdr:colOff>
      <xdr:row>1</xdr:row>
      <xdr:rowOff>38100</xdr:rowOff>
    </xdr:from>
    <xdr:to>
      <xdr:col>10</xdr:col>
      <xdr:colOff>236303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349365" y="209550"/>
          <a:ext cx="509905" cy="508635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656590</xdr:colOff>
      <xdr:row>1</xdr:row>
      <xdr:rowOff>38100</xdr:rowOff>
    </xdr:from>
    <xdr:to>
      <xdr:col>10</xdr:col>
      <xdr:colOff>236303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349365" y="209550"/>
          <a:ext cx="509905" cy="508635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656590</xdr:colOff>
      <xdr:row>1</xdr:row>
      <xdr:rowOff>38100</xdr:rowOff>
    </xdr:from>
    <xdr:to>
      <xdr:col>10</xdr:col>
      <xdr:colOff>236303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349365" y="209550"/>
          <a:ext cx="509905" cy="508635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656590</xdr:colOff>
      <xdr:row>1</xdr:row>
      <xdr:rowOff>38100</xdr:rowOff>
    </xdr:from>
    <xdr:to>
      <xdr:col>10</xdr:col>
      <xdr:colOff>236303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349365" y="209550"/>
          <a:ext cx="509905" cy="508635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656590</xdr:colOff>
      <xdr:row>1</xdr:row>
      <xdr:rowOff>38100</xdr:rowOff>
    </xdr:from>
    <xdr:to>
      <xdr:col>10</xdr:col>
      <xdr:colOff>236303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349365" y="209550"/>
          <a:ext cx="509905" cy="508635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656590</xdr:colOff>
      <xdr:row>1</xdr:row>
      <xdr:rowOff>38100</xdr:rowOff>
    </xdr:from>
    <xdr:to>
      <xdr:col>10</xdr:col>
      <xdr:colOff>236303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349365" y="209550"/>
          <a:ext cx="509905" cy="508635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656590</xdr:colOff>
      <xdr:row>1</xdr:row>
      <xdr:rowOff>38100</xdr:rowOff>
    </xdr:from>
    <xdr:to>
      <xdr:col>10</xdr:col>
      <xdr:colOff>236303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349365" y="209550"/>
          <a:ext cx="509905" cy="508635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656590</xdr:colOff>
      <xdr:row>1</xdr:row>
      <xdr:rowOff>38100</xdr:rowOff>
    </xdr:from>
    <xdr:to>
      <xdr:col>10</xdr:col>
      <xdr:colOff>236303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349365" y="209550"/>
          <a:ext cx="509905" cy="508635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656590</xdr:colOff>
      <xdr:row>1</xdr:row>
      <xdr:rowOff>38100</xdr:rowOff>
    </xdr:from>
    <xdr:to>
      <xdr:col>10</xdr:col>
      <xdr:colOff>236303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349365" y="209550"/>
          <a:ext cx="509905" cy="508635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656590</xdr:colOff>
      <xdr:row>1</xdr:row>
      <xdr:rowOff>38100</xdr:rowOff>
    </xdr:from>
    <xdr:to>
      <xdr:col>10</xdr:col>
      <xdr:colOff>236303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349365" y="209550"/>
          <a:ext cx="509905" cy="508635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656590</xdr:colOff>
      <xdr:row>1</xdr:row>
      <xdr:rowOff>38100</xdr:rowOff>
    </xdr:from>
    <xdr:to>
      <xdr:col>10</xdr:col>
      <xdr:colOff>236303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349365" y="209550"/>
          <a:ext cx="509905" cy="508635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247015</xdr:colOff>
      <xdr:row>1</xdr:row>
      <xdr:rowOff>57150</xdr:rowOff>
    </xdr:from>
    <xdr:to>
      <xdr:col>9</xdr:col>
      <xdr:colOff>757003</xdr:colOff>
      <xdr:row>4</xdr:row>
      <xdr:rowOff>54610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39790" y="228600"/>
          <a:ext cx="509905" cy="508635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342265</xdr:colOff>
      <xdr:row>1</xdr:row>
      <xdr:rowOff>38100</xdr:rowOff>
    </xdr:from>
    <xdr:to>
      <xdr:col>9</xdr:col>
      <xdr:colOff>852253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035040" y="209550"/>
          <a:ext cx="509905" cy="508635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380365</xdr:colOff>
      <xdr:row>1</xdr:row>
      <xdr:rowOff>9525</xdr:rowOff>
    </xdr:from>
    <xdr:to>
      <xdr:col>9</xdr:col>
      <xdr:colOff>890353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073140" y="180975"/>
          <a:ext cx="509905" cy="508635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247015</xdr:colOff>
      <xdr:row>1</xdr:row>
      <xdr:rowOff>57150</xdr:rowOff>
    </xdr:from>
    <xdr:to>
      <xdr:col>9</xdr:col>
      <xdr:colOff>757003</xdr:colOff>
      <xdr:row>4</xdr:row>
      <xdr:rowOff>54610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39790" y="228600"/>
          <a:ext cx="509905" cy="508635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247015</xdr:colOff>
      <xdr:row>1</xdr:row>
      <xdr:rowOff>57150</xdr:rowOff>
    </xdr:from>
    <xdr:to>
      <xdr:col>9</xdr:col>
      <xdr:colOff>757003</xdr:colOff>
      <xdr:row>4</xdr:row>
      <xdr:rowOff>54610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39790" y="228600"/>
          <a:ext cx="509905" cy="508635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247015</xdr:colOff>
      <xdr:row>1</xdr:row>
      <xdr:rowOff>57150</xdr:rowOff>
    </xdr:from>
    <xdr:to>
      <xdr:col>9</xdr:col>
      <xdr:colOff>757003</xdr:colOff>
      <xdr:row>4</xdr:row>
      <xdr:rowOff>54610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39790" y="228600"/>
          <a:ext cx="509905" cy="508635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247015</xdr:colOff>
      <xdr:row>1</xdr:row>
      <xdr:rowOff>57150</xdr:rowOff>
    </xdr:from>
    <xdr:to>
      <xdr:col>9</xdr:col>
      <xdr:colOff>757003</xdr:colOff>
      <xdr:row>4</xdr:row>
      <xdr:rowOff>54610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39790" y="228600"/>
          <a:ext cx="509905" cy="508635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247015</xdr:colOff>
      <xdr:row>1</xdr:row>
      <xdr:rowOff>57150</xdr:rowOff>
    </xdr:from>
    <xdr:to>
      <xdr:col>9</xdr:col>
      <xdr:colOff>757003</xdr:colOff>
      <xdr:row>4</xdr:row>
      <xdr:rowOff>54610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39790" y="228600"/>
          <a:ext cx="509905" cy="508635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247015</xdr:colOff>
      <xdr:row>1</xdr:row>
      <xdr:rowOff>57150</xdr:rowOff>
    </xdr:from>
    <xdr:to>
      <xdr:col>9</xdr:col>
      <xdr:colOff>757003</xdr:colOff>
      <xdr:row>4</xdr:row>
      <xdr:rowOff>54610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39790" y="228600"/>
          <a:ext cx="509905" cy="508635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351790</xdr:colOff>
      <xdr:row>1</xdr:row>
      <xdr:rowOff>38100</xdr:rowOff>
    </xdr:from>
    <xdr:to>
      <xdr:col>9</xdr:col>
      <xdr:colOff>861778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044565" y="209550"/>
          <a:ext cx="509905" cy="508635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294640</xdr:colOff>
      <xdr:row>1</xdr:row>
      <xdr:rowOff>28575</xdr:rowOff>
    </xdr:from>
    <xdr:to>
      <xdr:col>9</xdr:col>
      <xdr:colOff>804628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87415" y="200025"/>
          <a:ext cx="509905" cy="508635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237490</xdr:colOff>
      <xdr:row>1</xdr:row>
      <xdr:rowOff>28575</xdr:rowOff>
    </xdr:from>
    <xdr:to>
      <xdr:col>9</xdr:col>
      <xdr:colOff>747478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30265" y="200025"/>
          <a:ext cx="509905" cy="508635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304165</xdr:colOff>
      <xdr:row>0</xdr:row>
      <xdr:rowOff>152400</xdr:rowOff>
    </xdr:from>
    <xdr:to>
      <xdr:col>9</xdr:col>
      <xdr:colOff>814153</xdr:colOff>
      <xdr:row>3</xdr:row>
      <xdr:rowOff>171450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96940" y="152400"/>
          <a:ext cx="509905" cy="508635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656590</xdr:colOff>
      <xdr:row>1</xdr:row>
      <xdr:rowOff>38100</xdr:rowOff>
    </xdr:from>
    <xdr:to>
      <xdr:col>10</xdr:col>
      <xdr:colOff>236303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349365" y="209550"/>
          <a:ext cx="509905" cy="508635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266065</xdr:colOff>
      <xdr:row>1</xdr:row>
      <xdr:rowOff>76200</xdr:rowOff>
    </xdr:from>
    <xdr:to>
      <xdr:col>9</xdr:col>
      <xdr:colOff>776053</xdr:colOff>
      <xdr:row>4</xdr:row>
      <xdr:rowOff>73660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58840" y="247650"/>
          <a:ext cx="509905" cy="508635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351790</xdr:colOff>
      <xdr:row>1</xdr:row>
      <xdr:rowOff>28575</xdr:rowOff>
    </xdr:from>
    <xdr:to>
      <xdr:col>9</xdr:col>
      <xdr:colOff>861778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044565" y="200025"/>
          <a:ext cx="509905" cy="508635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399415</xdr:colOff>
      <xdr:row>1</xdr:row>
      <xdr:rowOff>66675</xdr:rowOff>
    </xdr:from>
    <xdr:to>
      <xdr:col>9</xdr:col>
      <xdr:colOff>909403</xdr:colOff>
      <xdr:row>4</xdr:row>
      <xdr:rowOff>64135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092190" y="238125"/>
          <a:ext cx="509905" cy="508635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237490</xdr:colOff>
      <xdr:row>1</xdr:row>
      <xdr:rowOff>66675</xdr:rowOff>
    </xdr:from>
    <xdr:to>
      <xdr:col>9</xdr:col>
      <xdr:colOff>747478</xdr:colOff>
      <xdr:row>4</xdr:row>
      <xdr:rowOff>64135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30265" y="238125"/>
          <a:ext cx="509905" cy="508635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285115</xdr:colOff>
      <xdr:row>1</xdr:row>
      <xdr:rowOff>57150</xdr:rowOff>
    </xdr:from>
    <xdr:to>
      <xdr:col>9</xdr:col>
      <xdr:colOff>795103</xdr:colOff>
      <xdr:row>4</xdr:row>
      <xdr:rowOff>54610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77890" y="228600"/>
          <a:ext cx="509905" cy="508635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313690</xdr:colOff>
      <xdr:row>1</xdr:row>
      <xdr:rowOff>19050</xdr:rowOff>
    </xdr:from>
    <xdr:to>
      <xdr:col>9</xdr:col>
      <xdr:colOff>823678</xdr:colOff>
      <xdr:row>4</xdr:row>
      <xdr:rowOff>16510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006465" y="190500"/>
          <a:ext cx="509905" cy="508635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218440</xdr:colOff>
      <xdr:row>1</xdr:row>
      <xdr:rowOff>47625</xdr:rowOff>
    </xdr:from>
    <xdr:to>
      <xdr:col>9</xdr:col>
      <xdr:colOff>728428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11215" y="219075"/>
          <a:ext cx="509905" cy="508635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294640</xdr:colOff>
      <xdr:row>1</xdr:row>
      <xdr:rowOff>28575</xdr:rowOff>
    </xdr:from>
    <xdr:to>
      <xdr:col>9</xdr:col>
      <xdr:colOff>804628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87415" y="200025"/>
          <a:ext cx="509905" cy="508635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342265</xdr:colOff>
      <xdr:row>1</xdr:row>
      <xdr:rowOff>38100</xdr:rowOff>
    </xdr:from>
    <xdr:to>
      <xdr:col>9</xdr:col>
      <xdr:colOff>852253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035040" y="209550"/>
          <a:ext cx="509905" cy="508635"/>
        </a:xfrm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266065</xdr:colOff>
      <xdr:row>1</xdr:row>
      <xdr:rowOff>38100</xdr:rowOff>
    </xdr:from>
    <xdr:to>
      <xdr:col>9</xdr:col>
      <xdr:colOff>776053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58840" y="209550"/>
          <a:ext cx="509905" cy="508635"/>
        </a:xfrm>
        <a:prstGeom prst="rect">
          <a:avLst/>
        </a:prstGeom>
      </xdr:spPr>
    </xdr:pic>
    <xdr:clientData/>
  </xdr:twoCellAnchor>
</xdr:wsDr>
</file>

<file path=xl/drawings/drawing8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0</xdr:colOff>
      <xdr:row>1</xdr:row>
      <xdr:rowOff>0</xdr:rowOff>
    </xdr:from>
    <xdr:to>
      <xdr:col>11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2721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8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323215</xdr:colOff>
      <xdr:row>1</xdr:row>
      <xdr:rowOff>0</xdr:rowOff>
    </xdr:from>
    <xdr:to>
      <xdr:col>9</xdr:col>
      <xdr:colOff>833203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01599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8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151765</xdr:colOff>
      <xdr:row>1</xdr:row>
      <xdr:rowOff>28575</xdr:rowOff>
    </xdr:from>
    <xdr:to>
      <xdr:col>9</xdr:col>
      <xdr:colOff>661753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844540" y="200025"/>
          <a:ext cx="509905" cy="508635"/>
        </a:xfrm>
        <a:prstGeom prst="rect">
          <a:avLst/>
        </a:prstGeom>
      </xdr:spPr>
    </xdr:pic>
    <xdr:clientData/>
  </xdr:twoCellAnchor>
</xdr:wsDr>
</file>

<file path=xl/drawings/drawing8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427990</xdr:colOff>
      <xdr:row>1</xdr:row>
      <xdr:rowOff>28575</xdr:rowOff>
    </xdr:from>
    <xdr:to>
      <xdr:col>10</xdr:col>
      <xdr:colOff>7703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120765" y="20002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22"/>
  <sheetViews>
    <sheetView view="pageBreakPreview" zoomScaleNormal="100" workbookViewId="0">
      <selection activeCell="Q26" sqref="Q25:Q26"/>
    </sheetView>
  </sheetViews>
  <sheetFormatPr defaultColWidth="9" defaultRowHeight="13.5"/>
  <cols>
    <col min="1" max="2" width="0.225" style="49" customWidth="1"/>
    <col min="3" max="3" width="0.433333333333333" style="49" customWidth="1"/>
    <col min="4" max="4" width="9.28333333333333" style="49" customWidth="1"/>
    <col min="5" max="5" width="8.93333333333333" style="49" customWidth="1"/>
    <col min="6" max="6" width="14.95" style="49" customWidth="1"/>
    <col min="7" max="7" width="9.36666666666667" style="49" customWidth="1"/>
    <col min="8" max="8" width="28" style="49" customWidth="1"/>
    <col min="9" max="9" width="6.475" style="49" customWidth="1"/>
    <col min="10" max="10" width="12.2083333333333" style="49" customWidth="1"/>
    <col min="11" max="11" width="12.375" style="49" customWidth="1"/>
    <col min="12" max="16372" width="9" style="49"/>
  </cols>
  <sheetData>
    <row r="1" s="49" customFormat="1" spans="2:11">
      <c r="C1" s="50" t="s">
        <v>0</v>
      </c>
    </row>
    <row r="2" s="49" customFormat="1" ht="23.05" customHeight="1"/>
    <row r="3" s="49" customFormat="1" ht="2" customHeight="1"/>
    <row r="4" s="49" customFormat="1" ht="15.2" customHeight="1" spans="2:11">
      <c r="B4" s="51" t="s">
        <v>1</v>
      </c>
    </row>
    <row r="5" s="49" customFormat="1"/>
    <row r="6" s="49" customFormat="1" ht="2.95" customHeight="1"/>
    <row r="7" s="49" customFormat="1" ht="3.95" customHeight="1" spans="2:11">
      <c r="B7" s="52" t="s">
        <v>2</v>
      </c>
      <c r="C7" s="52" t="s">
        <v>2</v>
      </c>
      <c r="D7" s="52" t="s">
        <v>2</v>
      </c>
      <c r="E7" s="52" t="s">
        <v>2</v>
      </c>
      <c r="F7" s="52" t="s">
        <v>2</v>
      </c>
      <c r="G7" s="52" t="s">
        <v>2</v>
      </c>
      <c r="H7" s="52" t="s">
        <v>2</v>
      </c>
      <c r="I7" s="52"/>
      <c r="J7" s="52"/>
      <c r="K7" s="52"/>
    </row>
    <row r="8" s="49" customFormat="1" ht="15" spans="2:11">
      <c r="C8" s="53" t="s">
        <v>2</v>
      </c>
      <c r="D8" s="54" t="s">
        <v>3</v>
      </c>
      <c r="E8" s="55" t="s">
        <v>2</v>
      </c>
      <c r="F8" s="55" t="s">
        <v>2</v>
      </c>
      <c r="G8" s="55" t="s">
        <v>2</v>
      </c>
      <c r="H8" s="55" t="s">
        <v>2</v>
      </c>
      <c r="I8" s="56"/>
      <c r="J8" s="57"/>
      <c r="K8" s="57"/>
    </row>
    <row r="9" s="49" customFormat="1" spans="2:11">
      <c r="C9" s="53" t="s">
        <v>2</v>
      </c>
      <c r="D9" s="47" t="s">
        <v>4</v>
      </c>
      <c r="E9" s="47" t="s">
        <v>5</v>
      </c>
      <c r="F9" s="47" t="s">
        <v>6</v>
      </c>
      <c r="G9" s="47" t="s">
        <v>7</v>
      </c>
      <c r="H9" s="47" t="s">
        <v>8</v>
      </c>
      <c r="I9" s="47" t="s">
        <v>9</v>
      </c>
      <c r="J9" s="47" t="s">
        <v>10</v>
      </c>
      <c r="K9" s="47" t="s">
        <v>11</v>
      </c>
    </row>
    <row r="10" s="49" customFormat="1" ht="14.25" spans="2:11">
      <c r="D10" s="58" t="s">
        <v>12</v>
      </c>
      <c r="E10" s="55" t="s">
        <v>2</v>
      </c>
      <c r="F10" s="55" t="s">
        <v>2</v>
      </c>
      <c r="G10" s="55" t="s">
        <v>2</v>
      </c>
      <c r="H10" s="55" t="s">
        <v>2</v>
      </c>
      <c r="I10" s="59">
        <f>SUM(I11:I621)-91</f>
        <v>1040</v>
      </c>
      <c r="J10" s="60"/>
      <c r="K10" s="60">
        <f>SUM(K11:K621)+二手费用调整!G7</f>
        <v>43131</v>
      </c>
    </row>
    <row r="11" s="49" customFormat="1" spans="2:11">
      <c r="D11" s="45">
        <v>46062</v>
      </c>
      <c r="E11" s="46">
        <v>1577234</v>
      </c>
      <c r="F11" s="46" t="s">
        <v>13</v>
      </c>
      <c r="G11" s="47">
        <v>20326613</v>
      </c>
      <c r="H11" s="46" t="s">
        <v>14</v>
      </c>
      <c r="I11" s="47">
        <v>9</v>
      </c>
      <c r="J11" s="48">
        <v>88</v>
      </c>
      <c r="K11" s="48">
        <v>792</v>
      </c>
    </row>
    <row r="12" s="49" customFormat="1" spans="2:11">
      <c r="D12" s="45">
        <v>46062</v>
      </c>
      <c r="E12" s="46">
        <v>1577234</v>
      </c>
      <c r="F12" s="46" t="s">
        <v>13</v>
      </c>
      <c r="G12" s="47">
        <v>20318156</v>
      </c>
      <c r="H12" s="46" t="s">
        <v>15</v>
      </c>
      <c r="I12" s="47">
        <v>1</v>
      </c>
      <c r="J12" s="48">
        <v>154</v>
      </c>
      <c r="K12" s="48">
        <v>154</v>
      </c>
    </row>
    <row r="13" s="49" customFormat="1" spans="2:11">
      <c r="D13" s="45">
        <v>46062</v>
      </c>
      <c r="E13" s="46">
        <v>1577234</v>
      </c>
      <c r="F13" s="46" t="s">
        <v>16</v>
      </c>
      <c r="G13" s="47">
        <v>20329847</v>
      </c>
      <c r="H13" s="46" t="s">
        <v>17</v>
      </c>
      <c r="I13" s="47">
        <v>3</v>
      </c>
      <c r="J13" s="48">
        <v>13</v>
      </c>
      <c r="K13" s="48">
        <v>39</v>
      </c>
    </row>
    <row r="14" s="49" customFormat="1" spans="2:11">
      <c r="D14" s="45">
        <v>46062</v>
      </c>
      <c r="E14" s="46">
        <v>1577234</v>
      </c>
      <c r="F14" s="46" t="s">
        <v>18</v>
      </c>
      <c r="G14" s="47">
        <v>20322228</v>
      </c>
      <c r="H14" s="46" t="s">
        <v>19</v>
      </c>
      <c r="I14" s="47">
        <v>1</v>
      </c>
      <c r="J14" s="48">
        <v>15</v>
      </c>
      <c r="K14" s="48">
        <v>15</v>
      </c>
    </row>
    <row r="15" s="49" customFormat="1" spans="2:11">
      <c r="D15" s="45">
        <v>46062</v>
      </c>
      <c r="E15" s="46">
        <v>1577234</v>
      </c>
      <c r="F15" s="46" t="s">
        <v>20</v>
      </c>
      <c r="G15" s="47">
        <v>20321257</v>
      </c>
      <c r="H15" s="46" t="s">
        <v>21</v>
      </c>
      <c r="I15" s="47">
        <v>3</v>
      </c>
      <c r="J15" s="48">
        <v>16.5</v>
      </c>
      <c r="K15" s="48">
        <v>49.5</v>
      </c>
    </row>
    <row r="16" s="49" customFormat="1" spans="2:11">
      <c r="D16" s="45">
        <v>46062</v>
      </c>
      <c r="E16" s="46">
        <v>1577234</v>
      </c>
      <c r="F16" s="46" t="s">
        <v>20</v>
      </c>
      <c r="G16" s="47">
        <v>20329874</v>
      </c>
      <c r="H16" s="46" t="s">
        <v>22</v>
      </c>
      <c r="I16" s="47">
        <v>1</v>
      </c>
      <c r="J16" s="48">
        <v>16.5</v>
      </c>
      <c r="K16" s="48">
        <v>16.5</v>
      </c>
    </row>
    <row r="17" s="49" customFormat="1" spans="4:11">
      <c r="D17" s="45">
        <v>46062</v>
      </c>
      <c r="E17" s="46">
        <v>1577234</v>
      </c>
      <c r="F17" s="46" t="s">
        <v>20</v>
      </c>
      <c r="G17" s="47">
        <v>20318332</v>
      </c>
      <c r="H17" s="46" t="s">
        <v>23</v>
      </c>
      <c r="I17" s="47">
        <v>2</v>
      </c>
      <c r="J17" s="48">
        <v>22</v>
      </c>
      <c r="K17" s="48">
        <v>44</v>
      </c>
    </row>
    <row r="18" s="49" customFormat="1" spans="4:11">
      <c r="D18" s="45">
        <v>46062</v>
      </c>
      <c r="E18" s="46">
        <v>1577234</v>
      </c>
      <c r="F18" s="46" t="s">
        <v>20</v>
      </c>
      <c r="G18" s="47">
        <v>20318262</v>
      </c>
      <c r="H18" s="46" t="s">
        <v>24</v>
      </c>
      <c r="I18" s="47">
        <v>1</v>
      </c>
      <c r="J18" s="48">
        <v>16.5</v>
      </c>
      <c r="K18" s="48">
        <v>16.5</v>
      </c>
    </row>
    <row r="19" s="49" customFormat="1" spans="4:11">
      <c r="D19" s="45">
        <v>46062</v>
      </c>
      <c r="E19" s="46">
        <v>1577234</v>
      </c>
      <c r="F19" s="46" t="s">
        <v>20</v>
      </c>
      <c r="G19" s="47">
        <v>20342042</v>
      </c>
      <c r="H19" s="46" t="s">
        <v>25</v>
      </c>
      <c r="I19" s="47">
        <v>1</v>
      </c>
      <c r="J19" s="48">
        <v>16.5</v>
      </c>
      <c r="K19" s="48">
        <v>16.5</v>
      </c>
    </row>
    <row r="20" s="49" customFormat="1" spans="4:11">
      <c r="D20" s="45">
        <v>46062</v>
      </c>
      <c r="E20" s="46">
        <v>1577234</v>
      </c>
      <c r="F20" s="46" t="s">
        <v>20</v>
      </c>
      <c r="G20" s="47">
        <v>20318393</v>
      </c>
      <c r="H20" s="46" t="s">
        <v>26</v>
      </c>
      <c r="I20" s="47">
        <v>1</v>
      </c>
      <c r="J20" s="48">
        <v>16.5</v>
      </c>
      <c r="K20" s="48">
        <v>16.5</v>
      </c>
    </row>
    <row r="21" s="49" customFormat="1" spans="4:11">
      <c r="D21" s="45">
        <v>46062</v>
      </c>
      <c r="E21" s="46">
        <v>1577412</v>
      </c>
      <c r="F21" s="46" t="s">
        <v>13</v>
      </c>
      <c r="G21" s="47">
        <v>20326613</v>
      </c>
      <c r="H21" s="46" t="s">
        <v>14</v>
      </c>
      <c r="I21" s="47">
        <v>6</v>
      </c>
      <c r="J21" s="48">
        <v>88</v>
      </c>
      <c r="K21" s="48">
        <v>528</v>
      </c>
    </row>
    <row r="22" s="49" customFormat="1" spans="4:11">
      <c r="D22" s="45">
        <v>46062</v>
      </c>
      <c r="E22" s="46">
        <v>1577412</v>
      </c>
      <c r="F22" s="46" t="s">
        <v>16</v>
      </c>
      <c r="G22" s="47">
        <v>20318235</v>
      </c>
      <c r="H22" s="46" t="s">
        <v>27</v>
      </c>
      <c r="I22" s="47">
        <v>1</v>
      </c>
      <c r="J22" s="48">
        <v>8</v>
      </c>
      <c r="K22" s="48">
        <v>8</v>
      </c>
    </row>
    <row r="23" s="49" customFormat="1" spans="4:11">
      <c r="D23" s="45">
        <v>46062</v>
      </c>
      <c r="E23" s="46">
        <v>1577412</v>
      </c>
      <c r="F23" s="46" t="s">
        <v>16</v>
      </c>
      <c r="G23" s="47">
        <v>20318166</v>
      </c>
      <c r="H23" s="46" t="s">
        <v>28</v>
      </c>
      <c r="I23" s="47">
        <v>2</v>
      </c>
      <c r="J23" s="48">
        <v>8</v>
      </c>
      <c r="K23" s="48">
        <v>16</v>
      </c>
    </row>
    <row r="24" s="49" customFormat="1" spans="4:11">
      <c r="D24" s="45">
        <v>46062</v>
      </c>
      <c r="E24" s="46">
        <v>1577412</v>
      </c>
      <c r="F24" s="46" t="s">
        <v>16</v>
      </c>
      <c r="G24" s="47">
        <v>20331668</v>
      </c>
      <c r="H24" s="46" t="s">
        <v>29</v>
      </c>
      <c r="I24" s="47">
        <v>2</v>
      </c>
      <c r="J24" s="48">
        <v>8</v>
      </c>
      <c r="K24" s="48">
        <v>16</v>
      </c>
    </row>
    <row r="25" s="49" customFormat="1" spans="4:11">
      <c r="D25" s="45">
        <v>46062</v>
      </c>
      <c r="E25" s="46">
        <v>1577412</v>
      </c>
      <c r="F25" s="46" t="s">
        <v>30</v>
      </c>
      <c r="G25" s="47">
        <v>20328892</v>
      </c>
      <c r="H25" s="46" t="s">
        <v>31</v>
      </c>
      <c r="I25" s="47">
        <v>1</v>
      </c>
      <c r="J25" s="48">
        <v>88</v>
      </c>
      <c r="K25" s="48">
        <v>88</v>
      </c>
    </row>
    <row r="26" s="49" customFormat="1" spans="4:11">
      <c r="D26" s="45">
        <v>46062</v>
      </c>
      <c r="E26" s="46">
        <v>1577412</v>
      </c>
      <c r="F26" s="46" t="s">
        <v>20</v>
      </c>
      <c r="G26" s="47">
        <v>20321257</v>
      </c>
      <c r="H26" s="46" t="s">
        <v>21</v>
      </c>
      <c r="I26" s="47">
        <v>1</v>
      </c>
      <c r="J26" s="48">
        <v>16.5</v>
      </c>
      <c r="K26" s="48">
        <v>16.5</v>
      </c>
    </row>
    <row r="27" s="49" customFormat="1" spans="4:11">
      <c r="D27" s="45">
        <v>46062</v>
      </c>
      <c r="E27" s="46">
        <v>1577412</v>
      </c>
      <c r="F27" s="46" t="s">
        <v>20</v>
      </c>
      <c r="G27" s="47">
        <v>20318262</v>
      </c>
      <c r="H27" s="61" t="s">
        <v>32</v>
      </c>
      <c r="I27" s="47">
        <v>2</v>
      </c>
      <c r="J27" s="48">
        <v>16.5</v>
      </c>
      <c r="K27" s="48">
        <v>33</v>
      </c>
    </row>
    <row r="28" s="49" customFormat="1" spans="4:11">
      <c r="D28" s="45">
        <v>46062</v>
      </c>
      <c r="E28" s="46">
        <v>1577412</v>
      </c>
      <c r="F28" s="46" t="s">
        <v>20</v>
      </c>
      <c r="G28" s="47">
        <v>20318197</v>
      </c>
      <c r="H28" s="46" t="s">
        <v>33</v>
      </c>
      <c r="I28" s="47">
        <v>1</v>
      </c>
      <c r="J28" s="48">
        <v>16.5</v>
      </c>
      <c r="K28" s="48">
        <v>16.5</v>
      </c>
    </row>
    <row r="29" s="49" customFormat="1" spans="4:11">
      <c r="D29" s="45">
        <v>46063</v>
      </c>
      <c r="E29" s="46">
        <v>1577602</v>
      </c>
      <c r="F29" s="46" t="s">
        <v>13</v>
      </c>
      <c r="G29" s="47">
        <v>20326613</v>
      </c>
      <c r="H29" s="46" t="s">
        <v>14</v>
      </c>
      <c r="I29" s="47">
        <v>5</v>
      </c>
      <c r="J29" s="48">
        <v>88</v>
      </c>
      <c r="K29" s="48">
        <v>440</v>
      </c>
    </row>
    <row r="30" s="49" customFormat="1" spans="4:11">
      <c r="D30" s="45">
        <v>46063</v>
      </c>
      <c r="E30" s="46">
        <v>1577602</v>
      </c>
      <c r="F30" s="46" t="s">
        <v>13</v>
      </c>
      <c r="G30" s="47">
        <v>20318156</v>
      </c>
      <c r="H30" s="46" t="s">
        <v>15</v>
      </c>
      <c r="I30" s="47">
        <v>1</v>
      </c>
      <c r="J30" s="48">
        <v>154</v>
      </c>
      <c r="K30" s="48">
        <v>154</v>
      </c>
    </row>
    <row r="31" s="49" customFormat="1" spans="4:11">
      <c r="D31" s="45">
        <v>46063</v>
      </c>
      <c r="E31" s="46">
        <v>1577602</v>
      </c>
      <c r="F31" s="46" t="s">
        <v>16</v>
      </c>
      <c r="G31" s="47">
        <v>20329847</v>
      </c>
      <c r="H31" s="46" t="s">
        <v>17</v>
      </c>
      <c r="I31" s="47">
        <v>1</v>
      </c>
      <c r="J31" s="48">
        <v>13</v>
      </c>
      <c r="K31" s="48">
        <v>13</v>
      </c>
    </row>
    <row r="32" s="49" customFormat="1" spans="4:11">
      <c r="D32" s="45">
        <v>46063</v>
      </c>
      <c r="E32" s="46">
        <v>1577602</v>
      </c>
      <c r="F32" s="46" t="s">
        <v>16</v>
      </c>
      <c r="G32" s="47">
        <v>20318231</v>
      </c>
      <c r="H32" s="46" t="s">
        <v>34</v>
      </c>
      <c r="I32" s="47">
        <v>2</v>
      </c>
      <c r="J32" s="48">
        <v>16.5</v>
      </c>
      <c r="K32" s="48">
        <v>33</v>
      </c>
    </row>
    <row r="33" s="49" customFormat="1" spans="4:11">
      <c r="D33" s="45">
        <v>46063</v>
      </c>
      <c r="E33" s="46">
        <v>1577602</v>
      </c>
      <c r="F33" s="46" t="s">
        <v>16</v>
      </c>
      <c r="G33" s="47">
        <v>20318254</v>
      </c>
      <c r="H33" s="46" t="s">
        <v>35</v>
      </c>
      <c r="I33" s="47">
        <v>1</v>
      </c>
      <c r="J33" s="48">
        <v>16.5</v>
      </c>
      <c r="K33" s="48">
        <v>16.5</v>
      </c>
    </row>
    <row r="34" s="49" customFormat="1" spans="4:11">
      <c r="D34" s="45">
        <v>46063</v>
      </c>
      <c r="E34" s="46">
        <v>1577602</v>
      </c>
      <c r="F34" s="46" t="s">
        <v>30</v>
      </c>
      <c r="G34" s="47">
        <v>20351811</v>
      </c>
      <c r="H34" s="46" t="s">
        <v>36</v>
      </c>
      <c r="I34" s="47">
        <v>1</v>
      </c>
      <c r="J34" s="48">
        <v>55</v>
      </c>
      <c r="K34" s="48">
        <v>55</v>
      </c>
    </row>
    <row r="35" s="49" customFormat="1" spans="4:11">
      <c r="D35" s="45">
        <v>46063</v>
      </c>
      <c r="E35" s="46">
        <v>1577602</v>
      </c>
      <c r="F35" s="46" t="s">
        <v>20</v>
      </c>
      <c r="G35" s="47">
        <v>20321257</v>
      </c>
      <c r="H35" s="46" t="s">
        <v>21</v>
      </c>
      <c r="I35" s="47">
        <v>2</v>
      </c>
      <c r="J35" s="48">
        <v>16.5</v>
      </c>
      <c r="K35" s="48">
        <v>33</v>
      </c>
    </row>
    <row r="36" s="49" customFormat="1" spans="4:11">
      <c r="D36" s="45">
        <v>46063</v>
      </c>
      <c r="E36" s="46">
        <v>1577602</v>
      </c>
      <c r="F36" s="46" t="s">
        <v>20</v>
      </c>
      <c r="G36" s="47">
        <v>20318229</v>
      </c>
      <c r="H36" s="46" t="s">
        <v>37</v>
      </c>
      <c r="I36" s="47">
        <v>1</v>
      </c>
      <c r="J36" s="48">
        <v>16.5</v>
      </c>
      <c r="K36" s="48">
        <v>16.5</v>
      </c>
    </row>
    <row r="37" s="49" customFormat="1" spans="4:11">
      <c r="D37" s="45">
        <v>46063</v>
      </c>
      <c r="E37" s="46">
        <v>1577602</v>
      </c>
      <c r="F37" s="46" t="s">
        <v>20</v>
      </c>
      <c r="G37" s="47">
        <v>20318332</v>
      </c>
      <c r="H37" s="46" t="s">
        <v>23</v>
      </c>
      <c r="I37" s="47">
        <v>2</v>
      </c>
      <c r="J37" s="48">
        <v>22</v>
      </c>
      <c r="K37" s="48">
        <v>44</v>
      </c>
    </row>
    <row r="38" s="49" customFormat="1" spans="4:11">
      <c r="D38" s="45">
        <v>46063</v>
      </c>
      <c r="E38" s="46">
        <v>1577602</v>
      </c>
      <c r="F38" s="46" t="s">
        <v>20</v>
      </c>
      <c r="G38" s="47">
        <v>20318262</v>
      </c>
      <c r="H38" s="46" t="s">
        <v>24</v>
      </c>
      <c r="I38" s="47">
        <v>2</v>
      </c>
      <c r="J38" s="48">
        <v>16.5</v>
      </c>
      <c r="K38" s="48">
        <v>33</v>
      </c>
    </row>
    <row r="39" s="49" customFormat="1" spans="4:11">
      <c r="D39" s="45">
        <v>46063</v>
      </c>
      <c r="E39" s="46">
        <v>1577602</v>
      </c>
      <c r="F39" s="46" t="s">
        <v>20</v>
      </c>
      <c r="G39" s="47">
        <v>20014827</v>
      </c>
      <c r="H39" s="46" t="s">
        <v>38</v>
      </c>
      <c r="I39" s="47">
        <v>1</v>
      </c>
      <c r="J39" s="48">
        <v>16.5</v>
      </c>
      <c r="K39" s="48">
        <v>16.5</v>
      </c>
    </row>
    <row r="40" s="49" customFormat="1" spans="4:11">
      <c r="D40" s="45">
        <v>46063</v>
      </c>
      <c r="E40" s="46">
        <v>1577602</v>
      </c>
      <c r="F40" s="46" t="s">
        <v>20</v>
      </c>
      <c r="G40" s="47">
        <v>20342042</v>
      </c>
      <c r="H40" s="46" t="s">
        <v>25</v>
      </c>
      <c r="I40" s="47">
        <v>1</v>
      </c>
      <c r="J40" s="48">
        <v>16.5</v>
      </c>
      <c r="K40" s="48">
        <v>16.5</v>
      </c>
    </row>
    <row r="41" s="49" customFormat="1" spans="4:11">
      <c r="D41" s="45">
        <v>46063</v>
      </c>
      <c r="E41" s="46">
        <v>1577711</v>
      </c>
      <c r="F41" s="46" t="s">
        <v>13</v>
      </c>
      <c r="G41" s="47">
        <v>20326613</v>
      </c>
      <c r="H41" s="46" t="s">
        <v>14</v>
      </c>
      <c r="I41" s="47">
        <v>4</v>
      </c>
      <c r="J41" s="48">
        <v>88</v>
      </c>
      <c r="K41" s="48">
        <v>352</v>
      </c>
    </row>
    <row r="42" s="49" customFormat="1" spans="4:11">
      <c r="D42" s="45">
        <v>46063</v>
      </c>
      <c r="E42" s="46">
        <v>1577711</v>
      </c>
      <c r="F42" s="46" t="s">
        <v>39</v>
      </c>
      <c r="G42" s="47">
        <v>20328192</v>
      </c>
      <c r="H42" s="46" t="s">
        <v>40</v>
      </c>
      <c r="I42" s="47">
        <v>1</v>
      </c>
      <c r="J42" s="48">
        <v>38.5</v>
      </c>
      <c r="K42" s="48">
        <v>38.5</v>
      </c>
    </row>
    <row r="43" s="49" customFormat="1" spans="4:11">
      <c r="D43" s="45">
        <v>46063</v>
      </c>
      <c r="E43" s="46">
        <v>1577711</v>
      </c>
      <c r="F43" s="46" t="s">
        <v>16</v>
      </c>
      <c r="G43" s="47">
        <v>20318235</v>
      </c>
      <c r="H43" s="46" t="s">
        <v>27</v>
      </c>
      <c r="I43" s="47">
        <v>1</v>
      </c>
      <c r="J43" s="48">
        <v>8</v>
      </c>
      <c r="K43" s="48">
        <v>8</v>
      </c>
    </row>
    <row r="44" s="49" customFormat="1" spans="4:11">
      <c r="D44" s="45">
        <v>46063</v>
      </c>
      <c r="E44" s="46">
        <v>1577711</v>
      </c>
      <c r="F44" s="46" t="s">
        <v>16</v>
      </c>
      <c r="G44" s="47">
        <v>20333142</v>
      </c>
      <c r="H44" s="46" t="s">
        <v>41</v>
      </c>
      <c r="I44" s="47">
        <v>1</v>
      </c>
      <c r="J44" s="48">
        <v>22</v>
      </c>
      <c r="K44" s="48">
        <v>22</v>
      </c>
    </row>
    <row r="45" s="49" customFormat="1" spans="4:11">
      <c r="D45" s="45">
        <v>46063</v>
      </c>
      <c r="E45" s="46">
        <v>1577711</v>
      </c>
      <c r="F45" s="46" t="s">
        <v>18</v>
      </c>
      <c r="G45" s="47">
        <v>20322228</v>
      </c>
      <c r="H45" s="46" t="s">
        <v>19</v>
      </c>
      <c r="I45" s="47">
        <v>1</v>
      </c>
      <c r="J45" s="48">
        <v>15</v>
      </c>
      <c r="K45" s="48">
        <v>15</v>
      </c>
    </row>
    <row r="46" s="49" customFormat="1" spans="4:11">
      <c r="D46" s="45">
        <v>46063</v>
      </c>
      <c r="E46" s="46">
        <v>1577711</v>
      </c>
      <c r="F46" s="46" t="s">
        <v>20</v>
      </c>
      <c r="G46" s="47">
        <v>20318262</v>
      </c>
      <c r="H46" s="46" t="s">
        <v>24</v>
      </c>
      <c r="I46" s="47">
        <v>2</v>
      </c>
      <c r="J46" s="48">
        <v>16.5</v>
      </c>
      <c r="K46" s="48">
        <v>33</v>
      </c>
    </row>
    <row r="47" s="49" customFormat="1" spans="4:11">
      <c r="D47" s="45">
        <v>46063</v>
      </c>
      <c r="E47" s="46">
        <v>1577739</v>
      </c>
      <c r="F47" s="46" t="s">
        <v>13</v>
      </c>
      <c r="G47" s="47">
        <v>20326613</v>
      </c>
      <c r="H47" s="46" t="s">
        <v>14</v>
      </c>
      <c r="I47" s="47">
        <v>1</v>
      </c>
      <c r="J47" s="48">
        <v>88</v>
      </c>
      <c r="K47" s="48">
        <v>88</v>
      </c>
    </row>
    <row r="48" s="49" customFormat="1" spans="4:11">
      <c r="D48" s="45">
        <v>46063</v>
      </c>
      <c r="E48" s="46">
        <v>1577739</v>
      </c>
      <c r="F48" s="46" t="s">
        <v>16</v>
      </c>
      <c r="G48" s="47">
        <v>20331668</v>
      </c>
      <c r="H48" s="46" t="s">
        <v>29</v>
      </c>
      <c r="I48" s="47">
        <v>1</v>
      </c>
      <c r="J48" s="48">
        <v>8</v>
      </c>
      <c r="K48" s="48">
        <v>8</v>
      </c>
    </row>
    <row r="49" s="49" customFormat="1" spans="4:11">
      <c r="D49" s="45">
        <v>46064</v>
      </c>
      <c r="E49" s="46">
        <v>1577955</v>
      </c>
      <c r="F49" s="46" t="s">
        <v>13</v>
      </c>
      <c r="G49" s="47">
        <v>20326613</v>
      </c>
      <c r="H49" s="46" t="s">
        <v>14</v>
      </c>
      <c r="I49" s="47">
        <v>9</v>
      </c>
      <c r="J49" s="48">
        <v>88</v>
      </c>
      <c r="K49" s="48">
        <v>792</v>
      </c>
    </row>
    <row r="50" s="49" customFormat="1" spans="4:11">
      <c r="D50" s="45">
        <v>46064</v>
      </c>
      <c r="E50" s="46">
        <v>1577955</v>
      </c>
      <c r="F50" s="46" t="s">
        <v>16</v>
      </c>
      <c r="G50" s="47">
        <v>20318235</v>
      </c>
      <c r="H50" s="46" t="s">
        <v>27</v>
      </c>
      <c r="I50" s="47">
        <v>1</v>
      </c>
      <c r="J50" s="48">
        <v>8</v>
      </c>
      <c r="K50" s="48">
        <v>8</v>
      </c>
    </row>
    <row r="51" s="49" customFormat="1" spans="4:11">
      <c r="D51" s="45">
        <v>46064</v>
      </c>
      <c r="E51" s="46">
        <v>1577955</v>
      </c>
      <c r="F51" s="46" t="s">
        <v>16</v>
      </c>
      <c r="G51" s="47">
        <v>20329981</v>
      </c>
      <c r="H51" s="46" t="s">
        <v>42</v>
      </c>
      <c r="I51" s="47">
        <v>1</v>
      </c>
      <c r="J51" s="48">
        <v>8</v>
      </c>
      <c r="K51" s="48">
        <v>8</v>
      </c>
    </row>
    <row r="52" s="49" customFormat="1" spans="4:11">
      <c r="D52" s="45">
        <v>46064</v>
      </c>
      <c r="E52" s="46">
        <v>1577955</v>
      </c>
      <c r="F52" s="46" t="s">
        <v>16</v>
      </c>
      <c r="G52" s="47">
        <v>20331668</v>
      </c>
      <c r="H52" s="46" t="s">
        <v>29</v>
      </c>
      <c r="I52" s="47">
        <v>2</v>
      </c>
      <c r="J52" s="48">
        <v>8</v>
      </c>
      <c r="K52" s="48">
        <v>16</v>
      </c>
    </row>
    <row r="53" s="49" customFormat="1" spans="4:11">
      <c r="D53" s="45">
        <v>46064</v>
      </c>
      <c r="E53" s="46">
        <v>1577955</v>
      </c>
      <c r="F53" s="46" t="s">
        <v>16</v>
      </c>
      <c r="G53" s="47">
        <v>20361153</v>
      </c>
      <c r="H53" s="46" t="s">
        <v>43</v>
      </c>
      <c r="I53" s="47">
        <v>1</v>
      </c>
      <c r="J53" s="48">
        <v>13.5</v>
      </c>
      <c r="K53" s="48">
        <v>13.5</v>
      </c>
    </row>
    <row r="54" s="49" customFormat="1" spans="4:11">
      <c r="D54" s="45">
        <v>46064</v>
      </c>
      <c r="E54" s="46">
        <v>1577955</v>
      </c>
      <c r="F54" s="46" t="s">
        <v>16</v>
      </c>
      <c r="G54" s="47">
        <v>20329847</v>
      </c>
      <c r="H54" s="46" t="s">
        <v>17</v>
      </c>
      <c r="I54" s="47">
        <v>1</v>
      </c>
      <c r="J54" s="48">
        <v>13</v>
      </c>
      <c r="K54" s="48">
        <v>13</v>
      </c>
    </row>
    <row r="55" s="49" customFormat="1" spans="4:11">
      <c r="D55" s="45">
        <v>46064</v>
      </c>
      <c r="E55" s="46">
        <v>1577955</v>
      </c>
      <c r="F55" s="46" t="s">
        <v>16</v>
      </c>
      <c r="G55" s="47">
        <v>20318231</v>
      </c>
      <c r="H55" s="46" t="s">
        <v>34</v>
      </c>
      <c r="I55" s="47">
        <v>1</v>
      </c>
      <c r="J55" s="48">
        <v>16.5</v>
      </c>
      <c r="K55" s="48">
        <v>16.5</v>
      </c>
    </row>
    <row r="56" s="49" customFormat="1" spans="4:11">
      <c r="D56" s="45">
        <v>46064</v>
      </c>
      <c r="E56" s="46">
        <v>1577955</v>
      </c>
      <c r="F56" s="46" t="s">
        <v>16</v>
      </c>
      <c r="G56" s="47">
        <v>20318254</v>
      </c>
      <c r="H56" s="46" t="s">
        <v>35</v>
      </c>
      <c r="I56" s="47">
        <v>1</v>
      </c>
      <c r="J56" s="48">
        <v>16.5</v>
      </c>
      <c r="K56" s="48">
        <v>16.5</v>
      </c>
    </row>
    <row r="57" s="49" customFormat="1" spans="4:11">
      <c r="D57" s="45">
        <v>46064</v>
      </c>
      <c r="E57" s="46">
        <v>1577955</v>
      </c>
      <c r="F57" s="46" t="s">
        <v>16</v>
      </c>
      <c r="G57" s="47">
        <v>20331472</v>
      </c>
      <c r="H57" s="46" t="s">
        <v>44</v>
      </c>
      <c r="I57" s="47">
        <v>1</v>
      </c>
      <c r="J57" s="48">
        <v>8</v>
      </c>
      <c r="K57" s="48">
        <v>8</v>
      </c>
    </row>
    <row r="58" s="49" customFormat="1" spans="4:11">
      <c r="D58" s="45">
        <v>46064</v>
      </c>
      <c r="E58" s="46">
        <v>1577955</v>
      </c>
      <c r="F58" s="46" t="s">
        <v>18</v>
      </c>
      <c r="G58" s="47">
        <v>20322228</v>
      </c>
      <c r="H58" s="46" t="s">
        <v>19</v>
      </c>
      <c r="I58" s="47">
        <v>1</v>
      </c>
      <c r="J58" s="48">
        <v>15</v>
      </c>
      <c r="K58" s="48">
        <v>15</v>
      </c>
    </row>
    <row r="59" s="49" customFormat="1" spans="4:11">
      <c r="D59" s="45">
        <v>46064</v>
      </c>
      <c r="E59" s="46">
        <v>1577955</v>
      </c>
      <c r="F59" s="46" t="s">
        <v>30</v>
      </c>
      <c r="G59" s="47">
        <v>20394933</v>
      </c>
      <c r="H59" s="46" t="s">
        <v>45</v>
      </c>
      <c r="I59" s="47">
        <v>1</v>
      </c>
      <c r="J59" s="48">
        <v>66</v>
      </c>
      <c r="K59" s="48">
        <v>66</v>
      </c>
    </row>
    <row r="60" s="49" customFormat="1" spans="4:11">
      <c r="D60" s="45">
        <v>46064</v>
      </c>
      <c r="E60" s="46">
        <v>1577955</v>
      </c>
      <c r="F60" s="46" t="s">
        <v>30</v>
      </c>
      <c r="G60" s="47">
        <v>20328892</v>
      </c>
      <c r="H60" s="46" t="s">
        <v>31</v>
      </c>
      <c r="I60" s="47">
        <v>1</v>
      </c>
      <c r="J60" s="48">
        <v>88</v>
      </c>
      <c r="K60" s="48">
        <v>88</v>
      </c>
    </row>
    <row r="61" s="49" customFormat="1" spans="4:11">
      <c r="D61" s="45">
        <v>46064</v>
      </c>
      <c r="E61" s="46">
        <v>1577955</v>
      </c>
      <c r="F61" s="46" t="s">
        <v>20</v>
      </c>
      <c r="G61" s="47">
        <v>20321257</v>
      </c>
      <c r="H61" s="46" t="s">
        <v>21</v>
      </c>
      <c r="I61" s="47">
        <v>7</v>
      </c>
      <c r="J61" s="48">
        <v>16.5</v>
      </c>
      <c r="K61" s="48">
        <v>115.5</v>
      </c>
    </row>
    <row r="62" s="49" customFormat="1" spans="4:11">
      <c r="D62" s="45">
        <v>46064</v>
      </c>
      <c r="E62" s="46">
        <v>1577955</v>
      </c>
      <c r="F62" s="46" t="s">
        <v>20</v>
      </c>
      <c r="G62" s="47">
        <v>20318229</v>
      </c>
      <c r="H62" s="46" t="s">
        <v>37</v>
      </c>
      <c r="I62" s="47">
        <v>1</v>
      </c>
      <c r="J62" s="48">
        <v>16.5</v>
      </c>
      <c r="K62" s="48">
        <v>16.5</v>
      </c>
    </row>
    <row r="63" s="49" customFormat="1" spans="4:11">
      <c r="D63" s="45">
        <v>46064</v>
      </c>
      <c r="E63" s="46">
        <v>1577955</v>
      </c>
      <c r="F63" s="46" t="s">
        <v>20</v>
      </c>
      <c r="G63" s="47">
        <v>20318332</v>
      </c>
      <c r="H63" s="46" t="s">
        <v>23</v>
      </c>
      <c r="I63" s="47">
        <v>1</v>
      </c>
      <c r="J63" s="48">
        <v>22</v>
      </c>
      <c r="K63" s="48">
        <v>22</v>
      </c>
    </row>
    <row r="64" s="49" customFormat="1" spans="4:11">
      <c r="D64" s="45">
        <v>46064</v>
      </c>
      <c r="E64" s="46">
        <v>1577955</v>
      </c>
      <c r="F64" s="46" t="s">
        <v>20</v>
      </c>
      <c r="G64" s="47">
        <v>20014827</v>
      </c>
      <c r="H64" s="46" t="s">
        <v>38</v>
      </c>
      <c r="I64" s="47">
        <v>2</v>
      </c>
      <c r="J64" s="48">
        <v>16.5</v>
      </c>
      <c r="K64" s="48">
        <v>33</v>
      </c>
    </row>
    <row r="65" s="49" customFormat="1" spans="4:11">
      <c r="D65" s="45">
        <v>46064</v>
      </c>
      <c r="E65" s="46">
        <v>1577955</v>
      </c>
      <c r="F65" s="46" t="s">
        <v>20</v>
      </c>
      <c r="G65" s="47">
        <v>20342042</v>
      </c>
      <c r="H65" s="46" t="s">
        <v>25</v>
      </c>
      <c r="I65" s="47">
        <v>3</v>
      </c>
      <c r="J65" s="48">
        <v>16.5</v>
      </c>
      <c r="K65" s="48">
        <v>49.5</v>
      </c>
    </row>
    <row r="66" s="49" customFormat="1" spans="4:11">
      <c r="D66" s="45">
        <v>46064</v>
      </c>
      <c r="E66" s="46">
        <v>1578048</v>
      </c>
      <c r="F66" s="46" t="s">
        <v>13</v>
      </c>
      <c r="G66" s="47">
        <v>20326613</v>
      </c>
      <c r="H66" s="46" t="s">
        <v>14</v>
      </c>
      <c r="I66" s="47">
        <v>9</v>
      </c>
      <c r="J66" s="48">
        <v>88</v>
      </c>
      <c r="K66" s="48">
        <v>792</v>
      </c>
    </row>
    <row r="67" s="49" customFormat="1" spans="4:11">
      <c r="D67" s="45">
        <v>46064</v>
      </c>
      <c r="E67" s="46">
        <v>1578048</v>
      </c>
      <c r="F67" s="46" t="s">
        <v>16</v>
      </c>
      <c r="G67" s="47">
        <v>20351064</v>
      </c>
      <c r="H67" s="46" t="s">
        <v>46</v>
      </c>
      <c r="I67" s="47">
        <v>3</v>
      </c>
      <c r="J67" s="48">
        <v>13.5</v>
      </c>
      <c r="K67" s="48">
        <v>40.5</v>
      </c>
    </row>
    <row r="68" s="49" customFormat="1" spans="4:11">
      <c r="D68" s="45">
        <v>46064</v>
      </c>
      <c r="E68" s="46">
        <v>1578048</v>
      </c>
      <c r="F68" s="46" t="s">
        <v>16</v>
      </c>
      <c r="G68" s="47">
        <v>20318250</v>
      </c>
      <c r="H68" s="46" t="s">
        <v>47</v>
      </c>
      <c r="I68" s="47">
        <v>1</v>
      </c>
      <c r="J68" s="48">
        <v>8</v>
      </c>
      <c r="K68" s="48">
        <v>8</v>
      </c>
    </row>
    <row r="69" s="49" customFormat="1" spans="4:11">
      <c r="D69" s="45">
        <v>46064</v>
      </c>
      <c r="E69" s="46">
        <v>1578048</v>
      </c>
      <c r="F69" s="46" t="s">
        <v>16</v>
      </c>
      <c r="G69" s="47">
        <v>20318243</v>
      </c>
      <c r="H69" s="46" t="s">
        <v>48</v>
      </c>
      <c r="I69" s="47">
        <v>2</v>
      </c>
      <c r="J69" s="48">
        <v>8</v>
      </c>
      <c r="K69" s="48">
        <v>16</v>
      </c>
    </row>
    <row r="70" s="49" customFormat="1" spans="4:11">
      <c r="D70" s="45">
        <v>46064</v>
      </c>
      <c r="E70" s="46">
        <v>1578048</v>
      </c>
      <c r="F70" s="46" t="s">
        <v>16</v>
      </c>
      <c r="G70" s="47">
        <v>20329847</v>
      </c>
      <c r="H70" s="46" t="s">
        <v>17</v>
      </c>
      <c r="I70" s="47">
        <v>3</v>
      </c>
      <c r="J70" s="48">
        <v>13</v>
      </c>
      <c r="K70" s="48">
        <v>39</v>
      </c>
    </row>
    <row r="71" s="49" customFormat="1" spans="4:11">
      <c r="D71" s="45">
        <v>46064</v>
      </c>
      <c r="E71" s="46">
        <v>1578048</v>
      </c>
      <c r="F71" s="46" t="s">
        <v>16</v>
      </c>
      <c r="G71" s="47">
        <v>20331667</v>
      </c>
      <c r="H71" s="46" t="s">
        <v>49</v>
      </c>
      <c r="I71" s="47">
        <v>1</v>
      </c>
      <c r="J71" s="48">
        <v>16.5</v>
      </c>
      <c r="K71" s="48">
        <v>16.5</v>
      </c>
    </row>
    <row r="72" s="49" customFormat="1" spans="4:11">
      <c r="D72" s="45">
        <v>46064</v>
      </c>
      <c r="E72" s="46">
        <v>1578048</v>
      </c>
      <c r="F72" s="46" t="s">
        <v>30</v>
      </c>
      <c r="G72" s="47">
        <v>20394933</v>
      </c>
      <c r="H72" s="46" t="s">
        <v>45</v>
      </c>
      <c r="I72" s="47">
        <v>3</v>
      </c>
      <c r="J72" s="48">
        <v>66</v>
      </c>
      <c r="K72" s="48">
        <v>198</v>
      </c>
    </row>
    <row r="73" s="49" customFormat="1" spans="4:11">
      <c r="D73" s="45">
        <v>46064</v>
      </c>
      <c r="E73" s="46">
        <v>1578048</v>
      </c>
      <c r="F73" s="46" t="s">
        <v>20</v>
      </c>
      <c r="G73" s="47">
        <v>20321257</v>
      </c>
      <c r="H73" s="46" t="s">
        <v>21</v>
      </c>
      <c r="I73" s="47">
        <v>3</v>
      </c>
      <c r="J73" s="48">
        <v>16.5</v>
      </c>
      <c r="K73" s="48">
        <v>49.5</v>
      </c>
    </row>
    <row r="74" s="49" customFormat="1" spans="4:11">
      <c r="D74" s="45">
        <v>46064</v>
      </c>
      <c r="E74" s="46">
        <v>1578048</v>
      </c>
      <c r="F74" s="46" t="s">
        <v>20</v>
      </c>
      <c r="G74" s="47">
        <v>20318229</v>
      </c>
      <c r="H74" s="46" t="s">
        <v>37</v>
      </c>
      <c r="I74" s="47">
        <v>1</v>
      </c>
      <c r="J74" s="48">
        <v>16.5</v>
      </c>
      <c r="K74" s="48">
        <v>16.5</v>
      </c>
    </row>
    <row r="75" s="49" customFormat="1" spans="4:11">
      <c r="D75" s="45">
        <v>46064</v>
      </c>
      <c r="E75" s="46">
        <v>1578048</v>
      </c>
      <c r="F75" s="46" t="s">
        <v>20</v>
      </c>
      <c r="G75" s="47">
        <v>20318332</v>
      </c>
      <c r="H75" s="46" t="s">
        <v>23</v>
      </c>
      <c r="I75" s="47">
        <v>2</v>
      </c>
      <c r="J75" s="48">
        <v>22</v>
      </c>
      <c r="K75" s="48">
        <v>44</v>
      </c>
    </row>
    <row r="76" s="49" customFormat="1" spans="4:11">
      <c r="D76" s="45">
        <v>46065</v>
      </c>
      <c r="E76" s="46">
        <v>1578259</v>
      </c>
      <c r="F76" s="46" t="s">
        <v>13</v>
      </c>
      <c r="G76" s="47">
        <v>20326613</v>
      </c>
      <c r="H76" s="46" t="s">
        <v>14</v>
      </c>
      <c r="I76" s="47">
        <v>11</v>
      </c>
      <c r="J76" s="48">
        <v>88</v>
      </c>
      <c r="K76" s="48">
        <v>968</v>
      </c>
    </row>
    <row r="77" s="49" customFormat="1" spans="4:11">
      <c r="D77" s="45">
        <v>46065</v>
      </c>
      <c r="E77" s="46">
        <v>1578259</v>
      </c>
      <c r="F77" s="46" t="s">
        <v>16</v>
      </c>
      <c r="G77" s="47">
        <v>20318257</v>
      </c>
      <c r="H77" s="46" t="s">
        <v>50</v>
      </c>
      <c r="I77" s="47">
        <v>1</v>
      </c>
      <c r="J77" s="48">
        <v>8</v>
      </c>
      <c r="K77" s="48">
        <v>8</v>
      </c>
    </row>
    <row r="78" s="49" customFormat="1" spans="4:11">
      <c r="D78" s="45">
        <v>46065</v>
      </c>
      <c r="E78" s="46">
        <v>1578259</v>
      </c>
      <c r="F78" s="46" t="s">
        <v>16</v>
      </c>
      <c r="G78" s="47">
        <v>20329846</v>
      </c>
      <c r="H78" s="46" t="s">
        <v>51</v>
      </c>
      <c r="I78" s="47">
        <v>2</v>
      </c>
      <c r="J78" s="48">
        <v>13.5</v>
      </c>
      <c r="K78" s="48">
        <v>27</v>
      </c>
    </row>
    <row r="79" s="49" customFormat="1" spans="4:11">
      <c r="D79" s="45">
        <v>46065</v>
      </c>
      <c r="E79" s="46">
        <v>1578259</v>
      </c>
      <c r="F79" s="46" t="s">
        <v>16</v>
      </c>
      <c r="G79" s="47">
        <v>20329843</v>
      </c>
      <c r="H79" s="46" t="s">
        <v>52</v>
      </c>
      <c r="I79" s="47">
        <v>1</v>
      </c>
      <c r="J79" s="48">
        <v>11</v>
      </c>
      <c r="K79" s="48">
        <v>11</v>
      </c>
    </row>
    <row r="80" s="49" customFormat="1" spans="4:11">
      <c r="D80" s="45">
        <v>46065</v>
      </c>
      <c r="E80" s="46">
        <v>1578259</v>
      </c>
      <c r="F80" s="46" t="s">
        <v>16</v>
      </c>
      <c r="G80" s="47">
        <v>20318250</v>
      </c>
      <c r="H80" s="46" t="s">
        <v>47</v>
      </c>
      <c r="I80" s="47">
        <v>1</v>
      </c>
      <c r="J80" s="48">
        <v>8</v>
      </c>
      <c r="K80" s="48">
        <v>8</v>
      </c>
    </row>
    <row r="81" s="49" customFormat="1" spans="4:11">
      <c r="D81" s="45">
        <v>46065</v>
      </c>
      <c r="E81" s="46">
        <v>1578259</v>
      </c>
      <c r="F81" s="46" t="s">
        <v>16</v>
      </c>
      <c r="G81" s="47">
        <v>20331668</v>
      </c>
      <c r="H81" s="46" t="s">
        <v>29</v>
      </c>
      <c r="I81" s="47">
        <v>1</v>
      </c>
      <c r="J81" s="48">
        <v>8</v>
      </c>
      <c r="K81" s="48">
        <v>8</v>
      </c>
    </row>
    <row r="82" s="49" customFormat="1" spans="4:11">
      <c r="D82" s="45">
        <v>46065</v>
      </c>
      <c r="E82" s="46">
        <v>1578259</v>
      </c>
      <c r="F82" s="46" t="s">
        <v>16</v>
      </c>
      <c r="G82" s="47">
        <v>20329847</v>
      </c>
      <c r="H82" s="46" t="s">
        <v>17</v>
      </c>
      <c r="I82" s="47">
        <v>3</v>
      </c>
      <c r="J82" s="48">
        <v>13</v>
      </c>
      <c r="K82" s="48">
        <v>39</v>
      </c>
    </row>
    <row r="83" s="49" customFormat="1" spans="4:11">
      <c r="D83" s="45">
        <v>46065</v>
      </c>
      <c r="E83" s="46">
        <v>1578259</v>
      </c>
      <c r="F83" s="46" t="s">
        <v>16</v>
      </c>
      <c r="G83" s="47">
        <v>20318231</v>
      </c>
      <c r="H83" s="46" t="s">
        <v>34</v>
      </c>
      <c r="I83" s="47">
        <v>1</v>
      </c>
      <c r="J83" s="48">
        <v>16.5</v>
      </c>
      <c r="K83" s="48">
        <v>16.5</v>
      </c>
    </row>
    <row r="84" s="49" customFormat="1" spans="4:11">
      <c r="D84" s="45">
        <v>46065</v>
      </c>
      <c r="E84" s="46">
        <v>1578259</v>
      </c>
      <c r="F84" s="46" t="s">
        <v>20</v>
      </c>
      <c r="G84" s="47">
        <v>20321257</v>
      </c>
      <c r="H84" s="46" t="s">
        <v>21</v>
      </c>
      <c r="I84" s="47">
        <v>2</v>
      </c>
      <c r="J84" s="48">
        <v>16.5</v>
      </c>
      <c r="K84" s="48">
        <v>33</v>
      </c>
    </row>
    <row r="85" s="49" customFormat="1" spans="4:11">
      <c r="D85" s="45">
        <v>46065</v>
      </c>
      <c r="E85" s="46">
        <v>1578259</v>
      </c>
      <c r="F85" s="46" t="s">
        <v>20</v>
      </c>
      <c r="G85" s="47">
        <v>20318229</v>
      </c>
      <c r="H85" s="46" t="s">
        <v>37</v>
      </c>
      <c r="I85" s="47">
        <v>1</v>
      </c>
      <c r="J85" s="48">
        <v>16.5</v>
      </c>
      <c r="K85" s="48">
        <v>16.5</v>
      </c>
    </row>
    <row r="86" s="49" customFormat="1" spans="4:11">
      <c r="D86" s="45">
        <v>46065</v>
      </c>
      <c r="E86" s="46">
        <v>1578259</v>
      </c>
      <c r="F86" s="46" t="s">
        <v>20</v>
      </c>
      <c r="G86" s="47">
        <v>20318332</v>
      </c>
      <c r="H86" s="46" t="s">
        <v>23</v>
      </c>
      <c r="I86" s="47">
        <v>1</v>
      </c>
      <c r="J86" s="48">
        <v>22</v>
      </c>
      <c r="K86" s="48">
        <v>22</v>
      </c>
    </row>
    <row r="87" s="49" customFormat="1" spans="4:11">
      <c r="D87" s="45">
        <v>46065</v>
      </c>
      <c r="E87" s="46">
        <v>1578259</v>
      </c>
      <c r="F87" s="46" t="s">
        <v>20</v>
      </c>
      <c r="G87" s="47">
        <v>20014827</v>
      </c>
      <c r="H87" s="46" t="s">
        <v>38</v>
      </c>
      <c r="I87" s="47">
        <v>1</v>
      </c>
      <c r="J87" s="48">
        <v>16.5</v>
      </c>
      <c r="K87" s="48">
        <v>16.5</v>
      </c>
    </row>
    <row r="88" s="49" customFormat="1" spans="4:11">
      <c r="D88" s="45">
        <v>46065</v>
      </c>
      <c r="E88" s="46">
        <v>1578259</v>
      </c>
      <c r="F88" s="46" t="s">
        <v>20</v>
      </c>
      <c r="G88" s="47">
        <v>20342042</v>
      </c>
      <c r="H88" s="46" t="s">
        <v>25</v>
      </c>
      <c r="I88" s="47">
        <v>2</v>
      </c>
      <c r="J88" s="48">
        <v>16.5</v>
      </c>
      <c r="K88" s="48">
        <v>33</v>
      </c>
    </row>
    <row r="89" s="49" customFormat="1" spans="4:11">
      <c r="D89" s="45">
        <v>46065</v>
      </c>
      <c r="E89" s="46">
        <v>1578341</v>
      </c>
      <c r="F89" s="46" t="s">
        <v>13</v>
      </c>
      <c r="G89" s="47">
        <v>20326613</v>
      </c>
      <c r="H89" s="46" t="s">
        <v>14</v>
      </c>
      <c r="I89" s="47">
        <v>3</v>
      </c>
      <c r="J89" s="48">
        <v>88</v>
      </c>
      <c r="K89" s="48">
        <v>264</v>
      </c>
    </row>
    <row r="90" s="49" customFormat="1" spans="4:11">
      <c r="D90" s="45">
        <v>46065</v>
      </c>
      <c r="E90" s="46">
        <v>1578341</v>
      </c>
      <c r="F90" s="46" t="s">
        <v>16</v>
      </c>
      <c r="G90" s="47">
        <v>20331668</v>
      </c>
      <c r="H90" s="46" t="s">
        <v>29</v>
      </c>
      <c r="I90" s="47">
        <v>1</v>
      </c>
      <c r="J90" s="48">
        <v>8</v>
      </c>
      <c r="K90" s="48">
        <v>8</v>
      </c>
    </row>
    <row r="91" s="49" customFormat="1" spans="4:11">
      <c r="D91" s="45">
        <v>46065</v>
      </c>
      <c r="E91" s="46">
        <v>1578341</v>
      </c>
      <c r="F91" s="46" t="s">
        <v>16</v>
      </c>
      <c r="G91" s="47">
        <v>20329847</v>
      </c>
      <c r="H91" s="46" t="s">
        <v>17</v>
      </c>
      <c r="I91" s="47">
        <v>1</v>
      </c>
      <c r="J91" s="48">
        <v>13</v>
      </c>
      <c r="K91" s="48">
        <v>13</v>
      </c>
    </row>
    <row r="92" s="49" customFormat="1" spans="4:11">
      <c r="D92" s="45">
        <v>46065</v>
      </c>
      <c r="E92" s="46">
        <v>1578341</v>
      </c>
      <c r="F92" s="46" t="s">
        <v>18</v>
      </c>
      <c r="G92" s="47">
        <v>20322228</v>
      </c>
      <c r="H92" s="46" t="s">
        <v>19</v>
      </c>
      <c r="I92" s="47">
        <v>1</v>
      </c>
      <c r="J92" s="48">
        <v>15</v>
      </c>
      <c r="K92" s="48">
        <v>15</v>
      </c>
    </row>
    <row r="93" s="49" customFormat="1" spans="4:11">
      <c r="D93" s="45">
        <v>46065</v>
      </c>
      <c r="E93" s="46">
        <v>1578341</v>
      </c>
      <c r="F93" s="46" t="s">
        <v>53</v>
      </c>
      <c r="G93" s="47">
        <v>20322243</v>
      </c>
      <c r="H93" s="46" t="s">
        <v>54</v>
      </c>
      <c r="I93" s="47">
        <v>1</v>
      </c>
      <c r="J93" s="48">
        <v>30</v>
      </c>
      <c r="K93" s="48">
        <v>30</v>
      </c>
    </row>
    <row r="94" s="49" customFormat="1" spans="4:11">
      <c r="D94" s="45">
        <v>46065</v>
      </c>
      <c r="E94" s="46">
        <v>1578341</v>
      </c>
      <c r="F94" s="46" t="s">
        <v>30</v>
      </c>
      <c r="G94" s="47">
        <v>20394933</v>
      </c>
      <c r="H94" s="46" t="s">
        <v>45</v>
      </c>
      <c r="I94" s="47">
        <v>2</v>
      </c>
      <c r="J94" s="48">
        <v>66</v>
      </c>
      <c r="K94" s="48">
        <v>132</v>
      </c>
    </row>
    <row r="95" s="49" customFormat="1" spans="4:11">
      <c r="D95" s="45">
        <v>46065</v>
      </c>
      <c r="E95" s="46">
        <v>1578341</v>
      </c>
      <c r="F95" s="46" t="s">
        <v>20</v>
      </c>
      <c r="G95" s="47">
        <v>20321257</v>
      </c>
      <c r="H95" s="46" t="s">
        <v>21</v>
      </c>
      <c r="I95" s="47">
        <v>2</v>
      </c>
      <c r="J95" s="48">
        <v>16.5</v>
      </c>
      <c r="K95" s="48">
        <v>33</v>
      </c>
    </row>
    <row r="96" s="49" customFormat="1" spans="4:11">
      <c r="D96" s="45">
        <v>46065</v>
      </c>
      <c r="E96" s="46">
        <v>1578341</v>
      </c>
      <c r="F96" s="46" t="s">
        <v>20</v>
      </c>
      <c r="G96" s="47">
        <v>20318332</v>
      </c>
      <c r="H96" s="46" t="s">
        <v>23</v>
      </c>
      <c r="I96" s="47">
        <v>1</v>
      </c>
      <c r="J96" s="48">
        <v>22</v>
      </c>
      <c r="K96" s="48">
        <v>22</v>
      </c>
    </row>
    <row r="97" s="49" customFormat="1" spans="4:11">
      <c r="D97" s="45">
        <v>46065</v>
      </c>
      <c r="E97" s="46">
        <v>1578341</v>
      </c>
      <c r="F97" s="46" t="s">
        <v>20</v>
      </c>
      <c r="G97" s="47">
        <v>20318262</v>
      </c>
      <c r="H97" s="46" t="s">
        <v>24</v>
      </c>
      <c r="I97" s="47">
        <v>1</v>
      </c>
      <c r="J97" s="48">
        <v>16.5</v>
      </c>
      <c r="K97" s="48">
        <v>16.5</v>
      </c>
    </row>
    <row r="98" s="49" customFormat="1" spans="4:11">
      <c r="D98" s="45">
        <v>46065</v>
      </c>
      <c r="E98" s="46">
        <v>1578341</v>
      </c>
      <c r="F98" s="46" t="s">
        <v>20</v>
      </c>
      <c r="G98" s="47">
        <v>20342042</v>
      </c>
      <c r="H98" s="46" t="s">
        <v>25</v>
      </c>
      <c r="I98" s="47">
        <v>1</v>
      </c>
      <c r="J98" s="48">
        <v>16.5</v>
      </c>
      <c r="K98" s="48">
        <v>16.5</v>
      </c>
    </row>
    <row r="99" s="49" customFormat="1" spans="4:11">
      <c r="D99" s="45">
        <v>46065</v>
      </c>
      <c r="E99" s="46">
        <v>1578376</v>
      </c>
      <c r="F99" s="46" t="s">
        <v>30</v>
      </c>
      <c r="G99" s="47">
        <v>20394933</v>
      </c>
      <c r="H99" s="46" t="s">
        <v>45</v>
      </c>
      <c r="I99" s="47">
        <v>2</v>
      </c>
      <c r="J99" s="48">
        <v>66</v>
      </c>
      <c r="K99" s="48">
        <v>132</v>
      </c>
    </row>
    <row r="100" s="49" customFormat="1" spans="4:11">
      <c r="D100" s="45">
        <v>46066</v>
      </c>
      <c r="E100" s="46">
        <v>1578564</v>
      </c>
      <c r="F100" s="46" t="s">
        <v>13</v>
      </c>
      <c r="G100" s="47">
        <v>20326613</v>
      </c>
      <c r="H100" s="46" t="s">
        <v>14</v>
      </c>
      <c r="I100" s="47">
        <v>8</v>
      </c>
      <c r="J100" s="48">
        <v>88</v>
      </c>
      <c r="K100" s="48">
        <v>704</v>
      </c>
    </row>
    <row r="101" s="49" customFormat="1" spans="4:11">
      <c r="D101" s="45">
        <v>46066</v>
      </c>
      <c r="E101" s="46">
        <v>1578564</v>
      </c>
      <c r="F101" s="46" t="s">
        <v>16</v>
      </c>
      <c r="G101" s="47">
        <v>20318257</v>
      </c>
      <c r="H101" s="46" t="s">
        <v>50</v>
      </c>
      <c r="I101" s="47">
        <v>1</v>
      </c>
      <c r="J101" s="48">
        <v>8</v>
      </c>
      <c r="K101" s="48">
        <v>8</v>
      </c>
    </row>
    <row r="102" s="49" customFormat="1" spans="4:11">
      <c r="D102" s="45">
        <v>46066</v>
      </c>
      <c r="E102" s="46">
        <v>1578564</v>
      </c>
      <c r="F102" s="46" t="s">
        <v>16</v>
      </c>
      <c r="G102" s="47">
        <v>20329846</v>
      </c>
      <c r="H102" s="46" t="s">
        <v>51</v>
      </c>
      <c r="I102" s="47">
        <v>2</v>
      </c>
      <c r="J102" s="48">
        <v>13.5</v>
      </c>
      <c r="K102" s="48">
        <v>27</v>
      </c>
    </row>
    <row r="103" s="49" customFormat="1" spans="4:11">
      <c r="D103" s="45">
        <v>46066</v>
      </c>
      <c r="E103" s="46">
        <v>1578564</v>
      </c>
      <c r="F103" s="46" t="s">
        <v>16</v>
      </c>
      <c r="G103" s="47">
        <v>20318236</v>
      </c>
      <c r="H103" s="46" t="s">
        <v>55</v>
      </c>
      <c r="I103" s="47">
        <v>1</v>
      </c>
      <c r="J103" s="48">
        <v>11</v>
      </c>
      <c r="K103" s="48">
        <v>11</v>
      </c>
    </row>
    <row r="104" s="49" customFormat="1" spans="4:11">
      <c r="D104" s="45">
        <v>46066</v>
      </c>
      <c r="E104" s="46">
        <v>1578564</v>
      </c>
      <c r="F104" s="46" t="s">
        <v>16</v>
      </c>
      <c r="G104" s="47">
        <v>20329843</v>
      </c>
      <c r="H104" s="46" t="s">
        <v>52</v>
      </c>
      <c r="I104" s="47">
        <v>1</v>
      </c>
      <c r="J104" s="48">
        <v>11</v>
      </c>
      <c r="K104" s="48">
        <v>11</v>
      </c>
    </row>
    <row r="105" s="49" customFormat="1" spans="4:11">
      <c r="D105" s="45">
        <v>46066</v>
      </c>
      <c r="E105" s="46">
        <v>1578564</v>
      </c>
      <c r="F105" s="46" t="s">
        <v>16</v>
      </c>
      <c r="G105" s="47">
        <v>20331668</v>
      </c>
      <c r="H105" s="46" t="s">
        <v>29</v>
      </c>
      <c r="I105" s="47">
        <v>2</v>
      </c>
      <c r="J105" s="48">
        <v>8</v>
      </c>
      <c r="K105" s="48">
        <v>16</v>
      </c>
    </row>
    <row r="106" s="49" customFormat="1" spans="4:11">
      <c r="D106" s="45">
        <v>46066</v>
      </c>
      <c r="E106" s="46">
        <v>1578564</v>
      </c>
      <c r="F106" s="46" t="s">
        <v>16</v>
      </c>
      <c r="G106" s="47">
        <v>20329847</v>
      </c>
      <c r="H106" s="46" t="s">
        <v>17</v>
      </c>
      <c r="I106" s="47">
        <v>3</v>
      </c>
      <c r="J106" s="48">
        <v>13</v>
      </c>
      <c r="K106" s="48">
        <v>39</v>
      </c>
    </row>
    <row r="107" s="49" customFormat="1" spans="4:11">
      <c r="D107" s="45">
        <v>46066</v>
      </c>
      <c r="E107" s="46">
        <v>1578564</v>
      </c>
      <c r="F107" s="46" t="s">
        <v>18</v>
      </c>
      <c r="G107" s="47">
        <v>20322228</v>
      </c>
      <c r="H107" s="46" t="s">
        <v>19</v>
      </c>
      <c r="I107" s="47">
        <v>1</v>
      </c>
      <c r="J107" s="48">
        <v>15</v>
      </c>
      <c r="K107" s="48">
        <v>15</v>
      </c>
    </row>
    <row r="108" s="49" customFormat="1" spans="4:11">
      <c r="D108" s="45">
        <v>46066</v>
      </c>
      <c r="E108" s="46">
        <v>1578564</v>
      </c>
      <c r="F108" s="46" t="s">
        <v>20</v>
      </c>
      <c r="G108" s="47">
        <v>20321257</v>
      </c>
      <c r="H108" s="46" t="s">
        <v>21</v>
      </c>
      <c r="I108" s="47">
        <v>3</v>
      </c>
      <c r="J108" s="48">
        <v>16.5</v>
      </c>
      <c r="K108" s="48">
        <v>49.5</v>
      </c>
    </row>
    <row r="109" s="49" customFormat="1" spans="4:11">
      <c r="D109" s="45">
        <v>46066</v>
      </c>
      <c r="E109" s="46">
        <v>1578564</v>
      </c>
      <c r="F109" s="46" t="s">
        <v>20</v>
      </c>
      <c r="G109" s="47">
        <v>20318332</v>
      </c>
      <c r="H109" s="46" t="s">
        <v>23</v>
      </c>
      <c r="I109" s="47">
        <v>2</v>
      </c>
      <c r="J109" s="48">
        <v>22</v>
      </c>
      <c r="K109" s="48">
        <v>44</v>
      </c>
    </row>
    <row r="110" s="49" customFormat="1" spans="4:11">
      <c r="D110" s="45">
        <v>46066</v>
      </c>
      <c r="E110" s="46">
        <v>1578564</v>
      </c>
      <c r="F110" s="46" t="s">
        <v>20</v>
      </c>
      <c r="G110" s="47">
        <v>20318262</v>
      </c>
      <c r="H110" s="46" t="s">
        <v>24</v>
      </c>
      <c r="I110" s="47">
        <v>1</v>
      </c>
      <c r="J110" s="48">
        <v>16.5</v>
      </c>
      <c r="K110" s="48">
        <v>16.5</v>
      </c>
    </row>
    <row r="111" s="49" customFormat="1" spans="4:11">
      <c r="D111" s="45">
        <v>46066</v>
      </c>
      <c r="E111" s="46">
        <v>1578564</v>
      </c>
      <c r="F111" s="46" t="s">
        <v>20</v>
      </c>
      <c r="G111" s="47">
        <v>20014827</v>
      </c>
      <c r="H111" s="46" t="s">
        <v>38</v>
      </c>
      <c r="I111" s="47">
        <v>1</v>
      </c>
      <c r="J111" s="48">
        <v>16.5</v>
      </c>
      <c r="K111" s="48">
        <v>16.5</v>
      </c>
    </row>
    <row r="112" s="49" customFormat="1" spans="4:11">
      <c r="D112" s="45">
        <v>46066</v>
      </c>
      <c r="E112" s="46">
        <v>1578564</v>
      </c>
      <c r="F112" s="46" t="s">
        <v>20</v>
      </c>
      <c r="G112" s="47">
        <v>20342042</v>
      </c>
      <c r="H112" s="46" t="s">
        <v>25</v>
      </c>
      <c r="I112" s="47">
        <v>3</v>
      </c>
      <c r="J112" s="48">
        <v>16.5</v>
      </c>
      <c r="K112" s="48">
        <v>49.5</v>
      </c>
    </row>
    <row r="113" s="49" customFormat="1" spans="4:11">
      <c r="D113" s="45">
        <v>46067</v>
      </c>
      <c r="E113" s="46">
        <v>1578833</v>
      </c>
      <c r="F113" s="46" t="s">
        <v>13</v>
      </c>
      <c r="G113" s="47">
        <v>20326613</v>
      </c>
      <c r="H113" s="46" t="s">
        <v>14</v>
      </c>
      <c r="I113" s="47">
        <v>6</v>
      </c>
      <c r="J113" s="48">
        <v>88</v>
      </c>
      <c r="K113" s="48">
        <v>528</v>
      </c>
    </row>
    <row r="114" s="49" customFormat="1" spans="4:11">
      <c r="D114" s="45">
        <v>46067</v>
      </c>
      <c r="E114" s="46">
        <v>1578833</v>
      </c>
      <c r="F114" s="46" t="s">
        <v>13</v>
      </c>
      <c r="G114" s="47">
        <v>20328375</v>
      </c>
      <c r="H114" s="46" t="s">
        <v>56</v>
      </c>
      <c r="I114" s="47">
        <v>1</v>
      </c>
      <c r="J114" s="48">
        <v>170.5</v>
      </c>
      <c r="K114" s="48">
        <v>170.5</v>
      </c>
    </row>
    <row r="115" s="49" customFormat="1" spans="4:11">
      <c r="D115" s="45">
        <v>46067</v>
      </c>
      <c r="E115" s="46">
        <v>1578833</v>
      </c>
      <c r="F115" s="46" t="s">
        <v>39</v>
      </c>
      <c r="G115" s="47">
        <v>20328192</v>
      </c>
      <c r="H115" s="46" t="s">
        <v>40</v>
      </c>
      <c r="I115" s="47">
        <v>1</v>
      </c>
      <c r="J115" s="48">
        <v>38.5</v>
      </c>
      <c r="K115" s="48">
        <v>38.5</v>
      </c>
    </row>
    <row r="116" s="49" customFormat="1" spans="4:11">
      <c r="D116" s="45">
        <v>46067</v>
      </c>
      <c r="E116" s="46">
        <v>1578833</v>
      </c>
      <c r="F116" s="46" t="s">
        <v>16</v>
      </c>
      <c r="G116" s="47">
        <v>20318136</v>
      </c>
      <c r="H116" s="46" t="s">
        <v>57</v>
      </c>
      <c r="I116" s="47">
        <v>1</v>
      </c>
      <c r="J116" s="48">
        <v>8</v>
      </c>
      <c r="K116" s="48">
        <v>8</v>
      </c>
    </row>
    <row r="117" s="49" customFormat="1" spans="4:11">
      <c r="D117" s="45">
        <v>46067</v>
      </c>
      <c r="E117" s="46">
        <v>1578833</v>
      </c>
      <c r="F117" s="46" t="s">
        <v>16</v>
      </c>
      <c r="G117" s="47">
        <v>20318257</v>
      </c>
      <c r="H117" s="46" t="s">
        <v>50</v>
      </c>
      <c r="I117" s="47">
        <v>1</v>
      </c>
      <c r="J117" s="48">
        <v>8</v>
      </c>
      <c r="K117" s="48">
        <v>8</v>
      </c>
    </row>
    <row r="118" s="49" customFormat="1" spans="4:11">
      <c r="D118" s="45">
        <v>46067</v>
      </c>
      <c r="E118" s="46">
        <v>1578833</v>
      </c>
      <c r="F118" s="46" t="s">
        <v>16</v>
      </c>
      <c r="G118" s="47">
        <v>20318235</v>
      </c>
      <c r="H118" s="46" t="s">
        <v>27</v>
      </c>
      <c r="I118" s="47">
        <v>3</v>
      </c>
      <c r="J118" s="48">
        <v>8</v>
      </c>
      <c r="K118" s="48">
        <v>24</v>
      </c>
    </row>
    <row r="119" s="49" customFormat="1" spans="4:11">
      <c r="D119" s="45">
        <v>46067</v>
      </c>
      <c r="E119" s="46">
        <v>1578833</v>
      </c>
      <c r="F119" s="46" t="s">
        <v>16</v>
      </c>
      <c r="G119" s="47">
        <v>20329846</v>
      </c>
      <c r="H119" s="46" t="s">
        <v>51</v>
      </c>
      <c r="I119" s="47">
        <v>1</v>
      </c>
      <c r="J119" s="48">
        <v>13.5</v>
      </c>
      <c r="K119" s="48">
        <v>13.5</v>
      </c>
    </row>
    <row r="120" s="49" customFormat="1" spans="4:11">
      <c r="D120" s="45">
        <v>46067</v>
      </c>
      <c r="E120" s="46">
        <v>1578833</v>
      </c>
      <c r="F120" s="46" t="s">
        <v>16</v>
      </c>
      <c r="G120" s="47">
        <v>20318236</v>
      </c>
      <c r="H120" s="46" t="s">
        <v>55</v>
      </c>
      <c r="I120" s="47">
        <v>1</v>
      </c>
      <c r="J120" s="48">
        <v>11</v>
      </c>
      <c r="K120" s="48">
        <v>11</v>
      </c>
    </row>
    <row r="121" s="49" customFormat="1" spans="4:11">
      <c r="D121" s="45">
        <v>46067</v>
      </c>
      <c r="E121" s="46">
        <v>1578833</v>
      </c>
      <c r="F121" s="46" t="s">
        <v>16</v>
      </c>
      <c r="G121" s="47">
        <v>20329843</v>
      </c>
      <c r="H121" s="46" t="s">
        <v>52</v>
      </c>
      <c r="I121" s="47">
        <v>2</v>
      </c>
      <c r="J121" s="48">
        <v>11</v>
      </c>
      <c r="K121" s="48">
        <v>22</v>
      </c>
    </row>
    <row r="122" s="49" customFormat="1" spans="4:11">
      <c r="D122" s="45">
        <v>46067</v>
      </c>
      <c r="E122" s="46">
        <v>1578833</v>
      </c>
      <c r="F122" s="46" t="s">
        <v>16</v>
      </c>
      <c r="G122" s="47">
        <v>20351064</v>
      </c>
      <c r="H122" s="46" t="s">
        <v>46</v>
      </c>
      <c r="I122" s="47">
        <v>2</v>
      </c>
      <c r="J122" s="48">
        <v>13.5</v>
      </c>
      <c r="K122" s="48">
        <v>27</v>
      </c>
    </row>
    <row r="123" s="49" customFormat="1" spans="4:11">
      <c r="D123" s="45">
        <v>46067</v>
      </c>
      <c r="E123" s="46">
        <v>1578833</v>
      </c>
      <c r="F123" s="46" t="s">
        <v>16</v>
      </c>
      <c r="G123" s="47">
        <v>20321814</v>
      </c>
      <c r="H123" s="46" t="s">
        <v>58</v>
      </c>
      <c r="I123" s="47">
        <v>10</v>
      </c>
      <c r="J123" s="48">
        <v>8</v>
      </c>
      <c r="K123" s="48">
        <v>80</v>
      </c>
    </row>
    <row r="124" s="49" customFormat="1" spans="4:11">
      <c r="D124" s="45">
        <v>46067</v>
      </c>
      <c r="E124" s="46">
        <v>1578833</v>
      </c>
      <c r="F124" s="46" t="s">
        <v>16</v>
      </c>
      <c r="G124" s="47">
        <v>20318258</v>
      </c>
      <c r="H124" s="46" t="s">
        <v>59</v>
      </c>
      <c r="I124" s="47">
        <v>1</v>
      </c>
      <c r="J124" s="48">
        <v>13</v>
      </c>
      <c r="K124" s="48">
        <v>13</v>
      </c>
    </row>
    <row r="125" s="49" customFormat="1" spans="4:11">
      <c r="D125" s="45">
        <v>46067</v>
      </c>
      <c r="E125" s="46">
        <v>1578833</v>
      </c>
      <c r="F125" s="46" t="s">
        <v>16</v>
      </c>
      <c r="G125" s="47">
        <v>20329847</v>
      </c>
      <c r="H125" s="46" t="s">
        <v>17</v>
      </c>
      <c r="I125" s="47">
        <v>1</v>
      </c>
      <c r="J125" s="48">
        <v>13</v>
      </c>
      <c r="K125" s="48">
        <v>13</v>
      </c>
    </row>
    <row r="126" s="49" customFormat="1" spans="4:11">
      <c r="D126" s="45">
        <v>46067</v>
      </c>
      <c r="E126" s="46">
        <v>1578833</v>
      </c>
      <c r="F126" s="46" t="s">
        <v>16</v>
      </c>
      <c r="G126" s="47">
        <v>20321810</v>
      </c>
      <c r="H126" s="46" t="s">
        <v>60</v>
      </c>
      <c r="I126" s="47">
        <v>20</v>
      </c>
      <c r="J126" s="48">
        <v>8</v>
      </c>
      <c r="K126" s="48">
        <v>160</v>
      </c>
    </row>
    <row r="127" s="49" customFormat="1" spans="4:11">
      <c r="D127" s="45">
        <v>46067</v>
      </c>
      <c r="E127" s="46">
        <v>1578833</v>
      </c>
      <c r="F127" s="46" t="s">
        <v>16</v>
      </c>
      <c r="G127" s="47">
        <v>20333142</v>
      </c>
      <c r="H127" s="46" t="s">
        <v>41</v>
      </c>
      <c r="I127" s="47">
        <v>1</v>
      </c>
      <c r="J127" s="48">
        <v>22</v>
      </c>
      <c r="K127" s="48">
        <v>22</v>
      </c>
    </row>
    <row r="128" s="49" customFormat="1" spans="4:11">
      <c r="D128" s="45">
        <v>46067</v>
      </c>
      <c r="E128" s="46">
        <v>1578833</v>
      </c>
      <c r="F128" s="46" t="s">
        <v>18</v>
      </c>
      <c r="G128" s="47">
        <v>20322228</v>
      </c>
      <c r="H128" s="46" t="s">
        <v>19</v>
      </c>
      <c r="I128" s="47">
        <v>1</v>
      </c>
      <c r="J128" s="48">
        <v>15</v>
      </c>
      <c r="K128" s="48">
        <v>15</v>
      </c>
    </row>
    <row r="129" s="49" customFormat="1" spans="4:11">
      <c r="D129" s="45">
        <v>46067</v>
      </c>
      <c r="E129" s="46">
        <v>1578833</v>
      </c>
      <c r="F129" s="46" t="s">
        <v>20</v>
      </c>
      <c r="G129" s="47">
        <v>20321257</v>
      </c>
      <c r="H129" s="46" t="s">
        <v>21</v>
      </c>
      <c r="I129" s="47">
        <v>3</v>
      </c>
      <c r="J129" s="48">
        <v>16.5</v>
      </c>
      <c r="K129" s="48">
        <v>49.5</v>
      </c>
    </row>
    <row r="130" s="49" customFormat="1" spans="4:11">
      <c r="D130" s="45">
        <v>46067</v>
      </c>
      <c r="E130" s="46">
        <v>1578833</v>
      </c>
      <c r="F130" s="46" t="s">
        <v>20</v>
      </c>
      <c r="G130" s="47">
        <v>20318229</v>
      </c>
      <c r="H130" s="46" t="s">
        <v>37</v>
      </c>
      <c r="I130" s="47">
        <v>1</v>
      </c>
      <c r="J130" s="48">
        <v>16.5</v>
      </c>
      <c r="K130" s="48">
        <v>16.5</v>
      </c>
    </row>
    <row r="131" s="49" customFormat="1" spans="4:11">
      <c r="D131" s="45">
        <v>46067</v>
      </c>
      <c r="E131" s="46">
        <v>1578833</v>
      </c>
      <c r="F131" s="46" t="s">
        <v>20</v>
      </c>
      <c r="G131" s="47">
        <v>20318262</v>
      </c>
      <c r="H131" s="46" t="s">
        <v>24</v>
      </c>
      <c r="I131" s="47">
        <v>5</v>
      </c>
      <c r="J131" s="48">
        <v>16.5</v>
      </c>
      <c r="K131" s="48">
        <v>82.5</v>
      </c>
    </row>
    <row r="132" s="49" customFormat="1" spans="4:11">
      <c r="D132" s="45">
        <v>46067</v>
      </c>
      <c r="E132" s="46">
        <v>1578833</v>
      </c>
      <c r="F132" s="46" t="s">
        <v>20</v>
      </c>
      <c r="G132" s="47">
        <v>20318241</v>
      </c>
      <c r="H132" s="46" t="s">
        <v>61</v>
      </c>
      <c r="I132" s="47">
        <v>1</v>
      </c>
      <c r="J132" s="48">
        <v>16.5</v>
      </c>
      <c r="K132" s="48">
        <v>16.5</v>
      </c>
    </row>
    <row r="133" s="49" customFormat="1" spans="4:11">
      <c r="D133" s="45">
        <v>46067</v>
      </c>
      <c r="E133" s="46">
        <v>1578835</v>
      </c>
      <c r="F133" s="46" t="s">
        <v>13</v>
      </c>
      <c r="G133" s="47">
        <v>20326613</v>
      </c>
      <c r="H133" s="46" t="s">
        <v>14</v>
      </c>
      <c r="I133" s="47">
        <v>7</v>
      </c>
      <c r="J133" s="48">
        <v>88</v>
      </c>
      <c r="K133" s="48">
        <v>616</v>
      </c>
    </row>
    <row r="134" s="49" customFormat="1" spans="4:11">
      <c r="D134" s="45">
        <v>46067</v>
      </c>
      <c r="E134" s="46">
        <v>1578835</v>
      </c>
      <c r="F134" s="46" t="s">
        <v>16</v>
      </c>
      <c r="G134" s="47">
        <v>20318257</v>
      </c>
      <c r="H134" s="46" t="s">
        <v>50</v>
      </c>
      <c r="I134" s="47">
        <v>1</v>
      </c>
      <c r="J134" s="48">
        <v>8</v>
      </c>
      <c r="K134" s="48">
        <v>8</v>
      </c>
    </row>
    <row r="135" s="49" customFormat="1" spans="4:11">
      <c r="D135" s="45">
        <v>46067</v>
      </c>
      <c r="E135" s="46">
        <v>1578835</v>
      </c>
      <c r="F135" s="46" t="s">
        <v>16</v>
      </c>
      <c r="G135" s="47">
        <v>20329846</v>
      </c>
      <c r="H135" s="46" t="s">
        <v>51</v>
      </c>
      <c r="I135" s="47">
        <v>2</v>
      </c>
      <c r="J135" s="48">
        <v>13.5</v>
      </c>
      <c r="K135" s="48">
        <v>27</v>
      </c>
    </row>
    <row r="136" s="49" customFormat="1" spans="4:11">
      <c r="D136" s="45">
        <v>46067</v>
      </c>
      <c r="E136" s="46">
        <v>1578835</v>
      </c>
      <c r="F136" s="46" t="s">
        <v>16</v>
      </c>
      <c r="G136" s="47">
        <v>20329847</v>
      </c>
      <c r="H136" s="46" t="s">
        <v>17</v>
      </c>
      <c r="I136" s="47">
        <v>2</v>
      </c>
      <c r="J136" s="48">
        <v>13</v>
      </c>
      <c r="K136" s="48">
        <v>26</v>
      </c>
    </row>
    <row r="137" s="49" customFormat="1" spans="4:11">
      <c r="D137" s="45">
        <v>46067</v>
      </c>
      <c r="E137" s="46">
        <v>1578835</v>
      </c>
      <c r="F137" s="46" t="s">
        <v>16</v>
      </c>
      <c r="G137" s="47">
        <v>20318231</v>
      </c>
      <c r="H137" s="46" t="s">
        <v>34</v>
      </c>
      <c r="I137" s="47">
        <v>1</v>
      </c>
      <c r="J137" s="48">
        <v>16.5</v>
      </c>
      <c r="K137" s="48">
        <v>16.5</v>
      </c>
    </row>
    <row r="138" s="49" customFormat="1" spans="4:11">
      <c r="D138" s="45">
        <v>46067</v>
      </c>
      <c r="E138" s="46">
        <v>1578835</v>
      </c>
      <c r="F138" s="46" t="s">
        <v>16</v>
      </c>
      <c r="G138" s="47">
        <v>20333142</v>
      </c>
      <c r="H138" s="46" t="s">
        <v>41</v>
      </c>
      <c r="I138" s="47">
        <v>1</v>
      </c>
      <c r="J138" s="48">
        <v>22</v>
      </c>
      <c r="K138" s="48">
        <v>22</v>
      </c>
    </row>
    <row r="139" s="49" customFormat="1" spans="4:11">
      <c r="D139" s="45">
        <v>46067</v>
      </c>
      <c r="E139" s="46">
        <v>1578835</v>
      </c>
      <c r="F139" s="46" t="s">
        <v>20</v>
      </c>
      <c r="G139" s="47">
        <v>20321257</v>
      </c>
      <c r="H139" s="46" t="s">
        <v>21</v>
      </c>
      <c r="I139" s="47">
        <v>2</v>
      </c>
      <c r="J139" s="48">
        <v>16.5</v>
      </c>
      <c r="K139" s="48">
        <v>33</v>
      </c>
    </row>
    <row r="140" s="49" customFormat="1" spans="4:11">
      <c r="D140" s="45">
        <v>46067</v>
      </c>
      <c r="E140" s="46">
        <v>1578835</v>
      </c>
      <c r="F140" s="46" t="s">
        <v>20</v>
      </c>
      <c r="G140" s="47">
        <v>20318229</v>
      </c>
      <c r="H140" s="46" t="s">
        <v>37</v>
      </c>
      <c r="I140" s="47">
        <v>1</v>
      </c>
      <c r="J140" s="48">
        <v>16.5</v>
      </c>
      <c r="K140" s="48">
        <v>16.5</v>
      </c>
    </row>
    <row r="141" s="49" customFormat="1" spans="4:11">
      <c r="D141" s="45">
        <v>46067</v>
      </c>
      <c r="E141" s="46">
        <v>1578835</v>
      </c>
      <c r="F141" s="46" t="s">
        <v>20</v>
      </c>
      <c r="G141" s="47">
        <v>20318332</v>
      </c>
      <c r="H141" s="46" t="s">
        <v>23</v>
      </c>
      <c r="I141" s="47">
        <v>1</v>
      </c>
      <c r="J141" s="48">
        <v>22</v>
      </c>
      <c r="K141" s="48">
        <v>22</v>
      </c>
    </row>
    <row r="142" s="49" customFormat="1" spans="4:11">
      <c r="D142" s="45">
        <v>46067</v>
      </c>
      <c r="E142" s="46">
        <v>1578835</v>
      </c>
      <c r="F142" s="46" t="s">
        <v>20</v>
      </c>
      <c r="G142" s="47">
        <v>20342042</v>
      </c>
      <c r="H142" s="46" t="s">
        <v>25</v>
      </c>
      <c r="I142" s="47">
        <v>1</v>
      </c>
      <c r="J142" s="48">
        <v>16.5</v>
      </c>
      <c r="K142" s="48">
        <v>16.5</v>
      </c>
    </row>
    <row r="143" s="49" customFormat="1" spans="4:11">
      <c r="D143" s="45">
        <v>46067</v>
      </c>
      <c r="E143" s="46">
        <v>1578969</v>
      </c>
      <c r="F143" s="46" t="s">
        <v>13</v>
      </c>
      <c r="G143" s="47">
        <v>20326613</v>
      </c>
      <c r="H143" s="46" t="s">
        <v>14</v>
      </c>
      <c r="I143" s="47">
        <v>4</v>
      </c>
      <c r="J143" s="48">
        <v>88</v>
      </c>
      <c r="K143" s="48">
        <v>352</v>
      </c>
    </row>
    <row r="144" s="49" customFormat="1" spans="4:11">
      <c r="D144" s="45">
        <v>46067</v>
      </c>
      <c r="E144" s="46">
        <v>1578969</v>
      </c>
      <c r="F144" s="46" t="s">
        <v>16</v>
      </c>
      <c r="G144" s="47">
        <v>20318136</v>
      </c>
      <c r="H144" s="46" t="s">
        <v>57</v>
      </c>
      <c r="I144" s="47">
        <v>1</v>
      </c>
      <c r="J144" s="48">
        <v>8</v>
      </c>
      <c r="K144" s="48">
        <v>8</v>
      </c>
    </row>
    <row r="145" s="49" customFormat="1" spans="4:11">
      <c r="D145" s="45">
        <v>46067</v>
      </c>
      <c r="E145" s="46">
        <v>1578969</v>
      </c>
      <c r="F145" s="46" t="s">
        <v>16</v>
      </c>
      <c r="G145" s="47">
        <v>20318250</v>
      </c>
      <c r="H145" s="46" t="s">
        <v>47</v>
      </c>
      <c r="I145" s="47">
        <v>2</v>
      </c>
      <c r="J145" s="48">
        <v>8</v>
      </c>
      <c r="K145" s="48">
        <v>16</v>
      </c>
    </row>
    <row r="146" s="49" customFormat="1" spans="4:11">
      <c r="D146" s="45">
        <v>46067</v>
      </c>
      <c r="E146" s="46">
        <v>1578969</v>
      </c>
      <c r="F146" s="46" t="s">
        <v>16</v>
      </c>
      <c r="G146" s="47">
        <v>20331668</v>
      </c>
      <c r="H146" s="46" t="s">
        <v>29</v>
      </c>
      <c r="I146" s="47">
        <v>3</v>
      </c>
      <c r="J146" s="48">
        <v>8</v>
      </c>
      <c r="K146" s="48">
        <v>24</v>
      </c>
    </row>
    <row r="147" s="49" customFormat="1" spans="4:11">
      <c r="D147" s="45">
        <v>46067</v>
      </c>
      <c r="E147" s="46">
        <v>1578969</v>
      </c>
      <c r="F147" s="46" t="s">
        <v>20</v>
      </c>
      <c r="G147" s="47">
        <v>20321257</v>
      </c>
      <c r="H147" s="46" t="s">
        <v>21</v>
      </c>
      <c r="I147" s="47">
        <v>2</v>
      </c>
      <c r="J147" s="48">
        <v>16.5</v>
      </c>
      <c r="K147" s="48">
        <v>33</v>
      </c>
    </row>
    <row r="148" s="49" customFormat="1" spans="4:11">
      <c r="D148" s="45">
        <v>46067</v>
      </c>
      <c r="E148" s="46">
        <v>1578969</v>
      </c>
      <c r="F148" s="46" t="s">
        <v>20</v>
      </c>
      <c r="G148" s="47">
        <v>20318332</v>
      </c>
      <c r="H148" s="46" t="s">
        <v>23</v>
      </c>
      <c r="I148" s="47">
        <v>1</v>
      </c>
      <c r="J148" s="48">
        <v>22</v>
      </c>
      <c r="K148" s="48">
        <v>22</v>
      </c>
    </row>
    <row r="149" s="49" customFormat="1" spans="4:11">
      <c r="D149" s="45">
        <v>46067</v>
      </c>
      <c r="E149" s="46">
        <v>1578969</v>
      </c>
      <c r="F149" s="46" t="s">
        <v>20</v>
      </c>
      <c r="G149" s="47">
        <v>20014827</v>
      </c>
      <c r="H149" s="46" t="s">
        <v>38</v>
      </c>
      <c r="I149" s="47">
        <v>1</v>
      </c>
      <c r="J149" s="48">
        <v>16.5</v>
      </c>
      <c r="K149" s="48">
        <v>16.5</v>
      </c>
    </row>
    <row r="150" s="49" customFormat="1" spans="4:11">
      <c r="D150" s="45">
        <v>46067</v>
      </c>
      <c r="E150" s="46">
        <v>1578969</v>
      </c>
      <c r="F150" s="46" t="s">
        <v>20</v>
      </c>
      <c r="G150" s="47">
        <v>20342042</v>
      </c>
      <c r="H150" s="46" t="s">
        <v>25</v>
      </c>
      <c r="I150" s="47">
        <v>2</v>
      </c>
      <c r="J150" s="48">
        <v>16.5</v>
      </c>
      <c r="K150" s="48">
        <v>33</v>
      </c>
    </row>
    <row r="151" s="49" customFormat="1" spans="4:11">
      <c r="D151" s="45">
        <v>46068</v>
      </c>
      <c r="E151" s="46">
        <v>1579068</v>
      </c>
      <c r="F151" s="46" t="s">
        <v>13</v>
      </c>
      <c r="G151" s="47">
        <v>20326613</v>
      </c>
      <c r="H151" s="46" t="s">
        <v>14</v>
      </c>
      <c r="I151" s="47">
        <v>5</v>
      </c>
      <c r="J151" s="48">
        <v>88</v>
      </c>
      <c r="K151" s="48">
        <v>440</v>
      </c>
    </row>
    <row r="152" s="49" customFormat="1" spans="4:11">
      <c r="D152" s="45">
        <v>46068</v>
      </c>
      <c r="E152" s="46">
        <v>1579068</v>
      </c>
      <c r="F152" s="46" t="s">
        <v>20</v>
      </c>
      <c r="G152" s="47">
        <v>20321257</v>
      </c>
      <c r="H152" s="46" t="s">
        <v>21</v>
      </c>
      <c r="I152" s="47">
        <v>1</v>
      </c>
      <c r="J152" s="48">
        <v>16.5</v>
      </c>
      <c r="K152" s="48">
        <v>16.5</v>
      </c>
    </row>
    <row r="153" s="49" customFormat="1" spans="4:11">
      <c r="D153" s="45">
        <v>46069</v>
      </c>
      <c r="E153" s="46">
        <v>1579106</v>
      </c>
      <c r="F153" s="46" t="s">
        <v>13</v>
      </c>
      <c r="G153" s="47">
        <v>20326613</v>
      </c>
      <c r="H153" s="46" t="s">
        <v>14</v>
      </c>
      <c r="I153" s="47">
        <v>8</v>
      </c>
      <c r="J153" s="48">
        <v>88</v>
      </c>
      <c r="K153" s="48">
        <v>704</v>
      </c>
    </row>
    <row r="154" s="49" customFormat="1" spans="4:11">
      <c r="D154" s="45">
        <v>46069</v>
      </c>
      <c r="E154" s="46">
        <v>1579106</v>
      </c>
      <c r="F154" s="46" t="s">
        <v>16</v>
      </c>
      <c r="G154" s="47">
        <v>20318235</v>
      </c>
      <c r="H154" s="46" t="s">
        <v>27</v>
      </c>
      <c r="I154" s="47">
        <v>1</v>
      </c>
      <c r="J154" s="48">
        <v>8</v>
      </c>
      <c r="K154" s="48">
        <v>8</v>
      </c>
    </row>
    <row r="155" s="49" customFormat="1" spans="4:11">
      <c r="D155" s="45">
        <v>46069</v>
      </c>
      <c r="E155" s="46">
        <v>1579106</v>
      </c>
      <c r="F155" s="46" t="s">
        <v>16</v>
      </c>
      <c r="G155" s="47">
        <v>20329846</v>
      </c>
      <c r="H155" s="46" t="s">
        <v>51</v>
      </c>
      <c r="I155" s="47">
        <v>1</v>
      </c>
      <c r="J155" s="48">
        <v>13.5</v>
      </c>
      <c r="K155" s="48">
        <v>13.5</v>
      </c>
    </row>
    <row r="156" s="49" customFormat="1" spans="4:11">
      <c r="D156" s="45">
        <v>46069</v>
      </c>
      <c r="E156" s="46">
        <v>1579106</v>
      </c>
      <c r="F156" s="46" t="s">
        <v>16</v>
      </c>
      <c r="G156" s="47">
        <v>20318236</v>
      </c>
      <c r="H156" s="46" t="s">
        <v>55</v>
      </c>
      <c r="I156" s="47">
        <v>1</v>
      </c>
      <c r="J156" s="48">
        <v>11</v>
      </c>
      <c r="K156" s="48">
        <v>11</v>
      </c>
    </row>
    <row r="157" s="49" customFormat="1" spans="4:11">
      <c r="D157" s="45">
        <v>46069</v>
      </c>
      <c r="E157" s="46">
        <v>1579106</v>
      </c>
      <c r="F157" s="46" t="s">
        <v>16</v>
      </c>
      <c r="G157" s="47">
        <v>20318250</v>
      </c>
      <c r="H157" s="46" t="s">
        <v>47</v>
      </c>
      <c r="I157" s="47">
        <v>1</v>
      </c>
      <c r="J157" s="48">
        <v>8</v>
      </c>
      <c r="K157" s="48">
        <v>8</v>
      </c>
    </row>
    <row r="158" s="49" customFormat="1" spans="4:11">
      <c r="D158" s="45">
        <v>46069</v>
      </c>
      <c r="E158" s="46">
        <v>1579106</v>
      </c>
      <c r="F158" s="46" t="s">
        <v>16</v>
      </c>
      <c r="G158" s="47">
        <v>20331668</v>
      </c>
      <c r="H158" s="46" t="s">
        <v>29</v>
      </c>
      <c r="I158" s="47">
        <v>1</v>
      </c>
      <c r="J158" s="48">
        <v>8</v>
      </c>
      <c r="K158" s="48">
        <v>8</v>
      </c>
    </row>
    <row r="159" s="49" customFormat="1" spans="4:11">
      <c r="D159" s="45">
        <v>46069</v>
      </c>
      <c r="E159" s="46">
        <v>1579106</v>
      </c>
      <c r="F159" s="46" t="s">
        <v>16</v>
      </c>
      <c r="G159" s="47">
        <v>20333778</v>
      </c>
      <c r="H159" s="46" t="s">
        <v>62</v>
      </c>
      <c r="I159" s="47">
        <v>1</v>
      </c>
      <c r="J159" s="48">
        <v>16.5</v>
      </c>
      <c r="K159" s="48">
        <v>16.5</v>
      </c>
    </row>
    <row r="160" s="49" customFormat="1" spans="4:11">
      <c r="D160" s="45">
        <v>46069</v>
      </c>
      <c r="E160" s="46">
        <v>1579106</v>
      </c>
      <c r="F160" s="46" t="s">
        <v>16</v>
      </c>
      <c r="G160" s="47">
        <v>20329847</v>
      </c>
      <c r="H160" s="46" t="s">
        <v>17</v>
      </c>
      <c r="I160" s="47">
        <v>1</v>
      </c>
      <c r="J160" s="48">
        <v>13</v>
      </c>
      <c r="K160" s="48">
        <v>13</v>
      </c>
    </row>
    <row r="161" s="49" customFormat="1" spans="4:11">
      <c r="D161" s="45">
        <v>46069</v>
      </c>
      <c r="E161" s="46">
        <v>1579106</v>
      </c>
      <c r="F161" s="46" t="s">
        <v>16</v>
      </c>
      <c r="G161" s="47">
        <v>20318231</v>
      </c>
      <c r="H161" s="46" t="s">
        <v>34</v>
      </c>
      <c r="I161" s="47">
        <v>1</v>
      </c>
      <c r="J161" s="48">
        <v>16.5</v>
      </c>
      <c r="K161" s="48">
        <v>16.5</v>
      </c>
    </row>
    <row r="162" s="49" customFormat="1" spans="4:11">
      <c r="D162" s="45">
        <v>46069</v>
      </c>
      <c r="E162" s="46">
        <v>1579106</v>
      </c>
      <c r="F162" s="46" t="s">
        <v>30</v>
      </c>
      <c r="G162" s="47">
        <v>20351811</v>
      </c>
      <c r="H162" s="46" t="s">
        <v>36</v>
      </c>
      <c r="I162" s="47">
        <v>1</v>
      </c>
      <c r="J162" s="48">
        <v>55</v>
      </c>
      <c r="K162" s="48">
        <v>55</v>
      </c>
    </row>
    <row r="163" s="49" customFormat="1" spans="4:11">
      <c r="D163" s="45">
        <v>46069</v>
      </c>
      <c r="E163" s="46">
        <v>1579106</v>
      </c>
      <c r="F163" s="46" t="s">
        <v>20</v>
      </c>
      <c r="G163" s="47">
        <v>20321257</v>
      </c>
      <c r="H163" s="46" t="s">
        <v>21</v>
      </c>
      <c r="I163" s="47">
        <v>1</v>
      </c>
      <c r="J163" s="48">
        <v>16.5</v>
      </c>
      <c r="K163" s="48">
        <v>16.5</v>
      </c>
    </row>
    <row r="164" s="49" customFormat="1" spans="4:11">
      <c r="D164" s="45">
        <v>46069</v>
      </c>
      <c r="E164" s="46">
        <v>1579106</v>
      </c>
      <c r="F164" s="46" t="s">
        <v>20</v>
      </c>
      <c r="G164" s="47">
        <v>20318229</v>
      </c>
      <c r="H164" s="46" t="s">
        <v>37</v>
      </c>
      <c r="I164" s="47">
        <v>1</v>
      </c>
      <c r="J164" s="48">
        <v>16.5</v>
      </c>
      <c r="K164" s="48">
        <v>16.5</v>
      </c>
    </row>
    <row r="165" s="49" customFormat="1" spans="4:11">
      <c r="D165" s="45">
        <v>46069</v>
      </c>
      <c r="E165" s="46">
        <v>1579106</v>
      </c>
      <c r="F165" s="46" t="s">
        <v>20</v>
      </c>
      <c r="G165" s="47">
        <v>20318332</v>
      </c>
      <c r="H165" s="46" t="s">
        <v>23</v>
      </c>
      <c r="I165" s="47">
        <v>1</v>
      </c>
      <c r="J165" s="48">
        <v>22</v>
      </c>
      <c r="K165" s="48">
        <v>22</v>
      </c>
    </row>
    <row r="166" s="49" customFormat="1" spans="4:11">
      <c r="D166" s="45">
        <v>46069</v>
      </c>
      <c r="E166" s="46">
        <v>1579106</v>
      </c>
      <c r="F166" s="46" t="s">
        <v>20</v>
      </c>
      <c r="G166" s="47">
        <v>20014827</v>
      </c>
      <c r="H166" s="46" t="s">
        <v>38</v>
      </c>
      <c r="I166" s="47">
        <v>1</v>
      </c>
      <c r="J166" s="48">
        <v>16.5</v>
      </c>
      <c r="K166" s="48">
        <v>16.5</v>
      </c>
    </row>
    <row r="167" s="49" customFormat="1" spans="4:11">
      <c r="D167" s="45">
        <v>46069</v>
      </c>
      <c r="E167" s="46">
        <v>1579106</v>
      </c>
      <c r="F167" s="46" t="s">
        <v>20</v>
      </c>
      <c r="G167" s="47">
        <v>20318197</v>
      </c>
      <c r="H167" s="46" t="s">
        <v>33</v>
      </c>
      <c r="I167" s="47">
        <v>1</v>
      </c>
      <c r="J167" s="48">
        <v>16.5</v>
      </c>
      <c r="K167" s="48">
        <v>16.5</v>
      </c>
    </row>
    <row r="168" s="49" customFormat="1" spans="4:11">
      <c r="D168" s="45">
        <v>46069</v>
      </c>
      <c r="E168" s="46">
        <v>1579106</v>
      </c>
      <c r="F168" s="46" t="s">
        <v>20</v>
      </c>
      <c r="G168" s="47">
        <v>20342042</v>
      </c>
      <c r="H168" s="46" t="s">
        <v>25</v>
      </c>
      <c r="I168" s="47">
        <v>2</v>
      </c>
      <c r="J168" s="48">
        <v>16.5</v>
      </c>
      <c r="K168" s="48">
        <v>33</v>
      </c>
    </row>
    <row r="169" s="49" customFormat="1" spans="4:11">
      <c r="D169" s="45">
        <v>46070</v>
      </c>
      <c r="E169" s="46">
        <v>1579128</v>
      </c>
      <c r="F169" s="46" t="s">
        <v>13</v>
      </c>
      <c r="G169" s="47">
        <v>20326613</v>
      </c>
      <c r="H169" s="46" t="s">
        <v>14</v>
      </c>
      <c r="I169" s="47">
        <v>8</v>
      </c>
      <c r="J169" s="48">
        <v>88</v>
      </c>
      <c r="K169" s="48">
        <v>704</v>
      </c>
    </row>
    <row r="170" s="49" customFormat="1" spans="4:11">
      <c r="D170" s="45">
        <v>46070</v>
      </c>
      <c r="E170" s="46">
        <v>1579128</v>
      </c>
      <c r="F170" s="46" t="s">
        <v>16</v>
      </c>
      <c r="G170" s="47">
        <v>20318235</v>
      </c>
      <c r="H170" s="46" t="s">
        <v>27</v>
      </c>
      <c r="I170" s="47">
        <v>1</v>
      </c>
      <c r="J170" s="48">
        <v>8</v>
      </c>
      <c r="K170" s="48">
        <v>8</v>
      </c>
    </row>
    <row r="171" s="49" customFormat="1" spans="4:11">
      <c r="D171" s="45">
        <v>46070</v>
      </c>
      <c r="E171" s="46">
        <v>1579128</v>
      </c>
      <c r="F171" s="46" t="s">
        <v>16</v>
      </c>
      <c r="G171" s="47">
        <v>20351064</v>
      </c>
      <c r="H171" s="46" t="s">
        <v>46</v>
      </c>
      <c r="I171" s="47">
        <v>1</v>
      </c>
      <c r="J171" s="48">
        <v>13.5</v>
      </c>
      <c r="K171" s="48">
        <v>13.5</v>
      </c>
    </row>
    <row r="172" s="49" customFormat="1" spans="4:11">
      <c r="D172" s="45">
        <v>46070</v>
      </c>
      <c r="E172" s="46">
        <v>1579128</v>
      </c>
      <c r="F172" s="46" t="s">
        <v>16</v>
      </c>
      <c r="G172" s="47">
        <v>20318231</v>
      </c>
      <c r="H172" s="46" t="s">
        <v>34</v>
      </c>
      <c r="I172" s="47">
        <v>1</v>
      </c>
      <c r="J172" s="48">
        <v>16.5</v>
      </c>
      <c r="K172" s="48">
        <v>16.5</v>
      </c>
    </row>
    <row r="173" s="49" customFormat="1" spans="4:11">
      <c r="D173" s="45">
        <v>46070</v>
      </c>
      <c r="E173" s="46">
        <v>1579128</v>
      </c>
      <c r="F173" s="46" t="s">
        <v>20</v>
      </c>
      <c r="G173" s="47">
        <v>20321257</v>
      </c>
      <c r="H173" s="46" t="s">
        <v>21</v>
      </c>
      <c r="I173" s="47">
        <v>1</v>
      </c>
      <c r="J173" s="48">
        <v>16.5</v>
      </c>
      <c r="K173" s="48">
        <v>16.5</v>
      </c>
    </row>
    <row r="174" s="49" customFormat="1" spans="4:11">
      <c r="D174" s="45">
        <v>46070</v>
      </c>
      <c r="E174" s="46">
        <v>1579128</v>
      </c>
      <c r="F174" s="46" t="s">
        <v>20</v>
      </c>
      <c r="G174" s="47">
        <v>20318229</v>
      </c>
      <c r="H174" s="46" t="s">
        <v>37</v>
      </c>
      <c r="I174" s="47">
        <v>2</v>
      </c>
      <c r="J174" s="48">
        <v>16.5</v>
      </c>
      <c r="K174" s="48">
        <v>33</v>
      </c>
    </row>
    <row r="175" s="49" customFormat="1" spans="4:11">
      <c r="D175" s="45">
        <v>46070</v>
      </c>
      <c r="E175" s="46">
        <v>1579128</v>
      </c>
      <c r="F175" s="46" t="s">
        <v>20</v>
      </c>
      <c r="G175" s="47">
        <v>20318332</v>
      </c>
      <c r="H175" s="46" t="s">
        <v>23</v>
      </c>
      <c r="I175" s="47">
        <v>2</v>
      </c>
      <c r="J175" s="48">
        <v>22</v>
      </c>
      <c r="K175" s="48">
        <v>44</v>
      </c>
    </row>
    <row r="176" s="49" customFormat="1" spans="4:11">
      <c r="D176" s="45">
        <v>46070</v>
      </c>
      <c r="E176" s="46">
        <v>1579128</v>
      </c>
      <c r="F176" s="46" t="s">
        <v>20</v>
      </c>
      <c r="G176" s="47">
        <v>20318262</v>
      </c>
      <c r="H176" s="46" t="s">
        <v>24</v>
      </c>
      <c r="I176" s="47">
        <v>3</v>
      </c>
      <c r="J176" s="48">
        <v>16.5</v>
      </c>
      <c r="K176" s="48">
        <v>49.5</v>
      </c>
    </row>
    <row r="177" s="49" customFormat="1" spans="4:11">
      <c r="D177" s="45">
        <v>46070</v>
      </c>
      <c r="E177" s="46">
        <v>1579128</v>
      </c>
      <c r="F177" s="46" t="s">
        <v>20</v>
      </c>
      <c r="G177" s="47">
        <v>20321688</v>
      </c>
      <c r="H177" s="46" t="s">
        <v>63</v>
      </c>
      <c r="I177" s="47">
        <v>1</v>
      </c>
      <c r="J177" s="48">
        <v>16.5</v>
      </c>
      <c r="K177" s="48">
        <v>16.5</v>
      </c>
    </row>
    <row r="178" s="49" customFormat="1" spans="4:11">
      <c r="D178" s="45">
        <v>46070</v>
      </c>
      <c r="E178" s="46">
        <v>1579128</v>
      </c>
      <c r="F178" s="46" t="s">
        <v>20</v>
      </c>
      <c r="G178" s="47">
        <v>20342042</v>
      </c>
      <c r="H178" s="46" t="s">
        <v>25</v>
      </c>
      <c r="I178" s="47">
        <v>2</v>
      </c>
      <c r="J178" s="48">
        <v>16.5</v>
      </c>
      <c r="K178" s="48">
        <v>33</v>
      </c>
    </row>
    <row r="179" s="49" customFormat="1" spans="4:11">
      <c r="D179" s="45">
        <v>46071</v>
      </c>
      <c r="E179" s="46">
        <v>1579164</v>
      </c>
      <c r="F179" s="46" t="s">
        <v>13</v>
      </c>
      <c r="G179" s="47">
        <v>20326613</v>
      </c>
      <c r="H179" s="46" t="s">
        <v>14</v>
      </c>
      <c r="I179" s="47">
        <v>5</v>
      </c>
      <c r="J179" s="48">
        <v>88</v>
      </c>
      <c r="K179" s="48">
        <v>440</v>
      </c>
    </row>
    <row r="180" s="49" customFormat="1" spans="4:11">
      <c r="D180" s="45">
        <v>46071</v>
      </c>
      <c r="E180" s="46">
        <v>1579164</v>
      </c>
      <c r="F180" s="46" t="s">
        <v>16</v>
      </c>
      <c r="G180" s="47">
        <v>20318257</v>
      </c>
      <c r="H180" s="46" t="s">
        <v>50</v>
      </c>
      <c r="I180" s="47">
        <v>1</v>
      </c>
      <c r="J180" s="48">
        <v>8</v>
      </c>
      <c r="K180" s="48">
        <v>8</v>
      </c>
    </row>
    <row r="181" s="49" customFormat="1" spans="4:11">
      <c r="D181" s="45">
        <v>46071</v>
      </c>
      <c r="E181" s="46">
        <v>1579164</v>
      </c>
      <c r="F181" s="46" t="s">
        <v>16</v>
      </c>
      <c r="G181" s="47">
        <v>20329846</v>
      </c>
      <c r="H181" s="46" t="s">
        <v>51</v>
      </c>
      <c r="I181" s="47">
        <v>2</v>
      </c>
      <c r="J181" s="48">
        <v>13.5</v>
      </c>
      <c r="K181" s="48">
        <v>27</v>
      </c>
    </row>
    <row r="182" s="49" customFormat="1" spans="4:11">
      <c r="D182" s="45">
        <v>46071</v>
      </c>
      <c r="E182" s="46">
        <v>1579164</v>
      </c>
      <c r="F182" s="46" t="s">
        <v>16</v>
      </c>
      <c r="G182" s="47">
        <v>20329847</v>
      </c>
      <c r="H182" s="46" t="s">
        <v>17</v>
      </c>
      <c r="I182" s="47">
        <v>1</v>
      </c>
      <c r="J182" s="48">
        <v>13</v>
      </c>
      <c r="K182" s="48">
        <v>13</v>
      </c>
    </row>
    <row r="183" s="49" customFormat="1" spans="4:11">
      <c r="D183" s="45">
        <v>46071</v>
      </c>
      <c r="E183" s="46">
        <v>1579164</v>
      </c>
      <c r="F183" s="46" t="s">
        <v>20</v>
      </c>
      <c r="G183" s="47">
        <v>20321257</v>
      </c>
      <c r="H183" s="46" t="s">
        <v>21</v>
      </c>
      <c r="I183" s="47">
        <v>1</v>
      </c>
      <c r="J183" s="48">
        <v>16.5</v>
      </c>
      <c r="K183" s="48">
        <v>16.5</v>
      </c>
    </row>
    <row r="184" s="49" customFormat="1" spans="4:11">
      <c r="D184" s="45">
        <v>46071</v>
      </c>
      <c r="E184" s="46">
        <v>1579164</v>
      </c>
      <c r="F184" s="46" t="s">
        <v>20</v>
      </c>
      <c r="G184" s="47">
        <v>20318332</v>
      </c>
      <c r="H184" s="46" t="s">
        <v>23</v>
      </c>
      <c r="I184" s="47">
        <v>1</v>
      </c>
      <c r="J184" s="48">
        <v>22</v>
      </c>
      <c r="K184" s="48">
        <v>22</v>
      </c>
    </row>
    <row r="185" s="49" customFormat="1" spans="4:11">
      <c r="D185" s="45">
        <v>46071</v>
      </c>
      <c r="E185" s="46">
        <v>1579164</v>
      </c>
      <c r="F185" s="46" t="s">
        <v>20</v>
      </c>
      <c r="G185" s="47">
        <v>20318241</v>
      </c>
      <c r="H185" s="46" t="s">
        <v>61</v>
      </c>
      <c r="I185" s="47">
        <v>1</v>
      </c>
      <c r="J185" s="48">
        <v>16.5</v>
      </c>
      <c r="K185" s="48">
        <v>16.5</v>
      </c>
    </row>
    <row r="186" s="49" customFormat="1" spans="4:11">
      <c r="D186" s="45">
        <v>46071</v>
      </c>
      <c r="E186" s="46">
        <v>1579164</v>
      </c>
      <c r="F186" s="46" t="s">
        <v>20</v>
      </c>
      <c r="G186" s="47">
        <v>20342042</v>
      </c>
      <c r="H186" s="46" t="s">
        <v>25</v>
      </c>
      <c r="I186" s="47">
        <v>1</v>
      </c>
      <c r="J186" s="48">
        <v>16.5</v>
      </c>
      <c r="K186" s="48">
        <v>16.5</v>
      </c>
    </row>
    <row r="187" s="49" customFormat="1" spans="4:11">
      <c r="D187" s="45">
        <v>46072</v>
      </c>
      <c r="E187" s="46">
        <v>1579261</v>
      </c>
      <c r="F187" s="46" t="s">
        <v>13</v>
      </c>
      <c r="G187" s="47">
        <v>20326613</v>
      </c>
      <c r="H187" s="46" t="s">
        <v>14</v>
      </c>
      <c r="I187" s="47">
        <v>8</v>
      </c>
      <c r="J187" s="48">
        <v>88</v>
      </c>
      <c r="K187" s="48">
        <v>704</v>
      </c>
    </row>
    <row r="188" s="49" customFormat="1" spans="4:11">
      <c r="D188" s="45">
        <v>46072</v>
      </c>
      <c r="E188" s="46">
        <v>1579261</v>
      </c>
      <c r="F188" s="46" t="s">
        <v>16</v>
      </c>
      <c r="G188" s="47">
        <v>20320789</v>
      </c>
      <c r="H188" s="46" t="s">
        <v>64</v>
      </c>
      <c r="I188" s="47">
        <v>1</v>
      </c>
      <c r="J188" s="48">
        <v>8</v>
      </c>
      <c r="K188" s="48">
        <v>8</v>
      </c>
    </row>
    <row r="189" s="49" customFormat="1" spans="4:11">
      <c r="D189" s="45">
        <v>46072</v>
      </c>
      <c r="E189" s="46">
        <v>1579261</v>
      </c>
      <c r="F189" s="46" t="s">
        <v>16</v>
      </c>
      <c r="G189" s="47">
        <v>20318235</v>
      </c>
      <c r="H189" s="46" t="s">
        <v>27</v>
      </c>
      <c r="I189" s="47">
        <v>1</v>
      </c>
      <c r="J189" s="48">
        <v>8</v>
      </c>
      <c r="K189" s="48">
        <v>8</v>
      </c>
    </row>
    <row r="190" s="49" customFormat="1" spans="4:11">
      <c r="D190" s="45">
        <v>46072</v>
      </c>
      <c r="E190" s="46">
        <v>1579261</v>
      </c>
      <c r="F190" s="46" t="s">
        <v>16</v>
      </c>
      <c r="G190" s="47">
        <v>20329846</v>
      </c>
      <c r="H190" s="46" t="s">
        <v>51</v>
      </c>
      <c r="I190" s="47">
        <v>1</v>
      </c>
      <c r="J190" s="48">
        <v>13.5</v>
      </c>
      <c r="K190" s="48">
        <v>13.5</v>
      </c>
    </row>
    <row r="191" s="49" customFormat="1" spans="4:11">
      <c r="D191" s="45">
        <v>46072</v>
      </c>
      <c r="E191" s="46">
        <v>1579261</v>
      </c>
      <c r="F191" s="46" t="s">
        <v>16</v>
      </c>
      <c r="G191" s="47">
        <v>20329843</v>
      </c>
      <c r="H191" s="46" t="s">
        <v>52</v>
      </c>
      <c r="I191" s="47">
        <v>1</v>
      </c>
      <c r="J191" s="48">
        <v>11</v>
      </c>
      <c r="K191" s="48">
        <v>11</v>
      </c>
    </row>
    <row r="192" s="49" customFormat="1" spans="4:11">
      <c r="D192" s="45">
        <v>46072</v>
      </c>
      <c r="E192" s="46">
        <v>1579261</v>
      </c>
      <c r="F192" s="46" t="s">
        <v>18</v>
      </c>
      <c r="G192" s="47">
        <v>20322228</v>
      </c>
      <c r="H192" s="46" t="s">
        <v>19</v>
      </c>
      <c r="I192" s="47">
        <v>1</v>
      </c>
      <c r="J192" s="48">
        <v>15</v>
      </c>
      <c r="K192" s="48">
        <v>15</v>
      </c>
    </row>
    <row r="193" s="49" customFormat="1" spans="4:11">
      <c r="D193" s="45">
        <v>46072</v>
      </c>
      <c r="E193" s="46">
        <v>1579261</v>
      </c>
      <c r="F193" s="46" t="s">
        <v>30</v>
      </c>
      <c r="G193" s="47">
        <v>20351811</v>
      </c>
      <c r="H193" s="46" t="s">
        <v>36</v>
      </c>
      <c r="I193" s="47">
        <v>1</v>
      </c>
      <c r="J193" s="48">
        <v>55</v>
      </c>
      <c r="K193" s="48">
        <v>55</v>
      </c>
    </row>
    <row r="194" s="49" customFormat="1" spans="4:11">
      <c r="D194" s="45">
        <v>46072</v>
      </c>
      <c r="E194" s="46">
        <v>1579261</v>
      </c>
      <c r="F194" s="46" t="s">
        <v>20</v>
      </c>
      <c r="G194" s="47">
        <v>20318229</v>
      </c>
      <c r="H194" s="46" t="s">
        <v>37</v>
      </c>
      <c r="I194" s="47">
        <v>1</v>
      </c>
      <c r="J194" s="48">
        <v>16.5</v>
      </c>
      <c r="K194" s="48">
        <v>16.5</v>
      </c>
    </row>
    <row r="195" s="49" customFormat="1" spans="4:11">
      <c r="D195" s="45">
        <v>46072</v>
      </c>
      <c r="E195" s="46">
        <v>1579261</v>
      </c>
      <c r="F195" s="46" t="s">
        <v>20</v>
      </c>
      <c r="G195" s="47">
        <v>20318262</v>
      </c>
      <c r="H195" s="46" t="s">
        <v>24</v>
      </c>
      <c r="I195" s="47">
        <v>1</v>
      </c>
      <c r="J195" s="48">
        <v>16.5</v>
      </c>
      <c r="K195" s="48">
        <v>16.5</v>
      </c>
    </row>
    <row r="196" s="49" customFormat="1" spans="4:11">
      <c r="D196" s="45">
        <v>46072</v>
      </c>
      <c r="E196" s="46">
        <v>1579261</v>
      </c>
      <c r="F196" s="46" t="s">
        <v>20</v>
      </c>
      <c r="G196" s="47">
        <v>20342042</v>
      </c>
      <c r="H196" s="46" t="s">
        <v>25</v>
      </c>
      <c r="I196" s="47">
        <v>1</v>
      </c>
      <c r="J196" s="48">
        <v>16.5</v>
      </c>
      <c r="K196" s="48">
        <v>16.5</v>
      </c>
    </row>
    <row r="197" s="49" customFormat="1" spans="4:11">
      <c r="D197" s="45">
        <v>46073</v>
      </c>
      <c r="E197" s="46">
        <v>1579301</v>
      </c>
      <c r="F197" s="46" t="s">
        <v>13</v>
      </c>
      <c r="G197" s="47">
        <v>20326613</v>
      </c>
      <c r="H197" s="46" t="s">
        <v>14</v>
      </c>
      <c r="I197" s="47">
        <v>6</v>
      </c>
      <c r="J197" s="48">
        <v>88</v>
      </c>
      <c r="K197" s="48">
        <v>528</v>
      </c>
    </row>
    <row r="198" s="49" customFormat="1" spans="4:11">
      <c r="D198" s="45">
        <v>46073</v>
      </c>
      <c r="E198" s="46">
        <v>1579301</v>
      </c>
      <c r="F198" s="46" t="s">
        <v>16</v>
      </c>
      <c r="G198" s="47">
        <v>20329846</v>
      </c>
      <c r="H198" s="46" t="s">
        <v>51</v>
      </c>
      <c r="I198" s="47">
        <v>1</v>
      </c>
      <c r="J198" s="48">
        <v>13.5</v>
      </c>
      <c r="K198" s="48">
        <v>13.5</v>
      </c>
    </row>
    <row r="199" s="49" customFormat="1" spans="4:11">
      <c r="D199" s="45">
        <v>46073</v>
      </c>
      <c r="E199" s="46">
        <v>1579301</v>
      </c>
      <c r="F199" s="46" t="s">
        <v>16</v>
      </c>
      <c r="G199" s="47">
        <v>20331668</v>
      </c>
      <c r="H199" s="46" t="s">
        <v>29</v>
      </c>
      <c r="I199" s="47">
        <v>2</v>
      </c>
      <c r="J199" s="48">
        <v>8</v>
      </c>
      <c r="K199" s="48">
        <v>16</v>
      </c>
    </row>
    <row r="200" s="49" customFormat="1" spans="4:11">
      <c r="D200" s="45">
        <v>46073</v>
      </c>
      <c r="E200" s="46">
        <v>1579301</v>
      </c>
      <c r="F200" s="46" t="s">
        <v>16</v>
      </c>
      <c r="G200" s="47">
        <v>20329847</v>
      </c>
      <c r="H200" s="46" t="s">
        <v>17</v>
      </c>
      <c r="I200" s="47">
        <v>2</v>
      </c>
      <c r="J200" s="48">
        <v>13</v>
      </c>
      <c r="K200" s="48">
        <v>26</v>
      </c>
    </row>
    <row r="201" s="49" customFormat="1" spans="4:11">
      <c r="D201" s="45">
        <v>46073</v>
      </c>
      <c r="E201" s="46">
        <v>1579301</v>
      </c>
      <c r="F201" s="46" t="s">
        <v>16</v>
      </c>
      <c r="G201" s="47">
        <v>20318231</v>
      </c>
      <c r="H201" s="46" t="s">
        <v>34</v>
      </c>
      <c r="I201" s="47">
        <v>1</v>
      </c>
      <c r="J201" s="48">
        <v>16.5</v>
      </c>
      <c r="K201" s="48">
        <v>16.5</v>
      </c>
    </row>
    <row r="202" s="49" customFormat="1" spans="4:11">
      <c r="D202" s="45">
        <v>46073</v>
      </c>
      <c r="E202" s="46">
        <v>1579301</v>
      </c>
      <c r="F202" s="46" t="s">
        <v>16</v>
      </c>
      <c r="G202" s="47">
        <v>20331472</v>
      </c>
      <c r="H202" s="46" t="s">
        <v>44</v>
      </c>
      <c r="I202" s="47">
        <v>1</v>
      </c>
      <c r="J202" s="48">
        <v>8</v>
      </c>
      <c r="K202" s="48">
        <v>8</v>
      </c>
    </row>
    <row r="203" s="49" customFormat="1" spans="4:11">
      <c r="D203" s="45">
        <v>46073</v>
      </c>
      <c r="E203" s="46">
        <v>1579301</v>
      </c>
      <c r="F203" s="46" t="s">
        <v>20</v>
      </c>
      <c r="G203" s="47">
        <v>20321257</v>
      </c>
      <c r="H203" s="46" t="s">
        <v>21</v>
      </c>
      <c r="I203" s="47">
        <v>1</v>
      </c>
      <c r="J203" s="48">
        <v>16.5</v>
      </c>
      <c r="K203" s="48">
        <v>16.5</v>
      </c>
    </row>
    <row r="204" s="49" customFormat="1" spans="4:11">
      <c r="D204" s="45">
        <v>46073</v>
      </c>
      <c r="E204" s="46">
        <v>1579301</v>
      </c>
      <c r="F204" s="46" t="s">
        <v>20</v>
      </c>
      <c r="G204" s="47">
        <v>20318229</v>
      </c>
      <c r="H204" s="46" t="s">
        <v>37</v>
      </c>
      <c r="I204" s="47">
        <v>1</v>
      </c>
      <c r="J204" s="48">
        <v>16.5</v>
      </c>
      <c r="K204" s="48">
        <v>16.5</v>
      </c>
    </row>
    <row r="205" s="49" customFormat="1" spans="4:11">
      <c r="D205" s="45">
        <v>46073</v>
      </c>
      <c r="E205" s="46">
        <v>1579301</v>
      </c>
      <c r="F205" s="46" t="s">
        <v>20</v>
      </c>
      <c r="G205" s="47">
        <v>20318332</v>
      </c>
      <c r="H205" s="46" t="s">
        <v>23</v>
      </c>
      <c r="I205" s="47">
        <v>2</v>
      </c>
      <c r="J205" s="48">
        <v>22</v>
      </c>
      <c r="K205" s="48">
        <v>44</v>
      </c>
    </row>
    <row r="206" s="49" customFormat="1" spans="4:11">
      <c r="D206" s="45">
        <v>46073</v>
      </c>
      <c r="E206" s="46">
        <v>1579301</v>
      </c>
      <c r="F206" s="46" t="s">
        <v>20</v>
      </c>
      <c r="G206" s="47">
        <v>20318262</v>
      </c>
      <c r="H206" s="46" t="s">
        <v>24</v>
      </c>
      <c r="I206" s="47">
        <v>1</v>
      </c>
      <c r="J206" s="48">
        <v>16.5</v>
      </c>
      <c r="K206" s="48">
        <v>16.5</v>
      </c>
    </row>
    <row r="207" s="49" customFormat="1" spans="4:11">
      <c r="D207" s="45">
        <v>46073</v>
      </c>
      <c r="E207" s="46">
        <v>1579301</v>
      </c>
      <c r="F207" s="46" t="s">
        <v>20</v>
      </c>
      <c r="G207" s="47">
        <v>20342042</v>
      </c>
      <c r="H207" s="46" t="s">
        <v>25</v>
      </c>
      <c r="I207" s="47">
        <v>2</v>
      </c>
      <c r="J207" s="48">
        <v>16.5</v>
      </c>
      <c r="K207" s="48">
        <v>33</v>
      </c>
    </row>
    <row r="208" s="49" customFormat="1" spans="4:11">
      <c r="D208" s="45">
        <v>46073</v>
      </c>
      <c r="E208" s="46">
        <v>1579301</v>
      </c>
      <c r="F208" s="46" t="s">
        <v>20</v>
      </c>
      <c r="G208" s="47">
        <v>20318393</v>
      </c>
      <c r="H208" s="46" t="s">
        <v>26</v>
      </c>
      <c r="I208" s="47">
        <v>1</v>
      </c>
      <c r="J208" s="48">
        <v>16.5</v>
      </c>
      <c r="K208" s="48">
        <v>16.5</v>
      </c>
    </row>
    <row r="209" s="49" customFormat="1" spans="4:11">
      <c r="D209" s="45">
        <v>46074</v>
      </c>
      <c r="E209" s="46">
        <v>1579365</v>
      </c>
      <c r="F209" s="46" t="s">
        <v>13</v>
      </c>
      <c r="G209" s="47">
        <v>20326613</v>
      </c>
      <c r="H209" s="46" t="s">
        <v>14</v>
      </c>
      <c r="I209" s="47">
        <v>11</v>
      </c>
      <c r="J209" s="48">
        <v>88</v>
      </c>
      <c r="K209" s="48">
        <v>968</v>
      </c>
    </row>
    <row r="210" s="49" customFormat="1" spans="4:11">
      <c r="D210" s="45">
        <v>46074</v>
      </c>
      <c r="E210" s="46">
        <v>1579365</v>
      </c>
      <c r="F210" s="46" t="s">
        <v>16</v>
      </c>
      <c r="G210" s="47">
        <v>20330564</v>
      </c>
      <c r="H210" s="46" t="s">
        <v>65</v>
      </c>
      <c r="I210" s="47">
        <v>1</v>
      </c>
      <c r="J210" s="48">
        <v>16.5</v>
      </c>
      <c r="K210" s="48">
        <v>16.5</v>
      </c>
    </row>
    <row r="211" s="49" customFormat="1" spans="4:11">
      <c r="D211" s="45">
        <v>46074</v>
      </c>
      <c r="E211" s="46">
        <v>1579365</v>
      </c>
      <c r="F211" s="46" t="s">
        <v>16</v>
      </c>
      <c r="G211" s="47">
        <v>20329846</v>
      </c>
      <c r="H211" s="46" t="s">
        <v>51</v>
      </c>
      <c r="I211" s="47">
        <v>1</v>
      </c>
      <c r="J211" s="48">
        <v>13.5</v>
      </c>
      <c r="K211" s="48">
        <v>13.5</v>
      </c>
    </row>
    <row r="212" s="49" customFormat="1" spans="4:11">
      <c r="D212" s="45">
        <v>46074</v>
      </c>
      <c r="E212" s="46">
        <v>1579365</v>
      </c>
      <c r="F212" s="46" t="s">
        <v>16</v>
      </c>
      <c r="G212" s="47">
        <v>20329847</v>
      </c>
      <c r="H212" s="46" t="s">
        <v>17</v>
      </c>
      <c r="I212" s="47">
        <v>2</v>
      </c>
      <c r="J212" s="48">
        <v>13</v>
      </c>
      <c r="K212" s="48">
        <v>26</v>
      </c>
    </row>
    <row r="213" s="49" customFormat="1" spans="4:11">
      <c r="D213" s="45">
        <v>46074</v>
      </c>
      <c r="E213" s="46">
        <v>1579365</v>
      </c>
      <c r="F213" s="46" t="s">
        <v>16</v>
      </c>
      <c r="G213" s="47">
        <v>20318239</v>
      </c>
      <c r="H213" s="46" t="s">
        <v>66</v>
      </c>
      <c r="I213" s="47">
        <v>1</v>
      </c>
      <c r="J213" s="48">
        <v>16.5</v>
      </c>
      <c r="K213" s="48">
        <v>16.5</v>
      </c>
    </row>
    <row r="214" s="49" customFormat="1" spans="4:11">
      <c r="D214" s="45">
        <v>46074</v>
      </c>
      <c r="E214" s="46">
        <v>1579365</v>
      </c>
      <c r="F214" s="46" t="s">
        <v>20</v>
      </c>
      <c r="G214" s="47">
        <v>20321257</v>
      </c>
      <c r="H214" s="46" t="s">
        <v>21</v>
      </c>
      <c r="I214" s="47">
        <v>4</v>
      </c>
      <c r="J214" s="48">
        <v>16.5</v>
      </c>
      <c r="K214" s="48">
        <v>66</v>
      </c>
    </row>
    <row r="215" s="49" customFormat="1" spans="4:11">
      <c r="D215" s="45">
        <v>46074</v>
      </c>
      <c r="E215" s="46">
        <v>1579365</v>
      </c>
      <c r="F215" s="46" t="s">
        <v>20</v>
      </c>
      <c r="G215" s="47">
        <v>20318332</v>
      </c>
      <c r="H215" s="46" t="s">
        <v>23</v>
      </c>
      <c r="I215" s="47">
        <v>1</v>
      </c>
      <c r="J215" s="48">
        <v>22</v>
      </c>
      <c r="K215" s="48">
        <v>22</v>
      </c>
    </row>
    <row r="216" s="49" customFormat="1" spans="4:11">
      <c r="D216" s="45">
        <v>46074</v>
      </c>
      <c r="E216" s="46">
        <v>1579365</v>
      </c>
      <c r="F216" s="46" t="s">
        <v>20</v>
      </c>
      <c r="G216" s="47">
        <v>20318262</v>
      </c>
      <c r="H216" s="46" t="s">
        <v>24</v>
      </c>
      <c r="I216" s="47">
        <v>2</v>
      </c>
      <c r="J216" s="48">
        <v>16.5</v>
      </c>
      <c r="K216" s="48">
        <v>33</v>
      </c>
    </row>
    <row r="217" s="49" customFormat="1" spans="4:11">
      <c r="D217" s="45">
        <v>46074</v>
      </c>
      <c r="E217" s="46">
        <v>1579365</v>
      </c>
      <c r="F217" s="46" t="s">
        <v>20</v>
      </c>
      <c r="G217" s="47">
        <v>20318375</v>
      </c>
      <c r="H217" s="46" t="s">
        <v>67</v>
      </c>
      <c r="I217" s="47">
        <v>1</v>
      </c>
      <c r="J217" s="48">
        <v>16.5</v>
      </c>
      <c r="K217" s="48">
        <v>16.5</v>
      </c>
    </row>
    <row r="218" s="49" customFormat="1" spans="4:11">
      <c r="D218" s="45">
        <v>46074</v>
      </c>
      <c r="E218" s="46">
        <v>1579365</v>
      </c>
      <c r="F218" s="46" t="s">
        <v>20</v>
      </c>
      <c r="G218" s="47">
        <v>20014827</v>
      </c>
      <c r="H218" s="46" t="s">
        <v>38</v>
      </c>
      <c r="I218" s="47">
        <v>1</v>
      </c>
      <c r="J218" s="48">
        <v>16.5</v>
      </c>
      <c r="K218" s="48">
        <v>16.5</v>
      </c>
    </row>
    <row r="219" s="49" customFormat="1" spans="4:11">
      <c r="D219" s="45">
        <v>46074</v>
      </c>
      <c r="E219" s="46">
        <v>1579365</v>
      </c>
      <c r="F219" s="46" t="s">
        <v>20</v>
      </c>
      <c r="G219" s="47">
        <v>20014824</v>
      </c>
      <c r="H219" s="46" t="s">
        <v>68</v>
      </c>
      <c r="I219" s="47">
        <v>1</v>
      </c>
      <c r="J219" s="48">
        <v>16.5</v>
      </c>
      <c r="K219" s="48">
        <v>16.5</v>
      </c>
    </row>
    <row r="220" s="49" customFormat="1" spans="4:11">
      <c r="D220" s="45">
        <v>46074</v>
      </c>
      <c r="E220" s="46">
        <v>1579365</v>
      </c>
      <c r="F220" s="46" t="s">
        <v>20</v>
      </c>
      <c r="G220" s="47">
        <v>20321688</v>
      </c>
      <c r="H220" s="46" t="s">
        <v>63</v>
      </c>
      <c r="I220" s="47">
        <v>1</v>
      </c>
      <c r="J220" s="48">
        <v>16.5</v>
      </c>
      <c r="K220" s="48">
        <v>16.5</v>
      </c>
    </row>
    <row r="221" s="49" customFormat="1" spans="4:11">
      <c r="D221" s="45">
        <v>46074</v>
      </c>
      <c r="E221" s="46">
        <v>1579365</v>
      </c>
      <c r="F221" s="46" t="s">
        <v>20</v>
      </c>
      <c r="G221" s="47">
        <v>20321468</v>
      </c>
      <c r="H221" s="46" t="s">
        <v>69</v>
      </c>
      <c r="I221" s="47">
        <v>1</v>
      </c>
      <c r="J221" s="48">
        <v>16.5</v>
      </c>
      <c r="K221" s="48">
        <v>16.5</v>
      </c>
    </row>
    <row r="222" s="49" customFormat="1" spans="4:11">
      <c r="D222" s="45">
        <v>46074</v>
      </c>
      <c r="E222" s="46">
        <v>1579365</v>
      </c>
      <c r="F222" s="46" t="s">
        <v>20</v>
      </c>
      <c r="G222" s="47">
        <v>20342042</v>
      </c>
      <c r="H222" s="46" t="s">
        <v>25</v>
      </c>
      <c r="I222" s="47">
        <v>2</v>
      </c>
      <c r="J222" s="48">
        <v>16.5</v>
      </c>
      <c r="K222" s="48">
        <v>33</v>
      </c>
    </row>
    <row r="223" s="49" customFormat="1" spans="4:11">
      <c r="D223" s="45">
        <v>46075</v>
      </c>
      <c r="E223" s="46">
        <v>1579436</v>
      </c>
      <c r="F223" s="46" t="s">
        <v>13</v>
      </c>
      <c r="G223" s="47">
        <v>20326613</v>
      </c>
      <c r="H223" s="46" t="s">
        <v>14</v>
      </c>
      <c r="I223" s="47">
        <v>7</v>
      </c>
      <c r="J223" s="48">
        <v>88</v>
      </c>
      <c r="K223" s="48">
        <v>616</v>
      </c>
    </row>
    <row r="224" s="49" customFormat="1" spans="4:11">
      <c r="D224" s="45">
        <v>46075</v>
      </c>
      <c r="E224" s="46">
        <v>1579436</v>
      </c>
      <c r="F224" s="46" t="s">
        <v>16</v>
      </c>
      <c r="G224" s="47">
        <v>20329847</v>
      </c>
      <c r="H224" s="46" t="s">
        <v>17</v>
      </c>
      <c r="I224" s="47">
        <v>1</v>
      </c>
      <c r="J224" s="48">
        <v>13</v>
      </c>
      <c r="K224" s="48">
        <v>13</v>
      </c>
    </row>
    <row r="225" s="49" customFormat="1" spans="4:11">
      <c r="D225" s="45">
        <v>46075</v>
      </c>
      <c r="E225" s="46">
        <v>1579436</v>
      </c>
      <c r="F225" s="46" t="s">
        <v>20</v>
      </c>
      <c r="G225" s="47">
        <v>20321257</v>
      </c>
      <c r="H225" s="46" t="s">
        <v>21</v>
      </c>
      <c r="I225" s="47">
        <v>1</v>
      </c>
      <c r="J225" s="48">
        <v>16.5</v>
      </c>
      <c r="K225" s="48">
        <v>16.5</v>
      </c>
    </row>
    <row r="226" s="49" customFormat="1" spans="4:11">
      <c r="D226" s="45">
        <v>46075</v>
      </c>
      <c r="E226" s="46">
        <v>1579436</v>
      </c>
      <c r="F226" s="46" t="s">
        <v>20</v>
      </c>
      <c r="G226" s="47">
        <v>20318229</v>
      </c>
      <c r="H226" s="46" t="s">
        <v>37</v>
      </c>
      <c r="I226" s="47">
        <v>1</v>
      </c>
      <c r="J226" s="48">
        <v>16.5</v>
      </c>
      <c r="K226" s="48">
        <v>16.5</v>
      </c>
    </row>
    <row r="227" s="49" customFormat="1" spans="4:11">
      <c r="D227" s="45">
        <v>46075</v>
      </c>
      <c r="E227" s="46">
        <v>1579436</v>
      </c>
      <c r="F227" s="46" t="s">
        <v>20</v>
      </c>
      <c r="G227" s="47">
        <v>20014827</v>
      </c>
      <c r="H227" s="46" t="s">
        <v>38</v>
      </c>
      <c r="I227" s="47">
        <v>2</v>
      </c>
      <c r="J227" s="48">
        <v>16.5</v>
      </c>
      <c r="K227" s="48">
        <v>33</v>
      </c>
    </row>
    <row r="228" s="49" customFormat="1" spans="4:11">
      <c r="D228" s="45">
        <v>46075</v>
      </c>
      <c r="E228" s="46">
        <v>1579436</v>
      </c>
      <c r="F228" s="46" t="s">
        <v>20</v>
      </c>
      <c r="G228" s="47">
        <v>20342042</v>
      </c>
      <c r="H228" s="46" t="s">
        <v>25</v>
      </c>
      <c r="I228" s="47">
        <v>3</v>
      </c>
      <c r="J228" s="48">
        <v>16.5</v>
      </c>
      <c r="K228" s="48">
        <v>49.5</v>
      </c>
    </row>
    <row r="229" s="49" customFormat="1" spans="4:11">
      <c r="D229" s="45">
        <v>46076</v>
      </c>
      <c r="E229" s="46">
        <v>1579518</v>
      </c>
      <c r="F229" s="46" t="s">
        <v>13</v>
      </c>
      <c r="G229" s="47">
        <v>20326613</v>
      </c>
      <c r="H229" s="46" t="s">
        <v>14</v>
      </c>
      <c r="I229" s="47">
        <v>2</v>
      </c>
      <c r="J229" s="48">
        <v>88</v>
      </c>
      <c r="K229" s="48">
        <v>176</v>
      </c>
    </row>
    <row r="230" s="49" customFormat="1" spans="4:11">
      <c r="D230" s="45">
        <v>46076</v>
      </c>
      <c r="E230" s="46">
        <v>1579518</v>
      </c>
      <c r="F230" s="46" t="s">
        <v>16</v>
      </c>
      <c r="G230" s="47">
        <v>20318235</v>
      </c>
      <c r="H230" s="46" t="s">
        <v>27</v>
      </c>
      <c r="I230" s="47">
        <v>2</v>
      </c>
      <c r="J230" s="48">
        <v>8</v>
      </c>
      <c r="K230" s="48">
        <v>16</v>
      </c>
    </row>
    <row r="231" s="49" customFormat="1" spans="4:11">
      <c r="D231" s="45">
        <v>46076</v>
      </c>
      <c r="E231" s="46">
        <v>1579518</v>
      </c>
      <c r="F231" s="46" t="s">
        <v>20</v>
      </c>
      <c r="G231" s="47">
        <v>20321257</v>
      </c>
      <c r="H231" s="46" t="s">
        <v>21</v>
      </c>
      <c r="I231" s="47">
        <v>1</v>
      </c>
      <c r="J231" s="48">
        <v>16.5</v>
      </c>
      <c r="K231" s="48">
        <v>16.5</v>
      </c>
    </row>
    <row r="232" s="49" customFormat="1" spans="4:11">
      <c r="D232" s="45">
        <v>46076</v>
      </c>
      <c r="E232" s="46">
        <v>1579518</v>
      </c>
      <c r="F232" s="46" t="s">
        <v>20</v>
      </c>
      <c r="G232" s="47">
        <v>20318262</v>
      </c>
      <c r="H232" s="46" t="s">
        <v>24</v>
      </c>
      <c r="I232" s="47">
        <v>2</v>
      </c>
      <c r="J232" s="48">
        <v>16.5</v>
      </c>
      <c r="K232" s="48">
        <v>33</v>
      </c>
    </row>
    <row r="233" s="49" customFormat="1" spans="4:11">
      <c r="D233" s="45">
        <v>46077</v>
      </c>
      <c r="E233" s="46">
        <v>1579623</v>
      </c>
      <c r="F233" s="46" t="s">
        <v>13</v>
      </c>
      <c r="G233" s="47">
        <v>20326613</v>
      </c>
      <c r="H233" s="46" t="s">
        <v>14</v>
      </c>
      <c r="I233" s="47">
        <v>3</v>
      </c>
      <c r="J233" s="48">
        <v>88</v>
      </c>
      <c r="K233" s="48">
        <v>264</v>
      </c>
    </row>
    <row r="234" s="49" customFormat="1" spans="4:11">
      <c r="D234" s="45">
        <v>46077</v>
      </c>
      <c r="E234" s="46">
        <v>1579623</v>
      </c>
      <c r="F234" s="46" t="s">
        <v>16</v>
      </c>
      <c r="G234" s="47">
        <v>20329843</v>
      </c>
      <c r="H234" s="46" t="s">
        <v>52</v>
      </c>
      <c r="I234" s="47">
        <v>1</v>
      </c>
      <c r="J234" s="48">
        <v>11</v>
      </c>
      <c r="K234" s="48">
        <v>11</v>
      </c>
    </row>
    <row r="235" s="49" customFormat="1" spans="4:11">
      <c r="D235" s="45">
        <v>46077</v>
      </c>
      <c r="E235" s="46">
        <v>1579623</v>
      </c>
      <c r="F235" s="46" t="s">
        <v>16</v>
      </c>
      <c r="G235" s="47">
        <v>20331668</v>
      </c>
      <c r="H235" s="46" t="s">
        <v>29</v>
      </c>
      <c r="I235" s="47">
        <v>1</v>
      </c>
      <c r="J235" s="48">
        <v>8</v>
      </c>
      <c r="K235" s="48">
        <v>8</v>
      </c>
    </row>
    <row r="236" s="49" customFormat="1" spans="4:11">
      <c r="D236" s="45">
        <v>46077</v>
      </c>
      <c r="E236" s="46">
        <v>1579623</v>
      </c>
      <c r="F236" s="46" t="s">
        <v>16</v>
      </c>
      <c r="G236" s="47">
        <v>20329847</v>
      </c>
      <c r="H236" s="46" t="s">
        <v>17</v>
      </c>
      <c r="I236" s="47">
        <v>2</v>
      </c>
      <c r="J236" s="48">
        <v>13</v>
      </c>
      <c r="K236" s="48">
        <v>26</v>
      </c>
    </row>
    <row r="237" s="49" customFormat="1" spans="4:11">
      <c r="D237" s="45">
        <v>46077</v>
      </c>
      <c r="E237" s="46">
        <v>1579623</v>
      </c>
      <c r="F237" s="46" t="s">
        <v>53</v>
      </c>
      <c r="G237" s="47">
        <v>20393221</v>
      </c>
      <c r="H237" s="46" t="s">
        <v>70</v>
      </c>
      <c r="I237" s="47">
        <v>1</v>
      </c>
      <c r="J237" s="48">
        <v>35</v>
      </c>
      <c r="K237" s="48">
        <v>35</v>
      </c>
    </row>
    <row r="238" s="49" customFormat="1" spans="4:11">
      <c r="D238" s="45">
        <v>46077</v>
      </c>
      <c r="E238" s="46">
        <v>1579623</v>
      </c>
      <c r="F238" s="46" t="s">
        <v>20</v>
      </c>
      <c r="G238" s="47">
        <v>20321257</v>
      </c>
      <c r="H238" s="46" t="s">
        <v>21</v>
      </c>
      <c r="I238" s="47">
        <v>1</v>
      </c>
      <c r="J238" s="48">
        <v>16.5</v>
      </c>
      <c r="K238" s="48">
        <v>16.5</v>
      </c>
    </row>
    <row r="239" s="49" customFormat="1" spans="4:11">
      <c r="D239" s="45">
        <v>46077</v>
      </c>
      <c r="E239" s="46">
        <v>1579693</v>
      </c>
      <c r="F239" s="46" t="s">
        <v>13</v>
      </c>
      <c r="G239" s="47">
        <v>20326613</v>
      </c>
      <c r="H239" s="46" t="s">
        <v>14</v>
      </c>
      <c r="I239" s="47">
        <v>4</v>
      </c>
      <c r="J239" s="48">
        <v>88</v>
      </c>
      <c r="K239" s="48">
        <v>352</v>
      </c>
    </row>
    <row r="240" s="49" customFormat="1" spans="4:11">
      <c r="D240" s="45">
        <v>46077</v>
      </c>
      <c r="E240" s="46">
        <v>1579693</v>
      </c>
      <c r="F240" s="46" t="s">
        <v>16</v>
      </c>
      <c r="G240" s="47">
        <v>20318235</v>
      </c>
      <c r="H240" s="46" t="s">
        <v>27</v>
      </c>
      <c r="I240" s="47">
        <v>1</v>
      </c>
      <c r="J240" s="48">
        <v>8</v>
      </c>
      <c r="K240" s="48">
        <v>8</v>
      </c>
    </row>
    <row r="241" s="49" customFormat="1" spans="4:11">
      <c r="D241" s="45">
        <v>46077</v>
      </c>
      <c r="E241" s="46">
        <v>1579693</v>
      </c>
      <c r="F241" s="46" t="s">
        <v>16</v>
      </c>
      <c r="G241" s="47">
        <v>20331668</v>
      </c>
      <c r="H241" s="46" t="s">
        <v>29</v>
      </c>
      <c r="I241" s="47">
        <v>2</v>
      </c>
      <c r="J241" s="48">
        <v>8</v>
      </c>
      <c r="K241" s="48">
        <v>16</v>
      </c>
    </row>
    <row r="242" s="49" customFormat="1" spans="4:11">
      <c r="D242" s="45">
        <v>46077</v>
      </c>
      <c r="E242" s="46">
        <v>1579693</v>
      </c>
      <c r="F242" s="46" t="s">
        <v>16</v>
      </c>
      <c r="G242" s="47">
        <v>20329847</v>
      </c>
      <c r="H242" s="46" t="s">
        <v>17</v>
      </c>
      <c r="I242" s="47">
        <v>1</v>
      </c>
      <c r="J242" s="48">
        <v>13</v>
      </c>
      <c r="K242" s="48">
        <v>13</v>
      </c>
    </row>
    <row r="243" s="49" customFormat="1" spans="4:11">
      <c r="D243" s="45">
        <v>46077</v>
      </c>
      <c r="E243" s="46">
        <v>1579693</v>
      </c>
      <c r="F243" s="46" t="s">
        <v>20</v>
      </c>
      <c r="G243" s="47">
        <v>20321257</v>
      </c>
      <c r="H243" s="46" t="s">
        <v>21</v>
      </c>
      <c r="I243" s="47">
        <v>1</v>
      </c>
      <c r="J243" s="48">
        <v>16.5</v>
      </c>
      <c r="K243" s="48">
        <v>16.5</v>
      </c>
    </row>
    <row r="244" s="49" customFormat="1" spans="4:11">
      <c r="D244" s="45">
        <v>46077</v>
      </c>
      <c r="E244" s="46">
        <v>1579693</v>
      </c>
      <c r="F244" s="46" t="s">
        <v>20</v>
      </c>
      <c r="G244" s="47">
        <v>20318262</v>
      </c>
      <c r="H244" s="46" t="s">
        <v>24</v>
      </c>
      <c r="I244" s="47">
        <v>1</v>
      </c>
      <c r="J244" s="48">
        <v>16.5</v>
      </c>
      <c r="K244" s="48">
        <v>16.5</v>
      </c>
    </row>
    <row r="245" s="49" customFormat="1" spans="4:11">
      <c r="D245" s="45">
        <v>46077</v>
      </c>
      <c r="E245" s="46">
        <v>1579724</v>
      </c>
      <c r="F245" s="46" t="s">
        <v>13</v>
      </c>
      <c r="G245" s="47">
        <v>20328374</v>
      </c>
      <c r="H245" s="46" t="s">
        <v>71</v>
      </c>
      <c r="I245" s="47">
        <v>1</v>
      </c>
      <c r="J245" s="48">
        <v>264</v>
      </c>
      <c r="K245" s="48">
        <v>264</v>
      </c>
    </row>
    <row r="246" s="49" customFormat="1" spans="4:11">
      <c r="D246" s="45">
        <v>46077</v>
      </c>
      <c r="E246" s="46">
        <v>1579724</v>
      </c>
      <c r="F246" s="46" t="s">
        <v>39</v>
      </c>
      <c r="G246" s="47">
        <v>20328192</v>
      </c>
      <c r="H246" s="46" t="s">
        <v>40</v>
      </c>
      <c r="I246" s="47">
        <v>1</v>
      </c>
      <c r="J246" s="48">
        <v>38.5</v>
      </c>
      <c r="K246" s="48">
        <v>38.5</v>
      </c>
    </row>
    <row r="247" s="49" customFormat="1" spans="4:11">
      <c r="D247" s="45">
        <v>46077</v>
      </c>
      <c r="E247" s="46">
        <v>1579724</v>
      </c>
      <c r="F247" s="46" t="s">
        <v>20</v>
      </c>
      <c r="G247" s="47">
        <v>20321257</v>
      </c>
      <c r="H247" s="46" t="s">
        <v>21</v>
      </c>
      <c r="I247" s="47">
        <v>1</v>
      </c>
      <c r="J247" s="48">
        <v>16.5</v>
      </c>
      <c r="K247" s="48">
        <v>16.5</v>
      </c>
    </row>
    <row r="248" s="49" customFormat="1" spans="4:11">
      <c r="D248" s="45">
        <v>46077</v>
      </c>
      <c r="E248" s="46">
        <v>1579724</v>
      </c>
      <c r="F248" s="46" t="s">
        <v>20</v>
      </c>
      <c r="G248" s="47">
        <v>20318262</v>
      </c>
      <c r="H248" s="46" t="s">
        <v>24</v>
      </c>
      <c r="I248" s="47">
        <v>1</v>
      </c>
      <c r="J248" s="48">
        <v>16.5</v>
      </c>
      <c r="K248" s="48">
        <v>16.5</v>
      </c>
    </row>
    <row r="249" s="49" customFormat="1" spans="4:11">
      <c r="D249" s="45">
        <v>46077</v>
      </c>
      <c r="E249" s="46">
        <v>1579724</v>
      </c>
      <c r="F249" s="46" t="s">
        <v>20</v>
      </c>
      <c r="G249" s="47">
        <v>20321468</v>
      </c>
      <c r="H249" s="46" t="s">
        <v>69</v>
      </c>
      <c r="I249" s="47">
        <v>1</v>
      </c>
      <c r="J249" s="48">
        <v>16.5</v>
      </c>
      <c r="K249" s="48">
        <v>16.5</v>
      </c>
    </row>
    <row r="250" s="49" customFormat="1" spans="4:11">
      <c r="D250" s="45">
        <v>46078</v>
      </c>
      <c r="E250" s="46">
        <v>1579911</v>
      </c>
      <c r="F250" s="46" t="s">
        <v>13</v>
      </c>
      <c r="G250" s="47">
        <v>20326613</v>
      </c>
      <c r="H250" s="46" t="s">
        <v>14</v>
      </c>
      <c r="I250" s="47">
        <v>7</v>
      </c>
      <c r="J250" s="48">
        <v>88</v>
      </c>
      <c r="K250" s="48">
        <v>616</v>
      </c>
    </row>
    <row r="251" s="49" customFormat="1" spans="4:11">
      <c r="D251" s="45">
        <v>46078</v>
      </c>
      <c r="E251" s="46">
        <v>1579911</v>
      </c>
      <c r="F251" s="46" t="s">
        <v>16</v>
      </c>
      <c r="G251" s="47">
        <v>20329846</v>
      </c>
      <c r="H251" s="46" t="s">
        <v>51</v>
      </c>
      <c r="I251" s="47">
        <v>1</v>
      </c>
      <c r="J251" s="48">
        <v>13.5</v>
      </c>
      <c r="K251" s="48">
        <v>13.5</v>
      </c>
    </row>
    <row r="252" s="49" customFormat="1" spans="4:11">
      <c r="D252" s="45">
        <v>46078</v>
      </c>
      <c r="E252" s="46">
        <v>1579911</v>
      </c>
      <c r="F252" s="46" t="s">
        <v>16</v>
      </c>
      <c r="G252" s="47">
        <v>20318250</v>
      </c>
      <c r="H252" s="46" t="s">
        <v>47</v>
      </c>
      <c r="I252" s="47">
        <v>1</v>
      </c>
      <c r="J252" s="48">
        <v>8</v>
      </c>
      <c r="K252" s="48">
        <v>8</v>
      </c>
    </row>
    <row r="253" s="49" customFormat="1" spans="4:11">
      <c r="D253" s="45">
        <v>46078</v>
      </c>
      <c r="E253" s="46">
        <v>1579911</v>
      </c>
      <c r="F253" s="46" t="s">
        <v>16</v>
      </c>
      <c r="G253" s="47">
        <v>20331668</v>
      </c>
      <c r="H253" s="46" t="s">
        <v>29</v>
      </c>
      <c r="I253" s="47">
        <v>3</v>
      </c>
      <c r="J253" s="48">
        <v>8</v>
      </c>
      <c r="K253" s="48">
        <v>24</v>
      </c>
    </row>
    <row r="254" s="49" customFormat="1" spans="4:11">
      <c r="D254" s="45">
        <v>46078</v>
      </c>
      <c r="E254" s="46">
        <v>1579911</v>
      </c>
      <c r="F254" s="46" t="s">
        <v>16</v>
      </c>
      <c r="G254" s="47">
        <v>20329847</v>
      </c>
      <c r="H254" s="46" t="s">
        <v>17</v>
      </c>
      <c r="I254" s="47">
        <v>1</v>
      </c>
      <c r="J254" s="48">
        <v>13</v>
      </c>
      <c r="K254" s="48">
        <v>13</v>
      </c>
    </row>
    <row r="255" s="49" customFormat="1" spans="4:11">
      <c r="D255" s="45">
        <v>46078</v>
      </c>
      <c r="E255" s="46">
        <v>1579911</v>
      </c>
      <c r="F255" s="46" t="s">
        <v>16</v>
      </c>
      <c r="G255" s="47">
        <v>20331472</v>
      </c>
      <c r="H255" s="46" t="s">
        <v>44</v>
      </c>
      <c r="I255" s="47">
        <v>1</v>
      </c>
      <c r="J255" s="48">
        <v>8</v>
      </c>
      <c r="K255" s="48">
        <v>8</v>
      </c>
    </row>
    <row r="256" s="49" customFormat="1" spans="4:11">
      <c r="D256" s="45">
        <v>46078</v>
      </c>
      <c r="E256" s="46">
        <v>1579911</v>
      </c>
      <c r="F256" s="46" t="s">
        <v>18</v>
      </c>
      <c r="G256" s="47">
        <v>20322228</v>
      </c>
      <c r="H256" s="46" t="s">
        <v>19</v>
      </c>
      <c r="I256" s="47">
        <v>1</v>
      </c>
      <c r="J256" s="48">
        <v>15</v>
      </c>
      <c r="K256" s="48">
        <v>15</v>
      </c>
    </row>
    <row r="257" s="49" customFormat="1" spans="4:11">
      <c r="D257" s="45">
        <v>46078</v>
      </c>
      <c r="E257" s="46">
        <v>1579911</v>
      </c>
      <c r="F257" s="46" t="s">
        <v>20</v>
      </c>
      <c r="G257" s="47">
        <v>20321257</v>
      </c>
      <c r="H257" s="46" t="s">
        <v>21</v>
      </c>
      <c r="I257" s="47">
        <v>3</v>
      </c>
      <c r="J257" s="48">
        <v>16.5</v>
      </c>
      <c r="K257" s="48">
        <v>49.5</v>
      </c>
    </row>
    <row r="258" s="49" customFormat="1" spans="4:11">
      <c r="D258" s="45">
        <v>46078</v>
      </c>
      <c r="E258" s="46">
        <v>1579911</v>
      </c>
      <c r="F258" s="46" t="s">
        <v>20</v>
      </c>
      <c r="G258" s="47">
        <v>20318229</v>
      </c>
      <c r="H258" s="46" t="s">
        <v>37</v>
      </c>
      <c r="I258" s="47">
        <v>1</v>
      </c>
      <c r="J258" s="48">
        <v>16.5</v>
      </c>
      <c r="K258" s="48">
        <v>16.5</v>
      </c>
    </row>
    <row r="259" s="49" customFormat="1" spans="4:11">
      <c r="D259" s="45">
        <v>46078</v>
      </c>
      <c r="E259" s="46">
        <v>1579911</v>
      </c>
      <c r="F259" s="46" t="s">
        <v>20</v>
      </c>
      <c r="G259" s="47">
        <v>20318262</v>
      </c>
      <c r="H259" s="46" t="s">
        <v>24</v>
      </c>
      <c r="I259" s="47">
        <v>2</v>
      </c>
      <c r="J259" s="48">
        <v>16.5</v>
      </c>
      <c r="K259" s="48">
        <v>33</v>
      </c>
    </row>
    <row r="260" s="49" customFormat="1" spans="4:11">
      <c r="D260" s="45">
        <v>46078</v>
      </c>
      <c r="E260" s="46">
        <v>1579911</v>
      </c>
      <c r="F260" s="46" t="s">
        <v>20</v>
      </c>
      <c r="G260" s="47">
        <v>20014827</v>
      </c>
      <c r="H260" s="46" t="s">
        <v>38</v>
      </c>
      <c r="I260" s="47">
        <v>2</v>
      </c>
      <c r="J260" s="48">
        <v>16.5</v>
      </c>
      <c r="K260" s="48">
        <v>33</v>
      </c>
    </row>
    <row r="261" s="49" customFormat="1" spans="4:11">
      <c r="D261" s="45">
        <v>46078</v>
      </c>
      <c r="E261" s="46">
        <v>1579911</v>
      </c>
      <c r="F261" s="46" t="s">
        <v>20</v>
      </c>
      <c r="G261" s="47">
        <v>20342042</v>
      </c>
      <c r="H261" s="46" t="s">
        <v>25</v>
      </c>
      <c r="I261" s="47">
        <v>2</v>
      </c>
      <c r="J261" s="48">
        <v>16.5</v>
      </c>
      <c r="K261" s="48">
        <v>33</v>
      </c>
    </row>
    <row r="262" s="49" customFormat="1" spans="4:11">
      <c r="D262" s="45">
        <v>46078</v>
      </c>
      <c r="E262" s="46">
        <v>1579911</v>
      </c>
      <c r="F262" s="46" t="s">
        <v>20</v>
      </c>
      <c r="G262" s="47">
        <v>20318393</v>
      </c>
      <c r="H262" s="46" t="s">
        <v>26</v>
      </c>
      <c r="I262" s="47">
        <v>1</v>
      </c>
      <c r="J262" s="48">
        <v>16.5</v>
      </c>
      <c r="K262" s="48">
        <v>16.5</v>
      </c>
    </row>
    <row r="263" s="49" customFormat="1" spans="4:11">
      <c r="D263" s="45">
        <v>46078</v>
      </c>
      <c r="E263" s="46">
        <v>1580041</v>
      </c>
      <c r="F263" s="46" t="s">
        <v>13</v>
      </c>
      <c r="G263" s="47">
        <v>20326613</v>
      </c>
      <c r="H263" s="46" t="s">
        <v>14</v>
      </c>
      <c r="I263" s="47">
        <v>4</v>
      </c>
      <c r="J263" s="48">
        <v>88</v>
      </c>
      <c r="K263" s="48">
        <v>352</v>
      </c>
    </row>
    <row r="264" s="49" customFormat="1" spans="4:11">
      <c r="D264" s="45">
        <v>46078</v>
      </c>
      <c r="E264" s="46">
        <v>1580041</v>
      </c>
      <c r="F264" s="46" t="s">
        <v>13</v>
      </c>
      <c r="G264" s="47">
        <v>20312951</v>
      </c>
      <c r="H264" s="46" t="s">
        <v>72</v>
      </c>
      <c r="I264" s="47">
        <v>1</v>
      </c>
      <c r="J264" s="48">
        <v>165</v>
      </c>
      <c r="K264" s="48">
        <v>165</v>
      </c>
    </row>
    <row r="265" s="49" customFormat="1" spans="4:11">
      <c r="D265" s="45">
        <v>46078</v>
      </c>
      <c r="E265" s="46">
        <v>1580041</v>
      </c>
      <c r="F265" s="46" t="s">
        <v>39</v>
      </c>
      <c r="G265" s="47">
        <v>20328192</v>
      </c>
      <c r="H265" s="46" t="s">
        <v>40</v>
      </c>
      <c r="I265" s="47">
        <v>2</v>
      </c>
      <c r="J265" s="48">
        <v>38.5</v>
      </c>
      <c r="K265" s="48">
        <v>77</v>
      </c>
    </row>
    <row r="266" s="49" customFormat="1" spans="4:11">
      <c r="D266" s="45">
        <v>46078</v>
      </c>
      <c r="E266" s="46">
        <v>1580041</v>
      </c>
      <c r="F266" s="46" t="s">
        <v>16</v>
      </c>
      <c r="G266" s="47">
        <v>20318235</v>
      </c>
      <c r="H266" s="46" t="s">
        <v>27</v>
      </c>
      <c r="I266" s="47">
        <v>1</v>
      </c>
      <c r="J266" s="48">
        <v>8</v>
      </c>
      <c r="K266" s="48">
        <v>8</v>
      </c>
    </row>
    <row r="267" s="49" customFormat="1" spans="4:11">
      <c r="D267" s="45">
        <v>46078</v>
      </c>
      <c r="E267" s="46">
        <v>1580041</v>
      </c>
      <c r="F267" s="46" t="s">
        <v>16</v>
      </c>
      <c r="G267" s="47">
        <v>20331668</v>
      </c>
      <c r="H267" s="46" t="s">
        <v>29</v>
      </c>
      <c r="I267" s="47">
        <v>1</v>
      </c>
      <c r="J267" s="48">
        <v>8</v>
      </c>
      <c r="K267" s="48">
        <v>8</v>
      </c>
    </row>
    <row r="268" s="49" customFormat="1" spans="4:11">
      <c r="D268" s="45">
        <v>46078</v>
      </c>
      <c r="E268" s="46">
        <v>1580041</v>
      </c>
      <c r="F268" s="46" t="s">
        <v>16</v>
      </c>
      <c r="G268" s="47">
        <v>20318231</v>
      </c>
      <c r="H268" s="46" t="s">
        <v>34</v>
      </c>
      <c r="I268" s="47">
        <v>1</v>
      </c>
      <c r="J268" s="48">
        <v>16.5</v>
      </c>
      <c r="K268" s="48">
        <v>16.5</v>
      </c>
    </row>
    <row r="269" s="49" customFormat="1" spans="4:11">
      <c r="D269" s="45">
        <v>46078</v>
      </c>
      <c r="E269" s="46">
        <v>1580041</v>
      </c>
      <c r="F269" s="46" t="s">
        <v>16</v>
      </c>
      <c r="G269" s="47">
        <v>20333142</v>
      </c>
      <c r="H269" s="46" t="s">
        <v>41</v>
      </c>
      <c r="I269" s="47">
        <v>1</v>
      </c>
      <c r="J269" s="48">
        <v>22</v>
      </c>
      <c r="K269" s="48">
        <v>22</v>
      </c>
    </row>
    <row r="270" s="49" customFormat="1" spans="4:11">
      <c r="D270" s="45">
        <v>46078</v>
      </c>
      <c r="E270" s="46">
        <v>1580041</v>
      </c>
      <c r="F270" s="46" t="s">
        <v>30</v>
      </c>
      <c r="G270" s="47">
        <v>20394933</v>
      </c>
      <c r="H270" s="46" t="s">
        <v>45</v>
      </c>
      <c r="I270" s="47">
        <v>2</v>
      </c>
      <c r="J270" s="48">
        <v>66</v>
      </c>
      <c r="K270" s="48">
        <v>132</v>
      </c>
    </row>
    <row r="271" s="49" customFormat="1" spans="4:11">
      <c r="D271" s="45">
        <v>46078</v>
      </c>
      <c r="E271" s="46">
        <v>1580041</v>
      </c>
      <c r="F271" s="46" t="s">
        <v>30</v>
      </c>
      <c r="G271" s="47">
        <v>20351811</v>
      </c>
      <c r="H271" s="46" t="s">
        <v>36</v>
      </c>
      <c r="I271" s="47">
        <v>1</v>
      </c>
      <c r="J271" s="48">
        <v>55</v>
      </c>
      <c r="K271" s="48">
        <v>55</v>
      </c>
    </row>
    <row r="272" s="49" customFormat="1" spans="4:11">
      <c r="D272" s="45">
        <v>46078</v>
      </c>
      <c r="E272" s="46">
        <v>1580041</v>
      </c>
      <c r="F272" s="46" t="s">
        <v>20</v>
      </c>
      <c r="G272" s="47">
        <v>20321257</v>
      </c>
      <c r="H272" s="46" t="s">
        <v>21</v>
      </c>
      <c r="I272" s="47">
        <v>2</v>
      </c>
      <c r="J272" s="48">
        <v>16.5</v>
      </c>
      <c r="K272" s="48">
        <v>33</v>
      </c>
    </row>
    <row r="273" s="49" customFormat="1" spans="4:11">
      <c r="D273" s="45">
        <v>46078</v>
      </c>
      <c r="E273" s="46">
        <v>1580041</v>
      </c>
      <c r="F273" s="46" t="s">
        <v>20</v>
      </c>
      <c r="G273" s="47">
        <v>20318332</v>
      </c>
      <c r="H273" s="46" t="s">
        <v>23</v>
      </c>
      <c r="I273" s="47">
        <v>1</v>
      </c>
      <c r="J273" s="48">
        <v>22</v>
      </c>
      <c r="K273" s="48">
        <v>22</v>
      </c>
    </row>
    <row r="274" s="49" customFormat="1" spans="4:11">
      <c r="D274" s="45">
        <v>46078</v>
      </c>
      <c r="E274" s="46">
        <v>1580041</v>
      </c>
      <c r="F274" s="46" t="s">
        <v>20</v>
      </c>
      <c r="G274" s="47">
        <v>20318262</v>
      </c>
      <c r="H274" s="46" t="s">
        <v>24</v>
      </c>
      <c r="I274" s="47">
        <v>3</v>
      </c>
      <c r="J274" s="48">
        <v>16.5</v>
      </c>
      <c r="K274" s="48">
        <v>49.5</v>
      </c>
    </row>
    <row r="275" s="49" customFormat="1" spans="4:11">
      <c r="D275" s="45">
        <v>46078</v>
      </c>
      <c r="E275" s="46">
        <v>1580072</v>
      </c>
      <c r="F275" s="46" t="s">
        <v>13</v>
      </c>
      <c r="G275" s="47">
        <v>20326613</v>
      </c>
      <c r="H275" s="46" t="s">
        <v>14</v>
      </c>
      <c r="I275" s="47">
        <v>3</v>
      </c>
      <c r="J275" s="48">
        <v>88</v>
      </c>
      <c r="K275" s="48">
        <v>264</v>
      </c>
    </row>
    <row r="276" s="49" customFormat="1" spans="4:11">
      <c r="D276" s="45">
        <v>46078</v>
      </c>
      <c r="E276" s="46">
        <v>1580072</v>
      </c>
      <c r="F276" s="46" t="s">
        <v>13</v>
      </c>
      <c r="G276" s="47">
        <v>20318094</v>
      </c>
      <c r="H276" s="46" t="s">
        <v>73</v>
      </c>
      <c r="I276" s="47">
        <v>1</v>
      </c>
      <c r="J276" s="48">
        <v>148.5</v>
      </c>
      <c r="K276" s="48">
        <v>148.5</v>
      </c>
    </row>
    <row r="277" s="49" customFormat="1" spans="4:11">
      <c r="D277" s="45">
        <v>46078</v>
      </c>
      <c r="E277" s="46">
        <v>1580072</v>
      </c>
      <c r="F277" s="46" t="s">
        <v>16</v>
      </c>
      <c r="G277" s="47">
        <v>20333778</v>
      </c>
      <c r="H277" s="46" t="s">
        <v>62</v>
      </c>
      <c r="I277" s="47">
        <v>2</v>
      </c>
      <c r="J277" s="48">
        <v>16.5</v>
      </c>
      <c r="K277" s="48">
        <v>33</v>
      </c>
    </row>
    <row r="278" s="49" customFormat="1" spans="4:11">
      <c r="D278" s="45">
        <v>46078</v>
      </c>
      <c r="E278" s="46">
        <v>1580072</v>
      </c>
      <c r="F278" s="46" t="s">
        <v>20</v>
      </c>
      <c r="G278" s="47">
        <v>20321257</v>
      </c>
      <c r="H278" s="46" t="s">
        <v>21</v>
      </c>
      <c r="I278" s="47">
        <v>2</v>
      </c>
      <c r="J278" s="48">
        <v>16.5</v>
      </c>
      <c r="K278" s="48">
        <v>33</v>
      </c>
    </row>
    <row r="279" s="49" customFormat="1" spans="4:11">
      <c r="D279" s="45">
        <v>46079</v>
      </c>
      <c r="E279" s="46">
        <v>1580234</v>
      </c>
      <c r="F279" s="46" t="s">
        <v>13</v>
      </c>
      <c r="G279" s="47">
        <v>20326613</v>
      </c>
      <c r="H279" s="46" t="s">
        <v>14</v>
      </c>
      <c r="I279" s="47">
        <v>5</v>
      </c>
      <c r="J279" s="48">
        <v>88</v>
      </c>
      <c r="K279" s="48">
        <v>440</v>
      </c>
    </row>
    <row r="280" s="49" customFormat="1" spans="4:11">
      <c r="D280" s="45">
        <v>46079</v>
      </c>
      <c r="E280" s="46">
        <v>1580234</v>
      </c>
      <c r="F280" s="46" t="s">
        <v>16</v>
      </c>
      <c r="G280" s="47">
        <v>20318136</v>
      </c>
      <c r="H280" s="46" t="s">
        <v>57</v>
      </c>
      <c r="I280" s="47">
        <v>1</v>
      </c>
      <c r="J280" s="48">
        <v>8</v>
      </c>
      <c r="K280" s="48">
        <v>8</v>
      </c>
    </row>
    <row r="281" s="49" customFormat="1" spans="4:11">
      <c r="D281" s="45">
        <v>46079</v>
      </c>
      <c r="E281" s="46">
        <v>1580234</v>
      </c>
      <c r="F281" s="46" t="s">
        <v>16</v>
      </c>
      <c r="G281" s="47">
        <v>20318257</v>
      </c>
      <c r="H281" s="46" t="s">
        <v>50</v>
      </c>
      <c r="I281" s="47">
        <v>1</v>
      </c>
      <c r="J281" s="48">
        <v>8</v>
      </c>
      <c r="K281" s="48">
        <v>8</v>
      </c>
    </row>
    <row r="282" s="49" customFormat="1" spans="4:11">
      <c r="D282" s="45">
        <v>46079</v>
      </c>
      <c r="E282" s="46">
        <v>1580234</v>
      </c>
      <c r="F282" s="46" t="s">
        <v>16</v>
      </c>
      <c r="G282" s="47">
        <v>20329846</v>
      </c>
      <c r="H282" s="46" t="s">
        <v>51</v>
      </c>
      <c r="I282" s="47">
        <v>1</v>
      </c>
      <c r="J282" s="48">
        <v>13.5</v>
      </c>
      <c r="K282" s="48">
        <v>13.5</v>
      </c>
    </row>
    <row r="283" s="49" customFormat="1" spans="4:11">
      <c r="D283" s="45">
        <v>46079</v>
      </c>
      <c r="E283" s="46">
        <v>1580234</v>
      </c>
      <c r="F283" s="46" t="s">
        <v>16</v>
      </c>
      <c r="G283" s="47">
        <v>20318236</v>
      </c>
      <c r="H283" s="46" t="s">
        <v>55</v>
      </c>
      <c r="I283" s="47">
        <v>1</v>
      </c>
      <c r="J283" s="48">
        <v>11</v>
      </c>
      <c r="K283" s="48">
        <v>11</v>
      </c>
    </row>
    <row r="284" s="49" customFormat="1" spans="4:11">
      <c r="D284" s="45">
        <v>46079</v>
      </c>
      <c r="E284" s="46">
        <v>1580234</v>
      </c>
      <c r="F284" s="46" t="s">
        <v>16</v>
      </c>
      <c r="G284" s="47">
        <v>20333142</v>
      </c>
      <c r="H284" s="46" t="s">
        <v>41</v>
      </c>
      <c r="I284" s="47">
        <v>1</v>
      </c>
      <c r="J284" s="48">
        <v>22</v>
      </c>
      <c r="K284" s="48">
        <v>22</v>
      </c>
    </row>
    <row r="285" s="49" customFormat="1" spans="4:11">
      <c r="D285" s="45">
        <v>46079</v>
      </c>
      <c r="E285" s="46">
        <v>1580234</v>
      </c>
      <c r="F285" s="46" t="s">
        <v>16</v>
      </c>
      <c r="G285" s="47">
        <v>20318254</v>
      </c>
      <c r="H285" s="46" t="s">
        <v>35</v>
      </c>
      <c r="I285" s="47">
        <v>1</v>
      </c>
      <c r="J285" s="48">
        <v>16.5</v>
      </c>
      <c r="K285" s="48">
        <v>16.5</v>
      </c>
    </row>
    <row r="286" s="49" customFormat="1" spans="4:11">
      <c r="D286" s="45">
        <v>46079</v>
      </c>
      <c r="E286" s="46">
        <v>1580234</v>
      </c>
      <c r="F286" s="46" t="s">
        <v>20</v>
      </c>
      <c r="G286" s="47">
        <v>20321257</v>
      </c>
      <c r="H286" s="46" t="s">
        <v>21</v>
      </c>
      <c r="I286" s="47">
        <v>2</v>
      </c>
      <c r="J286" s="48">
        <v>16.5</v>
      </c>
      <c r="K286" s="48">
        <v>33</v>
      </c>
    </row>
    <row r="287" s="49" customFormat="1" spans="4:11">
      <c r="D287" s="45">
        <v>46079</v>
      </c>
      <c r="E287" s="46">
        <v>1580234</v>
      </c>
      <c r="F287" s="46" t="s">
        <v>20</v>
      </c>
      <c r="G287" s="47">
        <v>20318332</v>
      </c>
      <c r="H287" s="46" t="s">
        <v>23</v>
      </c>
      <c r="I287" s="47">
        <v>1</v>
      </c>
      <c r="J287" s="48">
        <v>22</v>
      </c>
      <c r="K287" s="48">
        <v>22</v>
      </c>
    </row>
    <row r="288" s="49" customFormat="1" spans="4:11">
      <c r="D288" s="45">
        <v>46079</v>
      </c>
      <c r="E288" s="46">
        <v>1580234</v>
      </c>
      <c r="F288" s="46" t="s">
        <v>20</v>
      </c>
      <c r="G288" s="47">
        <v>20318262</v>
      </c>
      <c r="H288" s="46" t="s">
        <v>24</v>
      </c>
      <c r="I288" s="47">
        <v>1</v>
      </c>
      <c r="J288" s="48">
        <v>16.5</v>
      </c>
      <c r="K288" s="48">
        <v>16.5</v>
      </c>
    </row>
    <row r="289" s="49" customFormat="1" spans="4:11">
      <c r="D289" s="45">
        <v>46079</v>
      </c>
      <c r="E289" s="46">
        <v>1580234</v>
      </c>
      <c r="F289" s="46" t="s">
        <v>20</v>
      </c>
      <c r="G289" s="47">
        <v>20014827</v>
      </c>
      <c r="H289" s="46" t="s">
        <v>38</v>
      </c>
      <c r="I289" s="47">
        <v>1</v>
      </c>
      <c r="J289" s="48">
        <v>16.5</v>
      </c>
      <c r="K289" s="48">
        <v>16.5</v>
      </c>
    </row>
    <row r="290" s="49" customFormat="1" spans="4:11">
      <c r="D290" s="45">
        <v>46079</v>
      </c>
      <c r="E290" s="46">
        <v>1580234</v>
      </c>
      <c r="F290" s="46" t="s">
        <v>20</v>
      </c>
      <c r="G290" s="47">
        <v>20342042</v>
      </c>
      <c r="H290" s="46" t="s">
        <v>25</v>
      </c>
      <c r="I290" s="47">
        <v>2</v>
      </c>
      <c r="J290" s="48">
        <v>16.5</v>
      </c>
      <c r="K290" s="48">
        <v>33</v>
      </c>
    </row>
    <row r="291" s="49" customFormat="1" spans="4:11">
      <c r="D291" s="45">
        <v>46079</v>
      </c>
      <c r="E291" s="46">
        <v>1580234</v>
      </c>
      <c r="F291" s="46" t="s">
        <v>20</v>
      </c>
      <c r="G291" s="47">
        <v>20318393</v>
      </c>
      <c r="H291" s="46" t="s">
        <v>26</v>
      </c>
      <c r="I291" s="47">
        <v>1</v>
      </c>
      <c r="J291" s="48">
        <v>16.5</v>
      </c>
      <c r="K291" s="48">
        <v>16.5</v>
      </c>
    </row>
    <row r="292" s="49" customFormat="1" spans="4:11">
      <c r="D292" s="45">
        <v>46079</v>
      </c>
      <c r="E292" s="46">
        <v>1580418</v>
      </c>
      <c r="F292" s="46" t="s">
        <v>13</v>
      </c>
      <c r="G292" s="47">
        <v>20326613</v>
      </c>
      <c r="H292" s="46" t="s">
        <v>14</v>
      </c>
      <c r="I292" s="47">
        <v>7</v>
      </c>
      <c r="J292" s="48">
        <v>88</v>
      </c>
      <c r="K292" s="48">
        <v>616</v>
      </c>
    </row>
    <row r="293" s="49" customFormat="1" spans="4:11">
      <c r="D293" s="45">
        <v>46079</v>
      </c>
      <c r="E293" s="46">
        <v>1580418</v>
      </c>
      <c r="F293" s="46" t="s">
        <v>16</v>
      </c>
      <c r="G293" s="47">
        <v>20318247</v>
      </c>
      <c r="H293" s="46" t="s">
        <v>74</v>
      </c>
      <c r="I293" s="47">
        <v>1</v>
      </c>
      <c r="J293" s="48">
        <v>8</v>
      </c>
      <c r="K293" s="48">
        <v>8</v>
      </c>
    </row>
    <row r="294" s="49" customFormat="1" spans="4:11">
      <c r="D294" s="45">
        <v>46079</v>
      </c>
      <c r="E294" s="46">
        <v>1580418</v>
      </c>
      <c r="F294" s="46" t="s">
        <v>16</v>
      </c>
      <c r="G294" s="47">
        <v>20318257</v>
      </c>
      <c r="H294" s="46" t="s">
        <v>50</v>
      </c>
      <c r="I294" s="47">
        <v>1</v>
      </c>
      <c r="J294" s="48">
        <v>8</v>
      </c>
      <c r="K294" s="48">
        <v>8</v>
      </c>
    </row>
    <row r="295" s="49" customFormat="1" spans="4:11">
      <c r="D295" s="45">
        <v>46079</v>
      </c>
      <c r="E295" s="46">
        <v>1580418</v>
      </c>
      <c r="F295" s="46" t="s">
        <v>16</v>
      </c>
      <c r="G295" s="47">
        <v>20318235</v>
      </c>
      <c r="H295" s="46" t="s">
        <v>27</v>
      </c>
      <c r="I295" s="47">
        <v>1</v>
      </c>
      <c r="J295" s="48">
        <v>8</v>
      </c>
      <c r="K295" s="48">
        <v>8</v>
      </c>
    </row>
    <row r="296" s="49" customFormat="1" spans="4:11">
      <c r="D296" s="45">
        <v>46079</v>
      </c>
      <c r="E296" s="46">
        <v>1580418</v>
      </c>
      <c r="F296" s="46" t="s">
        <v>16</v>
      </c>
      <c r="G296" s="47">
        <v>20329846</v>
      </c>
      <c r="H296" s="46" t="s">
        <v>51</v>
      </c>
      <c r="I296" s="47">
        <v>1</v>
      </c>
      <c r="J296" s="48">
        <v>13.5</v>
      </c>
      <c r="K296" s="48">
        <v>13.5</v>
      </c>
    </row>
    <row r="297" s="49" customFormat="1" spans="4:11">
      <c r="D297" s="45">
        <v>46079</v>
      </c>
      <c r="E297" s="46">
        <v>1580418</v>
      </c>
      <c r="F297" s="46" t="s">
        <v>16</v>
      </c>
      <c r="G297" s="47">
        <v>20333778</v>
      </c>
      <c r="H297" s="46" t="s">
        <v>62</v>
      </c>
      <c r="I297" s="47">
        <v>1</v>
      </c>
      <c r="J297" s="48">
        <v>16.5</v>
      </c>
      <c r="K297" s="48">
        <v>16.5</v>
      </c>
    </row>
    <row r="298" s="49" customFormat="1" spans="4:11">
      <c r="D298" s="45">
        <v>46079</v>
      </c>
      <c r="E298" s="46">
        <v>1580418</v>
      </c>
      <c r="F298" s="46" t="s">
        <v>16</v>
      </c>
      <c r="G298" s="47">
        <v>20329847</v>
      </c>
      <c r="H298" s="46" t="s">
        <v>17</v>
      </c>
      <c r="I298" s="47">
        <v>3</v>
      </c>
      <c r="J298" s="48">
        <v>13</v>
      </c>
      <c r="K298" s="48">
        <v>39</v>
      </c>
    </row>
    <row r="299" s="49" customFormat="1" spans="4:11">
      <c r="D299" s="45">
        <v>46079</v>
      </c>
      <c r="E299" s="46">
        <v>1580418</v>
      </c>
      <c r="F299" s="46" t="s">
        <v>30</v>
      </c>
      <c r="G299" s="47">
        <v>20394933</v>
      </c>
      <c r="H299" s="46" t="s">
        <v>45</v>
      </c>
      <c r="I299" s="47">
        <v>1</v>
      </c>
      <c r="J299" s="48">
        <v>66</v>
      </c>
      <c r="K299" s="48">
        <v>66</v>
      </c>
    </row>
    <row r="300" s="49" customFormat="1" spans="4:11">
      <c r="D300" s="45">
        <v>46079</v>
      </c>
      <c r="E300" s="46">
        <v>1580418</v>
      </c>
      <c r="F300" s="46" t="s">
        <v>30</v>
      </c>
      <c r="G300" s="47">
        <v>20328191</v>
      </c>
      <c r="H300" s="46" t="s">
        <v>75</v>
      </c>
      <c r="I300" s="47">
        <v>1</v>
      </c>
      <c r="J300" s="48">
        <v>33</v>
      </c>
      <c r="K300" s="48">
        <v>33</v>
      </c>
    </row>
    <row r="301" s="49" customFormat="1" spans="4:11">
      <c r="D301" s="45">
        <v>46079</v>
      </c>
      <c r="E301" s="46">
        <v>1580418</v>
      </c>
      <c r="F301" s="46" t="s">
        <v>20</v>
      </c>
      <c r="G301" s="47">
        <v>20321257</v>
      </c>
      <c r="H301" s="46" t="s">
        <v>21</v>
      </c>
      <c r="I301" s="47">
        <v>1</v>
      </c>
      <c r="J301" s="48">
        <v>16.5</v>
      </c>
      <c r="K301" s="48">
        <v>16.5</v>
      </c>
    </row>
    <row r="302" s="49" customFormat="1" spans="4:11">
      <c r="D302" s="45">
        <v>46079</v>
      </c>
      <c r="E302" s="46">
        <v>1580418</v>
      </c>
      <c r="F302" s="46" t="s">
        <v>20</v>
      </c>
      <c r="G302" s="47">
        <v>20329844</v>
      </c>
      <c r="H302" s="46" t="s">
        <v>76</v>
      </c>
      <c r="I302" s="47">
        <v>1</v>
      </c>
      <c r="J302" s="48">
        <v>16.5</v>
      </c>
      <c r="K302" s="48">
        <v>16.5</v>
      </c>
    </row>
    <row r="303" s="49" customFormat="1" spans="4:11">
      <c r="D303" s="45">
        <v>46079</v>
      </c>
      <c r="E303" s="46">
        <v>1580418</v>
      </c>
      <c r="F303" s="46" t="s">
        <v>20</v>
      </c>
      <c r="G303" s="47">
        <v>20318262</v>
      </c>
      <c r="H303" s="46" t="s">
        <v>24</v>
      </c>
      <c r="I303" s="47">
        <v>3</v>
      </c>
      <c r="J303" s="48">
        <v>16.5</v>
      </c>
      <c r="K303" s="48">
        <v>49.5</v>
      </c>
    </row>
    <row r="304" s="49" customFormat="1" spans="4:11">
      <c r="D304" s="45">
        <v>46079</v>
      </c>
      <c r="E304" s="46">
        <v>1580418</v>
      </c>
      <c r="F304" s="46" t="s">
        <v>20</v>
      </c>
      <c r="G304" s="47">
        <v>20014827</v>
      </c>
      <c r="H304" s="46" t="s">
        <v>38</v>
      </c>
      <c r="I304" s="47">
        <v>1</v>
      </c>
      <c r="J304" s="48">
        <v>16.5</v>
      </c>
      <c r="K304" s="48">
        <v>16.5</v>
      </c>
    </row>
    <row r="305" s="49" customFormat="1" spans="4:11">
      <c r="D305" s="45">
        <v>46079</v>
      </c>
      <c r="E305" s="46">
        <v>1580418</v>
      </c>
      <c r="F305" s="46" t="s">
        <v>20</v>
      </c>
      <c r="G305" s="47">
        <v>20321468</v>
      </c>
      <c r="H305" s="46" t="s">
        <v>69</v>
      </c>
      <c r="I305" s="47">
        <v>1</v>
      </c>
      <c r="J305" s="48">
        <v>16.5</v>
      </c>
      <c r="K305" s="48">
        <v>16.5</v>
      </c>
    </row>
    <row r="306" s="49" customFormat="1" spans="4:11">
      <c r="D306" s="45">
        <v>46079</v>
      </c>
      <c r="E306" s="46">
        <v>1580418</v>
      </c>
      <c r="F306" s="46" t="s">
        <v>20</v>
      </c>
      <c r="G306" s="47">
        <v>20342042</v>
      </c>
      <c r="H306" s="46" t="s">
        <v>25</v>
      </c>
      <c r="I306" s="47">
        <v>1</v>
      </c>
      <c r="J306" s="48">
        <v>16.5</v>
      </c>
      <c r="K306" s="48">
        <v>16.5</v>
      </c>
    </row>
    <row r="307" s="49" customFormat="1" spans="4:11">
      <c r="D307" s="45">
        <v>46079</v>
      </c>
      <c r="E307" s="46">
        <v>1580441</v>
      </c>
      <c r="F307" s="46" t="s">
        <v>13</v>
      </c>
      <c r="G307" s="47">
        <v>20326613</v>
      </c>
      <c r="H307" s="46" t="s">
        <v>14</v>
      </c>
      <c r="I307" s="47">
        <v>3</v>
      </c>
      <c r="J307" s="48">
        <v>88</v>
      </c>
      <c r="K307" s="48">
        <v>264</v>
      </c>
    </row>
    <row r="308" s="49" customFormat="1" spans="4:11">
      <c r="D308" s="45">
        <v>46079</v>
      </c>
      <c r="E308" s="46">
        <v>1580441</v>
      </c>
      <c r="F308" s="46" t="s">
        <v>16</v>
      </c>
      <c r="G308" s="47">
        <v>20351064</v>
      </c>
      <c r="H308" s="46" t="s">
        <v>46</v>
      </c>
      <c r="I308" s="47">
        <v>2</v>
      </c>
      <c r="J308" s="48">
        <v>13.5</v>
      </c>
      <c r="K308" s="48">
        <v>27</v>
      </c>
    </row>
    <row r="309" s="49" customFormat="1" spans="4:11">
      <c r="D309" s="45">
        <v>46079</v>
      </c>
      <c r="E309" s="46">
        <v>1580441</v>
      </c>
      <c r="F309" s="46" t="s">
        <v>20</v>
      </c>
      <c r="G309" s="47">
        <v>20321257</v>
      </c>
      <c r="H309" s="46" t="s">
        <v>21</v>
      </c>
      <c r="I309" s="47">
        <v>2</v>
      </c>
      <c r="J309" s="48">
        <v>16.5</v>
      </c>
      <c r="K309" s="48">
        <v>33</v>
      </c>
    </row>
    <row r="310" s="49" customFormat="1" spans="4:11">
      <c r="D310" s="45">
        <v>46079</v>
      </c>
      <c r="E310" s="46">
        <v>1580441</v>
      </c>
      <c r="F310" s="46" t="s">
        <v>20</v>
      </c>
      <c r="G310" s="47">
        <v>20318262</v>
      </c>
      <c r="H310" s="46" t="s">
        <v>24</v>
      </c>
      <c r="I310" s="47">
        <v>2</v>
      </c>
      <c r="J310" s="48">
        <v>16.5</v>
      </c>
      <c r="K310" s="48">
        <v>33</v>
      </c>
    </row>
    <row r="311" s="49" customFormat="1" spans="4:11">
      <c r="D311" s="45">
        <v>46080</v>
      </c>
      <c r="E311" s="46">
        <v>1580644</v>
      </c>
      <c r="F311" s="46" t="s">
        <v>13</v>
      </c>
      <c r="G311" s="47">
        <v>20326613</v>
      </c>
      <c r="H311" s="46" t="s">
        <v>14</v>
      </c>
      <c r="I311" s="47">
        <v>6</v>
      </c>
      <c r="J311" s="48">
        <v>88</v>
      </c>
      <c r="K311" s="48">
        <v>528</v>
      </c>
    </row>
    <row r="312" s="49" customFormat="1" spans="4:11">
      <c r="D312" s="45">
        <v>46080</v>
      </c>
      <c r="E312" s="46">
        <v>1580644</v>
      </c>
      <c r="F312" s="46" t="s">
        <v>16</v>
      </c>
      <c r="G312" s="47">
        <v>20330564</v>
      </c>
      <c r="H312" s="46" t="s">
        <v>65</v>
      </c>
      <c r="I312" s="47">
        <v>1</v>
      </c>
      <c r="J312" s="48">
        <v>16.5</v>
      </c>
      <c r="K312" s="48">
        <v>16.5</v>
      </c>
    </row>
    <row r="313" s="49" customFormat="1" spans="4:11">
      <c r="D313" s="45">
        <v>46080</v>
      </c>
      <c r="E313" s="46">
        <v>1580644</v>
      </c>
      <c r="F313" s="46" t="s">
        <v>16</v>
      </c>
      <c r="G313" s="47">
        <v>20318257</v>
      </c>
      <c r="H313" s="46" t="s">
        <v>50</v>
      </c>
      <c r="I313" s="47">
        <v>1</v>
      </c>
      <c r="J313" s="48">
        <v>8</v>
      </c>
      <c r="K313" s="48">
        <v>8</v>
      </c>
    </row>
    <row r="314" s="49" customFormat="1" spans="4:11">
      <c r="D314" s="45">
        <v>46080</v>
      </c>
      <c r="E314" s="46">
        <v>1580644</v>
      </c>
      <c r="F314" s="46" t="s">
        <v>16</v>
      </c>
      <c r="G314" s="47">
        <v>20351064</v>
      </c>
      <c r="H314" s="46" t="s">
        <v>46</v>
      </c>
      <c r="I314" s="47">
        <v>2</v>
      </c>
      <c r="J314" s="48">
        <v>13.5</v>
      </c>
      <c r="K314" s="48">
        <v>27</v>
      </c>
    </row>
    <row r="315" s="49" customFormat="1" spans="4:11">
      <c r="D315" s="45">
        <v>46080</v>
      </c>
      <c r="E315" s="46">
        <v>1580644</v>
      </c>
      <c r="F315" s="46" t="s">
        <v>16</v>
      </c>
      <c r="G315" s="47">
        <v>20318250</v>
      </c>
      <c r="H315" s="46" t="s">
        <v>47</v>
      </c>
      <c r="I315" s="47">
        <v>1</v>
      </c>
      <c r="J315" s="48">
        <v>8</v>
      </c>
      <c r="K315" s="48">
        <v>8</v>
      </c>
    </row>
    <row r="316" s="49" customFormat="1" spans="4:11">
      <c r="D316" s="45">
        <v>46080</v>
      </c>
      <c r="E316" s="46">
        <v>1580644</v>
      </c>
      <c r="F316" s="46" t="s">
        <v>16</v>
      </c>
      <c r="G316" s="47">
        <v>20331668</v>
      </c>
      <c r="H316" s="46" t="s">
        <v>29</v>
      </c>
      <c r="I316" s="47">
        <v>1</v>
      </c>
      <c r="J316" s="48">
        <v>8</v>
      </c>
      <c r="K316" s="48">
        <v>8</v>
      </c>
    </row>
    <row r="317" s="49" customFormat="1" spans="4:11">
      <c r="D317" s="45">
        <v>46080</v>
      </c>
      <c r="E317" s="46">
        <v>1580644</v>
      </c>
      <c r="F317" s="46" t="s">
        <v>16</v>
      </c>
      <c r="G317" s="47">
        <v>20329847</v>
      </c>
      <c r="H317" s="46" t="s">
        <v>17</v>
      </c>
      <c r="I317" s="47">
        <v>1</v>
      </c>
      <c r="J317" s="48">
        <v>13</v>
      </c>
      <c r="K317" s="48">
        <v>13</v>
      </c>
    </row>
    <row r="318" s="49" customFormat="1" spans="4:11">
      <c r="D318" s="45">
        <v>46080</v>
      </c>
      <c r="E318" s="46">
        <v>1580644</v>
      </c>
      <c r="F318" s="46" t="s">
        <v>16</v>
      </c>
      <c r="G318" s="47">
        <v>20318231</v>
      </c>
      <c r="H318" s="46" t="s">
        <v>34</v>
      </c>
      <c r="I318" s="47">
        <v>1</v>
      </c>
      <c r="J318" s="48">
        <v>16.5</v>
      </c>
      <c r="K318" s="48">
        <v>16.5</v>
      </c>
    </row>
    <row r="319" s="49" customFormat="1" spans="4:11">
      <c r="D319" s="45">
        <v>46080</v>
      </c>
      <c r="E319" s="46">
        <v>1580644</v>
      </c>
      <c r="F319" s="46" t="s">
        <v>16</v>
      </c>
      <c r="G319" s="47">
        <v>20318239</v>
      </c>
      <c r="H319" s="46" t="s">
        <v>66</v>
      </c>
      <c r="I319" s="47">
        <v>1</v>
      </c>
      <c r="J319" s="48">
        <v>16.5</v>
      </c>
      <c r="K319" s="48">
        <v>16.5</v>
      </c>
    </row>
    <row r="320" s="49" customFormat="1" spans="4:11">
      <c r="D320" s="45">
        <v>46080</v>
      </c>
      <c r="E320" s="46">
        <v>1580644</v>
      </c>
      <c r="F320" s="46" t="s">
        <v>18</v>
      </c>
      <c r="G320" s="47">
        <v>20322228</v>
      </c>
      <c r="H320" s="46" t="s">
        <v>19</v>
      </c>
      <c r="I320" s="47">
        <v>1</v>
      </c>
      <c r="J320" s="48">
        <v>15</v>
      </c>
      <c r="K320" s="48">
        <v>15</v>
      </c>
    </row>
    <row r="321" s="49" customFormat="1" spans="4:11">
      <c r="D321" s="45">
        <v>46080</v>
      </c>
      <c r="E321" s="46">
        <v>1580644</v>
      </c>
      <c r="F321" s="46" t="s">
        <v>30</v>
      </c>
      <c r="G321" s="47">
        <v>20394933</v>
      </c>
      <c r="H321" s="46" t="s">
        <v>45</v>
      </c>
      <c r="I321" s="47">
        <v>3</v>
      </c>
      <c r="J321" s="48">
        <v>66</v>
      </c>
      <c r="K321" s="48">
        <v>198</v>
      </c>
    </row>
    <row r="322" s="49" customFormat="1" spans="4:11">
      <c r="D322" s="45">
        <v>46080</v>
      </c>
      <c r="E322" s="46">
        <v>1580644</v>
      </c>
      <c r="F322" s="46" t="s">
        <v>30</v>
      </c>
      <c r="G322" s="47">
        <v>20328892</v>
      </c>
      <c r="H322" s="46" t="s">
        <v>31</v>
      </c>
      <c r="I322" s="47">
        <v>1</v>
      </c>
      <c r="J322" s="48">
        <v>88</v>
      </c>
      <c r="K322" s="48">
        <v>88</v>
      </c>
    </row>
    <row r="323" s="49" customFormat="1" spans="4:11">
      <c r="D323" s="45">
        <v>46080</v>
      </c>
      <c r="E323" s="46">
        <v>1580644</v>
      </c>
      <c r="F323" s="46" t="s">
        <v>20</v>
      </c>
      <c r="G323" s="47">
        <v>20321257</v>
      </c>
      <c r="H323" s="46" t="s">
        <v>21</v>
      </c>
      <c r="I323" s="47">
        <v>3</v>
      </c>
      <c r="J323" s="48">
        <v>16.5</v>
      </c>
      <c r="K323" s="48">
        <v>49.5</v>
      </c>
    </row>
    <row r="324" s="49" customFormat="1" spans="4:11">
      <c r="D324" s="45">
        <v>46080</v>
      </c>
      <c r="E324" s="46">
        <v>1580644</v>
      </c>
      <c r="F324" s="46" t="s">
        <v>20</v>
      </c>
      <c r="G324" s="47">
        <v>20318229</v>
      </c>
      <c r="H324" s="46" t="s">
        <v>37</v>
      </c>
      <c r="I324" s="47">
        <v>1</v>
      </c>
      <c r="J324" s="48">
        <v>16.5</v>
      </c>
      <c r="K324" s="48">
        <v>16.5</v>
      </c>
    </row>
    <row r="325" s="49" customFormat="1" spans="4:11">
      <c r="D325" s="45">
        <v>46080</v>
      </c>
      <c r="E325" s="46">
        <v>1580644</v>
      </c>
      <c r="F325" s="46" t="s">
        <v>20</v>
      </c>
      <c r="G325" s="47">
        <v>20318332</v>
      </c>
      <c r="H325" s="46" t="s">
        <v>23</v>
      </c>
      <c r="I325" s="47">
        <v>1</v>
      </c>
      <c r="J325" s="48">
        <v>22</v>
      </c>
      <c r="K325" s="48">
        <v>22</v>
      </c>
    </row>
    <row r="326" s="49" customFormat="1" spans="4:11">
      <c r="D326" s="45">
        <v>46080</v>
      </c>
      <c r="E326" s="46">
        <v>1580644</v>
      </c>
      <c r="F326" s="46" t="s">
        <v>20</v>
      </c>
      <c r="G326" s="47">
        <v>20014827</v>
      </c>
      <c r="H326" s="46" t="s">
        <v>38</v>
      </c>
      <c r="I326" s="47">
        <v>2</v>
      </c>
      <c r="J326" s="48">
        <v>16.5</v>
      </c>
      <c r="K326" s="48">
        <v>33</v>
      </c>
    </row>
    <row r="327" s="49" customFormat="1" spans="4:11">
      <c r="D327" s="45">
        <v>46080</v>
      </c>
      <c r="E327" s="46">
        <v>1580644</v>
      </c>
      <c r="F327" s="46" t="s">
        <v>20</v>
      </c>
      <c r="G327" s="47">
        <v>20342042</v>
      </c>
      <c r="H327" s="46" t="s">
        <v>25</v>
      </c>
      <c r="I327" s="47">
        <v>3</v>
      </c>
      <c r="J327" s="48">
        <v>16.5</v>
      </c>
      <c r="K327" s="48">
        <v>49.5</v>
      </c>
    </row>
    <row r="328" s="49" customFormat="1" spans="4:11">
      <c r="D328" s="45">
        <v>46080</v>
      </c>
      <c r="E328" s="46">
        <v>1580745</v>
      </c>
      <c r="F328" s="46" t="s">
        <v>13</v>
      </c>
      <c r="G328" s="47">
        <v>20326613</v>
      </c>
      <c r="H328" s="46" t="s">
        <v>14</v>
      </c>
      <c r="I328" s="47">
        <v>4</v>
      </c>
      <c r="J328" s="48">
        <v>88</v>
      </c>
      <c r="K328" s="48">
        <v>352</v>
      </c>
    </row>
    <row r="329" s="49" customFormat="1" spans="4:11">
      <c r="D329" s="45">
        <v>46080</v>
      </c>
      <c r="E329" s="46">
        <v>1580745</v>
      </c>
      <c r="F329" s="46" t="s">
        <v>13</v>
      </c>
      <c r="G329" s="47">
        <v>20312951</v>
      </c>
      <c r="H329" s="46" t="s">
        <v>72</v>
      </c>
      <c r="I329" s="47">
        <v>1</v>
      </c>
      <c r="J329" s="48">
        <v>165</v>
      </c>
      <c r="K329" s="48">
        <v>165</v>
      </c>
    </row>
    <row r="330" s="49" customFormat="1" spans="4:11">
      <c r="D330" s="45">
        <v>46080</v>
      </c>
      <c r="E330" s="46">
        <v>1580745</v>
      </c>
      <c r="F330" s="46" t="s">
        <v>39</v>
      </c>
      <c r="G330" s="47">
        <v>20328192</v>
      </c>
      <c r="H330" s="46" t="s">
        <v>40</v>
      </c>
      <c r="I330" s="47">
        <v>1</v>
      </c>
      <c r="J330" s="48">
        <v>38.5</v>
      </c>
      <c r="K330" s="48">
        <v>38.5</v>
      </c>
    </row>
    <row r="331" s="49" customFormat="1" spans="4:11">
      <c r="D331" s="45">
        <v>46080</v>
      </c>
      <c r="E331" s="46">
        <v>1580745</v>
      </c>
      <c r="F331" s="46" t="s">
        <v>16</v>
      </c>
      <c r="G331" s="47">
        <v>20318235</v>
      </c>
      <c r="H331" s="46" t="s">
        <v>27</v>
      </c>
      <c r="I331" s="47">
        <v>1</v>
      </c>
      <c r="J331" s="48">
        <v>8</v>
      </c>
      <c r="K331" s="48">
        <v>8</v>
      </c>
    </row>
    <row r="332" s="49" customFormat="1" spans="4:11">
      <c r="D332" s="45">
        <v>46080</v>
      </c>
      <c r="E332" s="46">
        <v>1580745</v>
      </c>
      <c r="F332" s="46" t="s">
        <v>16</v>
      </c>
      <c r="G332" s="47">
        <v>20351064</v>
      </c>
      <c r="H332" s="46" t="s">
        <v>46</v>
      </c>
      <c r="I332" s="47">
        <v>2</v>
      </c>
      <c r="J332" s="48">
        <v>13.5</v>
      </c>
      <c r="K332" s="48">
        <v>27</v>
      </c>
    </row>
    <row r="333" s="49" customFormat="1" spans="4:11">
      <c r="D333" s="45">
        <v>46080</v>
      </c>
      <c r="E333" s="46">
        <v>1580745</v>
      </c>
      <c r="F333" s="46" t="s">
        <v>16</v>
      </c>
      <c r="G333" s="47">
        <v>20318250</v>
      </c>
      <c r="H333" s="46" t="s">
        <v>47</v>
      </c>
      <c r="I333" s="47">
        <v>1</v>
      </c>
      <c r="J333" s="48">
        <v>8</v>
      </c>
      <c r="K333" s="48">
        <v>8</v>
      </c>
    </row>
    <row r="334" s="49" customFormat="1" spans="4:11">
      <c r="D334" s="45">
        <v>46080</v>
      </c>
      <c r="E334" s="46">
        <v>1580745</v>
      </c>
      <c r="F334" s="46" t="s">
        <v>16</v>
      </c>
      <c r="G334" s="47">
        <v>20331668</v>
      </c>
      <c r="H334" s="46" t="s">
        <v>29</v>
      </c>
      <c r="I334" s="47">
        <v>1</v>
      </c>
      <c r="J334" s="48">
        <v>8</v>
      </c>
      <c r="K334" s="48">
        <v>8</v>
      </c>
    </row>
    <row r="335" s="49" customFormat="1" spans="4:11">
      <c r="D335" s="45">
        <v>46080</v>
      </c>
      <c r="E335" s="46">
        <v>1580745</v>
      </c>
      <c r="F335" s="46" t="s">
        <v>16</v>
      </c>
      <c r="G335" s="47">
        <v>20333778</v>
      </c>
      <c r="H335" s="46" t="s">
        <v>62</v>
      </c>
      <c r="I335" s="47">
        <v>1</v>
      </c>
      <c r="J335" s="48">
        <v>16.5</v>
      </c>
      <c r="K335" s="48">
        <v>16.5</v>
      </c>
    </row>
    <row r="336" s="49" customFormat="1" spans="4:11">
      <c r="D336" s="45">
        <v>46080</v>
      </c>
      <c r="E336" s="46">
        <v>1580745</v>
      </c>
      <c r="F336" s="46" t="s">
        <v>20</v>
      </c>
      <c r="G336" s="47">
        <v>20318229</v>
      </c>
      <c r="H336" s="46" t="s">
        <v>37</v>
      </c>
      <c r="I336" s="47">
        <v>1</v>
      </c>
      <c r="J336" s="48">
        <v>16.5</v>
      </c>
      <c r="K336" s="48">
        <v>16.5</v>
      </c>
    </row>
    <row r="337" s="49" customFormat="1" spans="4:11">
      <c r="D337" s="45">
        <v>46080</v>
      </c>
      <c r="E337" s="46">
        <v>1580745</v>
      </c>
      <c r="F337" s="46" t="s">
        <v>20</v>
      </c>
      <c r="G337" s="47">
        <v>20318332</v>
      </c>
      <c r="H337" s="46" t="s">
        <v>23</v>
      </c>
      <c r="I337" s="47">
        <v>1</v>
      </c>
      <c r="J337" s="48">
        <v>22</v>
      </c>
      <c r="K337" s="48">
        <v>22</v>
      </c>
    </row>
    <row r="338" s="49" customFormat="1" spans="4:11">
      <c r="D338" s="45">
        <v>46080</v>
      </c>
      <c r="E338" s="46">
        <v>1580745</v>
      </c>
      <c r="F338" s="46" t="s">
        <v>20</v>
      </c>
      <c r="G338" s="47">
        <v>20318262</v>
      </c>
      <c r="H338" s="46" t="s">
        <v>24</v>
      </c>
      <c r="I338" s="47">
        <v>1</v>
      </c>
      <c r="J338" s="48">
        <v>16.5</v>
      </c>
      <c r="K338" s="48">
        <v>16.5</v>
      </c>
    </row>
    <row r="339" s="49" customFormat="1" spans="4:11">
      <c r="D339" s="45">
        <v>46080</v>
      </c>
      <c r="E339" s="46">
        <v>1580745</v>
      </c>
      <c r="F339" s="46" t="s">
        <v>20</v>
      </c>
      <c r="G339" s="47">
        <v>20321468</v>
      </c>
      <c r="H339" s="46" t="s">
        <v>69</v>
      </c>
      <c r="I339" s="47">
        <v>1</v>
      </c>
      <c r="J339" s="48">
        <v>16.5</v>
      </c>
      <c r="K339" s="48">
        <v>16.5</v>
      </c>
    </row>
    <row r="340" s="49" customFormat="1" spans="4:11">
      <c r="D340" s="45">
        <v>46080</v>
      </c>
      <c r="E340" s="46">
        <v>1580770</v>
      </c>
      <c r="F340" s="46" t="s">
        <v>13</v>
      </c>
      <c r="G340" s="47">
        <v>20326613</v>
      </c>
      <c r="H340" s="46" t="s">
        <v>14</v>
      </c>
      <c r="I340" s="47">
        <v>1</v>
      </c>
      <c r="J340" s="48">
        <v>88</v>
      </c>
      <c r="K340" s="48">
        <v>88</v>
      </c>
    </row>
    <row r="341" s="49" customFormat="1" spans="4:11">
      <c r="D341" s="45">
        <v>46080</v>
      </c>
      <c r="E341" s="46">
        <v>1580770</v>
      </c>
      <c r="F341" s="46" t="s">
        <v>16</v>
      </c>
      <c r="G341" s="47">
        <v>20320789</v>
      </c>
      <c r="H341" s="46" t="s">
        <v>64</v>
      </c>
      <c r="I341" s="47">
        <v>1</v>
      </c>
      <c r="J341" s="48">
        <v>8</v>
      </c>
      <c r="K341" s="48">
        <v>8</v>
      </c>
    </row>
    <row r="342" s="49" customFormat="1" spans="4:11">
      <c r="D342" s="45">
        <v>46080</v>
      </c>
      <c r="E342" s="46">
        <v>1580770</v>
      </c>
      <c r="F342" s="46" t="s">
        <v>16</v>
      </c>
      <c r="G342" s="47">
        <v>20329847</v>
      </c>
      <c r="H342" s="46" t="s">
        <v>17</v>
      </c>
      <c r="I342" s="47">
        <v>3</v>
      </c>
      <c r="J342" s="48">
        <v>13</v>
      </c>
      <c r="K342" s="48">
        <v>39</v>
      </c>
    </row>
    <row r="343" s="49" customFormat="1" spans="4:11">
      <c r="D343" s="45">
        <v>46080</v>
      </c>
      <c r="E343" s="46">
        <v>1580770</v>
      </c>
      <c r="F343" s="46" t="s">
        <v>16</v>
      </c>
      <c r="G343" s="47">
        <v>20318254</v>
      </c>
      <c r="H343" s="46" t="s">
        <v>35</v>
      </c>
      <c r="I343" s="47">
        <v>1</v>
      </c>
      <c r="J343" s="48">
        <v>16.5</v>
      </c>
      <c r="K343" s="48">
        <v>16.5</v>
      </c>
    </row>
    <row r="344" s="49" customFormat="1" spans="4:11">
      <c r="D344" s="45">
        <v>46080</v>
      </c>
      <c r="E344" s="46">
        <v>1580770</v>
      </c>
      <c r="F344" s="46" t="s">
        <v>30</v>
      </c>
      <c r="G344" s="47">
        <v>20394933</v>
      </c>
      <c r="H344" s="46" t="s">
        <v>45</v>
      </c>
      <c r="I344" s="47">
        <v>2</v>
      </c>
      <c r="J344" s="48">
        <v>66</v>
      </c>
      <c r="K344" s="48">
        <v>132</v>
      </c>
    </row>
    <row r="345" s="49" customFormat="1" spans="4:11">
      <c r="D345" s="45">
        <v>46080</v>
      </c>
      <c r="E345" s="46">
        <v>1580770</v>
      </c>
      <c r="F345" s="46" t="s">
        <v>20</v>
      </c>
      <c r="G345" s="47">
        <v>20318332</v>
      </c>
      <c r="H345" s="46" t="s">
        <v>23</v>
      </c>
      <c r="I345" s="47">
        <v>1</v>
      </c>
      <c r="J345" s="48">
        <v>22</v>
      </c>
      <c r="K345" s="48">
        <v>22</v>
      </c>
    </row>
    <row r="346" s="49" customFormat="1" spans="4:11">
      <c r="D346" s="45">
        <v>46080</v>
      </c>
      <c r="E346" s="46">
        <v>1580770</v>
      </c>
      <c r="F346" s="46" t="s">
        <v>20</v>
      </c>
      <c r="G346" s="47">
        <v>20318262</v>
      </c>
      <c r="H346" s="46" t="s">
        <v>24</v>
      </c>
      <c r="I346" s="47">
        <v>1</v>
      </c>
      <c r="J346" s="48">
        <v>16.5</v>
      </c>
      <c r="K346" s="48">
        <v>16.5</v>
      </c>
    </row>
    <row r="347" s="49" customFormat="1" spans="4:11">
      <c r="D347" s="45">
        <v>46081</v>
      </c>
      <c r="E347" s="46">
        <v>1580954</v>
      </c>
      <c r="F347" s="46" t="s">
        <v>13</v>
      </c>
      <c r="G347" s="47">
        <v>20326613</v>
      </c>
      <c r="H347" s="46" t="s">
        <v>14</v>
      </c>
      <c r="I347" s="47">
        <v>8</v>
      </c>
      <c r="J347" s="48">
        <v>88</v>
      </c>
      <c r="K347" s="48">
        <v>704</v>
      </c>
    </row>
    <row r="348" s="49" customFormat="1" spans="4:11">
      <c r="D348" s="45">
        <v>46081</v>
      </c>
      <c r="E348" s="46">
        <v>1580954</v>
      </c>
      <c r="F348" s="46" t="s">
        <v>13</v>
      </c>
      <c r="G348" s="47">
        <v>20340902</v>
      </c>
      <c r="H348" s="46" t="s">
        <v>77</v>
      </c>
      <c r="I348" s="47">
        <v>1</v>
      </c>
      <c r="J348" s="48">
        <v>104.5</v>
      </c>
      <c r="K348" s="48">
        <v>104.5</v>
      </c>
    </row>
    <row r="349" s="49" customFormat="1" spans="4:11">
      <c r="D349" s="45">
        <v>46081</v>
      </c>
      <c r="E349" s="46">
        <v>1580954</v>
      </c>
      <c r="F349" s="46" t="s">
        <v>13</v>
      </c>
      <c r="G349" s="47">
        <v>20318156</v>
      </c>
      <c r="H349" s="46" t="s">
        <v>15</v>
      </c>
      <c r="I349" s="47">
        <v>1</v>
      </c>
      <c r="J349" s="48">
        <v>154</v>
      </c>
      <c r="K349" s="48">
        <v>154</v>
      </c>
    </row>
    <row r="350" s="49" customFormat="1" spans="4:11">
      <c r="D350" s="45">
        <v>46081</v>
      </c>
      <c r="E350" s="46">
        <v>1580954</v>
      </c>
      <c r="F350" s="46" t="s">
        <v>16</v>
      </c>
      <c r="G350" s="47">
        <v>20318136</v>
      </c>
      <c r="H350" s="46" t="s">
        <v>57</v>
      </c>
      <c r="I350" s="47">
        <v>1</v>
      </c>
      <c r="J350" s="48">
        <v>8</v>
      </c>
      <c r="K350" s="48">
        <v>8</v>
      </c>
    </row>
    <row r="351" s="49" customFormat="1" spans="4:11">
      <c r="D351" s="45">
        <v>46081</v>
      </c>
      <c r="E351" s="46">
        <v>1580954</v>
      </c>
      <c r="F351" s="46" t="s">
        <v>16</v>
      </c>
      <c r="G351" s="47">
        <v>20326973</v>
      </c>
      <c r="H351" s="46" t="s">
        <v>78</v>
      </c>
      <c r="I351" s="47">
        <v>2</v>
      </c>
      <c r="J351" s="48">
        <v>8</v>
      </c>
      <c r="K351" s="48">
        <v>16</v>
      </c>
    </row>
    <row r="352" s="49" customFormat="1" spans="4:11">
      <c r="D352" s="45">
        <v>46081</v>
      </c>
      <c r="E352" s="46">
        <v>1580954</v>
      </c>
      <c r="F352" s="46" t="s">
        <v>16</v>
      </c>
      <c r="G352" s="47">
        <v>20318257</v>
      </c>
      <c r="H352" s="46" t="s">
        <v>50</v>
      </c>
      <c r="I352" s="47">
        <v>1</v>
      </c>
      <c r="J352" s="48">
        <v>8</v>
      </c>
      <c r="K352" s="48">
        <v>8</v>
      </c>
    </row>
    <row r="353" s="49" customFormat="1" spans="4:11">
      <c r="D353" s="45">
        <v>46081</v>
      </c>
      <c r="E353" s="46">
        <v>1580954</v>
      </c>
      <c r="F353" s="46" t="s">
        <v>16</v>
      </c>
      <c r="G353" s="47">
        <v>20318235</v>
      </c>
      <c r="H353" s="46" t="s">
        <v>27</v>
      </c>
      <c r="I353" s="47">
        <v>1</v>
      </c>
      <c r="J353" s="48">
        <v>8</v>
      </c>
      <c r="K353" s="48">
        <v>8</v>
      </c>
    </row>
    <row r="354" s="49" customFormat="1" spans="4:11">
      <c r="D354" s="45">
        <v>46081</v>
      </c>
      <c r="E354" s="46">
        <v>1580954</v>
      </c>
      <c r="F354" s="46" t="s">
        <v>16</v>
      </c>
      <c r="G354" s="47">
        <v>20329846</v>
      </c>
      <c r="H354" s="46" t="s">
        <v>51</v>
      </c>
      <c r="I354" s="47">
        <v>1</v>
      </c>
      <c r="J354" s="48">
        <v>13.5</v>
      </c>
      <c r="K354" s="48">
        <v>13.5</v>
      </c>
    </row>
    <row r="355" s="49" customFormat="1" spans="4:11">
      <c r="D355" s="45">
        <v>46081</v>
      </c>
      <c r="E355" s="46">
        <v>1580954</v>
      </c>
      <c r="F355" s="46" t="s">
        <v>16</v>
      </c>
      <c r="G355" s="47">
        <v>20318236</v>
      </c>
      <c r="H355" s="46" t="s">
        <v>55</v>
      </c>
      <c r="I355" s="47">
        <v>1</v>
      </c>
      <c r="J355" s="48">
        <v>11</v>
      </c>
      <c r="K355" s="48">
        <v>11</v>
      </c>
    </row>
    <row r="356" s="49" customFormat="1" spans="4:11">
      <c r="D356" s="45">
        <v>46081</v>
      </c>
      <c r="E356" s="46">
        <v>1580954</v>
      </c>
      <c r="F356" s="46" t="s">
        <v>16</v>
      </c>
      <c r="G356" s="47">
        <v>20329843</v>
      </c>
      <c r="H356" s="46" t="s">
        <v>52</v>
      </c>
      <c r="I356" s="47">
        <v>1</v>
      </c>
      <c r="J356" s="48">
        <v>11</v>
      </c>
      <c r="K356" s="48">
        <v>11</v>
      </c>
    </row>
    <row r="357" s="49" customFormat="1" spans="4:11">
      <c r="D357" s="45">
        <v>46081</v>
      </c>
      <c r="E357" s="46">
        <v>1580954</v>
      </c>
      <c r="F357" s="46" t="s">
        <v>16</v>
      </c>
      <c r="G357" s="47">
        <v>20318166</v>
      </c>
      <c r="H357" s="46" t="s">
        <v>28</v>
      </c>
      <c r="I357" s="47">
        <v>2</v>
      </c>
      <c r="J357" s="48">
        <v>8</v>
      </c>
      <c r="K357" s="48">
        <v>16</v>
      </c>
    </row>
    <row r="358" s="49" customFormat="1" spans="4:11">
      <c r="D358" s="45">
        <v>46081</v>
      </c>
      <c r="E358" s="46">
        <v>1580954</v>
      </c>
      <c r="F358" s="46" t="s">
        <v>16</v>
      </c>
      <c r="G358" s="47">
        <v>20393920</v>
      </c>
      <c r="H358" s="46" t="s">
        <v>79</v>
      </c>
      <c r="I358" s="47">
        <v>1</v>
      </c>
      <c r="J358" s="48">
        <v>8</v>
      </c>
      <c r="K358" s="48">
        <v>8</v>
      </c>
    </row>
    <row r="359" s="49" customFormat="1" spans="4:11">
      <c r="D359" s="45">
        <v>46081</v>
      </c>
      <c r="E359" s="46">
        <v>1580954</v>
      </c>
      <c r="F359" s="46" t="s">
        <v>16</v>
      </c>
      <c r="G359" s="47">
        <v>20318250</v>
      </c>
      <c r="H359" s="46" t="s">
        <v>47</v>
      </c>
      <c r="I359" s="47">
        <v>1</v>
      </c>
      <c r="J359" s="48">
        <v>8</v>
      </c>
      <c r="K359" s="48">
        <v>8</v>
      </c>
    </row>
    <row r="360" s="49" customFormat="1" spans="4:11">
      <c r="D360" s="45">
        <v>46081</v>
      </c>
      <c r="E360" s="46">
        <v>1580954</v>
      </c>
      <c r="F360" s="46" t="s">
        <v>16</v>
      </c>
      <c r="G360" s="47">
        <v>20374866</v>
      </c>
      <c r="H360" s="46" t="s">
        <v>80</v>
      </c>
      <c r="I360" s="47">
        <v>1</v>
      </c>
      <c r="J360" s="48">
        <v>8</v>
      </c>
      <c r="K360" s="48">
        <v>8</v>
      </c>
    </row>
    <row r="361" s="49" customFormat="1" spans="4:11">
      <c r="D361" s="45">
        <v>46081</v>
      </c>
      <c r="E361" s="46">
        <v>1580954</v>
      </c>
      <c r="F361" s="46" t="s">
        <v>16</v>
      </c>
      <c r="G361" s="47">
        <v>20331668</v>
      </c>
      <c r="H361" s="46" t="s">
        <v>29</v>
      </c>
      <c r="I361" s="47">
        <v>1</v>
      </c>
      <c r="J361" s="48">
        <v>8</v>
      </c>
      <c r="K361" s="48">
        <v>8</v>
      </c>
    </row>
    <row r="362" s="49" customFormat="1" spans="4:11">
      <c r="D362" s="45">
        <v>46081</v>
      </c>
      <c r="E362" s="46">
        <v>1580954</v>
      </c>
      <c r="F362" s="46" t="s">
        <v>16</v>
      </c>
      <c r="G362" s="47">
        <v>20333778</v>
      </c>
      <c r="H362" s="46" t="s">
        <v>62</v>
      </c>
      <c r="I362" s="47">
        <v>1</v>
      </c>
      <c r="J362" s="48">
        <v>16.5</v>
      </c>
      <c r="K362" s="48">
        <v>16.5</v>
      </c>
    </row>
    <row r="363" s="49" customFormat="1" spans="4:11">
      <c r="D363" s="45">
        <v>46081</v>
      </c>
      <c r="E363" s="46">
        <v>1580954</v>
      </c>
      <c r="F363" s="46" t="s">
        <v>16</v>
      </c>
      <c r="G363" s="47">
        <v>20329847</v>
      </c>
      <c r="H363" s="46" t="s">
        <v>17</v>
      </c>
      <c r="I363" s="47">
        <v>3</v>
      </c>
      <c r="J363" s="48">
        <v>13</v>
      </c>
      <c r="K363" s="48">
        <v>39</v>
      </c>
    </row>
    <row r="364" s="49" customFormat="1" spans="4:11">
      <c r="D364" s="45">
        <v>46081</v>
      </c>
      <c r="E364" s="46">
        <v>1580954</v>
      </c>
      <c r="F364" s="46" t="s">
        <v>16</v>
      </c>
      <c r="G364" s="47">
        <v>20333142</v>
      </c>
      <c r="H364" s="46" t="s">
        <v>41</v>
      </c>
      <c r="I364" s="47">
        <v>2</v>
      </c>
      <c r="J364" s="48">
        <v>22</v>
      </c>
      <c r="K364" s="48">
        <v>44</v>
      </c>
    </row>
    <row r="365" s="49" customFormat="1" spans="4:11">
      <c r="D365" s="45">
        <v>46081</v>
      </c>
      <c r="E365" s="46">
        <v>1580954</v>
      </c>
      <c r="F365" s="46" t="s">
        <v>16</v>
      </c>
      <c r="G365" s="47">
        <v>20318254</v>
      </c>
      <c r="H365" s="46" t="s">
        <v>35</v>
      </c>
      <c r="I365" s="47">
        <v>1</v>
      </c>
      <c r="J365" s="48">
        <v>16.5</v>
      </c>
      <c r="K365" s="48">
        <v>16.5</v>
      </c>
    </row>
    <row r="366" s="49" customFormat="1" spans="4:11">
      <c r="D366" s="45">
        <v>46081</v>
      </c>
      <c r="E366" s="46">
        <v>1580954</v>
      </c>
      <c r="F366" s="46" t="s">
        <v>18</v>
      </c>
      <c r="G366" s="47">
        <v>20322228</v>
      </c>
      <c r="H366" s="46" t="s">
        <v>19</v>
      </c>
      <c r="I366" s="47">
        <v>1</v>
      </c>
      <c r="J366" s="48">
        <v>15</v>
      </c>
      <c r="K366" s="48">
        <v>15</v>
      </c>
    </row>
    <row r="367" s="49" customFormat="1" spans="4:11">
      <c r="D367" s="45">
        <v>46081</v>
      </c>
      <c r="E367" s="46">
        <v>1580954</v>
      </c>
      <c r="F367" s="46" t="s">
        <v>20</v>
      </c>
      <c r="G367" s="47">
        <v>20321257</v>
      </c>
      <c r="H367" s="46" t="s">
        <v>21</v>
      </c>
      <c r="I367" s="47">
        <v>7</v>
      </c>
      <c r="J367" s="48">
        <v>16.5</v>
      </c>
      <c r="K367" s="48">
        <v>115.5</v>
      </c>
    </row>
    <row r="368" s="49" customFormat="1" spans="4:11">
      <c r="D368" s="45">
        <v>46081</v>
      </c>
      <c r="E368" s="46">
        <v>1580954</v>
      </c>
      <c r="F368" s="46" t="s">
        <v>20</v>
      </c>
      <c r="G368" s="47">
        <v>20329874</v>
      </c>
      <c r="H368" s="46" t="s">
        <v>22</v>
      </c>
      <c r="I368" s="47">
        <v>1</v>
      </c>
      <c r="J368" s="48">
        <v>16.5</v>
      </c>
      <c r="K368" s="48">
        <v>16.5</v>
      </c>
    </row>
    <row r="369" s="49" customFormat="1" spans="4:11">
      <c r="D369" s="45">
        <v>46081</v>
      </c>
      <c r="E369" s="46">
        <v>1580954</v>
      </c>
      <c r="F369" s="46" t="s">
        <v>20</v>
      </c>
      <c r="G369" s="47">
        <v>20318229</v>
      </c>
      <c r="H369" s="46" t="s">
        <v>37</v>
      </c>
      <c r="I369" s="47">
        <v>1</v>
      </c>
      <c r="J369" s="48">
        <v>16.5</v>
      </c>
      <c r="K369" s="48">
        <v>16.5</v>
      </c>
    </row>
    <row r="370" s="49" customFormat="1" spans="4:11">
      <c r="D370" s="45">
        <v>46081</v>
      </c>
      <c r="E370" s="46">
        <v>1580954</v>
      </c>
      <c r="F370" s="46" t="s">
        <v>20</v>
      </c>
      <c r="G370" s="47">
        <v>20318332</v>
      </c>
      <c r="H370" s="46" t="s">
        <v>23</v>
      </c>
      <c r="I370" s="47">
        <v>1</v>
      </c>
      <c r="J370" s="48">
        <v>22</v>
      </c>
      <c r="K370" s="48">
        <v>22</v>
      </c>
    </row>
    <row r="371" s="49" customFormat="1" spans="4:11">
      <c r="D371" s="45">
        <v>46081</v>
      </c>
      <c r="E371" s="46">
        <v>1580954</v>
      </c>
      <c r="F371" s="46" t="s">
        <v>20</v>
      </c>
      <c r="G371" s="47">
        <v>20318262</v>
      </c>
      <c r="H371" s="46" t="s">
        <v>24</v>
      </c>
      <c r="I371" s="47">
        <v>2</v>
      </c>
      <c r="J371" s="48">
        <v>16.5</v>
      </c>
      <c r="K371" s="48">
        <v>33</v>
      </c>
    </row>
    <row r="372" s="49" customFormat="1" spans="4:11">
      <c r="D372" s="45">
        <v>46081</v>
      </c>
      <c r="E372" s="46">
        <v>1580954</v>
      </c>
      <c r="F372" s="46" t="s">
        <v>20</v>
      </c>
      <c r="G372" s="47">
        <v>20318241</v>
      </c>
      <c r="H372" s="46" t="s">
        <v>61</v>
      </c>
      <c r="I372" s="47">
        <v>1</v>
      </c>
      <c r="J372" s="48">
        <v>16.5</v>
      </c>
      <c r="K372" s="48">
        <v>16.5</v>
      </c>
    </row>
    <row r="373" s="49" customFormat="1" spans="4:11">
      <c r="D373" s="45">
        <v>46081</v>
      </c>
      <c r="E373" s="46">
        <v>1580954</v>
      </c>
      <c r="F373" s="46" t="s">
        <v>20</v>
      </c>
      <c r="G373" s="47">
        <v>20014827</v>
      </c>
      <c r="H373" s="46" t="s">
        <v>38</v>
      </c>
      <c r="I373" s="47">
        <v>1</v>
      </c>
      <c r="J373" s="48">
        <v>16.5</v>
      </c>
      <c r="K373" s="48">
        <v>16.5</v>
      </c>
    </row>
    <row r="374" s="49" customFormat="1" spans="4:11">
      <c r="D374" s="45">
        <v>46081</v>
      </c>
      <c r="E374" s="46">
        <v>1580954</v>
      </c>
      <c r="F374" s="46" t="s">
        <v>20</v>
      </c>
      <c r="G374" s="47">
        <v>20342042</v>
      </c>
      <c r="H374" s="46" t="s">
        <v>25</v>
      </c>
      <c r="I374" s="47">
        <v>1</v>
      </c>
      <c r="J374" s="48">
        <v>16.5</v>
      </c>
      <c r="K374" s="48">
        <v>16.5</v>
      </c>
    </row>
    <row r="375" s="49" customFormat="1" spans="4:11">
      <c r="D375" s="45">
        <v>46081</v>
      </c>
      <c r="E375" s="46">
        <v>1580990</v>
      </c>
      <c r="F375" s="46" t="s">
        <v>13</v>
      </c>
      <c r="G375" s="47">
        <v>20326613</v>
      </c>
      <c r="H375" s="46" t="s">
        <v>14</v>
      </c>
      <c r="I375" s="47">
        <v>3</v>
      </c>
      <c r="J375" s="48">
        <v>88</v>
      </c>
      <c r="K375" s="48">
        <v>264</v>
      </c>
    </row>
    <row r="376" s="49" customFormat="1" spans="4:11">
      <c r="D376" s="45">
        <v>46081</v>
      </c>
      <c r="E376" s="46">
        <v>1580990</v>
      </c>
      <c r="F376" s="46" t="s">
        <v>13</v>
      </c>
      <c r="G376" s="47">
        <v>20340902</v>
      </c>
      <c r="H376" s="46" t="s">
        <v>77</v>
      </c>
      <c r="I376" s="47">
        <v>1</v>
      </c>
      <c r="J376" s="48">
        <v>104.5</v>
      </c>
      <c r="K376" s="48">
        <v>104.5</v>
      </c>
    </row>
    <row r="377" s="49" customFormat="1" spans="4:11">
      <c r="D377" s="45">
        <v>46081</v>
      </c>
      <c r="E377" s="46">
        <v>1580990</v>
      </c>
      <c r="F377" s="46" t="s">
        <v>30</v>
      </c>
      <c r="G377" s="47">
        <v>20351811</v>
      </c>
      <c r="H377" s="46" t="s">
        <v>36</v>
      </c>
      <c r="I377" s="47">
        <v>1</v>
      </c>
      <c r="J377" s="48">
        <v>55</v>
      </c>
      <c r="K377" s="48">
        <v>55</v>
      </c>
    </row>
    <row r="378" s="49" customFormat="1" spans="4:11">
      <c r="D378" s="45">
        <v>46081</v>
      </c>
      <c r="E378" s="46">
        <v>1581101</v>
      </c>
      <c r="F378" s="46" t="s">
        <v>13</v>
      </c>
      <c r="G378" s="47">
        <v>20326613</v>
      </c>
      <c r="H378" s="46" t="s">
        <v>14</v>
      </c>
      <c r="I378" s="47">
        <v>6</v>
      </c>
      <c r="J378" s="48">
        <v>88</v>
      </c>
      <c r="K378" s="48">
        <v>528</v>
      </c>
    </row>
    <row r="379" s="49" customFormat="1" spans="4:11">
      <c r="D379" s="45">
        <v>46081</v>
      </c>
      <c r="E379" s="46">
        <v>1581101</v>
      </c>
      <c r="F379" s="46" t="s">
        <v>13</v>
      </c>
      <c r="G379" s="47">
        <v>20318156</v>
      </c>
      <c r="H379" s="46" t="s">
        <v>15</v>
      </c>
      <c r="I379" s="47">
        <v>1</v>
      </c>
      <c r="J379" s="48">
        <v>154</v>
      </c>
      <c r="K379" s="48">
        <v>154</v>
      </c>
    </row>
    <row r="380" s="49" customFormat="1" spans="4:11">
      <c r="D380" s="45">
        <v>46081</v>
      </c>
      <c r="E380" s="46">
        <v>1581101</v>
      </c>
      <c r="F380" s="46" t="s">
        <v>13</v>
      </c>
      <c r="G380" s="47">
        <v>20312951</v>
      </c>
      <c r="H380" s="46" t="s">
        <v>72</v>
      </c>
      <c r="I380" s="47">
        <v>1</v>
      </c>
      <c r="J380" s="48">
        <v>165</v>
      </c>
      <c r="K380" s="48">
        <v>165</v>
      </c>
    </row>
    <row r="381" s="49" customFormat="1" spans="4:11">
      <c r="D381" s="45">
        <v>46081</v>
      </c>
      <c r="E381" s="46">
        <v>1581101</v>
      </c>
      <c r="F381" s="46" t="s">
        <v>16</v>
      </c>
      <c r="G381" s="47">
        <v>20318257</v>
      </c>
      <c r="H381" s="46" t="s">
        <v>50</v>
      </c>
      <c r="I381" s="47">
        <v>1</v>
      </c>
      <c r="J381" s="48">
        <v>8</v>
      </c>
      <c r="K381" s="48">
        <v>8</v>
      </c>
    </row>
    <row r="382" s="49" customFormat="1" spans="4:11">
      <c r="D382" s="45">
        <v>46081</v>
      </c>
      <c r="E382" s="46">
        <v>1581101</v>
      </c>
      <c r="F382" s="46" t="s">
        <v>16</v>
      </c>
      <c r="G382" s="47">
        <v>20318235</v>
      </c>
      <c r="H382" s="46" t="s">
        <v>27</v>
      </c>
      <c r="I382" s="47">
        <v>3</v>
      </c>
      <c r="J382" s="48">
        <v>8</v>
      </c>
      <c r="K382" s="48">
        <v>24</v>
      </c>
    </row>
    <row r="383" s="49" customFormat="1" spans="4:11">
      <c r="D383" s="45">
        <v>46081</v>
      </c>
      <c r="E383" s="46">
        <v>1581101</v>
      </c>
      <c r="F383" s="46" t="s">
        <v>16</v>
      </c>
      <c r="G383" s="47">
        <v>20329846</v>
      </c>
      <c r="H383" s="46" t="s">
        <v>51</v>
      </c>
      <c r="I383" s="47">
        <v>2</v>
      </c>
      <c r="J383" s="48">
        <v>13.5</v>
      </c>
      <c r="K383" s="48">
        <v>27</v>
      </c>
    </row>
    <row r="384" s="49" customFormat="1" spans="4:11">
      <c r="D384" s="45">
        <v>46081</v>
      </c>
      <c r="E384" s="46">
        <v>1581101</v>
      </c>
      <c r="F384" s="46" t="s">
        <v>16</v>
      </c>
      <c r="G384" s="47">
        <v>20318250</v>
      </c>
      <c r="H384" s="46" t="s">
        <v>47</v>
      </c>
      <c r="I384" s="47">
        <v>1</v>
      </c>
      <c r="J384" s="48">
        <v>8</v>
      </c>
      <c r="K384" s="48">
        <v>8</v>
      </c>
    </row>
    <row r="385" s="49" customFormat="1" spans="4:11">
      <c r="D385" s="45">
        <v>46081</v>
      </c>
      <c r="E385" s="46">
        <v>1581101</v>
      </c>
      <c r="F385" s="46" t="s">
        <v>16</v>
      </c>
      <c r="G385" s="47">
        <v>20331668</v>
      </c>
      <c r="H385" s="46" t="s">
        <v>29</v>
      </c>
      <c r="I385" s="47">
        <v>2</v>
      </c>
      <c r="J385" s="48">
        <v>8</v>
      </c>
      <c r="K385" s="48">
        <v>16</v>
      </c>
    </row>
    <row r="386" s="49" customFormat="1" spans="4:11">
      <c r="D386" s="45">
        <v>46081</v>
      </c>
      <c r="E386" s="46">
        <v>1581101</v>
      </c>
      <c r="F386" s="46" t="s">
        <v>16</v>
      </c>
      <c r="G386" s="47">
        <v>20329847</v>
      </c>
      <c r="H386" s="46" t="s">
        <v>17</v>
      </c>
      <c r="I386" s="47">
        <v>1</v>
      </c>
      <c r="J386" s="48">
        <v>13</v>
      </c>
      <c r="K386" s="48">
        <v>13</v>
      </c>
    </row>
    <row r="387" s="49" customFormat="1" spans="4:11">
      <c r="D387" s="45">
        <v>46081</v>
      </c>
      <c r="E387" s="46">
        <v>1581101</v>
      </c>
      <c r="F387" s="46" t="s">
        <v>16</v>
      </c>
      <c r="G387" s="47">
        <v>20331472</v>
      </c>
      <c r="H387" s="46" t="s">
        <v>44</v>
      </c>
      <c r="I387" s="47">
        <v>1</v>
      </c>
      <c r="J387" s="48">
        <v>8</v>
      </c>
      <c r="K387" s="48">
        <v>8</v>
      </c>
    </row>
    <row r="388" s="49" customFormat="1" spans="4:11">
      <c r="D388" s="45">
        <v>46081</v>
      </c>
      <c r="E388" s="46">
        <v>1581101</v>
      </c>
      <c r="F388" s="46" t="s">
        <v>30</v>
      </c>
      <c r="G388" s="47">
        <v>20394933</v>
      </c>
      <c r="H388" s="46" t="s">
        <v>45</v>
      </c>
      <c r="I388" s="47">
        <v>2</v>
      </c>
      <c r="J388" s="48">
        <v>66</v>
      </c>
      <c r="K388" s="48">
        <v>132</v>
      </c>
    </row>
    <row r="389" s="49" customFormat="1" spans="4:11">
      <c r="D389" s="45">
        <v>46081</v>
      </c>
      <c r="E389" s="46">
        <v>1581101</v>
      </c>
      <c r="F389" s="46" t="s">
        <v>20</v>
      </c>
      <c r="G389" s="47">
        <v>20321257</v>
      </c>
      <c r="H389" s="46" t="s">
        <v>21</v>
      </c>
      <c r="I389" s="47">
        <v>2</v>
      </c>
      <c r="J389" s="48">
        <v>16.5</v>
      </c>
      <c r="K389" s="48">
        <v>33</v>
      </c>
    </row>
    <row r="390" s="49" customFormat="1" spans="4:11">
      <c r="D390" s="45">
        <v>46081</v>
      </c>
      <c r="E390" s="46">
        <v>1581101</v>
      </c>
      <c r="F390" s="46" t="s">
        <v>20</v>
      </c>
      <c r="G390" s="47">
        <v>20318332</v>
      </c>
      <c r="H390" s="46" t="s">
        <v>23</v>
      </c>
      <c r="I390" s="47">
        <v>1</v>
      </c>
      <c r="J390" s="48">
        <v>22</v>
      </c>
      <c r="K390" s="48">
        <v>22</v>
      </c>
    </row>
    <row r="391" s="49" customFormat="1" spans="4:11">
      <c r="D391" s="45">
        <v>46081</v>
      </c>
      <c r="E391" s="46">
        <v>1581101</v>
      </c>
      <c r="F391" s="46" t="s">
        <v>20</v>
      </c>
      <c r="G391" s="47">
        <v>20318262</v>
      </c>
      <c r="H391" s="46" t="s">
        <v>24</v>
      </c>
      <c r="I391" s="47">
        <v>1</v>
      </c>
      <c r="J391" s="48">
        <v>16.5</v>
      </c>
      <c r="K391" s="48">
        <v>16.5</v>
      </c>
    </row>
    <row r="392" s="49" customFormat="1" spans="4:11">
      <c r="D392" s="45">
        <v>46081</v>
      </c>
      <c r="E392" s="46">
        <v>1581101</v>
      </c>
      <c r="F392" s="46" t="s">
        <v>20</v>
      </c>
      <c r="G392" s="47">
        <v>20014827</v>
      </c>
      <c r="H392" s="46" t="s">
        <v>38</v>
      </c>
      <c r="I392" s="47">
        <v>1</v>
      </c>
      <c r="J392" s="48">
        <v>16.5</v>
      </c>
      <c r="K392" s="48">
        <v>16.5</v>
      </c>
    </row>
    <row r="393" s="49" customFormat="1" spans="4:11">
      <c r="D393" s="45">
        <v>46081</v>
      </c>
      <c r="E393" s="46">
        <v>1581101</v>
      </c>
      <c r="F393" s="46" t="s">
        <v>20</v>
      </c>
      <c r="G393" s="47">
        <v>20342042</v>
      </c>
      <c r="H393" s="46" t="s">
        <v>25</v>
      </c>
      <c r="I393" s="47">
        <v>1</v>
      </c>
      <c r="J393" s="48">
        <v>16.5</v>
      </c>
      <c r="K393" s="48">
        <v>16.5</v>
      </c>
    </row>
    <row r="394" s="49" customFormat="1" spans="4:11">
      <c r="D394" s="45">
        <v>46081</v>
      </c>
      <c r="E394" s="46">
        <v>1581115</v>
      </c>
      <c r="F394" s="46" t="s">
        <v>13</v>
      </c>
      <c r="G394" s="47">
        <v>20326613</v>
      </c>
      <c r="H394" s="46" t="s">
        <v>14</v>
      </c>
      <c r="I394" s="47">
        <v>1</v>
      </c>
      <c r="J394" s="48">
        <v>88</v>
      </c>
      <c r="K394" s="48">
        <v>88</v>
      </c>
    </row>
    <row r="395" s="49" customFormat="1" spans="4:11">
      <c r="D395" s="45">
        <v>46081</v>
      </c>
      <c r="E395" s="46">
        <v>1581115</v>
      </c>
      <c r="F395" s="46" t="s">
        <v>53</v>
      </c>
      <c r="G395" s="47">
        <v>20322235</v>
      </c>
      <c r="H395" s="46" t="s">
        <v>81</v>
      </c>
      <c r="I395" s="47">
        <v>1</v>
      </c>
      <c r="J395" s="48">
        <v>2.5</v>
      </c>
      <c r="K395" s="48">
        <v>2.5</v>
      </c>
    </row>
    <row r="396" s="49" customFormat="1" spans="4:11">
      <c r="D396" s="45">
        <v>46081</v>
      </c>
      <c r="E396" s="46">
        <v>1581115</v>
      </c>
      <c r="F396" s="46" t="s">
        <v>20</v>
      </c>
      <c r="G396" s="47">
        <v>20321257</v>
      </c>
      <c r="H396" s="46" t="s">
        <v>21</v>
      </c>
      <c r="I396" s="47">
        <v>1</v>
      </c>
      <c r="J396" s="48">
        <v>16.5</v>
      </c>
      <c r="K396" s="48">
        <v>16.5</v>
      </c>
    </row>
    <row r="397" s="49" customFormat="1" spans="4:11">
      <c r="D397" s="45">
        <v>46082</v>
      </c>
      <c r="E397" s="46">
        <v>1581251</v>
      </c>
      <c r="F397" s="46" t="s">
        <v>13</v>
      </c>
      <c r="G397" s="47">
        <v>20326613</v>
      </c>
      <c r="H397" s="46" t="s">
        <v>14</v>
      </c>
      <c r="I397" s="47">
        <v>5</v>
      </c>
      <c r="J397" s="48">
        <v>88</v>
      </c>
      <c r="K397" s="48">
        <v>440</v>
      </c>
    </row>
    <row r="398" s="49" customFormat="1" spans="4:11">
      <c r="D398" s="45">
        <v>46082</v>
      </c>
      <c r="E398" s="46">
        <v>1581251</v>
      </c>
      <c r="F398" s="46" t="s">
        <v>16</v>
      </c>
      <c r="G398" s="47">
        <v>20318235</v>
      </c>
      <c r="H398" s="46" t="s">
        <v>27</v>
      </c>
      <c r="I398" s="47">
        <v>1</v>
      </c>
      <c r="J398" s="48">
        <v>8</v>
      </c>
      <c r="K398" s="48">
        <v>8</v>
      </c>
    </row>
    <row r="399" s="49" customFormat="1" spans="4:11">
      <c r="D399" s="45">
        <v>46082</v>
      </c>
      <c r="E399" s="46">
        <v>1581251</v>
      </c>
      <c r="F399" s="46" t="s">
        <v>16</v>
      </c>
      <c r="G399" s="47">
        <v>20329846</v>
      </c>
      <c r="H399" s="46" t="s">
        <v>51</v>
      </c>
      <c r="I399" s="47">
        <v>1</v>
      </c>
      <c r="J399" s="48">
        <v>13.5</v>
      </c>
      <c r="K399" s="48">
        <v>13.5</v>
      </c>
    </row>
    <row r="400" s="49" customFormat="1" spans="4:11">
      <c r="D400" s="45">
        <v>46082</v>
      </c>
      <c r="E400" s="46">
        <v>1581251</v>
      </c>
      <c r="F400" s="46" t="s">
        <v>16</v>
      </c>
      <c r="G400" s="47">
        <v>20329847</v>
      </c>
      <c r="H400" s="46" t="s">
        <v>17</v>
      </c>
      <c r="I400" s="47">
        <v>1</v>
      </c>
      <c r="J400" s="48">
        <v>13</v>
      </c>
      <c r="K400" s="48">
        <v>13</v>
      </c>
    </row>
    <row r="401" s="49" customFormat="1" spans="4:11">
      <c r="D401" s="45">
        <v>46082</v>
      </c>
      <c r="E401" s="46">
        <v>1581251</v>
      </c>
      <c r="F401" s="46" t="s">
        <v>20</v>
      </c>
      <c r="G401" s="47">
        <v>20321257</v>
      </c>
      <c r="H401" s="46" t="s">
        <v>21</v>
      </c>
      <c r="I401" s="47">
        <v>3</v>
      </c>
      <c r="J401" s="48">
        <v>16.5</v>
      </c>
      <c r="K401" s="48">
        <v>49.5</v>
      </c>
    </row>
    <row r="402" s="49" customFormat="1" spans="4:11">
      <c r="D402" s="45">
        <v>46082</v>
      </c>
      <c r="E402" s="46">
        <v>1581251</v>
      </c>
      <c r="F402" s="46" t="s">
        <v>20</v>
      </c>
      <c r="G402" s="47">
        <v>20318262</v>
      </c>
      <c r="H402" s="46" t="s">
        <v>24</v>
      </c>
      <c r="I402" s="47">
        <v>1</v>
      </c>
      <c r="J402" s="48">
        <v>16.5</v>
      </c>
      <c r="K402" s="48">
        <v>16.5</v>
      </c>
    </row>
    <row r="403" s="49" customFormat="1" spans="4:11">
      <c r="D403" s="45">
        <v>46082</v>
      </c>
      <c r="E403" s="46">
        <v>1581251</v>
      </c>
      <c r="F403" s="46" t="s">
        <v>20</v>
      </c>
      <c r="G403" s="47">
        <v>20014827</v>
      </c>
      <c r="H403" s="46" t="s">
        <v>38</v>
      </c>
      <c r="I403" s="47">
        <v>1</v>
      </c>
      <c r="J403" s="48">
        <v>16.5</v>
      </c>
      <c r="K403" s="48">
        <v>16.5</v>
      </c>
    </row>
    <row r="404" s="49" customFormat="1" spans="4:11">
      <c r="D404" s="45">
        <v>46082</v>
      </c>
      <c r="E404" s="46">
        <v>1581251</v>
      </c>
      <c r="F404" s="46" t="s">
        <v>20</v>
      </c>
      <c r="G404" s="47">
        <v>20321688</v>
      </c>
      <c r="H404" s="46" t="s">
        <v>63</v>
      </c>
      <c r="I404" s="47">
        <v>1</v>
      </c>
      <c r="J404" s="48">
        <v>16.5</v>
      </c>
      <c r="K404" s="48">
        <v>16.5</v>
      </c>
    </row>
    <row r="405" s="49" customFormat="1" spans="4:11">
      <c r="D405" s="45">
        <v>46082</v>
      </c>
      <c r="E405" s="46">
        <v>1581251</v>
      </c>
      <c r="F405" s="46" t="s">
        <v>20</v>
      </c>
      <c r="G405" s="47">
        <v>20318197</v>
      </c>
      <c r="H405" s="46" t="s">
        <v>33</v>
      </c>
      <c r="I405" s="47">
        <v>1</v>
      </c>
      <c r="J405" s="48">
        <v>16.5</v>
      </c>
      <c r="K405" s="48">
        <v>16.5</v>
      </c>
    </row>
    <row r="406" s="49" customFormat="1" spans="4:11">
      <c r="D406" s="45">
        <v>46082</v>
      </c>
      <c r="E406" s="46">
        <v>1581251</v>
      </c>
      <c r="F406" s="46" t="s">
        <v>20</v>
      </c>
      <c r="G406" s="47">
        <v>20342042</v>
      </c>
      <c r="H406" s="46" t="s">
        <v>25</v>
      </c>
      <c r="I406" s="47">
        <v>1</v>
      </c>
      <c r="J406" s="48">
        <v>16.5</v>
      </c>
      <c r="K406" s="48">
        <v>16.5</v>
      </c>
    </row>
    <row r="407" s="49" customFormat="1" spans="4:11">
      <c r="D407" s="45">
        <v>46083</v>
      </c>
      <c r="E407" s="46">
        <v>1581362</v>
      </c>
      <c r="F407" s="46" t="s">
        <v>13</v>
      </c>
      <c r="G407" s="47">
        <v>20326613</v>
      </c>
      <c r="H407" s="46" t="s">
        <v>14</v>
      </c>
      <c r="I407" s="47">
        <v>8</v>
      </c>
      <c r="J407" s="48">
        <v>88</v>
      </c>
      <c r="K407" s="48">
        <v>704</v>
      </c>
    </row>
    <row r="408" s="49" customFormat="1" spans="4:11">
      <c r="D408" s="45">
        <v>46083</v>
      </c>
      <c r="E408" s="46">
        <v>1581362</v>
      </c>
      <c r="F408" s="46" t="s">
        <v>16</v>
      </c>
      <c r="G408" s="47">
        <v>20330564</v>
      </c>
      <c r="H408" s="46" t="s">
        <v>65</v>
      </c>
      <c r="I408" s="47">
        <v>1</v>
      </c>
      <c r="J408" s="48">
        <v>16.5</v>
      </c>
      <c r="K408" s="48">
        <v>16.5</v>
      </c>
    </row>
    <row r="409" s="49" customFormat="1" spans="4:11">
      <c r="D409" s="45">
        <v>46083</v>
      </c>
      <c r="E409" s="46">
        <v>1581362</v>
      </c>
      <c r="F409" s="46" t="s">
        <v>16</v>
      </c>
      <c r="G409" s="47">
        <v>20318250</v>
      </c>
      <c r="H409" s="46" t="s">
        <v>47</v>
      </c>
      <c r="I409" s="47">
        <v>1</v>
      </c>
      <c r="J409" s="48">
        <v>8</v>
      </c>
      <c r="K409" s="48">
        <v>8</v>
      </c>
    </row>
    <row r="410" s="49" customFormat="1" spans="4:11">
      <c r="D410" s="45">
        <v>46083</v>
      </c>
      <c r="E410" s="46">
        <v>1581362</v>
      </c>
      <c r="F410" s="46" t="s">
        <v>16</v>
      </c>
      <c r="G410" s="47">
        <v>20331668</v>
      </c>
      <c r="H410" s="46" t="s">
        <v>29</v>
      </c>
      <c r="I410" s="47">
        <v>1</v>
      </c>
      <c r="J410" s="48">
        <v>8</v>
      </c>
      <c r="K410" s="48">
        <v>8</v>
      </c>
    </row>
    <row r="411" s="49" customFormat="1" spans="4:11">
      <c r="D411" s="45">
        <v>46083</v>
      </c>
      <c r="E411" s="46">
        <v>1581362</v>
      </c>
      <c r="F411" s="46" t="s">
        <v>16</v>
      </c>
      <c r="G411" s="47">
        <v>20329847</v>
      </c>
      <c r="H411" s="46" t="s">
        <v>17</v>
      </c>
      <c r="I411" s="47">
        <v>2</v>
      </c>
      <c r="J411" s="48">
        <v>13</v>
      </c>
      <c r="K411" s="48">
        <v>26</v>
      </c>
    </row>
    <row r="412" s="49" customFormat="1" spans="4:11">
      <c r="D412" s="45">
        <v>46083</v>
      </c>
      <c r="E412" s="46">
        <v>1581362</v>
      </c>
      <c r="F412" s="46" t="s">
        <v>16</v>
      </c>
      <c r="G412" s="47">
        <v>20318239</v>
      </c>
      <c r="H412" s="46" t="s">
        <v>66</v>
      </c>
      <c r="I412" s="47">
        <v>1</v>
      </c>
      <c r="J412" s="48">
        <v>16.5</v>
      </c>
      <c r="K412" s="48">
        <v>16.5</v>
      </c>
    </row>
    <row r="413" s="49" customFormat="1" spans="4:11">
      <c r="D413" s="45">
        <v>46083</v>
      </c>
      <c r="E413" s="46">
        <v>1581362</v>
      </c>
      <c r="F413" s="46" t="s">
        <v>20</v>
      </c>
      <c r="G413" s="47">
        <v>20321257</v>
      </c>
      <c r="H413" s="46" t="s">
        <v>21</v>
      </c>
      <c r="I413" s="47">
        <v>2</v>
      </c>
      <c r="J413" s="48">
        <v>16.5</v>
      </c>
      <c r="K413" s="48">
        <v>33</v>
      </c>
    </row>
    <row r="414" s="49" customFormat="1" spans="4:11">
      <c r="D414" s="45">
        <v>46083</v>
      </c>
      <c r="E414" s="46">
        <v>1581362</v>
      </c>
      <c r="F414" s="46" t="s">
        <v>20</v>
      </c>
      <c r="G414" s="47">
        <v>20318229</v>
      </c>
      <c r="H414" s="46" t="s">
        <v>37</v>
      </c>
      <c r="I414" s="47">
        <v>1</v>
      </c>
      <c r="J414" s="48">
        <v>16.5</v>
      </c>
      <c r="K414" s="48">
        <v>16.5</v>
      </c>
    </row>
    <row r="415" s="49" customFormat="1" spans="4:11">
      <c r="D415" s="45">
        <v>46083</v>
      </c>
      <c r="E415" s="46">
        <v>1581362</v>
      </c>
      <c r="F415" s="46" t="s">
        <v>20</v>
      </c>
      <c r="G415" s="47">
        <v>20318262</v>
      </c>
      <c r="H415" s="46" t="s">
        <v>24</v>
      </c>
      <c r="I415" s="47">
        <v>1</v>
      </c>
      <c r="J415" s="48">
        <v>16.5</v>
      </c>
      <c r="K415" s="48">
        <v>16.5</v>
      </c>
    </row>
    <row r="416" s="49" customFormat="1" spans="4:11">
      <c r="D416" s="45">
        <v>46083</v>
      </c>
      <c r="E416" s="46">
        <v>1581362</v>
      </c>
      <c r="F416" s="46" t="s">
        <v>20</v>
      </c>
      <c r="G416" s="47">
        <v>20342042</v>
      </c>
      <c r="H416" s="46" t="s">
        <v>25</v>
      </c>
      <c r="I416" s="47">
        <v>1</v>
      </c>
      <c r="J416" s="48">
        <v>16.5</v>
      </c>
      <c r="K416" s="48">
        <v>16.5</v>
      </c>
    </row>
    <row r="417" s="49" customFormat="1" spans="4:11">
      <c r="D417" s="45">
        <v>46083</v>
      </c>
      <c r="E417" s="46">
        <v>1581476</v>
      </c>
      <c r="F417" s="46" t="s">
        <v>18</v>
      </c>
      <c r="G417" s="47">
        <v>20322228</v>
      </c>
      <c r="H417" s="46" t="s">
        <v>19</v>
      </c>
      <c r="I417" s="47">
        <v>1</v>
      </c>
      <c r="J417" s="48">
        <v>15</v>
      </c>
      <c r="K417" s="48">
        <v>15</v>
      </c>
    </row>
    <row r="418" s="49" customFormat="1" spans="4:11">
      <c r="D418" s="45">
        <v>46083</v>
      </c>
      <c r="E418" s="46">
        <v>1581477</v>
      </c>
      <c r="F418" s="46" t="s">
        <v>13</v>
      </c>
      <c r="G418" s="47">
        <v>20326613</v>
      </c>
      <c r="H418" s="46" t="s">
        <v>14</v>
      </c>
      <c r="I418" s="47">
        <v>4</v>
      </c>
      <c r="J418" s="48">
        <v>88</v>
      </c>
      <c r="K418" s="48">
        <v>352</v>
      </c>
    </row>
    <row r="419" s="49" customFormat="1" spans="4:11">
      <c r="D419" s="45">
        <v>46083</v>
      </c>
      <c r="E419" s="46">
        <v>1581477</v>
      </c>
      <c r="F419" s="46" t="s">
        <v>39</v>
      </c>
      <c r="G419" s="47">
        <v>20328192</v>
      </c>
      <c r="H419" s="46" t="s">
        <v>40</v>
      </c>
      <c r="I419" s="47">
        <v>2</v>
      </c>
      <c r="J419" s="48">
        <v>38.5</v>
      </c>
      <c r="K419" s="48">
        <v>77</v>
      </c>
    </row>
    <row r="420" s="49" customFormat="1" spans="4:11">
      <c r="D420" s="45">
        <v>46083</v>
      </c>
      <c r="E420" s="46">
        <v>1581477</v>
      </c>
      <c r="F420" s="46" t="s">
        <v>16</v>
      </c>
      <c r="G420" s="47">
        <v>20318259</v>
      </c>
      <c r="H420" s="46" t="s">
        <v>82</v>
      </c>
      <c r="I420" s="47">
        <v>1</v>
      </c>
      <c r="J420" s="48">
        <v>22</v>
      </c>
      <c r="K420" s="48">
        <v>22</v>
      </c>
    </row>
    <row r="421" s="49" customFormat="1" spans="4:11">
      <c r="D421" s="45">
        <v>46083</v>
      </c>
      <c r="E421" s="46">
        <v>1581477</v>
      </c>
      <c r="F421" s="46" t="s">
        <v>20</v>
      </c>
      <c r="G421" s="47">
        <v>20321257</v>
      </c>
      <c r="H421" s="46" t="s">
        <v>21</v>
      </c>
      <c r="I421" s="47">
        <v>1</v>
      </c>
      <c r="J421" s="48">
        <v>16.5</v>
      </c>
      <c r="K421" s="48">
        <v>16.5</v>
      </c>
    </row>
    <row r="422" s="49" customFormat="1" spans="4:11">
      <c r="D422" s="45">
        <v>46083</v>
      </c>
      <c r="E422" s="46">
        <v>1581477</v>
      </c>
      <c r="F422" s="46" t="s">
        <v>20</v>
      </c>
      <c r="G422" s="47">
        <v>20321468</v>
      </c>
      <c r="H422" s="46" t="s">
        <v>69</v>
      </c>
      <c r="I422" s="47">
        <v>1</v>
      </c>
      <c r="J422" s="48">
        <v>16.5</v>
      </c>
      <c r="K422" s="48">
        <v>16.5</v>
      </c>
    </row>
    <row r="423" s="49" customFormat="1" spans="4:11">
      <c r="D423" s="45">
        <v>46083</v>
      </c>
      <c r="E423" s="46">
        <v>1581494</v>
      </c>
      <c r="F423" s="46" t="s">
        <v>13</v>
      </c>
      <c r="G423" s="47">
        <v>20326613</v>
      </c>
      <c r="H423" s="46" t="s">
        <v>14</v>
      </c>
      <c r="I423" s="47">
        <v>3</v>
      </c>
      <c r="J423" s="48">
        <v>88</v>
      </c>
      <c r="K423" s="48">
        <v>264</v>
      </c>
    </row>
    <row r="424" s="49" customFormat="1" spans="4:11">
      <c r="D424" s="45">
        <v>46083</v>
      </c>
      <c r="E424" s="46">
        <v>1581494</v>
      </c>
      <c r="F424" s="46" t="s">
        <v>16</v>
      </c>
      <c r="G424" s="47">
        <v>20318235</v>
      </c>
      <c r="H424" s="46" t="s">
        <v>27</v>
      </c>
      <c r="I424" s="47">
        <v>2</v>
      </c>
      <c r="J424" s="48">
        <v>8</v>
      </c>
      <c r="K424" s="48">
        <v>16</v>
      </c>
    </row>
    <row r="425" s="49" customFormat="1" spans="4:11">
      <c r="D425" s="45">
        <v>46083</v>
      </c>
      <c r="E425" s="46">
        <v>1581494</v>
      </c>
      <c r="F425" s="46" t="s">
        <v>16</v>
      </c>
      <c r="G425" s="47">
        <v>20329847</v>
      </c>
      <c r="H425" s="46" t="s">
        <v>17</v>
      </c>
      <c r="I425" s="47">
        <v>1</v>
      </c>
      <c r="J425" s="48">
        <v>13</v>
      </c>
      <c r="K425" s="48">
        <v>13</v>
      </c>
    </row>
    <row r="426" s="49" customFormat="1" spans="4:11">
      <c r="D426" s="45">
        <v>46083</v>
      </c>
      <c r="E426" s="46">
        <v>1581494</v>
      </c>
      <c r="F426" s="46" t="s">
        <v>16</v>
      </c>
      <c r="G426" s="47">
        <v>20331472</v>
      </c>
      <c r="H426" s="46" t="s">
        <v>44</v>
      </c>
      <c r="I426" s="47">
        <v>1</v>
      </c>
      <c r="J426" s="48">
        <v>8</v>
      </c>
      <c r="K426" s="48">
        <v>8</v>
      </c>
    </row>
    <row r="427" s="49" customFormat="1" spans="4:11">
      <c r="D427" s="45">
        <v>46083</v>
      </c>
      <c r="E427" s="46">
        <v>1581494</v>
      </c>
      <c r="F427" s="46" t="s">
        <v>30</v>
      </c>
      <c r="G427" s="47">
        <v>20394933</v>
      </c>
      <c r="H427" s="46" t="s">
        <v>45</v>
      </c>
      <c r="I427" s="47">
        <v>1</v>
      </c>
      <c r="J427" s="48">
        <v>66</v>
      </c>
      <c r="K427" s="48">
        <v>66</v>
      </c>
    </row>
    <row r="428" s="49" customFormat="1" spans="4:11">
      <c r="D428" s="45">
        <v>46084</v>
      </c>
      <c r="E428" s="46">
        <v>1581673</v>
      </c>
      <c r="F428" s="46" t="s">
        <v>13</v>
      </c>
      <c r="G428" s="47">
        <v>20326613</v>
      </c>
      <c r="H428" s="46" t="s">
        <v>14</v>
      </c>
      <c r="I428" s="47">
        <v>7</v>
      </c>
      <c r="J428" s="48">
        <v>88</v>
      </c>
      <c r="K428" s="48">
        <v>616</v>
      </c>
    </row>
    <row r="429" s="49" customFormat="1" spans="4:11">
      <c r="D429" s="45">
        <v>46084</v>
      </c>
      <c r="E429" s="46">
        <v>1581673</v>
      </c>
      <c r="F429" s="46" t="s">
        <v>13</v>
      </c>
      <c r="G429" s="47">
        <v>20318156</v>
      </c>
      <c r="H429" s="46" t="s">
        <v>15</v>
      </c>
      <c r="I429" s="47">
        <v>1</v>
      </c>
      <c r="J429" s="48">
        <v>154</v>
      </c>
      <c r="K429" s="48">
        <v>154</v>
      </c>
    </row>
    <row r="430" s="49" customFormat="1" spans="4:11">
      <c r="D430" s="45">
        <v>46084</v>
      </c>
      <c r="E430" s="46">
        <v>1581673</v>
      </c>
      <c r="F430" s="46" t="s">
        <v>16</v>
      </c>
      <c r="G430" s="47">
        <v>20318235</v>
      </c>
      <c r="H430" s="46" t="s">
        <v>27</v>
      </c>
      <c r="I430" s="47">
        <v>1</v>
      </c>
      <c r="J430" s="48">
        <v>8</v>
      </c>
      <c r="K430" s="48">
        <v>8</v>
      </c>
    </row>
    <row r="431" s="49" customFormat="1" spans="4:11">
      <c r="D431" s="45">
        <v>46084</v>
      </c>
      <c r="E431" s="46">
        <v>1581673</v>
      </c>
      <c r="F431" s="46" t="s">
        <v>16</v>
      </c>
      <c r="G431" s="47">
        <v>20329846</v>
      </c>
      <c r="H431" s="46" t="s">
        <v>51</v>
      </c>
      <c r="I431" s="47">
        <v>3</v>
      </c>
      <c r="J431" s="48">
        <v>13.5</v>
      </c>
      <c r="K431" s="48">
        <v>40.5</v>
      </c>
    </row>
    <row r="432" s="49" customFormat="1" spans="4:11">
      <c r="D432" s="45">
        <v>46084</v>
      </c>
      <c r="E432" s="46">
        <v>1581673</v>
      </c>
      <c r="F432" s="46" t="s">
        <v>16</v>
      </c>
      <c r="G432" s="47">
        <v>20318236</v>
      </c>
      <c r="H432" s="46" t="s">
        <v>55</v>
      </c>
      <c r="I432" s="47">
        <v>2</v>
      </c>
      <c r="J432" s="48">
        <v>11</v>
      </c>
      <c r="K432" s="48">
        <v>22</v>
      </c>
    </row>
    <row r="433" s="49" customFormat="1" spans="4:11">
      <c r="D433" s="45">
        <v>46084</v>
      </c>
      <c r="E433" s="46">
        <v>1581673</v>
      </c>
      <c r="F433" s="46" t="s">
        <v>16</v>
      </c>
      <c r="G433" s="47">
        <v>20329843</v>
      </c>
      <c r="H433" s="46" t="s">
        <v>52</v>
      </c>
      <c r="I433" s="47">
        <v>2</v>
      </c>
      <c r="J433" s="48">
        <v>11</v>
      </c>
      <c r="K433" s="48">
        <v>22</v>
      </c>
    </row>
    <row r="434" s="49" customFormat="1" spans="4:11">
      <c r="D434" s="45">
        <v>46084</v>
      </c>
      <c r="E434" s="46">
        <v>1581673</v>
      </c>
      <c r="F434" s="46" t="s">
        <v>16</v>
      </c>
      <c r="G434" s="47">
        <v>20351064</v>
      </c>
      <c r="H434" s="46" t="s">
        <v>46</v>
      </c>
      <c r="I434" s="47">
        <v>1</v>
      </c>
      <c r="J434" s="48">
        <v>13.5</v>
      </c>
      <c r="K434" s="48">
        <v>13.5</v>
      </c>
    </row>
    <row r="435" s="49" customFormat="1" spans="4:11">
      <c r="D435" s="45">
        <v>46084</v>
      </c>
      <c r="E435" s="46">
        <v>1581673</v>
      </c>
      <c r="F435" s="46" t="s">
        <v>16</v>
      </c>
      <c r="G435" s="47">
        <v>20329847</v>
      </c>
      <c r="H435" s="46" t="s">
        <v>17</v>
      </c>
      <c r="I435" s="47">
        <v>3</v>
      </c>
      <c r="J435" s="48">
        <v>13</v>
      </c>
      <c r="K435" s="48">
        <v>39</v>
      </c>
    </row>
    <row r="436" s="49" customFormat="1" spans="4:11">
      <c r="D436" s="45">
        <v>46084</v>
      </c>
      <c r="E436" s="46">
        <v>1581673</v>
      </c>
      <c r="F436" s="46" t="s">
        <v>16</v>
      </c>
      <c r="G436" s="47">
        <v>20333142</v>
      </c>
      <c r="H436" s="46" t="s">
        <v>41</v>
      </c>
      <c r="I436" s="47">
        <v>3</v>
      </c>
      <c r="J436" s="48">
        <v>22</v>
      </c>
      <c r="K436" s="48">
        <v>66</v>
      </c>
    </row>
    <row r="437" s="49" customFormat="1" spans="4:11">
      <c r="D437" s="45">
        <v>46084</v>
      </c>
      <c r="E437" s="46">
        <v>1581673</v>
      </c>
      <c r="F437" s="46" t="s">
        <v>20</v>
      </c>
      <c r="G437" s="47">
        <v>20321257</v>
      </c>
      <c r="H437" s="46" t="s">
        <v>21</v>
      </c>
      <c r="I437" s="47">
        <v>4</v>
      </c>
      <c r="J437" s="48">
        <v>16.5</v>
      </c>
      <c r="K437" s="48">
        <v>66</v>
      </c>
    </row>
    <row r="438" s="49" customFormat="1" spans="4:11">
      <c r="D438" s="45">
        <v>46084</v>
      </c>
      <c r="E438" s="46">
        <v>1581673</v>
      </c>
      <c r="F438" s="46" t="s">
        <v>20</v>
      </c>
      <c r="G438" s="47">
        <v>20329874</v>
      </c>
      <c r="H438" s="46" t="s">
        <v>22</v>
      </c>
      <c r="I438" s="47">
        <v>1</v>
      </c>
      <c r="J438" s="48">
        <v>16.5</v>
      </c>
      <c r="K438" s="48">
        <v>16.5</v>
      </c>
    </row>
    <row r="439" s="49" customFormat="1" spans="4:11">
      <c r="D439" s="45">
        <v>46084</v>
      </c>
      <c r="E439" s="46">
        <v>1581673</v>
      </c>
      <c r="F439" s="46" t="s">
        <v>20</v>
      </c>
      <c r="G439" s="47">
        <v>20318229</v>
      </c>
      <c r="H439" s="46" t="s">
        <v>37</v>
      </c>
      <c r="I439" s="47">
        <v>2</v>
      </c>
      <c r="J439" s="48">
        <v>16.5</v>
      </c>
      <c r="K439" s="48">
        <v>33</v>
      </c>
    </row>
    <row r="440" s="49" customFormat="1" spans="4:11">
      <c r="D440" s="45">
        <v>46084</v>
      </c>
      <c r="E440" s="46">
        <v>1581673</v>
      </c>
      <c r="F440" s="46" t="s">
        <v>20</v>
      </c>
      <c r="G440" s="47">
        <v>20318332</v>
      </c>
      <c r="H440" s="46" t="s">
        <v>23</v>
      </c>
      <c r="I440" s="47">
        <v>2</v>
      </c>
      <c r="J440" s="48">
        <v>22</v>
      </c>
      <c r="K440" s="48">
        <v>44</v>
      </c>
    </row>
    <row r="441" s="49" customFormat="1" spans="4:11">
      <c r="D441" s="45">
        <v>46084</v>
      </c>
      <c r="E441" s="46">
        <v>1581673</v>
      </c>
      <c r="F441" s="46" t="s">
        <v>20</v>
      </c>
      <c r="G441" s="47">
        <v>20318262</v>
      </c>
      <c r="H441" s="46" t="s">
        <v>24</v>
      </c>
      <c r="I441" s="47">
        <v>3</v>
      </c>
      <c r="J441" s="48">
        <v>16.5</v>
      </c>
      <c r="K441" s="48">
        <v>49.5</v>
      </c>
    </row>
    <row r="442" s="49" customFormat="1" spans="4:11">
      <c r="D442" s="45">
        <v>46084</v>
      </c>
      <c r="E442" s="46">
        <v>1581673</v>
      </c>
      <c r="F442" s="46" t="s">
        <v>20</v>
      </c>
      <c r="G442" s="47">
        <v>20318375</v>
      </c>
      <c r="H442" s="46" t="s">
        <v>67</v>
      </c>
      <c r="I442" s="47">
        <v>1</v>
      </c>
      <c r="J442" s="48">
        <v>16.5</v>
      </c>
      <c r="K442" s="48">
        <v>16.5</v>
      </c>
    </row>
    <row r="443" s="49" customFormat="1" spans="4:11">
      <c r="D443" s="45">
        <v>46084</v>
      </c>
      <c r="E443" s="46">
        <v>1581673</v>
      </c>
      <c r="F443" s="46" t="s">
        <v>20</v>
      </c>
      <c r="G443" s="47">
        <v>20014827</v>
      </c>
      <c r="H443" s="46" t="s">
        <v>38</v>
      </c>
      <c r="I443" s="47">
        <v>1</v>
      </c>
      <c r="J443" s="48">
        <v>16.5</v>
      </c>
      <c r="K443" s="48">
        <v>16.5</v>
      </c>
    </row>
    <row r="444" s="49" customFormat="1" spans="4:11">
      <c r="D444" s="45">
        <v>46084</v>
      </c>
      <c r="E444" s="46">
        <v>1581673</v>
      </c>
      <c r="F444" s="46" t="s">
        <v>20</v>
      </c>
      <c r="G444" s="47">
        <v>20321468</v>
      </c>
      <c r="H444" s="46" t="s">
        <v>69</v>
      </c>
      <c r="I444" s="47">
        <v>1</v>
      </c>
      <c r="J444" s="48">
        <v>16.5</v>
      </c>
      <c r="K444" s="48">
        <v>16.5</v>
      </c>
    </row>
    <row r="445" s="49" customFormat="1" spans="4:11">
      <c r="D445" s="45">
        <v>46084</v>
      </c>
      <c r="E445" s="46">
        <v>1581673</v>
      </c>
      <c r="F445" s="46" t="s">
        <v>20</v>
      </c>
      <c r="G445" s="47">
        <v>20342042</v>
      </c>
      <c r="H445" s="46" t="s">
        <v>25</v>
      </c>
      <c r="I445" s="47">
        <v>1</v>
      </c>
      <c r="J445" s="48">
        <v>16.5</v>
      </c>
      <c r="K445" s="48">
        <v>16.5</v>
      </c>
    </row>
    <row r="446" s="49" customFormat="1" spans="4:11">
      <c r="D446" s="45">
        <v>46084</v>
      </c>
      <c r="E446" s="46">
        <v>1581783</v>
      </c>
      <c r="F446" s="46" t="s">
        <v>13</v>
      </c>
      <c r="G446" s="47">
        <v>20326613</v>
      </c>
      <c r="H446" s="46" t="s">
        <v>14</v>
      </c>
      <c r="I446" s="47">
        <v>7</v>
      </c>
      <c r="J446" s="48">
        <v>88</v>
      </c>
      <c r="K446" s="48">
        <v>616</v>
      </c>
    </row>
    <row r="447" s="49" customFormat="1" spans="4:11">
      <c r="D447" s="45">
        <v>46084</v>
      </c>
      <c r="E447" s="46">
        <v>1581783</v>
      </c>
      <c r="F447" s="46" t="s">
        <v>16</v>
      </c>
      <c r="G447" s="47">
        <v>20330564</v>
      </c>
      <c r="H447" s="46" t="s">
        <v>65</v>
      </c>
      <c r="I447" s="47">
        <v>1</v>
      </c>
      <c r="J447" s="48">
        <v>16.5</v>
      </c>
      <c r="K447" s="48">
        <v>16.5</v>
      </c>
    </row>
    <row r="448" s="49" customFormat="1" spans="4:11">
      <c r="D448" s="45">
        <v>46084</v>
      </c>
      <c r="E448" s="46">
        <v>1581783</v>
      </c>
      <c r="F448" s="46" t="s">
        <v>16</v>
      </c>
      <c r="G448" s="47">
        <v>20318136</v>
      </c>
      <c r="H448" s="46" t="s">
        <v>57</v>
      </c>
      <c r="I448" s="47">
        <v>1</v>
      </c>
      <c r="J448" s="48">
        <v>8</v>
      </c>
      <c r="K448" s="48">
        <v>8</v>
      </c>
    </row>
    <row r="449" s="49" customFormat="1" spans="4:11">
      <c r="D449" s="45">
        <v>46084</v>
      </c>
      <c r="E449" s="46">
        <v>1581783</v>
      </c>
      <c r="F449" s="46" t="s">
        <v>16</v>
      </c>
      <c r="G449" s="47">
        <v>20329846</v>
      </c>
      <c r="H449" s="46" t="s">
        <v>51</v>
      </c>
      <c r="I449" s="47">
        <v>2</v>
      </c>
      <c r="J449" s="48">
        <v>13.5</v>
      </c>
      <c r="K449" s="48">
        <v>27</v>
      </c>
    </row>
    <row r="450" s="49" customFormat="1" spans="4:11">
      <c r="D450" s="45">
        <v>46084</v>
      </c>
      <c r="E450" s="46">
        <v>1581783</v>
      </c>
      <c r="F450" s="46" t="s">
        <v>16</v>
      </c>
      <c r="G450" s="47">
        <v>20329843</v>
      </c>
      <c r="H450" s="46" t="s">
        <v>52</v>
      </c>
      <c r="I450" s="47">
        <v>1</v>
      </c>
      <c r="J450" s="48">
        <v>11</v>
      </c>
      <c r="K450" s="48">
        <v>11</v>
      </c>
    </row>
    <row r="451" s="49" customFormat="1" spans="4:11">
      <c r="D451" s="45">
        <v>46084</v>
      </c>
      <c r="E451" s="46">
        <v>1581783</v>
      </c>
      <c r="F451" s="46" t="s">
        <v>16</v>
      </c>
      <c r="G451" s="47">
        <v>20318250</v>
      </c>
      <c r="H451" s="46" t="s">
        <v>47</v>
      </c>
      <c r="I451" s="47">
        <v>2</v>
      </c>
      <c r="J451" s="48">
        <v>8</v>
      </c>
      <c r="K451" s="48">
        <v>16</v>
      </c>
    </row>
    <row r="452" s="49" customFormat="1" spans="4:11">
      <c r="D452" s="45">
        <v>46084</v>
      </c>
      <c r="E452" s="46">
        <v>1581783</v>
      </c>
      <c r="F452" s="46" t="s">
        <v>16</v>
      </c>
      <c r="G452" s="47">
        <v>20318243</v>
      </c>
      <c r="H452" s="46" t="s">
        <v>48</v>
      </c>
      <c r="I452" s="47">
        <v>1</v>
      </c>
      <c r="J452" s="48">
        <v>8</v>
      </c>
      <c r="K452" s="48">
        <v>8</v>
      </c>
    </row>
    <row r="453" s="49" customFormat="1" spans="4:11">
      <c r="D453" s="45">
        <v>46084</v>
      </c>
      <c r="E453" s="46">
        <v>1581783</v>
      </c>
      <c r="F453" s="46" t="s">
        <v>16</v>
      </c>
      <c r="G453" s="47">
        <v>20331668</v>
      </c>
      <c r="H453" s="46" t="s">
        <v>29</v>
      </c>
      <c r="I453" s="47">
        <v>2</v>
      </c>
      <c r="J453" s="48">
        <v>8</v>
      </c>
      <c r="K453" s="48">
        <v>16</v>
      </c>
    </row>
    <row r="454" s="49" customFormat="1" spans="4:11">
      <c r="D454" s="45">
        <v>46084</v>
      </c>
      <c r="E454" s="46">
        <v>1581783</v>
      </c>
      <c r="F454" s="46" t="s">
        <v>16</v>
      </c>
      <c r="G454" s="47">
        <v>20333778</v>
      </c>
      <c r="H454" s="46" t="s">
        <v>62</v>
      </c>
      <c r="I454" s="47">
        <v>1</v>
      </c>
      <c r="J454" s="48">
        <v>16.5</v>
      </c>
      <c r="K454" s="48">
        <v>16.5</v>
      </c>
    </row>
    <row r="455" s="49" customFormat="1" spans="4:11">
      <c r="D455" s="45">
        <v>46084</v>
      </c>
      <c r="E455" s="46">
        <v>1581783</v>
      </c>
      <c r="F455" s="46" t="s">
        <v>16</v>
      </c>
      <c r="G455" s="47">
        <v>20318259</v>
      </c>
      <c r="H455" s="46" t="s">
        <v>82</v>
      </c>
      <c r="I455" s="47">
        <v>1</v>
      </c>
      <c r="J455" s="48">
        <v>22</v>
      </c>
      <c r="K455" s="48">
        <v>22</v>
      </c>
    </row>
    <row r="456" s="49" customFormat="1" spans="4:11">
      <c r="D456" s="45">
        <v>46084</v>
      </c>
      <c r="E456" s="46">
        <v>1581783</v>
      </c>
      <c r="F456" s="46" t="s">
        <v>16</v>
      </c>
      <c r="G456" s="47">
        <v>20361153</v>
      </c>
      <c r="H456" s="46" t="s">
        <v>43</v>
      </c>
      <c r="I456" s="47">
        <v>1</v>
      </c>
      <c r="J456" s="48">
        <v>13.5</v>
      </c>
      <c r="K456" s="48">
        <v>13.5</v>
      </c>
    </row>
    <row r="457" s="49" customFormat="1" spans="4:11">
      <c r="D457" s="45">
        <v>46084</v>
      </c>
      <c r="E457" s="46">
        <v>1581783</v>
      </c>
      <c r="F457" s="46" t="s">
        <v>16</v>
      </c>
      <c r="G457" s="47">
        <v>20360672</v>
      </c>
      <c r="H457" s="46" t="s">
        <v>83</v>
      </c>
      <c r="I457" s="47">
        <v>2</v>
      </c>
      <c r="J457" s="48">
        <v>8</v>
      </c>
      <c r="K457" s="48">
        <v>16</v>
      </c>
    </row>
    <row r="458" s="49" customFormat="1" spans="4:11">
      <c r="D458" s="45">
        <v>46084</v>
      </c>
      <c r="E458" s="46">
        <v>1581783</v>
      </c>
      <c r="F458" s="46" t="s">
        <v>16</v>
      </c>
      <c r="G458" s="47">
        <v>20329847</v>
      </c>
      <c r="H458" s="46" t="s">
        <v>17</v>
      </c>
      <c r="I458" s="47">
        <v>3</v>
      </c>
      <c r="J458" s="48">
        <v>13</v>
      </c>
      <c r="K458" s="48">
        <v>39</v>
      </c>
    </row>
    <row r="459" s="49" customFormat="1" spans="4:11">
      <c r="D459" s="45">
        <v>46084</v>
      </c>
      <c r="E459" s="46">
        <v>1581783</v>
      </c>
      <c r="F459" s="46" t="s">
        <v>16</v>
      </c>
      <c r="G459" s="47">
        <v>20318231</v>
      </c>
      <c r="H459" s="46" t="s">
        <v>34</v>
      </c>
      <c r="I459" s="47">
        <v>1</v>
      </c>
      <c r="J459" s="48">
        <v>16.5</v>
      </c>
      <c r="K459" s="48">
        <v>16.5</v>
      </c>
    </row>
    <row r="460" s="49" customFormat="1" spans="4:11">
      <c r="D460" s="45">
        <v>46084</v>
      </c>
      <c r="E460" s="46">
        <v>1581783</v>
      </c>
      <c r="F460" s="46" t="s">
        <v>16</v>
      </c>
      <c r="G460" s="47">
        <v>20318239</v>
      </c>
      <c r="H460" s="46" t="s">
        <v>66</v>
      </c>
      <c r="I460" s="47">
        <v>1</v>
      </c>
      <c r="J460" s="48">
        <v>16.5</v>
      </c>
      <c r="K460" s="48">
        <v>16.5</v>
      </c>
    </row>
    <row r="461" s="49" customFormat="1" spans="4:11">
      <c r="D461" s="45">
        <v>46084</v>
      </c>
      <c r="E461" s="46">
        <v>1581783</v>
      </c>
      <c r="F461" s="46" t="s">
        <v>20</v>
      </c>
      <c r="G461" s="47">
        <v>20318332</v>
      </c>
      <c r="H461" s="46" t="s">
        <v>23</v>
      </c>
      <c r="I461" s="47">
        <v>1</v>
      </c>
      <c r="J461" s="48">
        <v>22</v>
      </c>
      <c r="K461" s="48">
        <v>22</v>
      </c>
    </row>
    <row r="462" s="49" customFormat="1" spans="4:11">
      <c r="D462" s="45">
        <v>46084</v>
      </c>
      <c r="E462" s="46">
        <v>1581783</v>
      </c>
      <c r="F462" s="46" t="s">
        <v>20</v>
      </c>
      <c r="G462" s="47">
        <v>20318262</v>
      </c>
      <c r="H462" s="46" t="s">
        <v>24</v>
      </c>
      <c r="I462" s="47">
        <v>2</v>
      </c>
      <c r="J462" s="48">
        <v>16.5</v>
      </c>
      <c r="K462" s="48">
        <v>33</v>
      </c>
    </row>
    <row r="463" s="49" customFormat="1" spans="4:11">
      <c r="D463" s="45">
        <v>46084</v>
      </c>
      <c r="E463" s="46">
        <v>1581783</v>
      </c>
      <c r="F463" s="46" t="s">
        <v>20</v>
      </c>
      <c r="G463" s="47">
        <v>20014827</v>
      </c>
      <c r="H463" s="46" t="s">
        <v>38</v>
      </c>
      <c r="I463" s="47">
        <v>1</v>
      </c>
      <c r="J463" s="48">
        <v>16.5</v>
      </c>
      <c r="K463" s="48">
        <v>16.5</v>
      </c>
    </row>
    <row r="464" s="49" customFormat="1" spans="4:11">
      <c r="D464" s="45">
        <v>46084</v>
      </c>
      <c r="E464" s="46">
        <v>1581783</v>
      </c>
      <c r="F464" s="46" t="s">
        <v>20</v>
      </c>
      <c r="G464" s="47">
        <v>20321468</v>
      </c>
      <c r="H464" s="46" t="s">
        <v>69</v>
      </c>
      <c r="I464" s="47">
        <v>2</v>
      </c>
      <c r="J464" s="48">
        <v>16.5</v>
      </c>
      <c r="K464" s="48">
        <v>33</v>
      </c>
    </row>
    <row r="465" s="49" customFormat="1" spans="4:11">
      <c r="D465" s="45">
        <v>46084</v>
      </c>
      <c r="E465" s="46">
        <v>1581783</v>
      </c>
      <c r="F465" s="46" t="s">
        <v>20</v>
      </c>
      <c r="G465" s="47">
        <v>20342042</v>
      </c>
      <c r="H465" s="46" t="s">
        <v>25</v>
      </c>
      <c r="I465" s="47">
        <v>1</v>
      </c>
      <c r="J465" s="48">
        <v>16.5</v>
      </c>
      <c r="K465" s="48">
        <v>16.5</v>
      </c>
    </row>
    <row r="466" s="49" customFormat="1" spans="4:11">
      <c r="D466" s="45">
        <v>46084</v>
      </c>
      <c r="E466" s="46">
        <v>1581799</v>
      </c>
      <c r="F466" s="46" t="s">
        <v>13</v>
      </c>
      <c r="G466" s="47">
        <v>20326613</v>
      </c>
      <c r="H466" s="46" t="s">
        <v>14</v>
      </c>
      <c r="I466" s="47">
        <v>6</v>
      </c>
      <c r="J466" s="48">
        <v>88</v>
      </c>
      <c r="K466" s="48">
        <v>528</v>
      </c>
    </row>
    <row r="467" s="49" customFormat="1" spans="4:11">
      <c r="D467" s="45">
        <v>46084</v>
      </c>
      <c r="E467" s="46">
        <v>1581799</v>
      </c>
      <c r="F467" s="46" t="s">
        <v>16</v>
      </c>
      <c r="G467" s="47">
        <v>20318257</v>
      </c>
      <c r="H467" s="46" t="s">
        <v>50</v>
      </c>
      <c r="I467" s="47">
        <v>1</v>
      </c>
      <c r="J467" s="48">
        <v>8</v>
      </c>
      <c r="K467" s="48">
        <v>8</v>
      </c>
    </row>
    <row r="468" s="49" customFormat="1" spans="4:11">
      <c r="D468" s="45">
        <v>46084</v>
      </c>
      <c r="E468" s="46">
        <v>1581799</v>
      </c>
      <c r="F468" s="46" t="s">
        <v>16</v>
      </c>
      <c r="G468" s="47">
        <v>20318235</v>
      </c>
      <c r="H468" s="46" t="s">
        <v>27</v>
      </c>
      <c r="I468" s="47">
        <v>1</v>
      </c>
      <c r="J468" s="48">
        <v>8</v>
      </c>
      <c r="K468" s="48">
        <v>8</v>
      </c>
    </row>
    <row r="469" s="49" customFormat="1" spans="4:11">
      <c r="D469" s="45">
        <v>46084</v>
      </c>
      <c r="E469" s="46">
        <v>1581799</v>
      </c>
      <c r="F469" s="46" t="s">
        <v>16</v>
      </c>
      <c r="G469" s="47">
        <v>20318243</v>
      </c>
      <c r="H469" s="46" t="s">
        <v>48</v>
      </c>
      <c r="I469" s="47">
        <v>1</v>
      </c>
      <c r="J469" s="48">
        <v>8</v>
      </c>
      <c r="K469" s="48">
        <v>8</v>
      </c>
    </row>
    <row r="470" s="49" customFormat="1" spans="4:11">
      <c r="D470" s="45">
        <v>46084</v>
      </c>
      <c r="E470" s="46">
        <v>1581799</v>
      </c>
      <c r="F470" s="46" t="s">
        <v>16</v>
      </c>
      <c r="G470" s="47">
        <v>20331668</v>
      </c>
      <c r="H470" s="46" t="s">
        <v>29</v>
      </c>
      <c r="I470" s="47">
        <v>1</v>
      </c>
      <c r="J470" s="48">
        <v>8</v>
      </c>
      <c r="K470" s="48">
        <v>8</v>
      </c>
    </row>
    <row r="471" s="49" customFormat="1" spans="4:11">
      <c r="D471" s="45">
        <v>46084</v>
      </c>
      <c r="E471" s="46">
        <v>1581799</v>
      </c>
      <c r="F471" s="46" t="s">
        <v>16</v>
      </c>
      <c r="G471" s="47">
        <v>20333778</v>
      </c>
      <c r="H471" s="46" t="s">
        <v>62</v>
      </c>
      <c r="I471" s="47">
        <v>1</v>
      </c>
      <c r="J471" s="48">
        <v>16.5</v>
      </c>
      <c r="K471" s="48">
        <v>16.5</v>
      </c>
    </row>
    <row r="472" s="49" customFormat="1" spans="4:11">
      <c r="D472" s="45">
        <v>46084</v>
      </c>
      <c r="E472" s="46">
        <v>1581799</v>
      </c>
      <c r="F472" s="46" t="s">
        <v>16</v>
      </c>
      <c r="G472" s="47">
        <v>20329847</v>
      </c>
      <c r="H472" s="46" t="s">
        <v>17</v>
      </c>
      <c r="I472" s="47">
        <v>2</v>
      </c>
      <c r="J472" s="48">
        <v>13</v>
      </c>
      <c r="K472" s="48">
        <v>26</v>
      </c>
    </row>
    <row r="473" s="49" customFormat="1" spans="4:11">
      <c r="D473" s="45">
        <v>46084</v>
      </c>
      <c r="E473" s="46">
        <v>1581799</v>
      </c>
      <c r="F473" s="46" t="s">
        <v>20</v>
      </c>
      <c r="G473" s="47">
        <v>20321257</v>
      </c>
      <c r="H473" s="46" t="s">
        <v>21</v>
      </c>
      <c r="I473" s="47">
        <v>3</v>
      </c>
      <c r="J473" s="48">
        <v>16.5</v>
      </c>
      <c r="K473" s="48">
        <v>49.5</v>
      </c>
    </row>
    <row r="474" s="49" customFormat="1" spans="4:11">
      <c r="D474" s="45">
        <v>46084</v>
      </c>
      <c r="E474" s="46">
        <v>1581799</v>
      </c>
      <c r="F474" s="46" t="s">
        <v>20</v>
      </c>
      <c r="G474" s="47">
        <v>20318229</v>
      </c>
      <c r="H474" s="46" t="s">
        <v>37</v>
      </c>
      <c r="I474" s="47">
        <v>1</v>
      </c>
      <c r="J474" s="48">
        <v>16.5</v>
      </c>
      <c r="K474" s="48">
        <v>16.5</v>
      </c>
    </row>
    <row r="475" s="49" customFormat="1" spans="4:11">
      <c r="D475" s="45">
        <v>46084</v>
      </c>
      <c r="E475" s="46">
        <v>1581799</v>
      </c>
      <c r="F475" s="46" t="s">
        <v>20</v>
      </c>
      <c r="G475" s="47">
        <v>20318262</v>
      </c>
      <c r="H475" s="46" t="s">
        <v>24</v>
      </c>
      <c r="I475" s="47">
        <v>1</v>
      </c>
      <c r="J475" s="48">
        <v>16.5</v>
      </c>
      <c r="K475" s="48">
        <v>16.5</v>
      </c>
    </row>
    <row r="476" s="49" customFormat="1" spans="4:11">
      <c r="D476" s="45">
        <v>46084</v>
      </c>
      <c r="E476" s="46">
        <v>1581799</v>
      </c>
      <c r="F476" s="46" t="s">
        <v>20</v>
      </c>
      <c r="G476" s="47">
        <v>20342042</v>
      </c>
      <c r="H476" s="46" t="s">
        <v>25</v>
      </c>
      <c r="I476" s="47">
        <v>1</v>
      </c>
      <c r="J476" s="48">
        <v>16.5</v>
      </c>
      <c r="K476" s="48">
        <v>16.5</v>
      </c>
    </row>
    <row r="477" s="49" customFormat="1" spans="4:11">
      <c r="D477" s="45">
        <v>46085</v>
      </c>
      <c r="E477" s="46">
        <v>1581979</v>
      </c>
      <c r="F477" s="46" t="s">
        <v>13</v>
      </c>
      <c r="G477" s="47">
        <v>20326613</v>
      </c>
      <c r="H477" s="46" t="s">
        <v>14</v>
      </c>
      <c r="I477" s="47">
        <v>6</v>
      </c>
      <c r="J477" s="48">
        <v>88</v>
      </c>
      <c r="K477" s="48">
        <v>528</v>
      </c>
    </row>
    <row r="478" s="49" customFormat="1" spans="4:11">
      <c r="D478" s="45">
        <v>46085</v>
      </c>
      <c r="E478" s="46">
        <v>1581979</v>
      </c>
      <c r="F478" s="46" t="s">
        <v>16</v>
      </c>
      <c r="G478" s="47">
        <v>20329846</v>
      </c>
      <c r="H478" s="46" t="s">
        <v>51</v>
      </c>
      <c r="I478" s="47">
        <v>1</v>
      </c>
      <c r="J478" s="48">
        <v>13.5</v>
      </c>
      <c r="K478" s="48">
        <v>13.5</v>
      </c>
    </row>
    <row r="479" s="49" customFormat="1" spans="4:11">
      <c r="D479" s="45">
        <v>46085</v>
      </c>
      <c r="E479" s="46">
        <v>1581979</v>
      </c>
      <c r="F479" s="46" t="s">
        <v>16</v>
      </c>
      <c r="G479" s="47">
        <v>20329847</v>
      </c>
      <c r="H479" s="46" t="s">
        <v>17</v>
      </c>
      <c r="I479" s="47">
        <v>2</v>
      </c>
      <c r="J479" s="48">
        <v>13</v>
      </c>
      <c r="K479" s="48">
        <v>26</v>
      </c>
    </row>
    <row r="480" s="49" customFormat="1" spans="4:11">
      <c r="D480" s="45">
        <v>46085</v>
      </c>
      <c r="E480" s="46">
        <v>1581979</v>
      </c>
      <c r="F480" s="46" t="s">
        <v>18</v>
      </c>
      <c r="G480" s="47">
        <v>20322228</v>
      </c>
      <c r="H480" s="46" t="s">
        <v>19</v>
      </c>
      <c r="I480" s="47">
        <v>1</v>
      </c>
      <c r="J480" s="48">
        <v>15</v>
      </c>
      <c r="K480" s="48">
        <v>15</v>
      </c>
    </row>
    <row r="481" s="49" customFormat="1" spans="4:11">
      <c r="D481" s="45">
        <v>46085</v>
      </c>
      <c r="E481" s="46">
        <v>1581979</v>
      </c>
      <c r="F481" s="46" t="s">
        <v>20</v>
      </c>
      <c r="G481" s="47">
        <v>20321257</v>
      </c>
      <c r="H481" s="46" t="s">
        <v>21</v>
      </c>
      <c r="I481" s="47">
        <v>2</v>
      </c>
      <c r="J481" s="48">
        <v>16.5</v>
      </c>
      <c r="K481" s="48">
        <v>33</v>
      </c>
    </row>
    <row r="482" s="49" customFormat="1" spans="4:11">
      <c r="D482" s="45">
        <v>46085</v>
      </c>
      <c r="E482" s="46">
        <v>1581979</v>
      </c>
      <c r="F482" s="46" t="s">
        <v>20</v>
      </c>
      <c r="G482" s="47">
        <v>20318262</v>
      </c>
      <c r="H482" s="46" t="s">
        <v>24</v>
      </c>
      <c r="I482" s="47">
        <v>1</v>
      </c>
      <c r="J482" s="48">
        <v>16.5</v>
      </c>
      <c r="K482" s="48">
        <v>16.5</v>
      </c>
    </row>
    <row r="483" s="49" customFormat="1" spans="4:11">
      <c r="D483" s="45">
        <v>46085</v>
      </c>
      <c r="E483" s="46">
        <v>1582103</v>
      </c>
      <c r="F483" s="46" t="s">
        <v>13</v>
      </c>
      <c r="G483" s="47">
        <v>20326613</v>
      </c>
      <c r="H483" s="46" t="s">
        <v>14</v>
      </c>
      <c r="I483" s="47">
        <v>4</v>
      </c>
      <c r="J483" s="48">
        <v>88</v>
      </c>
      <c r="K483" s="48">
        <v>352</v>
      </c>
    </row>
    <row r="484" s="49" customFormat="1" spans="4:11">
      <c r="D484" s="45">
        <v>46085</v>
      </c>
      <c r="E484" s="46">
        <v>1582103</v>
      </c>
      <c r="F484" s="46" t="s">
        <v>16</v>
      </c>
      <c r="G484" s="47">
        <v>20318136</v>
      </c>
      <c r="H484" s="46" t="s">
        <v>57</v>
      </c>
      <c r="I484" s="47">
        <v>1</v>
      </c>
      <c r="J484" s="48">
        <v>8</v>
      </c>
      <c r="K484" s="48">
        <v>8</v>
      </c>
    </row>
    <row r="485" s="49" customFormat="1" spans="4:11">
      <c r="D485" s="45">
        <v>46085</v>
      </c>
      <c r="E485" s="46">
        <v>1582103</v>
      </c>
      <c r="F485" s="46" t="s">
        <v>16</v>
      </c>
      <c r="G485" s="47">
        <v>20318257</v>
      </c>
      <c r="H485" s="46" t="s">
        <v>50</v>
      </c>
      <c r="I485" s="47">
        <v>1</v>
      </c>
      <c r="J485" s="48">
        <v>8</v>
      </c>
      <c r="K485" s="48">
        <v>8</v>
      </c>
    </row>
    <row r="486" s="49" customFormat="1" spans="4:11">
      <c r="D486" s="45">
        <v>46085</v>
      </c>
      <c r="E486" s="46">
        <v>1582103</v>
      </c>
      <c r="F486" s="46" t="s">
        <v>16</v>
      </c>
      <c r="G486" s="47">
        <v>20329846</v>
      </c>
      <c r="H486" s="46" t="s">
        <v>51</v>
      </c>
      <c r="I486" s="47">
        <v>2</v>
      </c>
      <c r="J486" s="48">
        <v>13.5</v>
      </c>
      <c r="K486" s="48">
        <v>27</v>
      </c>
    </row>
    <row r="487" s="49" customFormat="1" spans="4:11">
      <c r="D487" s="45">
        <v>46085</v>
      </c>
      <c r="E487" s="46">
        <v>1582103</v>
      </c>
      <c r="F487" s="46" t="s">
        <v>16</v>
      </c>
      <c r="G487" s="47">
        <v>20331668</v>
      </c>
      <c r="H487" s="46" t="s">
        <v>29</v>
      </c>
      <c r="I487" s="47">
        <v>1</v>
      </c>
      <c r="J487" s="48">
        <v>8</v>
      </c>
      <c r="K487" s="48">
        <v>8</v>
      </c>
    </row>
    <row r="488" s="49" customFormat="1" spans="4:11">
      <c r="D488" s="45">
        <v>46085</v>
      </c>
      <c r="E488" s="46">
        <v>1582103</v>
      </c>
      <c r="F488" s="46" t="s">
        <v>30</v>
      </c>
      <c r="G488" s="47">
        <v>20394933</v>
      </c>
      <c r="H488" s="46" t="s">
        <v>45</v>
      </c>
      <c r="I488" s="47">
        <v>1</v>
      </c>
      <c r="J488" s="48">
        <v>66</v>
      </c>
      <c r="K488" s="48">
        <v>66</v>
      </c>
    </row>
    <row r="489" s="49" customFormat="1" spans="4:11">
      <c r="D489" s="45">
        <v>46085</v>
      </c>
      <c r="E489" s="46">
        <v>1582115</v>
      </c>
      <c r="F489" s="46" t="s">
        <v>13</v>
      </c>
      <c r="G489" s="47">
        <v>20326613</v>
      </c>
      <c r="H489" s="46" t="s">
        <v>14</v>
      </c>
      <c r="I489" s="47">
        <v>2</v>
      </c>
      <c r="J489" s="48">
        <v>88</v>
      </c>
      <c r="K489" s="48">
        <v>176</v>
      </c>
    </row>
    <row r="490" s="49" customFormat="1" spans="4:11">
      <c r="D490" s="45">
        <v>46085</v>
      </c>
      <c r="E490" s="46">
        <v>1582115</v>
      </c>
      <c r="F490" s="46" t="s">
        <v>16</v>
      </c>
      <c r="G490" s="47">
        <v>20367143</v>
      </c>
      <c r="H490" s="46" t="s">
        <v>84</v>
      </c>
      <c r="I490" s="47">
        <v>1</v>
      </c>
      <c r="J490" s="48">
        <v>13.5</v>
      </c>
      <c r="K490" s="48">
        <v>13.5</v>
      </c>
    </row>
    <row r="491" s="49" customFormat="1" spans="4:11">
      <c r="D491" s="45">
        <v>46085</v>
      </c>
      <c r="E491" s="46">
        <v>1582115</v>
      </c>
      <c r="F491" s="46" t="s">
        <v>16</v>
      </c>
      <c r="G491" s="47">
        <v>20318247</v>
      </c>
      <c r="H491" s="46" t="s">
        <v>74</v>
      </c>
      <c r="I491" s="47">
        <v>1</v>
      </c>
      <c r="J491" s="48">
        <v>8</v>
      </c>
      <c r="K491" s="48">
        <v>8</v>
      </c>
    </row>
    <row r="492" s="49" customFormat="1" spans="4:11">
      <c r="D492" s="45">
        <v>46085</v>
      </c>
      <c r="E492" s="46">
        <v>1582115</v>
      </c>
      <c r="F492" s="46" t="s">
        <v>16</v>
      </c>
      <c r="G492" s="47">
        <v>20318235</v>
      </c>
      <c r="H492" s="46" t="s">
        <v>27</v>
      </c>
      <c r="I492" s="47">
        <v>1</v>
      </c>
      <c r="J492" s="48">
        <v>8</v>
      </c>
      <c r="K492" s="48">
        <v>8</v>
      </c>
    </row>
    <row r="493" s="49" customFormat="1" spans="4:11">
      <c r="D493" s="45">
        <v>46085</v>
      </c>
      <c r="E493" s="46">
        <v>1582115</v>
      </c>
      <c r="F493" s="46" t="s">
        <v>16</v>
      </c>
      <c r="G493" s="47">
        <v>20329843</v>
      </c>
      <c r="H493" s="46" t="s">
        <v>52</v>
      </c>
      <c r="I493" s="47">
        <v>1</v>
      </c>
      <c r="J493" s="48">
        <v>11</v>
      </c>
      <c r="K493" s="48">
        <v>11</v>
      </c>
    </row>
    <row r="494" s="49" customFormat="1" spans="4:11">
      <c r="D494" s="45">
        <v>46085</v>
      </c>
      <c r="E494" s="46">
        <v>1582115</v>
      </c>
      <c r="F494" s="46" t="s">
        <v>16</v>
      </c>
      <c r="G494" s="47">
        <v>20318250</v>
      </c>
      <c r="H494" s="46" t="s">
        <v>47</v>
      </c>
      <c r="I494" s="47">
        <v>1</v>
      </c>
      <c r="J494" s="48">
        <v>8</v>
      </c>
      <c r="K494" s="48">
        <v>8</v>
      </c>
    </row>
    <row r="495" s="49" customFormat="1" spans="4:11">
      <c r="D495" s="45">
        <v>46085</v>
      </c>
      <c r="E495" s="46">
        <v>1582115</v>
      </c>
      <c r="F495" s="46" t="s">
        <v>30</v>
      </c>
      <c r="G495" s="47">
        <v>20394933</v>
      </c>
      <c r="H495" s="46" t="s">
        <v>45</v>
      </c>
      <c r="I495" s="47">
        <v>1</v>
      </c>
      <c r="J495" s="48">
        <v>66</v>
      </c>
      <c r="K495" s="48">
        <v>66</v>
      </c>
    </row>
    <row r="496" s="49" customFormat="1" spans="4:11">
      <c r="D496" s="45">
        <v>46085</v>
      </c>
      <c r="E496" s="46">
        <v>1582115</v>
      </c>
      <c r="F496" s="46" t="s">
        <v>30</v>
      </c>
      <c r="G496" s="47">
        <v>20328892</v>
      </c>
      <c r="H496" s="46" t="s">
        <v>31</v>
      </c>
      <c r="I496" s="47">
        <v>1</v>
      </c>
      <c r="J496" s="48">
        <v>88</v>
      </c>
      <c r="K496" s="48">
        <v>88</v>
      </c>
    </row>
    <row r="497" s="49" customFormat="1" spans="4:11">
      <c r="D497" s="45">
        <v>46086</v>
      </c>
      <c r="E497" s="46">
        <v>1582288</v>
      </c>
      <c r="F497" s="46" t="s">
        <v>13</v>
      </c>
      <c r="G497" s="47">
        <v>20326613</v>
      </c>
      <c r="H497" s="46" t="s">
        <v>14</v>
      </c>
      <c r="I497" s="47">
        <v>1</v>
      </c>
      <c r="J497" s="48">
        <v>88</v>
      </c>
      <c r="K497" s="48">
        <v>88</v>
      </c>
    </row>
    <row r="498" s="49" customFormat="1" spans="4:11">
      <c r="D498" s="45">
        <v>46086</v>
      </c>
      <c r="E498" s="46">
        <v>1582288</v>
      </c>
      <c r="F498" s="46" t="s">
        <v>39</v>
      </c>
      <c r="G498" s="47">
        <v>20328192</v>
      </c>
      <c r="H498" s="46" t="s">
        <v>40</v>
      </c>
      <c r="I498" s="47">
        <v>1</v>
      </c>
      <c r="J498" s="48">
        <v>38.5</v>
      </c>
      <c r="K498" s="48">
        <v>38.5</v>
      </c>
    </row>
    <row r="499" s="49" customFormat="1" spans="4:11">
      <c r="D499" s="45">
        <v>46086</v>
      </c>
      <c r="E499" s="46">
        <v>1582288</v>
      </c>
      <c r="F499" s="46" t="s">
        <v>20</v>
      </c>
      <c r="G499" s="47">
        <v>20318229</v>
      </c>
      <c r="H499" s="46" t="s">
        <v>37</v>
      </c>
      <c r="I499" s="47">
        <v>2</v>
      </c>
      <c r="J499" s="48">
        <v>16.5</v>
      </c>
      <c r="K499" s="48">
        <v>33</v>
      </c>
    </row>
    <row r="500" s="49" customFormat="1" spans="4:11">
      <c r="D500" s="45">
        <v>46086</v>
      </c>
      <c r="E500" s="46">
        <v>1582288</v>
      </c>
      <c r="F500" s="46" t="s">
        <v>20</v>
      </c>
      <c r="G500" s="47">
        <v>20318332</v>
      </c>
      <c r="H500" s="46" t="s">
        <v>23</v>
      </c>
      <c r="I500" s="47">
        <v>2</v>
      </c>
      <c r="J500" s="48">
        <v>22</v>
      </c>
      <c r="K500" s="48">
        <v>44</v>
      </c>
    </row>
    <row r="501" s="49" customFormat="1" spans="4:11">
      <c r="D501" s="45">
        <v>46086</v>
      </c>
      <c r="E501" s="46">
        <v>1582288</v>
      </c>
      <c r="F501" s="46" t="s">
        <v>20</v>
      </c>
      <c r="G501" s="47">
        <v>20318262</v>
      </c>
      <c r="H501" s="46" t="s">
        <v>24</v>
      </c>
      <c r="I501" s="47">
        <v>1</v>
      </c>
      <c r="J501" s="48">
        <v>16.5</v>
      </c>
      <c r="K501" s="48">
        <v>16.5</v>
      </c>
    </row>
    <row r="502" s="49" customFormat="1" spans="4:11">
      <c r="D502" s="45">
        <v>46086</v>
      </c>
      <c r="E502" s="46">
        <v>1582288</v>
      </c>
      <c r="F502" s="46" t="s">
        <v>20</v>
      </c>
      <c r="G502" s="47">
        <v>20014827</v>
      </c>
      <c r="H502" s="46" t="s">
        <v>38</v>
      </c>
      <c r="I502" s="47">
        <v>1</v>
      </c>
      <c r="J502" s="48">
        <v>16.5</v>
      </c>
      <c r="K502" s="48">
        <v>16.5</v>
      </c>
    </row>
    <row r="503" s="49" customFormat="1" spans="4:11">
      <c r="D503" s="45">
        <v>46086</v>
      </c>
      <c r="E503" s="46">
        <v>1582293</v>
      </c>
      <c r="F503" s="46" t="s">
        <v>13</v>
      </c>
      <c r="G503" s="47">
        <v>20326613</v>
      </c>
      <c r="H503" s="46" t="s">
        <v>14</v>
      </c>
      <c r="I503" s="47">
        <v>14</v>
      </c>
      <c r="J503" s="48">
        <v>88</v>
      </c>
      <c r="K503" s="48">
        <v>1232</v>
      </c>
    </row>
    <row r="504" s="49" customFormat="1" spans="4:11">
      <c r="D504" s="45">
        <v>46086</v>
      </c>
      <c r="E504" s="46">
        <v>1582293</v>
      </c>
      <c r="F504" s="46" t="s">
        <v>13</v>
      </c>
      <c r="G504" s="47">
        <v>20318156</v>
      </c>
      <c r="H504" s="46" t="s">
        <v>15</v>
      </c>
      <c r="I504" s="47">
        <v>1</v>
      </c>
      <c r="J504" s="48">
        <v>154</v>
      </c>
      <c r="K504" s="48">
        <v>154</v>
      </c>
    </row>
    <row r="505" s="49" customFormat="1" spans="4:11">
      <c r="D505" s="45">
        <v>46086</v>
      </c>
      <c r="E505" s="46">
        <v>1582293</v>
      </c>
      <c r="F505" s="46" t="s">
        <v>16</v>
      </c>
      <c r="G505" s="47">
        <v>20318235</v>
      </c>
      <c r="H505" s="46" t="s">
        <v>27</v>
      </c>
      <c r="I505" s="47">
        <v>3</v>
      </c>
      <c r="J505" s="48">
        <v>8</v>
      </c>
      <c r="K505" s="48">
        <v>24</v>
      </c>
    </row>
    <row r="506" s="49" customFormat="1" spans="4:11">
      <c r="D506" s="45">
        <v>46086</v>
      </c>
      <c r="E506" s="46">
        <v>1582293</v>
      </c>
      <c r="F506" s="46" t="s">
        <v>16</v>
      </c>
      <c r="G506" s="47">
        <v>20329846</v>
      </c>
      <c r="H506" s="46" t="s">
        <v>51</v>
      </c>
      <c r="I506" s="47">
        <v>2</v>
      </c>
      <c r="J506" s="48">
        <v>13.5</v>
      </c>
      <c r="K506" s="48">
        <v>27</v>
      </c>
    </row>
    <row r="507" s="49" customFormat="1" spans="4:11">
      <c r="D507" s="45">
        <v>46086</v>
      </c>
      <c r="E507" s="46">
        <v>1582293</v>
      </c>
      <c r="F507" s="46" t="s">
        <v>16</v>
      </c>
      <c r="G507" s="47">
        <v>20329843</v>
      </c>
      <c r="H507" s="46" t="s">
        <v>52</v>
      </c>
      <c r="I507" s="47">
        <v>1</v>
      </c>
      <c r="J507" s="48">
        <v>11</v>
      </c>
      <c r="K507" s="48">
        <v>11</v>
      </c>
    </row>
    <row r="508" s="49" customFormat="1" spans="4:11">
      <c r="D508" s="45">
        <v>46086</v>
      </c>
      <c r="E508" s="46">
        <v>1582293</v>
      </c>
      <c r="F508" s="46" t="s">
        <v>16</v>
      </c>
      <c r="G508" s="47">
        <v>20351064</v>
      </c>
      <c r="H508" s="46" t="s">
        <v>46</v>
      </c>
      <c r="I508" s="47">
        <v>3</v>
      </c>
      <c r="J508" s="48">
        <v>13.5</v>
      </c>
      <c r="K508" s="48">
        <v>40.5</v>
      </c>
    </row>
    <row r="509" s="49" customFormat="1" spans="4:11">
      <c r="D509" s="45">
        <v>46086</v>
      </c>
      <c r="E509" s="46">
        <v>1582293</v>
      </c>
      <c r="F509" s="46" t="s">
        <v>16</v>
      </c>
      <c r="G509" s="47">
        <v>20318243</v>
      </c>
      <c r="H509" s="46" t="s">
        <v>48</v>
      </c>
      <c r="I509" s="47">
        <v>1</v>
      </c>
      <c r="J509" s="48">
        <v>8</v>
      </c>
      <c r="K509" s="48">
        <v>8</v>
      </c>
    </row>
    <row r="510" s="49" customFormat="1" spans="4:11">
      <c r="D510" s="45">
        <v>46086</v>
      </c>
      <c r="E510" s="46">
        <v>1582293</v>
      </c>
      <c r="F510" s="46" t="s">
        <v>16</v>
      </c>
      <c r="G510" s="47">
        <v>20360672</v>
      </c>
      <c r="H510" s="46" t="s">
        <v>83</v>
      </c>
      <c r="I510" s="47">
        <v>1</v>
      </c>
      <c r="J510" s="48">
        <v>8</v>
      </c>
      <c r="K510" s="48">
        <v>8</v>
      </c>
    </row>
    <row r="511" s="49" customFormat="1" spans="4:11">
      <c r="D511" s="45">
        <v>46086</v>
      </c>
      <c r="E511" s="46">
        <v>1582293</v>
      </c>
      <c r="F511" s="46" t="s">
        <v>16</v>
      </c>
      <c r="G511" s="47">
        <v>20329847</v>
      </c>
      <c r="H511" s="46" t="s">
        <v>17</v>
      </c>
      <c r="I511" s="47">
        <v>4</v>
      </c>
      <c r="J511" s="48">
        <v>13</v>
      </c>
      <c r="K511" s="48">
        <v>52</v>
      </c>
    </row>
    <row r="512" s="49" customFormat="1" spans="4:11">
      <c r="D512" s="45">
        <v>46086</v>
      </c>
      <c r="E512" s="46">
        <v>1582293</v>
      </c>
      <c r="F512" s="46" t="s">
        <v>16</v>
      </c>
      <c r="G512" s="47">
        <v>20318231</v>
      </c>
      <c r="H512" s="46" t="s">
        <v>34</v>
      </c>
      <c r="I512" s="47">
        <v>1</v>
      </c>
      <c r="J512" s="48">
        <v>16.5</v>
      </c>
      <c r="K512" s="48">
        <v>16.5</v>
      </c>
    </row>
    <row r="513" s="49" customFormat="1" spans="4:11">
      <c r="D513" s="45">
        <v>46086</v>
      </c>
      <c r="E513" s="46">
        <v>1582293</v>
      </c>
      <c r="F513" s="46" t="s">
        <v>30</v>
      </c>
      <c r="G513" s="47">
        <v>20394933</v>
      </c>
      <c r="H513" s="46" t="s">
        <v>45</v>
      </c>
      <c r="I513" s="47">
        <v>1</v>
      </c>
      <c r="J513" s="48">
        <v>66</v>
      </c>
      <c r="K513" s="48">
        <v>66</v>
      </c>
    </row>
    <row r="514" s="49" customFormat="1" spans="4:11">
      <c r="D514" s="45">
        <v>46086</v>
      </c>
      <c r="E514" s="46">
        <v>1582293</v>
      </c>
      <c r="F514" s="46" t="s">
        <v>30</v>
      </c>
      <c r="G514" s="47">
        <v>20351811</v>
      </c>
      <c r="H514" s="46" t="s">
        <v>36</v>
      </c>
      <c r="I514" s="47">
        <v>1</v>
      </c>
      <c r="J514" s="48">
        <v>55</v>
      </c>
      <c r="K514" s="48">
        <v>55</v>
      </c>
    </row>
    <row r="515" s="49" customFormat="1" spans="4:11">
      <c r="D515" s="45">
        <v>46086</v>
      </c>
      <c r="E515" s="46">
        <v>1582293</v>
      </c>
      <c r="F515" s="46" t="s">
        <v>20</v>
      </c>
      <c r="G515" s="47">
        <v>20321257</v>
      </c>
      <c r="H515" s="46" t="s">
        <v>21</v>
      </c>
      <c r="I515" s="47">
        <v>3</v>
      </c>
      <c r="J515" s="48">
        <v>16.5</v>
      </c>
      <c r="K515" s="48">
        <v>49.5</v>
      </c>
    </row>
    <row r="516" s="49" customFormat="1" spans="4:11">
      <c r="D516" s="45">
        <v>46086</v>
      </c>
      <c r="E516" s="46">
        <v>1582293</v>
      </c>
      <c r="F516" s="46" t="s">
        <v>20</v>
      </c>
      <c r="G516" s="47">
        <v>20329874</v>
      </c>
      <c r="H516" s="46" t="s">
        <v>22</v>
      </c>
      <c r="I516" s="47">
        <v>1</v>
      </c>
      <c r="J516" s="48">
        <v>16.5</v>
      </c>
      <c r="K516" s="48">
        <v>16.5</v>
      </c>
    </row>
    <row r="517" s="49" customFormat="1" spans="4:11">
      <c r="D517" s="45">
        <v>46086</v>
      </c>
      <c r="E517" s="46">
        <v>1582293</v>
      </c>
      <c r="F517" s="46" t="s">
        <v>20</v>
      </c>
      <c r="G517" s="47">
        <v>20321688</v>
      </c>
      <c r="H517" s="46" t="s">
        <v>63</v>
      </c>
      <c r="I517" s="47">
        <v>1</v>
      </c>
      <c r="J517" s="48">
        <v>16.5</v>
      </c>
      <c r="K517" s="48">
        <v>16.5</v>
      </c>
    </row>
    <row r="518" s="49" customFormat="1" spans="4:11">
      <c r="D518" s="45">
        <v>46086</v>
      </c>
      <c r="E518" s="46">
        <v>1582293</v>
      </c>
      <c r="F518" s="46" t="s">
        <v>20</v>
      </c>
      <c r="G518" s="47">
        <v>20342042</v>
      </c>
      <c r="H518" s="46" t="s">
        <v>25</v>
      </c>
      <c r="I518" s="47">
        <v>2</v>
      </c>
      <c r="J518" s="48">
        <v>16.5</v>
      </c>
      <c r="K518" s="48">
        <v>33</v>
      </c>
    </row>
    <row r="519" s="49" customFormat="1" spans="4:11">
      <c r="D519" s="45">
        <v>46086</v>
      </c>
      <c r="E519" s="46">
        <v>1582438</v>
      </c>
      <c r="F519" s="46" t="s">
        <v>13</v>
      </c>
      <c r="G519" s="47">
        <v>20326613</v>
      </c>
      <c r="H519" s="46" t="s">
        <v>14</v>
      </c>
      <c r="I519" s="47">
        <v>5</v>
      </c>
      <c r="J519" s="48">
        <v>88</v>
      </c>
      <c r="K519" s="48">
        <v>440</v>
      </c>
    </row>
    <row r="520" s="49" customFormat="1" spans="4:11">
      <c r="D520" s="45">
        <v>46086</v>
      </c>
      <c r="E520" s="46">
        <v>1582438</v>
      </c>
      <c r="F520" s="46" t="s">
        <v>13</v>
      </c>
      <c r="G520" s="47">
        <v>20318094</v>
      </c>
      <c r="H520" s="46" t="s">
        <v>73</v>
      </c>
      <c r="I520" s="47">
        <v>1</v>
      </c>
      <c r="J520" s="48">
        <v>148.5</v>
      </c>
      <c r="K520" s="48">
        <v>148.5</v>
      </c>
    </row>
    <row r="521" s="49" customFormat="1" spans="4:11">
      <c r="D521" s="45">
        <v>46086</v>
      </c>
      <c r="E521" s="46">
        <v>1582438</v>
      </c>
      <c r="F521" s="46" t="s">
        <v>16</v>
      </c>
      <c r="G521" s="47">
        <v>20320789</v>
      </c>
      <c r="H521" s="46" t="s">
        <v>64</v>
      </c>
      <c r="I521" s="47">
        <v>1</v>
      </c>
      <c r="J521" s="48">
        <v>8</v>
      </c>
      <c r="K521" s="48">
        <v>8</v>
      </c>
    </row>
    <row r="522" s="49" customFormat="1" spans="4:11">
      <c r="D522" s="45">
        <v>46086</v>
      </c>
      <c r="E522" s="46">
        <v>1582438</v>
      </c>
      <c r="F522" s="46" t="s">
        <v>16</v>
      </c>
      <c r="G522" s="47">
        <v>20318235</v>
      </c>
      <c r="H522" s="46" t="s">
        <v>27</v>
      </c>
      <c r="I522" s="47">
        <v>1</v>
      </c>
      <c r="J522" s="48">
        <v>8</v>
      </c>
      <c r="K522" s="48">
        <v>8</v>
      </c>
    </row>
    <row r="523" s="49" customFormat="1" spans="4:11">
      <c r="D523" s="45">
        <v>46086</v>
      </c>
      <c r="E523" s="46">
        <v>1582438</v>
      </c>
      <c r="F523" s="46" t="s">
        <v>16</v>
      </c>
      <c r="G523" s="47">
        <v>20329846</v>
      </c>
      <c r="H523" s="46" t="s">
        <v>51</v>
      </c>
      <c r="I523" s="47">
        <v>1</v>
      </c>
      <c r="J523" s="48">
        <v>13.5</v>
      </c>
      <c r="K523" s="48">
        <v>13.5</v>
      </c>
    </row>
    <row r="524" s="49" customFormat="1" spans="4:11">
      <c r="D524" s="45">
        <v>46086</v>
      </c>
      <c r="E524" s="46">
        <v>1582438</v>
      </c>
      <c r="F524" s="46" t="s">
        <v>16</v>
      </c>
      <c r="G524" s="47">
        <v>20329843</v>
      </c>
      <c r="H524" s="46" t="s">
        <v>52</v>
      </c>
      <c r="I524" s="47">
        <v>1</v>
      </c>
      <c r="J524" s="48">
        <v>11</v>
      </c>
      <c r="K524" s="48">
        <v>11</v>
      </c>
    </row>
    <row r="525" s="49" customFormat="1" spans="4:11">
      <c r="D525" s="45">
        <v>46086</v>
      </c>
      <c r="E525" s="46">
        <v>1582438</v>
      </c>
      <c r="F525" s="46" t="s">
        <v>16</v>
      </c>
      <c r="G525" s="47">
        <v>20318250</v>
      </c>
      <c r="H525" s="46" t="s">
        <v>47</v>
      </c>
      <c r="I525" s="47">
        <v>1</v>
      </c>
      <c r="J525" s="48">
        <v>8</v>
      </c>
      <c r="K525" s="48">
        <v>8</v>
      </c>
    </row>
    <row r="526" s="49" customFormat="1" spans="4:11">
      <c r="D526" s="45">
        <v>46086</v>
      </c>
      <c r="E526" s="46">
        <v>1582438</v>
      </c>
      <c r="F526" s="46" t="s">
        <v>16</v>
      </c>
      <c r="G526" s="47">
        <v>20331668</v>
      </c>
      <c r="H526" s="46" t="s">
        <v>29</v>
      </c>
      <c r="I526" s="47">
        <v>2</v>
      </c>
      <c r="J526" s="48">
        <v>8</v>
      </c>
      <c r="K526" s="48">
        <v>16</v>
      </c>
    </row>
    <row r="527" s="49" customFormat="1" spans="4:11">
      <c r="D527" s="45">
        <v>46086</v>
      </c>
      <c r="E527" s="46">
        <v>1582438</v>
      </c>
      <c r="F527" s="46" t="s">
        <v>16</v>
      </c>
      <c r="G527" s="47">
        <v>20333778</v>
      </c>
      <c r="H527" s="46" t="s">
        <v>62</v>
      </c>
      <c r="I527" s="47">
        <v>2</v>
      </c>
      <c r="J527" s="48">
        <v>16.5</v>
      </c>
      <c r="K527" s="48">
        <v>33</v>
      </c>
    </row>
    <row r="528" s="49" customFormat="1" spans="4:11">
      <c r="D528" s="45">
        <v>46086</v>
      </c>
      <c r="E528" s="46">
        <v>1582438</v>
      </c>
      <c r="F528" s="46" t="s">
        <v>16</v>
      </c>
      <c r="G528" s="47">
        <v>20329847</v>
      </c>
      <c r="H528" s="46" t="s">
        <v>17</v>
      </c>
      <c r="I528" s="47">
        <v>1</v>
      </c>
      <c r="J528" s="48">
        <v>13</v>
      </c>
      <c r="K528" s="48">
        <v>13</v>
      </c>
    </row>
    <row r="529" s="49" customFormat="1" spans="4:11">
      <c r="D529" s="45">
        <v>46086</v>
      </c>
      <c r="E529" s="46">
        <v>1582438</v>
      </c>
      <c r="F529" s="46" t="s">
        <v>16</v>
      </c>
      <c r="G529" s="47">
        <v>20333142</v>
      </c>
      <c r="H529" s="46" t="s">
        <v>41</v>
      </c>
      <c r="I529" s="47">
        <v>1</v>
      </c>
      <c r="J529" s="48">
        <v>22</v>
      </c>
      <c r="K529" s="48">
        <v>22</v>
      </c>
    </row>
    <row r="530" s="49" customFormat="1" spans="4:11">
      <c r="D530" s="45">
        <v>46086</v>
      </c>
      <c r="E530" s="46">
        <v>1582438</v>
      </c>
      <c r="F530" s="46" t="s">
        <v>53</v>
      </c>
      <c r="G530" s="47">
        <v>20393221</v>
      </c>
      <c r="H530" s="46" t="s">
        <v>70</v>
      </c>
      <c r="I530" s="47">
        <v>1</v>
      </c>
      <c r="J530" s="48">
        <v>35</v>
      </c>
      <c r="K530" s="48">
        <v>35</v>
      </c>
    </row>
    <row r="531" s="49" customFormat="1" spans="4:11">
      <c r="D531" s="45">
        <v>46086</v>
      </c>
      <c r="E531" s="46">
        <v>1582438</v>
      </c>
      <c r="F531" s="46" t="s">
        <v>30</v>
      </c>
      <c r="G531" s="47">
        <v>20394933</v>
      </c>
      <c r="H531" s="46" t="s">
        <v>45</v>
      </c>
      <c r="I531" s="47">
        <v>1</v>
      </c>
      <c r="J531" s="48">
        <v>66</v>
      </c>
      <c r="K531" s="48">
        <v>66</v>
      </c>
    </row>
    <row r="532" s="49" customFormat="1" spans="4:11">
      <c r="D532" s="45">
        <v>46086</v>
      </c>
      <c r="E532" s="46">
        <v>1582438</v>
      </c>
      <c r="F532" s="46" t="s">
        <v>30</v>
      </c>
      <c r="G532" s="47">
        <v>20328892</v>
      </c>
      <c r="H532" s="46" t="s">
        <v>31</v>
      </c>
      <c r="I532" s="47">
        <v>1</v>
      </c>
      <c r="J532" s="48">
        <v>88</v>
      </c>
      <c r="K532" s="48">
        <v>88</v>
      </c>
    </row>
    <row r="533" s="49" customFormat="1" spans="4:11">
      <c r="D533" s="45">
        <v>46086</v>
      </c>
      <c r="E533" s="46">
        <v>1582438</v>
      </c>
      <c r="F533" s="46" t="s">
        <v>30</v>
      </c>
      <c r="G533" s="47">
        <v>20351811</v>
      </c>
      <c r="H533" s="46" t="s">
        <v>36</v>
      </c>
      <c r="I533" s="47">
        <v>1</v>
      </c>
      <c r="J533" s="48">
        <v>55</v>
      </c>
      <c r="K533" s="48">
        <v>55</v>
      </c>
    </row>
    <row r="534" s="49" customFormat="1" spans="4:11">
      <c r="D534" s="45">
        <v>46086</v>
      </c>
      <c r="E534" s="46">
        <v>1582438</v>
      </c>
      <c r="F534" s="46" t="s">
        <v>20</v>
      </c>
      <c r="G534" s="47">
        <v>20321257</v>
      </c>
      <c r="H534" s="46" t="s">
        <v>21</v>
      </c>
      <c r="I534" s="47">
        <v>2</v>
      </c>
      <c r="J534" s="48">
        <v>16.5</v>
      </c>
      <c r="K534" s="48">
        <v>33</v>
      </c>
    </row>
    <row r="535" s="49" customFormat="1" spans="4:11">
      <c r="D535" s="45">
        <v>46086</v>
      </c>
      <c r="E535" s="46">
        <v>1582438</v>
      </c>
      <c r="F535" s="46" t="s">
        <v>20</v>
      </c>
      <c r="G535" s="47">
        <v>20329844</v>
      </c>
      <c r="H535" s="46" t="s">
        <v>76</v>
      </c>
      <c r="I535" s="47">
        <v>1</v>
      </c>
      <c r="J535" s="48">
        <v>16.5</v>
      </c>
      <c r="K535" s="48">
        <v>16.5</v>
      </c>
    </row>
    <row r="536" s="49" customFormat="1" spans="4:11">
      <c r="D536" s="45">
        <v>46086</v>
      </c>
      <c r="E536" s="46">
        <v>1582438</v>
      </c>
      <c r="F536" s="46" t="s">
        <v>20</v>
      </c>
      <c r="G536" s="47">
        <v>20318262</v>
      </c>
      <c r="H536" s="46" t="s">
        <v>24</v>
      </c>
      <c r="I536" s="47">
        <v>2</v>
      </c>
      <c r="J536" s="48">
        <v>16.5</v>
      </c>
      <c r="K536" s="48">
        <v>33</v>
      </c>
    </row>
    <row r="537" s="49" customFormat="1" spans="4:11">
      <c r="D537" s="45">
        <v>46086</v>
      </c>
      <c r="E537" s="46">
        <v>1582438</v>
      </c>
      <c r="F537" s="46" t="s">
        <v>20</v>
      </c>
      <c r="G537" s="47">
        <v>20014827</v>
      </c>
      <c r="H537" s="46" t="s">
        <v>38</v>
      </c>
      <c r="I537" s="47">
        <v>1</v>
      </c>
      <c r="J537" s="48">
        <v>16.5</v>
      </c>
      <c r="K537" s="48">
        <v>16.5</v>
      </c>
    </row>
    <row r="538" s="49" customFormat="1" spans="4:11">
      <c r="D538" s="45">
        <v>46086</v>
      </c>
      <c r="E538" s="46">
        <v>1582438</v>
      </c>
      <c r="F538" s="46" t="s">
        <v>20</v>
      </c>
      <c r="G538" s="47">
        <v>20321468</v>
      </c>
      <c r="H538" s="46" t="s">
        <v>69</v>
      </c>
      <c r="I538" s="47">
        <v>1</v>
      </c>
      <c r="J538" s="48">
        <v>16.5</v>
      </c>
      <c r="K538" s="48">
        <v>16.5</v>
      </c>
    </row>
    <row r="539" s="49" customFormat="1" spans="4:11">
      <c r="D539" s="45">
        <v>46086</v>
      </c>
      <c r="E539" s="46">
        <v>1582438</v>
      </c>
      <c r="F539" s="46" t="s">
        <v>20</v>
      </c>
      <c r="G539" s="47">
        <v>20318197</v>
      </c>
      <c r="H539" s="46" t="s">
        <v>33</v>
      </c>
      <c r="I539" s="47">
        <v>2</v>
      </c>
      <c r="J539" s="48">
        <v>16.5</v>
      </c>
      <c r="K539" s="48">
        <v>33</v>
      </c>
    </row>
    <row r="540" s="49" customFormat="1" spans="4:11">
      <c r="D540" s="45">
        <v>46086</v>
      </c>
      <c r="E540" s="46">
        <v>1582438</v>
      </c>
      <c r="F540" s="46" t="s">
        <v>20</v>
      </c>
      <c r="G540" s="47">
        <v>20342042</v>
      </c>
      <c r="H540" s="46" t="s">
        <v>25</v>
      </c>
      <c r="I540" s="47">
        <v>1</v>
      </c>
      <c r="J540" s="48">
        <v>16.5</v>
      </c>
      <c r="K540" s="48">
        <v>16.5</v>
      </c>
    </row>
    <row r="541" s="49" customFormat="1" spans="4:11">
      <c r="D541" s="45">
        <v>46086</v>
      </c>
      <c r="E541" s="46">
        <v>1582461</v>
      </c>
      <c r="F541" s="46" t="s">
        <v>13</v>
      </c>
      <c r="G541" s="47">
        <v>20328374</v>
      </c>
      <c r="H541" s="46" t="s">
        <v>71</v>
      </c>
      <c r="I541" s="47">
        <v>1</v>
      </c>
      <c r="J541" s="48">
        <v>264</v>
      </c>
      <c r="K541" s="48">
        <v>264</v>
      </c>
    </row>
    <row r="542" s="49" customFormat="1" spans="4:11">
      <c r="D542" s="45">
        <v>46086</v>
      </c>
      <c r="E542" s="46">
        <v>1582461</v>
      </c>
      <c r="F542" s="46" t="s">
        <v>13</v>
      </c>
      <c r="G542" s="47">
        <v>20326613</v>
      </c>
      <c r="H542" s="46" t="s">
        <v>14</v>
      </c>
      <c r="I542" s="47">
        <v>4</v>
      </c>
      <c r="J542" s="48">
        <v>88</v>
      </c>
      <c r="K542" s="48">
        <v>352</v>
      </c>
    </row>
    <row r="543" s="49" customFormat="1" spans="4:11">
      <c r="D543" s="45">
        <v>46086</v>
      </c>
      <c r="E543" s="46">
        <v>1582461</v>
      </c>
      <c r="F543" s="46" t="s">
        <v>39</v>
      </c>
      <c r="G543" s="47">
        <v>20328192</v>
      </c>
      <c r="H543" s="46" t="s">
        <v>40</v>
      </c>
      <c r="I543" s="47">
        <v>1</v>
      </c>
      <c r="J543" s="48">
        <v>38.5</v>
      </c>
      <c r="K543" s="48">
        <v>38.5</v>
      </c>
    </row>
    <row r="544" s="49" customFormat="1" spans="4:11">
      <c r="D544" s="45">
        <v>46086</v>
      </c>
      <c r="E544" s="46">
        <v>1582461</v>
      </c>
      <c r="F544" s="46" t="s">
        <v>16</v>
      </c>
      <c r="G544" s="47">
        <v>20318136</v>
      </c>
      <c r="H544" s="46" t="s">
        <v>57</v>
      </c>
      <c r="I544" s="47">
        <v>1</v>
      </c>
      <c r="J544" s="48">
        <v>8</v>
      </c>
      <c r="K544" s="48">
        <v>8</v>
      </c>
    </row>
    <row r="545" s="49" customFormat="1" spans="4:11">
      <c r="D545" s="45">
        <v>46086</v>
      </c>
      <c r="E545" s="46">
        <v>1582461</v>
      </c>
      <c r="F545" s="46" t="s">
        <v>16</v>
      </c>
      <c r="G545" s="47">
        <v>20318257</v>
      </c>
      <c r="H545" s="46" t="s">
        <v>50</v>
      </c>
      <c r="I545" s="47">
        <v>2</v>
      </c>
      <c r="J545" s="48">
        <v>8</v>
      </c>
      <c r="K545" s="48">
        <v>16</v>
      </c>
    </row>
    <row r="546" s="49" customFormat="1" spans="4:11">
      <c r="D546" s="45">
        <v>46086</v>
      </c>
      <c r="E546" s="46">
        <v>1582461</v>
      </c>
      <c r="F546" s="46" t="s">
        <v>16</v>
      </c>
      <c r="G546" s="47">
        <v>20329846</v>
      </c>
      <c r="H546" s="46" t="s">
        <v>51</v>
      </c>
      <c r="I546" s="47">
        <v>1</v>
      </c>
      <c r="J546" s="48">
        <v>13.5</v>
      </c>
      <c r="K546" s="48">
        <v>13.5</v>
      </c>
    </row>
    <row r="547" s="49" customFormat="1" spans="4:11">
      <c r="D547" s="45">
        <v>46086</v>
      </c>
      <c r="E547" s="46">
        <v>1582461</v>
      </c>
      <c r="F547" s="46" t="s">
        <v>16</v>
      </c>
      <c r="G547" s="47">
        <v>20351064</v>
      </c>
      <c r="H547" s="46" t="s">
        <v>46</v>
      </c>
      <c r="I547" s="47">
        <v>1</v>
      </c>
      <c r="J547" s="48">
        <v>13.5</v>
      </c>
      <c r="K547" s="48">
        <v>13.5</v>
      </c>
    </row>
    <row r="548" s="49" customFormat="1" spans="4:11">
      <c r="D548" s="45">
        <v>46086</v>
      </c>
      <c r="E548" s="46">
        <v>1582461</v>
      </c>
      <c r="F548" s="46" t="s">
        <v>16</v>
      </c>
      <c r="G548" s="47">
        <v>20318250</v>
      </c>
      <c r="H548" s="46" t="s">
        <v>47</v>
      </c>
      <c r="I548" s="47">
        <v>1</v>
      </c>
      <c r="J548" s="48">
        <v>8</v>
      </c>
      <c r="K548" s="48">
        <v>8</v>
      </c>
    </row>
    <row r="549" s="49" customFormat="1" spans="4:11">
      <c r="D549" s="45">
        <v>46086</v>
      </c>
      <c r="E549" s="46">
        <v>1582461</v>
      </c>
      <c r="F549" s="46" t="s">
        <v>16</v>
      </c>
      <c r="G549" s="47">
        <v>20318258</v>
      </c>
      <c r="H549" s="46" t="s">
        <v>59</v>
      </c>
      <c r="I549" s="47">
        <v>1</v>
      </c>
      <c r="J549" s="48">
        <v>13</v>
      </c>
      <c r="K549" s="48">
        <v>13</v>
      </c>
    </row>
    <row r="550" s="49" customFormat="1" spans="4:11">
      <c r="D550" s="45">
        <v>46086</v>
      </c>
      <c r="E550" s="46">
        <v>1582461</v>
      </c>
      <c r="F550" s="46" t="s">
        <v>16</v>
      </c>
      <c r="G550" s="47">
        <v>20329847</v>
      </c>
      <c r="H550" s="46" t="s">
        <v>17</v>
      </c>
      <c r="I550" s="47">
        <v>1</v>
      </c>
      <c r="J550" s="48">
        <v>13</v>
      </c>
      <c r="K550" s="48">
        <v>13</v>
      </c>
    </row>
    <row r="551" s="49" customFormat="1" spans="4:11">
      <c r="D551" s="45">
        <v>46086</v>
      </c>
      <c r="E551" s="46">
        <v>1582461</v>
      </c>
      <c r="F551" s="46" t="s">
        <v>30</v>
      </c>
      <c r="G551" s="47">
        <v>20394933</v>
      </c>
      <c r="H551" s="46" t="s">
        <v>45</v>
      </c>
      <c r="I551" s="47">
        <v>1</v>
      </c>
      <c r="J551" s="48">
        <v>66</v>
      </c>
      <c r="K551" s="48">
        <v>66</v>
      </c>
    </row>
    <row r="552" s="49" customFormat="1" spans="4:11">
      <c r="D552" s="45">
        <v>46086</v>
      </c>
      <c r="E552" s="46">
        <v>1582461</v>
      </c>
      <c r="F552" s="46" t="s">
        <v>20</v>
      </c>
      <c r="G552" s="47">
        <v>20321257</v>
      </c>
      <c r="H552" s="46" t="s">
        <v>21</v>
      </c>
      <c r="I552" s="47">
        <v>3</v>
      </c>
      <c r="J552" s="48">
        <v>16.5</v>
      </c>
      <c r="K552" s="48">
        <v>49.5</v>
      </c>
    </row>
    <row r="553" s="49" customFormat="1" spans="4:11">
      <c r="D553" s="45">
        <v>46086</v>
      </c>
      <c r="E553" s="46">
        <v>1582461</v>
      </c>
      <c r="F553" s="46" t="s">
        <v>20</v>
      </c>
      <c r="G553" s="47">
        <v>20318332</v>
      </c>
      <c r="H553" s="46" t="s">
        <v>23</v>
      </c>
      <c r="I553" s="47">
        <v>1</v>
      </c>
      <c r="J553" s="48">
        <v>22</v>
      </c>
      <c r="K553" s="48">
        <v>22</v>
      </c>
    </row>
    <row r="554" s="49" customFormat="1" spans="4:11">
      <c r="D554" s="45">
        <v>46086</v>
      </c>
      <c r="E554" s="46">
        <v>1582461</v>
      </c>
      <c r="F554" s="46" t="s">
        <v>20</v>
      </c>
      <c r="G554" s="47">
        <v>20318262</v>
      </c>
      <c r="H554" s="46" t="s">
        <v>24</v>
      </c>
      <c r="I554" s="47">
        <v>3</v>
      </c>
      <c r="J554" s="48">
        <v>16.5</v>
      </c>
      <c r="K554" s="48">
        <v>49.5</v>
      </c>
    </row>
    <row r="555" s="49" customFormat="1" spans="4:11">
      <c r="D555" s="45">
        <v>46086</v>
      </c>
      <c r="E555" s="46">
        <v>1582461</v>
      </c>
      <c r="F555" s="46" t="s">
        <v>20</v>
      </c>
      <c r="G555" s="47">
        <v>20321468</v>
      </c>
      <c r="H555" s="46" t="s">
        <v>69</v>
      </c>
      <c r="I555" s="47">
        <v>2</v>
      </c>
      <c r="J555" s="48">
        <v>16.5</v>
      </c>
      <c r="K555" s="48">
        <v>33</v>
      </c>
    </row>
    <row r="556" s="49" customFormat="1" spans="4:11">
      <c r="D556" s="45">
        <v>46086</v>
      </c>
      <c r="E556" s="46">
        <v>1582461</v>
      </c>
      <c r="F556" s="46" t="s">
        <v>20</v>
      </c>
      <c r="G556" s="47">
        <v>20318197</v>
      </c>
      <c r="H556" s="46" t="s">
        <v>33</v>
      </c>
      <c r="I556" s="47">
        <v>1</v>
      </c>
      <c r="J556" s="48">
        <v>16.5</v>
      </c>
      <c r="K556" s="48">
        <v>16.5</v>
      </c>
    </row>
    <row r="557" s="49" customFormat="1" spans="4:11">
      <c r="D557" s="45">
        <v>46086</v>
      </c>
      <c r="E557" s="46">
        <v>1582461</v>
      </c>
      <c r="F557" s="46" t="s">
        <v>20</v>
      </c>
      <c r="G557" s="47">
        <v>20342042</v>
      </c>
      <c r="H557" s="46" t="s">
        <v>25</v>
      </c>
      <c r="I557" s="47">
        <v>1</v>
      </c>
      <c r="J557" s="48">
        <v>16.5</v>
      </c>
      <c r="K557" s="48">
        <v>16.5</v>
      </c>
    </row>
    <row r="558" s="49" customFormat="1" spans="4:11">
      <c r="D558" s="45">
        <v>46087</v>
      </c>
      <c r="E558" s="46">
        <v>1582628</v>
      </c>
      <c r="F558" s="46" t="s">
        <v>20</v>
      </c>
      <c r="G558" s="47">
        <v>20318229</v>
      </c>
      <c r="H558" s="46" t="s">
        <v>37</v>
      </c>
      <c r="I558" s="47">
        <v>2</v>
      </c>
      <c r="J558" s="48">
        <v>16.5</v>
      </c>
      <c r="K558" s="48">
        <v>33</v>
      </c>
    </row>
    <row r="559" s="49" customFormat="1" spans="4:11">
      <c r="D559" s="45">
        <v>46087</v>
      </c>
      <c r="E559" s="46">
        <v>1582635</v>
      </c>
      <c r="F559" s="46" t="s">
        <v>13</v>
      </c>
      <c r="G559" s="47">
        <v>20326613</v>
      </c>
      <c r="H559" s="46" t="s">
        <v>14</v>
      </c>
      <c r="I559" s="47">
        <v>8</v>
      </c>
      <c r="J559" s="48">
        <v>88</v>
      </c>
      <c r="K559" s="48">
        <v>704</v>
      </c>
    </row>
    <row r="560" s="49" customFormat="1" spans="4:11">
      <c r="D560" s="45">
        <v>46087</v>
      </c>
      <c r="E560" s="46">
        <v>1582635</v>
      </c>
      <c r="F560" s="46" t="s">
        <v>16</v>
      </c>
      <c r="G560" s="47">
        <v>20329846</v>
      </c>
      <c r="H560" s="46" t="s">
        <v>51</v>
      </c>
      <c r="I560" s="47">
        <v>2</v>
      </c>
      <c r="J560" s="48">
        <v>13.5</v>
      </c>
      <c r="K560" s="48">
        <v>27</v>
      </c>
    </row>
    <row r="561" s="49" customFormat="1" spans="4:11">
      <c r="D561" s="45">
        <v>46087</v>
      </c>
      <c r="E561" s="46">
        <v>1582635</v>
      </c>
      <c r="F561" s="46" t="s">
        <v>16</v>
      </c>
      <c r="G561" s="47">
        <v>20329843</v>
      </c>
      <c r="H561" s="46" t="s">
        <v>52</v>
      </c>
      <c r="I561" s="47">
        <v>3</v>
      </c>
      <c r="J561" s="48">
        <v>11</v>
      </c>
      <c r="K561" s="48">
        <v>33</v>
      </c>
    </row>
    <row r="562" s="49" customFormat="1" spans="4:11">
      <c r="D562" s="45">
        <v>46087</v>
      </c>
      <c r="E562" s="46">
        <v>1582635</v>
      </c>
      <c r="F562" s="46" t="s">
        <v>16</v>
      </c>
      <c r="G562" s="47">
        <v>20331668</v>
      </c>
      <c r="H562" s="46" t="s">
        <v>29</v>
      </c>
      <c r="I562" s="47">
        <v>1</v>
      </c>
      <c r="J562" s="48">
        <v>8</v>
      </c>
      <c r="K562" s="48">
        <v>8</v>
      </c>
    </row>
    <row r="563" s="49" customFormat="1" spans="4:11">
      <c r="D563" s="45">
        <v>46087</v>
      </c>
      <c r="E563" s="46">
        <v>1582635</v>
      </c>
      <c r="F563" s="46" t="s">
        <v>16</v>
      </c>
      <c r="G563" s="47">
        <v>20329847</v>
      </c>
      <c r="H563" s="46" t="s">
        <v>17</v>
      </c>
      <c r="I563" s="47">
        <v>3</v>
      </c>
      <c r="J563" s="48">
        <v>13</v>
      </c>
      <c r="K563" s="48">
        <v>39</v>
      </c>
    </row>
    <row r="564" s="49" customFormat="1" spans="4:11">
      <c r="D564" s="45">
        <v>46087</v>
      </c>
      <c r="E564" s="46">
        <v>1582635</v>
      </c>
      <c r="F564" s="46" t="s">
        <v>16</v>
      </c>
      <c r="G564" s="47">
        <v>20318231</v>
      </c>
      <c r="H564" s="46" t="s">
        <v>34</v>
      </c>
      <c r="I564" s="47">
        <v>1</v>
      </c>
      <c r="J564" s="48">
        <v>16.5</v>
      </c>
      <c r="K564" s="48">
        <v>16.5</v>
      </c>
    </row>
    <row r="565" s="49" customFormat="1" spans="4:11">
      <c r="D565" s="45">
        <v>46087</v>
      </c>
      <c r="E565" s="46">
        <v>1582635</v>
      </c>
      <c r="F565" s="46" t="s">
        <v>16</v>
      </c>
      <c r="G565" s="47">
        <v>20333142</v>
      </c>
      <c r="H565" s="46" t="s">
        <v>41</v>
      </c>
      <c r="I565" s="47">
        <v>1</v>
      </c>
      <c r="J565" s="48">
        <v>22</v>
      </c>
      <c r="K565" s="48">
        <v>22</v>
      </c>
    </row>
    <row r="566" s="49" customFormat="1" spans="4:11">
      <c r="D566" s="45">
        <v>46087</v>
      </c>
      <c r="E566" s="46">
        <v>1582635</v>
      </c>
      <c r="F566" s="46" t="s">
        <v>30</v>
      </c>
      <c r="G566" s="47">
        <v>20394933</v>
      </c>
      <c r="H566" s="46" t="s">
        <v>45</v>
      </c>
      <c r="I566" s="47">
        <v>1</v>
      </c>
      <c r="J566" s="48">
        <v>66</v>
      </c>
      <c r="K566" s="48">
        <v>66</v>
      </c>
    </row>
    <row r="567" s="49" customFormat="1" spans="4:11">
      <c r="D567" s="45">
        <v>46087</v>
      </c>
      <c r="E567" s="46">
        <v>1582635</v>
      </c>
      <c r="F567" s="46" t="s">
        <v>30</v>
      </c>
      <c r="G567" s="47">
        <v>20351811</v>
      </c>
      <c r="H567" s="46" t="s">
        <v>36</v>
      </c>
      <c r="I567" s="47">
        <v>2</v>
      </c>
      <c r="J567" s="48">
        <v>55</v>
      </c>
      <c r="K567" s="48">
        <v>110</v>
      </c>
    </row>
    <row r="568" s="49" customFormat="1" spans="4:11">
      <c r="D568" s="45">
        <v>46087</v>
      </c>
      <c r="E568" s="46">
        <v>1582635</v>
      </c>
      <c r="F568" s="46" t="s">
        <v>20</v>
      </c>
      <c r="G568" s="47">
        <v>20321257</v>
      </c>
      <c r="H568" s="46" t="s">
        <v>21</v>
      </c>
      <c r="I568" s="47">
        <v>5</v>
      </c>
      <c r="J568" s="48">
        <v>16.5</v>
      </c>
      <c r="K568" s="48">
        <v>82.5</v>
      </c>
    </row>
    <row r="569" s="49" customFormat="1" spans="4:11">
      <c r="D569" s="45">
        <v>46087</v>
      </c>
      <c r="E569" s="46">
        <v>1582635</v>
      </c>
      <c r="F569" s="46" t="s">
        <v>20</v>
      </c>
      <c r="G569" s="47">
        <v>20318262</v>
      </c>
      <c r="H569" s="46" t="s">
        <v>24</v>
      </c>
      <c r="I569" s="47">
        <v>1</v>
      </c>
      <c r="J569" s="48">
        <v>16.5</v>
      </c>
      <c r="K569" s="48">
        <v>16.5</v>
      </c>
    </row>
    <row r="570" s="49" customFormat="1" spans="4:11">
      <c r="D570" s="45">
        <v>46087</v>
      </c>
      <c r="E570" s="46">
        <v>1582635</v>
      </c>
      <c r="F570" s="46" t="s">
        <v>20</v>
      </c>
      <c r="G570" s="47">
        <v>20321468</v>
      </c>
      <c r="H570" s="46" t="s">
        <v>69</v>
      </c>
      <c r="I570" s="47">
        <v>1</v>
      </c>
      <c r="J570" s="48">
        <v>16.5</v>
      </c>
      <c r="K570" s="48">
        <v>16.5</v>
      </c>
    </row>
    <row r="571" s="49" customFormat="1" spans="4:11">
      <c r="D571" s="45">
        <v>46087</v>
      </c>
      <c r="E571" s="46">
        <v>1582635</v>
      </c>
      <c r="F571" s="46" t="s">
        <v>20</v>
      </c>
      <c r="G571" s="47">
        <v>20342042</v>
      </c>
      <c r="H571" s="46" t="s">
        <v>25</v>
      </c>
      <c r="I571" s="47">
        <v>1</v>
      </c>
      <c r="J571" s="48">
        <v>16.5</v>
      </c>
      <c r="K571" s="48">
        <v>16.5</v>
      </c>
    </row>
    <row r="572" s="49" customFormat="1" spans="4:11">
      <c r="D572" s="45">
        <v>46087</v>
      </c>
      <c r="E572" s="46">
        <v>1582796</v>
      </c>
      <c r="F572" s="46" t="s">
        <v>16</v>
      </c>
      <c r="G572" s="47">
        <v>20318247</v>
      </c>
      <c r="H572" s="46" t="s">
        <v>74</v>
      </c>
      <c r="I572" s="47">
        <v>1</v>
      </c>
      <c r="J572" s="48">
        <v>8</v>
      </c>
      <c r="K572" s="48">
        <v>8</v>
      </c>
    </row>
    <row r="573" s="49" customFormat="1" spans="4:11">
      <c r="D573" s="45">
        <v>46087</v>
      </c>
      <c r="E573" s="46">
        <v>1582796</v>
      </c>
      <c r="F573" s="46" t="s">
        <v>16</v>
      </c>
      <c r="G573" s="47">
        <v>20318257</v>
      </c>
      <c r="H573" s="46" t="s">
        <v>50</v>
      </c>
      <c r="I573" s="47">
        <v>1</v>
      </c>
      <c r="J573" s="48">
        <v>8</v>
      </c>
      <c r="K573" s="48">
        <v>8</v>
      </c>
    </row>
    <row r="574" s="49" customFormat="1" spans="4:11">
      <c r="D574" s="45">
        <v>46087</v>
      </c>
      <c r="E574" s="46">
        <v>1582796</v>
      </c>
      <c r="F574" s="46" t="s">
        <v>16</v>
      </c>
      <c r="G574" s="47">
        <v>20318235</v>
      </c>
      <c r="H574" s="46" t="s">
        <v>27</v>
      </c>
      <c r="I574" s="47">
        <v>1</v>
      </c>
      <c r="J574" s="48">
        <v>8</v>
      </c>
      <c r="K574" s="48">
        <v>8</v>
      </c>
    </row>
    <row r="575" s="49" customFormat="1" spans="4:11">
      <c r="D575" s="45">
        <v>46087</v>
      </c>
      <c r="E575" s="46">
        <v>1582796</v>
      </c>
      <c r="F575" s="46" t="s">
        <v>16</v>
      </c>
      <c r="G575" s="47">
        <v>20329846</v>
      </c>
      <c r="H575" s="46" t="s">
        <v>51</v>
      </c>
      <c r="I575" s="47">
        <v>1</v>
      </c>
      <c r="J575" s="48">
        <v>13.5</v>
      </c>
      <c r="K575" s="48">
        <v>13.5</v>
      </c>
    </row>
    <row r="576" s="49" customFormat="1" spans="4:11">
      <c r="D576" s="45">
        <v>46087</v>
      </c>
      <c r="E576" s="46">
        <v>1582796</v>
      </c>
      <c r="F576" s="46" t="s">
        <v>16</v>
      </c>
      <c r="G576" s="47">
        <v>20351064</v>
      </c>
      <c r="H576" s="46" t="s">
        <v>46</v>
      </c>
      <c r="I576" s="47">
        <v>1</v>
      </c>
      <c r="J576" s="48">
        <v>13.5</v>
      </c>
      <c r="K576" s="48">
        <v>13.5</v>
      </c>
    </row>
    <row r="577" s="49" customFormat="1" spans="4:11">
      <c r="D577" s="45">
        <v>46087</v>
      </c>
      <c r="E577" s="46">
        <v>1582796</v>
      </c>
      <c r="F577" s="46" t="s">
        <v>16</v>
      </c>
      <c r="G577" s="47">
        <v>20318250</v>
      </c>
      <c r="H577" s="46" t="s">
        <v>47</v>
      </c>
      <c r="I577" s="47">
        <v>1</v>
      </c>
      <c r="J577" s="48">
        <v>8</v>
      </c>
      <c r="K577" s="48">
        <v>8</v>
      </c>
    </row>
    <row r="578" s="49" customFormat="1" spans="4:11">
      <c r="D578" s="45">
        <v>46087</v>
      </c>
      <c r="E578" s="46">
        <v>1582796</v>
      </c>
      <c r="F578" s="46" t="s">
        <v>16</v>
      </c>
      <c r="G578" s="47">
        <v>20333778</v>
      </c>
      <c r="H578" s="46" t="s">
        <v>62</v>
      </c>
      <c r="I578" s="47">
        <v>1</v>
      </c>
      <c r="J578" s="48">
        <v>16.5</v>
      </c>
      <c r="K578" s="48">
        <v>16.5</v>
      </c>
    </row>
    <row r="579" s="49" customFormat="1" spans="4:11">
      <c r="D579" s="45">
        <v>46087</v>
      </c>
      <c r="E579" s="46">
        <v>1582796</v>
      </c>
      <c r="F579" s="46" t="s">
        <v>16</v>
      </c>
      <c r="G579" s="47">
        <v>20329847</v>
      </c>
      <c r="H579" s="46" t="s">
        <v>17</v>
      </c>
      <c r="I579" s="47">
        <v>2</v>
      </c>
      <c r="J579" s="48">
        <v>13</v>
      </c>
      <c r="K579" s="48">
        <v>26</v>
      </c>
    </row>
    <row r="580" s="49" customFormat="1" spans="4:11">
      <c r="D580" s="45">
        <v>46087</v>
      </c>
      <c r="E580" s="46">
        <v>1582796</v>
      </c>
      <c r="F580" s="46" t="s">
        <v>53</v>
      </c>
      <c r="G580" s="47">
        <v>20393221</v>
      </c>
      <c r="H580" s="46" t="s">
        <v>70</v>
      </c>
      <c r="I580" s="47">
        <v>1</v>
      </c>
      <c r="J580" s="48">
        <v>35</v>
      </c>
      <c r="K580" s="48">
        <v>35</v>
      </c>
    </row>
    <row r="581" s="49" customFormat="1" spans="4:11">
      <c r="D581" s="45">
        <v>46087</v>
      </c>
      <c r="E581" s="46">
        <v>1582796</v>
      </c>
      <c r="F581" s="46" t="s">
        <v>20</v>
      </c>
      <c r="G581" s="47">
        <v>20318262</v>
      </c>
      <c r="H581" s="46" t="s">
        <v>24</v>
      </c>
      <c r="I581" s="47">
        <v>1</v>
      </c>
      <c r="J581" s="48">
        <v>16.5</v>
      </c>
      <c r="K581" s="48">
        <v>16.5</v>
      </c>
    </row>
    <row r="582" s="49" customFormat="1" spans="4:11">
      <c r="D582" s="45">
        <v>46087</v>
      </c>
      <c r="E582" s="46">
        <v>1582796</v>
      </c>
      <c r="F582" s="46" t="s">
        <v>20</v>
      </c>
      <c r="G582" s="47">
        <v>20321468</v>
      </c>
      <c r="H582" s="46" t="s">
        <v>69</v>
      </c>
      <c r="I582" s="47">
        <v>1</v>
      </c>
      <c r="J582" s="48">
        <v>16.5</v>
      </c>
      <c r="K582" s="48">
        <v>16.5</v>
      </c>
    </row>
    <row r="583" s="49" customFormat="1" spans="4:11">
      <c r="D583" s="45">
        <v>46087</v>
      </c>
      <c r="E583" s="46">
        <v>1582798</v>
      </c>
      <c r="F583" s="46" t="s">
        <v>13</v>
      </c>
      <c r="G583" s="47">
        <v>20328374</v>
      </c>
      <c r="H583" s="46" t="s">
        <v>71</v>
      </c>
      <c r="I583" s="47">
        <v>1</v>
      </c>
      <c r="J583" s="48">
        <v>264</v>
      </c>
      <c r="K583" s="48">
        <v>264</v>
      </c>
    </row>
    <row r="584" s="49" customFormat="1" spans="4:11">
      <c r="D584" s="45">
        <v>46087</v>
      </c>
      <c r="E584" s="46">
        <v>1582798</v>
      </c>
      <c r="F584" s="46" t="s">
        <v>13</v>
      </c>
      <c r="G584" s="47">
        <v>20326613</v>
      </c>
      <c r="H584" s="46" t="s">
        <v>14</v>
      </c>
      <c r="I584" s="47">
        <v>7</v>
      </c>
      <c r="J584" s="48">
        <v>88</v>
      </c>
      <c r="K584" s="48">
        <v>616</v>
      </c>
    </row>
    <row r="585" s="49" customFormat="1" spans="4:11">
      <c r="D585" s="45">
        <v>46087</v>
      </c>
      <c r="E585" s="46">
        <v>1582798</v>
      </c>
      <c r="F585" s="46" t="s">
        <v>39</v>
      </c>
      <c r="G585" s="47">
        <v>20328192</v>
      </c>
      <c r="H585" s="46" t="s">
        <v>40</v>
      </c>
      <c r="I585" s="47">
        <v>1</v>
      </c>
      <c r="J585" s="48">
        <v>38.5</v>
      </c>
      <c r="K585" s="48">
        <v>38.5</v>
      </c>
    </row>
    <row r="586" s="49" customFormat="1" spans="4:11">
      <c r="D586" s="45">
        <v>46087</v>
      </c>
      <c r="E586" s="46">
        <v>1582798</v>
      </c>
      <c r="F586" s="46" t="s">
        <v>30</v>
      </c>
      <c r="G586" s="47">
        <v>20394933</v>
      </c>
      <c r="H586" s="46" t="s">
        <v>45</v>
      </c>
      <c r="I586" s="47">
        <v>1</v>
      </c>
      <c r="J586" s="48">
        <v>66</v>
      </c>
      <c r="K586" s="48">
        <v>66</v>
      </c>
    </row>
    <row r="587" s="49" customFormat="1" spans="4:11">
      <c r="D587" s="45">
        <v>46087</v>
      </c>
      <c r="E587" s="46">
        <v>1582798</v>
      </c>
      <c r="F587" s="46" t="s">
        <v>20</v>
      </c>
      <c r="G587" s="47">
        <v>20318332</v>
      </c>
      <c r="H587" s="46" t="s">
        <v>23</v>
      </c>
      <c r="I587" s="47">
        <v>1</v>
      </c>
      <c r="J587" s="48">
        <v>22</v>
      </c>
      <c r="K587" s="48">
        <v>22</v>
      </c>
    </row>
    <row r="588" s="49" customFormat="1" spans="4:11">
      <c r="D588" s="45">
        <v>46087</v>
      </c>
      <c r="E588" s="46">
        <v>1582798</v>
      </c>
      <c r="F588" s="46" t="s">
        <v>20</v>
      </c>
      <c r="G588" s="47">
        <v>20014827</v>
      </c>
      <c r="H588" s="46" t="s">
        <v>38</v>
      </c>
      <c r="I588" s="47">
        <v>1</v>
      </c>
      <c r="J588" s="48">
        <v>16.5</v>
      </c>
      <c r="K588" s="48">
        <v>16.5</v>
      </c>
    </row>
    <row r="589" s="49" customFormat="1" spans="4:11">
      <c r="D589" s="45">
        <v>46087</v>
      </c>
      <c r="E589" s="46">
        <v>1582798</v>
      </c>
      <c r="F589" s="46" t="s">
        <v>20</v>
      </c>
      <c r="G589" s="47">
        <v>20342042</v>
      </c>
      <c r="H589" s="46" t="s">
        <v>25</v>
      </c>
      <c r="I589" s="47">
        <v>1</v>
      </c>
      <c r="J589" s="48">
        <v>16.5</v>
      </c>
      <c r="K589" s="48">
        <v>16.5</v>
      </c>
    </row>
    <row r="590" s="49" customFormat="1" spans="4:11">
      <c r="D590" s="45">
        <v>46087</v>
      </c>
      <c r="E590" s="46">
        <v>1582812</v>
      </c>
      <c r="F590" s="46" t="s">
        <v>13</v>
      </c>
      <c r="G590" s="47">
        <v>20326613</v>
      </c>
      <c r="H590" s="46" t="s">
        <v>14</v>
      </c>
      <c r="I590" s="47">
        <v>3</v>
      </c>
      <c r="J590" s="48">
        <v>88</v>
      </c>
      <c r="K590" s="48">
        <v>264</v>
      </c>
    </row>
    <row r="591" s="49" customFormat="1" spans="4:11">
      <c r="D591" s="45">
        <v>46087</v>
      </c>
      <c r="E591" s="46">
        <v>1582812</v>
      </c>
      <c r="F591" s="46" t="s">
        <v>13</v>
      </c>
      <c r="G591" s="47">
        <v>20328375</v>
      </c>
      <c r="H591" s="46" t="s">
        <v>56</v>
      </c>
      <c r="I591" s="47">
        <v>1</v>
      </c>
      <c r="J591" s="48">
        <v>170.5</v>
      </c>
      <c r="K591" s="48">
        <v>170.5</v>
      </c>
    </row>
    <row r="592" s="49" customFormat="1" spans="4:11">
      <c r="D592" s="45">
        <v>46087</v>
      </c>
      <c r="E592" s="46">
        <v>1582812</v>
      </c>
      <c r="F592" s="46" t="s">
        <v>16</v>
      </c>
      <c r="G592" s="47">
        <v>20318257</v>
      </c>
      <c r="H592" s="46" t="s">
        <v>50</v>
      </c>
      <c r="I592" s="47">
        <v>1</v>
      </c>
      <c r="J592" s="48">
        <v>8</v>
      </c>
      <c r="K592" s="48">
        <v>8</v>
      </c>
    </row>
    <row r="593" s="49" customFormat="1" spans="4:11">
      <c r="D593" s="45">
        <v>46087</v>
      </c>
      <c r="E593" s="46">
        <v>1582812</v>
      </c>
      <c r="F593" s="46" t="s">
        <v>16</v>
      </c>
      <c r="G593" s="47">
        <v>20318235</v>
      </c>
      <c r="H593" s="46" t="s">
        <v>27</v>
      </c>
      <c r="I593" s="47">
        <v>2</v>
      </c>
      <c r="J593" s="48">
        <v>8</v>
      </c>
      <c r="K593" s="48">
        <v>16</v>
      </c>
    </row>
    <row r="594" s="49" customFormat="1" spans="4:11">
      <c r="D594" s="45">
        <v>46087</v>
      </c>
      <c r="E594" s="46">
        <v>1582812</v>
      </c>
      <c r="F594" s="46" t="s">
        <v>16</v>
      </c>
      <c r="G594" s="47">
        <v>20329846</v>
      </c>
      <c r="H594" s="46" t="s">
        <v>51</v>
      </c>
      <c r="I594" s="47">
        <v>2</v>
      </c>
      <c r="J594" s="48">
        <v>13.5</v>
      </c>
      <c r="K594" s="48">
        <v>27</v>
      </c>
    </row>
    <row r="595" s="49" customFormat="1" spans="4:11">
      <c r="D595" s="45">
        <v>46087</v>
      </c>
      <c r="E595" s="46">
        <v>1582812</v>
      </c>
      <c r="F595" s="46" t="s">
        <v>16</v>
      </c>
      <c r="G595" s="47">
        <v>20318250</v>
      </c>
      <c r="H595" s="46" t="s">
        <v>47</v>
      </c>
      <c r="I595" s="47">
        <v>1</v>
      </c>
      <c r="J595" s="48">
        <v>8</v>
      </c>
      <c r="K595" s="48">
        <v>8</v>
      </c>
    </row>
    <row r="596" s="49" customFormat="1" spans="4:11">
      <c r="D596" s="45">
        <v>46087</v>
      </c>
      <c r="E596" s="46">
        <v>1582812</v>
      </c>
      <c r="F596" s="46" t="s">
        <v>16</v>
      </c>
      <c r="G596" s="47">
        <v>20331668</v>
      </c>
      <c r="H596" s="46" t="s">
        <v>29</v>
      </c>
      <c r="I596" s="47">
        <v>1</v>
      </c>
      <c r="J596" s="48">
        <v>8</v>
      </c>
      <c r="K596" s="48">
        <v>8</v>
      </c>
    </row>
    <row r="597" s="49" customFormat="1" spans="4:11">
      <c r="D597" s="45">
        <v>46087</v>
      </c>
      <c r="E597" s="46">
        <v>1582812</v>
      </c>
      <c r="F597" s="46" t="s">
        <v>16</v>
      </c>
      <c r="G597" s="47">
        <v>20329847</v>
      </c>
      <c r="H597" s="46" t="s">
        <v>17</v>
      </c>
      <c r="I597" s="47">
        <v>2</v>
      </c>
      <c r="J597" s="48">
        <v>13</v>
      </c>
      <c r="K597" s="48">
        <v>26</v>
      </c>
    </row>
    <row r="598" s="49" customFormat="1" spans="4:11">
      <c r="D598" s="45">
        <v>46087</v>
      </c>
      <c r="E598" s="46">
        <v>1582812</v>
      </c>
      <c r="F598" s="46" t="s">
        <v>16</v>
      </c>
      <c r="G598" s="47">
        <v>20318254</v>
      </c>
      <c r="H598" s="46" t="s">
        <v>35</v>
      </c>
      <c r="I598" s="47">
        <v>1</v>
      </c>
      <c r="J598" s="48">
        <v>16.5</v>
      </c>
      <c r="K598" s="48">
        <v>16.5</v>
      </c>
    </row>
    <row r="599" s="49" customFormat="1" spans="4:11">
      <c r="D599" s="45">
        <v>46087</v>
      </c>
      <c r="E599" s="46">
        <v>1582812</v>
      </c>
      <c r="F599" s="46" t="s">
        <v>30</v>
      </c>
      <c r="G599" s="47">
        <v>20394933</v>
      </c>
      <c r="H599" s="46" t="s">
        <v>45</v>
      </c>
      <c r="I599" s="47">
        <v>1</v>
      </c>
      <c r="J599" s="48">
        <v>66</v>
      </c>
      <c r="K599" s="48">
        <v>66</v>
      </c>
    </row>
    <row r="600" s="49" customFormat="1" spans="4:11">
      <c r="D600" s="45">
        <v>46087</v>
      </c>
      <c r="E600" s="46">
        <v>1582812</v>
      </c>
      <c r="F600" s="46" t="s">
        <v>30</v>
      </c>
      <c r="G600" s="47">
        <v>20328892</v>
      </c>
      <c r="H600" s="46" t="s">
        <v>31</v>
      </c>
      <c r="I600" s="47">
        <v>1</v>
      </c>
      <c r="J600" s="48">
        <v>88</v>
      </c>
      <c r="K600" s="48">
        <v>88</v>
      </c>
    </row>
    <row r="601" s="49" customFormat="1" spans="4:11">
      <c r="D601" s="45">
        <v>46087</v>
      </c>
      <c r="E601" s="46">
        <v>1582812</v>
      </c>
      <c r="F601" s="46" t="s">
        <v>30</v>
      </c>
      <c r="G601" s="47">
        <v>20351811</v>
      </c>
      <c r="H601" s="46" t="s">
        <v>36</v>
      </c>
      <c r="I601" s="47">
        <v>2</v>
      </c>
      <c r="J601" s="48">
        <v>55</v>
      </c>
      <c r="K601" s="48">
        <v>110</v>
      </c>
    </row>
    <row r="602" s="49" customFormat="1" spans="4:11">
      <c r="D602" s="45">
        <v>46087</v>
      </c>
      <c r="E602" s="46">
        <v>1582812</v>
      </c>
      <c r="F602" s="46" t="s">
        <v>20</v>
      </c>
      <c r="G602" s="47">
        <v>20321257</v>
      </c>
      <c r="H602" s="46" t="s">
        <v>21</v>
      </c>
      <c r="I602" s="47">
        <v>4</v>
      </c>
      <c r="J602" s="48">
        <v>16.5</v>
      </c>
      <c r="K602" s="48">
        <v>66</v>
      </c>
    </row>
    <row r="603" s="49" customFormat="1" spans="4:11">
      <c r="D603" s="45">
        <v>46087</v>
      </c>
      <c r="E603" s="46">
        <v>1582812</v>
      </c>
      <c r="F603" s="46" t="s">
        <v>20</v>
      </c>
      <c r="G603" s="47">
        <v>20318332</v>
      </c>
      <c r="H603" s="46" t="s">
        <v>23</v>
      </c>
      <c r="I603" s="47">
        <v>1</v>
      </c>
      <c r="J603" s="48">
        <v>22</v>
      </c>
      <c r="K603" s="48">
        <v>22</v>
      </c>
    </row>
    <row r="604" s="49" customFormat="1" spans="4:11">
      <c r="D604" s="45">
        <v>46087</v>
      </c>
      <c r="E604" s="46">
        <v>1582812</v>
      </c>
      <c r="F604" s="46" t="s">
        <v>20</v>
      </c>
      <c r="G604" s="47">
        <v>20318241</v>
      </c>
      <c r="H604" s="46" t="s">
        <v>61</v>
      </c>
      <c r="I604" s="47">
        <v>1</v>
      </c>
      <c r="J604" s="48">
        <v>16.5</v>
      </c>
      <c r="K604" s="48">
        <v>16.5</v>
      </c>
    </row>
    <row r="605" s="49" customFormat="1" spans="4:11">
      <c r="D605" s="45">
        <v>46087</v>
      </c>
      <c r="E605" s="46">
        <v>1582812</v>
      </c>
      <c r="F605" s="46" t="s">
        <v>20</v>
      </c>
      <c r="G605" s="47">
        <v>20342042</v>
      </c>
      <c r="H605" s="46" t="s">
        <v>25</v>
      </c>
      <c r="I605" s="47">
        <v>1</v>
      </c>
      <c r="J605" s="48">
        <v>16.5</v>
      </c>
      <c r="K605" s="48">
        <v>16.5</v>
      </c>
    </row>
    <row r="606" s="49" customFormat="1" spans="4:11">
      <c r="D606" s="45">
        <v>46088</v>
      </c>
      <c r="E606" s="46">
        <v>1583017</v>
      </c>
      <c r="F606" s="46" t="s">
        <v>13</v>
      </c>
      <c r="G606" s="47">
        <v>20326613</v>
      </c>
      <c r="H606" s="46" t="s">
        <v>14</v>
      </c>
      <c r="I606" s="47">
        <v>9</v>
      </c>
      <c r="J606" s="48">
        <v>88</v>
      </c>
      <c r="K606" s="48">
        <v>792</v>
      </c>
    </row>
    <row r="607" s="49" customFormat="1" spans="4:11">
      <c r="D607" s="45">
        <v>46088</v>
      </c>
      <c r="E607" s="46">
        <v>1583017</v>
      </c>
      <c r="F607" s="46" t="s">
        <v>16</v>
      </c>
      <c r="G607" s="47">
        <v>20351064</v>
      </c>
      <c r="H607" s="46" t="s">
        <v>46</v>
      </c>
      <c r="I607" s="47">
        <v>1</v>
      </c>
      <c r="J607" s="48">
        <v>13.5</v>
      </c>
      <c r="K607" s="48">
        <v>13.5</v>
      </c>
    </row>
    <row r="608" s="49" customFormat="1" spans="4:11">
      <c r="D608" s="45">
        <v>46088</v>
      </c>
      <c r="E608" s="46">
        <v>1583017</v>
      </c>
      <c r="F608" s="46" t="s">
        <v>16</v>
      </c>
      <c r="G608" s="47">
        <v>20331668</v>
      </c>
      <c r="H608" s="46" t="s">
        <v>29</v>
      </c>
      <c r="I608" s="47">
        <v>2</v>
      </c>
      <c r="J608" s="48">
        <v>8</v>
      </c>
      <c r="K608" s="48">
        <v>16</v>
      </c>
    </row>
    <row r="609" s="49" customFormat="1" spans="4:11">
      <c r="D609" s="45">
        <v>46088</v>
      </c>
      <c r="E609" s="46">
        <v>1583017</v>
      </c>
      <c r="F609" s="46" t="s">
        <v>16</v>
      </c>
      <c r="G609" s="47">
        <v>20329847</v>
      </c>
      <c r="H609" s="46" t="s">
        <v>17</v>
      </c>
      <c r="I609" s="47">
        <v>2</v>
      </c>
      <c r="J609" s="48">
        <v>13</v>
      </c>
      <c r="K609" s="48">
        <v>26</v>
      </c>
    </row>
    <row r="610" s="49" customFormat="1" spans="4:11">
      <c r="D610" s="45">
        <v>46088</v>
      </c>
      <c r="E610" s="46">
        <v>1583017</v>
      </c>
      <c r="F610" s="46" t="s">
        <v>30</v>
      </c>
      <c r="G610" s="47">
        <v>20351811</v>
      </c>
      <c r="H610" s="46" t="s">
        <v>36</v>
      </c>
      <c r="I610" s="47">
        <v>1</v>
      </c>
      <c r="J610" s="48">
        <v>55</v>
      </c>
      <c r="K610" s="48">
        <v>55</v>
      </c>
    </row>
    <row r="611" s="49" customFormat="1" spans="4:11">
      <c r="D611" s="45">
        <v>46088</v>
      </c>
      <c r="E611" s="46">
        <v>1583017</v>
      </c>
      <c r="F611" s="46" t="s">
        <v>20</v>
      </c>
      <c r="G611" s="47">
        <v>20321257</v>
      </c>
      <c r="H611" s="46" t="s">
        <v>21</v>
      </c>
      <c r="I611" s="47">
        <v>4</v>
      </c>
      <c r="J611" s="48">
        <v>16.5</v>
      </c>
      <c r="K611" s="48">
        <v>66</v>
      </c>
    </row>
    <row r="612" s="49" customFormat="1" spans="4:11">
      <c r="D612" s="45">
        <v>46088</v>
      </c>
      <c r="E612" s="46">
        <v>1583017</v>
      </c>
      <c r="F612" s="46" t="s">
        <v>20</v>
      </c>
      <c r="G612" s="47">
        <v>20318229</v>
      </c>
      <c r="H612" s="46" t="s">
        <v>37</v>
      </c>
      <c r="I612" s="47">
        <v>2</v>
      </c>
      <c r="J612" s="48">
        <v>16.5</v>
      </c>
      <c r="K612" s="48">
        <v>33</v>
      </c>
    </row>
    <row r="613" s="49" customFormat="1" spans="4:11">
      <c r="D613" s="45">
        <v>46088</v>
      </c>
      <c r="E613" s="46">
        <v>1583017</v>
      </c>
      <c r="F613" s="46" t="s">
        <v>20</v>
      </c>
      <c r="G613" s="47">
        <v>20014827</v>
      </c>
      <c r="H613" s="46" t="s">
        <v>38</v>
      </c>
      <c r="I613" s="47">
        <v>1</v>
      </c>
      <c r="J613" s="48">
        <v>16.5</v>
      </c>
      <c r="K613" s="48">
        <v>16.5</v>
      </c>
    </row>
    <row r="614" s="49" customFormat="1" spans="4:11">
      <c r="D614" s="45">
        <v>46088</v>
      </c>
      <c r="E614" s="46">
        <v>1583017</v>
      </c>
      <c r="F614" s="46" t="s">
        <v>20</v>
      </c>
      <c r="G614" s="47">
        <v>20321688</v>
      </c>
      <c r="H614" s="46" t="s">
        <v>63</v>
      </c>
      <c r="I614" s="47">
        <v>1</v>
      </c>
      <c r="J614" s="48">
        <v>16.5</v>
      </c>
      <c r="K614" s="48">
        <v>16.5</v>
      </c>
    </row>
    <row r="615" s="49" customFormat="1" spans="4:11">
      <c r="D615" s="45">
        <v>46088</v>
      </c>
      <c r="E615" s="46">
        <v>1583017</v>
      </c>
      <c r="F615" s="46" t="s">
        <v>20</v>
      </c>
      <c r="G615" s="47">
        <v>20318197</v>
      </c>
      <c r="H615" s="46" t="s">
        <v>33</v>
      </c>
      <c r="I615" s="47">
        <v>1</v>
      </c>
      <c r="J615" s="48">
        <v>16.5</v>
      </c>
      <c r="K615" s="48">
        <v>16.5</v>
      </c>
    </row>
    <row r="616" s="49" customFormat="1" spans="4:11">
      <c r="D616" s="45">
        <v>46088</v>
      </c>
      <c r="E616" s="46">
        <v>1583017</v>
      </c>
      <c r="F616" s="46" t="s">
        <v>20</v>
      </c>
      <c r="G616" s="47">
        <v>20342042</v>
      </c>
      <c r="H616" s="46" t="s">
        <v>25</v>
      </c>
      <c r="I616" s="47">
        <v>2</v>
      </c>
      <c r="J616" s="48">
        <v>16.5</v>
      </c>
      <c r="K616" s="48">
        <v>33</v>
      </c>
    </row>
    <row r="617" s="49" customFormat="1" spans="4:11">
      <c r="D617" s="45">
        <v>46089</v>
      </c>
      <c r="E617" s="46">
        <v>1583083</v>
      </c>
      <c r="F617" s="46" t="s">
        <v>13</v>
      </c>
      <c r="G617" s="47">
        <v>20326613</v>
      </c>
      <c r="H617" s="46" t="s">
        <v>14</v>
      </c>
      <c r="I617" s="47">
        <v>6</v>
      </c>
      <c r="J617" s="48">
        <v>88</v>
      </c>
      <c r="K617" s="48">
        <v>528</v>
      </c>
    </row>
    <row r="618" s="49" customFormat="1" spans="4:11">
      <c r="D618" s="45">
        <v>46089</v>
      </c>
      <c r="E618" s="46">
        <v>1583083</v>
      </c>
      <c r="F618" s="46" t="s">
        <v>16</v>
      </c>
      <c r="G618" s="47">
        <v>20331668</v>
      </c>
      <c r="H618" s="46" t="s">
        <v>29</v>
      </c>
      <c r="I618" s="47">
        <v>2</v>
      </c>
      <c r="J618" s="48">
        <v>8</v>
      </c>
      <c r="K618" s="48">
        <v>16</v>
      </c>
    </row>
    <row r="619" s="49" customFormat="1" spans="4:11">
      <c r="D619" s="45">
        <v>46089</v>
      </c>
      <c r="E619" s="46">
        <v>1583083</v>
      </c>
      <c r="F619" s="46" t="s">
        <v>16</v>
      </c>
      <c r="G619" s="47">
        <v>20329847</v>
      </c>
      <c r="H619" s="46" t="s">
        <v>17</v>
      </c>
      <c r="I619" s="47">
        <v>2</v>
      </c>
      <c r="J619" s="48">
        <v>13</v>
      </c>
      <c r="K619" s="48">
        <v>26</v>
      </c>
    </row>
    <row r="620" s="49" customFormat="1" spans="4:11">
      <c r="D620" s="45">
        <v>46089</v>
      </c>
      <c r="E620" s="46">
        <v>1583083</v>
      </c>
      <c r="F620" s="46" t="s">
        <v>20</v>
      </c>
      <c r="G620" s="47">
        <v>20321257</v>
      </c>
      <c r="H620" s="46" t="s">
        <v>21</v>
      </c>
      <c r="I620" s="47">
        <v>1</v>
      </c>
      <c r="J620" s="48">
        <v>16.5</v>
      </c>
      <c r="K620" s="48">
        <v>16.5</v>
      </c>
    </row>
    <row r="621" s="49" customFormat="1" spans="4:11">
      <c r="D621" s="45">
        <v>46089</v>
      </c>
      <c r="E621" s="46">
        <v>1583083</v>
      </c>
      <c r="F621" s="46" t="s">
        <v>20</v>
      </c>
      <c r="G621" s="47">
        <v>20321688</v>
      </c>
      <c r="H621" s="46" t="s">
        <v>63</v>
      </c>
      <c r="I621" s="47">
        <v>1</v>
      </c>
      <c r="J621" s="48">
        <v>16.5</v>
      </c>
      <c r="K621" s="48">
        <v>16.5</v>
      </c>
    </row>
    <row r="622" s="49" customFormat="1" ht="0.05" customHeight="1"/>
  </sheetData>
  <autoFilter xmlns:etc="http://www.wps.cn/officeDocument/2017/etCustomData" ref="A9:K621" etc:filterBottomFollowUsedRange="0">
    <extLst/>
  </autoFilter>
  <mergeCells count="6">
    <mergeCell ref="D8:H8"/>
    <mergeCell ref="D10:H10"/>
    <mergeCell ref="C9:C621"/>
    <mergeCell ref="B4:H5"/>
    <mergeCell ref="C1:H2"/>
    <mergeCell ref="A8:B621"/>
  </mergeCells>
  <pageMargins left="0.25" right="0.25" top="0.75" bottom="0.75" header="0.298611111111111" footer="0.298611111111111"/>
  <pageSetup paperSize="9" scale="98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92D050"/>
  </sheetPr>
  <dimension ref="A1:G103"/>
  <sheetViews>
    <sheetView view="pageBreakPreview" zoomScaleNormal="100" topLeftCell="A66" workbookViewId="0">
      <selection activeCell="J95" sqref="J95"/>
    </sheetView>
  </sheetViews>
  <sheetFormatPr defaultColWidth="9" defaultRowHeight="13.5" outlineLevelCol="6"/>
  <cols>
    <col min="1" max="1" width="13.7083333333333" customWidth="1"/>
    <col min="2" max="2" width="17.025" customWidth="1"/>
    <col min="3" max="3" width="6.875" customWidth="1"/>
    <col min="4" max="4" width="18.5" customWidth="1"/>
    <col min="5" max="5" width="10.625" customWidth="1"/>
    <col min="6" max="6" width="21.625" customWidth="1"/>
    <col min="7" max="7" width="12.625" customWidth="1"/>
  </cols>
  <sheetData>
    <row r="1" customFormat="1" ht="25.5" customHeight="1" spans="1:7">
      <c r="A1" s="1" t="s">
        <v>85</v>
      </c>
    </row>
    <row r="2" ht="2" customHeight="1"/>
    <row r="3" customFormat="1" ht="12.75" customHeight="1" spans="1:7">
      <c r="A3" s="2" t="s">
        <v>86</v>
      </c>
    </row>
    <row r="5" ht="2.05" customHeight="1"/>
    <row r="6" ht="1.95" customHeight="1" spans="1:7">
      <c r="A6" s="4" t="s">
        <v>2</v>
      </c>
      <c r="B6" s="4" t="s">
        <v>2</v>
      </c>
      <c r="C6" s="4" t="s">
        <v>2</v>
      </c>
      <c r="D6" s="4" t="s">
        <v>2</v>
      </c>
      <c r="E6" s="4" t="s">
        <v>2</v>
      </c>
      <c r="F6" s="4" t="s">
        <v>2</v>
      </c>
      <c r="G6" s="4" t="s">
        <v>2</v>
      </c>
    </row>
    <row r="7" ht="15.75" spans="1:7">
      <c r="A7" s="29" t="s">
        <v>3</v>
      </c>
      <c r="B7" s="30" t="s">
        <v>2</v>
      </c>
      <c r="C7" s="30" t="s">
        <v>2</v>
      </c>
      <c r="D7" s="30" t="s">
        <v>2</v>
      </c>
      <c r="E7" s="30" t="s">
        <v>2</v>
      </c>
      <c r="F7" s="31" t="s">
        <v>2</v>
      </c>
      <c r="G7" s="32">
        <f>G9</f>
        <v>-1665.5</v>
      </c>
    </row>
    <row r="8" spans="1:7">
      <c r="A8" s="33" t="s">
        <v>87</v>
      </c>
      <c r="B8" s="33" t="s">
        <v>88</v>
      </c>
      <c r="C8" s="33" t="s">
        <v>89</v>
      </c>
      <c r="D8" s="33" t="s">
        <v>90</v>
      </c>
      <c r="E8" s="33" t="s">
        <v>7</v>
      </c>
      <c r="F8" s="33" t="s">
        <v>91</v>
      </c>
      <c r="G8" s="33" t="s">
        <v>92</v>
      </c>
    </row>
    <row r="9" ht="14.25" spans="1:7">
      <c r="A9" s="43" t="s">
        <v>12</v>
      </c>
      <c r="B9" s="30" t="s">
        <v>2</v>
      </c>
      <c r="C9" s="30" t="s">
        <v>2</v>
      </c>
      <c r="D9" s="30" t="s">
        <v>2</v>
      </c>
      <c r="E9" s="30" t="s">
        <v>2</v>
      </c>
      <c r="F9" s="33" t="s">
        <v>2</v>
      </c>
      <c r="G9" s="35">
        <v>-1665.5</v>
      </c>
    </row>
    <row r="10" spans="1:7">
      <c r="A10" s="36" t="s">
        <v>93</v>
      </c>
      <c r="B10" s="30" t="s">
        <v>2</v>
      </c>
      <c r="C10" s="30" t="s">
        <v>2</v>
      </c>
      <c r="D10" s="30" t="s">
        <v>2</v>
      </c>
      <c r="E10" s="30" t="s">
        <v>2</v>
      </c>
      <c r="F10" s="37" t="s">
        <v>2</v>
      </c>
      <c r="G10" s="38">
        <v>-1665.5</v>
      </c>
    </row>
    <row r="11" spans="1:7">
      <c r="A11" s="39">
        <v>3005923629</v>
      </c>
      <c r="B11" s="40">
        <v>46090.5244142361</v>
      </c>
      <c r="C11" s="26" t="s">
        <v>94</v>
      </c>
      <c r="D11" s="41">
        <v>46063.4623897801</v>
      </c>
      <c r="E11" s="12">
        <v>20318229</v>
      </c>
      <c r="F11" s="12" t="s">
        <v>37</v>
      </c>
      <c r="G11" s="42">
        <v>-16.5</v>
      </c>
    </row>
    <row r="12" spans="1:7">
      <c r="A12" s="39">
        <v>3005924933</v>
      </c>
      <c r="B12" s="40">
        <v>46090.5324693634</v>
      </c>
      <c r="C12" s="26" t="s">
        <v>94</v>
      </c>
      <c r="D12" s="41">
        <v>46062.4820123495</v>
      </c>
      <c r="E12" s="12">
        <v>20318332</v>
      </c>
      <c r="F12" s="12" t="s">
        <v>23</v>
      </c>
      <c r="G12" s="42">
        <v>-22</v>
      </c>
    </row>
    <row r="13" spans="1:7">
      <c r="A13" s="39">
        <v>3005924934</v>
      </c>
      <c r="B13" s="40">
        <v>46090.5325955671</v>
      </c>
      <c r="C13" s="26" t="s">
        <v>94</v>
      </c>
      <c r="D13" s="41">
        <v>46062.4820033218</v>
      </c>
      <c r="E13" s="12">
        <v>20318332</v>
      </c>
      <c r="F13" s="12" t="s">
        <v>23</v>
      </c>
      <c r="G13" s="42">
        <v>-22</v>
      </c>
    </row>
    <row r="14" spans="1:7">
      <c r="A14" s="39">
        <v>3005928732</v>
      </c>
      <c r="B14" s="40">
        <v>46090.532672419</v>
      </c>
      <c r="C14" s="26" t="s">
        <v>94</v>
      </c>
      <c r="D14" s="41">
        <v>46063.4623982986</v>
      </c>
      <c r="E14" s="12">
        <v>20318332</v>
      </c>
      <c r="F14" s="12" t="s">
        <v>23</v>
      </c>
      <c r="G14" s="42">
        <v>-22</v>
      </c>
    </row>
    <row r="15" spans="1:7">
      <c r="A15" s="39">
        <v>3005928733</v>
      </c>
      <c r="B15" s="40">
        <v>46090.5327537384</v>
      </c>
      <c r="C15" s="26" t="s">
        <v>94</v>
      </c>
      <c r="D15" s="41">
        <v>46063.4623897801</v>
      </c>
      <c r="E15" s="12">
        <v>20318332</v>
      </c>
      <c r="F15" s="12" t="s">
        <v>23</v>
      </c>
      <c r="G15" s="42">
        <v>-22</v>
      </c>
    </row>
    <row r="16" spans="1:7">
      <c r="A16" s="39">
        <v>3005928734</v>
      </c>
      <c r="B16" s="40">
        <v>46090.521269213</v>
      </c>
      <c r="C16" s="26" t="s">
        <v>94</v>
      </c>
      <c r="D16" s="41">
        <v>46063.4623919792</v>
      </c>
      <c r="E16" s="12">
        <v>20014827</v>
      </c>
      <c r="F16" s="12" t="s">
        <v>38</v>
      </c>
      <c r="G16" s="42">
        <v>-16.5</v>
      </c>
    </row>
    <row r="17" spans="1:7">
      <c r="A17" s="39">
        <v>3005932208</v>
      </c>
      <c r="B17" s="40">
        <v>46090.5213753125</v>
      </c>
      <c r="C17" s="26" t="s">
        <v>94</v>
      </c>
      <c r="D17" s="41">
        <v>46064.525097419</v>
      </c>
      <c r="E17" s="12">
        <v>20014827</v>
      </c>
      <c r="F17" s="12" t="s">
        <v>38</v>
      </c>
      <c r="G17" s="42">
        <v>-16.5</v>
      </c>
    </row>
    <row r="18" spans="1:7">
      <c r="A18" s="39">
        <v>3005932209</v>
      </c>
      <c r="B18" s="40">
        <v>46090.5214784722</v>
      </c>
      <c r="C18" s="26" t="s">
        <v>94</v>
      </c>
      <c r="D18" s="41">
        <v>46064.5251003472</v>
      </c>
      <c r="E18" s="12">
        <v>20014827</v>
      </c>
      <c r="F18" s="12" t="s">
        <v>38</v>
      </c>
      <c r="G18" s="42">
        <v>-16.5</v>
      </c>
    </row>
    <row r="19" spans="1:7">
      <c r="A19" s="39">
        <v>3005932210</v>
      </c>
      <c r="B19" s="40">
        <v>46090.5244833333</v>
      </c>
      <c r="C19" s="26" t="s">
        <v>94</v>
      </c>
      <c r="D19" s="41">
        <v>46064.5250890394</v>
      </c>
      <c r="E19" s="12">
        <v>20318229</v>
      </c>
      <c r="F19" s="12" t="s">
        <v>37</v>
      </c>
      <c r="G19" s="42">
        <v>-16.5</v>
      </c>
    </row>
    <row r="20" spans="1:7">
      <c r="A20" s="39">
        <v>3005932211</v>
      </c>
      <c r="B20" s="40">
        <v>46090.5328313657</v>
      </c>
      <c r="C20" s="26" t="s">
        <v>94</v>
      </c>
      <c r="D20" s="41">
        <v>46064.5250919792</v>
      </c>
      <c r="E20" s="12">
        <v>20318332</v>
      </c>
      <c r="F20" s="12" t="s">
        <v>23</v>
      </c>
      <c r="G20" s="42">
        <v>-22</v>
      </c>
    </row>
    <row r="21" spans="1:7">
      <c r="A21" s="39">
        <v>3005933494</v>
      </c>
      <c r="B21" s="40">
        <v>46090.5245540162</v>
      </c>
      <c r="C21" s="26" t="s">
        <v>94</v>
      </c>
      <c r="D21" s="41">
        <v>46064.6876386921</v>
      </c>
      <c r="E21" s="12">
        <v>20318229</v>
      </c>
      <c r="F21" s="12" t="s">
        <v>37</v>
      </c>
      <c r="G21" s="42">
        <v>-16.5</v>
      </c>
    </row>
    <row r="22" spans="1:7">
      <c r="A22" s="39">
        <v>3005933495</v>
      </c>
      <c r="B22" s="40">
        <v>46090.5329060532</v>
      </c>
      <c r="C22" s="26" t="s">
        <v>94</v>
      </c>
      <c r="D22" s="41">
        <v>46064.6876408218</v>
      </c>
      <c r="E22" s="12">
        <v>20318332</v>
      </c>
      <c r="F22" s="12" t="s">
        <v>23</v>
      </c>
      <c r="G22" s="42">
        <v>-22</v>
      </c>
    </row>
    <row r="23" spans="1:7">
      <c r="A23" s="39">
        <v>3005933496</v>
      </c>
      <c r="B23" s="40">
        <v>46090.5329831366</v>
      </c>
      <c r="C23" s="26" t="s">
        <v>94</v>
      </c>
      <c r="D23" s="41">
        <v>46064.6876430556</v>
      </c>
      <c r="E23" s="12">
        <v>20318332</v>
      </c>
      <c r="F23" s="12" t="s">
        <v>23</v>
      </c>
      <c r="G23" s="42">
        <v>-22</v>
      </c>
    </row>
    <row r="24" spans="1:7">
      <c r="A24" s="39">
        <v>3005935294</v>
      </c>
      <c r="B24" s="40">
        <v>46090.5279966088</v>
      </c>
      <c r="C24" s="26" t="s">
        <v>94</v>
      </c>
      <c r="D24" s="41">
        <v>46065.5302329514</v>
      </c>
      <c r="E24" s="12">
        <v>20318229</v>
      </c>
      <c r="F24" s="12" t="s">
        <v>37</v>
      </c>
      <c r="G24" s="42">
        <v>-16.5</v>
      </c>
    </row>
    <row r="25" spans="1:7">
      <c r="A25" s="39">
        <v>3005935295</v>
      </c>
      <c r="B25" s="40">
        <v>46090.5330904282</v>
      </c>
      <c r="C25" s="26" t="s">
        <v>94</v>
      </c>
      <c r="D25" s="41">
        <v>46065.5302352662</v>
      </c>
      <c r="E25" s="12">
        <v>20318332</v>
      </c>
      <c r="F25" s="12" t="s">
        <v>23</v>
      </c>
      <c r="G25" s="42">
        <v>-22</v>
      </c>
    </row>
    <row r="26" spans="1:7">
      <c r="A26" s="39">
        <v>3005935296</v>
      </c>
      <c r="B26" s="40">
        <v>46090.5215469097</v>
      </c>
      <c r="C26" s="26" t="s">
        <v>94</v>
      </c>
      <c r="D26" s="41">
        <v>46065.5302371528</v>
      </c>
      <c r="E26" s="12">
        <v>20014827</v>
      </c>
      <c r="F26" s="12" t="s">
        <v>38</v>
      </c>
      <c r="G26" s="42">
        <v>-16.5</v>
      </c>
    </row>
    <row r="27" spans="1:7">
      <c r="A27" s="39">
        <v>3005936544</v>
      </c>
      <c r="B27" s="40">
        <v>46090.5332839931</v>
      </c>
      <c r="C27" s="26" t="s">
        <v>94</v>
      </c>
      <c r="D27" s="41">
        <v>46065.6764834491</v>
      </c>
      <c r="E27" s="12">
        <v>20318332</v>
      </c>
      <c r="F27" s="12" t="s">
        <v>23</v>
      </c>
      <c r="G27" s="42">
        <v>-22</v>
      </c>
    </row>
    <row r="28" spans="1:7">
      <c r="A28" s="39">
        <v>3005938182</v>
      </c>
      <c r="B28" s="40">
        <v>46090.5338149306</v>
      </c>
      <c r="C28" s="26" t="s">
        <v>94</v>
      </c>
      <c r="D28" s="41">
        <v>46066.4875582523</v>
      </c>
      <c r="E28" s="12">
        <v>20318332</v>
      </c>
      <c r="F28" s="12" t="s">
        <v>23</v>
      </c>
      <c r="G28" s="42">
        <v>-22</v>
      </c>
    </row>
    <row r="29" spans="1:7">
      <c r="A29" s="39">
        <v>3005938183</v>
      </c>
      <c r="B29" s="40">
        <v>46090.5340236458</v>
      </c>
      <c r="C29" s="26" t="s">
        <v>94</v>
      </c>
      <c r="D29" s="41">
        <v>46066.4875607292</v>
      </c>
      <c r="E29" s="12">
        <v>20318332</v>
      </c>
      <c r="F29" s="12" t="s">
        <v>23</v>
      </c>
      <c r="G29" s="42">
        <v>-22</v>
      </c>
    </row>
    <row r="30" spans="1:7">
      <c r="A30" s="39">
        <v>3005938184</v>
      </c>
      <c r="B30" s="40">
        <v>46090.5216684028</v>
      </c>
      <c r="C30" s="26" t="s">
        <v>94</v>
      </c>
      <c r="D30" s="41">
        <v>46066.4875511574</v>
      </c>
      <c r="E30" s="12">
        <v>20014827</v>
      </c>
      <c r="F30" s="12" t="s">
        <v>38</v>
      </c>
      <c r="G30" s="42">
        <v>-16.5</v>
      </c>
    </row>
    <row r="31" spans="1:7">
      <c r="A31" s="39">
        <v>3005939597</v>
      </c>
      <c r="B31" s="40">
        <v>46090.5246462153</v>
      </c>
      <c r="C31" s="26" t="s">
        <v>94</v>
      </c>
      <c r="D31" s="41">
        <v>46067.4147425579</v>
      </c>
      <c r="E31" s="12">
        <v>20318229</v>
      </c>
      <c r="F31" s="12" t="s">
        <v>37</v>
      </c>
      <c r="G31" s="42">
        <v>-16.5</v>
      </c>
    </row>
    <row r="32" spans="1:7">
      <c r="A32" s="39">
        <v>3005940943</v>
      </c>
      <c r="B32" s="40">
        <v>46090.5341157755</v>
      </c>
      <c r="C32" s="26" t="s">
        <v>94</v>
      </c>
      <c r="D32" s="41">
        <v>46067.4651935995</v>
      </c>
      <c r="E32" s="12">
        <v>20318332</v>
      </c>
      <c r="F32" s="12" t="s">
        <v>23</v>
      </c>
      <c r="G32" s="42">
        <v>-22</v>
      </c>
    </row>
    <row r="33" spans="1:7">
      <c r="A33" s="39">
        <v>3005940944</v>
      </c>
      <c r="B33" s="40">
        <v>46090.5247728819</v>
      </c>
      <c r="C33" s="26" t="s">
        <v>94</v>
      </c>
      <c r="D33" s="41">
        <v>46067.4651952894</v>
      </c>
      <c r="E33" s="12">
        <v>20318229</v>
      </c>
      <c r="F33" s="12" t="s">
        <v>37</v>
      </c>
      <c r="G33" s="42">
        <v>-16.5</v>
      </c>
    </row>
    <row r="34" spans="1:7">
      <c r="A34" s="39">
        <v>3005941727</v>
      </c>
      <c r="B34" s="40">
        <v>46090.5516914699</v>
      </c>
      <c r="C34" s="26" t="s">
        <v>94</v>
      </c>
      <c r="D34" s="41">
        <v>46067.6618590625</v>
      </c>
      <c r="E34" s="12">
        <v>20318332</v>
      </c>
      <c r="F34" s="12" t="s">
        <v>23</v>
      </c>
      <c r="G34" s="42">
        <v>-22</v>
      </c>
    </row>
    <row r="35" spans="1:7">
      <c r="A35" s="39">
        <v>3005941728</v>
      </c>
      <c r="B35" s="40">
        <v>46090.5217329514</v>
      </c>
      <c r="C35" s="26" t="s">
        <v>94</v>
      </c>
      <c r="D35" s="41">
        <v>46067.6618610764</v>
      </c>
      <c r="E35" s="12">
        <v>20014827</v>
      </c>
      <c r="F35" s="12" t="s">
        <v>38</v>
      </c>
      <c r="G35" s="42">
        <v>-16.5</v>
      </c>
    </row>
    <row r="36" spans="1:7">
      <c r="A36" s="39">
        <v>3005942830</v>
      </c>
      <c r="B36" s="40">
        <v>46090.5248568287</v>
      </c>
      <c r="C36" s="26" t="s">
        <v>94</v>
      </c>
      <c r="D36" s="41">
        <v>46069.5429594907</v>
      </c>
      <c r="E36" s="12">
        <v>20318229</v>
      </c>
      <c r="F36" s="12" t="s">
        <v>37</v>
      </c>
      <c r="G36" s="42">
        <v>-16.5</v>
      </c>
    </row>
    <row r="37" spans="1:7">
      <c r="A37" s="39">
        <v>3005942831</v>
      </c>
      <c r="B37" s="40">
        <v>46090.5517660069</v>
      </c>
      <c r="C37" s="26" t="s">
        <v>94</v>
      </c>
      <c r="D37" s="41">
        <v>46069.5429609954</v>
      </c>
      <c r="E37" s="12">
        <v>20318332</v>
      </c>
      <c r="F37" s="12" t="s">
        <v>23</v>
      </c>
      <c r="G37" s="42">
        <v>-22</v>
      </c>
    </row>
    <row r="38" spans="1:7">
      <c r="A38" s="39">
        <v>3005942832</v>
      </c>
      <c r="B38" s="40">
        <v>46090.5218120023</v>
      </c>
      <c r="C38" s="26" t="s">
        <v>94</v>
      </c>
      <c r="D38" s="41">
        <v>46069.542962581</v>
      </c>
      <c r="E38" s="12">
        <v>20014827</v>
      </c>
      <c r="F38" s="12" t="s">
        <v>38</v>
      </c>
      <c r="G38" s="42">
        <v>-16.5</v>
      </c>
    </row>
    <row r="39" spans="1:7">
      <c r="A39" s="39">
        <v>3005943005</v>
      </c>
      <c r="B39" s="40">
        <v>46090.5249374653</v>
      </c>
      <c r="C39" s="26" t="s">
        <v>94</v>
      </c>
      <c r="D39" s="41">
        <v>46070.5865309375</v>
      </c>
      <c r="E39" s="12">
        <v>20318229</v>
      </c>
      <c r="F39" s="12" t="s">
        <v>37</v>
      </c>
      <c r="G39" s="42">
        <v>-16.5</v>
      </c>
    </row>
    <row r="40" spans="1:7">
      <c r="A40" s="39">
        <v>3005943006</v>
      </c>
      <c r="B40" s="40">
        <v>46090.5250723032</v>
      </c>
      <c r="C40" s="26" t="s">
        <v>94</v>
      </c>
      <c r="D40" s="41">
        <v>46070.5865326389</v>
      </c>
      <c r="E40" s="12">
        <v>20318229</v>
      </c>
      <c r="F40" s="12" t="s">
        <v>37</v>
      </c>
      <c r="G40" s="42">
        <v>-16.5</v>
      </c>
    </row>
    <row r="41" spans="1:7">
      <c r="A41" s="39">
        <v>3005943007</v>
      </c>
      <c r="B41" s="40">
        <v>46090.5518535069</v>
      </c>
      <c r="C41" s="26" t="s">
        <v>94</v>
      </c>
      <c r="D41" s="41">
        <v>46070.586534294</v>
      </c>
      <c r="E41" s="12">
        <v>20318332</v>
      </c>
      <c r="F41" s="12" t="s">
        <v>23</v>
      </c>
      <c r="G41" s="42">
        <v>-22</v>
      </c>
    </row>
    <row r="42" spans="1:7">
      <c r="A42" s="39">
        <v>3005943008</v>
      </c>
      <c r="B42" s="40">
        <v>46090.5519386921</v>
      </c>
      <c r="C42" s="26" t="s">
        <v>94</v>
      </c>
      <c r="D42" s="41">
        <v>46070.5865279745</v>
      </c>
      <c r="E42" s="12">
        <v>20318332</v>
      </c>
      <c r="F42" s="12" t="s">
        <v>23</v>
      </c>
      <c r="G42" s="42">
        <v>-22</v>
      </c>
    </row>
    <row r="43" spans="1:7">
      <c r="A43" s="39">
        <v>3005943367</v>
      </c>
      <c r="B43" s="40">
        <v>46090.5520213773</v>
      </c>
      <c r="C43" s="26" t="s">
        <v>94</v>
      </c>
      <c r="D43" s="41">
        <v>46071.4781007755</v>
      </c>
      <c r="E43" s="12">
        <v>20318332</v>
      </c>
      <c r="F43" s="12" t="s">
        <v>23</v>
      </c>
      <c r="G43" s="42">
        <v>-22</v>
      </c>
    </row>
    <row r="44" spans="1:7">
      <c r="A44" s="39">
        <v>3005943949</v>
      </c>
      <c r="B44" s="40">
        <v>46090.5251706366</v>
      </c>
      <c r="C44" s="26" t="s">
        <v>94</v>
      </c>
      <c r="D44" s="41">
        <v>46072.5740775116</v>
      </c>
      <c r="E44" s="12">
        <v>20318229</v>
      </c>
      <c r="F44" s="12" t="s">
        <v>37</v>
      </c>
      <c r="G44" s="42">
        <v>-16.5</v>
      </c>
    </row>
    <row r="45" spans="1:7">
      <c r="A45" s="39">
        <v>3005944548</v>
      </c>
      <c r="B45" s="40">
        <v>46090.5268925116</v>
      </c>
      <c r="C45" s="26" t="s">
        <v>94</v>
      </c>
      <c r="D45" s="41">
        <v>46073.584372338</v>
      </c>
      <c r="E45" s="12">
        <v>20318229</v>
      </c>
      <c r="F45" s="12" t="s">
        <v>37</v>
      </c>
      <c r="G45" s="42">
        <v>-16.5</v>
      </c>
    </row>
    <row r="46" spans="1:7">
      <c r="A46" s="39">
        <v>3005944549</v>
      </c>
      <c r="B46" s="40">
        <v>46090.5521085995</v>
      </c>
      <c r="C46" s="26" t="s">
        <v>94</v>
      </c>
      <c r="D46" s="41">
        <v>46073.5843740741</v>
      </c>
      <c r="E46" s="12">
        <v>20318332</v>
      </c>
      <c r="F46" s="12" t="s">
        <v>23</v>
      </c>
      <c r="G46" s="42">
        <v>-22</v>
      </c>
    </row>
    <row r="47" spans="1:7">
      <c r="A47" s="39">
        <v>3005944550</v>
      </c>
      <c r="B47" s="40">
        <v>46090.5522488773</v>
      </c>
      <c r="C47" s="26" t="s">
        <v>94</v>
      </c>
      <c r="D47" s="41">
        <v>46073.5843756134</v>
      </c>
      <c r="E47" s="12">
        <v>20318332</v>
      </c>
      <c r="F47" s="12" t="s">
        <v>23</v>
      </c>
      <c r="G47" s="42">
        <v>-22</v>
      </c>
    </row>
    <row r="48" spans="1:7">
      <c r="A48" s="39">
        <v>3005945279</v>
      </c>
      <c r="B48" s="40">
        <v>46090.521900463</v>
      </c>
      <c r="C48" s="26" t="s">
        <v>94</v>
      </c>
      <c r="D48" s="41">
        <v>46074.6367857639</v>
      </c>
      <c r="E48" s="12">
        <v>20014827</v>
      </c>
      <c r="F48" s="12" t="s">
        <v>38</v>
      </c>
      <c r="G48" s="42">
        <v>-16.5</v>
      </c>
    </row>
    <row r="49" spans="1:7">
      <c r="A49" s="39">
        <v>3005945280</v>
      </c>
      <c r="B49" s="40">
        <v>46090.5207496528</v>
      </c>
      <c r="C49" s="26" t="s">
        <v>94</v>
      </c>
      <c r="D49" s="41">
        <v>46074.6367872338</v>
      </c>
      <c r="E49" s="12">
        <v>20014824</v>
      </c>
      <c r="F49" s="12" t="s">
        <v>68</v>
      </c>
      <c r="G49" s="42">
        <v>-16.5</v>
      </c>
    </row>
    <row r="50" spans="1:7">
      <c r="A50" s="39">
        <v>3005945281</v>
      </c>
      <c r="B50" s="40">
        <v>46090.5524017361</v>
      </c>
      <c r="C50" s="26" t="s">
        <v>94</v>
      </c>
      <c r="D50" s="41">
        <v>46074.6367886921</v>
      </c>
      <c r="E50" s="12">
        <v>20318332</v>
      </c>
      <c r="F50" s="12" t="s">
        <v>23</v>
      </c>
      <c r="G50" s="42">
        <v>-22</v>
      </c>
    </row>
    <row r="51" spans="1:7">
      <c r="A51" s="39">
        <v>3005945749</v>
      </c>
      <c r="B51" s="40">
        <v>46090.5269728357</v>
      </c>
      <c r="C51" s="26" t="s">
        <v>94</v>
      </c>
      <c r="D51" s="41">
        <v>46075.5324431713</v>
      </c>
      <c r="E51" s="12">
        <v>20318229</v>
      </c>
      <c r="F51" s="12" t="s">
        <v>37</v>
      </c>
      <c r="G51" s="42">
        <v>-16.5</v>
      </c>
    </row>
    <row r="52" spans="1:7">
      <c r="A52" s="39">
        <v>3005945750</v>
      </c>
      <c r="B52" s="40">
        <v>46090.5219637384</v>
      </c>
      <c r="C52" s="26" t="s">
        <v>94</v>
      </c>
      <c r="D52" s="41">
        <v>46075.5324449074</v>
      </c>
      <c r="E52" s="12">
        <v>20014827</v>
      </c>
      <c r="F52" s="12" t="s">
        <v>38</v>
      </c>
      <c r="G52" s="42">
        <v>-16.5</v>
      </c>
    </row>
    <row r="53" spans="1:7">
      <c r="A53" s="39">
        <v>3005945751</v>
      </c>
      <c r="B53" s="40">
        <v>46090.5220585648</v>
      </c>
      <c r="C53" s="26" t="s">
        <v>94</v>
      </c>
      <c r="D53" s="41">
        <v>46075.5324466435</v>
      </c>
      <c r="E53" s="12">
        <v>20014827</v>
      </c>
      <c r="F53" s="12" t="s">
        <v>38</v>
      </c>
      <c r="G53" s="42">
        <v>-16.5</v>
      </c>
    </row>
    <row r="54" spans="1:7">
      <c r="A54" s="39">
        <v>3005950354</v>
      </c>
      <c r="B54" s="40">
        <v>46090.5222267361</v>
      </c>
      <c r="C54" s="26" t="s">
        <v>94</v>
      </c>
      <c r="D54" s="41">
        <v>46078.4965736458</v>
      </c>
      <c r="E54" s="12">
        <v>20014827</v>
      </c>
      <c r="F54" s="12" t="s">
        <v>38</v>
      </c>
      <c r="G54" s="42">
        <v>-16.5</v>
      </c>
    </row>
    <row r="55" spans="1:7">
      <c r="A55" s="39">
        <v>3005950355</v>
      </c>
      <c r="B55" s="40">
        <v>46090.5223017361</v>
      </c>
      <c r="C55" s="26" t="s">
        <v>94</v>
      </c>
      <c r="D55" s="41">
        <v>46078.4965757755</v>
      </c>
      <c r="E55" s="12">
        <v>20014827</v>
      </c>
      <c r="F55" s="12" t="s">
        <v>38</v>
      </c>
      <c r="G55" s="42">
        <v>-16.5</v>
      </c>
    </row>
    <row r="56" spans="1:7">
      <c r="A56" s="39">
        <v>3005950356</v>
      </c>
      <c r="B56" s="40">
        <v>46090.5271001157</v>
      </c>
      <c r="C56" s="26" t="s">
        <v>94</v>
      </c>
      <c r="D56" s="41">
        <v>46078.4965778935</v>
      </c>
      <c r="E56" s="12">
        <v>20318229</v>
      </c>
      <c r="F56" s="12" t="s">
        <v>37</v>
      </c>
      <c r="G56" s="42">
        <v>-16.5</v>
      </c>
    </row>
    <row r="57" spans="1:7">
      <c r="A57" s="39">
        <v>3005951656</v>
      </c>
      <c r="B57" s="40">
        <v>46090.5535794792</v>
      </c>
      <c r="C57" s="26" t="s">
        <v>94</v>
      </c>
      <c r="D57" s="41">
        <v>46078.6816616898</v>
      </c>
      <c r="E57" s="12">
        <v>20318332</v>
      </c>
      <c r="F57" s="12" t="s">
        <v>23</v>
      </c>
      <c r="G57" s="42">
        <v>-22</v>
      </c>
    </row>
    <row r="58" spans="1:7">
      <c r="A58" s="39">
        <v>3005954266</v>
      </c>
      <c r="B58" s="40">
        <v>46090.5536657407</v>
      </c>
      <c r="C58" s="26" t="s">
        <v>94</v>
      </c>
      <c r="D58" s="41">
        <v>46079.4732093403</v>
      </c>
      <c r="E58" s="12">
        <v>20318332</v>
      </c>
      <c r="F58" s="12" t="s">
        <v>23</v>
      </c>
      <c r="G58" s="42">
        <v>-22</v>
      </c>
    </row>
    <row r="59" spans="1:7">
      <c r="A59" s="39">
        <v>3005954267</v>
      </c>
      <c r="B59" s="40">
        <v>46090.5223652431</v>
      </c>
      <c r="C59" s="26" t="s">
        <v>94</v>
      </c>
      <c r="D59" s="41">
        <v>46079.473211956</v>
      </c>
      <c r="E59" s="12">
        <v>20014827</v>
      </c>
      <c r="F59" s="12" t="s">
        <v>38</v>
      </c>
      <c r="G59" s="42">
        <v>-16.5</v>
      </c>
    </row>
    <row r="60" spans="1:7">
      <c r="A60" s="39">
        <v>3005955571</v>
      </c>
      <c r="B60" s="40">
        <v>46090.5224694097</v>
      </c>
      <c r="C60" s="26" t="s">
        <v>94</v>
      </c>
      <c r="D60" s="41">
        <v>46079.6928531597</v>
      </c>
      <c r="E60" s="12">
        <v>20014827</v>
      </c>
      <c r="F60" s="12" t="s">
        <v>38</v>
      </c>
      <c r="G60" s="42">
        <v>-16.5</v>
      </c>
    </row>
    <row r="61" spans="1:7">
      <c r="A61" s="39">
        <v>3005957760</v>
      </c>
      <c r="B61" s="40">
        <v>46090.5225794329</v>
      </c>
      <c r="C61" s="26" t="s">
        <v>94</v>
      </c>
      <c r="D61" s="41">
        <v>46080.5001793634</v>
      </c>
      <c r="E61" s="12">
        <v>20014827</v>
      </c>
      <c r="F61" s="12" t="s">
        <v>38</v>
      </c>
      <c r="G61" s="42">
        <v>-16.5</v>
      </c>
    </row>
    <row r="62" spans="1:7">
      <c r="A62" s="39">
        <v>3005957761</v>
      </c>
      <c r="B62" s="40">
        <v>46090.5229145023</v>
      </c>
      <c r="C62" s="26" t="s">
        <v>94</v>
      </c>
      <c r="D62" s="41">
        <v>46080.5001812153</v>
      </c>
      <c r="E62" s="12">
        <v>20014827</v>
      </c>
      <c r="F62" s="12" t="s">
        <v>38</v>
      </c>
      <c r="G62" s="42">
        <v>-16.5</v>
      </c>
    </row>
    <row r="63" spans="1:7">
      <c r="A63" s="39">
        <v>3005957762</v>
      </c>
      <c r="B63" s="40">
        <v>46090.5289190972</v>
      </c>
      <c r="C63" s="26" t="s">
        <v>94</v>
      </c>
      <c r="D63" s="41">
        <v>46080.5001829861</v>
      </c>
      <c r="E63" s="12">
        <v>20318229</v>
      </c>
      <c r="F63" s="12" t="s">
        <v>37</v>
      </c>
      <c r="G63" s="42">
        <v>-16.5</v>
      </c>
    </row>
    <row r="64" spans="1:7">
      <c r="A64" s="39">
        <v>3005957763</v>
      </c>
      <c r="B64" s="40">
        <v>46090.5537575579</v>
      </c>
      <c r="C64" s="26" t="s">
        <v>94</v>
      </c>
      <c r="D64" s="41">
        <v>46080.5001753472</v>
      </c>
      <c r="E64" s="12">
        <v>20318332</v>
      </c>
      <c r="F64" s="12" t="s">
        <v>23</v>
      </c>
      <c r="G64" s="42">
        <v>-22</v>
      </c>
    </row>
    <row r="65" spans="1:7">
      <c r="A65" s="39">
        <v>3005959293</v>
      </c>
      <c r="B65" s="40">
        <v>46090.5291212153</v>
      </c>
      <c r="C65" s="26" t="s">
        <v>94</v>
      </c>
      <c r="D65" s="41">
        <v>46080.6847599537</v>
      </c>
      <c r="E65" s="12">
        <v>20318229</v>
      </c>
      <c r="F65" s="12" t="s">
        <v>37</v>
      </c>
      <c r="G65" s="42">
        <v>-16.5</v>
      </c>
    </row>
    <row r="66" spans="1:7">
      <c r="A66" s="39">
        <v>3005959294</v>
      </c>
      <c r="B66" s="40">
        <v>46090.5538397801</v>
      </c>
      <c r="C66" s="26" t="s">
        <v>94</v>
      </c>
      <c r="D66" s="41">
        <v>46080.6847616088</v>
      </c>
      <c r="E66" s="12">
        <v>20318332</v>
      </c>
      <c r="F66" s="12" t="s">
        <v>23</v>
      </c>
      <c r="G66" s="42">
        <v>-22</v>
      </c>
    </row>
    <row r="67" spans="1:7">
      <c r="A67" s="39">
        <v>3005960053</v>
      </c>
      <c r="B67" s="40">
        <v>46090.5539257755</v>
      </c>
      <c r="C67" s="26" t="s">
        <v>94</v>
      </c>
      <c r="D67" s="41">
        <v>46080.7454229977</v>
      </c>
      <c r="E67" s="12">
        <v>20318332</v>
      </c>
      <c r="F67" s="12" t="s">
        <v>23</v>
      </c>
      <c r="G67" s="42">
        <v>-22</v>
      </c>
    </row>
    <row r="68" spans="1:7">
      <c r="A68" s="39">
        <v>3005961454</v>
      </c>
      <c r="B68" s="40">
        <v>46090.5290363773</v>
      </c>
      <c r="C68" s="26" t="s">
        <v>94</v>
      </c>
      <c r="D68" s="41">
        <v>46081.4786634259</v>
      </c>
      <c r="E68" s="12">
        <v>20318229</v>
      </c>
      <c r="F68" s="12" t="s">
        <v>37</v>
      </c>
      <c r="G68" s="42">
        <v>-16.5</v>
      </c>
    </row>
    <row r="69" spans="1:7">
      <c r="A69" s="39">
        <v>3005961455</v>
      </c>
      <c r="B69" s="40">
        <v>46090.5540078357</v>
      </c>
      <c r="C69" s="26" t="s">
        <v>94</v>
      </c>
      <c r="D69" s="41">
        <v>46081.4786671296</v>
      </c>
      <c r="E69" s="12">
        <v>20318332</v>
      </c>
      <c r="F69" s="12" t="s">
        <v>23</v>
      </c>
      <c r="G69" s="42">
        <v>-22</v>
      </c>
    </row>
    <row r="70" spans="1:7">
      <c r="A70" s="39">
        <v>3005961456</v>
      </c>
      <c r="B70" s="40">
        <v>46090.5229857292</v>
      </c>
      <c r="C70" s="26" t="s">
        <v>94</v>
      </c>
      <c r="D70" s="41">
        <v>46081.4786710301</v>
      </c>
      <c r="E70" s="12">
        <v>20014827</v>
      </c>
      <c r="F70" s="12" t="s">
        <v>38</v>
      </c>
      <c r="G70" s="42">
        <v>-16.5</v>
      </c>
    </row>
    <row r="71" spans="1:7">
      <c r="A71" s="39">
        <v>3005962452</v>
      </c>
      <c r="B71" s="40">
        <v>46090.523056169</v>
      </c>
      <c r="C71" s="26" t="s">
        <v>94</v>
      </c>
      <c r="D71" s="41">
        <v>46081.7146783912</v>
      </c>
      <c r="E71" s="12">
        <v>20014827</v>
      </c>
      <c r="F71" s="12" t="s">
        <v>38</v>
      </c>
      <c r="G71" s="42">
        <v>-16.5</v>
      </c>
    </row>
    <row r="72" spans="1:7">
      <c r="A72" s="39">
        <v>3005962453</v>
      </c>
      <c r="B72" s="40">
        <v>46090.5540926273</v>
      </c>
      <c r="C72" s="26" t="s">
        <v>94</v>
      </c>
      <c r="D72" s="41">
        <v>46081.7146797454</v>
      </c>
      <c r="E72" s="12">
        <v>20318332</v>
      </c>
      <c r="F72" s="12" t="s">
        <v>23</v>
      </c>
      <c r="G72" s="42">
        <v>-22</v>
      </c>
    </row>
    <row r="73" spans="1:7">
      <c r="A73" s="39">
        <v>3005963949</v>
      </c>
      <c r="B73" s="40">
        <v>46090.5231270023</v>
      </c>
      <c r="C73" s="26" t="s">
        <v>94</v>
      </c>
      <c r="D73" s="41">
        <v>46082.5780430903</v>
      </c>
      <c r="E73" s="12">
        <v>20014827</v>
      </c>
      <c r="F73" s="12" t="s">
        <v>38</v>
      </c>
      <c r="G73" s="42">
        <v>-16.5</v>
      </c>
    </row>
    <row r="74" spans="1:7">
      <c r="A74" s="39">
        <v>3005964600</v>
      </c>
      <c r="B74" s="40">
        <v>46090.5292212153</v>
      </c>
      <c r="C74" s="26" t="s">
        <v>94</v>
      </c>
      <c r="D74" s="41">
        <v>46083.5197518171</v>
      </c>
      <c r="E74" s="12">
        <v>20318229</v>
      </c>
      <c r="F74" s="12" t="s">
        <v>37</v>
      </c>
      <c r="G74" s="42">
        <v>-16.5</v>
      </c>
    </row>
    <row r="75" spans="1:7">
      <c r="A75" s="39">
        <v>3005968102</v>
      </c>
      <c r="B75" s="40">
        <v>46090.5292951389</v>
      </c>
      <c r="C75" s="26" t="s">
        <v>94</v>
      </c>
      <c r="D75" s="41">
        <v>46084.4974441782</v>
      </c>
      <c r="E75" s="12">
        <v>20318229</v>
      </c>
      <c r="F75" s="12" t="s">
        <v>37</v>
      </c>
      <c r="G75" s="42">
        <v>-16.5</v>
      </c>
    </row>
    <row r="76" spans="1:7">
      <c r="A76" s="39">
        <v>3005968103</v>
      </c>
      <c r="B76" s="40">
        <v>46090.5294006597</v>
      </c>
      <c r="C76" s="26" t="s">
        <v>94</v>
      </c>
      <c r="D76" s="41">
        <v>46084.4974472569</v>
      </c>
      <c r="E76" s="12">
        <v>20318229</v>
      </c>
      <c r="F76" s="12" t="s">
        <v>37</v>
      </c>
      <c r="G76" s="42">
        <v>-16.5</v>
      </c>
    </row>
    <row r="77" spans="1:7">
      <c r="A77" s="39">
        <v>3005968104</v>
      </c>
      <c r="B77" s="40">
        <v>46090.5541841088</v>
      </c>
      <c r="C77" s="26" t="s">
        <v>94</v>
      </c>
      <c r="D77" s="41">
        <v>46084.4974500347</v>
      </c>
      <c r="E77" s="12">
        <v>20318332</v>
      </c>
      <c r="F77" s="12" t="s">
        <v>23</v>
      </c>
      <c r="G77" s="42">
        <v>-22</v>
      </c>
    </row>
    <row r="78" spans="1:7">
      <c r="A78" s="39">
        <v>3005968105</v>
      </c>
      <c r="B78" s="40">
        <v>46090.5542764236</v>
      </c>
      <c r="C78" s="26" t="s">
        <v>94</v>
      </c>
      <c r="D78" s="41">
        <v>46084.497453044</v>
      </c>
      <c r="E78" s="12">
        <v>20318332</v>
      </c>
      <c r="F78" s="12" t="s">
        <v>23</v>
      </c>
      <c r="G78" s="42">
        <v>-22</v>
      </c>
    </row>
    <row r="79" spans="1:7">
      <c r="A79" s="39">
        <v>3005968106</v>
      </c>
      <c r="B79" s="40">
        <v>46090.5232363426</v>
      </c>
      <c r="C79" s="26" t="s">
        <v>94</v>
      </c>
      <c r="D79" s="41">
        <v>46084.497456169</v>
      </c>
      <c r="E79" s="12">
        <v>20014827</v>
      </c>
      <c r="F79" s="12" t="s">
        <v>38</v>
      </c>
      <c r="G79" s="42">
        <v>-16.5</v>
      </c>
    </row>
    <row r="80" spans="1:7">
      <c r="A80" s="39">
        <v>3005969625</v>
      </c>
      <c r="B80" s="40">
        <v>46090.5543904745</v>
      </c>
      <c r="C80" s="26" t="s">
        <v>94</v>
      </c>
      <c r="D80" s="41">
        <v>46084.6850364236</v>
      </c>
      <c r="E80" s="12">
        <v>20318332</v>
      </c>
      <c r="F80" s="12" t="s">
        <v>23</v>
      </c>
      <c r="G80" s="42">
        <v>-22</v>
      </c>
    </row>
    <row r="81" spans="1:7">
      <c r="A81" s="39">
        <v>3005969626</v>
      </c>
      <c r="B81" s="40">
        <v>46090.5234614931</v>
      </c>
      <c r="C81" s="26" t="s">
        <v>94</v>
      </c>
      <c r="D81" s="41">
        <v>46084.6850405093</v>
      </c>
      <c r="E81" s="12">
        <v>20014827</v>
      </c>
      <c r="F81" s="12" t="s">
        <v>38</v>
      </c>
      <c r="G81" s="42">
        <v>-16.5</v>
      </c>
    </row>
    <row r="82" spans="1:7">
      <c r="A82" s="39">
        <v>3005969651</v>
      </c>
      <c r="B82" s="40">
        <v>46090.5554949421</v>
      </c>
      <c r="C82" s="26" t="s">
        <v>94</v>
      </c>
      <c r="D82" s="41">
        <v>46084.6850408218</v>
      </c>
      <c r="E82" s="12">
        <v>20360672</v>
      </c>
      <c r="F82" s="12" t="s">
        <v>83</v>
      </c>
      <c r="G82" s="42">
        <v>-8</v>
      </c>
    </row>
    <row r="83" spans="1:7">
      <c r="A83" s="39">
        <v>3005969652</v>
      </c>
      <c r="B83" s="40">
        <v>46090.5555746181</v>
      </c>
      <c r="C83" s="26" t="s">
        <v>94</v>
      </c>
      <c r="D83" s="41">
        <v>46084.6850448727</v>
      </c>
      <c r="E83" s="12">
        <v>20360672</v>
      </c>
      <c r="F83" s="12" t="s">
        <v>83</v>
      </c>
      <c r="G83" s="42">
        <v>-8</v>
      </c>
    </row>
    <row r="84" spans="1:7">
      <c r="A84" s="39">
        <v>3005970459</v>
      </c>
      <c r="B84" s="40">
        <v>46090.5295011574</v>
      </c>
      <c r="C84" s="26" t="s">
        <v>94</v>
      </c>
      <c r="D84" s="41">
        <v>46084.7519716435</v>
      </c>
      <c r="E84" s="12">
        <v>20318229</v>
      </c>
      <c r="F84" s="12" t="s">
        <v>37</v>
      </c>
      <c r="G84" s="42">
        <v>-16.5</v>
      </c>
    </row>
    <row r="85" spans="1:7">
      <c r="A85" s="39">
        <v>3005973094</v>
      </c>
      <c r="B85" s="40">
        <v>46090.5560816319</v>
      </c>
      <c r="C85" s="26" t="s">
        <v>94</v>
      </c>
      <c r="D85" s="41">
        <v>46085.7338754282</v>
      </c>
      <c r="E85" s="12">
        <v>20367143</v>
      </c>
      <c r="F85" s="12" t="s">
        <v>84</v>
      </c>
      <c r="G85" s="42">
        <v>-13.5</v>
      </c>
    </row>
    <row r="86" spans="1:7">
      <c r="A86" s="39">
        <v>3005974730</v>
      </c>
      <c r="B86" s="40">
        <v>46090.5544937847</v>
      </c>
      <c r="C86" s="26" t="s">
        <v>94</v>
      </c>
      <c r="D86" s="41">
        <v>46086.4679213773</v>
      </c>
      <c r="E86" s="12">
        <v>20318332</v>
      </c>
      <c r="F86" s="12" t="s">
        <v>23</v>
      </c>
      <c r="G86" s="42">
        <v>-22</v>
      </c>
    </row>
    <row r="87" spans="1:7">
      <c r="A87" s="39">
        <v>3005974731</v>
      </c>
      <c r="B87" s="40">
        <v>46090.5545801736</v>
      </c>
      <c r="C87" s="26" t="s">
        <v>94</v>
      </c>
      <c r="D87" s="41">
        <v>46086.4679234144</v>
      </c>
      <c r="E87" s="12">
        <v>20318332</v>
      </c>
      <c r="F87" s="12" t="s">
        <v>23</v>
      </c>
      <c r="G87" s="42">
        <v>-22</v>
      </c>
    </row>
    <row r="88" spans="1:7">
      <c r="A88" s="39">
        <v>3005974732</v>
      </c>
      <c r="B88" s="40">
        <v>46090.5307991551</v>
      </c>
      <c r="C88" s="26" t="s">
        <v>94</v>
      </c>
      <c r="D88" s="41">
        <v>46086.4679253819</v>
      </c>
      <c r="E88" s="12">
        <v>20318229</v>
      </c>
      <c r="F88" s="12" t="s">
        <v>37</v>
      </c>
      <c r="G88" s="42">
        <v>-16.5</v>
      </c>
    </row>
    <row r="89" spans="1:7">
      <c r="A89" s="39">
        <v>3005974733</v>
      </c>
      <c r="B89" s="40">
        <v>46090.5308734954</v>
      </c>
      <c r="C89" s="26" t="s">
        <v>94</v>
      </c>
      <c r="D89" s="41">
        <v>46086.4679167477</v>
      </c>
      <c r="E89" s="12">
        <v>20318229</v>
      </c>
      <c r="F89" s="12" t="s">
        <v>37</v>
      </c>
      <c r="G89" s="42">
        <v>-16.5</v>
      </c>
    </row>
    <row r="90" spans="1:7">
      <c r="A90" s="39">
        <v>3005974734</v>
      </c>
      <c r="B90" s="40">
        <v>46090.5235254977</v>
      </c>
      <c r="C90" s="26" t="s">
        <v>94</v>
      </c>
      <c r="D90" s="41">
        <v>46086.4679187153</v>
      </c>
      <c r="E90" s="12">
        <v>20014827</v>
      </c>
      <c r="F90" s="12" t="s">
        <v>38</v>
      </c>
      <c r="G90" s="42">
        <v>-16.5</v>
      </c>
    </row>
    <row r="91" spans="1:7">
      <c r="A91" s="39">
        <v>3005974754</v>
      </c>
      <c r="B91" s="40">
        <v>46090.5556577546</v>
      </c>
      <c r="C91" s="26" t="s">
        <v>94</v>
      </c>
      <c r="D91" s="41">
        <v>46086.4950973727</v>
      </c>
      <c r="E91" s="12">
        <v>20360672</v>
      </c>
      <c r="F91" s="12" t="s">
        <v>83</v>
      </c>
      <c r="G91" s="42">
        <v>-8</v>
      </c>
    </row>
    <row r="92" spans="1:7">
      <c r="A92" s="39">
        <v>3005976110</v>
      </c>
      <c r="B92" s="40">
        <v>46090.5236122685</v>
      </c>
      <c r="C92" s="26" t="s">
        <v>94</v>
      </c>
      <c r="D92" s="41">
        <v>46086.6860959491</v>
      </c>
      <c r="E92" s="12">
        <v>20014827</v>
      </c>
      <c r="F92" s="12" t="s">
        <v>38</v>
      </c>
      <c r="G92" s="42">
        <v>-16.5</v>
      </c>
    </row>
    <row r="93" spans="1:7">
      <c r="A93" s="39">
        <v>3005976939</v>
      </c>
      <c r="B93" s="40">
        <v>46090.5546753819</v>
      </c>
      <c r="C93" s="26" t="s">
        <v>94</v>
      </c>
      <c r="D93" s="41">
        <v>46086.7330416319</v>
      </c>
      <c r="E93" s="12">
        <v>20318332</v>
      </c>
      <c r="F93" s="12" t="s">
        <v>23</v>
      </c>
      <c r="G93" s="42">
        <v>-22</v>
      </c>
    </row>
    <row r="94" spans="1:7">
      <c r="A94" s="39">
        <v>3005978559</v>
      </c>
      <c r="B94" s="40">
        <v>46090.5309424768</v>
      </c>
      <c r="C94" s="26" t="s">
        <v>94</v>
      </c>
      <c r="D94" s="41">
        <v>46087.4371560532</v>
      </c>
      <c r="E94" s="12">
        <v>20318229</v>
      </c>
      <c r="F94" s="12" t="s">
        <v>37</v>
      </c>
      <c r="G94" s="42">
        <v>-16.5</v>
      </c>
    </row>
    <row r="95" spans="1:7">
      <c r="A95" s="39">
        <v>3005978560</v>
      </c>
      <c r="B95" s="40">
        <v>46090.5310107292</v>
      </c>
      <c r="C95" s="26" t="s">
        <v>94</v>
      </c>
      <c r="D95" s="41">
        <v>46087.4371595255</v>
      </c>
      <c r="E95" s="12">
        <v>20318229</v>
      </c>
      <c r="F95" s="12" t="s">
        <v>37</v>
      </c>
      <c r="G95" s="42">
        <v>-16.5</v>
      </c>
    </row>
    <row r="96" spans="1:7">
      <c r="A96" s="39">
        <v>3005980288</v>
      </c>
      <c r="B96" s="40">
        <v>46090.5547691782</v>
      </c>
      <c r="C96" s="26" t="s">
        <v>94</v>
      </c>
      <c r="D96" s="41">
        <v>46087.7101541319</v>
      </c>
      <c r="E96" s="12">
        <v>20318332</v>
      </c>
      <c r="F96" s="12" t="s">
        <v>23</v>
      </c>
      <c r="G96" s="42">
        <v>-22</v>
      </c>
    </row>
    <row r="97" spans="1:7">
      <c r="A97" s="39">
        <v>3005980289</v>
      </c>
      <c r="B97" s="40">
        <v>46090.5236877315</v>
      </c>
      <c r="C97" s="26" t="s">
        <v>94</v>
      </c>
      <c r="D97" s="41">
        <v>46087.7101555903</v>
      </c>
      <c r="E97" s="12">
        <v>20014827</v>
      </c>
      <c r="F97" s="12" t="s">
        <v>38</v>
      </c>
      <c r="G97" s="42">
        <v>-16.5</v>
      </c>
    </row>
    <row r="98" spans="1:7">
      <c r="A98" s="39">
        <v>3005980840</v>
      </c>
      <c r="B98" s="40">
        <v>46090.5548603009</v>
      </c>
      <c r="C98" s="26" t="s">
        <v>94</v>
      </c>
      <c r="D98" s="41">
        <v>46087.7454851505</v>
      </c>
      <c r="E98" s="12">
        <v>20318332</v>
      </c>
      <c r="F98" s="12" t="s">
        <v>23</v>
      </c>
      <c r="G98" s="42">
        <v>-22</v>
      </c>
    </row>
    <row r="99" spans="1:7">
      <c r="A99" s="39">
        <v>3005982759</v>
      </c>
      <c r="B99" s="40">
        <v>46090.531081331</v>
      </c>
      <c r="C99" s="26" t="s">
        <v>94</v>
      </c>
      <c r="D99" s="41">
        <v>46088.5876151968</v>
      </c>
      <c r="E99" s="12">
        <v>20318229</v>
      </c>
      <c r="F99" s="12" t="s">
        <v>37</v>
      </c>
      <c r="G99" s="42">
        <v>-16.5</v>
      </c>
    </row>
    <row r="100" spans="1:7">
      <c r="A100" s="39">
        <v>3005982760</v>
      </c>
      <c r="B100" s="40">
        <v>46090.5311423958</v>
      </c>
      <c r="C100" s="26" t="s">
        <v>94</v>
      </c>
      <c r="D100" s="41">
        <v>46088.5876166319</v>
      </c>
      <c r="E100" s="12">
        <v>20318229</v>
      </c>
      <c r="F100" s="12" t="s">
        <v>37</v>
      </c>
      <c r="G100" s="42">
        <v>-16.5</v>
      </c>
    </row>
    <row r="101" spans="1:7">
      <c r="A101" s="39">
        <v>3005982761</v>
      </c>
      <c r="B101" s="40">
        <v>46090.5237592245</v>
      </c>
      <c r="C101" s="26" t="s">
        <v>94</v>
      </c>
      <c r="D101" s="41">
        <v>46088.587618287</v>
      </c>
      <c r="E101" s="12">
        <v>20014827</v>
      </c>
      <c r="F101" s="12" t="s">
        <v>38</v>
      </c>
      <c r="G101" s="42">
        <v>-16.5</v>
      </c>
    </row>
    <row r="102" spans="1:7">
      <c r="A102" s="3" t="s">
        <v>2</v>
      </c>
      <c r="B102" s="3" t="s">
        <v>2</v>
      </c>
      <c r="C102" s="3" t="s">
        <v>2</v>
      </c>
      <c r="D102" s="3" t="s">
        <v>2</v>
      </c>
      <c r="E102" s="3" t="s">
        <v>2</v>
      </c>
      <c r="F102" s="3" t="s">
        <v>2</v>
      </c>
      <c r="G102" s="3" t="s">
        <v>2</v>
      </c>
    </row>
    <row r="103" ht="11.6" customHeight="1"/>
  </sheetData>
  <autoFilter xmlns:etc="http://www.wps.cn/officeDocument/2017/etCustomData" ref="A10:G102" etc:filterBottomFollowUsedRange="0">
    <filterColumn colId="6">
      <colorFilter dxfId="0"/>
      <extLst>
        <colorFilter dxfId="0"/>
        <colorFilter dxfId="1"/>
        <dxfs count="2">
          <dxf>
            <fill>
              <patternFill patternType="none"/>
            </fill>
          </dxf>
          <dxf>
            <fill>
              <patternFill patternType="solid">
                <fgColor rgb="FFFFFF00"/>
                <bgColor rgb="FFFFFF00"/>
              </patternFill>
            </fill>
          </dxf>
        </dxfs>
      </extLst>
    </filterColumn>
    <extLst/>
  </autoFilter>
  <mergeCells count="5">
    <mergeCell ref="A1:G1"/>
    <mergeCell ref="A7:E7"/>
    <mergeCell ref="A9:E9"/>
    <mergeCell ref="A10:E10"/>
    <mergeCell ref="A3:C4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G53"/>
  <sheetViews>
    <sheetView view="pageBreakPreview" zoomScaleNormal="100" workbookViewId="0">
      <selection activeCell="G7" sqref="G7"/>
    </sheetView>
  </sheetViews>
  <sheetFormatPr defaultColWidth="9" defaultRowHeight="13.5" outlineLevelCol="6"/>
  <cols>
    <col min="1" max="1" width="13.7083333333333" customWidth="1"/>
    <col min="2" max="2" width="17.025" customWidth="1"/>
    <col min="3" max="3" width="6.875" customWidth="1"/>
    <col min="4" max="4" width="18.5" customWidth="1"/>
    <col min="5" max="5" width="10.625" customWidth="1"/>
    <col min="6" max="6" width="21.625" customWidth="1"/>
    <col min="7" max="7" width="12.625" customWidth="1"/>
  </cols>
  <sheetData>
    <row r="1" customFormat="1" ht="25.5" customHeight="1" spans="1:7">
      <c r="A1" s="27" t="s">
        <v>95</v>
      </c>
    </row>
    <row r="2" customFormat="1" ht="2" customHeight="1"/>
    <row r="3" customFormat="1" ht="12.75" customHeight="1" spans="1:7">
      <c r="A3" s="2" t="s">
        <v>86</v>
      </c>
    </row>
    <row r="4" customFormat="1"/>
    <row r="5" customFormat="1" ht="2.05" customHeight="1"/>
    <row r="6" ht="1.95" customHeight="1" spans="1:7">
      <c r="A6" s="4" t="s">
        <v>2</v>
      </c>
      <c r="B6" s="4" t="s">
        <v>2</v>
      </c>
      <c r="C6" s="4" t="s">
        <v>2</v>
      </c>
      <c r="D6" s="4" t="s">
        <v>2</v>
      </c>
      <c r="E6" s="4" t="s">
        <v>2</v>
      </c>
      <c r="F6" s="4" t="s">
        <v>2</v>
      </c>
      <c r="G6" s="4" t="s">
        <v>2</v>
      </c>
    </row>
    <row r="7" ht="15.75" spans="1:7">
      <c r="A7" s="29" t="s">
        <v>3</v>
      </c>
      <c r="B7" s="30" t="s">
        <v>2</v>
      </c>
      <c r="C7" s="30" t="s">
        <v>2</v>
      </c>
      <c r="D7" s="30" t="s">
        <v>2</v>
      </c>
      <c r="E7" s="30" t="s">
        <v>2</v>
      </c>
      <c r="F7" s="31" t="s">
        <v>2</v>
      </c>
      <c r="G7" s="32">
        <f>G9</f>
        <v>786.5</v>
      </c>
    </row>
    <row r="8" spans="1:7">
      <c r="A8" s="33" t="s">
        <v>87</v>
      </c>
      <c r="B8" s="33" t="s">
        <v>88</v>
      </c>
      <c r="C8" s="33" t="s">
        <v>89</v>
      </c>
      <c r="D8" s="33" t="s">
        <v>90</v>
      </c>
      <c r="E8" s="33" t="s">
        <v>7</v>
      </c>
      <c r="F8" s="33" t="s">
        <v>91</v>
      </c>
      <c r="G8" s="33" t="s">
        <v>92</v>
      </c>
    </row>
    <row r="9" spans="1:7">
      <c r="A9" s="34" t="s">
        <v>96</v>
      </c>
      <c r="B9" s="30"/>
      <c r="C9" s="30"/>
      <c r="D9" s="30"/>
      <c r="E9" s="30"/>
      <c r="F9" s="33" t="s">
        <v>2</v>
      </c>
      <c r="G9" s="35">
        <f>G10</f>
        <v>786.5</v>
      </c>
    </row>
    <row r="10" spans="1:7">
      <c r="A10" s="36" t="s">
        <v>93</v>
      </c>
      <c r="B10" s="30" t="s">
        <v>2</v>
      </c>
      <c r="C10" s="30" t="s">
        <v>2</v>
      </c>
      <c r="D10" s="30" t="s">
        <v>2</v>
      </c>
      <c r="E10" s="30" t="s">
        <v>2</v>
      </c>
      <c r="F10" s="37" t="s">
        <v>2</v>
      </c>
      <c r="G10" s="38">
        <f>SUM(G11:G53)</f>
        <v>786.5</v>
      </c>
    </row>
    <row r="11" spans="1:7">
      <c r="A11" s="39">
        <v>3005945280</v>
      </c>
      <c r="B11" s="40">
        <v>46090.5207496528</v>
      </c>
      <c r="C11" s="26" t="s">
        <v>94</v>
      </c>
      <c r="D11" s="41">
        <v>46074.6367872338</v>
      </c>
      <c r="E11" s="12">
        <v>20014824</v>
      </c>
      <c r="F11" s="12" t="s">
        <v>68</v>
      </c>
      <c r="G11" s="42">
        <v>16.5</v>
      </c>
    </row>
    <row r="12" spans="1:7">
      <c r="A12" s="39">
        <v>3005945281</v>
      </c>
      <c r="B12" s="40">
        <v>46090.5524017361</v>
      </c>
      <c r="C12" s="26" t="s">
        <v>94</v>
      </c>
      <c r="D12" s="41">
        <v>46074.6367886921</v>
      </c>
      <c r="E12" s="12">
        <v>20318332</v>
      </c>
      <c r="F12" s="12" t="s">
        <v>23</v>
      </c>
      <c r="G12" s="42">
        <v>22</v>
      </c>
    </row>
    <row r="13" spans="1:7">
      <c r="A13" s="39">
        <v>3005945749</v>
      </c>
      <c r="B13" s="40">
        <v>46090.5269728357</v>
      </c>
      <c r="C13" s="26" t="s">
        <v>94</v>
      </c>
      <c r="D13" s="41">
        <v>46075.5324431713</v>
      </c>
      <c r="E13" s="12">
        <v>20318229</v>
      </c>
      <c r="F13" s="12" t="s">
        <v>37</v>
      </c>
      <c r="G13" s="42">
        <v>16.5</v>
      </c>
    </row>
    <row r="14" spans="1:7">
      <c r="A14" s="39">
        <v>3005945750</v>
      </c>
      <c r="B14" s="40">
        <v>46090.5219637384</v>
      </c>
      <c r="C14" s="26" t="s">
        <v>94</v>
      </c>
      <c r="D14" s="41">
        <v>46075.5324449074</v>
      </c>
      <c r="E14" s="12">
        <v>20014827</v>
      </c>
      <c r="F14" s="12" t="s">
        <v>38</v>
      </c>
      <c r="G14" s="42">
        <v>16.5</v>
      </c>
    </row>
    <row r="15" spans="1:7">
      <c r="A15" s="39">
        <v>3005945751</v>
      </c>
      <c r="B15" s="40">
        <v>46090.5220585648</v>
      </c>
      <c r="C15" s="26" t="s">
        <v>94</v>
      </c>
      <c r="D15" s="41">
        <v>46075.5324466435</v>
      </c>
      <c r="E15" s="12">
        <v>20014827</v>
      </c>
      <c r="F15" s="12" t="s">
        <v>38</v>
      </c>
      <c r="G15" s="42">
        <v>16.5</v>
      </c>
    </row>
    <row r="16" customFormat="1" ht="11.6" customHeight="1" spans="1:7">
      <c r="A16" s="39">
        <v>3005950354</v>
      </c>
      <c r="B16" s="40">
        <v>46090.5222267361</v>
      </c>
      <c r="C16" s="26" t="s">
        <v>94</v>
      </c>
      <c r="D16" s="41">
        <v>46078.4965736458</v>
      </c>
      <c r="E16" s="12">
        <v>20014827</v>
      </c>
      <c r="F16" s="12" t="s">
        <v>38</v>
      </c>
      <c r="G16" s="42">
        <v>16.5</v>
      </c>
    </row>
    <row r="17" spans="1:7">
      <c r="A17" s="39">
        <v>3005950355</v>
      </c>
      <c r="B17" s="40">
        <v>46090.5223017361</v>
      </c>
      <c r="C17" s="26" t="s">
        <v>94</v>
      </c>
      <c r="D17" s="41">
        <v>46078.4965757755</v>
      </c>
      <c r="E17" s="12">
        <v>20014827</v>
      </c>
      <c r="F17" s="12" t="s">
        <v>38</v>
      </c>
      <c r="G17" s="42">
        <v>16.5</v>
      </c>
    </row>
    <row r="18" spans="1:7">
      <c r="A18" s="39">
        <v>3005950356</v>
      </c>
      <c r="B18" s="40">
        <v>46090.5271001157</v>
      </c>
      <c r="C18" s="26" t="s">
        <v>94</v>
      </c>
      <c r="D18" s="41">
        <v>46078.4965778935</v>
      </c>
      <c r="E18" s="12">
        <v>20318229</v>
      </c>
      <c r="F18" s="12" t="s">
        <v>37</v>
      </c>
      <c r="G18" s="42">
        <v>16.5</v>
      </c>
    </row>
    <row r="19" spans="1:7">
      <c r="A19" s="39">
        <v>3005951656</v>
      </c>
      <c r="B19" s="40">
        <v>46090.5535794792</v>
      </c>
      <c r="C19" s="26" t="s">
        <v>94</v>
      </c>
      <c r="D19" s="41">
        <v>46078.6816616898</v>
      </c>
      <c r="E19" s="12">
        <v>20318332</v>
      </c>
      <c r="F19" s="12" t="s">
        <v>23</v>
      </c>
      <c r="G19" s="42">
        <v>22</v>
      </c>
    </row>
    <row r="20" spans="1:7">
      <c r="A20" s="39">
        <v>3005954266</v>
      </c>
      <c r="B20" s="40">
        <v>46090.5536657407</v>
      </c>
      <c r="C20" s="26" t="s">
        <v>94</v>
      </c>
      <c r="D20" s="41">
        <v>46079.4732093403</v>
      </c>
      <c r="E20" s="12">
        <v>20318332</v>
      </c>
      <c r="F20" s="12" t="s">
        <v>23</v>
      </c>
      <c r="G20" s="42">
        <v>22</v>
      </c>
    </row>
    <row r="21" spans="1:7">
      <c r="A21" s="39">
        <v>3005954267</v>
      </c>
      <c r="B21" s="40">
        <v>46090.5223652431</v>
      </c>
      <c r="C21" s="26" t="s">
        <v>94</v>
      </c>
      <c r="D21" s="41">
        <v>46079.473211956</v>
      </c>
      <c r="E21" s="12">
        <v>20014827</v>
      </c>
      <c r="F21" s="12" t="s">
        <v>38</v>
      </c>
      <c r="G21" s="42">
        <v>16.5</v>
      </c>
    </row>
    <row r="22" spans="1:7">
      <c r="A22" s="39">
        <v>3005955571</v>
      </c>
      <c r="B22" s="40">
        <v>46090.5224694097</v>
      </c>
      <c r="C22" s="26" t="s">
        <v>94</v>
      </c>
      <c r="D22" s="41">
        <v>46079.6928531597</v>
      </c>
      <c r="E22" s="12">
        <v>20014827</v>
      </c>
      <c r="F22" s="12" t="s">
        <v>38</v>
      </c>
      <c r="G22" s="42">
        <v>16.5</v>
      </c>
    </row>
    <row r="23" spans="1:7">
      <c r="A23" s="39">
        <v>3005957760</v>
      </c>
      <c r="B23" s="40">
        <v>46090.5225794329</v>
      </c>
      <c r="C23" s="26" t="s">
        <v>94</v>
      </c>
      <c r="D23" s="41">
        <v>46080.5001793634</v>
      </c>
      <c r="E23" s="12">
        <v>20014827</v>
      </c>
      <c r="F23" s="12" t="s">
        <v>38</v>
      </c>
      <c r="G23" s="42">
        <v>16.5</v>
      </c>
    </row>
    <row r="24" spans="1:7">
      <c r="A24" s="39">
        <v>3005957761</v>
      </c>
      <c r="B24" s="40">
        <v>46090.5229145023</v>
      </c>
      <c r="C24" s="26" t="s">
        <v>94</v>
      </c>
      <c r="D24" s="41">
        <v>46080.5001812153</v>
      </c>
      <c r="E24" s="12">
        <v>20014827</v>
      </c>
      <c r="F24" s="12" t="s">
        <v>38</v>
      </c>
      <c r="G24" s="42">
        <v>16.5</v>
      </c>
    </row>
    <row r="25" spans="1:7">
      <c r="A25" s="39">
        <v>3005957762</v>
      </c>
      <c r="B25" s="40">
        <v>46090.5289190972</v>
      </c>
      <c r="C25" s="26" t="s">
        <v>94</v>
      </c>
      <c r="D25" s="41">
        <v>46080.5001829861</v>
      </c>
      <c r="E25" s="12">
        <v>20318229</v>
      </c>
      <c r="F25" s="12" t="s">
        <v>37</v>
      </c>
      <c r="G25" s="42">
        <v>16.5</v>
      </c>
    </row>
    <row r="26" spans="1:7">
      <c r="A26" s="39">
        <v>3005957763</v>
      </c>
      <c r="B26" s="40">
        <v>46090.5537575579</v>
      </c>
      <c r="C26" s="26" t="s">
        <v>94</v>
      </c>
      <c r="D26" s="41">
        <v>46080.5001753472</v>
      </c>
      <c r="E26" s="12">
        <v>20318332</v>
      </c>
      <c r="F26" s="12" t="s">
        <v>23</v>
      </c>
      <c r="G26" s="42">
        <v>22</v>
      </c>
    </row>
    <row r="27" spans="1:7">
      <c r="A27" s="39">
        <v>3005959293</v>
      </c>
      <c r="B27" s="40">
        <v>46090.5291212153</v>
      </c>
      <c r="C27" s="26" t="s">
        <v>94</v>
      </c>
      <c r="D27" s="41">
        <v>46080.6847599537</v>
      </c>
      <c r="E27" s="12">
        <v>20318229</v>
      </c>
      <c r="F27" s="12" t="s">
        <v>37</v>
      </c>
      <c r="G27" s="42">
        <v>16.5</v>
      </c>
    </row>
    <row r="28" spans="1:7">
      <c r="A28" s="39">
        <v>3005959294</v>
      </c>
      <c r="B28" s="40">
        <v>46090.5538397801</v>
      </c>
      <c r="C28" s="26" t="s">
        <v>94</v>
      </c>
      <c r="D28" s="41">
        <v>46080.6847616088</v>
      </c>
      <c r="E28" s="12">
        <v>20318332</v>
      </c>
      <c r="F28" s="12" t="s">
        <v>23</v>
      </c>
      <c r="G28" s="42">
        <v>22</v>
      </c>
    </row>
    <row r="29" spans="1:7">
      <c r="A29" s="39">
        <v>3005960053</v>
      </c>
      <c r="B29" s="40">
        <v>46090.5539257755</v>
      </c>
      <c r="C29" s="26" t="s">
        <v>94</v>
      </c>
      <c r="D29" s="41">
        <v>46080.7454229977</v>
      </c>
      <c r="E29" s="12">
        <v>20318332</v>
      </c>
      <c r="F29" s="12" t="s">
        <v>23</v>
      </c>
      <c r="G29" s="42">
        <v>22</v>
      </c>
    </row>
    <row r="30" spans="1:7">
      <c r="A30" s="39">
        <v>3005961454</v>
      </c>
      <c r="B30" s="40">
        <v>46090.5290363773</v>
      </c>
      <c r="C30" s="26" t="s">
        <v>94</v>
      </c>
      <c r="D30" s="41">
        <v>46081.4786634259</v>
      </c>
      <c r="E30" s="12">
        <v>20318229</v>
      </c>
      <c r="F30" s="12" t="s">
        <v>37</v>
      </c>
      <c r="G30" s="42">
        <v>16.5</v>
      </c>
    </row>
    <row r="31" spans="1:7">
      <c r="A31" s="39">
        <v>3005961455</v>
      </c>
      <c r="B31" s="40">
        <v>46090.5540078357</v>
      </c>
      <c r="C31" s="26" t="s">
        <v>94</v>
      </c>
      <c r="D31" s="41">
        <v>46081.4786671296</v>
      </c>
      <c r="E31" s="12">
        <v>20318332</v>
      </c>
      <c r="F31" s="12" t="s">
        <v>23</v>
      </c>
      <c r="G31" s="42">
        <v>22</v>
      </c>
    </row>
    <row r="32" spans="1:7">
      <c r="A32" s="39">
        <v>3005961456</v>
      </c>
      <c r="B32" s="40">
        <v>46090.5229857292</v>
      </c>
      <c r="C32" s="26" t="s">
        <v>94</v>
      </c>
      <c r="D32" s="41">
        <v>46081.4786710301</v>
      </c>
      <c r="E32" s="12">
        <v>20014827</v>
      </c>
      <c r="F32" s="12" t="s">
        <v>38</v>
      </c>
      <c r="G32" s="42">
        <v>16.5</v>
      </c>
    </row>
    <row r="33" spans="1:7">
      <c r="A33" s="39">
        <v>3005962452</v>
      </c>
      <c r="B33" s="40">
        <v>46090.523056169</v>
      </c>
      <c r="C33" s="26" t="s">
        <v>94</v>
      </c>
      <c r="D33" s="41">
        <v>46081.7146783912</v>
      </c>
      <c r="E33" s="12">
        <v>20014827</v>
      </c>
      <c r="F33" s="12" t="s">
        <v>38</v>
      </c>
      <c r="G33" s="42">
        <v>16.5</v>
      </c>
    </row>
    <row r="34" spans="1:7">
      <c r="A34" s="39">
        <v>3005962453</v>
      </c>
      <c r="B34" s="40">
        <v>46090.5540926273</v>
      </c>
      <c r="C34" s="26" t="s">
        <v>94</v>
      </c>
      <c r="D34" s="41">
        <v>46081.7146797454</v>
      </c>
      <c r="E34" s="12">
        <v>20318332</v>
      </c>
      <c r="F34" s="12" t="s">
        <v>23</v>
      </c>
      <c r="G34" s="42">
        <v>22</v>
      </c>
    </row>
    <row r="35" spans="1:7">
      <c r="A35" s="39">
        <v>3005963949</v>
      </c>
      <c r="B35" s="40">
        <v>46090.5231270023</v>
      </c>
      <c r="C35" s="26" t="s">
        <v>94</v>
      </c>
      <c r="D35" s="41">
        <v>46082.5780430903</v>
      </c>
      <c r="E35" s="12">
        <v>20014827</v>
      </c>
      <c r="F35" s="12" t="s">
        <v>38</v>
      </c>
      <c r="G35" s="42">
        <v>16.5</v>
      </c>
    </row>
    <row r="36" spans="1:7">
      <c r="A36" s="39">
        <v>3005964600</v>
      </c>
      <c r="B36" s="40">
        <v>46090.5292212153</v>
      </c>
      <c r="C36" s="26" t="s">
        <v>94</v>
      </c>
      <c r="D36" s="41">
        <v>46083.5197518171</v>
      </c>
      <c r="E36" s="12">
        <v>20318229</v>
      </c>
      <c r="F36" s="12" t="s">
        <v>37</v>
      </c>
      <c r="G36" s="42">
        <v>16.5</v>
      </c>
    </row>
    <row r="37" spans="1:7">
      <c r="A37" s="39">
        <v>3005968102</v>
      </c>
      <c r="B37" s="40">
        <v>46090.5292951389</v>
      </c>
      <c r="C37" s="26" t="s">
        <v>94</v>
      </c>
      <c r="D37" s="41">
        <v>46084.4974441782</v>
      </c>
      <c r="E37" s="12">
        <v>20318229</v>
      </c>
      <c r="F37" s="12" t="s">
        <v>37</v>
      </c>
      <c r="G37" s="42">
        <v>16.5</v>
      </c>
    </row>
    <row r="38" spans="1:7">
      <c r="A38" s="39">
        <v>3005968103</v>
      </c>
      <c r="B38" s="40">
        <v>46090.5294006597</v>
      </c>
      <c r="C38" s="26" t="s">
        <v>94</v>
      </c>
      <c r="D38" s="41">
        <v>46084.4974472569</v>
      </c>
      <c r="E38" s="12">
        <v>20318229</v>
      </c>
      <c r="F38" s="12" t="s">
        <v>37</v>
      </c>
      <c r="G38" s="42">
        <v>16.5</v>
      </c>
    </row>
    <row r="39" spans="1:7">
      <c r="A39" s="39">
        <v>3005968104</v>
      </c>
      <c r="B39" s="40">
        <v>46090.5541841088</v>
      </c>
      <c r="C39" s="26" t="s">
        <v>94</v>
      </c>
      <c r="D39" s="41">
        <v>46084.4974500347</v>
      </c>
      <c r="E39" s="12">
        <v>20318332</v>
      </c>
      <c r="F39" s="12" t="s">
        <v>23</v>
      </c>
      <c r="G39" s="42">
        <v>22</v>
      </c>
    </row>
    <row r="40" spans="1:7">
      <c r="A40" s="39">
        <v>3005968105</v>
      </c>
      <c r="B40" s="40">
        <v>46090.5542764236</v>
      </c>
      <c r="C40" s="26" t="s">
        <v>94</v>
      </c>
      <c r="D40" s="41">
        <v>46084.497453044</v>
      </c>
      <c r="E40" s="12">
        <v>20318332</v>
      </c>
      <c r="F40" s="12" t="s">
        <v>23</v>
      </c>
      <c r="G40" s="42">
        <v>22</v>
      </c>
    </row>
    <row r="41" spans="1:7">
      <c r="A41" s="39">
        <v>3005968106</v>
      </c>
      <c r="B41" s="40">
        <v>46090.5232363426</v>
      </c>
      <c r="C41" s="26" t="s">
        <v>94</v>
      </c>
      <c r="D41" s="41">
        <v>46084.497456169</v>
      </c>
      <c r="E41" s="12">
        <v>20014827</v>
      </c>
      <c r="F41" s="12" t="s">
        <v>38</v>
      </c>
      <c r="G41" s="42">
        <v>16.5</v>
      </c>
    </row>
    <row r="42" spans="1:7">
      <c r="A42" s="39">
        <v>3005969625</v>
      </c>
      <c r="B42" s="40">
        <v>46090.5543904745</v>
      </c>
      <c r="C42" s="26" t="s">
        <v>94</v>
      </c>
      <c r="D42" s="41">
        <v>46084.6850364236</v>
      </c>
      <c r="E42" s="12">
        <v>20318332</v>
      </c>
      <c r="F42" s="12" t="s">
        <v>23</v>
      </c>
      <c r="G42" s="42">
        <v>22</v>
      </c>
    </row>
    <row r="43" spans="1:7">
      <c r="A43" s="39">
        <v>3005969626</v>
      </c>
      <c r="B43" s="40">
        <v>46090.5234614931</v>
      </c>
      <c r="C43" s="26" t="s">
        <v>94</v>
      </c>
      <c r="D43" s="41">
        <v>46084.6850405093</v>
      </c>
      <c r="E43" s="12">
        <v>20014827</v>
      </c>
      <c r="F43" s="12" t="s">
        <v>38</v>
      </c>
      <c r="G43" s="42">
        <v>16.5</v>
      </c>
    </row>
    <row r="44" spans="1:7">
      <c r="A44" s="39">
        <v>3005970459</v>
      </c>
      <c r="B44" s="40">
        <v>46090.5295011574</v>
      </c>
      <c r="C44" s="26" t="s">
        <v>94</v>
      </c>
      <c r="D44" s="41">
        <v>46084.7519716435</v>
      </c>
      <c r="E44" s="12">
        <v>20318229</v>
      </c>
      <c r="F44" s="12" t="s">
        <v>37</v>
      </c>
      <c r="G44" s="42">
        <v>16.5</v>
      </c>
    </row>
    <row r="45" spans="1:7">
      <c r="A45" s="39">
        <v>3005974730</v>
      </c>
      <c r="B45" s="40">
        <v>46090.5544937847</v>
      </c>
      <c r="C45" s="26" t="s">
        <v>94</v>
      </c>
      <c r="D45" s="41">
        <v>46086.4679213773</v>
      </c>
      <c r="E45" s="12">
        <v>20318332</v>
      </c>
      <c r="F45" s="12" t="s">
        <v>23</v>
      </c>
      <c r="G45" s="42">
        <v>22</v>
      </c>
    </row>
    <row r="46" spans="1:7">
      <c r="A46" s="39">
        <v>3005974731</v>
      </c>
      <c r="B46" s="40">
        <v>46090.5545801736</v>
      </c>
      <c r="C46" s="26" t="s">
        <v>94</v>
      </c>
      <c r="D46" s="41">
        <v>46086.4679234144</v>
      </c>
      <c r="E46" s="12">
        <v>20318332</v>
      </c>
      <c r="F46" s="12" t="s">
        <v>23</v>
      </c>
      <c r="G46" s="42">
        <v>22</v>
      </c>
    </row>
    <row r="47" spans="1:7">
      <c r="A47" s="39">
        <v>3005974732</v>
      </c>
      <c r="B47" s="40">
        <v>46090.5307991551</v>
      </c>
      <c r="C47" s="26" t="s">
        <v>94</v>
      </c>
      <c r="D47" s="41">
        <v>46086.4679253819</v>
      </c>
      <c r="E47" s="12">
        <v>20318229</v>
      </c>
      <c r="F47" s="12" t="s">
        <v>37</v>
      </c>
      <c r="G47" s="42">
        <v>16.5</v>
      </c>
    </row>
    <row r="48" spans="1:7">
      <c r="A48" s="39">
        <v>3005974733</v>
      </c>
      <c r="B48" s="40">
        <v>46090.5308734954</v>
      </c>
      <c r="C48" s="26" t="s">
        <v>94</v>
      </c>
      <c r="D48" s="41">
        <v>46086.4679167477</v>
      </c>
      <c r="E48" s="12">
        <v>20318229</v>
      </c>
      <c r="F48" s="12" t="s">
        <v>37</v>
      </c>
      <c r="G48" s="42">
        <v>16.5</v>
      </c>
    </row>
    <row r="49" spans="1:7">
      <c r="A49" s="39">
        <v>3005974734</v>
      </c>
      <c r="B49" s="40">
        <v>46090.5235254977</v>
      </c>
      <c r="C49" s="26" t="s">
        <v>94</v>
      </c>
      <c r="D49" s="41">
        <v>46086.4679187153</v>
      </c>
      <c r="E49" s="12">
        <v>20014827</v>
      </c>
      <c r="F49" s="12" t="s">
        <v>38</v>
      </c>
      <c r="G49" s="42">
        <v>16.5</v>
      </c>
    </row>
    <row r="50" spans="1:7">
      <c r="A50" s="39">
        <v>3005976110</v>
      </c>
      <c r="B50" s="40">
        <v>46090.5236122685</v>
      </c>
      <c r="C50" s="26" t="s">
        <v>94</v>
      </c>
      <c r="D50" s="41">
        <v>46086.6860959491</v>
      </c>
      <c r="E50" s="12">
        <v>20014827</v>
      </c>
      <c r="F50" s="12" t="s">
        <v>38</v>
      </c>
      <c r="G50" s="42">
        <v>16.5</v>
      </c>
    </row>
    <row r="51" spans="1:7">
      <c r="A51" s="39">
        <v>3005976939</v>
      </c>
      <c r="B51" s="40">
        <v>46090.5546753819</v>
      </c>
      <c r="C51" s="26" t="s">
        <v>94</v>
      </c>
      <c r="D51" s="41">
        <v>46086.7330416319</v>
      </c>
      <c r="E51" s="12">
        <v>20318332</v>
      </c>
      <c r="F51" s="12" t="s">
        <v>23</v>
      </c>
      <c r="G51" s="42">
        <v>22</v>
      </c>
    </row>
    <row r="52" spans="1:7">
      <c r="A52" s="39">
        <v>3005978559</v>
      </c>
      <c r="B52" s="40">
        <v>46090.5309424768</v>
      </c>
      <c r="C52" s="26" t="s">
        <v>94</v>
      </c>
      <c r="D52" s="41">
        <v>46087.4371560532</v>
      </c>
      <c r="E52" s="12">
        <v>20318229</v>
      </c>
      <c r="F52" s="12" t="s">
        <v>37</v>
      </c>
      <c r="G52" s="42">
        <v>16.5</v>
      </c>
    </row>
    <row r="53" spans="1:7">
      <c r="A53" s="39">
        <v>3005978560</v>
      </c>
      <c r="B53" s="40">
        <v>46090.5310107292</v>
      </c>
      <c r="C53" s="26" t="s">
        <v>94</v>
      </c>
      <c r="D53" s="41">
        <v>46087.4371595255</v>
      </c>
      <c r="E53" s="12">
        <v>20318229</v>
      </c>
      <c r="F53" s="12" t="s">
        <v>37</v>
      </c>
      <c r="G53" s="42">
        <v>16.5</v>
      </c>
    </row>
  </sheetData>
  <mergeCells count="5">
    <mergeCell ref="A1:G1"/>
    <mergeCell ref="A7:E7"/>
    <mergeCell ref="A9:E9"/>
    <mergeCell ref="A10:E10"/>
    <mergeCell ref="A3:C4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G40"/>
  <sheetViews>
    <sheetView view="pageBreakPreview" zoomScaleNormal="100" workbookViewId="0">
      <selection activeCell="G7" sqref="G7"/>
    </sheetView>
  </sheetViews>
  <sheetFormatPr defaultColWidth="9" defaultRowHeight="13.5" outlineLevelCol="6"/>
  <cols>
    <col min="1" max="1" width="13.7083333333333" customWidth="1"/>
    <col min="2" max="2" width="17.025" customWidth="1"/>
    <col min="3" max="3" width="6.875" customWidth="1"/>
    <col min="4" max="4" width="18.5" customWidth="1"/>
    <col min="5" max="5" width="10.625" customWidth="1"/>
    <col min="6" max="6" width="21.625" customWidth="1"/>
    <col min="7" max="7" width="12.625" customWidth="1"/>
  </cols>
  <sheetData>
    <row r="1" customFormat="1" ht="25.5" customHeight="1" spans="1:7">
      <c r="A1" s="27" t="s">
        <v>95</v>
      </c>
    </row>
    <row r="2" customFormat="1" ht="2" customHeight="1"/>
    <row r="3" customFormat="1" ht="12.75" customHeight="1" spans="1:7">
      <c r="A3" s="2" t="s">
        <v>86</v>
      </c>
    </row>
    <row r="4" customFormat="1"/>
    <row r="5" customFormat="1" ht="2.05" customHeight="1"/>
    <row r="6" ht="1.95" customHeight="1" spans="1:7">
      <c r="A6" s="4" t="s">
        <v>2</v>
      </c>
      <c r="B6" s="4" t="s">
        <v>2</v>
      </c>
      <c r="C6" s="4" t="s">
        <v>2</v>
      </c>
      <c r="D6" s="4" t="s">
        <v>2</v>
      </c>
      <c r="E6" s="4" t="s">
        <v>2</v>
      </c>
      <c r="F6" s="4" t="s">
        <v>2</v>
      </c>
      <c r="G6" s="4" t="s">
        <v>2</v>
      </c>
    </row>
    <row r="7" ht="15.75" spans="1:7">
      <c r="A7" s="29" t="s">
        <v>3</v>
      </c>
      <c r="B7" s="30" t="s">
        <v>2</v>
      </c>
      <c r="C7" s="30" t="s">
        <v>2</v>
      </c>
      <c r="D7" s="30" t="s">
        <v>2</v>
      </c>
      <c r="E7" s="30" t="s">
        <v>2</v>
      </c>
      <c r="F7" s="31" t="s">
        <v>2</v>
      </c>
      <c r="G7" s="32">
        <f>G9</f>
        <v>572</v>
      </c>
    </row>
    <row r="8" spans="1:7">
      <c r="A8" s="33" t="s">
        <v>87</v>
      </c>
      <c r="B8" s="33" t="s">
        <v>88</v>
      </c>
      <c r="C8" s="33" t="s">
        <v>89</v>
      </c>
      <c r="D8" s="33" t="s">
        <v>90</v>
      </c>
      <c r="E8" s="33" t="s">
        <v>7</v>
      </c>
      <c r="F8" s="33" t="s">
        <v>91</v>
      </c>
      <c r="G8" s="33" t="s">
        <v>92</v>
      </c>
    </row>
    <row r="9" spans="1:7">
      <c r="A9" s="34" t="s">
        <v>97</v>
      </c>
      <c r="B9" s="30"/>
      <c r="C9" s="30"/>
      <c r="D9" s="30"/>
      <c r="E9" s="30"/>
      <c r="F9" s="33" t="s">
        <v>2</v>
      </c>
      <c r="G9" s="35">
        <f>G10</f>
        <v>572</v>
      </c>
    </row>
    <row r="10" spans="1:7">
      <c r="A10" s="36" t="s">
        <v>93</v>
      </c>
      <c r="B10" s="30" t="s">
        <v>2</v>
      </c>
      <c r="C10" s="30" t="s">
        <v>2</v>
      </c>
      <c r="D10" s="30" t="s">
        <v>2</v>
      </c>
      <c r="E10" s="30" t="s">
        <v>2</v>
      </c>
      <c r="F10" s="37" t="s">
        <v>2</v>
      </c>
      <c r="G10" s="38">
        <f>SUM(G11:G40)</f>
        <v>572</v>
      </c>
    </row>
    <row r="11" spans="1:7">
      <c r="A11" s="39">
        <v>3005935295</v>
      </c>
      <c r="B11" s="40">
        <v>46090.5330904282</v>
      </c>
      <c r="C11" s="26" t="s">
        <v>94</v>
      </c>
      <c r="D11" s="41">
        <v>46065.5302352662</v>
      </c>
      <c r="E11" s="12">
        <v>20318332</v>
      </c>
      <c r="F11" s="12" t="s">
        <v>23</v>
      </c>
      <c r="G11" s="42">
        <v>22</v>
      </c>
    </row>
    <row r="12" spans="1:7">
      <c r="A12" s="39">
        <v>3005935296</v>
      </c>
      <c r="B12" s="40">
        <v>46090.5215469097</v>
      </c>
      <c r="C12" s="26" t="s">
        <v>94</v>
      </c>
      <c r="D12" s="41">
        <v>46065.5302371528</v>
      </c>
      <c r="E12" s="12">
        <v>20014827</v>
      </c>
      <c r="F12" s="12" t="s">
        <v>38</v>
      </c>
      <c r="G12" s="42">
        <v>16.5</v>
      </c>
    </row>
    <row r="13" spans="1:7">
      <c r="A13" s="39">
        <v>3005936544</v>
      </c>
      <c r="B13" s="40">
        <v>46090.5332839931</v>
      </c>
      <c r="C13" s="26" t="s">
        <v>94</v>
      </c>
      <c r="D13" s="41">
        <v>46065.6764834491</v>
      </c>
      <c r="E13" s="12">
        <v>20318332</v>
      </c>
      <c r="F13" s="12" t="s">
        <v>23</v>
      </c>
      <c r="G13" s="42">
        <v>22</v>
      </c>
    </row>
    <row r="14" spans="1:7">
      <c r="A14" s="39">
        <v>3005938182</v>
      </c>
      <c r="B14" s="40">
        <v>46090.5338149306</v>
      </c>
      <c r="C14" s="26" t="s">
        <v>94</v>
      </c>
      <c r="D14" s="41">
        <v>46066.4875582523</v>
      </c>
      <c r="E14" s="12">
        <v>20318332</v>
      </c>
      <c r="F14" s="12" t="s">
        <v>23</v>
      </c>
      <c r="G14" s="42">
        <v>22</v>
      </c>
    </row>
    <row r="15" spans="1:7">
      <c r="A15" s="39">
        <v>3005938183</v>
      </c>
      <c r="B15" s="40">
        <v>46090.5340236458</v>
      </c>
      <c r="C15" s="26" t="s">
        <v>94</v>
      </c>
      <c r="D15" s="41">
        <v>46066.4875607292</v>
      </c>
      <c r="E15" s="12">
        <v>20318332</v>
      </c>
      <c r="F15" s="12" t="s">
        <v>23</v>
      </c>
      <c r="G15" s="42">
        <v>22</v>
      </c>
    </row>
    <row r="16" customFormat="1" ht="11.6" customHeight="1" spans="1:7">
      <c r="A16" s="39">
        <v>3005938184</v>
      </c>
      <c r="B16" s="40">
        <v>46090.5216684028</v>
      </c>
      <c r="C16" s="26" t="s">
        <v>94</v>
      </c>
      <c r="D16" s="41">
        <v>46066.4875511574</v>
      </c>
      <c r="E16" s="12">
        <v>20014827</v>
      </c>
      <c r="F16" s="12" t="s">
        <v>38</v>
      </c>
      <c r="G16" s="42">
        <v>16.5</v>
      </c>
    </row>
    <row r="17" spans="1:7">
      <c r="A17" s="39">
        <v>3005939597</v>
      </c>
      <c r="B17" s="40">
        <v>46090.5246462153</v>
      </c>
      <c r="C17" s="26" t="s">
        <v>94</v>
      </c>
      <c r="D17" s="41">
        <v>46067.4147425579</v>
      </c>
      <c r="E17" s="12">
        <v>20318229</v>
      </c>
      <c r="F17" s="12" t="s">
        <v>37</v>
      </c>
      <c r="G17" s="42">
        <v>16.5</v>
      </c>
    </row>
    <row r="18" spans="1:7">
      <c r="A18" s="39">
        <v>3005940943</v>
      </c>
      <c r="B18" s="40">
        <v>46090.5341157755</v>
      </c>
      <c r="C18" s="26" t="s">
        <v>94</v>
      </c>
      <c r="D18" s="41">
        <v>46067.4651935995</v>
      </c>
      <c r="E18" s="12">
        <v>20318332</v>
      </c>
      <c r="F18" s="12" t="s">
        <v>23</v>
      </c>
      <c r="G18" s="42">
        <v>22</v>
      </c>
    </row>
    <row r="19" spans="1:7">
      <c r="A19" s="39">
        <v>3005940944</v>
      </c>
      <c r="B19" s="40">
        <v>46090.5247728819</v>
      </c>
      <c r="C19" s="26" t="s">
        <v>94</v>
      </c>
      <c r="D19" s="41">
        <v>46067.4651952894</v>
      </c>
      <c r="E19" s="12">
        <v>20318229</v>
      </c>
      <c r="F19" s="12" t="s">
        <v>37</v>
      </c>
      <c r="G19" s="42">
        <v>16.5</v>
      </c>
    </row>
    <row r="20" spans="1:7">
      <c r="A20" s="39">
        <v>3005941727</v>
      </c>
      <c r="B20" s="40">
        <v>46090.5516914699</v>
      </c>
      <c r="C20" s="26" t="s">
        <v>94</v>
      </c>
      <c r="D20" s="41">
        <v>46067.6618590625</v>
      </c>
      <c r="E20" s="12">
        <v>20318332</v>
      </c>
      <c r="F20" s="12" t="s">
        <v>23</v>
      </c>
      <c r="G20" s="42">
        <v>22</v>
      </c>
    </row>
    <row r="21" spans="1:7">
      <c r="A21" s="39">
        <v>3005941728</v>
      </c>
      <c r="B21" s="40">
        <v>46090.5217329514</v>
      </c>
      <c r="C21" s="26" t="s">
        <v>94</v>
      </c>
      <c r="D21" s="41">
        <v>46067.6618610764</v>
      </c>
      <c r="E21" s="12">
        <v>20014827</v>
      </c>
      <c r="F21" s="12" t="s">
        <v>38</v>
      </c>
      <c r="G21" s="42">
        <v>16.5</v>
      </c>
    </row>
    <row r="22" spans="1:7">
      <c r="A22" s="39">
        <v>3005942830</v>
      </c>
      <c r="B22" s="40">
        <v>46090.5248568287</v>
      </c>
      <c r="C22" s="26" t="s">
        <v>94</v>
      </c>
      <c r="D22" s="41">
        <v>46069.5429594907</v>
      </c>
      <c r="E22" s="12">
        <v>20318229</v>
      </c>
      <c r="F22" s="12" t="s">
        <v>37</v>
      </c>
      <c r="G22" s="42">
        <v>16.5</v>
      </c>
    </row>
    <row r="23" spans="1:7">
      <c r="A23" s="39">
        <v>3005942831</v>
      </c>
      <c r="B23" s="40">
        <v>46090.5517660069</v>
      </c>
      <c r="C23" s="26" t="s">
        <v>94</v>
      </c>
      <c r="D23" s="41">
        <v>46069.5429609954</v>
      </c>
      <c r="E23" s="12">
        <v>20318332</v>
      </c>
      <c r="F23" s="12" t="s">
        <v>23</v>
      </c>
      <c r="G23" s="42">
        <v>22</v>
      </c>
    </row>
    <row r="24" spans="1:7">
      <c r="A24" s="39">
        <v>3005942832</v>
      </c>
      <c r="B24" s="40">
        <v>46090.5218120023</v>
      </c>
      <c r="C24" s="26" t="s">
        <v>94</v>
      </c>
      <c r="D24" s="41">
        <v>46069.542962581</v>
      </c>
      <c r="E24" s="12">
        <v>20014827</v>
      </c>
      <c r="F24" s="12" t="s">
        <v>38</v>
      </c>
      <c r="G24" s="42">
        <v>16.5</v>
      </c>
    </row>
    <row r="25" spans="1:7">
      <c r="A25" s="39">
        <v>3005943005</v>
      </c>
      <c r="B25" s="40">
        <v>46090.5249374653</v>
      </c>
      <c r="C25" s="26" t="s">
        <v>94</v>
      </c>
      <c r="D25" s="41">
        <v>46070.5865309375</v>
      </c>
      <c r="E25" s="12">
        <v>20318229</v>
      </c>
      <c r="F25" s="12" t="s">
        <v>37</v>
      </c>
      <c r="G25" s="42">
        <v>16.5</v>
      </c>
    </row>
    <row r="26" spans="1:7">
      <c r="A26" s="39">
        <v>3005943006</v>
      </c>
      <c r="B26" s="40">
        <v>46090.5250723032</v>
      </c>
      <c r="C26" s="26" t="s">
        <v>94</v>
      </c>
      <c r="D26" s="41">
        <v>46070.5865326389</v>
      </c>
      <c r="E26" s="12">
        <v>20318229</v>
      </c>
      <c r="F26" s="12" t="s">
        <v>37</v>
      </c>
      <c r="G26" s="42">
        <v>16.5</v>
      </c>
    </row>
    <row r="27" spans="1:7">
      <c r="A27" s="39">
        <v>3005943007</v>
      </c>
      <c r="B27" s="40">
        <v>46090.5518535069</v>
      </c>
      <c r="C27" s="26" t="s">
        <v>94</v>
      </c>
      <c r="D27" s="41">
        <v>46070.586534294</v>
      </c>
      <c r="E27" s="12">
        <v>20318332</v>
      </c>
      <c r="F27" s="12" t="s">
        <v>23</v>
      </c>
      <c r="G27" s="42">
        <v>22</v>
      </c>
    </row>
    <row r="28" spans="1:7">
      <c r="A28" s="39">
        <v>3005943008</v>
      </c>
      <c r="B28" s="40">
        <v>46090.5519386921</v>
      </c>
      <c r="C28" s="26" t="s">
        <v>94</v>
      </c>
      <c r="D28" s="41">
        <v>46070.5865279745</v>
      </c>
      <c r="E28" s="12">
        <v>20318332</v>
      </c>
      <c r="F28" s="12" t="s">
        <v>23</v>
      </c>
      <c r="G28" s="42">
        <v>22</v>
      </c>
    </row>
    <row r="29" spans="1:7">
      <c r="A29" s="39">
        <v>3005943367</v>
      </c>
      <c r="B29" s="40">
        <v>46090.5520213773</v>
      </c>
      <c r="C29" s="26" t="s">
        <v>94</v>
      </c>
      <c r="D29" s="41">
        <v>46071.4781007755</v>
      </c>
      <c r="E29" s="12">
        <v>20318332</v>
      </c>
      <c r="F29" s="12" t="s">
        <v>23</v>
      </c>
      <c r="G29" s="42">
        <v>22</v>
      </c>
    </row>
    <row r="30" spans="1:7">
      <c r="A30" s="39">
        <v>3005943949</v>
      </c>
      <c r="B30" s="40">
        <v>46090.5251706366</v>
      </c>
      <c r="C30" s="26" t="s">
        <v>94</v>
      </c>
      <c r="D30" s="41">
        <v>46072.5740775116</v>
      </c>
      <c r="E30" s="12">
        <v>20318229</v>
      </c>
      <c r="F30" s="12" t="s">
        <v>37</v>
      </c>
      <c r="G30" s="42">
        <v>16.5</v>
      </c>
    </row>
    <row r="31" spans="1:7">
      <c r="A31" s="39">
        <v>3005944548</v>
      </c>
      <c r="B31" s="40">
        <v>46090.5268925116</v>
      </c>
      <c r="C31" s="26" t="s">
        <v>94</v>
      </c>
      <c r="D31" s="41">
        <v>46073.584372338</v>
      </c>
      <c r="E31" s="12">
        <v>20318229</v>
      </c>
      <c r="F31" s="12" t="s">
        <v>37</v>
      </c>
      <c r="G31" s="42">
        <v>16.5</v>
      </c>
    </row>
    <row r="32" spans="1:7">
      <c r="A32" s="39">
        <v>3005944549</v>
      </c>
      <c r="B32" s="40">
        <v>46090.5521085995</v>
      </c>
      <c r="C32" s="26" t="s">
        <v>94</v>
      </c>
      <c r="D32" s="41">
        <v>46073.5843740741</v>
      </c>
      <c r="E32" s="12">
        <v>20318332</v>
      </c>
      <c r="F32" s="12" t="s">
        <v>23</v>
      </c>
      <c r="G32" s="42">
        <v>22</v>
      </c>
    </row>
    <row r="33" spans="1:7">
      <c r="A33" s="39">
        <v>3005944550</v>
      </c>
      <c r="B33" s="40">
        <v>46090.5522488773</v>
      </c>
      <c r="C33" s="26" t="s">
        <v>94</v>
      </c>
      <c r="D33" s="41">
        <v>46073.5843756134</v>
      </c>
      <c r="E33" s="12">
        <v>20318332</v>
      </c>
      <c r="F33" s="12" t="s">
        <v>23</v>
      </c>
      <c r="G33" s="42">
        <v>22</v>
      </c>
    </row>
    <row r="34" spans="1:7">
      <c r="A34" s="39">
        <v>3005945279</v>
      </c>
      <c r="B34" s="40">
        <v>46090.521900463</v>
      </c>
      <c r="C34" s="26" t="s">
        <v>94</v>
      </c>
      <c r="D34" s="41">
        <v>46074.6367857639</v>
      </c>
      <c r="E34" s="12">
        <v>20014827</v>
      </c>
      <c r="F34" s="12" t="s">
        <v>38</v>
      </c>
      <c r="G34" s="42">
        <v>16.5</v>
      </c>
    </row>
    <row r="35" spans="1:7">
      <c r="A35" s="39">
        <v>3005980288</v>
      </c>
      <c r="B35" s="40">
        <v>46090.5547691782</v>
      </c>
      <c r="C35" s="26" t="s">
        <v>94</v>
      </c>
      <c r="D35" s="41">
        <v>46087.7101541319</v>
      </c>
      <c r="E35" s="12">
        <v>20318332</v>
      </c>
      <c r="F35" s="12" t="s">
        <v>23</v>
      </c>
      <c r="G35" s="42">
        <v>22</v>
      </c>
    </row>
    <row r="36" spans="1:7">
      <c r="A36" s="39">
        <v>3005980289</v>
      </c>
      <c r="B36" s="40">
        <v>46090.5236877315</v>
      </c>
      <c r="C36" s="26" t="s">
        <v>94</v>
      </c>
      <c r="D36" s="41">
        <v>46087.7101555903</v>
      </c>
      <c r="E36" s="12">
        <v>20014827</v>
      </c>
      <c r="F36" s="12" t="s">
        <v>38</v>
      </c>
      <c r="G36" s="42">
        <v>16.5</v>
      </c>
    </row>
    <row r="37" spans="1:7">
      <c r="A37" s="39">
        <v>3005980840</v>
      </c>
      <c r="B37" s="40">
        <v>46090.5548603009</v>
      </c>
      <c r="C37" s="26" t="s">
        <v>94</v>
      </c>
      <c r="D37" s="41">
        <v>46087.7454851505</v>
      </c>
      <c r="E37" s="12">
        <v>20318332</v>
      </c>
      <c r="F37" s="12" t="s">
        <v>23</v>
      </c>
      <c r="G37" s="42">
        <v>22</v>
      </c>
    </row>
    <row r="38" spans="1:7">
      <c r="A38" s="39">
        <v>3005982759</v>
      </c>
      <c r="B38" s="40">
        <v>46090.531081331</v>
      </c>
      <c r="C38" s="26" t="s">
        <v>94</v>
      </c>
      <c r="D38" s="41">
        <v>46088.5876151968</v>
      </c>
      <c r="E38" s="12">
        <v>20318229</v>
      </c>
      <c r="F38" s="12" t="s">
        <v>37</v>
      </c>
      <c r="G38" s="42">
        <v>16.5</v>
      </c>
    </row>
    <row r="39" spans="1:7">
      <c r="A39" s="39">
        <v>3005982760</v>
      </c>
      <c r="B39" s="40">
        <v>46090.5311423958</v>
      </c>
      <c r="C39" s="26" t="s">
        <v>94</v>
      </c>
      <c r="D39" s="41">
        <v>46088.5876166319</v>
      </c>
      <c r="E39" s="12">
        <v>20318229</v>
      </c>
      <c r="F39" s="12" t="s">
        <v>37</v>
      </c>
      <c r="G39" s="42">
        <v>16.5</v>
      </c>
    </row>
    <row r="40" spans="1:7">
      <c r="A40" s="39">
        <v>3005982761</v>
      </c>
      <c r="B40" s="40">
        <v>46090.5237592245</v>
      </c>
      <c r="C40" s="26" t="s">
        <v>94</v>
      </c>
      <c r="D40" s="41">
        <v>46088.587618287</v>
      </c>
      <c r="E40" s="12">
        <v>20014827</v>
      </c>
      <c r="F40" s="12" t="s">
        <v>38</v>
      </c>
      <c r="G40" s="42">
        <v>16.5</v>
      </c>
    </row>
  </sheetData>
  <mergeCells count="5">
    <mergeCell ref="A1:G1"/>
    <mergeCell ref="A7:E7"/>
    <mergeCell ref="A9:E9"/>
    <mergeCell ref="A10:E10"/>
    <mergeCell ref="A3:C4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G11"/>
  <sheetViews>
    <sheetView view="pageBreakPreview" zoomScaleNormal="100" topLeftCell="B1" workbookViewId="0">
      <selection activeCell="G7" sqref="G7"/>
    </sheetView>
  </sheetViews>
  <sheetFormatPr defaultColWidth="9" defaultRowHeight="13.5" outlineLevelCol="6"/>
  <cols>
    <col min="1" max="1" width="13.7083333333333" customWidth="1"/>
    <col min="2" max="2" width="17.025" customWidth="1"/>
    <col min="3" max="3" width="6.875" customWidth="1"/>
    <col min="4" max="4" width="18.5" customWidth="1"/>
    <col min="5" max="5" width="10.625" customWidth="1"/>
    <col min="6" max="6" width="21.625" customWidth="1"/>
    <col min="7" max="7" width="12.625" customWidth="1"/>
  </cols>
  <sheetData>
    <row r="1" customFormat="1" ht="25.5" customHeight="1" spans="1:7">
      <c r="A1" s="27" t="s">
        <v>95</v>
      </c>
    </row>
    <row r="2" customFormat="1" ht="2" customHeight="1"/>
    <row r="3" customFormat="1" ht="12.75" customHeight="1" spans="1:7">
      <c r="A3" s="2" t="s">
        <v>86</v>
      </c>
    </row>
    <row r="4" customFormat="1"/>
    <row r="5" customFormat="1" ht="2.05" customHeight="1"/>
    <row r="6" ht="1.95" customHeight="1" spans="1:7">
      <c r="A6" s="4" t="s">
        <v>2</v>
      </c>
      <c r="B6" s="4" t="s">
        <v>2</v>
      </c>
      <c r="C6" s="4" t="s">
        <v>2</v>
      </c>
      <c r="D6" s="4" t="s">
        <v>2</v>
      </c>
      <c r="E6" s="4" t="s">
        <v>2</v>
      </c>
      <c r="F6" s="4" t="s">
        <v>2</v>
      </c>
      <c r="G6" s="4" t="s">
        <v>2</v>
      </c>
    </row>
    <row r="7" ht="15.75" spans="1:7">
      <c r="A7" s="29" t="s">
        <v>3</v>
      </c>
      <c r="B7" s="30" t="s">
        <v>2</v>
      </c>
      <c r="C7" s="30" t="s">
        <v>2</v>
      </c>
      <c r="D7" s="30" t="s">
        <v>2</v>
      </c>
      <c r="E7" s="30" t="s">
        <v>2</v>
      </c>
      <c r="F7" s="31" t="s">
        <v>2</v>
      </c>
      <c r="G7" s="32">
        <f>G9</f>
        <v>22</v>
      </c>
    </row>
    <row r="8" spans="1:7">
      <c r="A8" s="33" t="s">
        <v>87</v>
      </c>
      <c r="B8" s="33" t="s">
        <v>88</v>
      </c>
      <c r="C8" s="33" t="s">
        <v>89</v>
      </c>
      <c r="D8" s="33" t="s">
        <v>90</v>
      </c>
      <c r="E8" s="33" t="s">
        <v>7</v>
      </c>
      <c r="F8" s="33" t="s">
        <v>91</v>
      </c>
      <c r="G8" s="33" t="s">
        <v>92</v>
      </c>
    </row>
    <row r="9" spans="1:7">
      <c r="A9" s="34" t="s">
        <v>98</v>
      </c>
      <c r="B9" s="30"/>
      <c r="C9" s="30"/>
      <c r="D9" s="30"/>
      <c r="E9" s="30"/>
      <c r="F9" s="33" t="s">
        <v>2</v>
      </c>
      <c r="G9" s="35">
        <f>G10</f>
        <v>22</v>
      </c>
    </row>
    <row r="10" spans="1:7">
      <c r="A10" s="36" t="s">
        <v>93</v>
      </c>
      <c r="B10" s="30" t="s">
        <v>2</v>
      </c>
      <c r="C10" s="30" t="s">
        <v>2</v>
      </c>
      <c r="D10" s="30" t="s">
        <v>2</v>
      </c>
      <c r="E10" s="30" t="s">
        <v>2</v>
      </c>
      <c r="F10" s="37" t="s">
        <v>2</v>
      </c>
      <c r="G10" s="38">
        <f>G11</f>
        <v>22</v>
      </c>
    </row>
    <row r="11" spans="1:7">
      <c r="A11" s="39">
        <v>3005924933</v>
      </c>
      <c r="B11" s="40">
        <v>46090.5324693634</v>
      </c>
      <c r="C11" s="26" t="s">
        <v>94</v>
      </c>
      <c r="D11" s="41">
        <v>46062.4820123495</v>
      </c>
      <c r="E11" s="12">
        <v>20318332</v>
      </c>
      <c r="F11" s="12" t="s">
        <v>23</v>
      </c>
      <c r="G11" s="42">
        <v>22</v>
      </c>
    </row>
  </sheetData>
  <mergeCells count="5">
    <mergeCell ref="A1:G1"/>
    <mergeCell ref="A7:E7"/>
    <mergeCell ref="A9:E9"/>
    <mergeCell ref="A10:E10"/>
    <mergeCell ref="A3:C4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G12"/>
  <sheetViews>
    <sheetView view="pageBreakPreview" zoomScaleNormal="100" workbookViewId="0">
      <selection activeCell="G7" sqref="G7"/>
    </sheetView>
  </sheetViews>
  <sheetFormatPr defaultColWidth="9" defaultRowHeight="13.5" outlineLevelCol="6"/>
  <cols>
    <col min="1" max="1" width="13.7083333333333" customWidth="1"/>
    <col min="2" max="2" width="17.025" customWidth="1"/>
    <col min="3" max="3" width="6.875" customWidth="1"/>
    <col min="4" max="4" width="18.5" customWidth="1"/>
    <col min="5" max="5" width="10.625" customWidth="1"/>
    <col min="6" max="6" width="21.625" customWidth="1"/>
    <col min="7" max="7" width="12.625" customWidth="1"/>
  </cols>
  <sheetData>
    <row r="1" customFormat="1" ht="25.5" customHeight="1" spans="1:7">
      <c r="A1" s="27" t="s">
        <v>95</v>
      </c>
    </row>
    <row r="2" customFormat="1" ht="2" customHeight="1"/>
    <row r="3" customFormat="1" ht="12.75" customHeight="1" spans="1:7">
      <c r="A3" s="2" t="s">
        <v>86</v>
      </c>
    </row>
    <row r="4" customFormat="1"/>
    <row r="5" customFormat="1" ht="2.05" customHeight="1"/>
    <row r="6" ht="1.95" customHeight="1" spans="1:7">
      <c r="A6" s="4" t="s">
        <v>2</v>
      </c>
      <c r="B6" s="4" t="s">
        <v>2</v>
      </c>
      <c r="C6" s="4" t="s">
        <v>2</v>
      </c>
      <c r="D6" s="4" t="s">
        <v>2</v>
      </c>
      <c r="E6" s="4" t="s">
        <v>2</v>
      </c>
      <c r="F6" s="4" t="s">
        <v>2</v>
      </c>
      <c r="G6" s="4" t="s">
        <v>2</v>
      </c>
    </row>
    <row r="7" ht="15.75" spans="1:7">
      <c r="A7" s="29" t="s">
        <v>3</v>
      </c>
      <c r="B7" s="30" t="s">
        <v>2</v>
      </c>
      <c r="C7" s="30" t="s">
        <v>2</v>
      </c>
      <c r="D7" s="30" t="s">
        <v>2</v>
      </c>
      <c r="E7" s="30" t="s">
        <v>2</v>
      </c>
      <c r="F7" s="31" t="s">
        <v>2</v>
      </c>
      <c r="G7" s="32">
        <f>G9</f>
        <v>44</v>
      </c>
    </row>
    <row r="8" spans="1:7">
      <c r="A8" s="33" t="s">
        <v>87</v>
      </c>
      <c r="B8" s="33" t="s">
        <v>88</v>
      </c>
      <c r="C8" s="33" t="s">
        <v>89</v>
      </c>
      <c r="D8" s="33" t="s">
        <v>90</v>
      </c>
      <c r="E8" s="33" t="s">
        <v>7</v>
      </c>
      <c r="F8" s="33" t="s">
        <v>91</v>
      </c>
      <c r="G8" s="33" t="s">
        <v>92</v>
      </c>
    </row>
    <row r="9" spans="1:7">
      <c r="A9" s="34" t="s">
        <v>99</v>
      </c>
      <c r="B9" s="30"/>
      <c r="C9" s="30"/>
      <c r="D9" s="30"/>
      <c r="E9" s="30"/>
      <c r="F9" s="33" t="s">
        <v>2</v>
      </c>
      <c r="G9" s="35">
        <f>G10</f>
        <v>44</v>
      </c>
    </row>
    <row r="10" spans="1:7">
      <c r="A10" s="36" t="s">
        <v>93</v>
      </c>
      <c r="B10" s="30" t="s">
        <v>2</v>
      </c>
      <c r="C10" s="30" t="s">
        <v>2</v>
      </c>
      <c r="D10" s="30" t="s">
        <v>2</v>
      </c>
      <c r="E10" s="30" t="s">
        <v>2</v>
      </c>
      <c r="F10" s="37" t="s">
        <v>2</v>
      </c>
      <c r="G10" s="38">
        <f>G11+G12</f>
        <v>44</v>
      </c>
    </row>
    <row r="11" spans="1:7">
      <c r="A11" s="39">
        <v>3005924934</v>
      </c>
      <c r="B11" s="40">
        <v>46090.5325955671</v>
      </c>
      <c r="C11" s="26" t="s">
        <v>94</v>
      </c>
      <c r="D11" s="41">
        <v>46062.4820033218</v>
      </c>
      <c r="E11" s="12">
        <v>20318332</v>
      </c>
      <c r="F11" s="12" t="s">
        <v>23</v>
      </c>
      <c r="G11" s="42">
        <v>22</v>
      </c>
    </row>
    <row r="12" spans="1:7">
      <c r="A12" s="39">
        <v>3005928732</v>
      </c>
      <c r="B12" s="40">
        <v>46090.532672419</v>
      </c>
      <c r="C12" s="26" t="s">
        <v>94</v>
      </c>
      <c r="D12" s="41">
        <v>46063.4623982986</v>
      </c>
      <c r="E12" s="12">
        <v>20318332</v>
      </c>
      <c r="F12" s="12" t="s">
        <v>23</v>
      </c>
      <c r="G12" s="42">
        <v>22</v>
      </c>
    </row>
  </sheetData>
  <mergeCells count="5">
    <mergeCell ref="A1:G1"/>
    <mergeCell ref="A7:E7"/>
    <mergeCell ref="A9:E9"/>
    <mergeCell ref="A10:E10"/>
    <mergeCell ref="A3:C4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G11"/>
  <sheetViews>
    <sheetView view="pageBreakPreview" zoomScaleNormal="100" workbookViewId="0">
      <selection activeCell="G7" sqref="G7"/>
    </sheetView>
  </sheetViews>
  <sheetFormatPr defaultColWidth="9" defaultRowHeight="13.5" outlineLevelCol="6"/>
  <cols>
    <col min="1" max="1" width="13.7083333333333" customWidth="1"/>
    <col min="2" max="2" width="17.025" customWidth="1"/>
    <col min="3" max="3" width="6.875" customWidth="1"/>
    <col min="4" max="4" width="18.5" customWidth="1"/>
    <col min="5" max="5" width="10.625" customWidth="1"/>
    <col min="6" max="6" width="21.625" customWidth="1"/>
    <col min="7" max="7" width="12.625" customWidth="1"/>
  </cols>
  <sheetData>
    <row r="1" customFormat="1" ht="25.5" customHeight="1" spans="1:7">
      <c r="A1" s="27" t="s">
        <v>95</v>
      </c>
    </row>
    <row r="2" customFormat="1" ht="2" customHeight="1"/>
    <row r="3" customFormat="1" ht="12.75" customHeight="1" spans="1:7">
      <c r="A3" s="2" t="s">
        <v>86</v>
      </c>
    </row>
    <row r="4" customFormat="1"/>
    <row r="5" customFormat="1" ht="2.05" customHeight="1"/>
    <row r="6" ht="1.95" customHeight="1" spans="1:7">
      <c r="A6" s="4" t="s">
        <v>2</v>
      </c>
      <c r="B6" s="4" t="s">
        <v>2</v>
      </c>
      <c r="C6" s="4" t="s">
        <v>2</v>
      </c>
      <c r="D6" s="4" t="s">
        <v>2</v>
      </c>
      <c r="E6" s="4" t="s">
        <v>2</v>
      </c>
      <c r="F6" s="4" t="s">
        <v>2</v>
      </c>
      <c r="G6" s="4" t="s">
        <v>2</v>
      </c>
    </row>
    <row r="7" ht="15.75" spans="1:7">
      <c r="A7" s="29" t="s">
        <v>3</v>
      </c>
      <c r="B7" s="30" t="s">
        <v>2</v>
      </c>
      <c r="C7" s="30" t="s">
        <v>2</v>
      </c>
      <c r="D7" s="30" t="s">
        <v>2</v>
      </c>
      <c r="E7" s="30" t="s">
        <v>2</v>
      </c>
      <c r="F7" s="31" t="s">
        <v>2</v>
      </c>
      <c r="G7" s="32">
        <f>G9</f>
        <v>16.5</v>
      </c>
    </row>
    <row r="8" spans="1:7">
      <c r="A8" s="33" t="s">
        <v>87</v>
      </c>
      <c r="B8" s="33" t="s">
        <v>88</v>
      </c>
      <c r="C8" s="33" t="s">
        <v>89</v>
      </c>
      <c r="D8" s="33" t="s">
        <v>90</v>
      </c>
      <c r="E8" s="33" t="s">
        <v>7</v>
      </c>
      <c r="F8" s="33" t="s">
        <v>91</v>
      </c>
      <c r="G8" s="33" t="s">
        <v>92</v>
      </c>
    </row>
    <row r="9" spans="1:7">
      <c r="A9" s="34" t="s">
        <v>100</v>
      </c>
      <c r="B9" s="30"/>
      <c r="C9" s="30"/>
      <c r="D9" s="30"/>
      <c r="E9" s="30"/>
      <c r="F9" s="33" t="s">
        <v>2</v>
      </c>
      <c r="G9" s="35">
        <f>G10</f>
        <v>16.5</v>
      </c>
    </row>
    <row r="10" spans="1:7">
      <c r="A10" s="36" t="s">
        <v>93</v>
      </c>
      <c r="B10" s="30" t="s">
        <v>2</v>
      </c>
      <c r="C10" s="30" t="s">
        <v>2</v>
      </c>
      <c r="D10" s="30" t="s">
        <v>2</v>
      </c>
      <c r="E10" s="30" t="s">
        <v>2</v>
      </c>
      <c r="F10" s="37" t="s">
        <v>2</v>
      </c>
      <c r="G10" s="38">
        <f>G11</f>
        <v>16.5</v>
      </c>
    </row>
    <row r="11" spans="1:7">
      <c r="A11" s="39">
        <v>3005923629</v>
      </c>
      <c r="B11" s="40">
        <v>46090.5244142361</v>
      </c>
      <c r="C11" s="26" t="s">
        <v>94</v>
      </c>
      <c r="D11" s="41">
        <v>46063.4623897801</v>
      </c>
      <c r="E11" s="12">
        <v>20318229</v>
      </c>
      <c r="F11" s="12" t="s">
        <v>37</v>
      </c>
      <c r="G11" s="42">
        <v>16.5</v>
      </c>
    </row>
  </sheetData>
  <mergeCells count="5">
    <mergeCell ref="A1:G1"/>
    <mergeCell ref="A7:E7"/>
    <mergeCell ref="A9:E9"/>
    <mergeCell ref="A10:E10"/>
    <mergeCell ref="A3:C4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G16"/>
  <sheetViews>
    <sheetView view="pageBreakPreview" zoomScaleNormal="100" workbookViewId="0">
      <selection activeCell="G7" sqref="G7"/>
    </sheetView>
  </sheetViews>
  <sheetFormatPr defaultColWidth="9" defaultRowHeight="13.5" outlineLevelCol="6"/>
  <cols>
    <col min="1" max="1" width="13.7083333333333" customWidth="1"/>
    <col min="2" max="2" width="17.025" customWidth="1"/>
    <col min="3" max="3" width="6.875" customWidth="1"/>
    <col min="4" max="4" width="18.5" customWidth="1"/>
    <col min="5" max="5" width="10.625" customWidth="1"/>
    <col min="6" max="6" width="21.625" customWidth="1"/>
    <col min="7" max="7" width="12.625" customWidth="1"/>
  </cols>
  <sheetData>
    <row r="1" customFormat="1" ht="25.5" customHeight="1" spans="1:7">
      <c r="A1" s="27" t="s">
        <v>95</v>
      </c>
    </row>
    <row r="2" customFormat="1" ht="2" customHeight="1"/>
    <row r="3" customFormat="1" ht="12.75" customHeight="1" spans="1:7">
      <c r="A3" s="2" t="s">
        <v>86</v>
      </c>
    </row>
    <row r="4" customFormat="1"/>
    <row r="5" customFormat="1" ht="2.05" customHeight="1"/>
    <row r="6" ht="1.95" customHeight="1" spans="1:7">
      <c r="A6" s="4" t="s">
        <v>2</v>
      </c>
      <c r="B6" s="4" t="s">
        <v>2</v>
      </c>
      <c r="C6" s="4" t="s">
        <v>2</v>
      </c>
      <c r="D6" s="4" t="s">
        <v>2</v>
      </c>
      <c r="E6" s="4" t="s">
        <v>2</v>
      </c>
      <c r="F6" s="4" t="s">
        <v>2</v>
      </c>
      <c r="G6" s="4" t="s">
        <v>2</v>
      </c>
    </row>
    <row r="7" ht="15.75" spans="1:7">
      <c r="A7" s="29" t="s">
        <v>3</v>
      </c>
      <c r="B7" s="30" t="s">
        <v>2</v>
      </c>
      <c r="C7" s="30" t="s">
        <v>2</v>
      </c>
      <c r="D7" s="30" t="s">
        <v>2</v>
      </c>
      <c r="E7" s="30" t="s">
        <v>2</v>
      </c>
      <c r="F7" s="31" t="s">
        <v>2</v>
      </c>
      <c r="G7" s="32">
        <f>G9</f>
        <v>110</v>
      </c>
    </row>
    <row r="8" spans="1:7">
      <c r="A8" s="33" t="s">
        <v>87</v>
      </c>
      <c r="B8" s="33" t="s">
        <v>88</v>
      </c>
      <c r="C8" s="33" t="s">
        <v>89</v>
      </c>
      <c r="D8" s="33" t="s">
        <v>90</v>
      </c>
      <c r="E8" s="33" t="s">
        <v>7</v>
      </c>
      <c r="F8" s="33" t="s">
        <v>91</v>
      </c>
      <c r="G8" s="33" t="s">
        <v>92</v>
      </c>
    </row>
    <row r="9" spans="1:7">
      <c r="A9" s="34" t="s">
        <v>101</v>
      </c>
      <c r="B9" s="30"/>
      <c r="C9" s="30"/>
      <c r="D9" s="30"/>
      <c r="E9" s="30"/>
      <c r="F9" s="33" t="s">
        <v>2</v>
      </c>
      <c r="G9" s="35">
        <f>G10</f>
        <v>110</v>
      </c>
    </row>
    <row r="10" spans="1:7">
      <c r="A10" s="36" t="s">
        <v>93</v>
      </c>
      <c r="B10" s="30" t="s">
        <v>2</v>
      </c>
      <c r="C10" s="30" t="s">
        <v>2</v>
      </c>
      <c r="D10" s="30" t="s">
        <v>2</v>
      </c>
      <c r="E10" s="30" t="s">
        <v>2</v>
      </c>
      <c r="F10" s="37" t="s">
        <v>2</v>
      </c>
      <c r="G10" s="38">
        <f>G11+G12+G13+G14+G15+G16</f>
        <v>110</v>
      </c>
    </row>
    <row r="11" spans="1:7">
      <c r="A11" s="39">
        <v>3005928733</v>
      </c>
      <c r="B11" s="40">
        <v>46090.5327537384</v>
      </c>
      <c r="C11" s="26" t="s">
        <v>94</v>
      </c>
      <c r="D11" s="41">
        <v>46063.4623897801</v>
      </c>
      <c r="E11" s="12">
        <v>20318332</v>
      </c>
      <c r="F11" s="12" t="s">
        <v>23</v>
      </c>
      <c r="G11" s="42">
        <v>22</v>
      </c>
    </row>
    <row r="12" spans="1:7">
      <c r="A12" s="39">
        <v>3005928734</v>
      </c>
      <c r="B12" s="40">
        <v>46090.521269213</v>
      </c>
      <c r="C12" s="26" t="s">
        <v>94</v>
      </c>
      <c r="D12" s="41">
        <v>46063.4623919792</v>
      </c>
      <c r="E12" s="12">
        <v>20014827</v>
      </c>
      <c r="F12" s="12" t="s">
        <v>38</v>
      </c>
      <c r="G12" s="42">
        <v>16.5</v>
      </c>
    </row>
    <row r="13" spans="1:7">
      <c r="A13" s="39">
        <v>3005932208</v>
      </c>
      <c r="B13" s="40">
        <v>46090.5213753125</v>
      </c>
      <c r="C13" s="26" t="s">
        <v>94</v>
      </c>
      <c r="D13" s="41">
        <v>46064.525097419</v>
      </c>
      <c r="E13" s="12">
        <v>20014827</v>
      </c>
      <c r="F13" s="12" t="s">
        <v>38</v>
      </c>
      <c r="G13" s="42">
        <v>16.5</v>
      </c>
    </row>
    <row r="14" spans="1:7">
      <c r="A14" s="39">
        <v>3005932209</v>
      </c>
      <c r="B14" s="40">
        <v>46090.5214784722</v>
      </c>
      <c r="C14" s="26" t="s">
        <v>94</v>
      </c>
      <c r="D14" s="41">
        <v>46064.5251003472</v>
      </c>
      <c r="E14" s="12">
        <v>20014827</v>
      </c>
      <c r="F14" s="12" t="s">
        <v>38</v>
      </c>
      <c r="G14" s="42">
        <v>16.5</v>
      </c>
    </row>
    <row r="15" spans="1:7">
      <c r="A15" s="39">
        <v>3005932210</v>
      </c>
      <c r="B15" s="40">
        <v>46090.5244833333</v>
      </c>
      <c r="C15" s="26" t="s">
        <v>94</v>
      </c>
      <c r="D15" s="41">
        <v>46064.5250890394</v>
      </c>
      <c r="E15" s="12">
        <v>20318229</v>
      </c>
      <c r="F15" s="12" t="s">
        <v>37</v>
      </c>
      <c r="G15" s="42">
        <v>16.5</v>
      </c>
    </row>
    <row r="16" customFormat="1" ht="11.6" customHeight="1" spans="1:7">
      <c r="A16" s="39">
        <v>3005932211</v>
      </c>
      <c r="B16" s="40">
        <v>46090.5328313657</v>
      </c>
      <c r="C16" s="26" t="s">
        <v>94</v>
      </c>
      <c r="D16" s="41">
        <v>46064.5250919792</v>
      </c>
      <c r="E16" s="12">
        <v>20318332</v>
      </c>
      <c r="F16" s="12" t="s">
        <v>23</v>
      </c>
      <c r="G16" s="42">
        <v>22</v>
      </c>
    </row>
  </sheetData>
  <mergeCells count="5">
    <mergeCell ref="A1:G1"/>
    <mergeCell ref="A7:E7"/>
    <mergeCell ref="A9:E9"/>
    <mergeCell ref="A10:E10"/>
    <mergeCell ref="A3:C4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G11"/>
  <sheetViews>
    <sheetView view="pageBreakPreview" zoomScaleNormal="100" workbookViewId="0">
      <selection activeCell="G7" sqref="G7"/>
    </sheetView>
  </sheetViews>
  <sheetFormatPr defaultColWidth="9" defaultRowHeight="13.5" outlineLevelCol="6"/>
  <cols>
    <col min="1" max="1" width="13.7083333333333" customWidth="1"/>
    <col min="2" max="2" width="17.025" customWidth="1"/>
    <col min="3" max="3" width="6.875" customWidth="1"/>
    <col min="4" max="4" width="18.5" customWidth="1"/>
    <col min="5" max="5" width="10.625" customWidth="1"/>
    <col min="6" max="6" width="21.625" customWidth="1"/>
    <col min="7" max="7" width="12.625" customWidth="1"/>
  </cols>
  <sheetData>
    <row r="1" customFormat="1" ht="25.5" customHeight="1" spans="1:7">
      <c r="A1" s="27" t="s">
        <v>95</v>
      </c>
    </row>
    <row r="2" customFormat="1" ht="2" customHeight="1"/>
    <row r="3" customFormat="1" ht="12.75" customHeight="1" spans="1:7">
      <c r="A3" s="2" t="s">
        <v>86</v>
      </c>
    </row>
    <row r="4" customFormat="1"/>
    <row r="5" customFormat="1" ht="2.05" customHeight="1"/>
    <row r="6" ht="1.95" customHeight="1" spans="1:7">
      <c r="A6" s="4" t="s">
        <v>2</v>
      </c>
      <c r="B6" s="4" t="s">
        <v>2</v>
      </c>
      <c r="C6" s="4" t="s">
        <v>2</v>
      </c>
      <c r="D6" s="4" t="s">
        <v>2</v>
      </c>
      <c r="E6" s="4" t="s">
        <v>2</v>
      </c>
      <c r="F6" s="4" t="s">
        <v>2</v>
      </c>
      <c r="G6" s="4" t="s">
        <v>2</v>
      </c>
    </row>
    <row r="7" ht="15.75" spans="1:7">
      <c r="A7" s="29" t="s">
        <v>3</v>
      </c>
      <c r="B7" s="30" t="s">
        <v>2</v>
      </c>
      <c r="C7" s="30" t="s">
        <v>2</v>
      </c>
      <c r="D7" s="30" t="s">
        <v>2</v>
      </c>
      <c r="E7" s="30" t="s">
        <v>2</v>
      </c>
      <c r="F7" s="31" t="s">
        <v>2</v>
      </c>
      <c r="G7" s="32">
        <f>G9</f>
        <v>16.5</v>
      </c>
    </row>
    <row r="8" spans="1:7">
      <c r="A8" s="33" t="s">
        <v>87</v>
      </c>
      <c r="B8" s="33" t="s">
        <v>88</v>
      </c>
      <c r="C8" s="33" t="s">
        <v>89</v>
      </c>
      <c r="D8" s="33" t="s">
        <v>90</v>
      </c>
      <c r="E8" s="33" t="s">
        <v>7</v>
      </c>
      <c r="F8" s="33" t="s">
        <v>91</v>
      </c>
      <c r="G8" s="33" t="s">
        <v>92</v>
      </c>
    </row>
    <row r="9" spans="1:7">
      <c r="A9" s="34" t="s">
        <v>102</v>
      </c>
      <c r="B9" s="30"/>
      <c r="C9" s="30"/>
      <c r="D9" s="30"/>
      <c r="E9" s="30"/>
      <c r="F9" s="33" t="s">
        <v>2</v>
      </c>
      <c r="G9" s="35">
        <f>G10</f>
        <v>16.5</v>
      </c>
    </row>
    <row r="10" spans="1:7">
      <c r="A10" s="36" t="s">
        <v>93</v>
      </c>
      <c r="B10" s="30" t="s">
        <v>2</v>
      </c>
      <c r="C10" s="30" t="s">
        <v>2</v>
      </c>
      <c r="D10" s="30" t="s">
        <v>2</v>
      </c>
      <c r="E10" s="30" t="s">
        <v>2</v>
      </c>
      <c r="F10" s="37" t="s">
        <v>2</v>
      </c>
      <c r="G10" s="38">
        <f>G11</f>
        <v>16.5</v>
      </c>
    </row>
    <row r="11" spans="1:7">
      <c r="A11" s="39">
        <v>3005933494</v>
      </c>
      <c r="B11" s="40">
        <v>46090.5245540162</v>
      </c>
      <c r="C11" s="26" t="s">
        <v>94</v>
      </c>
      <c r="D11" s="41">
        <v>46064.6876386921</v>
      </c>
      <c r="E11" s="12">
        <v>20318229</v>
      </c>
      <c r="F11" s="12" t="s">
        <v>37</v>
      </c>
      <c r="G11" s="42">
        <v>16.5</v>
      </c>
    </row>
  </sheetData>
  <mergeCells count="5">
    <mergeCell ref="A1:G1"/>
    <mergeCell ref="A7:E7"/>
    <mergeCell ref="A9:E9"/>
    <mergeCell ref="A10:E10"/>
    <mergeCell ref="A3:C4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G12"/>
  <sheetViews>
    <sheetView view="pageBreakPreview" zoomScaleNormal="100" workbookViewId="0">
      <selection activeCell="G7" sqref="G7"/>
    </sheetView>
  </sheetViews>
  <sheetFormatPr defaultColWidth="9" defaultRowHeight="13.5" outlineLevelCol="6"/>
  <cols>
    <col min="1" max="1" width="13.7083333333333" customWidth="1"/>
    <col min="2" max="2" width="17.025" customWidth="1"/>
    <col min="3" max="3" width="6.875" customWidth="1"/>
    <col min="4" max="4" width="18.5" customWidth="1"/>
    <col min="5" max="5" width="10.625" customWidth="1"/>
    <col min="6" max="6" width="21.625" customWidth="1"/>
    <col min="7" max="7" width="12.625" customWidth="1"/>
  </cols>
  <sheetData>
    <row r="1" customFormat="1" ht="25.5" customHeight="1" spans="1:7">
      <c r="A1" s="27" t="s">
        <v>95</v>
      </c>
    </row>
    <row r="2" customFormat="1" ht="2" customHeight="1"/>
    <row r="3" customFormat="1" ht="12.75" customHeight="1" spans="1:7">
      <c r="A3" s="2" t="s">
        <v>86</v>
      </c>
    </row>
    <row r="4" customFormat="1"/>
    <row r="5" customFormat="1" ht="2.05" customHeight="1"/>
    <row r="6" ht="1.95" customHeight="1" spans="1:7">
      <c r="A6" s="4" t="s">
        <v>2</v>
      </c>
      <c r="B6" s="4" t="s">
        <v>2</v>
      </c>
      <c r="C6" s="4" t="s">
        <v>2</v>
      </c>
      <c r="D6" s="4" t="s">
        <v>2</v>
      </c>
      <c r="E6" s="4" t="s">
        <v>2</v>
      </c>
      <c r="F6" s="4" t="s">
        <v>2</v>
      </c>
      <c r="G6" s="4" t="s">
        <v>2</v>
      </c>
    </row>
    <row r="7" ht="15.75" spans="1:7">
      <c r="A7" s="29" t="s">
        <v>3</v>
      </c>
      <c r="B7" s="30" t="s">
        <v>2</v>
      </c>
      <c r="C7" s="30" t="s">
        <v>2</v>
      </c>
      <c r="D7" s="30" t="s">
        <v>2</v>
      </c>
      <c r="E7" s="30" t="s">
        <v>2</v>
      </c>
      <c r="F7" s="31" t="s">
        <v>2</v>
      </c>
      <c r="G7" s="32">
        <f>G9</f>
        <v>38.5</v>
      </c>
    </row>
    <row r="8" spans="1:7">
      <c r="A8" s="33" t="s">
        <v>87</v>
      </c>
      <c r="B8" s="33" t="s">
        <v>88</v>
      </c>
      <c r="C8" s="33" t="s">
        <v>89</v>
      </c>
      <c r="D8" s="33" t="s">
        <v>90</v>
      </c>
      <c r="E8" s="33" t="s">
        <v>7</v>
      </c>
      <c r="F8" s="33" t="s">
        <v>91</v>
      </c>
      <c r="G8" s="33" t="s">
        <v>92</v>
      </c>
    </row>
    <row r="9" spans="1:7">
      <c r="A9" s="34" t="s">
        <v>103</v>
      </c>
      <c r="B9" s="30"/>
      <c r="C9" s="30"/>
      <c r="D9" s="30"/>
      <c r="E9" s="30"/>
      <c r="F9" s="33" t="s">
        <v>2</v>
      </c>
      <c r="G9" s="35">
        <f>G10</f>
        <v>38.5</v>
      </c>
    </row>
    <row r="10" spans="1:7">
      <c r="A10" s="36" t="s">
        <v>93</v>
      </c>
      <c r="B10" s="30" t="s">
        <v>2</v>
      </c>
      <c r="C10" s="30" t="s">
        <v>2</v>
      </c>
      <c r="D10" s="30" t="s">
        <v>2</v>
      </c>
      <c r="E10" s="30" t="s">
        <v>2</v>
      </c>
      <c r="F10" s="37" t="s">
        <v>2</v>
      </c>
      <c r="G10" s="38">
        <f>G11+G12</f>
        <v>38.5</v>
      </c>
    </row>
    <row r="11" spans="1:7">
      <c r="A11" s="39">
        <v>3005933496</v>
      </c>
      <c r="B11" s="40">
        <v>46090.5329831366</v>
      </c>
      <c r="C11" s="26" t="s">
        <v>94</v>
      </c>
      <c r="D11" s="41">
        <v>46064.6876430556</v>
      </c>
      <c r="E11" s="12">
        <v>20318332</v>
      </c>
      <c r="F11" s="12" t="s">
        <v>23</v>
      </c>
      <c r="G11" s="42">
        <v>22</v>
      </c>
    </row>
    <row r="12" spans="1:7">
      <c r="A12" s="39">
        <v>3005935294</v>
      </c>
      <c r="B12" s="40">
        <v>46090.5279966088</v>
      </c>
      <c r="C12" s="26" t="s">
        <v>94</v>
      </c>
      <c r="D12" s="41">
        <v>46065.5302329514</v>
      </c>
      <c r="E12" s="12">
        <v>20318229</v>
      </c>
      <c r="F12" s="12" t="s">
        <v>37</v>
      </c>
      <c r="G12" s="42">
        <v>16.5</v>
      </c>
    </row>
  </sheetData>
  <mergeCells count="5">
    <mergeCell ref="A1:G1"/>
    <mergeCell ref="A7:E7"/>
    <mergeCell ref="A9:E9"/>
    <mergeCell ref="A10:E10"/>
    <mergeCell ref="A3:C4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G12"/>
  <sheetViews>
    <sheetView view="pageBreakPreview" zoomScaleNormal="100" workbookViewId="0">
      <selection activeCell="G7" sqref="G7"/>
    </sheetView>
  </sheetViews>
  <sheetFormatPr defaultColWidth="9" defaultRowHeight="13.5" outlineLevelCol="6"/>
  <cols>
    <col min="1" max="1" width="13.7083333333333" customWidth="1"/>
    <col min="2" max="2" width="17.025" customWidth="1"/>
    <col min="3" max="3" width="6.875" customWidth="1"/>
    <col min="4" max="4" width="18.5" customWidth="1"/>
    <col min="5" max="5" width="10.625" customWidth="1"/>
    <col min="6" max="6" width="21.625" customWidth="1"/>
    <col min="7" max="7" width="12.625" customWidth="1"/>
  </cols>
  <sheetData>
    <row r="1" customFormat="1" ht="25.5" customHeight="1" spans="1:7">
      <c r="A1" s="27" t="s">
        <v>95</v>
      </c>
    </row>
    <row r="2" customFormat="1" ht="2" customHeight="1"/>
    <row r="3" customFormat="1" ht="12.75" customHeight="1" spans="1:7">
      <c r="A3" s="2" t="s">
        <v>86</v>
      </c>
    </row>
    <row r="4" customFormat="1"/>
    <row r="5" customFormat="1" ht="2.05" customHeight="1"/>
    <row r="6" ht="1.95" customHeight="1" spans="1:7">
      <c r="A6" s="4" t="s">
        <v>2</v>
      </c>
      <c r="B6" s="4" t="s">
        <v>2</v>
      </c>
      <c r="C6" s="4" t="s">
        <v>2</v>
      </c>
      <c r="D6" s="4" t="s">
        <v>2</v>
      </c>
      <c r="E6" s="4" t="s">
        <v>2</v>
      </c>
      <c r="F6" s="4" t="s">
        <v>2</v>
      </c>
      <c r="G6" s="4" t="s">
        <v>2</v>
      </c>
    </row>
    <row r="7" ht="15.75" spans="1:7">
      <c r="A7" s="29" t="s">
        <v>3</v>
      </c>
      <c r="B7" s="30" t="s">
        <v>2</v>
      </c>
      <c r="C7" s="30" t="s">
        <v>2</v>
      </c>
      <c r="D7" s="30" t="s">
        <v>2</v>
      </c>
      <c r="E7" s="30" t="s">
        <v>2</v>
      </c>
      <c r="F7" s="31" t="s">
        <v>2</v>
      </c>
      <c r="G7" s="32">
        <f>G9</f>
        <v>22</v>
      </c>
    </row>
    <row r="8" spans="1:7">
      <c r="A8" s="33" t="s">
        <v>87</v>
      </c>
      <c r="B8" s="33" t="s">
        <v>88</v>
      </c>
      <c r="C8" s="33" t="s">
        <v>89</v>
      </c>
      <c r="D8" s="33" t="s">
        <v>90</v>
      </c>
      <c r="E8" s="33" t="s">
        <v>7</v>
      </c>
      <c r="F8" s="33" t="s">
        <v>91</v>
      </c>
      <c r="G8" s="33" t="s">
        <v>92</v>
      </c>
    </row>
    <row r="9" spans="1:7">
      <c r="A9" s="34" t="s">
        <v>104</v>
      </c>
      <c r="B9" s="30"/>
      <c r="C9" s="30"/>
      <c r="D9" s="30"/>
      <c r="E9" s="30"/>
      <c r="F9" s="33" t="s">
        <v>2</v>
      </c>
      <c r="G9" s="35">
        <f>G10</f>
        <v>22</v>
      </c>
    </row>
    <row r="10" spans="1:7">
      <c r="A10" s="36" t="s">
        <v>93</v>
      </c>
      <c r="B10" s="30" t="s">
        <v>2</v>
      </c>
      <c r="C10" s="30" t="s">
        <v>2</v>
      </c>
      <c r="D10" s="30" t="s">
        <v>2</v>
      </c>
      <c r="E10" s="30" t="s">
        <v>2</v>
      </c>
      <c r="F10" s="37" t="s">
        <v>2</v>
      </c>
      <c r="G10" s="38">
        <f>G11</f>
        <v>22</v>
      </c>
    </row>
    <row r="11" spans="1:7">
      <c r="A11" s="39">
        <v>3005933495</v>
      </c>
      <c r="B11" s="40">
        <v>46090.5329060532</v>
      </c>
      <c r="C11" s="26" t="s">
        <v>94</v>
      </c>
      <c r="D11" s="41">
        <v>46064.6876408218</v>
      </c>
      <c r="E11" s="12">
        <v>20318332</v>
      </c>
      <c r="F11" s="12" t="s">
        <v>23</v>
      </c>
      <c r="G11" s="42">
        <v>22</v>
      </c>
    </row>
    <row r="12" customFormat="1" ht="11.6" customHeight="1"/>
  </sheetData>
  <mergeCells count="5">
    <mergeCell ref="A1:G1"/>
    <mergeCell ref="A7:E7"/>
    <mergeCell ref="A9:E9"/>
    <mergeCell ref="A10:E10"/>
    <mergeCell ref="A3:C4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G16"/>
  <sheetViews>
    <sheetView view="pageBreakPreview" zoomScaleNormal="100" workbookViewId="0">
      <selection activeCell="G7" sqref="G7"/>
    </sheetView>
  </sheetViews>
  <sheetFormatPr defaultColWidth="9" defaultRowHeight="13.5" outlineLevelCol="6"/>
  <cols>
    <col min="1" max="1" width="13.7083333333333" customWidth="1"/>
    <col min="2" max="2" width="17.025" customWidth="1"/>
    <col min="3" max="3" width="6.875" customWidth="1"/>
    <col min="4" max="4" width="18.5" customWidth="1"/>
    <col min="5" max="5" width="10.625" customWidth="1"/>
    <col min="6" max="6" width="21.625" customWidth="1"/>
    <col min="7" max="7" width="12.625" customWidth="1"/>
  </cols>
  <sheetData>
    <row r="1" customFormat="1" ht="25.5" customHeight="1" spans="1:7">
      <c r="A1" s="27" t="s">
        <v>95</v>
      </c>
    </row>
    <row r="2" ht="2" customHeight="1"/>
    <row r="3" customFormat="1" ht="12.75" customHeight="1" spans="1:7">
      <c r="A3" s="2" t="s">
        <v>86</v>
      </c>
    </row>
    <row r="5" ht="2.05" customHeight="1"/>
    <row r="6" ht="1.95" customHeight="1" spans="1:7">
      <c r="A6" s="4" t="s">
        <v>2</v>
      </c>
      <c r="B6" s="4" t="s">
        <v>2</v>
      </c>
      <c r="C6" s="4" t="s">
        <v>2</v>
      </c>
      <c r="D6" s="4" t="s">
        <v>2</v>
      </c>
      <c r="E6" s="4" t="s">
        <v>2</v>
      </c>
      <c r="F6" s="4" t="s">
        <v>2</v>
      </c>
      <c r="G6" s="4" t="s">
        <v>2</v>
      </c>
    </row>
    <row r="7" ht="15.75" spans="1:7">
      <c r="A7" s="29" t="s">
        <v>3</v>
      </c>
      <c r="B7" s="30" t="s">
        <v>2</v>
      </c>
      <c r="C7" s="30" t="s">
        <v>2</v>
      </c>
      <c r="D7" s="30" t="s">
        <v>2</v>
      </c>
      <c r="E7" s="30" t="s">
        <v>2</v>
      </c>
      <c r="F7" s="31" t="s">
        <v>2</v>
      </c>
      <c r="G7" s="32">
        <f>G9</f>
        <v>37.5</v>
      </c>
    </row>
    <row r="8" spans="1:7">
      <c r="A8" s="33" t="s">
        <v>87</v>
      </c>
      <c r="B8" s="33" t="s">
        <v>88</v>
      </c>
      <c r="C8" s="33" t="s">
        <v>89</v>
      </c>
      <c r="D8" s="33" t="s">
        <v>90</v>
      </c>
      <c r="E8" s="33" t="s">
        <v>7</v>
      </c>
      <c r="F8" s="33" t="s">
        <v>91</v>
      </c>
      <c r="G8" s="33" t="s">
        <v>92</v>
      </c>
    </row>
    <row r="9" spans="1:7">
      <c r="A9" s="34" t="s">
        <v>105</v>
      </c>
      <c r="B9" s="30" t="s">
        <v>2</v>
      </c>
      <c r="C9" s="30" t="s">
        <v>2</v>
      </c>
      <c r="D9" s="30" t="s">
        <v>2</v>
      </c>
      <c r="E9" s="30" t="s">
        <v>2</v>
      </c>
      <c r="F9" s="33" t="s">
        <v>2</v>
      </c>
      <c r="G9" s="35">
        <f>G10</f>
        <v>37.5</v>
      </c>
    </row>
    <row r="10" spans="1:7">
      <c r="A10" s="36" t="s">
        <v>93</v>
      </c>
      <c r="B10" s="30" t="s">
        <v>2</v>
      </c>
      <c r="C10" s="30" t="s">
        <v>2</v>
      </c>
      <c r="D10" s="30" t="s">
        <v>2</v>
      </c>
      <c r="E10" s="30" t="s">
        <v>2</v>
      </c>
      <c r="F10" s="37" t="s">
        <v>2</v>
      </c>
      <c r="G10" s="38">
        <f>G11+G12+G13+G14</f>
        <v>37.5</v>
      </c>
    </row>
    <row r="11" spans="1:7">
      <c r="A11" s="39">
        <v>3005969651</v>
      </c>
      <c r="B11" s="40">
        <v>46090.5554949421</v>
      </c>
      <c r="C11" s="26" t="s">
        <v>94</v>
      </c>
      <c r="D11" s="41">
        <v>46084.6850408218</v>
      </c>
      <c r="E11" s="12">
        <v>20360672</v>
      </c>
      <c r="F11" s="12" t="s">
        <v>83</v>
      </c>
      <c r="G11" s="42">
        <v>8</v>
      </c>
    </row>
    <row r="12" spans="1:7">
      <c r="A12" s="39">
        <v>3005969652</v>
      </c>
      <c r="B12" s="40">
        <v>46090.5555746181</v>
      </c>
      <c r="C12" s="26" t="s">
        <v>94</v>
      </c>
      <c r="D12" s="41">
        <v>46084.6850448727</v>
      </c>
      <c r="E12" s="12">
        <v>20360672</v>
      </c>
      <c r="F12" s="12" t="s">
        <v>83</v>
      </c>
      <c r="G12" s="42">
        <v>8</v>
      </c>
    </row>
    <row r="13" spans="1:7">
      <c r="A13" s="39">
        <v>3005973094</v>
      </c>
      <c r="B13" s="40">
        <v>46090.5560816319</v>
      </c>
      <c r="C13" s="26" t="s">
        <v>94</v>
      </c>
      <c r="D13" s="41">
        <v>46085.7338754282</v>
      </c>
      <c r="E13" s="12">
        <v>20367143</v>
      </c>
      <c r="F13" s="12" t="s">
        <v>84</v>
      </c>
      <c r="G13" s="42">
        <v>13.5</v>
      </c>
    </row>
    <row r="14" spans="1:7">
      <c r="A14" s="39">
        <v>3005974754</v>
      </c>
      <c r="B14" s="40">
        <v>46090.5556577546</v>
      </c>
      <c r="C14" s="26" t="s">
        <v>94</v>
      </c>
      <c r="D14" s="41">
        <v>46086.4950973727</v>
      </c>
      <c r="E14" s="12">
        <v>20360672</v>
      </c>
      <c r="F14" s="12" t="s">
        <v>83</v>
      </c>
      <c r="G14" s="42">
        <v>8</v>
      </c>
    </row>
    <row r="15" spans="1:7">
      <c r="A15" s="3" t="s">
        <v>2</v>
      </c>
      <c r="B15" s="3" t="s">
        <v>2</v>
      </c>
      <c r="C15" s="3" t="s">
        <v>2</v>
      </c>
      <c r="D15" s="3" t="s">
        <v>2</v>
      </c>
      <c r="E15" s="3" t="s">
        <v>2</v>
      </c>
      <c r="F15" s="3" t="s">
        <v>2</v>
      </c>
      <c r="G15" s="3" t="s">
        <v>2</v>
      </c>
    </row>
    <row r="16" ht="11.6" customHeight="1"/>
  </sheetData>
  <autoFilter xmlns:etc="http://www.wps.cn/officeDocument/2017/etCustomData" ref="A8:G15" etc:filterBottomFollowUsedRange="0">
    <extLst/>
  </autoFilter>
  <mergeCells count="5">
    <mergeCell ref="A1:G1"/>
    <mergeCell ref="A7:E7"/>
    <mergeCell ref="A9:E9"/>
    <mergeCell ref="A10:E10"/>
    <mergeCell ref="A3:C4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K23"/>
  <sheetViews>
    <sheetView tabSelected="1" view="pageBreakPreview" zoomScaleNormal="100" workbookViewId="0">
      <selection activeCell="O15" sqref="O1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19" t="s">
        <v>96</v>
      </c>
      <c r="E8" s="8"/>
      <c r="F8" s="8"/>
      <c r="G8" s="8"/>
      <c r="H8" s="8"/>
      <c r="I8" s="9">
        <f>SUM(I9:I23)</f>
        <v>18</v>
      </c>
      <c r="J8" s="10"/>
      <c r="K8" s="10">
        <f>SUM(K9:K23)</f>
        <v>215</v>
      </c>
    </row>
    <row r="9" customFormat="1" spans="1:11">
      <c r="D9" s="11">
        <v>46062</v>
      </c>
      <c r="E9" s="12">
        <v>1577418</v>
      </c>
      <c r="F9" s="12" t="s">
        <v>16</v>
      </c>
      <c r="G9" s="13">
        <v>20387980</v>
      </c>
      <c r="H9" s="12" t="s">
        <v>106</v>
      </c>
      <c r="I9" s="13">
        <v>1</v>
      </c>
      <c r="J9" s="14">
        <v>8</v>
      </c>
      <c r="K9" s="14">
        <v>8</v>
      </c>
    </row>
    <row r="10" customFormat="1" spans="1:11">
      <c r="D10" s="11">
        <v>46063</v>
      </c>
      <c r="E10" s="12">
        <v>1577699</v>
      </c>
      <c r="F10" s="12" t="s">
        <v>16</v>
      </c>
      <c r="G10" s="13">
        <v>20387980</v>
      </c>
      <c r="H10" s="12" t="s">
        <v>106</v>
      </c>
      <c r="I10" s="13">
        <v>1</v>
      </c>
      <c r="J10" s="14">
        <v>8</v>
      </c>
      <c r="K10" s="14">
        <v>8</v>
      </c>
    </row>
    <row r="11" customFormat="1" spans="1:11">
      <c r="D11" s="11">
        <v>46064</v>
      </c>
      <c r="E11" s="12">
        <v>1578047</v>
      </c>
      <c r="F11" s="12" t="s">
        <v>16</v>
      </c>
      <c r="G11" s="13">
        <v>20387980</v>
      </c>
      <c r="H11" s="12" t="s">
        <v>106</v>
      </c>
      <c r="I11" s="13">
        <v>1</v>
      </c>
      <c r="J11" s="14">
        <v>8</v>
      </c>
      <c r="K11" s="14">
        <v>8</v>
      </c>
    </row>
    <row r="12" customFormat="1" customHeight="1" spans="1:11">
      <c r="D12" s="45">
        <v>46077</v>
      </c>
      <c r="E12" s="46">
        <v>1579623</v>
      </c>
      <c r="F12" s="46" t="s">
        <v>16</v>
      </c>
      <c r="G12" s="47">
        <v>20387844</v>
      </c>
      <c r="H12" s="46" t="s">
        <v>107</v>
      </c>
      <c r="I12" s="47">
        <v>1</v>
      </c>
      <c r="J12" s="48">
        <v>8</v>
      </c>
      <c r="K12" s="48">
        <v>8</v>
      </c>
    </row>
    <row r="13" customFormat="1" customHeight="1" spans="1:11">
      <c r="D13" s="45">
        <v>46079</v>
      </c>
      <c r="E13" s="46">
        <v>1580234</v>
      </c>
      <c r="F13" s="46" t="s">
        <v>16</v>
      </c>
      <c r="G13" s="47">
        <v>20387844</v>
      </c>
      <c r="H13" s="46" t="s">
        <v>107</v>
      </c>
      <c r="I13" s="47">
        <v>1</v>
      </c>
      <c r="J13" s="48">
        <v>8</v>
      </c>
      <c r="K13" s="48">
        <v>8</v>
      </c>
    </row>
    <row r="14" customHeight="1" spans="1:11">
      <c r="D14" s="45">
        <v>46081</v>
      </c>
      <c r="E14" s="46">
        <v>1581101</v>
      </c>
      <c r="F14" s="46" t="s">
        <v>16</v>
      </c>
      <c r="G14" s="47">
        <v>20387844</v>
      </c>
      <c r="H14" s="46" t="s">
        <v>107</v>
      </c>
      <c r="I14" s="47">
        <v>1</v>
      </c>
      <c r="J14" s="48">
        <v>8</v>
      </c>
      <c r="K14" s="48">
        <v>8</v>
      </c>
    </row>
    <row r="15" customHeight="1" spans="1:11">
      <c r="D15" s="45">
        <v>46084</v>
      </c>
      <c r="E15" s="46">
        <v>1581673</v>
      </c>
      <c r="F15" s="46" t="s">
        <v>16</v>
      </c>
      <c r="G15" s="47">
        <v>20387844</v>
      </c>
      <c r="H15" s="46" t="s">
        <v>107</v>
      </c>
      <c r="I15" s="47">
        <v>1</v>
      </c>
      <c r="J15" s="48">
        <v>8</v>
      </c>
      <c r="K15" s="48">
        <v>8</v>
      </c>
    </row>
    <row r="16" customHeight="1" spans="1:11">
      <c r="D16" s="45">
        <v>46084</v>
      </c>
      <c r="E16" s="46">
        <v>1581783</v>
      </c>
      <c r="F16" s="46" t="s">
        <v>16</v>
      </c>
      <c r="G16" s="47">
        <v>20387844</v>
      </c>
      <c r="H16" s="46" t="s">
        <v>107</v>
      </c>
      <c r="I16" s="47">
        <v>1</v>
      </c>
      <c r="J16" s="48">
        <v>8</v>
      </c>
      <c r="K16" s="48">
        <v>8</v>
      </c>
    </row>
    <row r="17" customHeight="1" spans="4:11">
      <c r="D17" s="45">
        <v>46084</v>
      </c>
      <c r="E17" s="46">
        <v>1581799</v>
      </c>
      <c r="F17" s="46" t="s">
        <v>16</v>
      </c>
      <c r="G17" s="47">
        <v>20387844</v>
      </c>
      <c r="H17" s="46" t="s">
        <v>107</v>
      </c>
      <c r="I17" s="47">
        <v>1</v>
      </c>
      <c r="J17" s="48">
        <v>8</v>
      </c>
      <c r="K17" s="48">
        <v>8</v>
      </c>
    </row>
    <row r="18" customHeight="1" spans="4:11">
      <c r="D18" s="45">
        <v>46085</v>
      </c>
      <c r="E18" s="46">
        <v>1581979</v>
      </c>
      <c r="F18" s="46" t="s">
        <v>16</v>
      </c>
      <c r="G18" s="47">
        <v>20387844</v>
      </c>
      <c r="H18" s="46" t="s">
        <v>107</v>
      </c>
      <c r="I18" s="47">
        <v>1</v>
      </c>
      <c r="J18" s="48">
        <v>8</v>
      </c>
      <c r="K18" s="48">
        <v>8</v>
      </c>
    </row>
    <row r="19" customHeight="1" spans="4:11">
      <c r="D19" s="45">
        <v>46086</v>
      </c>
      <c r="E19" s="46">
        <v>1582438</v>
      </c>
      <c r="F19" s="46" t="s">
        <v>53</v>
      </c>
      <c r="G19" s="47">
        <v>20370192</v>
      </c>
      <c r="H19" s="46" t="s">
        <v>108</v>
      </c>
      <c r="I19" s="47">
        <v>2</v>
      </c>
      <c r="J19" s="48">
        <v>25</v>
      </c>
      <c r="K19" s="48">
        <v>50</v>
      </c>
    </row>
    <row r="20" customHeight="1" spans="4:11">
      <c r="D20" s="45">
        <v>46086</v>
      </c>
      <c r="E20" s="46">
        <v>1582438</v>
      </c>
      <c r="F20" s="46" t="s">
        <v>53</v>
      </c>
      <c r="G20" s="47">
        <v>20370189</v>
      </c>
      <c r="H20" s="46" t="s">
        <v>109</v>
      </c>
      <c r="I20" s="47">
        <v>2</v>
      </c>
      <c r="J20" s="48">
        <v>25</v>
      </c>
      <c r="K20" s="48">
        <v>50</v>
      </c>
    </row>
    <row r="21" customHeight="1" spans="4:11">
      <c r="D21" s="45">
        <v>46087</v>
      </c>
      <c r="E21" s="46">
        <v>1582635</v>
      </c>
      <c r="F21" s="46" t="s">
        <v>16</v>
      </c>
      <c r="G21" s="47">
        <v>20324026</v>
      </c>
      <c r="H21" s="46" t="s">
        <v>110</v>
      </c>
      <c r="I21" s="47">
        <v>1</v>
      </c>
      <c r="J21" s="48">
        <v>11</v>
      </c>
      <c r="K21" s="48">
        <v>11</v>
      </c>
    </row>
    <row r="22" customFormat="1" spans="4:11">
      <c r="D22" s="11">
        <v>46087</v>
      </c>
      <c r="E22" s="12">
        <v>1582767</v>
      </c>
      <c r="F22" s="12" t="s">
        <v>16</v>
      </c>
      <c r="G22" s="13">
        <v>20387980</v>
      </c>
      <c r="H22" s="12" t="s">
        <v>106</v>
      </c>
      <c r="I22" s="13">
        <v>2</v>
      </c>
      <c r="J22" s="14">
        <v>8</v>
      </c>
      <c r="K22" s="14">
        <v>16</v>
      </c>
    </row>
    <row r="23" customFormat="1" spans="4:11">
      <c r="D23" s="11">
        <v>46089</v>
      </c>
      <c r="E23" s="12">
        <v>1583080</v>
      </c>
      <c r="F23" s="12" t="s">
        <v>16</v>
      </c>
      <c r="G23" s="13">
        <v>20387980</v>
      </c>
      <c r="H23" s="12" t="s">
        <v>106</v>
      </c>
      <c r="I23" s="13">
        <v>1</v>
      </c>
      <c r="J23" s="14">
        <v>8</v>
      </c>
      <c r="K23" s="14">
        <v>8</v>
      </c>
    </row>
  </sheetData>
  <mergeCells count="5">
    <mergeCell ref="D8:H8"/>
    <mergeCell ref="C7:C12"/>
    <mergeCell ref="C1:H2"/>
    <mergeCell ref="B4:H5"/>
    <mergeCell ref="A7:B12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68"/>
  <sheetViews>
    <sheetView showGridLines="0" view="pageBreakPreview" zoomScaleNormal="100" workbookViewId="0">
      <pane ySplit="6" topLeftCell="A7" activePane="bottomLeft" state="frozen"/>
      <selection/>
      <selection pane="bottomLeft" activeCell="Q11" sqref="Q1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111</v>
      </c>
      <c r="E8" s="8" t="s">
        <v>2</v>
      </c>
      <c r="F8" s="8" t="s">
        <v>2</v>
      </c>
      <c r="G8" s="8" t="s">
        <v>2</v>
      </c>
      <c r="H8" s="8" t="s">
        <v>2</v>
      </c>
      <c r="I8" s="9">
        <f>SUM(I9:I1168)-18</f>
        <v>2418</v>
      </c>
      <c r="J8" s="10"/>
      <c r="K8" s="10">
        <f>SUM(K9:K1168)+一手费用调整!J7</f>
        <v>168167.5</v>
      </c>
    </row>
    <row r="9" spans="1:11">
      <c r="D9" s="11">
        <v>46062</v>
      </c>
      <c r="E9" s="12">
        <v>1577232</v>
      </c>
      <c r="F9" s="12" t="s">
        <v>53</v>
      </c>
      <c r="G9" s="13">
        <v>20322235</v>
      </c>
      <c r="H9" s="12" t="s">
        <v>81</v>
      </c>
      <c r="I9" s="13">
        <v>2</v>
      </c>
      <c r="J9" s="14">
        <v>2.5</v>
      </c>
      <c r="K9" s="14">
        <f t="shared" ref="K9:K38" si="0">J9*I9</f>
        <v>5</v>
      </c>
    </row>
    <row r="10" spans="1:11">
      <c r="D10" s="11">
        <v>46062</v>
      </c>
      <c r="E10" s="12">
        <v>1577232</v>
      </c>
      <c r="F10" s="12" t="s">
        <v>53</v>
      </c>
      <c r="G10" s="13">
        <v>20322304</v>
      </c>
      <c r="H10" s="12" t="s">
        <v>112</v>
      </c>
      <c r="I10" s="13">
        <v>4</v>
      </c>
      <c r="J10" s="14">
        <v>25</v>
      </c>
      <c r="K10" s="14">
        <f t="shared" si="0"/>
        <v>100</v>
      </c>
    </row>
    <row r="11" spans="1:11">
      <c r="D11" s="11">
        <v>46062</v>
      </c>
      <c r="E11" s="12">
        <v>1577232</v>
      </c>
      <c r="F11" s="12" t="s">
        <v>53</v>
      </c>
      <c r="G11" s="13">
        <v>20330757</v>
      </c>
      <c r="H11" s="12" t="s">
        <v>113</v>
      </c>
      <c r="I11" s="13">
        <v>2</v>
      </c>
      <c r="J11" s="14">
        <v>35</v>
      </c>
      <c r="K11" s="14">
        <f t="shared" si="0"/>
        <v>70</v>
      </c>
    </row>
    <row r="12" spans="1:11">
      <c r="D12" s="11">
        <v>46062</v>
      </c>
      <c r="E12" s="12">
        <v>1577288</v>
      </c>
      <c r="F12" s="12" t="s">
        <v>13</v>
      </c>
      <c r="G12" s="13">
        <v>20312965</v>
      </c>
      <c r="H12" s="12" t="s">
        <v>15</v>
      </c>
      <c r="I12" s="13">
        <v>1</v>
      </c>
      <c r="J12" s="14">
        <v>137.5</v>
      </c>
      <c r="K12" s="14">
        <f t="shared" si="0"/>
        <v>137.5</v>
      </c>
    </row>
    <row r="13" spans="1:11">
      <c r="D13" s="11">
        <v>46062</v>
      </c>
      <c r="E13" s="12">
        <v>1577288</v>
      </c>
      <c r="F13" s="12" t="s">
        <v>16</v>
      </c>
      <c r="G13" s="13">
        <v>20340288</v>
      </c>
      <c r="H13" s="12" t="s">
        <v>114</v>
      </c>
      <c r="I13" s="13">
        <v>1</v>
      </c>
      <c r="J13" s="14">
        <v>22</v>
      </c>
      <c r="K13" s="14">
        <f t="shared" si="0"/>
        <v>22</v>
      </c>
    </row>
    <row r="14" spans="1:11">
      <c r="D14" s="11">
        <v>46062</v>
      </c>
      <c r="E14" s="12">
        <v>1577288</v>
      </c>
      <c r="F14" s="12" t="s">
        <v>20</v>
      </c>
      <c r="G14" s="13">
        <v>20321257</v>
      </c>
      <c r="H14" s="12" t="s">
        <v>21</v>
      </c>
      <c r="I14" s="13">
        <v>1</v>
      </c>
      <c r="J14" s="14">
        <v>16.5</v>
      </c>
      <c r="K14" s="14">
        <f t="shared" si="0"/>
        <v>16.5</v>
      </c>
    </row>
    <row r="15" spans="1:11">
      <c r="D15" s="11">
        <v>46062</v>
      </c>
      <c r="E15" s="12">
        <v>1577288</v>
      </c>
      <c r="F15" s="12" t="s">
        <v>20</v>
      </c>
      <c r="G15" s="13">
        <v>20318342</v>
      </c>
      <c r="H15" s="12" t="s">
        <v>115</v>
      </c>
      <c r="I15" s="13">
        <v>1</v>
      </c>
      <c r="J15" s="14">
        <v>16.5</v>
      </c>
      <c r="K15" s="14">
        <f t="shared" si="0"/>
        <v>16.5</v>
      </c>
    </row>
    <row r="16" spans="1:11">
      <c r="D16" s="11">
        <v>46062</v>
      </c>
      <c r="E16" s="12">
        <v>1577305</v>
      </c>
      <c r="F16" s="12" t="s">
        <v>116</v>
      </c>
      <c r="G16" s="13">
        <v>20323897</v>
      </c>
      <c r="H16" s="26" t="s">
        <v>117</v>
      </c>
      <c r="I16" s="13">
        <v>1</v>
      </c>
      <c r="J16" s="14">
        <v>44</v>
      </c>
      <c r="K16" s="14">
        <f t="shared" si="0"/>
        <v>44</v>
      </c>
    </row>
    <row r="17" spans="4:11">
      <c r="D17" s="11">
        <v>46062</v>
      </c>
      <c r="E17" s="12">
        <v>1577332</v>
      </c>
      <c r="F17" s="12" t="s">
        <v>16</v>
      </c>
      <c r="G17" s="13">
        <v>20372529</v>
      </c>
      <c r="H17" s="12" t="s">
        <v>118</v>
      </c>
      <c r="I17" s="13">
        <v>1</v>
      </c>
      <c r="J17" s="14">
        <v>16.5</v>
      </c>
      <c r="K17" s="14">
        <f t="shared" si="0"/>
        <v>16.5</v>
      </c>
    </row>
    <row r="18" spans="4:11">
      <c r="D18" s="11">
        <v>46062</v>
      </c>
      <c r="E18" s="12">
        <v>1577332</v>
      </c>
      <c r="F18" s="12" t="s">
        <v>16</v>
      </c>
      <c r="G18" s="13">
        <v>20372530</v>
      </c>
      <c r="H18" s="12" t="s">
        <v>119</v>
      </c>
      <c r="I18" s="13">
        <v>1</v>
      </c>
      <c r="J18" s="14">
        <v>16.5</v>
      </c>
      <c r="K18" s="14">
        <f t="shared" si="0"/>
        <v>16.5</v>
      </c>
    </row>
    <row r="19" spans="4:11">
      <c r="D19" s="11">
        <v>46062</v>
      </c>
      <c r="E19" s="12">
        <v>1577332</v>
      </c>
      <c r="F19" s="12" t="s">
        <v>16</v>
      </c>
      <c r="G19" s="13">
        <v>20372531</v>
      </c>
      <c r="H19" s="12" t="s">
        <v>120</v>
      </c>
      <c r="I19" s="13">
        <v>1</v>
      </c>
      <c r="J19" s="14">
        <v>16.5</v>
      </c>
      <c r="K19" s="14">
        <f t="shared" si="0"/>
        <v>16.5</v>
      </c>
    </row>
    <row r="20" spans="4:11">
      <c r="D20" s="11">
        <v>46062</v>
      </c>
      <c r="E20" s="12">
        <v>1577332</v>
      </c>
      <c r="F20" s="12" t="s">
        <v>16</v>
      </c>
      <c r="G20" s="13">
        <v>20372532</v>
      </c>
      <c r="H20" s="12" t="s">
        <v>121</v>
      </c>
      <c r="I20" s="13">
        <v>1</v>
      </c>
      <c r="J20" s="14">
        <v>16.5</v>
      </c>
      <c r="K20" s="14">
        <f t="shared" si="0"/>
        <v>16.5</v>
      </c>
    </row>
    <row r="21" spans="4:11">
      <c r="D21" s="11">
        <v>46062</v>
      </c>
      <c r="E21" s="12">
        <v>1577332</v>
      </c>
      <c r="F21" s="12" t="s">
        <v>16</v>
      </c>
      <c r="G21" s="13">
        <v>20372533</v>
      </c>
      <c r="H21" s="12" t="s">
        <v>122</v>
      </c>
      <c r="I21" s="13">
        <v>1</v>
      </c>
      <c r="J21" s="14">
        <v>16.5</v>
      </c>
      <c r="K21" s="14">
        <f t="shared" si="0"/>
        <v>16.5</v>
      </c>
    </row>
    <row r="22" spans="4:11">
      <c r="D22" s="11">
        <v>46062</v>
      </c>
      <c r="E22" s="12">
        <v>1577332</v>
      </c>
      <c r="F22" s="12" t="s">
        <v>16</v>
      </c>
      <c r="G22" s="13">
        <v>20371419</v>
      </c>
      <c r="H22" s="12" t="s">
        <v>123</v>
      </c>
      <c r="I22" s="13">
        <v>1</v>
      </c>
      <c r="J22" s="14">
        <v>13.5</v>
      </c>
      <c r="K22" s="14">
        <f t="shared" si="0"/>
        <v>13.5</v>
      </c>
    </row>
    <row r="23" spans="4:11">
      <c r="D23" s="11">
        <v>46062</v>
      </c>
      <c r="E23" s="12">
        <v>1577332</v>
      </c>
      <c r="F23" s="12" t="s">
        <v>16</v>
      </c>
      <c r="G23" s="13">
        <v>20371417</v>
      </c>
      <c r="H23" s="12" t="s">
        <v>124</v>
      </c>
      <c r="I23" s="13">
        <v>1</v>
      </c>
      <c r="J23" s="14">
        <v>22</v>
      </c>
      <c r="K23" s="14">
        <f t="shared" si="0"/>
        <v>22</v>
      </c>
    </row>
    <row r="24" spans="4:11">
      <c r="D24" s="11">
        <v>46062</v>
      </c>
      <c r="E24" s="12">
        <v>1577332</v>
      </c>
      <c r="F24" s="12" t="s">
        <v>16</v>
      </c>
      <c r="G24" s="13">
        <v>20371420</v>
      </c>
      <c r="H24" s="12" t="s">
        <v>125</v>
      </c>
      <c r="I24" s="13">
        <v>1</v>
      </c>
      <c r="J24" s="14">
        <v>33</v>
      </c>
      <c r="K24" s="14">
        <f t="shared" si="0"/>
        <v>33</v>
      </c>
    </row>
    <row r="25" spans="4:11">
      <c r="D25" s="11">
        <v>46062</v>
      </c>
      <c r="E25" s="12">
        <v>1577332</v>
      </c>
      <c r="F25" s="12" t="s">
        <v>16</v>
      </c>
      <c r="G25" s="13">
        <v>20391828</v>
      </c>
      <c r="H25" s="12" t="s">
        <v>126</v>
      </c>
      <c r="I25" s="13">
        <v>1</v>
      </c>
      <c r="J25" s="14">
        <v>49.5</v>
      </c>
      <c r="K25" s="14">
        <f t="shared" si="0"/>
        <v>49.5</v>
      </c>
    </row>
    <row r="26" spans="4:11">
      <c r="D26" s="11">
        <v>46062</v>
      </c>
      <c r="E26" s="12">
        <v>1577332</v>
      </c>
      <c r="F26" s="12" t="s">
        <v>20</v>
      </c>
      <c r="G26" s="13">
        <v>20318335</v>
      </c>
      <c r="H26" s="12" t="s">
        <v>127</v>
      </c>
      <c r="I26" s="13">
        <v>1</v>
      </c>
      <c r="J26" s="14">
        <v>16.5</v>
      </c>
      <c r="K26" s="14">
        <f t="shared" si="0"/>
        <v>16.5</v>
      </c>
    </row>
    <row r="27" spans="4:11">
      <c r="D27" s="11">
        <v>46062</v>
      </c>
      <c r="E27" s="12">
        <v>1577332</v>
      </c>
      <c r="F27" s="12" t="s">
        <v>20</v>
      </c>
      <c r="G27" s="13">
        <v>20318378</v>
      </c>
      <c r="H27" s="12" t="s">
        <v>128</v>
      </c>
      <c r="I27" s="13">
        <v>1</v>
      </c>
      <c r="J27" s="14">
        <v>16.5</v>
      </c>
      <c r="K27" s="14">
        <f t="shared" si="0"/>
        <v>16.5</v>
      </c>
    </row>
    <row r="28" spans="4:11">
      <c r="D28" s="11">
        <v>46062</v>
      </c>
      <c r="E28" s="12">
        <v>1577332</v>
      </c>
      <c r="F28" s="12" t="s">
        <v>20</v>
      </c>
      <c r="G28" s="13">
        <v>20318342</v>
      </c>
      <c r="H28" s="12" t="s">
        <v>115</v>
      </c>
      <c r="I28" s="13">
        <v>1</v>
      </c>
      <c r="J28" s="14">
        <v>16.5</v>
      </c>
      <c r="K28" s="14">
        <f t="shared" si="0"/>
        <v>16.5</v>
      </c>
    </row>
    <row r="29" spans="4:11">
      <c r="D29" s="11">
        <v>46062</v>
      </c>
      <c r="E29" s="12">
        <v>1577343</v>
      </c>
      <c r="F29" s="12" t="s">
        <v>13</v>
      </c>
      <c r="G29" s="13">
        <v>20384456</v>
      </c>
      <c r="H29" s="12" t="s">
        <v>129</v>
      </c>
      <c r="I29" s="13">
        <v>1</v>
      </c>
      <c r="J29" s="14">
        <v>38.5</v>
      </c>
      <c r="K29" s="14">
        <f t="shared" si="0"/>
        <v>38.5</v>
      </c>
    </row>
    <row r="30" spans="4:11">
      <c r="D30" s="11">
        <v>46062</v>
      </c>
      <c r="E30" s="12">
        <v>1577343</v>
      </c>
      <c r="F30" s="12" t="s">
        <v>13</v>
      </c>
      <c r="G30" s="13">
        <v>20312965</v>
      </c>
      <c r="H30" s="12" t="s">
        <v>15</v>
      </c>
      <c r="I30" s="13">
        <v>4</v>
      </c>
      <c r="J30" s="14">
        <v>137.5</v>
      </c>
      <c r="K30" s="14">
        <f t="shared" si="0"/>
        <v>550</v>
      </c>
    </row>
    <row r="31" spans="4:11">
      <c r="D31" s="11">
        <v>46062</v>
      </c>
      <c r="E31" s="12">
        <v>1577343</v>
      </c>
      <c r="F31" s="12" t="s">
        <v>13</v>
      </c>
      <c r="G31" s="13">
        <v>20312967</v>
      </c>
      <c r="H31" s="12" t="s">
        <v>130</v>
      </c>
      <c r="I31" s="13">
        <v>3</v>
      </c>
      <c r="J31" s="14">
        <v>176</v>
      </c>
      <c r="K31" s="14">
        <f t="shared" si="0"/>
        <v>528</v>
      </c>
    </row>
    <row r="32" spans="4:11">
      <c r="D32" s="11">
        <v>46062</v>
      </c>
      <c r="E32" s="12">
        <v>1577343</v>
      </c>
      <c r="F32" s="12" t="s">
        <v>13</v>
      </c>
      <c r="G32" s="13">
        <v>20312986</v>
      </c>
      <c r="H32" s="12" t="s">
        <v>131</v>
      </c>
      <c r="I32" s="13">
        <v>1</v>
      </c>
      <c r="J32" s="14">
        <v>555.5</v>
      </c>
      <c r="K32" s="14">
        <f t="shared" si="0"/>
        <v>555.5</v>
      </c>
    </row>
    <row r="33" spans="4:11">
      <c r="D33" s="11">
        <v>46062</v>
      </c>
      <c r="E33" s="12">
        <v>1577343</v>
      </c>
      <c r="F33" s="12" t="s">
        <v>13</v>
      </c>
      <c r="G33" s="13">
        <v>20312988</v>
      </c>
      <c r="H33" s="12" t="s">
        <v>132</v>
      </c>
      <c r="I33" s="13">
        <v>1</v>
      </c>
      <c r="J33" s="14">
        <v>55</v>
      </c>
      <c r="K33" s="14">
        <f t="shared" si="0"/>
        <v>55</v>
      </c>
    </row>
    <row r="34" spans="4:11">
      <c r="D34" s="11">
        <v>46062</v>
      </c>
      <c r="E34" s="12">
        <v>1577343</v>
      </c>
      <c r="F34" s="12" t="s">
        <v>20</v>
      </c>
      <c r="G34" s="13">
        <v>20391111</v>
      </c>
      <c r="H34" s="26" t="s">
        <v>133</v>
      </c>
      <c r="I34" s="13">
        <v>1</v>
      </c>
      <c r="J34" s="14">
        <v>16.5</v>
      </c>
      <c r="K34" s="14">
        <f t="shared" si="0"/>
        <v>16.5</v>
      </c>
    </row>
    <row r="35" spans="4:11">
      <c r="D35" s="11">
        <v>46062</v>
      </c>
      <c r="E35" s="12">
        <v>1577343</v>
      </c>
      <c r="F35" s="12" t="s">
        <v>20</v>
      </c>
      <c r="G35" s="13">
        <v>20389292</v>
      </c>
      <c r="H35" s="12" t="s">
        <v>134</v>
      </c>
      <c r="I35" s="13">
        <v>1</v>
      </c>
      <c r="J35" s="14">
        <v>49.5</v>
      </c>
      <c r="K35" s="14">
        <f t="shared" si="0"/>
        <v>49.5</v>
      </c>
    </row>
    <row r="36" spans="4:11">
      <c r="D36" s="11">
        <v>46062</v>
      </c>
      <c r="E36" s="12">
        <v>1577343</v>
      </c>
      <c r="F36" s="12" t="s">
        <v>20</v>
      </c>
      <c r="G36" s="13">
        <v>20371414</v>
      </c>
      <c r="H36" s="12" t="s">
        <v>135</v>
      </c>
      <c r="I36" s="13">
        <v>1</v>
      </c>
      <c r="J36" s="14">
        <v>16.5</v>
      </c>
      <c r="K36" s="14">
        <f t="shared" si="0"/>
        <v>16.5</v>
      </c>
    </row>
    <row r="37" spans="4:11">
      <c r="D37" s="11">
        <v>46062</v>
      </c>
      <c r="E37" s="12">
        <v>1577343</v>
      </c>
      <c r="F37" s="12" t="s">
        <v>20</v>
      </c>
      <c r="G37" s="13">
        <v>20389235</v>
      </c>
      <c r="H37" s="12" t="s">
        <v>136</v>
      </c>
      <c r="I37" s="13">
        <v>1</v>
      </c>
      <c r="J37" s="14">
        <v>16.5</v>
      </c>
      <c r="K37" s="14">
        <f t="shared" si="0"/>
        <v>16.5</v>
      </c>
    </row>
    <row r="38" spans="4:11">
      <c r="D38" s="11">
        <v>46062</v>
      </c>
      <c r="E38" s="12">
        <v>1577343</v>
      </c>
      <c r="F38" s="12" t="s">
        <v>20</v>
      </c>
      <c r="G38" s="13">
        <v>20318336</v>
      </c>
      <c r="H38" s="12" t="s">
        <v>137</v>
      </c>
      <c r="I38" s="13">
        <v>2</v>
      </c>
      <c r="J38" s="14">
        <v>16.5</v>
      </c>
      <c r="K38" s="14">
        <f t="shared" si="0"/>
        <v>33</v>
      </c>
    </row>
    <row r="39" spans="4:11">
      <c r="D39" s="11">
        <v>46062</v>
      </c>
      <c r="E39" s="12">
        <v>1577343</v>
      </c>
      <c r="F39" s="12" t="s">
        <v>20</v>
      </c>
      <c r="G39" s="13">
        <v>20335599</v>
      </c>
      <c r="H39" s="12" t="s">
        <v>138</v>
      </c>
      <c r="I39" s="13">
        <v>1</v>
      </c>
      <c r="J39" s="14">
        <v>27.5</v>
      </c>
      <c r="K39" s="14">
        <f t="shared" ref="K39:K87" si="1">J39*I39</f>
        <v>27.5</v>
      </c>
    </row>
    <row r="40" spans="4:11">
      <c r="D40" s="11">
        <v>46062</v>
      </c>
      <c r="E40" s="12">
        <v>1577354</v>
      </c>
      <c r="F40" s="12" t="s">
        <v>53</v>
      </c>
      <c r="G40" s="13">
        <v>20402355</v>
      </c>
      <c r="H40" s="12" t="s">
        <v>139</v>
      </c>
      <c r="I40" s="13">
        <v>1</v>
      </c>
      <c r="J40" s="14">
        <v>25</v>
      </c>
      <c r="K40" s="14">
        <f t="shared" si="1"/>
        <v>25</v>
      </c>
    </row>
    <row r="41" spans="4:11">
      <c r="D41" s="11">
        <v>46062</v>
      </c>
      <c r="E41" s="12">
        <v>1577354</v>
      </c>
      <c r="F41" s="12" t="s">
        <v>20</v>
      </c>
      <c r="G41" s="13">
        <v>20407575</v>
      </c>
      <c r="H41" s="12" t="s">
        <v>140</v>
      </c>
      <c r="I41" s="13">
        <v>1</v>
      </c>
      <c r="J41" s="14">
        <v>16.5</v>
      </c>
      <c r="K41" s="14">
        <f t="shared" si="1"/>
        <v>16.5</v>
      </c>
    </row>
    <row r="42" spans="4:11">
      <c r="D42" s="11">
        <v>46062</v>
      </c>
      <c r="E42" s="12">
        <v>1577411</v>
      </c>
      <c r="F42" s="12" t="s">
        <v>53</v>
      </c>
      <c r="G42" s="13">
        <v>20322235</v>
      </c>
      <c r="H42" s="12" t="s">
        <v>81</v>
      </c>
      <c r="I42" s="13">
        <v>1</v>
      </c>
      <c r="J42" s="14">
        <v>2.5</v>
      </c>
      <c r="K42" s="14">
        <f t="shared" si="1"/>
        <v>2.5</v>
      </c>
    </row>
    <row r="43" spans="4:11">
      <c r="D43" s="11">
        <v>46062</v>
      </c>
      <c r="E43" s="12">
        <v>1577411</v>
      </c>
      <c r="F43" s="12" t="s">
        <v>53</v>
      </c>
      <c r="G43" s="13">
        <v>20322243</v>
      </c>
      <c r="H43" s="12" t="s">
        <v>54</v>
      </c>
      <c r="I43" s="13">
        <v>1</v>
      </c>
      <c r="J43" s="14">
        <v>30</v>
      </c>
      <c r="K43" s="14">
        <f t="shared" si="1"/>
        <v>30</v>
      </c>
    </row>
    <row r="44" spans="4:11">
      <c r="D44" s="11">
        <v>46062</v>
      </c>
      <c r="E44" s="12">
        <v>1577411</v>
      </c>
      <c r="F44" s="12" t="s">
        <v>53</v>
      </c>
      <c r="G44" s="13">
        <v>20322234</v>
      </c>
      <c r="H44" s="12" t="s">
        <v>141</v>
      </c>
      <c r="I44" s="13">
        <v>3</v>
      </c>
      <c r="J44" s="14">
        <v>2.5</v>
      </c>
      <c r="K44" s="14">
        <f t="shared" si="1"/>
        <v>7.5</v>
      </c>
    </row>
    <row r="45" spans="4:11">
      <c r="D45" s="11">
        <v>46062</v>
      </c>
      <c r="E45" s="12">
        <v>1577411</v>
      </c>
      <c r="F45" s="12" t="s">
        <v>53</v>
      </c>
      <c r="G45" s="13">
        <v>20330757</v>
      </c>
      <c r="H45" s="12" t="s">
        <v>113</v>
      </c>
      <c r="I45" s="13">
        <v>3</v>
      </c>
      <c r="J45" s="14">
        <v>35</v>
      </c>
      <c r="K45" s="14">
        <f t="shared" si="1"/>
        <v>105</v>
      </c>
    </row>
    <row r="46" spans="4:11">
      <c r="D46" s="11">
        <v>46062</v>
      </c>
      <c r="E46" s="12">
        <v>1577411</v>
      </c>
      <c r="F46" s="12" t="s">
        <v>53</v>
      </c>
      <c r="G46" s="13">
        <v>20323697</v>
      </c>
      <c r="H46" s="12" t="s">
        <v>142</v>
      </c>
      <c r="I46" s="13">
        <v>1</v>
      </c>
      <c r="J46" s="14">
        <v>4</v>
      </c>
      <c r="K46" s="14">
        <f t="shared" si="1"/>
        <v>4</v>
      </c>
    </row>
    <row r="47" spans="4:11">
      <c r="D47" s="11">
        <v>46062</v>
      </c>
      <c r="E47" s="12">
        <v>1577411</v>
      </c>
      <c r="F47" s="12" t="s">
        <v>20</v>
      </c>
      <c r="G47" s="13">
        <v>20318380</v>
      </c>
      <c r="H47" s="12" t="s">
        <v>143</v>
      </c>
      <c r="I47" s="13">
        <v>1</v>
      </c>
      <c r="J47" s="14">
        <v>16.5</v>
      </c>
      <c r="K47" s="14">
        <f t="shared" si="1"/>
        <v>16.5</v>
      </c>
    </row>
    <row r="48" spans="4:11">
      <c r="D48" s="11">
        <v>46062</v>
      </c>
      <c r="E48" s="12">
        <v>1577411</v>
      </c>
      <c r="F48" s="12" t="s">
        <v>20</v>
      </c>
      <c r="G48" s="13">
        <v>20318340</v>
      </c>
      <c r="H48" s="12" t="s">
        <v>144</v>
      </c>
      <c r="I48" s="13">
        <v>1</v>
      </c>
      <c r="J48" s="14">
        <v>16.5</v>
      </c>
      <c r="K48" s="14">
        <f t="shared" si="1"/>
        <v>16.5</v>
      </c>
    </row>
    <row r="49" spans="4:11">
      <c r="D49" s="11">
        <v>46062</v>
      </c>
      <c r="E49" s="12">
        <v>1577411</v>
      </c>
      <c r="F49" s="12" t="s">
        <v>20</v>
      </c>
      <c r="G49" s="13">
        <v>20340289</v>
      </c>
      <c r="H49" s="12" t="s">
        <v>145</v>
      </c>
      <c r="I49" s="13">
        <v>1</v>
      </c>
      <c r="J49" s="14">
        <v>16.5</v>
      </c>
      <c r="K49" s="14">
        <f t="shared" si="1"/>
        <v>16.5</v>
      </c>
    </row>
    <row r="50" spans="4:11">
      <c r="D50" s="11">
        <v>46062</v>
      </c>
      <c r="E50" s="12">
        <v>1577411</v>
      </c>
      <c r="F50" s="12" t="s">
        <v>20</v>
      </c>
      <c r="G50" s="13">
        <v>20318342</v>
      </c>
      <c r="H50" s="12" t="s">
        <v>115</v>
      </c>
      <c r="I50" s="13">
        <v>1</v>
      </c>
      <c r="J50" s="14">
        <v>16.5</v>
      </c>
      <c r="K50" s="14">
        <f t="shared" si="1"/>
        <v>16.5</v>
      </c>
    </row>
    <row r="51" spans="4:11">
      <c r="D51" s="11">
        <v>46062</v>
      </c>
      <c r="E51" s="12">
        <v>1577414</v>
      </c>
      <c r="F51" s="12" t="s">
        <v>13</v>
      </c>
      <c r="G51" s="13">
        <v>20321719</v>
      </c>
      <c r="H51" s="12" t="s">
        <v>146</v>
      </c>
      <c r="I51" s="13">
        <v>1</v>
      </c>
      <c r="J51" s="14">
        <v>49.5</v>
      </c>
      <c r="K51" s="14">
        <f t="shared" si="1"/>
        <v>49.5</v>
      </c>
    </row>
    <row r="52" spans="4:11">
      <c r="D52" s="11">
        <v>46062</v>
      </c>
      <c r="E52" s="12">
        <v>1577414</v>
      </c>
      <c r="F52" s="12" t="s">
        <v>13</v>
      </c>
      <c r="G52" s="13">
        <v>20312966</v>
      </c>
      <c r="H52" s="12" t="s">
        <v>147</v>
      </c>
      <c r="I52" s="13">
        <v>4</v>
      </c>
      <c r="J52" s="14">
        <v>159.5</v>
      </c>
      <c r="K52" s="14">
        <f t="shared" si="1"/>
        <v>638</v>
      </c>
    </row>
    <row r="53" spans="4:11">
      <c r="D53" s="11">
        <v>46062</v>
      </c>
      <c r="E53" s="12">
        <v>1577414</v>
      </c>
      <c r="F53" s="12" t="s">
        <v>13</v>
      </c>
      <c r="G53" s="13">
        <v>20312965</v>
      </c>
      <c r="H53" s="12" t="s">
        <v>15</v>
      </c>
      <c r="I53" s="13">
        <v>5</v>
      </c>
      <c r="J53" s="14">
        <v>137.5</v>
      </c>
      <c r="K53" s="14">
        <f t="shared" si="1"/>
        <v>687.5</v>
      </c>
    </row>
    <row r="54" spans="4:11">
      <c r="D54" s="11">
        <v>46062</v>
      </c>
      <c r="E54" s="12">
        <v>1577414</v>
      </c>
      <c r="F54" s="12" t="s">
        <v>13</v>
      </c>
      <c r="G54" s="13">
        <v>20312967</v>
      </c>
      <c r="H54" s="12" t="s">
        <v>130</v>
      </c>
      <c r="I54" s="13">
        <v>2</v>
      </c>
      <c r="J54" s="14">
        <v>176</v>
      </c>
      <c r="K54" s="14">
        <f t="shared" si="1"/>
        <v>352</v>
      </c>
    </row>
    <row r="55" spans="4:11">
      <c r="D55" s="11">
        <v>46062</v>
      </c>
      <c r="E55" s="12">
        <v>1577414</v>
      </c>
      <c r="F55" s="12" t="s">
        <v>20</v>
      </c>
      <c r="G55" s="13">
        <v>20014824</v>
      </c>
      <c r="H55" s="12" t="s">
        <v>68</v>
      </c>
      <c r="I55" s="13">
        <v>1</v>
      </c>
      <c r="J55" s="14">
        <v>16.5</v>
      </c>
      <c r="K55" s="14">
        <f t="shared" si="1"/>
        <v>16.5</v>
      </c>
    </row>
    <row r="56" spans="4:11">
      <c r="D56" s="11">
        <v>46062</v>
      </c>
      <c r="E56" s="12">
        <v>1577414</v>
      </c>
      <c r="F56" s="12" t="s">
        <v>20</v>
      </c>
      <c r="G56" s="13">
        <v>20318378</v>
      </c>
      <c r="H56" s="12" t="s">
        <v>128</v>
      </c>
      <c r="I56" s="13">
        <v>1</v>
      </c>
      <c r="J56" s="14">
        <v>16.5</v>
      </c>
      <c r="K56" s="14">
        <f t="shared" si="1"/>
        <v>16.5</v>
      </c>
    </row>
    <row r="57" spans="4:11">
      <c r="D57" s="11">
        <v>46062</v>
      </c>
      <c r="E57" s="12">
        <v>1577418</v>
      </c>
      <c r="F57" s="12" t="s">
        <v>13</v>
      </c>
      <c r="G57" s="13">
        <v>20321476</v>
      </c>
      <c r="H57" s="12" t="s">
        <v>148</v>
      </c>
      <c r="I57" s="13">
        <v>1</v>
      </c>
      <c r="J57" s="14">
        <v>55</v>
      </c>
      <c r="K57" s="14">
        <f t="shared" si="1"/>
        <v>55</v>
      </c>
    </row>
    <row r="58" spans="4:11">
      <c r="D58" s="11">
        <v>46062</v>
      </c>
      <c r="E58" s="12">
        <v>1577418</v>
      </c>
      <c r="F58" s="12" t="s">
        <v>13</v>
      </c>
      <c r="G58" s="13">
        <v>20321252</v>
      </c>
      <c r="H58" s="12" t="s">
        <v>149</v>
      </c>
      <c r="I58" s="13">
        <v>1</v>
      </c>
      <c r="J58" s="14">
        <v>49.5</v>
      </c>
      <c r="K58" s="14">
        <f t="shared" si="1"/>
        <v>49.5</v>
      </c>
    </row>
    <row r="59" spans="4:11">
      <c r="D59" s="11">
        <v>46062</v>
      </c>
      <c r="E59" s="12">
        <v>1577418</v>
      </c>
      <c r="F59" s="12" t="s">
        <v>13</v>
      </c>
      <c r="G59" s="13">
        <v>20312966</v>
      </c>
      <c r="H59" s="12" t="s">
        <v>147</v>
      </c>
      <c r="I59" s="13">
        <v>4</v>
      </c>
      <c r="J59" s="14">
        <v>159.5</v>
      </c>
      <c r="K59" s="14">
        <f t="shared" si="1"/>
        <v>638</v>
      </c>
    </row>
    <row r="60" spans="4:11">
      <c r="D60" s="11">
        <v>46062</v>
      </c>
      <c r="E60" s="12">
        <v>1577418</v>
      </c>
      <c r="F60" s="12" t="s">
        <v>13</v>
      </c>
      <c r="G60" s="13">
        <v>20312965</v>
      </c>
      <c r="H60" s="12" t="s">
        <v>15</v>
      </c>
      <c r="I60" s="13">
        <v>4</v>
      </c>
      <c r="J60" s="14">
        <v>137.5</v>
      </c>
      <c r="K60" s="14">
        <f t="shared" si="1"/>
        <v>550</v>
      </c>
    </row>
    <row r="61" spans="4:11">
      <c r="D61" s="11">
        <v>46062</v>
      </c>
      <c r="E61" s="12">
        <v>1577418</v>
      </c>
      <c r="F61" s="12" t="s">
        <v>13</v>
      </c>
      <c r="G61" s="13">
        <v>20312967</v>
      </c>
      <c r="H61" s="12" t="s">
        <v>130</v>
      </c>
      <c r="I61" s="13">
        <v>1</v>
      </c>
      <c r="J61" s="14">
        <v>176</v>
      </c>
      <c r="K61" s="14">
        <f t="shared" si="1"/>
        <v>176</v>
      </c>
    </row>
    <row r="62" spans="4:11">
      <c r="D62" s="11">
        <v>46062</v>
      </c>
      <c r="E62" s="12">
        <v>1577418</v>
      </c>
      <c r="F62" s="12" t="s">
        <v>20</v>
      </c>
      <c r="G62" s="13">
        <v>20321257</v>
      </c>
      <c r="H62" s="12" t="s">
        <v>21</v>
      </c>
      <c r="I62" s="13">
        <v>1</v>
      </c>
      <c r="J62" s="14">
        <v>16.5</v>
      </c>
      <c r="K62" s="14">
        <f t="shared" si="1"/>
        <v>16.5</v>
      </c>
    </row>
    <row r="63" spans="4:11">
      <c r="D63" s="11">
        <v>46062</v>
      </c>
      <c r="E63" s="12">
        <v>1577418</v>
      </c>
      <c r="F63" s="12" t="s">
        <v>20</v>
      </c>
      <c r="G63" s="13">
        <v>20363041</v>
      </c>
      <c r="H63" s="12" t="s">
        <v>150</v>
      </c>
      <c r="I63" s="13">
        <v>1</v>
      </c>
      <c r="J63" s="14">
        <v>16.5</v>
      </c>
      <c r="K63" s="14">
        <f t="shared" si="1"/>
        <v>16.5</v>
      </c>
    </row>
    <row r="64" spans="4:11">
      <c r="D64" s="11">
        <v>46062</v>
      </c>
      <c r="E64" s="12">
        <v>1577418</v>
      </c>
      <c r="F64" s="12" t="s">
        <v>20</v>
      </c>
      <c r="G64" s="13">
        <v>20318241</v>
      </c>
      <c r="H64" s="12" t="s">
        <v>61</v>
      </c>
      <c r="I64" s="13">
        <v>1</v>
      </c>
      <c r="J64" s="14">
        <v>16.5</v>
      </c>
      <c r="K64" s="14">
        <f t="shared" si="1"/>
        <v>16.5</v>
      </c>
    </row>
    <row r="65" spans="4:11">
      <c r="D65" s="11">
        <v>46062</v>
      </c>
      <c r="E65" s="12">
        <v>1577418</v>
      </c>
      <c r="F65" s="12" t="s">
        <v>20</v>
      </c>
      <c r="G65" s="13">
        <v>20318378</v>
      </c>
      <c r="H65" s="12" t="s">
        <v>128</v>
      </c>
      <c r="I65" s="13">
        <v>1</v>
      </c>
      <c r="J65" s="14">
        <v>16.5</v>
      </c>
      <c r="K65" s="14">
        <f t="shared" si="1"/>
        <v>16.5</v>
      </c>
    </row>
    <row r="66" spans="4:11">
      <c r="D66" s="11">
        <v>46062</v>
      </c>
      <c r="E66" s="12">
        <v>1577418</v>
      </c>
      <c r="F66" s="12" t="s">
        <v>20</v>
      </c>
      <c r="G66" s="13">
        <v>20318380</v>
      </c>
      <c r="H66" s="12" t="s">
        <v>143</v>
      </c>
      <c r="I66" s="13">
        <v>1</v>
      </c>
      <c r="J66" s="14">
        <v>16.5</v>
      </c>
      <c r="K66" s="14">
        <f t="shared" si="1"/>
        <v>16.5</v>
      </c>
    </row>
    <row r="67" spans="4:11">
      <c r="D67" s="11">
        <v>46062</v>
      </c>
      <c r="E67" s="12">
        <v>1577418</v>
      </c>
      <c r="F67" s="12" t="s">
        <v>20</v>
      </c>
      <c r="G67" s="13">
        <v>20318340</v>
      </c>
      <c r="H67" s="12" t="s">
        <v>144</v>
      </c>
      <c r="I67" s="13">
        <v>3</v>
      </c>
      <c r="J67" s="14">
        <v>16.5</v>
      </c>
      <c r="K67" s="14">
        <f t="shared" si="1"/>
        <v>49.5</v>
      </c>
    </row>
    <row r="68" spans="4:11">
      <c r="D68" s="11">
        <v>46062</v>
      </c>
      <c r="E68" s="12">
        <v>1577418</v>
      </c>
      <c r="F68" s="12" t="s">
        <v>20</v>
      </c>
      <c r="G68" s="13">
        <v>20340289</v>
      </c>
      <c r="H68" s="12" t="s">
        <v>145</v>
      </c>
      <c r="I68" s="13">
        <v>1</v>
      </c>
      <c r="J68" s="14">
        <v>16.5</v>
      </c>
      <c r="K68" s="14">
        <f t="shared" si="1"/>
        <v>16.5</v>
      </c>
    </row>
    <row r="69" spans="4:11">
      <c r="D69" s="11">
        <v>46062</v>
      </c>
      <c r="E69" s="12">
        <v>1577418</v>
      </c>
      <c r="F69" s="12" t="s">
        <v>20</v>
      </c>
      <c r="G69" s="13">
        <v>20383164</v>
      </c>
      <c r="H69" s="12" t="s">
        <v>151</v>
      </c>
      <c r="I69" s="13">
        <v>1</v>
      </c>
      <c r="J69" s="14">
        <v>22</v>
      </c>
      <c r="K69" s="14">
        <f t="shared" si="1"/>
        <v>22</v>
      </c>
    </row>
    <row r="70" spans="4:11">
      <c r="D70" s="11">
        <v>46063</v>
      </c>
      <c r="E70" s="12">
        <v>1577603</v>
      </c>
      <c r="F70" s="12" t="s">
        <v>13</v>
      </c>
      <c r="G70" s="13">
        <v>20321918</v>
      </c>
      <c r="H70" s="12" t="s">
        <v>152</v>
      </c>
      <c r="I70" s="13">
        <v>1</v>
      </c>
      <c r="J70" s="14">
        <v>49.5</v>
      </c>
      <c r="K70" s="14">
        <f t="shared" si="1"/>
        <v>49.5</v>
      </c>
    </row>
    <row r="71" spans="4:11">
      <c r="D71" s="11">
        <v>46063</v>
      </c>
      <c r="E71" s="12">
        <v>1577603</v>
      </c>
      <c r="F71" s="12" t="s">
        <v>13</v>
      </c>
      <c r="G71" s="13">
        <v>20312966</v>
      </c>
      <c r="H71" s="12" t="s">
        <v>147</v>
      </c>
      <c r="I71" s="13">
        <v>4</v>
      </c>
      <c r="J71" s="14">
        <v>159.5</v>
      </c>
      <c r="K71" s="14">
        <f t="shared" si="1"/>
        <v>638</v>
      </c>
    </row>
    <row r="72" spans="4:11">
      <c r="D72" s="11">
        <v>46063</v>
      </c>
      <c r="E72" s="12">
        <v>1577603</v>
      </c>
      <c r="F72" s="12" t="s">
        <v>13</v>
      </c>
      <c r="G72" s="13">
        <v>20312965</v>
      </c>
      <c r="H72" s="12" t="s">
        <v>15</v>
      </c>
      <c r="I72" s="13">
        <v>4</v>
      </c>
      <c r="J72" s="14">
        <v>137.5</v>
      </c>
      <c r="K72" s="14">
        <f t="shared" si="1"/>
        <v>550</v>
      </c>
    </row>
    <row r="73" spans="4:11">
      <c r="D73" s="11">
        <v>46063</v>
      </c>
      <c r="E73" s="12">
        <v>1577603</v>
      </c>
      <c r="F73" s="12" t="s">
        <v>13</v>
      </c>
      <c r="G73" s="13">
        <v>20312967</v>
      </c>
      <c r="H73" s="12" t="s">
        <v>130</v>
      </c>
      <c r="I73" s="13">
        <v>2</v>
      </c>
      <c r="J73" s="14">
        <v>176</v>
      </c>
      <c r="K73" s="14">
        <f t="shared" si="1"/>
        <v>352</v>
      </c>
    </row>
    <row r="74" spans="4:11">
      <c r="D74" s="11">
        <v>46063</v>
      </c>
      <c r="E74" s="12">
        <v>1577603</v>
      </c>
      <c r="F74" s="12" t="s">
        <v>53</v>
      </c>
      <c r="G74" s="13">
        <v>20322243</v>
      </c>
      <c r="H74" s="12" t="s">
        <v>54</v>
      </c>
      <c r="I74" s="13">
        <v>1</v>
      </c>
      <c r="J74" s="14">
        <v>30</v>
      </c>
      <c r="K74" s="14">
        <f t="shared" si="1"/>
        <v>30</v>
      </c>
    </row>
    <row r="75" spans="4:11">
      <c r="D75" s="11">
        <v>46063</v>
      </c>
      <c r="E75" s="12">
        <v>1577603</v>
      </c>
      <c r="F75" s="12" t="s">
        <v>53</v>
      </c>
      <c r="G75" s="13">
        <v>20330757</v>
      </c>
      <c r="H75" s="12" t="s">
        <v>113</v>
      </c>
      <c r="I75" s="13">
        <v>3</v>
      </c>
      <c r="J75" s="14">
        <v>35</v>
      </c>
      <c r="K75" s="14">
        <f t="shared" si="1"/>
        <v>105</v>
      </c>
    </row>
    <row r="76" spans="4:11">
      <c r="D76" s="11">
        <v>46063</v>
      </c>
      <c r="E76" s="12">
        <v>1577603</v>
      </c>
      <c r="F76" s="12" t="s">
        <v>20</v>
      </c>
      <c r="G76" s="13">
        <v>20321257</v>
      </c>
      <c r="H76" s="12" t="s">
        <v>21</v>
      </c>
      <c r="I76" s="13">
        <v>9</v>
      </c>
      <c r="J76" s="14">
        <v>16.5</v>
      </c>
      <c r="K76" s="14">
        <f t="shared" si="1"/>
        <v>148.5</v>
      </c>
    </row>
    <row r="77" spans="4:11">
      <c r="D77" s="11">
        <v>46063</v>
      </c>
      <c r="E77" s="12">
        <v>1577603</v>
      </c>
      <c r="F77" s="12" t="s">
        <v>20</v>
      </c>
      <c r="G77" s="13">
        <v>20343399</v>
      </c>
      <c r="H77" s="12" t="s">
        <v>153</v>
      </c>
      <c r="I77" s="13">
        <v>2</v>
      </c>
      <c r="J77" s="14">
        <v>33</v>
      </c>
      <c r="K77" s="14">
        <f t="shared" si="1"/>
        <v>66</v>
      </c>
    </row>
    <row r="78" spans="4:11">
      <c r="D78" s="11">
        <v>46063</v>
      </c>
      <c r="E78" s="12">
        <v>1577603</v>
      </c>
      <c r="F78" s="12" t="s">
        <v>20</v>
      </c>
      <c r="G78" s="13">
        <v>20318342</v>
      </c>
      <c r="H78" s="12" t="s">
        <v>115</v>
      </c>
      <c r="I78" s="13">
        <v>1</v>
      </c>
      <c r="J78" s="14">
        <v>16.5</v>
      </c>
      <c r="K78" s="14">
        <f t="shared" si="1"/>
        <v>16.5</v>
      </c>
    </row>
    <row r="79" spans="4:11">
      <c r="D79" s="11">
        <v>46063</v>
      </c>
      <c r="E79" s="12">
        <v>1577660</v>
      </c>
      <c r="F79" s="12" t="s">
        <v>13</v>
      </c>
      <c r="G79" s="13">
        <v>20321719</v>
      </c>
      <c r="H79" s="12" t="s">
        <v>146</v>
      </c>
      <c r="I79" s="13">
        <v>1</v>
      </c>
      <c r="J79" s="14">
        <v>49.5</v>
      </c>
      <c r="K79" s="14">
        <f t="shared" si="1"/>
        <v>49.5</v>
      </c>
    </row>
    <row r="80" spans="4:11">
      <c r="D80" s="11">
        <v>46063</v>
      </c>
      <c r="E80" s="12">
        <v>1577660</v>
      </c>
      <c r="F80" s="12" t="s">
        <v>53</v>
      </c>
      <c r="G80" s="13">
        <v>20322235</v>
      </c>
      <c r="H80" s="12" t="s">
        <v>81</v>
      </c>
      <c r="I80" s="13">
        <v>39</v>
      </c>
      <c r="J80" s="14">
        <v>2.5</v>
      </c>
      <c r="K80" s="14">
        <f t="shared" si="1"/>
        <v>97.5</v>
      </c>
    </row>
    <row r="81" spans="4:11">
      <c r="D81" s="11">
        <v>46063</v>
      </c>
      <c r="E81" s="12">
        <v>1577680</v>
      </c>
      <c r="F81" s="12" t="s">
        <v>53</v>
      </c>
      <c r="G81" s="13">
        <v>20322235</v>
      </c>
      <c r="H81" s="12" t="s">
        <v>81</v>
      </c>
      <c r="I81" s="13">
        <v>14</v>
      </c>
      <c r="J81" s="14">
        <v>2.5</v>
      </c>
      <c r="K81" s="14">
        <f t="shared" si="1"/>
        <v>35</v>
      </c>
    </row>
    <row r="82" spans="4:11">
      <c r="D82" s="11">
        <v>46063</v>
      </c>
      <c r="E82" s="12">
        <v>1577699</v>
      </c>
      <c r="F82" s="12" t="s">
        <v>13</v>
      </c>
      <c r="G82" s="13">
        <v>20312966</v>
      </c>
      <c r="H82" s="12" t="s">
        <v>147</v>
      </c>
      <c r="I82" s="13">
        <v>6</v>
      </c>
      <c r="J82" s="14">
        <v>159.5</v>
      </c>
      <c r="K82" s="14">
        <f t="shared" si="1"/>
        <v>957</v>
      </c>
    </row>
    <row r="83" spans="4:11">
      <c r="D83" s="11">
        <v>46063</v>
      </c>
      <c r="E83" s="12">
        <v>1577699</v>
      </c>
      <c r="F83" s="12" t="s">
        <v>13</v>
      </c>
      <c r="G83" s="13">
        <v>20334934</v>
      </c>
      <c r="H83" s="12" t="s">
        <v>154</v>
      </c>
      <c r="I83" s="13">
        <v>1</v>
      </c>
      <c r="J83" s="14">
        <v>121</v>
      </c>
      <c r="K83" s="14">
        <f t="shared" si="1"/>
        <v>121</v>
      </c>
    </row>
    <row r="84" spans="4:11">
      <c r="D84" s="11">
        <v>46063</v>
      </c>
      <c r="E84" s="12">
        <v>1577699</v>
      </c>
      <c r="F84" s="12" t="s">
        <v>13</v>
      </c>
      <c r="G84" s="13">
        <v>20312965</v>
      </c>
      <c r="H84" s="12" t="s">
        <v>15</v>
      </c>
      <c r="I84" s="13">
        <v>3</v>
      </c>
      <c r="J84" s="14">
        <v>137.5</v>
      </c>
      <c r="K84" s="14">
        <f t="shared" si="1"/>
        <v>412.5</v>
      </c>
    </row>
    <row r="85" spans="4:11">
      <c r="D85" s="11">
        <v>46063</v>
      </c>
      <c r="E85" s="12">
        <v>1577699</v>
      </c>
      <c r="F85" s="12" t="s">
        <v>13</v>
      </c>
      <c r="G85" s="13">
        <v>20312967</v>
      </c>
      <c r="H85" s="12" t="s">
        <v>130</v>
      </c>
      <c r="I85" s="13">
        <v>5</v>
      </c>
      <c r="J85" s="14">
        <v>176</v>
      </c>
      <c r="K85" s="14">
        <f t="shared" si="1"/>
        <v>880</v>
      </c>
    </row>
    <row r="86" spans="4:11">
      <c r="D86" s="11">
        <v>46063</v>
      </c>
      <c r="E86" s="12">
        <v>1577699</v>
      </c>
      <c r="F86" s="12" t="s">
        <v>16</v>
      </c>
      <c r="G86" s="13">
        <v>20366610</v>
      </c>
      <c r="H86" s="12" t="s">
        <v>155</v>
      </c>
      <c r="I86" s="13">
        <v>1</v>
      </c>
      <c r="J86" s="14">
        <v>16.5</v>
      </c>
      <c r="K86" s="14">
        <f t="shared" si="1"/>
        <v>16.5</v>
      </c>
    </row>
    <row r="87" spans="4:11">
      <c r="D87" s="11">
        <v>46063</v>
      </c>
      <c r="E87" s="12">
        <v>1577699</v>
      </c>
      <c r="F87" s="12" t="s">
        <v>16</v>
      </c>
      <c r="G87" s="13">
        <v>20318363</v>
      </c>
      <c r="H87" s="12" t="s">
        <v>156</v>
      </c>
      <c r="I87" s="13">
        <v>1</v>
      </c>
      <c r="J87" s="14">
        <v>8</v>
      </c>
      <c r="K87" s="14">
        <f t="shared" si="1"/>
        <v>8</v>
      </c>
    </row>
    <row r="88" spans="4:11">
      <c r="D88" s="11">
        <v>46063</v>
      </c>
      <c r="E88" s="12">
        <v>1577699</v>
      </c>
      <c r="F88" s="12" t="s">
        <v>16</v>
      </c>
      <c r="G88" s="13">
        <v>20318250</v>
      </c>
      <c r="H88" s="12" t="s">
        <v>47</v>
      </c>
      <c r="I88" s="13">
        <v>1</v>
      </c>
      <c r="J88" s="14">
        <v>8</v>
      </c>
      <c r="K88" s="14">
        <f t="shared" ref="K88:K125" si="2">J88*I88</f>
        <v>8</v>
      </c>
    </row>
    <row r="89" spans="4:11">
      <c r="D89" s="11">
        <v>46063</v>
      </c>
      <c r="E89" s="12">
        <v>1577699</v>
      </c>
      <c r="F89" s="12" t="s">
        <v>53</v>
      </c>
      <c r="G89" s="13">
        <v>20322235</v>
      </c>
      <c r="H89" s="12" t="s">
        <v>81</v>
      </c>
      <c r="I89" s="13">
        <v>4</v>
      </c>
      <c r="J89" s="14">
        <v>2.5</v>
      </c>
      <c r="K89" s="14">
        <f t="shared" si="2"/>
        <v>10</v>
      </c>
    </row>
    <row r="90" spans="4:11">
      <c r="D90" s="11">
        <v>46063</v>
      </c>
      <c r="E90" s="12">
        <v>1577699</v>
      </c>
      <c r="F90" s="12" t="s">
        <v>53</v>
      </c>
      <c r="G90" s="13">
        <v>20322234</v>
      </c>
      <c r="H90" s="12" t="s">
        <v>141</v>
      </c>
      <c r="I90" s="13">
        <v>5</v>
      </c>
      <c r="J90" s="14">
        <v>2.5</v>
      </c>
      <c r="K90" s="14">
        <f t="shared" si="2"/>
        <v>12.5</v>
      </c>
    </row>
    <row r="91" spans="4:11">
      <c r="D91" s="11">
        <v>46063</v>
      </c>
      <c r="E91" s="12">
        <v>1577699</v>
      </c>
      <c r="F91" s="12" t="s">
        <v>53</v>
      </c>
      <c r="G91" s="13">
        <v>20330757</v>
      </c>
      <c r="H91" s="12" t="s">
        <v>113</v>
      </c>
      <c r="I91" s="13">
        <v>4</v>
      </c>
      <c r="J91" s="14">
        <v>35</v>
      </c>
      <c r="K91" s="14">
        <f t="shared" si="2"/>
        <v>140</v>
      </c>
    </row>
    <row r="92" spans="4:11">
      <c r="D92" s="11">
        <v>46063</v>
      </c>
      <c r="E92" s="12">
        <v>1577699</v>
      </c>
      <c r="F92" s="12" t="s">
        <v>20</v>
      </c>
      <c r="G92" s="13">
        <v>20014824</v>
      </c>
      <c r="H92" s="12" t="s">
        <v>68</v>
      </c>
      <c r="I92" s="13">
        <v>1</v>
      </c>
      <c r="J92" s="14">
        <v>16.5</v>
      </c>
      <c r="K92" s="14">
        <f t="shared" si="2"/>
        <v>16.5</v>
      </c>
    </row>
    <row r="93" spans="4:11">
      <c r="D93" s="11">
        <v>46063</v>
      </c>
      <c r="E93" s="12">
        <v>1577699</v>
      </c>
      <c r="F93" s="12" t="s">
        <v>20</v>
      </c>
      <c r="G93" s="13">
        <v>20318378</v>
      </c>
      <c r="H93" s="12" t="s">
        <v>128</v>
      </c>
      <c r="I93" s="13">
        <v>1</v>
      </c>
      <c r="J93" s="14">
        <v>16.5</v>
      </c>
      <c r="K93" s="14">
        <f t="shared" si="2"/>
        <v>16.5</v>
      </c>
    </row>
    <row r="94" spans="4:11">
      <c r="D94" s="11">
        <v>46063</v>
      </c>
      <c r="E94" s="12">
        <v>1577699</v>
      </c>
      <c r="F94" s="12" t="s">
        <v>20</v>
      </c>
      <c r="G94" s="13">
        <v>20318380</v>
      </c>
      <c r="H94" s="12" t="s">
        <v>143</v>
      </c>
      <c r="I94" s="13">
        <v>2</v>
      </c>
      <c r="J94" s="14">
        <v>16.5</v>
      </c>
      <c r="K94" s="14">
        <f t="shared" si="2"/>
        <v>33</v>
      </c>
    </row>
    <row r="95" spans="4:11">
      <c r="D95" s="11">
        <v>46063</v>
      </c>
      <c r="E95" s="12">
        <v>1577699</v>
      </c>
      <c r="F95" s="12" t="s">
        <v>20</v>
      </c>
      <c r="G95" s="13">
        <v>20321250</v>
      </c>
      <c r="H95" s="12" t="s">
        <v>157</v>
      </c>
      <c r="I95" s="13">
        <v>1</v>
      </c>
      <c r="J95" s="14">
        <v>16.5</v>
      </c>
      <c r="K95" s="14">
        <f t="shared" si="2"/>
        <v>16.5</v>
      </c>
    </row>
    <row r="96" spans="4:11">
      <c r="D96" s="11">
        <v>46063</v>
      </c>
      <c r="E96" s="12">
        <v>1577699</v>
      </c>
      <c r="F96" s="12" t="s">
        <v>20</v>
      </c>
      <c r="G96" s="13">
        <v>20340289</v>
      </c>
      <c r="H96" s="12" t="s">
        <v>145</v>
      </c>
      <c r="I96" s="13">
        <v>2</v>
      </c>
      <c r="J96" s="14">
        <v>16.5</v>
      </c>
      <c r="K96" s="14">
        <f t="shared" si="2"/>
        <v>33</v>
      </c>
    </row>
    <row r="97" spans="4:11">
      <c r="D97" s="11">
        <v>46063</v>
      </c>
      <c r="E97" s="12">
        <v>1577699</v>
      </c>
      <c r="F97" s="12" t="s">
        <v>20</v>
      </c>
      <c r="G97" s="13">
        <v>20318336</v>
      </c>
      <c r="H97" s="12" t="s">
        <v>137</v>
      </c>
      <c r="I97" s="13">
        <v>2</v>
      </c>
      <c r="J97" s="14">
        <v>16.5</v>
      </c>
      <c r="K97" s="14">
        <f t="shared" si="2"/>
        <v>33</v>
      </c>
    </row>
    <row r="98" spans="4:11">
      <c r="D98" s="11">
        <v>46063</v>
      </c>
      <c r="E98" s="12">
        <v>1577699</v>
      </c>
      <c r="F98" s="12" t="s">
        <v>20</v>
      </c>
      <c r="G98" s="13">
        <v>20318342</v>
      </c>
      <c r="H98" s="12" t="s">
        <v>115</v>
      </c>
      <c r="I98" s="13">
        <v>1</v>
      </c>
      <c r="J98" s="14">
        <v>16.5</v>
      </c>
      <c r="K98" s="14">
        <f t="shared" si="2"/>
        <v>16.5</v>
      </c>
    </row>
    <row r="99" spans="4:11">
      <c r="D99" s="11">
        <v>46063</v>
      </c>
      <c r="E99" s="12">
        <v>1577722</v>
      </c>
      <c r="F99" s="12" t="s">
        <v>13</v>
      </c>
      <c r="G99" s="13">
        <v>20327194</v>
      </c>
      <c r="H99" s="12" t="s">
        <v>158</v>
      </c>
      <c r="I99" s="13">
        <v>1</v>
      </c>
      <c r="J99" s="14">
        <v>27.5</v>
      </c>
      <c r="K99" s="14">
        <f t="shared" si="2"/>
        <v>27.5</v>
      </c>
    </row>
    <row r="100" spans="4:11">
      <c r="D100" s="11">
        <v>46063</v>
      </c>
      <c r="E100" s="12">
        <v>1577722</v>
      </c>
      <c r="F100" s="12" t="s">
        <v>13</v>
      </c>
      <c r="G100" s="13">
        <v>20312965</v>
      </c>
      <c r="H100" s="12" t="s">
        <v>15</v>
      </c>
      <c r="I100" s="13">
        <v>1</v>
      </c>
      <c r="J100" s="14">
        <v>137.5</v>
      </c>
      <c r="K100" s="14">
        <f t="shared" si="2"/>
        <v>137.5</v>
      </c>
    </row>
    <row r="101" spans="4:11">
      <c r="D101" s="11">
        <v>46063</v>
      </c>
      <c r="E101" s="12">
        <v>1577740</v>
      </c>
      <c r="F101" s="12" t="s">
        <v>13</v>
      </c>
      <c r="G101" s="13">
        <v>20321252</v>
      </c>
      <c r="H101" s="12" t="s">
        <v>149</v>
      </c>
      <c r="I101" s="13">
        <v>1</v>
      </c>
      <c r="J101" s="14">
        <v>49.5</v>
      </c>
      <c r="K101" s="14">
        <f t="shared" si="2"/>
        <v>49.5</v>
      </c>
    </row>
    <row r="102" spans="4:11">
      <c r="D102" s="11">
        <v>46063</v>
      </c>
      <c r="E102" s="12">
        <v>1577740</v>
      </c>
      <c r="F102" s="12" t="s">
        <v>13</v>
      </c>
      <c r="G102" s="13">
        <v>20312966</v>
      </c>
      <c r="H102" s="12" t="s">
        <v>147</v>
      </c>
      <c r="I102" s="13">
        <v>7</v>
      </c>
      <c r="J102" s="14">
        <v>159.5</v>
      </c>
      <c r="K102" s="14">
        <f t="shared" si="2"/>
        <v>1116.5</v>
      </c>
    </row>
    <row r="103" spans="4:11">
      <c r="D103" s="11">
        <v>46063</v>
      </c>
      <c r="E103" s="12">
        <v>1577740</v>
      </c>
      <c r="F103" s="12" t="s">
        <v>13</v>
      </c>
      <c r="G103" s="13">
        <v>20312965</v>
      </c>
      <c r="H103" s="12" t="s">
        <v>15</v>
      </c>
      <c r="I103" s="13">
        <v>2</v>
      </c>
      <c r="J103" s="14">
        <v>137.5</v>
      </c>
      <c r="K103" s="14">
        <f t="shared" si="2"/>
        <v>275</v>
      </c>
    </row>
    <row r="104" spans="4:11">
      <c r="D104" s="11">
        <v>46063</v>
      </c>
      <c r="E104" s="12">
        <v>1577740</v>
      </c>
      <c r="F104" s="12" t="s">
        <v>13</v>
      </c>
      <c r="G104" s="13">
        <v>20312967</v>
      </c>
      <c r="H104" s="12" t="s">
        <v>130</v>
      </c>
      <c r="I104" s="13">
        <v>12</v>
      </c>
      <c r="J104" s="14">
        <v>176</v>
      </c>
      <c r="K104" s="14">
        <f t="shared" si="2"/>
        <v>2112</v>
      </c>
    </row>
    <row r="105" spans="4:11">
      <c r="D105" s="11">
        <v>46063</v>
      </c>
      <c r="E105" s="12">
        <v>1577740</v>
      </c>
      <c r="F105" s="12" t="s">
        <v>13</v>
      </c>
      <c r="G105" s="13">
        <v>20386876</v>
      </c>
      <c r="H105" s="12" t="s">
        <v>159</v>
      </c>
      <c r="I105" s="13">
        <v>1</v>
      </c>
      <c r="J105" s="14">
        <v>280.5</v>
      </c>
      <c r="K105" s="14">
        <f t="shared" si="2"/>
        <v>280.5</v>
      </c>
    </row>
    <row r="106" spans="4:11">
      <c r="D106" s="11">
        <v>46063</v>
      </c>
      <c r="E106" s="12">
        <v>1577740</v>
      </c>
      <c r="F106" s="12" t="s">
        <v>16</v>
      </c>
      <c r="G106" s="13">
        <v>20411008</v>
      </c>
      <c r="H106" s="12" t="s">
        <v>160</v>
      </c>
      <c r="I106" s="13">
        <v>1</v>
      </c>
      <c r="J106" s="14">
        <v>16.5</v>
      </c>
      <c r="K106" s="14">
        <f t="shared" si="2"/>
        <v>16.5</v>
      </c>
    </row>
    <row r="107" spans="4:11">
      <c r="D107" s="11">
        <v>46063</v>
      </c>
      <c r="E107" s="12">
        <v>1577740</v>
      </c>
      <c r="F107" s="12" t="s">
        <v>16</v>
      </c>
      <c r="G107" s="13">
        <v>20318395</v>
      </c>
      <c r="H107" s="12" t="s">
        <v>161</v>
      </c>
      <c r="I107" s="13">
        <v>1</v>
      </c>
      <c r="J107" s="14">
        <v>16.5</v>
      </c>
      <c r="K107" s="14">
        <f t="shared" si="2"/>
        <v>16.5</v>
      </c>
    </row>
    <row r="108" spans="4:11">
      <c r="D108" s="11">
        <v>46063</v>
      </c>
      <c r="E108" s="12">
        <v>1577740</v>
      </c>
      <c r="F108" s="12" t="s">
        <v>30</v>
      </c>
      <c r="G108" s="13">
        <v>20408950</v>
      </c>
      <c r="H108" s="12" t="s">
        <v>162</v>
      </c>
      <c r="I108" s="13">
        <v>1</v>
      </c>
      <c r="J108" s="14">
        <v>60.5</v>
      </c>
      <c r="K108" s="14">
        <f t="shared" si="2"/>
        <v>60.5</v>
      </c>
    </row>
    <row r="109" spans="4:11">
      <c r="D109" s="11">
        <v>46063</v>
      </c>
      <c r="E109" s="12">
        <v>1577740</v>
      </c>
      <c r="F109" s="12" t="s">
        <v>20</v>
      </c>
      <c r="G109" s="13">
        <v>20321257</v>
      </c>
      <c r="H109" s="12" t="s">
        <v>21</v>
      </c>
      <c r="I109" s="13">
        <v>8</v>
      </c>
      <c r="J109" s="14">
        <v>16.5</v>
      </c>
      <c r="K109" s="14">
        <f t="shared" si="2"/>
        <v>132</v>
      </c>
    </row>
    <row r="110" spans="4:11">
      <c r="D110" s="11">
        <v>46063</v>
      </c>
      <c r="E110" s="12">
        <v>1577740</v>
      </c>
      <c r="F110" s="12" t="s">
        <v>20</v>
      </c>
      <c r="G110" s="13">
        <v>20363041</v>
      </c>
      <c r="H110" s="12" t="s">
        <v>150</v>
      </c>
      <c r="I110" s="13">
        <v>1</v>
      </c>
      <c r="J110" s="14">
        <v>16.5</v>
      </c>
      <c r="K110" s="14">
        <f t="shared" si="2"/>
        <v>16.5</v>
      </c>
    </row>
    <row r="111" spans="4:11">
      <c r="D111" s="11">
        <v>46063</v>
      </c>
      <c r="E111" s="12">
        <v>1577740</v>
      </c>
      <c r="F111" s="12" t="s">
        <v>20</v>
      </c>
      <c r="G111" s="13">
        <v>20343399</v>
      </c>
      <c r="H111" s="12" t="s">
        <v>153</v>
      </c>
      <c r="I111" s="13">
        <v>1</v>
      </c>
      <c r="J111" s="14">
        <v>33</v>
      </c>
      <c r="K111" s="14">
        <f t="shared" si="2"/>
        <v>33</v>
      </c>
    </row>
    <row r="112" spans="4:11">
      <c r="D112" s="11">
        <v>46063</v>
      </c>
      <c r="E112" s="12">
        <v>1577740</v>
      </c>
      <c r="F112" s="12" t="s">
        <v>20</v>
      </c>
      <c r="G112" s="13">
        <v>20318380</v>
      </c>
      <c r="H112" s="12" t="s">
        <v>143</v>
      </c>
      <c r="I112" s="13">
        <v>1</v>
      </c>
      <c r="J112" s="14">
        <v>16.5</v>
      </c>
      <c r="K112" s="14">
        <f t="shared" si="2"/>
        <v>16.5</v>
      </c>
    </row>
    <row r="113" spans="4:11">
      <c r="D113" s="11">
        <v>46063</v>
      </c>
      <c r="E113" s="12">
        <v>1577740</v>
      </c>
      <c r="F113" s="12" t="s">
        <v>20</v>
      </c>
      <c r="G113" s="13">
        <v>20321604</v>
      </c>
      <c r="H113" s="12" t="s">
        <v>163</v>
      </c>
      <c r="I113" s="13">
        <v>1</v>
      </c>
      <c r="J113" s="14">
        <v>16.5</v>
      </c>
      <c r="K113" s="14">
        <f t="shared" si="2"/>
        <v>16.5</v>
      </c>
    </row>
    <row r="114" spans="4:11">
      <c r="D114" s="11">
        <v>46063</v>
      </c>
      <c r="E114" s="12">
        <v>1577740</v>
      </c>
      <c r="F114" s="12" t="s">
        <v>20</v>
      </c>
      <c r="G114" s="13">
        <v>20318340</v>
      </c>
      <c r="H114" s="12" t="s">
        <v>144</v>
      </c>
      <c r="I114" s="13">
        <v>2</v>
      </c>
      <c r="J114" s="14">
        <v>16.5</v>
      </c>
      <c r="K114" s="14">
        <f t="shared" si="2"/>
        <v>33</v>
      </c>
    </row>
    <row r="115" spans="4:11">
      <c r="D115" s="11">
        <v>46063</v>
      </c>
      <c r="E115" s="12">
        <v>1577740</v>
      </c>
      <c r="F115" s="12" t="s">
        <v>20</v>
      </c>
      <c r="G115" s="13">
        <v>20321502</v>
      </c>
      <c r="H115" s="12" t="s">
        <v>164</v>
      </c>
      <c r="I115" s="13">
        <v>1</v>
      </c>
      <c r="J115" s="14">
        <v>16.5</v>
      </c>
      <c r="K115" s="14">
        <f t="shared" si="2"/>
        <v>16.5</v>
      </c>
    </row>
    <row r="116" spans="4:11">
      <c r="D116" s="11">
        <v>46063</v>
      </c>
      <c r="E116" s="12">
        <v>1577740</v>
      </c>
      <c r="F116" s="12" t="s">
        <v>20</v>
      </c>
      <c r="G116" s="13">
        <v>20321250</v>
      </c>
      <c r="H116" s="12" t="s">
        <v>157</v>
      </c>
      <c r="I116" s="13">
        <v>3</v>
      </c>
      <c r="J116" s="14">
        <v>16.5</v>
      </c>
      <c r="K116" s="14">
        <f t="shared" si="2"/>
        <v>49.5</v>
      </c>
    </row>
    <row r="117" spans="4:11">
      <c r="D117" s="11">
        <v>46063</v>
      </c>
      <c r="E117" s="12">
        <v>1577740</v>
      </c>
      <c r="F117" s="12" t="s">
        <v>20</v>
      </c>
      <c r="G117" s="13">
        <v>20383164</v>
      </c>
      <c r="H117" s="12" t="s">
        <v>151</v>
      </c>
      <c r="I117" s="13">
        <v>1</v>
      </c>
      <c r="J117" s="14">
        <v>22</v>
      </c>
      <c r="K117" s="14">
        <f t="shared" si="2"/>
        <v>22</v>
      </c>
    </row>
    <row r="118" spans="4:11">
      <c r="D118" s="11">
        <v>46063</v>
      </c>
      <c r="E118" s="12">
        <v>1577740</v>
      </c>
      <c r="F118" s="12" t="s">
        <v>20</v>
      </c>
      <c r="G118" s="13">
        <v>20318336</v>
      </c>
      <c r="H118" s="12" t="s">
        <v>137</v>
      </c>
      <c r="I118" s="13">
        <v>3</v>
      </c>
      <c r="J118" s="14">
        <v>16.5</v>
      </c>
      <c r="K118" s="14">
        <f t="shared" si="2"/>
        <v>49.5</v>
      </c>
    </row>
    <row r="119" spans="4:11">
      <c r="D119" s="11">
        <v>46063</v>
      </c>
      <c r="E119" s="12">
        <v>1577740</v>
      </c>
      <c r="F119" s="12" t="s">
        <v>20</v>
      </c>
      <c r="G119" s="13">
        <v>20318342</v>
      </c>
      <c r="H119" s="12" t="s">
        <v>115</v>
      </c>
      <c r="I119" s="13">
        <v>4</v>
      </c>
      <c r="J119" s="14">
        <v>16.5</v>
      </c>
      <c r="K119" s="14">
        <f t="shared" si="2"/>
        <v>66</v>
      </c>
    </row>
    <row r="120" spans="4:11">
      <c r="D120" s="11">
        <v>46063</v>
      </c>
      <c r="E120" s="12">
        <v>1577740</v>
      </c>
      <c r="F120" s="12" t="s">
        <v>20</v>
      </c>
      <c r="G120" s="13">
        <v>20318393</v>
      </c>
      <c r="H120" s="12" t="s">
        <v>26</v>
      </c>
      <c r="I120" s="13">
        <v>2</v>
      </c>
      <c r="J120" s="14">
        <v>16.5</v>
      </c>
      <c r="K120" s="14">
        <f t="shared" si="2"/>
        <v>33</v>
      </c>
    </row>
    <row r="121" spans="4:11">
      <c r="D121" s="11">
        <v>46064</v>
      </c>
      <c r="E121" s="12">
        <v>1577925</v>
      </c>
      <c r="F121" s="12" t="s">
        <v>13</v>
      </c>
      <c r="G121" s="13">
        <v>20321719</v>
      </c>
      <c r="H121" s="12" t="s">
        <v>146</v>
      </c>
      <c r="I121" s="13">
        <v>1</v>
      </c>
      <c r="J121" s="14">
        <v>49.5</v>
      </c>
      <c r="K121" s="14">
        <f t="shared" si="2"/>
        <v>49.5</v>
      </c>
    </row>
    <row r="122" spans="4:11">
      <c r="D122" s="11">
        <v>46064</v>
      </c>
      <c r="E122" s="12">
        <v>1577925</v>
      </c>
      <c r="F122" s="12" t="s">
        <v>13</v>
      </c>
      <c r="G122" s="13">
        <v>20380117</v>
      </c>
      <c r="H122" s="12" t="s">
        <v>165</v>
      </c>
      <c r="I122" s="13">
        <v>1</v>
      </c>
      <c r="J122" s="14">
        <v>49.5</v>
      </c>
      <c r="K122" s="14">
        <f t="shared" si="2"/>
        <v>49.5</v>
      </c>
    </row>
    <row r="123" spans="4:11">
      <c r="D123" s="11">
        <v>46064</v>
      </c>
      <c r="E123" s="12">
        <v>1577925</v>
      </c>
      <c r="F123" s="12" t="s">
        <v>13</v>
      </c>
      <c r="G123" s="13">
        <v>20312966</v>
      </c>
      <c r="H123" s="12" t="s">
        <v>147</v>
      </c>
      <c r="I123" s="13">
        <v>2</v>
      </c>
      <c r="J123" s="14">
        <v>159.5</v>
      </c>
      <c r="K123" s="14">
        <f t="shared" si="2"/>
        <v>319</v>
      </c>
    </row>
    <row r="124" spans="4:11">
      <c r="D124" s="11">
        <v>46064</v>
      </c>
      <c r="E124" s="12">
        <v>1577925</v>
      </c>
      <c r="F124" s="12" t="s">
        <v>13</v>
      </c>
      <c r="G124" s="13">
        <v>20312965</v>
      </c>
      <c r="H124" s="12" t="s">
        <v>15</v>
      </c>
      <c r="I124" s="13">
        <v>2</v>
      </c>
      <c r="J124" s="14">
        <v>137.5</v>
      </c>
      <c r="K124" s="14">
        <f t="shared" si="2"/>
        <v>275</v>
      </c>
    </row>
    <row r="125" spans="4:11">
      <c r="D125" s="11">
        <v>46064</v>
      </c>
      <c r="E125" s="12">
        <v>1577925</v>
      </c>
      <c r="F125" s="12" t="s">
        <v>13</v>
      </c>
      <c r="G125" s="13">
        <v>20312967</v>
      </c>
      <c r="H125" s="12" t="s">
        <v>130</v>
      </c>
      <c r="I125" s="13">
        <v>6</v>
      </c>
      <c r="J125" s="14">
        <v>176</v>
      </c>
      <c r="K125" s="14">
        <f t="shared" si="2"/>
        <v>1056</v>
      </c>
    </row>
    <row r="126" spans="4:11">
      <c r="D126" s="11">
        <v>46064</v>
      </c>
      <c r="E126" s="12">
        <v>1577925</v>
      </c>
      <c r="F126" s="12" t="s">
        <v>53</v>
      </c>
      <c r="G126" s="13">
        <v>20322243</v>
      </c>
      <c r="H126" s="12" t="s">
        <v>54</v>
      </c>
      <c r="I126" s="13">
        <v>2</v>
      </c>
      <c r="J126" s="14">
        <v>30</v>
      </c>
      <c r="K126" s="14">
        <f t="shared" ref="K126:K189" si="3">J126*I126</f>
        <v>60</v>
      </c>
    </row>
    <row r="127" spans="4:11">
      <c r="D127" s="11">
        <v>46064</v>
      </c>
      <c r="E127" s="12">
        <v>1577925</v>
      </c>
      <c r="F127" s="12" t="s">
        <v>53</v>
      </c>
      <c r="G127" s="13">
        <v>20322304</v>
      </c>
      <c r="H127" s="12" t="s">
        <v>112</v>
      </c>
      <c r="I127" s="13">
        <v>3</v>
      </c>
      <c r="J127" s="14">
        <v>25</v>
      </c>
      <c r="K127" s="14">
        <f t="shared" si="3"/>
        <v>75</v>
      </c>
    </row>
    <row r="128" spans="4:11">
      <c r="D128" s="11">
        <v>46064</v>
      </c>
      <c r="E128" s="12">
        <v>1577925</v>
      </c>
      <c r="F128" s="12" t="s">
        <v>53</v>
      </c>
      <c r="G128" s="13">
        <v>20330757</v>
      </c>
      <c r="H128" s="12" t="s">
        <v>113</v>
      </c>
      <c r="I128" s="13">
        <v>4</v>
      </c>
      <c r="J128" s="14">
        <v>35</v>
      </c>
      <c r="K128" s="14">
        <f t="shared" si="3"/>
        <v>140</v>
      </c>
    </row>
    <row r="129" spans="4:11">
      <c r="D129" s="11">
        <v>46064</v>
      </c>
      <c r="E129" s="12">
        <v>1577925</v>
      </c>
      <c r="F129" s="12" t="s">
        <v>20</v>
      </c>
      <c r="G129" s="13">
        <v>20321257</v>
      </c>
      <c r="H129" s="12" t="s">
        <v>21</v>
      </c>
      <c r="I129" s="13">
        <v>9</v>
      </c>
      <c r="J129" s="14">
        <v>16.5</v>
      </c>
      <c r="K129" s="14">
        <f t="shared" si="3"/>
        <v>148.5</v>
      </c>
    </row>
    <row r="130" spans="4:11">
      <c r="D130" s="11">
        <v>46064</v>
      </c>
      <c r="E130" s="12">
        <v>1577925</v>
      </c>
      <c r="F130" s="12" t="s">
        <v>20</v>
      </c>
      <c r="G130" s="13">
        <v>20374027</v>
      </c>
      <c r="H130" s="12" t="s">
        <v>166</v>
      </c>
      <c r="I130" s="13">
        <v>1</v>
      </c>
      <c r="J130" s="14">
        <v>22</v>
      </c>
      <c r="K130" s="14">
        <f t="shared" si="3"/>
        <v>22</v>
      </c>
    </row>
    <row r="131" spans="4:11">
      <c r="D131" s="11">
        <v>46064</v>
      </c>
      <c r="E131" s="12">
        <v>1577925</v>
      </c>
      <c r="F131" s="12" t="s">
        <v>20</v>
      </c>
      <c r="G131" s="13">
        <v>20351231</v>
      </c>
      <c r="H131" s="12" t="s">
        <v>167</v>
      </c>
      <c r="I131" s="13">
        <v>1</v>
      </c>
      <c r="J131" s="14">
        <v>16.5</v>
      </c>
      <c r="K131" s="14">
        <f t="shared" si="3"/>
        <v>16.5</v>
      </c>
    </row>
    <row r="132" spans="4:11">
      <c r="D132" s="11">
        <v>46064</v>
      </c>
      <c r="E132" s="12">
        <v>1577925</v>
      </c>
      <c r="F132" s="12" t="s">
        <v>20</v>
      </c>
      <c r="G132" s="13">
        <v>20343399</v>
      </c>
      <c r="H132" s="12" t="s">
        <v>153</v>
      </c>
      <c r="I132" s="13">
        <v>1</v>
      </c>
      <c r="J132" s="14">
        <v>33</v>
      </c>
      <c r="K132" s="14">
        <f t="shared" si="3"/>
        <v>33</v>
      </c>
    </row>
    <row r="133" spans="4:11">
      <c r="D133" s="11">
        <v>46064</v>
      </c>
      <c r="E133" s="12">
        <v>1577925</v>
      </c>
      <c r="F133" s="12" t="s">
        <v>20</v>
      </c>
      <c r="G133" s="13">
        <v>20321250</v>
      </c>
      <c r="H133" s="12" t="s">
        <v>157</v>
      </c>
      <c r="I133" s="13">
        <v>2</v>
      </c>
      <c r="J133" s="14">
        <v>16.5</v>
      </c>
      <c r="K133" s="14">
        <f t="shared" si="3"/>
        <v>33</v>
      </c>
    </row>
    <row r="134" spans="4:11">
      <c r="D134" s="11">
        <v>46064</v>
      </c>
      <c r="E134" s="12">
        <v>1577970</v>
      </c>
      <c r="F134" s="12" t="s">
        <v>30</v>
      </c>
      <c r="G134" s="13">
        <v>20340286</v>
      </c>
      <c r="H134" s="12" t="s">
        <v>168</v>
      </c>
      <c r="I134" s="13">
        <v>2</v>
      </c>
      <c r="J134" s="14">
        <v>55</v>
      </c>
      <c r="K134" s="14">
        <f t="shared" si="3"/>
        <v>110</v>
      </c>
    </row>
    <row r="135" spans="4:11">
      <c r="D135" s="11">
        <v>46064</v>
      </c>
      <c r="E135" s="12">
        <v>1577970</v>
      </c>
      <c r="F135" s="12" t="s">
        <v>20</v>
      </c>
      <c r="G135" s="13">
        <v>20363041</v>
      </c>
      <c r="H135" s="12" t="s">
        <v>150</v>
      </c>
      <c r="I135" s="13">
        <v>1</v>
      </c>
      <c r="J135" s="14">
        <v>16.5</v>
      </c>
      <c r="K135" s="14">
        <f t="shared" si="3"/>
        <v>16.5</v>
      </c>
    </row>
    <row r="136" spans="4:11">
      <c r="D136" s="11">
        <v>46064</v>
      </c>
      <c r="E136" s="12">
        <v>1577970</v>
      </c>
      <c r="F136" s="12" t="s">
        <v>20</v>
      </c>
      <c r="G136" s="13">
        <v>20321250</v>
      </c>
      <c r="H136" s="12" t="s">
        <v>157</v>
      </c>
      <c r="I136" s="13">
        <v>1</v>
      </c>
      <c r="J136" s="14">
        <v>16.5</v>
      </c>
      <c r="K136" s="14">
        <f t="shared" si="3"/>
        <v>16.5</v>
      </c>
    </row>
    <row r="137" spans="4:11">
      <c r="D137" s="11">
        <v>46064</v>
      </c>
      <c r="E137" s="12">
        <v>1577970</v>
      </c>
      <c r="F137" s="12" t="s">
        <v>20</v>
      </c>
      <c r="G137" s="13">
        <v>20318336</v>
      </c>
      <c r="H137" s="12" t="s">
        <v>137</v>
      </c>
      <c r="I137" s="13">
        <v>1</v>
      </c>
      <c r="J137" s="14">
        <v>16.5</v>
      </c>
      <c r="K137" s="14">
        <f t="shared" si="3"/>
        <v>16.5</v>
      </c>
    </row>
    <row r="138" spans="4:11">
      <c r="D138" s="11">
        <v>46064</v>
      </c>
      <c r="E138" s="12">
        <v>1578005</v>
      </c>
      <c r="F138" s="12" t="s">
        <v>13</v>
      </c>
      <c r="G138" s="13">
        <v>20312966</v>
      </c>
      <c r="H138" s="12" t="s">
        <v>147</v>
      </c>
      <c r="I138" s="13">
        <v>3</v>
      </c>
      <c r="J138" s="14">
        <v>159.5</v>
      </c>
      <c r="K138" s="14">
        <f t="shared" si="3"/>
        <v>478.5</v>
      </c>
    </row>
    <row r="139" spans="4:11">
      <c r="D139" s="11">
        <v>46064</v>
      </c>
      <c r="E139" s="12">
        <v>1578005</v>
      </c>
      <c r="F139" s="12" t="s">
        <v>13</v>
      </c>
      <c r="G139" s="13">
        <v>20312965</v>
      </c>
      <c r="H139" s="12" t="s">
        <v>15</v>
      </c>
      <c r="I139" s="13">
        <v>2</v>
      </c>
      <c r="J139" s="14">
        <v>137.5</v>
      </c>
      <c r="K139" s="14">
        <f t="shared" si="3"/>
        <v>275</v>
      </c>
    </row>
    <row r="140" spans="4:11">
      <c r="D140" s="11">
        <v>46064</v>
      </c>
      <c r="E140" s="12">
        <v>1578005</v>
      </c>
      <c r="F140" s="12" t="s">
        <v>13</v>
      </c>
      <c r="G140" s="13">
        <v>20312967</v>
      </c>
      <c r="H140" s="12" t="s">
        <v>130</v>
      </c>
      <c r="I140" s="13">
        <v>4</v>
      </c>
      <c r="J140" s="14">
        <v>176</v>
      </c>
      <c r="K140" s="14">
        <f t="shared" si="3"/>
        <v>704</v>
      </c>
    </row>
    <row r="141" spans="4:11">
      <c r="D141" s="11">
        <v>46064</v>
      </c>
      <c r="E141" s="12">
        <v>1578005</v>
      </c>
      <c r="F141" s="12" t="s">
        <v>39</v>
      </c>
      <c r="G141" s="13">
        <v>20326338</v>
      </c>
      <c r="H141" s="12" t="s">
        <v>169</v>
      </c>
      <c r="I141" s="13">
        <v>1</v>
      </c>
      <c r="J141" s="14">
        <v>55</v>
      </c>
      <c r="K141" s="14">
        <f t="shared" si="3"/>
        <v>55</v>
      </c>
    </row>
    <row r="142" spans="4:11">
      <c r="D142" s="11">
        <v>46064</v>
      </c>
      <c r="E142" s="12">
        <v>1578005</v>
      </c>
      <c r="F142" s="12" t="s">
        <v>30</v>
      </c>
      <c r="G142" s="13">
        <v>20340286</v>
      </c>
      <c r="H142" s="12" t="s">
        <v>168</v>
      </c>
      <c r="I142" s="13">
        <v>1</v>
      </c>
      <c r="J142" s="14">
        <v>55</v>
      </c>
      <c r="K142" s="14">
        <f t="shared" si="3"/>
        <v>55</v>
      </c>
    </row>
    <row r="143" spans="4:11">
      <c r="D143" s="11">
        <v>46064</v>
      </c>
      <c r="E143" s="12">
        <v>1578005</v>
      </c>
      <c r="F143" s="12" t="s">
        <v>20</v>
      </c>
      <c r="G143" s="13">
        <v>20321250</v>
      </c>
      <c r="H143" s="12" t="s">
        <v>157</v>
      </c>
      <c r="I143" s="13">
        <v>1</v>
      </c>
      <c r="J143" s="14">
        <v>16.5</v>
      </c>
      <c r="K143" s="14">
        <f t="shared" si="3"/>
        <v>16.5</v>
      </c>
    </row>
    <row r="144" spans="4:11">
      <c r="D144" s="11">
        <v>46064</v>
      </c>
      <c r="E144" s="12">
        <v>1578005</v>
      </c>
      <c r="F144" s="12" t="s">
        <v>20</v>
      </c>
      <c r="G144" s="13">
        <v>20340289</v>
      </c>
      <c r="H144" s="12" t="s">
        <v>145</v>
      </c>
      <c r="I144" s="13">
        <v>1</v>
      </c>
      <c r="J144" s="14">
        <v>16.5</v>
      </c>
      <c r="K144" s="14">
        <f t="shared" si="3"/>
        <v>16.5</v>
      </c>
    </row>
    <row r="145" spans="4:11">
      <c r="D145" s="11">
        <v>46064</v>
      </c>
      <c r="E145" s="12">
        <v>1578005</v>
      </c>
      <c r="F145" s="12" t="s">
        <v>20</v>
      </c>
      <c r="G145" s="13">
        <v>20383164</v>
      </c>
      <c r="H145" s="12" t="s">
        <v>151</v>
      </c>
      <c r="I145" s="13">
        <v>1</v>
      </c>
      <c r="J145" s="14">
        <v>22</v>
      </c>
      <c r="K145" s="14">
        <f t="shared" si="3"/>
        <v>22</v>
      </c>
    </row>
    <row r="146" spans="4:11">
      <c r="D146" s="11">
        <v>46064</v>
      </c>
      <c r="E146" s="12">
        <v>1578005</v>
      </c>
      <c r="F146" s="12" t="s">
        <v>20</v>
      </c>
      <c r="G146" s="13">
        <v>20318336</v>
      </c>
      <c r="H146" s="12" t="s">
        <v>137</v>
      </c>
      <c r="I146" s="13">
        <v>3</v>
      </c>
      <c r="J146" s="14">
        <v>16.5</v>
      </c>
      <c r="K146" s="14">
        <f t="shared" si="3"/>
        <v>49.5</v>
      </c>
    </row>
    <row r="147" spans="4:11">
      <c r="D147" s="11">
        <v>46064</v>
      </c>
      <c r="E147" s="12">
        <v>1578005</v>
      </c>
      <c r="F147" s="12" t="s">
        <v>20</v>
      </c>
      <c r="G147" s="13">
        <v>20318342</v>
      </c>
      <c r="H147" s="12" t="s">
        <v>115</v>
      </c>
      <c r="I147" s="13">
        <v>1</v>
      </c>
      <c r="J147" s="14">
        <v>16.5</v>
      </c>
      <c r="K147" s="14">
        <f t="shared" si="3"/>
        <v>16.5</v>
      </c>
    </row>
    <row r="148" spans="4:11">
      <c r="D148" s="11">
        <v>46064</v>
      </c>
      <c r="E148" s="12">
        <v>1578005</v>
      </c>
      <c r="F148" s="12" t="s">
        <v>20</v>
      </c>
      <c r="G148" s="13">
        <v>20322118</v>
      </c>
      <c r="H148" s="12" t="s">
        <v>170</v>
      </c>
      <c r="I148" s="13">
        <v>1</v>
      </c>
      <c r="J148" s="14">
        <v>16.5</v>
      </c>
      <c r="K148" s="14">
        <f t="shared" si="3"/>
        <v>16.5</v>
      </c>
    </row>
    <row r="149" spans="4:11">
      <c r="D149" s="11">
        <v>46064</v>
      </c>
      <c r="E149" s="12">
        <v>1578047</v>
      </c>
      <c r="F149" s="12" t="s">
        <v>13</v>
      </c>
      <c r="G149" s="13">
        <v>20321476</v>
      </c>
      <c r="H149" s="12" t="s">
        <v>148</v>
      </c>
      <c r="I149" s="13">
        <v>1</v>
      </c>
      <c r="J149" s="14">
        <v>55</v>
      </c>
      <c r="K149" s="14">
        <f t="shared" si="3"/>
        <v>55</v>
      </c>
    </row>
    <row r="150" spans="4:11">
      <c r="D150" s="11">
        <v>46064</v>
      </c>
      <c r="E150" s="12">
        <v>1578047</v>
      </c>
      <c r="F150" s="12" t="s">
        <v>13</v>
      </c>
      <c r="G150" s="13">
        <v>20321252</v>
      </c>
      <c r="H150" s="12" t="s">
        <v>149</v>
      </c>
      <c r="I150" s="13">
        <v>1</v>
      </c>
      <c r="J150" s="14">
        <v>49.5</v>
      </c>
      <c r="K150" s="14">
        <f t="shared" si="3"/>
        <v>49.5</v>
      </c>
    </row>
    <row r="151" spans="4:11">
      <c r="D151" s="11">
        <v>46064</v>
      </c>
      <c r="E151" s="12">
        <v>1578047</v>
      </c>
      <c r="F151" s="12" t="s">
        <v>13</v>
      </c>
      <c r="G151" s="13">
        <v>20312999</v>
      </c>
      <c r="H151" s="12" t="s">
        <v>171</v>
      </c>
      <c r="I151" s="13">
        <v>1</v>
      </c>
      <c r="J151" s="14">
        <v>44</v>
      </c>
      <c r="K151" s="14">
        <f t="shared" si="3"/>
        <v>44</v>
      </c>
    </row>
    <row r="152" spans="4:11">
      <c r="D152" s="11">
        <v>46064</v>
      </c>
      <c r="E152" s="12">
        <v>1578047</v>
      </c>
      <c r="F152" s="12" t="s">
        <v>13</v>
      </c>
      <c r="G152" s="13">
        <v>20312966</v>
      </c>
      <c r="H152" s="12" t="s">
        <v>147</v>
      </c>
      <c r="I152" s="13">
        <v>5</v>
      </c>
      <c r="J152" s="14">
        <v>159.5</v>
      </c>
      <c r="K152" s="14">
        <f t="shared" si="3"/>
        <v>797.5</v>
      </c>
    </row>
    <row r="153" spans="4:11">
      <c r="D153" s="11">
        <v>46064</v>
      </c>
      <c r="E153" s="12">
        <v>1578047</v>
      </c>
      <c r="F153" s="12" t="s">
        <v>13</v>
      </c>
      <c r="G153" s="13">
        <v>20312965</v>
      </c>
      <c r="H153" s="12" t="s">
        <v>15</v>
      </c>
      <c r="I153" s="13">
        <v>2</v>
      </c>
      <c r="J153" s="14">
        <v>137.5</v>
      </c>
      <c r="K153" s="14">
        <f t="shared" si="3"/>
        <v>275</v>
      </c>
    </row>
    <row r="154" spans="4:11">
      <c r="D154" s="11">
        <v>46064</v>
      </c>
      <c r="E154" s="12">
        <v>1578047</v>
      </c>
      <c r="F154" s="12" t="s">
        <v>13</v>
      </c>
      <c r="G154" s="13">
        <v>20312967</v>
      </c>
      <c r="H154" s="12" t="s">
        <v>130</v>
      </c>
      <c r="I154" s="13">
        <v>5</v>
      </c>
      <c r="J154" s="14">
        <v>176</v>
      </c>
      <c r="K154" s="14">
        <f t="shared" si="3"/>
        <v>880</v>
      </c>
    </row>
    <row r="155" spans="4:11">
      <c r="D155" s="11">
        <v>46064</v>
      </c>
      <c r="E155" s="12">
        <v>1578047</v>
      </c>
      <c r="F155" s="12" t="s">
        <v>53</v>
      </c>
      <c r="G155" s="13">
        <v>20322235</v>
      </c>
      <c r="H155" s="12" t="s">
        <v>81</v>
      </c>
      <c r="I155" s="13">
        <v>7</v>
      </c>
      <c r="J155" s="14">
        <v>2.5</v>
      </c>
      <c r="K155" s="14">
        <f t="shared" si="3"/>
        <v>17.5</v>
      </c>
    </row>
    <row r="156" spans="4:11">
      <c r="D156" s="11">
        <v>46064</v>
      </c>
      <c r="E156" s="12">
        <v>1578047</v>
      </c>
      <c r="F156" s="12" t="s">
        <v>53</v>
      </c>
      <c r="G156" s="13">
        <v>20323503</v>
      </c>
      <c r="H156" s="12" t="s">
        <v>172</v>
      </c>
      <c r="I156" s="13">
        <v>1</v>
      </c>
      <c r="J156" s="14">
        <v>4</v>
      </c>
      <c r="K156" s="14">
        <f t="shared" si="3"/>
        <v>4</v>
      </c>
    </row>
    <row r="157" spans="4:11">
      <c r="D157" s="11">
        <v>46064</v>
      </c>
      <c r="E157" s="12">
        <v>1578047</v>
      </c>
      <c r="F157" s="12" t="s">
        <v>53</v>
      </c>
      <c r="G157" s="13">
        <v>20322243</v>
      </c>
      <c r="H157" s="12" t="s">
        <v>54</v>
      </c>
      <c r="I157" s="13">
        <v>2</v>
      </c>
      <c r="J157" s="14">
        <v>30</v>
      </c>
      <c r="K157" s="14">
        <f t="shared" si="3"/>
        <v>60</v>
      </c>
    </row>
    <row r="158" spans="4:11">
      <c r="D158" s="11">
        <v>46064</v>
      </c>
      <c r="E158" s="12">
        <v>1578047</v>
      </c>
      <c r="F158" s="12" t="s">
        <v>53</v>
      </c>
      <c r="G158" s="13">
        <v>20322234</v>
      </c>
      <c r="H158" s="12" t="s">
        <v>141</v>
      </c>
      <c r="I158" s="13">
        <v>8</v>
      </c>
      <c r="J158" s="14">
        <v>2.5</v>
      </c>
      <c r="K158" s="14">
        <f t="shared" si="3"/>
        <v>20</v>
      </c>
    </row>
    <row r="159" spans="4:11">
      <c r="D159" s="11">
        <v>46064</v>
      </c>
      <c r="E159" s="12">
        <v>1578047</v>
      </c>
      <c r="F159" s="12" t="s">
        <v>53</v>
      </c>
      <c r="G159" s="13">
        <v>20330757</v>
      </c>
      <c r="H159" s="12" t="s">
        <v>113</v>
      </c>
      <c r="I159" s="13">
        <v>4</v>
      </c>
      <c r="J159" s="14">
        <v>35</v>
      </c>
      <c r="K159" s="14">
        <f t="shared" si="3"/>
        <v>140</v>
      </c>
    </row>
    <row r="160" spans="4:11">
      <c r="D160" s="11">
        <v>46064</v>
      </c>
      <c r="E160" s="12">
        <v>1578047</v>
      </c>
      <c r="F160" s="12" t="s">
        <v>53</v>
      </c>
      <c r="G160" s="13">
        <v>20402355</v>
      </c>
      <c r="H160" s="12" t="s">
        <v>139</v>
      </c>
      <c r="I160" s="13">
        <v>1</v>
      </c>
      <c r="J160" s="14">
        <v>25</v>
      </c>
      <c r="K160" s="14">
        <f t="shared" si="3"/>
        <v>25</v>
      </c>
    </row>
    <row r="161" spans="4:11">
      <c r="D161" s="11">
        <v>46064</v>
      </c>
      <c r="E161" s="12">
        <v>1578047</v>
      </c>
      <c r="F161" s="12" t="s">
        <v>20</v>
      </c>
      <c r="G161" s="13">
        <v>20321257</v>
      </c>
      <c r="H161" s="12" t="s">
        <v>21</v>
      </c>
      <c r="I161" s="13">
        <v>1</v>
      </c>
      <c r="J161" s="14">
        <v>16.5</v>
      </c>
      <c r="K161" s="14">
        <f t="shared" si="3"/>
        <v>16.5</v>
      </c>
    </row>
    <row r="162" spans="4:11">
      <c r="D162" s="11">
        <v>46064</v>
      </c>
      <c r="E162" s="12">
        <v>1578047</v>
      </c>
      <c r="F162" s="12" t="s">
        <v>20</v>
      </c>
      <c r="G162" s="13">
        <v>20363041</v>
      </c>
      <c r="H162" s="12" t="s">
        <v>150</v>
      </c>
      <c r="I162" s="13">
        <v>1</v>
      </c>
      <c r="J162" s="14">
        <v>16.5</v>
      </c>
      <c r="K162" s="14">
        <f t="shared" si="3"/>
        <v>16.5</v>
      </c>
    </row>
    <row r="163" spans="4:11">
      <c r="D163" s="11">
        <v>46064</v>
      </c>
      <c r="E163" s="12">
        <v>1578047</v>
      </c>
      <c r="F163" s="12" t="s">
        <v>20</v>
      </c>
      <c r="G163" s="13">
        <v>20343399</v>
      </c>
      <c r="H163" s="12" t="s">
        <v>153</v>
      </c>
      <c r="I163" s="13">
        <v>1</v>
      </c>
      <c r="J163" s="14">
        <v>33</v>
      </c>
      <c r="K163" s="14">
        <f t="shared" si="3"/>
        <v>33</v>
      </c>
    </row>
    <row r="164" spans="4:11">
      <c r="D164" s="11">
        <v>46064</v>
      </c>
      <c r="E164" s="12">
        <v>1578047</v>
      </c>
      <c r="F164" s="12" t="s">
        <v>20</v>
      </c>
      <c r="G164" s="13">
        <v>20318340</v>
      </c>
      <c r="H164" s="12" t="s">
        <v>144</v>
      </c>
      <c r="I164" s="13">
        <v>1</v>
      </c>
      <c r="J164" s="14">
        <v>16.5</v>
      </c>
      <c r="K164" s="14">
        <f t="shared" si="3"/>
        <v>16.5</v>
      </c>
    </row>
    <row r="165" spans="4:11">
      <c r="D165" s="11">
        <v>46064</v>
      </c>
      <c r="E165" s="12">
        <v>1578047</v>
      </c>
      <c r="F165" s="12" t="s">
        <v>20</v>
      </c>
      <c r="G165" s="13">
        <v>20374808</v>
      </c>
      <c r="H165" s="12" t="s">
        <v>173</v>
      </c>
      <c r="I165" s="13">
        <v>1</v>
      </c>
      <c r="J165" s="14">
        <v>16.5</v>
      </c>
      <c r="K165" s="14">
        <f t="shared" si="3"/>
        <v>16.5</v>
      </c>
    </row>
    <row r="166" spans="4:11">
      <c r="D166" s="11">
        <v>46064</v>
      </c>
      <c r="E166" s="12">
        <v>1578047</v>
      </c>
      <c r="F166" s="12" t="s">
        <v>20</v>
      </c>
      <c r="G166" s="13">
        <v>20318336</v>
      </c>
      <c r="H166" s="12" t="s">
        <v>137</v>
      </c>
      <c r="I166" s="13">
        <v>1</v>
      </c>
      <c r="J166" s="14">
        <v>16.5</v>
      </c>
      <c r="K166" s="14">
        <f t="shared" si="3"/>
        <v>16.5</v>
      </c>
    </row>
    <row r="167" spans="4:11">
      <c r="D167" s="11">
        <v>46064</v>
      </c>
      <c r="E167" s="12">
        <v>1578047</v>
      </c>
      <c r="F167" s="12" t="s">
        <v>20</v>
      </c>
      <c r="G167" s="13">
        <v>20318342</v>
      </c>
      <c r="H167" s="12" t="s">
        <v>115</v>
      </c>
      <c r="I167" s="13">
        <v>1</v>
      </c>
      <c r="J167" s="14">
        <v>16.5</v>
      </c>
      <c r="K167" s="14">
        <f t="shared" si="3"/>
        <v>16.5</v>
      </c>
    </row>
    <row r="168" spans="4:11">
      <c r="D168" s="11">
        <v>46064</v>
      </c>
      <c r="E168" s="12">
        <v>1578061</v>
      </c>
      <c r="F168" s="12" t="s">
        <v>13</v>
      </c>
      <c r="G168" s="13">
        <v>20312966</v>
      </c>
      <c r="H168" s="12" t="s">
        <v>147</v>
      </c>
      <c r="I168" s="13">
        <v>6</v>
      </c>
      <c r="J168" s="14">
        <v>159.5</v>
      </c>
      <c r="K168" s="14">
        <f t="shared" si="3"/>
        <v>957</v>
      </c>
    </row>
    <row r="169" spans="4:11">
      <c r="D169" s="11">
        <v>46064</v>
      </c>
      <c r="E169" s="12">
        <v>1578061</v>
      </c>
      <c r="F169" s="12" t="s">
        <v>13</v>
      </c>
      <c r="G169" s="13">
        <v>20312965</v>
      </c>
      <c r="H169" s="12" t="s">
        <v>15</v>
      </c>
      <c r="I169" s="13">
        <v>3</v>
      </c>
      <c r="J169" s="14">
        <v>137.5</v>
      </c>
      <c r="K169" s="14">
        <f t="shared" si="3"/>
        <v>412.5</v>
      </c>
    </row>
    <row r="170" spans="4:11">
      <c r="D170" s="11">
        <v>46064</v>
      </c>
      <c r="E170" s="12">
        <v>1578061</v>
      </c>
      <c r="F170" s="12" t="s">
        <v>13</v>
      </c>
      <c r="G170" s="13">
        <v>20312967</v>
      </c>
      <c r="H170" s="12" t="s">
        <v>130</v>
      </c>
      <c r="I170" s="13">
        <v>1</v>
      </c>
      <c r="J170" s="14">
        <v>176</v>
      </c>
      <c r="K170" s="14">
        <f t="shared" si="3"/>
        <v>176</v>
      </c>
    </row>
    <row r="171" spans="4:11">
      <c r="D171" s="11">
        <v>46064</v>
      </c>
      <c r="E171" s="12">
        <v>1578061</v>
      </c>
      <c r="F171" s="12" t="s">
        <v>16</v>
      </c>
      <c r="G171" s="13">
        <v>20407037</v>
      </c>
      <c r="H171" s="12" t="s">
        <v>174</v>
      </c>
      <c r="I171" s="13">
        <v>1</v>
      </c>
      <c r="J171" s="20">
        <v>26.5</v>
      </c>
      <c r="K171" s="14">
        <f t="shared" si="3"/>
        <v>26.5</v>
      </c>
    </row>
    <row r="172" spans="4:11">
      <c r="D172" s="11">
        <v>46064</v>
      </c>
      <c r="E172" s="12">
        <v>1578061</v>
      </c>
      <c r="F172" s="12" t="s">
        <v>30</v>
      </c>
      <c r="G172" s="13">
        <v>20340286</v>
      </c>
      <c r="H172" s="12" t="s">
        <v>168</v>
      </c>
      <c r="I172" s="13">
        <v>1</v>
      </c>
      <c r="J172" s="14">
        <v>55</v>
      </c>
      <c r="K172" s="14">
        <f t="shared" si="3"/>
        <v>55</v>
      </c>
    </row>
    <row r="173" spans="4:11">
      <c r="D173" s="11">
        <v>46064</v>
      </c>
      <c r="E173" s="12">
        <v>1578061</v>
      </c>
      <c r="F173" s="12" t="s">
        <v>20</v>
      </c>
      <c r="G173" s="13">
        <v>20321257</v>
      </c>
      <c r="H173" s="12" t="s">
        <v>21</v>
      </c>
      <c r="I173" s="13">
        <v>1</v>
      </c>
      <c r="J173" s="14">
        <v>16.5</v>
      </c>
      <c r="K173" s="14">
        <f t="shared" si="3"/>
        <v>16.5</v>
      </c>
    </row>
    <row r="174" spans="4:11">
      <c r="D174" s="11">
        <v>46064</v>
      </c>
      <c r="E174" s="12">
        <v>1578061</v>
      </c>
      <c r="F174" s="12" t="s">
        <v>20</v>
      </c>
      <c r="G174" s="13">
        <v>20318375</v>
      </c>
      <c r="H174" s="12" t="s">
        <v>67</v>
      </c>
      <c r="I174" s="13">
        <v>1</v>
      </c>
      <c r="J174" s="14">
        <v>16.5</v>
      </c>
      <c r="K174" s="14">
        <f t="shared" si="3"/>
        <v>16.5</v>
      </c>
    </row>
    <row r="175" spans="4:11">
      <c r="D175" s="11">
        <v>46064</v>
      </c>
      <c r="E175" s="12">
        <v>1578061</v>
      </c>
      <c r="F175" s="12" t="s">
        <v>20</v>
      </c>
      <c r="G175" s="13">
        <v>20014824</v>
      </c>
      <c r="H175" s="12" t="s">
        <v>68</v>
      </c>
      <c r="I175" s="13">
        <v>1</v>
      </c>
      <c r="J175" s="14">
        <v>16.5</v>
      </c>
      <c r="K175" s="14">
        <f t="shared" si="3"/>
        <v>16.5</v>
      </c>
    </row>
    <row r="176" spans="4:11">
      <c r="D176" s="11">
        <v>46064</v>
      </c>
      <c r="E176" s="12">
        <v>1578061</v>
      </c>
      <c r="F176" s="12" t="s">
        <v>20</v>
      </c>
      <c r="G176" s="13">
        <v>20318380</v>
      </c>
      <c r="H176" s="12" t="s">
        <v>143</v>
      </c>
      <c r="I176" s="13">
        <v>1</v>
      </c>
      <c r="J176" s="14">
        <v>16.5</v>
      </c>
      <c r="K176" s="14">
        <f t="shared" si="3"/>
        <v>16.5</v>
      </c>
    </row>
    <row r="177" spans="4:11">
      <c r="D177" s="11">
        <v>46064</v>
      </c>
      <c r="E177" s="12">
        <v>1578061</v>
      </c>
      <c r="F177" s="12" t="s">
        <v>20</v>
      </c>
      <c r="G177" s="13">
        <v>20321250</v>
      </c>
      <c r="H177" s="12" t="s">
        <v>157</v>
      </c>
      <c r="I177" s="13">
        <v>2</v>
      </c>
      <c r="J177" s="14">
        <v>16.5</v>
      </c>
      <c r="K177" s="14">
        <f t="shared" si="3"/>
        <v>33</v>
      </c>
    </row>
    <row r="178" spans="4:11">
      <c r="D178" s="11">
        <v>46064</v>
      </c>
      <c r="E178" s="12">
        <v>1578061</v>
      </c>
      <c r="F178" s="12" t="s">
        <v>20</v>
      </c>
      <c r="G178" s="13">
        <v>20318393</v>
      </c>
      <c r="H178" s="12" t="s">
        <v>26</v>
      </c>
      <c r="I178" s="13">
        <v>1</v>
      </c>
      <c r="J178" s="14">
        <v>16.5</v>
      </c>
      <c r="K178" s="14">
        <f t="shared" si="3"/>
        <v>16.5</v>
      </c>
    </row>
    <row r="179" spans="4:11">
      <c r="D179" s="11">
        <v>46065</v>
      </c>
      <c r="E179" s="12">
        <v>1578226</v>
      </c>
      <c r="F179" s="12" t="s">
        <v>13</v>
      </c>
      <c r="G179" s="13">
        <v>20312966</v>
      </c>
      <c r="H179" s="12" t="s">
        <v>147</v>
      </c>
      <c r="I179" s="13">
        <v>4</v>
      </c>
      <c r="J179" s="14">
        <v>159.5</v>
      </c>
      <c r="K179" s="14">
        <f t="shared" si="3"/>
        <v>638</v>
      </c>
    </row>
    <row r="180" spans="4:11">
      <c r="D180" s="11">
        <v>46065</v>
      </c>
      <c r="E180" s="12">
        <v>1578226</v>
      </c>
      <c r="F180" s="12" t="s">
        <v>13</v>
      </c>
      <c r="G180" s="13">
        <v>20312965</v>
      </c>
      <c r="H180" s="12" t="s">
        <v>15</v>
      </c>
      <c r="I180" s="13">
        <v>2</v>
      </c>
      <c r="J180" s="14">
        <v>137.5</v>
      </c>
      <c r="K180" s="14">
        <f t="shared" si="3"/>
        <v>275</v>
      </c>
    </row>
    <row r="181" spans="4:11">
      <c r="D181" s="11">
        <v>46065</v>
      </c>
      <c r="E181" s="12">
        <v>1578226</v>
      </c>
      <c r="F181" s="12" t="s">
        <v>13</v>
      </c>
      <c r="G181" s="13">
        <v>20312967</v>
      </c>
      <c r="H181" s="12" t="s">
        <v>130</v>
      </c>
      <c r="I181" s="13">
        <v>2</v>
      </c>
      <c r="J181" s="14">
        <v>176</v>
      </c>
      <c r="K181" s="14">
        <f t="shared" si="3"/>
        <v>352</v>
      </c>
    </row>
    <row r="182" spans="4:11">
      <c r="D182" s="11">
        <v>46065</v>
      </c>
      <c r="E182" s="12">
        <v>1578226</v>
      </c>
      <c r="F182" s="12" t="s">
        <v>53</v>
      </c>
      <c r="G182" s="13">
        <v>20322304</v>
      </c>
      <c r="H182" s="12" t="s">
        <v>112</v>
      </c>
      <c r="I182" s="13">
        <v>3</v>
      </c>
      <c r="J182" s="14">
        <v>25</v>
      </c>
      <c r="K182" s="14">
        <f t="shared" si="3"/>
        <v>75</v>
      </c>
    </row>
    <row r="183" spans="4:11">
      <c r="D183" s="11">
        <v>46065</v>
      </c>
      <c r="E183" s="12">
        <v>1578226</v>
      </c>
      <c r="F183" s="12" t="s">
        <v>53</v>
      </c>
      <c r="G183" s="13">
        <v>20330757</v>
      </c>
      <c r="H183" s="12" t="s">
        <v>113</v>
      </c>
      <c r="I183" s="13">
        <v>4</v>
      </c>
      <c r="J183" s="14">
        <v>35</v>
      </c>
      <c r="K183" s="14">
        <f t="shared" si="3"/>
        <v>140</v>
      </c>
    </row>
    <row r="184" spans="4:11">
      <c r="D184" s="11">
        <v>46065</v>
      </c>
      <c r="E184" s="12">
        <v>1578226</v>
      </c>
      <c r="F184" s="12" t="s">
        <v>20</v>
      </c>
      <c r="G184" s="13">
        <v>20318334</v>
      </c>
      <c r="H184" s="12" t="s">
        <v>175</v>
      </c>
      <c r="I184" s="13">
        <v>1</v>
      </c>
      <c r="J184" s="14">
        <v>16.5</v>
      </c>
      <c r="K184" s="14">
        <f t="shared" si="3"/>
        <v>16.5</v>
      </c>
    </row>
    <row r="185" spans="4:11">
      <c r="D185" s="11">
        <v>46065</v>
      </c>
      <c r="E185" s="12">
        <v>1578226</v>
      </c>
      <c r="F185" s="12" t="s">
        <v>20</v>
      </c>
      <c r="G185" s="13">
        <v>20407575</v>
      </c>
      <c r="H185" s="12" t="s">
        <v>140</v>
      </c>
      <c r="I185" s="13">
        <v>1</v>
      </c>
      <c r="J185" s="14">
        <v>16.5</v>
      </c>
      <c r="K185" s="14">
        <f t="shared" si="3"/>
        <v>16.5</v>
      </c>
    </row>
    <row r="186" spans="4:11">
      <c r="D186" s="11">
        <v>46065</v>
      </c>
      <c r="E186" s="12">
        <v>1578226</v>
      </c>
      <c r="F186" s="12" t="s">
        <v>20</v>
      </c>
      <c r="G186" s="13">
        <v>20318342</v>
      </c>
      <c r="H186" s="12" t="s">
        <v>115</v>
      </c>
      <c r="I186" s="13">
        <v>1</v>
      </c>
      <c r="J186" s="14">
        <v>16.5</v>
      </c>
      <c r="K186" s="14">
        <f t="shared" si="3"/>
        <v>16.5</v>
      </c>
    </row>
    <row r="187" spans="4:11">
      <c r="D187" s="11">
        <v>46065</v>
      </c>
      <c r="E187" s="12">
        <v>1578271</v>
      </c>
      <c r="F187" s="12" t="s">
        <v>13</v>
      </c>
      <c r="G187" s="13">
        <v>20321719</v>
      </c>
      <c r="H187" s="12" t="s">
        <v>146</v>
      </c>
      <c r="I187" s="13">
        <v>1</v>
      </c>
      <c r="J187" s="14">
        <v>49.5</v>
      </c>
      <c r="K187" s="14">
        <f t="shared" si="3"/>
        <v>49.5</v>
      </c>
    </row>
    <row r="188" spans="4:11">
      <c r="D188" s="11">
        <v>46065</v>
      </c>
      <c r="E188" s="12">
        <v>1578271</v>
      </c>
      <c r="F188" s="12" t="s">
        <v>13</v>
      </c>
      <c r="G188" s="13">
        <v>20312966</v>
      </c>
      <c r="H188" s="12" t="s">
        <v>147</v>
      </c>
      <c r="I188" s="13">
        <v>1</v>
      </c>
      <c r="J188" s="14">
        <v>159.5</v>
      </c>
      <c r="K188" s="14">
        <f t="shared" si="3"/>
        <v>159.5</v>
      </c>
    </row>
    <row r="189" spans="4:11">
      <c r="D189" s="11">
        <v>46065</v>
      </c>
      <c r="E189" s="12">
        <v>1578271</v>
      </c>
      <c r="F189" s="12" t="s">
        <v>13</v>
      </c>
      <c r="G189" s="13">
        <v>20312965</v>
      </c>
      <c r="H189" s="12" t="s">
        <v>15</v>
      </c>
      <c r="I189" s="13">
        <v>2</v>
      </c>
      <c r="J189" s="14">
        <v>137.5</v>
      </c>
      <c r="K189" s="14">
        <f t="shared" si="3"/>
        <v>275</v>
      </c>
    </row>
    <row r="190" spans="4:11">
      <c r="D190" s="11">
        <v>46065</v>
      </c>
      <c r="E190" s="12">
        <v>1578271</v>
      </c>
      <c r="F190" s="12" t="s">
        <v>13</v>
      </c>
      <c r="G190" s="13">
        <v>20312967</v>
      </c>
      <c r="H190" s="12" t="s">
        <v>130</v>
      </c>
      <c r="I190" s="13">
        <v>2</v>
      </c>
      <c r="J190" s="14">
        <v>176</v>
      </c>
      <c r="K190" s="14">
        <f t="shared" ref="K190:K206" si="4">J190*I190</f>
        <v>352</v>
      </c>
    </row>
    <row r="191" spans="4:11">
      <c r="D191" s="11">
        <v>46065</v>
      </c>
      <c r="E191" s="12">
        <v>1578271</v>
      </c>
      <c r="F191" s="12" t="s">
        <v>20</v>
      </c>
      <c r="G191" s="13">
        <v>20321257</v>
      </c>
      <c r="H191" s="12" t="s">
        <v>21</v>
      </c>
      <c r="I191" s="13">
        <v>11</v>
      </c>
      <c r="J191" s="14">
        <v>16.5</v>
      </c>
      <c r="K191" s="14">
        <f t="shared" si="4"/>
        <v>181.5</v>
      </c>
    </row>
    <row r="192" spans="4:11">
      <c r="D192" s="11">
        <v>46065</v>
      </c>
      <c r="E192" s="12">
        <v>1578271</v>
      </c>
      <c r="F192" s="12" t="s">
        <v>20</v>
      </c>
      <c r="G192" s="13">
        <v>20318378</v>
      </c>
      <c r="H192" s="12" t="s">
        <v>128</v>
      </c>
      <c r="I192" s="13">
        <v>1</v>
      </c>
      <c r="J192" s="14">
        <v>16.5</v>
      </c>
      <c r="K192" s="14">
        <f t="shared" si="4"/>
        <v>16.5</v>
      </c>
    </row>
    <row r="193" spans="4:11">
      <c r="D193" s="11">
        <v>46065</v>
      </c>
      <c r="E193" s="12">
        <v>1578271</v>
      </c>
      <c r="F193" s="12" t="s">
        <v>20</v>
      </c>
      <c r="G193" s="13">
        <v>20374808</v>
      </c>
      <c r="H193" s="12" t="s">
        <v>173</v>
      </c>
      <c r="I193" s="13">
        <v>1</v>
      </c>
      <c r="J193" s="14">
        <v>16.5</v>
      </c>
      <c r="K193" s="14">
        <f t="shared" si="4"/>
        <v>16.5</v>
      </c>
    </row>
    <row r="194" spans="4:11">
      <c r="D194" s="11">
        <v>46065</v>
      </c>
      <c r="E194" s="12">
        <v>1578271</v>
      </c>
      <c r="F194" s="12" t="s">
        <v>20</v>
      </c>
      <c r="G194" s="13">
        <v>20321250</v>
      </c>
      <c r="H194" s="12" t="s">
        <v>157</v>
      </c>
      <c r="I194" s="13">
        <v>1</v>
      </c>
      <c r="J194" s="14">
        <v>16.5</v>
      </c>
      <c r="K194" s="14">
        <f t="shared" si="4"/>
        <v>16.5</v>
      </c>
    </row>
    <row r="195" spans="4:11">
      <c r="D195" s="11">
        <v>46065</v>
      </c>
      <c r="E195" s="12">
        <v>1578271</v>
      </c>
      <c r="F195" s="12" t="s">
        <v>20</v>
      </c>
      <c r="G195" s="13">
        <v>20383164</v>
      </c>
      <c r="H195" s="12" t="s">
        <v>151</v>
      </c>
      <c r="I195" s="13">
        <v>1</v>
      </c>
      <c r="J195" s="14">
        <v>22</v>
      </c>
      <c r="K195" s="14">
        <f t="shared" si="4"/>
        <v>22</v>
      </c>
    </row>
    <row r="196" spans="4:11">
      <c r="D196" s="11">
        <v>46065</v>
      </c>
      <c r="E196" s="12">
        <v>1578271</v>
      </c>
      <c r="F196" s="12" t="s">
        <v>20</v>
      </c>
      <c r="G196" s="13">
        <v>20318336</v>
      </c>
      <c r="H196" s="12" t="s">
        <v>137</v>
      </c>
      <c r="I196" s="13">
        <v>1</v>
      </c>
      <c r="J196" s="14">
        <v>16.5</v>
      </c>
      <c r="K196" s="14">
        <f t="shared" si="4"/>
        <v>16.5</v>
      </c>
    </row>
    <row r="197" spans="4:11">
      <c r="D197" s="11">
        <v>46065</v>
      </c>
      <c r="E197" s="12">
        <v>1578271</v>
      </c>
      <c r="F197" s="12" t="s">
        <v>20</v>
      </c>
      <c r="G197" s="13">
        <v>20318342</v>
      </c>
      <c r="H197" s="12" t="s">
        <v>115</v>
      </c>
      <c r="I197" s="13">
        <v>1</v>
      </c>
      <c r="J197" s="14">
        <v>16.5</v>
      </c>
      <c r="K197" s="14">
        <f t="shared" si="4"/>
        <v>16.5</v>
      </c>
    </row>
    <row r="198" spans="4:11">
      <c r="D198" s="11">
        <v>46065</v>
      </c>
      <c r="E198" s="12">
        <v>1578274</v>
      </c>
      <c r="F198" s="12" t="s">
        <v>13</v>
      </c>
      <c r="G198" s="13">
        <v>20312966</v>
      </c>
      <c r="H198" s="12" t="s">
        <v>147</v>
      </c>
      <c r="I198" s="13">
        <v>1</v>
      </c>
      <c r="J198" s="14">
        <v>159.5</v>
      </c>
      <c r="K198" s="14">
        <f t="shared" si="4"/>
        <v>159.5</v>
      </c>
    </row>
    <row r="199" spans="4:11">
      <c r="D199" s="11">
        <v>46065</v>
      </c>
      <c r="E199" s="12">
        <v>1578274</v>
      </c>
      <c r="F199" s="12" t="s">
        <v>13</v>
      </c>
      <c r="G199" s="13">
        <v>20312967</v>
      </c>
      <c r="H199" s="12" t="s">
        <v>130</v>
      </c>
      <c r="I199" s="13">
        <v>2</v>
      </c>
      <c r="J199" s="14">
        <v>176</v>
      </c>
      <c r="K199" s="14">
        <f t="shared" si="4"/>
        <v>352</v>
      </c>
    </row>
    <row r="200" spans="4:11">
      <c r="D200" s="11">
        <v>46065</v>
      </c>
      <c r="E200" s="12">
        <v>1578312</v>
      </c>
      <c r="F200" s="12" t="s">
        <v>13</v>
      </c>
      <c r="G200" s="13">
        <v>20312995</v>
      </c>
      <c r="H200" s="12" t="s">
        <v>176</v>
      </c>
      <c r="I200" s="13">
        <v>1</v>
      </c>
      <c r="J200" s="14">
        <v>82.5</v>
      </c>
      <c r="K200" s="14">
        <f t="shared" si="4"/>
        <v>82.5</v>
      </c>
    </row>
    <row r="201" spans="4:11">
      <c r="D201" s="11">
        <v>46065</v>
      </c>
      <c r="E201" s="12">
        <v>1578312</v>
      </c>
      <c r="F201" s="12" t="s">
        <v>13</v>
      </c>
      <c r="G201" s="13">
        <v>20312966</v>
      </c>
      <c r="H201" s="12" t="s">
        <v>147</v>
      </c>
      <c r="I201" s="13">
        <v>6</v>
      </c>
      <c r="J201" s="14">
        <v>159.5</v>
      </c>
      <c r="K201" s="14">
        <f t="shared" si="4"/>
        <v>957</v>
      </c>
    </row>
    <row r="202" spans="4:11">
      <c r="D202" s="11">
        <v>46065</v>
      </c>
      <c r="E202" s="12">
        <v>1578312</v>
      </c>
      <c r="F202" s="12" t="s">
        <v>13</v>
      </c>
      <c r="G202" s="13">
        <v>20327195</v>
      </c>
      <c r="H202" s="12" t="s">
        <v>177</v>
      </c>
      <c r="I202" s="13">
        <v>1</v>
      </c>
      <c r="J202" s="14">
        <v>44</v>
      </c>
      <c r="K202" s="14">
        <f t="shared" si="4"/>
        <v>44</v>
      </c>
    </row>
    <row r="203" spans="4:11">
      <c r="D203" s="11">
        <v>46065</v>
      </c>
      <c r="E203" s="12">
        <v>1578312</v>
      </c>
      <c r="F203" s="12" t="s">
        <v>13</v>
      </c>
      <c r="G203" s="13">
        <v>20312965</v>
      </c>
      <c r="H203" s="12" t="s">
        <v>15</v>
      </c>
      <c r="I203" s="13">
        <v>2</v>
      </c>
      <c r="J203" s="14">
        <v>137.5</v>
      </c>
      <c r="K203" s="14">
        <f t="shared" si="4"/>
        <v>275</v>
      </c>
    </row>
    <row r="204" spans="4:11">
      <c r="D204" s="11">
        <v>46065</v>
      </c>
      <c r="E204" s="12">
        <v>1578312</v>
      </c>
      <c r="F204" s="12" t="s">
        <v>13</v>
      </c>
      <c r="G204" s="13">
        <v>20312967</v>
      </c>
      <c r="H204" s="12" t="s">
        <v>130</v>
      </c>
      <c r="I204" s="13">
        <v>5</v>
      </c>
      <c r="J204" s="14">
        <v>176</v>
      </c>
      <c r="K204" s="14">
        <f t="shared" si="4"/>
        <v>880</v>
      </c>
    </row>
    <row r="205" spans="4:11">
      <c r="D205" s="11">
        <v>46065</v>
      </c>
      <c r="E205" s="12">
        <v>1578312</v>
      </c>
      <c r="F205" s="12" t="s">
        <v>20</v>
      </c>
      <c r="G205" s="13">
        <v>20321257</v>
      </c>
      <c r="H205" s="12" t="s">
        <v>21</v>
      </c>
      <c r="I205" s="13">
        <v>1</v>
      </c>
      <c r="J205" s="14">
        <v>16.5</v>
      </c>
      <c r="K205" s="14">
        <f t="shared" si="4"/>
        <v>16.5</v>
      </c>
    </row>
    <row r="206" spans="4:11">
      <c r="D206" s="11">
        <v>46065</v>
      </c>
      <c r="E206" s="12">
        <v>1578312</v>
      </c>
      <c r="F206" s="12" t="s">
        <v>20</v>
      </c>
      <c r="G206" s="13">
        <v>20318378</v>
      </c>
      <c r="H206" s="12" t="s">
        <v>128</v>
      </c>
      <c r="I206" s="13">
        <v>1</v>
      </c>
      <c r="J206" s="14">
        <v>16.5</v>
      </c>
      <c r="K206" s="14">
        <f t="shared" si="4"/>
        <v>16.5</v>
      </c>
    </row>
    <row r="207" spans="4:11">
      <c r="D207" s="11">
        <v>46065</v>
      </c>
      <c r="E207" s="12">
        <v>1578312</v>
      </c>
      <c r="F207" s="12" t="s">
        <v>20</v>
      </c>
      <c r="G207" s="13">
        <v>20318340</v>
      </c>
      <c r="H207" s="12" t="s">
        <v>144</v>
      </c>
      <c r="I207" s="13">
        <v>1</v>
      </c>
      <c r="J207" s="14">
        <v>16.5</v>
      </c>
      <c r="K207" s="14">
        <f t="shared" ref="K207:K225" si="5">J207*I207</f>
        <v>16.5</v>
      </c>
    </row>
    <row r="208" spans="4:11">
      <c r="D208" s="11">
        <v>46065</v>
      </c>
      <c r="E208" s="12">
        <v>1578312</v>
      </c>
      <c r="F208" s="12" t="s">
        <v>20</v>
      </c>
      <c r="G208" s="13">
        <v>20321250</v>
      </c>
      <c r="H208" s="12" t="s">
        <v>157</v>
      </c>
      <c r="I208" s="13">
        <v>1</v>
      </c>
      <c r="J208" s="14">
        <v>16.5</v>
      </c>
      <c r="K208" s="14">
        <f t="shared" si="5"/>
        <v>16.5</v>
      </c>
    </row>
    <row r="209" spans="4:11">
      <c r="D209" s="11">
        <v>46065</v>
      </c>
      <c r="E209" s="12">
        <v>1578312</v>
      </c>
      <c r="F209" s="12" t="s">
        <v>20</v>
      </c>
      <c r="G209" s="13">
        <v>20318383</v>
      </c>
      <c r="H209" s="12" t="s">
        <v>178</v>
      </c>
      <c r="I209" s="13">
        <v>1</v>
      </c>
      <c r="J209" s="14">
        <v>16.5</v>
      </c>
      <c r="K209" s="14">
        <f t="shared" si="5"/>
        <v>16.5</v>
      </c>
    </row>
    <row r="210" spans="4:11">
      <c r="D210" s="11">
        <v>46065</v>
      </c>
      <c r="E210" s="12">
        <v>1578312</v>
      </c>
      <c r="F210" s="12" t="s">
        <v>20</v>
      </c>
      <c r="G210" s="13">
        <v>20383164</v>
      </c>
      <c r="H210" s="12" t="s">
        <v>151</v>
      </c>
      <c r="I210" s="13">
        <v>2</v>
      </c>
      <c r="J210" s="14">
        <v>22</v>
      </c>
      <c r="K210" s="14">
        <f t="shared" si="5"/>
        <v>44</v>
      </c>
    </row>
    <row r="211" spans="4:11">
      <c r="D211" s="11">
        <v>46065</v>
      </c>
      <c r="E211" s="12">
        <v>1578312</v>
      </c>
      <c r="F211" s="12" t="s">
        <v>20</v>
      </c>
      <c r="G211" s="13">
        <v>20318336</v>
      </c>
      <c r="H211" s="12" t="s">
        <v>137</v>
      </c>
      <c r="I211" s="13">
        <v>1</v>
      </c>
      <c r="J211" s="14">
        <v>16.5</v>
      </c>
      <c r="K211" s="14">
        <f t="shared" si="5"/>
        <v>16.5</v>
      </c>
    </row>
    <row r="212" spans="4:11">
      <c r="D212" s="11">
        <v>46065</v>
      </c>
      <c r="E212" s="12">
        <v>1578312</v>
      </c>
      <c r="F212" s="12" t="s">
        <v>20</v>
      </c>
      <c r="G212" s="13">
        <v>20318342</v>
      </c>
      <c r="H212" s="12" t="s">
        <v>115</v>
      </c>
      <c r="I212" s="13">
        <v>2</v>
      </c>
      <c r="J212" s="14">
        <v>16.5</v>
      </c>
      <c r="K212" s="14">
        <f t="shared" si="5"/>
        <v>33</v>
      </c>
    </row>
    <row r="213" spans="4:11">
      <c r="D213" s="11">
        <v>46065</v>
      </c>
      <c r="E213" s="12">
        <v>1578312</v>
      </c>
      <c r="F213" s="12" t="s">
        <v>20</v>
      </c>
      <c r="G213" s="13">
        <v>20356051</v>
      </c>
      <c r="H213" s="12" t="s">
        <v>179</v>
      </c>
      <c r="I213" s="13">
        <v>1</v>
      </c>
      <c r="J213" s="14">
        <v>16.5</v>
      </c>
      <c r="K213" s="14">
        <f t="shared" si="5"/>
        <v>16.5</v>
      </c>
    </row>
    <row r="214" spans="4:11">
      <c r="D214" s="11">
        <v>46065</v>
      </c>
      <c r="E214" s="12">
        <v>1578326</v>
      </c>
      <c r="F214" s="12" t="s">
        <v>13</v>
      </c>
      <c r="G214" s="13">
        <v>20321476</v>
      </c>
      <c r="H214" s="12" t="s">
        <v>148</v>
      </c>
      <c r="I214" s="13">
        <v>1</v>
      </c>
      <c r="J214" s="14">
        <v>55</v>
      </c>
      <c r="K214" s="14">
        <f t="shared" si="5"/>
        <v>55</v>
      </c>
    </row>
    <row r="215" spans="4:11">
      <c r="D215" s="11">
        <v>46065</v>
      </c>
      <c r="E215" s="12">
        <v>1578326</v>
      </c>
      <c r="F215" s="12" t="s">
        <v>13</v>
      </c>
      <c r="G215" s="13">
        <v>20321252</v>
      </c>
      <c r="H215" s="12" t="s">
        <v>149</v>
      </c>
      <c r="I215" s="13">
        <v>1</v>
      </c>
      <c r="J215" s="14">
        <v>49.5</v>
      </c>
      <c r="K215" s="14">
        <f t="shared" si="5"/>
        <v>49.5</v>
      </c>
    </row>
    <row r="216" spans="4:11">
      <c r="D216" s="11">
        <v>46065</v>
      </c>
      <c r="E216" s="12">
        <v>1578343</v>
      </c>
      <c r="F216" s="12" t="s">
        <v>13</v>
      </c>
      <c r="G216" s="13">
        <v>20312966</v>
      </c>
      <c r="H216" s="12" t="s">
        <v>147</v>
      </c>
      <c r="I216" s="13">
        <v>4</v>
      </c>
      <c r="J216" s="14">
        <v>159.5</v>
      </c>
      <c r="K216" s="14">
        <f t="shared" si="5"/>
        <v>638</v>
      </c>
    </row>
    <row r="217" spans="4:11">
      <c r="D217" s="11">
        <v>46065</v>
      </c>
      <c r="E217" s="12">
        <v>1578343</v>
      </c>
      <c r="F217" s="12" t="s">
        <v>13</v>
      </c>
      <c r="G217" s="13">
        <v>20312965</v>
      </c>
      <c r="H217" s="12" t="s">
        <v>15</v>
      </c>
      <c r="I217" s="13">
        <v>4</v>
      </c>
      <c r="J217" s="14">
        <v>137.5</v>
      </c>
      <c r="K217" s="14">
        <f t="shared" si="5"/>
        <v>550</v>
      </c>
    </row>
    <row r="218" spans="4:11">
      <c r="D218" s="11">
        <v>46065</v>
      </c>
      <c r="E218" s="12">
        <v>1578343</v>
      </c>
      <c r="F218" s="12" t="s">
        <v>13</v>
      </c>
      <c r="G218" s="13">
        <v>20312967</v>
      </c>
      <c r="H218" s="12" t="s">
        <v>130</v>
      </c>
      <c r="I218" s="13">
        <v>3</v>
      </c>
      <c r="J218" s="14">
        <v>176</v>
      </c>
      <c r="K218" s="14">
        <f t="shared" si="5"/>
        <v>528</v>
      </c>
    </row>
    <row r="219" spans="4:11">
      <c r="D219" s="11">
        <v>46065</v>
      </c>
      <c r="E219" s="12">
        <v>1578343</v>
      </c>
      <c r="F219" s="12" t="s">
        <v>53</v>
      </c>
      <c r="G219" s="13">
        <v>20322235</v>
      </c>
      <c r="H219" s="12" t="s">
        <v>81</v>
      </c>
      <c r="I219" s="13">
        <v>5</v>
      </c>
      <c r="J219" s="14">
        <v>2.5</v>
      </c>
      <c r="K219" s="14">
        <f t="shared" si="5"/>
        <v>12.5</v>
      </c>
    </row>
    <row r="220" spans="4:11">
      <c r="D220" s="11">
        <v>46065</v>
      </c>
      <c r="E220" s="12">
        <v>1578343</v>
      </c>
      <c r="F220" s="12" t="s">
        <v>53</v>
      </c>
      <c r="G220" s="13">
        <v>20322243</v>
      </c>
      <c r="H220" s="12" t="s">
        <v>54</v>
      </c>
      <c r="I220" s="13">
        <v>2</v>
      </c>
      <c r="J220" s="14">
        <v>30</v>
      </c>
      <c r="K220" s="14">
        <f t="shared" si="5"/>
        <v>60</v>
      </c>
    </row>
    <row r="221" spans="4:11">
      <c r="D221" s="11">
        <v>46065</v>
      </c>
      <c r="E221" s="12">
        <v>1578343</v>
      </c>
      <c r="F221" s="12" t="s">
        <v>53</v>
      </c>
      <c r="G221" s="13">
        <v>20322234</v>
      </c>
      <c r="H221" s="12" t="s">
        <v>141</v>
      </c>
      <c r="I221" s="13">
        <v>6</v>
      </c>
      <c r="J221" s="14">
        <v>2.5</v>
      </c>
      <c r="K221" s="14">
        <f t="shared" si="5"/>
        <v>15</v>
      </c>
    </row>
    <row r="222" spans="4:11">
      <c r="D222" s="11">
        <v>46065</v>
      </c>
      <c r="E222" s="12">
        <v>1578343</v>
      </c>
      <c r="F222" s="12" t="s">
        <v>53</v>
      </c>
      <c r="G222" s="13">
        <v>20330757</v>
      </c>
      <c r="H222" s="12" t="s">
        <v>113</v>
      </c>
      <c r="I222" s="13">
        <v>3</v>
      </c>
      <c r="J222" s="14">
        <v>35</v>
      </c>
      <c r="K222" s="14">
        <f t="shared" si="5"/>
        <v>105</v>
      </c>
    </row>
    <row r="223" ht="25.5" spans="4:11">
      <c r="D223" s="11">
        <v>46065</v>
      </c>
      <c r="E223" s="12">
        <v>1578343</v>
      </c>
      <c r="F223" s="12" t="s">
        <v>30</v>
      </c>
      <c r="G223" s="13">
        <v>20395243</v>
      </c>
      <c r="H223" s="12" t="s">
        <v>180</v>
      </c>
      <c r="I223" s="13">
        <v>1</v>
      </c>
      <c r="J223" s="14">
        <v>357.5</v>
      </c>
      <c r="K223" s="14">
        <f t="shared" si="5"/>
        <v>357.5</v>
      </c>
    </row>
    <row r="224" spans="4:11">
      <c r="D224" s="11">
        <v>46065</v>
      </c>
      <c r="E224" s="12">
        <v>1578343</v>
      </c>
      <c r="F224" s="12" t="s">
        <v>20</v>
      </c>
      <c r="G224" s="13">
        <v>20374808</v>
      </c>
      <c r="H224" s="12" t="s">
        <v>173</v>
      </c>
      <c r="I224" s="13">
        <v>3</v>
      </c>
      <c r="J224" s="14">
        <v>16.5</v>
      </c>
      <c r="K224" s="14">
        <f t="shared" si="5"/>
        <v>49.5</v>
      </c>
    </row>
    <row r="225" spans="4:11">
      <c r="D225" s="11">
        <v>46065</v>
      </c>
      <c r="E225" s="12">
        <v>1578343</v>
      </c>
      <c r="F225" s="12" t="s">
        <v>20</v>
      </c>
      <c r="G225" s="13">
        <v>20321250</v>
      </c>
      <c r="H225" s="12" t="s">
        <v>157</v>
      </c>
      <c r="I225" s="13">
        <v>1</v>
      </c>
      <c r="J225" s="14">
        <v>16.5</v>
      </c>
      <c r="K225" s="14">
        <f t="shared" si="5"/>
        <v>16.5</v>
      </c>
    </row>
    <row r="226" spans="4:11">
      <c r="D226" s="11">
        <v>46065</v>
      </c>
      <c r="E226" s="12">
        <v>1578374</v>
      </c>
      <c r="F226" s="12" t="s">
        <v>13</v>
      </c>
      <c r="G226" s="13">
        <v>20312966</v>
      </c>
      <c r="H226" s="12" t="s">
        <v>147</v>
      </c>
      <c r="I226" s="13">
        <v>3</v>
      </c>
      <c r="J226" s="14">
        <v>159.5</v>
      </c>
      <c r="K226" s="14">
        <f t="shared" ref="K226:K289" si="6">J226*I226</f>
        <v>478.5</v>
      </c>
    </row>
    <row r="227" spans="4:11">
      <c r="D227" s="11">
        <v>46065</v>
      </c>
      <c r="E227" s="12">
        <v>1578374</v>
      </c>
      <c r="F227" s="12" t="s">
        <v>13</v>
      </c>
      <c r="G227" s="13">
        <v>20312965</v>
      </c>
      <c r="H227" s="12" t="s">
        <v>15</v>
      </c>
      <c r="I227" s="13">
        <v>2</v>
      </c>
      <c r="J227" s="14">
        <v>137.5</v>
      </c>
      <c r="K227" s="14">
        <f t="shared" si="6"/>
        <v>275</v>
      </c>
    </row>
    <row r="228" spans="4:11">
      <c r="D228" s="11">
        <v>46065</v>
      </c>
      <c r="E228" s="12">
        <v>1578374</v>
      </c>
      <c r="F228" s="12" t="s">
        <v>13</v>
      </c>
      <c r="G228" s="13">
        <v>20312968</v>
      </c>
      <c r="H228" s="12" t="s">
        <v>181</v>
      </c>
      <c r="I228" s="13">
        <v>1</v>
      </c>
      <c r="J228" s="14">
        <v>187</v>
      </c>
      <c r="K228" s="14">
        <f t="shared" si="6"/>
        <v>187</v>
      </c>
    </row>
    <row r="229" spans="4:11">
      <c r="D229" s="11">
        <v>46065</v>
      </c>
      <c r="E229" s="12">
        <v>1578374</v>
      </c>
      <c r="F229" s="12" t="s">
        <v>13</v>
      </c>
      <c r="G229" s="13">
        <v>20312967</v>
      </c>
      <c r="H229" s="12" t="s">
        <v>130</v>
      </c>
      <c r="I229" s="13">
        <v>5</v>
      </c>
      <c r="J229" s="14">
        <v>176</v>
      </c>
      <c r="K229" s="14">
        <f t="shared" si="6"/>
        <v>880</v>
      </c>
    </row>
    <row r="230" spans="4:11">
      <c r="D230" s="11">
        <v>46065</v>
      </c>
      <c r="E230" s="12">
        <v>1578374</v>
      </c>
      <c r="F230" s="12" t="s">
        <v>20</v>
      </c>
      <c r="G230" s="13">
        <v>20321257</v>
      </c>
      <c r="H230" s="12" t="s">
        <v>21</v>
      </c>
      <c r="I230" s="13">
        <v>7</v>
      </c>
      <c r="J230" s="14">
        <v>16.5</v>
      </c>
      <c r="K230" s="14">
        <f t="shared" si="6"/>
        <v>115.5</v>
      </c>
    </row>
    <row r="231" spans="4:11">
      <c r="D231" s="11">
        <v>46065</v>
      </c>
      <c r="E231" s="12">
        <v>1578374</v>
      </c>
      <c r="F231" s="12" t="s">
        <v>20</v>
      </c>
      <c r="G231" s="13">
        <v>20369096</v>
      </c>
      <c r="H231" s="12" t="s">
        <v>182</v>
      </c>
      <c r="I231" s="13">
        <v>1</v>
      </c>
      <c r="J231" s="14">
        <v>16.5</v>
      </c>
      <c r="K231" s="14">
        <f t="shared" si="6"/>
        <v>16.5</v>
      </c>
    </row>
    <row r="232" spans="4:11">
      <c r="D232" s="11">
        <v>46065</v>
      </c>
      <c r="E232" s="12">
        <v>1578374</v>
      </c>
      <c r="F232" s="12" t="s">
        <v>20</v>
      </c>
      <c r="G232" s="13">
        <v>20343399</v>
      </c>
      <c r="H232" s="12" t="s">
        <v>153</v>
      </c>
      <c r="I232" s="13">
        <v>1</v>
      </c>
      <c r="J232" s="14">
        <v>33</v>
      </c>
      <c r="K232" s="14">
        <f t="shared" si="6"/>
        <v>33</v>
      </c>
    </row>
    <row r="233" spans="4:11">
      <c r="D233" s="11">
        <v>46065</v>
      </c>
      <c r="E233" s="12">
        <v>1578374</v>
      </c>
      <c r="F233" s="12" t="s">
        <v>20</v>
      </c>
      <c r="G233" s="13">
        <v>20318378</v>
      </c>
      <c r="H233" s="12" t="s">
        <v>128</v>
      </c>
      <c r="I233" s="13">
        <v>1</v>
      </c>
      <c r="J233" s="14">
        <v>16.5</v>
      </c>
      <c r="K233" s="14">
        <f t="shared" si="6"/>
        <v>16.5</v>
      </c>
    </row>
    <row r="234" spans="4:11">
      <c r="D234" s="11">
        <v>46065</v>
      </c>
      <c r="E234" s="12">
        <v>1578374</v>
      </c>
      <c r="F234" s="12" t="s">
        <v>20</v>
      </c>
      <c r="G234" s="13">
        <v>20318380</v>
      </c>
      <c r="H234" s="12" t="s">
        <v>143</v>
      </c>
      <c r="I234" s="13">
        <v>1</v>
      </c>
      <c r="J234" s="14">
        <v>16.5</v>
      </c>
      <c r="K234" s="14">
        <f t="shared" si="6"/>
        <v>16.5</v>
      </c>
    </row>
    <row r="235" spans="4:11">
      <c r="D235" s="11">
        <v>46065</v>
      </c>
      <c r="E235" s="12">
        <v>1578374</v>
      </c>
      <c r="F235" s="12" t="s">
        <v>20</v>
      </c>
      <c r="G235" s="13">
        <v>20318340</v>
      </c>
      <c r="H235" s="12" t="s">
        <v>144</v>
      </c>
      <c r="I235" s="13">
        <v>1</v>
      </c>
      <c r="J235" s="14">
        <v>16.5</v>
      </c>
      <c r="K235" s="14">
        <f t="shared" si="6"/>
        <v>16.5</v>
      </c>
    </row>
    <row r="236" spans="4:11">
      <c r="D236" s="11">
        <v>46065</v>
      </c>
      <c r="E236" s="12">
        <v>1578374</v>
      </c>
      <c r="F236" s="12" t="s">
        <v>20</v>
      </c>
      <c r="G236" s="13">
        <v>20318383</v>
      </c>
      <c r="H236" s="12" t="s">
        <v>178</v>
      </c>
      <c r="I236" s="13">
        <v>1</v>
      </c>
      <c r="J236" s="14">
        <v>16.5</v>
      </c>
      <c r="K236" s="14">
        <f t="shared" si="6"/>
        <v>16.5</v>
      </c>
    </row>
    <row r="237" spans="4:11">
      <c r="D237" s="11">
        <v>46065</v>
      </c>
      <c r="E237" s="12">
        <v>1578374</v>
      </c>
      <c r="F237" s="12" t="s">
        <v>20</v>
      </c>
      <c r="G237" s="13">
        <v>20318342</v>
      </c>
      <c r="H237" s="12" t="s">
        <v>115</v>
      </c>
      <c r="I237" s="13">
        <v>2</v>
      </c>
      <c r="J237" s="14">
        <v>16.5</v>
      </c>
      <c r="K237" s="14">
        <f t="shared" si="6"/>
        <v>33</v>
      </c>
    </row>
    <row r="238" spans="4:11">
      <c r="D238" s="11">
        <v>46066</v>
      </c>
      <c r="E238" s="12">
        <v>1578562</v>
      </c>
      <c r="F238" s="12" t="s">
        <v>13</v>
      </c>
      <c r="G238" s="13">
        <v>20312966</v>
      </c>
      <c r="H238" s="12" t="s">
        <v>147</v>
      </c>
      <c r="I238" s="13">
        <v>1</v>
      </c>
      <c r="J238" s="14">
        <v>159.5</v>
      </c>
      <c r="K238" s="14">
        <f t="shared" si="6"/>
        <v>159.5</v>
      </c>
    </row>
    <row r="239" spans="4:11">
      <c r="D239" s="11">
        <v>46066</v>
      </c>
      <c r="E239" s="12">
        <v>1578562</v>
      </c>
      <c r="F239" s="12" t="s">
        <v>13</v>
      </c>
      <c r="G239" s="13">
        <v>20312968</v>
      </c>
      <c r="H239" s="12" t="s">
        <v>181</v>
      </c>
      <c r="I239" s="13">
        <v>1</v>
      </c>
      <c r="J239" s="14">
        <v>187</v>
      </c>
      <c r="K239" s="14">
        <f t="shared" si="6"/>
        <v>187</v>
      </c>
    </row>
    <row r="240" spans="4:11">
      <c r="D240" s="11">
        <v>46066</v>
      </c>
      <c r="E240" s="12">
        <v>1578562</v>
      </c>
      <c r="F240" s="12" t="s">
        <v>13</v>
      </c>
      <c r="G240" s="13">
        <v>20312967</v>
      </c>
      <c r="H240" s="12" t="s">
        <v>130</v>
      </c>
      <c r="I240" s="13">
        <v>4</v>
      </c>
      <c r="J240" s="14">
        <v>176</v>
      </c>
      <c r="K240" s="14">
        <f t="shared" si="6"/>
        <v>704</v>
      </c>
    </row>
    <row r="241" spans="4:11">
      <c r="D241" s="11">
        <v>46066</v>
      </c>
      <c r="E241" s="12">
        <v>1578562</v>
      </c>
      <c r="F241" s="12" t="s">
        <v>53</v>
      </c>
      <c r="G241" s="13">
        <v>20322235</v>
      </c>
      <c r="H241" s="12" t="s">
        <v>81</v>
      </c>
      <c r="I241" s="13">
        <v>2</v>
      </c>
      <c r="J241" s="14">
        <v>2.5</v>
      </c>
      <c r="K241" s="14">
        <f t="shared" si="6"/>
        <v>5</v>
      </c>
    </row>
    <row r="242" spans="4:11">
      <c r="D242" s="11">
        <v>46066</v>
      </c>
      <c r="E242" s="12">
        <v>1578562</v>
      </c>
      <c r="F242" s="12" t="s">
        <v>53</v>
      </c>
      <c r="G242" s="13">
        <v>20322243</v>
      </c>
      <c r="H242" s="12" t="s">
        <v>54</v>
      </c>
      <c r="I242" s="13">
        <v>1</v>
      </c>
      <c r="J242" s="14">
        <v>30</v>
      </c>
      <c r="K242" s="14">
        <f t="shared" si="6"/>
        <v>30</v>
      </c>
    </row>
    <row r="243" spans="4:11">
      <c r="D243" s="11">
        <v>46066</v>
      </c>
      <c r="E243" s="12">
        <v>1578562</v>
      </c>
      <c r="F243" s="12" t="s">
        <v>53</v>
      </c>
      <c r="G243" s="13">
        <v>20322304</v>
      </c>
      <c r="H243" s="12" t="s">
        <v>112</v>
      </c>
      <c r="I243" s="13">
        <v>3</v>
      </c>
      <c r="J243" s="14">
        <v>25</v>
      </c>
      <c r="K243" s="14">
        <f t="shared" si="6"/>
        <v>75</v>
      </c>
    </row>
    <row r="244" spans="4:11">
      <c r="D244" s="11">
        <v>46066</v>
      </c>
      <c r="E244" s="12">
        <v>1578562</v>
      </c>
      <c r="F244" s="12" t="s">
        <v>53</v>
      </c>
      <c r="G244" s="13">
        <v>20330757</v>
      </c>
      <c r="H244" s="12" t="s">
        <v>113</v>
      </c>
      <c r="I244" s="13">
        <v>6</v>
      </c>
      <c r="J244" s="14">
        <v>35</v>
      </c>
      <c r="K244" s="14">
        <f t="shared" si="6"/>
        <v>210</v>
      </c>
    </row>
    <row r="245" spans="4:11">
      <c r="D245" s="11">
        <v>46066</v>
      </c>
      <c r="E245" s="12">
        <v>1578562</v>
      </c>
      <c r="F245" s="12" t="s">
        <v>30</v>
      </c>
      <c r="G245" s="13">
        <v>20366064</v>
      </c>
      <c r="H245" s="12" t="s">
        <v>183</v>
      </c>
      <c r="I245" s="13">
        <v>1</v>
      </c>
      <c r="J245" s="14">
        <v>71.5</v>
      </c>
      <c r="K245" s="14">
        <f t="shared" si="6"/>
        <v>71.5</v>
      </c>
    </row>
    <row r="246" spans="4:11">
      <c r="D246" s="11">
        <v>46066</v>
      </c>
      <c r="E246" s="12">
        <v>1578562</v>
      </c>
      <c r="F246" s="12" t="s">
        <v>20</v>
      </c>
      <c r="G246" s="13">
        <v>20321257</v>
      </c>
      <c r="H246" s="12" t="s">
        <v>21</v>
      </c>
      <c r="I246" s="13">
        <v>6</v>
      </c>
      <c r="J246" s="14">
        <v>16.5</v>
      </c>
      <c r="K246" s="14">
        <f t="shared" si="6"/>
        <v>99</v>
      </c>
    </row>
    <row r="247" spans="4:11">
      <c r="D247" s="11">
        <v>46066</v>
      </c>
      <c r="E247" s="12">
        <v>1578562</v>
      </c>
      <c r="F247" s="12" t="s">
        <v>20</v>
      </c>
      <c r="G247" s="13">
        <v>20318334</v>
      </c>
      <c r="H247" s="12" t="s">
        <v>175</v>
      </c>
      <c r="I247" s="13">
        <v>1</v>
      </c>
      <c r="J247" s="14">
        <v>16.5</v>
      </c>
      <c r="K247" s="14">
        <f t="shared" si="6"/>
        <v>16.5</v>
      </c>
    </row>
    <row r="248" spans="4:11">
      <c r="D248" s="11">
        <v>46066</v>
      </c>
      <c r="E248" s="12">
        <v>1578562</v>
      </c>
      <c r="F248" s="12" t="s">
        <v>20</v>
      </c>
      <c r="G248" s="13">
        <v>20363041</v>
      </c>
      <c r="H248" s="12" t="s">
        <v>150</v>
      </c>
      <c r="I248" s="13">
        <v>1</v>
      </c>
      <c r="J248" s="14">
        <v>16.5</v>
      </c>
      <c r="K248" s="14">
        <f t="shared" si="6"/>
        <v>16.5</v>
      </c>
    </row>
    <row r="249" spans="4:11">
      <c r="D249" s="11">
        <v>46066</v>
      </c>
      <c r="E249" s="12">
        <v>1578562</v>
      </c>
      <c r="F249" s="12" t="s">
        <v>20</v>
      </c>
      <c r="G249" s="13">
        <v>20318378</v>
      </c>
      <c r="H249" s="12" t="s">
        <v>128</v>
      </c>
      <c r="I249" s="13">
        <v>1</v>
      </c>
      <c r="J249" s="14">
        <v>16.5</v>
      </c>
      <c r="K249" s="14">
        <f t="shared" si="6"/>
        <v>16.5</v>
      </c>
    </row>
    <row r="250" spans="4:11">
      <c r="D250" s="11">
        <v>46066</v>
      </c>
      <c r="E250" s="12">
        <v>1578562</v>
      </c>
      <c r="F250" s="12" t="s">
        <v>20</v>
      </c>
      <c r="G250" s="13">
        <v>20321502</v>
      </c>
      <c r="H250" s="12" t="s">
        <v>164</v>
      </c>
      <c r="I250" s="13">
        <v>1</v>
      </c>
      <c r="J250" s="14">
        <v>16.5</v>
      </c>
      <c r="K250" s="14">
        <f t="shared" si="6"/>
        <v>16.5</v>
      </c>
    </row>
    <row r="251" spans="4:11">
      <c r="D251" s="11">
        <v>46066</v>
      </c>
      <c r="E251" s="12">
        <v>1578562</v>
      </c>
      <c r="F251" s="12" t="s">
        <v>20</v>
      </c>
      <c r="G251" s="13">
        <v>20321250</v>
      </c>
      <c r="H251" s="12" t="s">
        <v>157</v>
      </c>
      <c r="I251" s="13">
        <v>2</v>
      </c>
      <c r="J251" s="14">
        <v>16.5</v>
      </c>
      <c r="K251" s="14">
        <f t="shared" si="6"/>
        <v>33</v>
      </c>
    </row>
    <row r="252" spans="4:11">
      <c r="D252" s="11">
        <v>46066</v>
      </c>
      <c r="E252" s="12">
        <v>1578562</v>
      </c>
      <c r="F252" s="12" t="s">
        <v>20</v>
      </c>
      <c r="G252" s="13">
        <v>20318383</v>
      </c>
      <c r="H252" s="12" t="s">
        <v>178</v>
      </c>
      <c r="I252" s="13">
        <v>1</v>
      </c>
      <c r="J252" s="14">
        <v>16.5</v>
      </c>
      <c r="K252" s="14">
        <f t="shared" si="6"/>
        <v>16.5</v>
      </c>
    </row>
    <row r="253" spans="4:11">
      <c r="D253" s="11">
        <v>46066</v>
      </c>
      <c r="E253" s="12">
        <v>1578562</v>
      </c>
      <c r="F253" s="12" t="s">
        <v>20</v>
      </c>
      <c r="G253" s="13">
        <v>20318336</v>
      </c>
      <c r="H253" s="12" t="s">
        <v>137</v>
      </c>
      <c r="I253" s="13">
        <v>2</v>
      </c>
      <c r="J253" s="14">
        <v>16.5</v>
      </c>
      <c r="K253" s="14">
        <f t="shared" si="6"/>
        <v>33</v>
      </c>
    </row>
    <row r="254" spans="4:11">
      <c r="D254" s="11">
        <v>46066</v>
      </c>
      <c r="E254" s="12">
        <v>1578562</v>
      </c>
      <c r="F254" s="12" t="s">
        <v>20</v>
      </c>
      <c r="G254" s="13">
        <v>20318342</v>
      </c>
      <c r="H254" s="12" t="s">
        <v>115</v>
      </c>
      <c r="I254" s="13">
        <v>1</v>
      </c>
      <c r="J254" s="14">
        <v>16.5</v>
      </c>
      <c r="K254" s="14">
        <f t="shared" si="6"/>
        <v>16.5</v>
      </c>
    </row>
    <row r="255" spans="4:11">
      <c r="D255" s="11">
        <v>46066</v>
      </c>
      <c r="E255" s="12">
        <v>1578562</v>
      </c>
      <c r="F255" s="12" t="s">
        <v>20</v>
      </c>
      <c r="G255" s="13">
        <v>20318393</v>
      </c>
      <c r="H255" s="12" t="s">
        <v>26</v>
      </c>
      <c r="I255" s="13">
        <v>1</v>
      </c>
      <c r="J255" s="14">
        <v>16.5</v>
      </c>
      <c r="K255" s="14">
        <f t="shared" si="6"/>
        <v>16.5</v>
      </c>
    </row>
    <row r="256" spans="4:11">
      <c r="D256" s="11">
        <v>46066</v>
      </c>
      <c r="E256" s="12">
        <v>1578597</v>
      </c>
      <c r="F256" s="12" t="s">
        <v>20</v>
      </c>
      <c r="G256" s="13">
        <v>20318336</v>
      </c>
      <c r="H256" s="12" t="s">
        <v>137</v>
      </c>
      <c r="I256" s="13">
        <v>1</v>
      </c>
      <c r="J256" s="14">
        <v>16.5</v>
      </c>
      <c r="K256" s="14">
        <f t="shared" si="6"/>
        <v>16.5</v>
      </c>
    </row>
    <row r="257" spans="4:11">
      <c r="D257" s="11">
        <v>46066</v>
      </c>
      <c r="E257" s="12">
        <v>1578643</v>
      </c>
      <c r="F257" s="12" t="s">
        <v>13</v>
      </c>
      <c r="G257" s="13">
        <v>20312966</v>
      </c>
      <c r="H257" s="12" t="s">
        <v>147</v>
      </c>
      <c r="I257" s="13">
        <v>2</v>
      </c>
      <c r="J257" s="14">
        <v>159.5</v>
      </c>
      <c r="K257" s="14">
        <f t="shared" si="6"/>
        <v>319</v>
      </c>
    </row>
    <row r="258" spans="4:11">
      <c r="D258" s="11">
        <v>46066</v>
      </c>
      <c r="E258" s="12">
        <v>1578643</v>
      </c>
      <c r="F258" s="12" t="s">
        <v>13</v>
      </c>
      <c r="G258" s="13">
        <v>20312965</v>
      </c>
      <c r="H258" s="12" t="s">
        <v>15</v>
      </c>
      <c r="I258" s="13">
        <v>2</v>
      </c>
      <c r="J258" s="14">
        <v>137.5</v>
      </c>
      <c r="K258" s="14">
        <f t="shared" si="6"/>
        <v>275</v>
      </c>
    </row>
    <row r="259" spans="4:11">
      <c r="D259" s="11">
        <v>46066</v>
      </c>
      <c r="E259" s="12">
        <v>1578643</v>
      </c>
      <c r="F259" s="12" t="s">
        <v>13</v>
      </c>
      <c r="G259" s="13">
        <v>20312967</v>
      </c>
      <c r="H259" s="12" t="s">
        <v>130</v>
      </c>
      <c r="I259" s="13">
        <v>4</v>
      </c>
      <c r="J259" s="14">
        <v>176</v>
      </c>
      <c r="K259" s="14">
        <f t="shared" si="6"/>
        <v>704</v>
      </c>
    </row>
    <row r="260" spans="4:11">
      <c r="D260" s="11">
        <v>46066</v>
      </c>
      <c r="E260" s="12">
        <v>1578643</v>
      </c>
      <c r="F260" s="12" t="s">
        <v>53</v>
      </c>
      <c r="G260" s="13">
        <v>20322235</v>
      </c>
      <c r="H260" s="12" t="s">
        <v>81</v>
      </c>
      <c r="I260" s="13">
        <v>1</v>
      </c>
      <c r="J260" s="14">
        <v>2.5</v>
      </c>
      <c r="K260" s="14">
        <f t="shared" si="6"/>
        <v>2.5</v>
      </c>
    </row>
    <row r="261" spans="4:11">
      <c r="D261" s="11">
        <v>46066</v>
      </c>
      <c r="E261" s="12">
        <v>1578643</v>
      </c>
      <c r="F261" s="12" t="s">
        <v>53</v>
      </c>
      <c r="G261" s="13">
        <v>20322234</v>
      </c>
      <c r="H261" s="12" t="s">
        <v>141</v>
      </c>
      <c r="I261" s="13">
        <v>2</v>
      </c>
      <c r="J261" s="14">
        <v>2.5</v>
      </c>
      <c r="K261" s="14">
        <f t="shared" si="6"/>
        <v>5</v>
      </c>
    </row>
    <row r="262" spans="4:11">
      <c r="D262" s="11">
        <v>46066</v>
      </c>
      <c r="E262" s="12">
        <v>1578643</v>
      </c>
      <c r="F262" s="12" t="s">
        <v>53</v>
      </c>
      <c r="G262" s="13">
        <v>20330757</v>
      </c>
      <c r="H262" s="12" t="s">
        <v>113</v>
      </c>
      <c r="I262" s="13">
        <v>2</v>
      </c>
      <c r="J262" s="14">
        <v>35</v>
      </c>
      <c r="K262" s="14">
        <f t="shared" si="6"/>
        <v>70</v>
      </c>
    </row>
    <row r="263" spans="4:11">
      <c r="D263" s="11">
        <v>46066</v>
      </c>
      <c r="E263" s="12">
        <v>1578643</v>
      </c>
      <c r="F263" s="12" t="s">
        <v>20</v>
      </c>
      <c r="G263" s="13">
        <v>20321257</v>
      </c>
      <c r="H263" s="12" t="s">
        <v>21</v>
      </c>
      <c r="I263" s="13">
        <v>1</v>
      </c>
      <c r="J263" s="14">
        <v>16.5</v>
      </c>
      <c r="K263" s="14">
        <f t="shared" si="6"/>
        <v>16.5</v>
      </c>
    </row>
    <row r="264" spans="4:11">
      <c r="D264" s="11">
        <v>46066</v>
      </c>
      <c r="E264" s="12">
        <v>1578643</v>
      </c>
      <c r="F264" s="12" t="s">
        <v>20</v>
      </c>
      <c r="G264" s="13">
        <v>20318334</v>
      </c>
      <c r="H264" s="12" t="s">
        <v>175</v>
      </c>
      <c r="I264" s="13">
        <v>1</v>
      </c>
      <c r="J264" s="14">
        <v>16.5</v>
      </c>
      <c r="K264" s="14">
        <f t="shared" si="6"/>
        <v>16.5</v>
      </c>
    </row>
    <row r="265" spans="4:11">
      <c r="D265" s="11">
        <v>46066</v>
      </c>
      <c r="E265" s="12">
        <v>1578643</v>
      </c>
      <c r="F265" s="12" t="s">
        <v>20</v>
      </c>
      <c r="G265" s="13">
        <v>20318380</v>
      </c>
      <c r="H265" s="12" t="s">
        <v>143</v>
      </c>
      <c r="I265" s="13">
        <v>1</v>
      </c>
      <c r="J265" s="14">
        <v>16.5</v>
      </c>
      <c r="K265" s="14">
        <f t="shared" si="6"/>
        <v>16.5</v>
      </c>
    </row>
    <row r="266" spans="4:11">
      <c r="D266" s="11">
        <v>46066</v>
      </c>
      <c r="E266" s="12">
        <v>1578643</v>
      </c>
      <c r="F266" s="12" t="s">
        <v>20</v>
      </c>
      <c r="G266" s="13">
        <v>20318336</v>
      </c>
      <c r="H266" s="12" t="s">
        <v>137</v>
      </c>
      <c r="I266" s="13">
        <v>1</v>
      </c>
      <c r="J266" s="14">
        <v>16.5</v>
      </c>
      <c r="K266" s="14">
        <f t="shared" si="6"/>
        <v>16.5</v>
      </c>
    </row>
    <row r="267" spans="4:11">
      <c r="D267" s="11">
        <v>46066</v>
      </c>
      <c r="E267" s="12">
        <v>1578643</v>
      </c>
      <c r="F267" s="12" t="s">
        <v>20</v>
      </c>
      <c r="G267" s="13">
        <v>20318342</v>
      </c>
      <c r="H267" s="12" t="s">
        <v>115</v>
      </c>
      <c r="I267" s="13">
        <v>1</v>
      </c>
      <c r="J267" s="14">
        <v>16.5</v>
      </c>
      <c r="K267" s="14">
        <f t="shared" si="6"/>
        <v>16.5</v>
      </c>
    </row>
    <row r="268" spans="4:11">
      <c r="D268" s="11">
        <v>46066</v>
      </c>
      <c r="E268" s="12">
        <v>1578643</v>
      </c>
      <c r="F268" s="12" t="s">
        <v>20</v>
      </c>
      <c r="G268" s="13">
        <v>20318393</v>
      </c>
      <c r="H268" s="12" t="s">
        <v>26</v>
      </c>
      <c r="I268" s="13">
        <v>1</v>
      </c>
      <c r="J268" s="14">
        <v>16.5</v>
      </c>
      <c r="K268" s="14">
        <f t="shared" si="6"/>
        <v>16.5</v>
      </c>
    </row>
    <row r="269" spans="4:11">
      <c r="D269" s="11">
        <v>46066</v>
      </c>
      <c r="E269" s="12">
        <v>1578675</v>
      </c>
      <c r="F269" s="12" t="s">
        <v>20</v>
      </c>
      <c r="G269" s="13">
        <v>20318334</v>
      </c>
      <c r="H269" s="12" t="s">
        <v>175</v>
      </c>
      <c r="I269" s="13">
        <v>1</v>
      </c>
      <c r="J269" s="14">
        <v>16.5</v>
      </c>
      <c r="K269" s="14">
        <f t="shared" si="6"/>
        <v>16.5</v>
      </c>
    </row>
    <row r="270" spans="4:11">
      <c r="D270" s="11">
        <v>46066</v>
      </c>
      <c r="E270" s="12">
        <v>1578682</v>
      </c>
      <c r="F270" s="12" t="s">
        <v>13</v>
      </c>
      <c r="G270" s="13">
        <v>20321476</v>
      </c>
      <c r="H270" s="12" t="s">
        <v>148</v>
      </c>
      <c r="I270" s="13">
        <v>1</v>
      </c>
      <c r="J270" s="14">
        <v>55</v>
      </c>
      <c r="K270" s="14">
        <f t="shared" si="6"/>
        <v>55</v>
      </c>
    </row>
    <row r="271" spans="4:11">
      <c r="D271" s="11">
        <v>46066</v>
      </c>
      <c r="E271" s="12">
        <v>1578682</v>
      </c>
      <c r="F271" s="12" t="s">
        <v>13</v>
      </c>
      <c r="G271" s="13">
        <v>20312966</v>
      </c>
      <c r="H271" s="12" t="s">
        <v>147</v>
      </c>
      <c r="I271" s="13">
        <v>3</v>
      </c>
      <c r="J271" s="14">
        <v>159.5</v>
      </c>
      <c r="K271" s="14">
        <f t="shared" si="6"/>
        <v>478.5</v>
      </c>
    </row>
    <row r="272" spans="4:11">
      <c r="D272" s="11">
        <v>46066</v>
      </c>
      <c r="E272" s="12">
        <v>1578682</v>
      </c>
      <c r="F272" s="12" t="s">
        <v>13</v>
      </c>
      <c r="G272" s="13">
        <v>20312965</v>
      </c>
      <c r="H272" s="12" t="s">
        <v>15</v>
      </c>
      <c r="I272" s="13">
        <v>3</v>
      </c>
      <c r="J272" s="14">
        <v>137.5</v>
      </c>
      <c r="K272" s="14">
        <f t="shared" si="6"/>
        <v>412.5</v>
      </c>
    </row>
    <row r="273" spans="4:11">
      <c r="D273" s="11">
        <v>46066</v>
      </c>
      <c r="E273" s="12">
        <v>1578682</v>
      </c>
      <c r="F273" s="12" t="s">
        <v>13</v>
      </c>
      <c r="G273" s="13">
        <v>20312967</v>
      </c>
      <c r="H273" s="12" t="s">
        <v>130</v>
      </c>
      <c r="I273" s="13">
        <v>3</v>
      </c>
      <c r="J273" s="14">
        <v>176</v>
      </c>
      <c r="K273" s="14">
        <f t="shared" si="6"/>
        <v>528</v>
      </c>
    </row>
    <row r="274" ht="25.5" spans="4:11">
      <c r="D274" s="11">
        <v>46066</v>
      </c>
      <c r="E274" s="12">
        <v>1578682</v>
      </c>
      <c r="F274" s="12" t="s">
        <v>30</v>
      </c>
      <c r="G274" s="13">
        <v>20395243</v>
      </c>
      <c r="H274" s="12" t="s">
        <v>180</v>
      </c>
      <c r="I274" s="13">
        <v>1</v>
      </c>
      <c r="J274" s="14">
        <v>357.5</v>
      </c>
      <c r="K274" s="14">
        <f t="shared" si="6"/>
        <v>357.5</v>
      </c>
    </row>
    <row r="275" spans="4:11">
      <c r="D275" s="11">
        <v>46066</v>
      </c>
      <c r="E275" s="12">
        <v>1578682</v>
      </c>
      <c r="F275" s="12" t="s">
        <v>20</v>
      </c>
      <c r="G275" s="13">
        <v>20321257</v>
      </c>
      <c r="H275" s="12" t="s">
        <v>21</v>
      </c>
      <c r="I275" s="13">
        <v>4</v>
      </c>
      <c r="J275" s="14">
        <v>16.5</v>
      </c>
      <c r="K275" s="14">
        <f t="shared" si="6"/>
        <v>66</v>
      </c>
    </row>
    <row r="276" spans="4:11">
      <c r="D276" s="11">
        <v>46066</v>
      </c>
      <c r="E276" s="12">
        <v>1578682</v>
      </c>
      <c r="F276" s="12" t="s">
        <v>20</v>
      </c>
      <c r="G276" s="13">
        <v>20318334</v>
      </c>
      <c r="H276" s="12" t="s">
        <v>175</v>
      </c>
      <c r="I276" s="13">
        <v>1</v>
      </c>
      <c r="J276" s="14">
        <v>16.5</v>
      </c>
      <c r="K276" s="14">
        <f t="shared" si="6"/>
        <v>16.5</v>
      </c>
    </row>
    <row r="277" spans="4:11">
      <c r="D277" s="11">
        <v>46066</v>
      </c>
      <c r="E277" s="12">
        <v>1578682</v>
      </c>
      <c r="F277" s="12" t="s">
        <v>20</v>
      </c>
      <c r="G277" s="13">
        <v>20318380</v>
      </c>
      <c r="H277" s="12" t="s">
        <v>143</v>
      </c>
      <c r="I277" s="13">
        <v>1</v>
      </c>
      <c r="J277" s="14">
        <v>16.5</v>
      </c>
      <c r="K277" s="14">
        <f t="shared" si="6"/>
        <v>16.5</v>
      </c>
    </row>
    <row r="278" spans="4:11">
      <c r="D278" s="11">
        <v>46066</v>
      </c>
      <c r="E278" s="12">
        <v>1578682</v>
      </c>
      <c r="F278" s="12" t="s">
        <v>20</v>
      </c>
      <c r="G278" s="13">
        <v>20318340</v>
      </c>
      <c r="H278" s="12" t="s">
        <v>144</v>
      </c>
      <c r="I278" s="13">
        <v>1</v>
      </c>
      <c r="J278" s="14">
        <v>16.5</v>
      </c>
      <c r="K278" s="14">
        <f t="shared" si="6"/>
        <v>16.5</v>
      </c>
    </row>
    <row r="279" spans="4:11">
      <c r="D279" s="11">
        <v>46066</v>
      </c>
      <c r="E279" s="12">
        <v>1578682</v>
      </c>
      <c r="F279" s="12" t="s">
        <v>20</v>
      </c>
      <c r="G279" s="13">
        <v>20318342</v>
      </c>
      <c r="H279" s="12" t="s">
        <v>115</v>
      </c>
      <c r="I279" s="13">
        <v>3</v>
      </c>
      <c r="J279" s="14">
        <v>16.5</v>
      </c>
      <c r="K279" s="14">
        <f t="shared" si="6"/>
        <v>49.5</v>
      </c>
    </row>
    <row r="280" spans="4:11">
      <c r="D280" s="11">
        <v>46066</v>
      </c>
      <c r="E280" s="12">
        <v>1578682</v>
      </c>
      <c r="F280" s="12" t="s">
        <v>20</v>
      </c>
      <c r="G280" s="13">
        <v>20322118</v>
      </c>
      <c r="H280" s="12" t="s">
        <v>170</v>
      </c>
      <c r="I280" s="13">
        <v>1</v>
      </c>
      <c r="J280" s="14">
        <v>16.5</v>
      </c>
      <c r="K280" s="14">
        <f t="shared" si="6"/>
        <v>16.5</v>
      </c>
    </row>
    <row r="281" spans="4:11">
      <c r="D281" s="11">
        <v>46067</v>
      </c>
      <c r="E281" s="12">
        <v>1578832</v>
      </c>
      <c r="F281" s="12" t="s">
        <v>13</v>
      </c>
      <c r="G281" s="13">
        <v>20312966</v>
      </c>
      <c r="H281" s="12" t="s">
        <v>147</v>
      </c>
      <c r="I281" s="13">
        <v>1</v>
      </c>
      <c r="J281" s="14">
        <v>159.5</v>
      </c>
      <c r="K281" s="14">
        <f t="shared" si="6"/>
        <v>159.5</v>
      </c>
    </row>
    <row r="282" spans="4:11">
      <c r="D282" s="11">
        <v>46067</v>
      </c>
      <c r="E282" s="12">
        <v>1578832</v>
      </c>
      <c r="F282" s="12" t="s">
        <v>13</v>
      </c>
      <c r="G282" s="13">
        <v>20312965</v>
      </c>
      <c r="H282" s="12" t="s">
        <v>15</v>
      </c>
      <c r="I282" s="13">
        <v>1</v>
      </c>
      <c r="J282" s="14">
        <v>137.5</v>
      </c>
      <c r="K282" s="14">
        <f t="shared" si="6"/>
        <v>137.5</v>
      </c>
    </row>
    <row r="283" spans="4:11">
      <c r="D283" s="11">
        <v>46067</v>
      </c>
      <c r="E283" s="12">
        <v>1578832</v>
      </c>
      <c r="F283" s="12" t="s">
        <v>13</v>
      </c>
      <c r="G283" s="13">
        <v>20312967</v>
      </c>
      <c r="H283" s="12" t="s">
        <v>130</v>
      </c>
      <c r="I283" s="13">
        <v>3</v>
      </c>
      <c r="J283" s="14">
        <v>176</v>
      </c>
      <c r="K283" s="14">
        <f t="shared" si="6"/>
        <v>528</v>
      </c>
    </row>
    <row r="284" spans="4:11">
      <c r="D284" s="11">
        <v>46067</v>
      </c>
      <c r="E284" s="12">
        <v>1578832</v>
      </c>
      <c r="F284" s="12" t="s">
        <v>16</v>
      </c>
      <c r="G284" s="13">
        <v>20340288</v>
      </c>
      <c r="H284" s="12" t="s">
        <v>114</v>
      </c>
      <c r="I284" s="13">
        <v>2</v>
      </c>
      <c r="J284" s="14">
        <v>22</v>
      </c>
      <c r="K284" s="14">
        <f t="shared" si="6"/>
        <v>44</v>
      </c>
    </row>
    <row r="285" spans="4:11">
      <c r="D285" s="11">
        <v>46067</v>
      </c>
      <c r="E285" s="12">
        <v>1578832</v>
      </c>
      <c r="F285" s="12" t="s">
        <v>53</v>
      </c>
      <c r="G285" s="13">
        <v>20322235</v>
      </c>
      <c r="H285" s="12" t="s">
        <v>81</v>
      </c>
      <c r="I285" s="13">
        <v>3</v>
      </c>
      <c r="J285" s="14">
        <v>2.5</v>
      </c>
      <c r="K285" s="14">
        <f t="shared" si="6"/>
        <v>7.5</v>
      </c>
    </row>
    <row r="286" spans="4:11">
      <c r="D286" s="11">
        <v>46067</v>
      </c>
      <c r="E286" s="12">
        <v>1578832</v>
      </c>
      <c r="F286" s="12" t="s">
        <v>53</v>
      </c>
      <c r="G286" s="13">
        <v>20322243</v>
      </c>
      <c r="H286" s="12" t="s">
        <v>54</v>
      </c>
      <c r="I286" s="13">
        <v>2</v>
      </c>
      <c r="J286" s="14">
        <v>30</v>
      </c>
      <c r="K286" s="14">
        <f t="shared" si="6"/>
        <v>60</v>
      </c>
    </row>
    <row r="287" spans="4:11">
      <c r="D287" s="11">
        <v>46067</v>
      </c>
      <c r="E287" s="12">
        <v>1578832</v>
      </c>
      <c r="F287" s="12" t="s">
        <v>53</v>
      </c>
      <c r="G287" s="13">
        <v>20322234</v>
      </c>
      <c r="H287" s="12" t="s">
        <v>141</v>
      </c>
      <c r="I287" s="13">
        <v>1</v>
      </c>
      <c r="J287" s="14">
        <v>2.5</v>
      </c>
      <c r="K287" s="14">
        <f t="shared" si="6"/>
        <v>2.5</v>
      </c>
    </row>
    <row r="288" spans="4:11">
      <c r="D288" s="11">
        <v>46067</v>
      </c>
      <c r="E288" s="12">
        <v>1578832</v>
      </c>
      <c r="F288" s="12" t="s">
        <v>53</v>
      </c>
      <c r="G288" s="13">
        <v>20330757</v>
      </c>
      <c r="H288" s="12" t="s">
        <v>113</v>
      </c>
      <c r="I288" s="13">
        <v>2</v>
      </c>
      <c r="J288" s="14">
        <v>35</v>
      </c>
      <c r="K288" s="14">
        <f t="shared" si="6"/>
        <v>70</v>
      </c>
    </row>
    <row r="289" spans="4:11">
      <c r="D289" s="11">
        <v>46067</v>
      </c>
      <c r="E289" s="12">
        <v>1578832</v>
      </c>
      <c r="F289" s="12" t="s">
        <v>20</v>
      </c>
      <c r="G289" s="13">
        <v>20321257</v>
      </c>
      <c r="H289" s="12" t="s">
        <v>21</v>
      </c>
      <c r="I289" s="13">
        <v>6</v>
      </c>
      <c r="J289" s="14">
        <v>16.5</v>
      </c>
      <c r="K289" s="14">
        <f t="shared" si="6"/>
        <v>99</v>
      </c>
    </row>
    <row r="290" spans="4:11">
      <c r="D290" s="11">
        <v>46067</v>
      </c>
      <c r="E290" s="12">
        <v>1578832</v>
      </c>
      <c r="F290" s="12" t="s">
        <v>20</v>
      </c>
      <c r="G290" s="13">
        <v>20369096</v>
      </c>
      <c r="H290" s="12" t="s">
        <v>182</v>
      </c>
      <c r="I290" s="13">
        <v>1</v>
      </c>
      <c r="J290" s="14">
        <v>16.5</v>
      </c>
      <c r="K290" s="14">
        <f t="shared" ref="K290:K314" si="7">J290*I290</f>
        <v>16.5</v>
      </c>
    </row>
    <row r="291" spans="4:11">
      <c r="D291" s="11">
        <v>46067</v>
      </c>
      <c r="E291" s="12">
        <v>1578832</v>
      </c>
      <c r="F291" s="12" t="s">
        <v>20</v>
      </c>
      <c r="G291" s="13">
        <v>20318380</v>
      </c>
      <c r="H291" s="12" t="s">
        <v>143</v>
      </c>
      <c r="I291" s="13">
        <v>1</v>
      </c>
      <c r="J291" s="14">
        <v>16.5</v>
      </c>
      <c r="K291" s="14">
        <f t="shared" si="7"/>
        <v>16.5</v>
      </c>
    </row>
    <row r="292" spans="4:11">
      <c r="D292" s="11">
        <v>46067</v>
      </c>
      <c r="E292" s="12">
        <v>1578832</v>
      </c>
      <c r="F292" s="12" t="s">
        <v>20</v>
      </c>
      <c r="G292" s="13">
        <v>20318340</v>
      </c>
      <c r="H292" s="12" t="s">
        <v>144</v>
      </c>
      <c r="I292" s="13">
        <v>1</v>
      </c>
      <c r="J292" s="14">
        <v>16.5</v>
      </c>
      <c r="K292" s="14">
        <f t="shared" si="7"/>
        <v>16.5</v>
      </c>
    </row>
    <row r="293" spans="4:11">
      <c r="D293" s="11">
        <v>46067</v>
      </c>
      <c r="E293" s="12">
        <v>1578832</v>
      </c>
      <c r="F293" s="12" t="s">
        <v>20</v>
      </c>
      <c r="G293" s="13">
        <v>20321250</v>
      </c>
      <c r="H293" s="12" t="s">
        <v>157</v>
      </c>
      <c r="I293" s="13">
        <v>1</v>
      </c>
      <c r="J293" s="14">
        <v>16.5</v>
      </c>
      <c r="K293" s="14">
        <f t="shared" si="7"/>
        <v>16.5</v>
      </c>
    </row>
    <row r="294" spans="4:11">
      <c r="D294" s="11">
        <v>46067</v>
      </c>
      <c r="E294" s="12">
        <v>1578832</v>
      </c>
      <c r="F294" s="12" t="s">
        <v>20</v>
      </c>
      <c r="G294" s="13">
        <v>20318342</v>
      </c>
      <c r="H294" s="12" t="s">
        <v>115</v>
      </c>
      <c r="I294" s="13">
        <v>1</v>
      </c>
      <c r="J294" s="14">
        <v>16.5</v>
      </c>
      <c r="K294" s="14">
        <f t="shared" si="7"/>
        <v>16.5</v>
      </c>
    </row>
    <row r="295" spans="4:11">
      <c r="D295" s="11">
        <v>46067</v>
      </c>
      <c r="E295" s="12">
        <v>1578837</v>
      </c>
      <c r="F295" s="12" t="s">
        <v>13</v>
      </c>
      <c r="G295" s="13">
        <v>20312966</v>
      </c>
      <c r="H295" s="12" t="s">
        <v>147</v>
      </c>
      <c r="I295" s="13">
        <v>2</v>
      </c>
      <c r="J295" s="14">
        <v>159.5</v>
      </c>
      <c r="K295" s="14">
        <f t="shared" si="7"/>
        <v>319</v>
      </c>
    </row>
    <row r="296" spans="4:11">
      <c r="D296" s="11">
        <v>46067</v>
      </c>
      <c r="E296" s="12">
        <v>1578837</v>
      </c>
      <c r="F296" s="12" t="s">
        <v>13</v>
      </c>
      <c r="G296" s="13">
        <v>20312967</v>
      </c>
      <c r="H296" s="12" t="s">
        <v>130</v>
      </c>
      <c r="I296" s="13">
        <v>2</v>
      </c>
      <c r="J296" s="14">
        <v>176</v>
      </c>
      <c r="K296" s="14">
        <f t="shared" si="7"/>
        <v>352</v>
      </c>
    </row>
    <row r="297" spans="4:11">
      <c r="D297" s="11">
        <v>46067</v>
      </c>
      <c r="E297" s="12">
        <v>1578837</v>
      </c>
      <c r="F297" s="12" t="s">
        <v>53</v>
      </c>
      <c r="G297" s="13">
        <v>20322304</v>
      </c>
      <c r="H297" s="12" t="s">
        <v>112</v>
      </c>
      <c r="I297" s="13">
        <v>4</v>
      </c>
      <c r="J297" s="14">
        <v>25</v>
      </c>
      <c r="K297" s="14">
        <f t="shared" si="7"/>
        <v>100</v>
      </c>
    </row>
    <row r="298" spans="4:11">
      <c r="D298" s="11">
        <v>46067</v>
      </c>
      <c r="E298" s="12">
        <v>1578837</v>
      </c>
      <c r="F298" s="12" t="s">
        <v>20</v>
      </c>
      <c r="G298" s="13">
        <v>20321257</v>
      </c>
      <c r="H298" s="12" t="s">
        <v>21</v>
      </c>
      <c r="I298" s="13">
        <v>1</v>
      </c>
      <c r="J298" s="14">
        <v>16.5</v>
      </c>
      <c r="K298" s="14">
        <f t="shared" si="7"/>
        <v>16.5</v>
      </c>
    </row>
    <row r="299" spans="4:11">
      <c r="D299" s="11">
        <v>46067</v>
      </c>
      <c r="E299" s="12">
        <v>1578837</v>
      </c>
      <c r="F299" s="12" t="s">
        <v>20</v>
      </c>
      <c r="G299" s="13">
        <v>20318359</v>
      </c>
      <c r="H299" s="12" t="s">
        <v>184</v>
      </c>
      <c r="I299" s="13">
        <v>1</v>
      </c>
      <c r="J299" s="14">
        <v>16.5</v>
      </c>
      <c r="K299" s="14">
        <f t="shared" si="7"/>
        <v>16.5</v>
      </c>
    </row>
    <row r="300" spans="4:11">
      <c r="D300" s="11">
        <v>46067</v>
      </c>
      <c r="E300" s="12">
        <v>1578837</v>
      </c>
      <c r="F300" s="12" t="s">
        <v>20</v>
      </c>
      <c r="G300" s="13">
        <v>20318380</v>
      </c>
      <c r="H300" s="12" t="s">
        <v>143</v>
      </c>
      <c r="I300" s="13">
        <v>1</v>
      </c>
      <c r="J300" s="14">
        <v>16.5</v>
      </c>
      <c r="K300" s="14">
        <f t="shared" si="7"/>
        <v>16.5</v>
      </c>
    </row>
    <row r="301" spans="4:11">
      <c r="D301" s="11">
        <v>46067</v>
      </c>
      <c r="E301" s="12">
        <v>1578837</v>
      </c>
      <c r="F301" s="12" t="s">
        <v>20</v>
      </c>
      <c r="G301" s="13">
        <v>20321250</v>
      </c>
      <c r="H301" s="12" t="s">
        <v>157</v>
      </c>
      <c r="I301" s="13">
        <v>2</v>
      </c>
      <c r="J301" s="14">
        <v>16.5</v>
      </c>
      <c r="K301" s="14">
        <f t="shared" si="7"/>
        <v>33</v>
      </c>
    </row>
    <row r="302" spans="4:11">
      <c r="D302" s="11">
        <v>46067</v>
      </c>
      <c r="E302" s="12">
        <v>1578837</v>
      </c>
      <c r="F302" s="12" t="s">
        <v>20</v>
      </c>
      <c r="G302" s="13">
        <v>20318393</v>
      </c>
      <c r="H302" s="12" t="s">
        <v>26</v>
      </c>
      <c r="I302" s="13">
        <v>1</v>
      </c>
      <c r="J302" s="14">
        <v>16.5</v>
      </c>
      <c r="K302" s="14">
        <f t="shared" si="7"/>
        <v>16.5</v>
      </c>
    </row>
    <row r="303" spans="4:11">
      <c r="D303" s="11">
        <v>46067</v>
      </c>
      <c r="E303" s="12">
        <v>1578948</v>
      </c>
      <c r="F303" s="12" t="s">
        <v>13</v>
      </c>
      <c r="G303" s="13">
        <v>20312967</v>
      </c>
      <c r="H303" s="12" t="s">
        <v>130</v>
      </c>
      <c r="I303" s="13">
        <v>4</v>
      </c>
      <c r="J303" s="14">
        <v>176</v>
      </c>
      <c r="K303" s="14">
        <f t="shared" si="7"/>
        <v>704</v>
      </c>
    </row>
    <row r="304" spans="4:11">
      <c r="D304" s="11">
        <v>46067</v>
      </c>
      <c r="E304" s="12">
        <v>1578948</v>
      </c>
      <c r="F304" s="12" t="s">
        <v>20</v>
      </c>
      <c r="G304" s="13">
        <v>20363041</v>
      </c>
      <c r="H304" s="12" t="s">
        <v>150</v>
      </c>
      <c r="I304" s="13">
        <v>1</v>
      </c>
      <c r="J304" s="14">
        <v>16.5</v>
      </c>
      <c r="K304" s="14">
        <f t="shared" si="7"/>
        <v>16.5</v>
      </c>
    </row>
    <row r="305" spans="4:11">
      <c r="D305" s="11">
        <v>46067</v>
      </c>
      <c r="E305" s="12">
        <v>1578967</v>
      </c>
      <c r="F305" s="12" t="s">
        <v>13</v>
      </c>
      <c r="G305" s="13">
        <v>20312966</v>
      </c>
      <c r="H305" s="12" t="s">
        <v>147</v>
      </c>
      <c r="I305" s="13">
        <v>1</v>
      </c>
      <c r="J305" s="14">
        <v>159.5</v>
      </c>
      <c r="K305" s="14">
        <f t="shared" si="7"/>
        <v>159.5</v>
      </c>
    </row>
    <row r="306" spans="4:11">
      <c r="D306" s="11">
        <v>46067</v>
      </c>
      <c r="E306" s="12">
        <v>1578967</v>
      </c>
      <c r="F306" s="12" t="s">
        <v>13</v>
      </c>
      <c r="G306" s="13">
        <v>20312967</v>
      </c>
      <c r="H306" s="12" t="s">
        <v>130</v>
      </c>
      <c r="I306" s="13">
        <v>2</v>
      </c>
      <c r="J306" s="14">
        <v>176</v>
      </c>
      <c r="K306" s="14">
        <f t="shared" si="7"/>
        <v>352</v>
      </c>
    </row>
    <row r="307" spans="4:11">
      <c r="D307" s="11">
        <v>46067</v>
      </c>
      <c r="E307" s="12">
        <v>1578967</v>
      </c>
      <c r="F307" s="12" t="s">
        <v>20</v>
      </c>
      <c r="G307" s="13">
        <v>20321257</v>
      </c>
      <c r="H307" s="12" t="s">
        <v>21</v>
      </c>
      <c r="I307" s="13">
        <v>1</v>
      </c>
      <c r="J307" s="14">
        <v>16.5</v>
      </c>
      <c r="K307" s="14">
        <f t="shared" si="7"/>
        <v>16.5</v>
      </c>
    </row>
    <row r="308" spans="4:11">
      <c r="D308" s="11">
        <v>46067</v>
      </c>
      <c r="E308" s="12">
        <v>1578967</v>
      </c>
      <c r="F308" s="12" t="s">
        <v>20</v>
      </c>
      <c r="G308" s="13">
        <v>20318377</v>
      </c>
      <c r="H308" s="12" t="s">
        <v>185</v>
      </c>
      <c r="I308" s="13">
        <v>1</v>
      </c>
      <c r="J308" s="14">
        <v>16.5</v>
      </c>
      <c r="K308" s="14">
        <f t="shared" si="7"/>
        <v>16.5</v>
      </c>
    </row>
    <row r="309" spans="4:11">
      <c r="D309" s="11">
        <v>46067</v>
      </c>
      <c r="E309" s="12">
        <v>1578967</v>
      </c>
      <c r="F309" s="12" t="s">
        <v>20</v>
      </c>
      <c r="G309" s="13">
        <v>20318359</v>
      </c>
      <c r="H309" s="12" t="s">
        <v>184</v>
      </c>
      <c r="I309" s="13">
        <v>1</v>
      </c>
      <c r="J309" s="14">
        <v>16.5</v>
      </c>
      <c r="K309" s="14">
        <f t="shared" si="7"/>
        <v>16.5</v>
      </c>
    </row>
    <row r="310" spans="4:11">
      <c r="D310" s="11">
        <v>46067</v>
      </c>
      <c r="E310" s="12">
        <v>1578967</v>
      </c>
      <c r="F310" s="12" t="s">
        <v>20</v>
      </c>
      <c r="G310" s="13">
        <v>20318378</v>
      </c>
      <c r="H310" s="12" t="s">
        <v>128</v>
      </c>
      <c r="I310" s="13">
        <v>4</v>
      </c>
      <c r="J310" s="14">
        <v>16.5</v>
      </c>
      <c r="K310" s="14">
        <f t="shared" si="7"/>
        <v>66</v>
      </c>
    </row>
    <row r="311" spans="4:11">
      <c r="D311" s="11">
        <v>46067</v>
      </c>
      <c r="E311" s="12">
        <v>1578967</v>
      </c>
      <c r="F311" s="12" t="s">
        <v>20</v>
      </c>
      <c r="G311" s="13">
        <v>20318380</v>
      </c>
      <c r="H311" s="12" t="s">
        <v>143</v>
      </c>
      <c r="I311" s="13">
        <v>1</v>
      </c>
      <c r="J311" s="14">
        <v>16.5</v>
      </c>
      <c r="K311" s="14">
        <f t="shared" si="7"/>
        <v>16.5</v>
      </c>
    </row>
    <row r="312" spans="4:11">
      <c r="D312" s="11">
        <v>46067</v>
      </c>
      <c r="E312" s="12">
        <v>1578967</v>
      </c>
      <c r="F312" s="12" t="s">
        <v>20</v>
      </c>
      <c r="G312" s="13">
        <v>20321250</v>
      </c>
      <c r="H312" s="12" t="s">
        <v>157</v>
      </c>
      <c r="I312" s="13">
        <v>1</v>
      </c>
      <c r="J312" s="14">
        <v>16.5</v>
      </c>
      <c r="K312" s="14">
        <f t="shared" si="7"/>
        <v>16.5</v>
      </c>
    </row>
    <row r="313" spans="4:11">
      <c r="D313" s="11">
        <v>46067</v>
      </c>
      <c r="E313" s="12">
        <v>1578967</v>
      </c>
      <c r="F313" s="12" t="s">
        <v>20</v>
      </c>
      <c r="G313" s="13">
        <v>20318336</v>
      </c>
      <c r="H313" s="12" t="s">
        <v>137</v>
      </c>
      <c r="I313" s="13">
        <v>1</v>
      </c>
      <c r="J313" s="14">
        <v>16.5</v>
      </c>
      <c r="K313" s="14">
        <f t="shared" si="7"/>
        <v>16.5</v>
      </c>
    </row>
    <row r="314" spans="4:11">
      <c r="D314" s="11">
        <v>46067</v>
      </c>
      <c r="E314" s="12">
        <v>1578967</v>
      </c>
      <c r="F314" s="12" t="s">
        <v>20</v>
      </c>
      <c r="G314" s="13">
        <v>20318342</v>
      </c>
      <c r="H314" s="12" t="s">
        <v>115</v>
      </c>
      <c r="I314" s="13">
        <v>1</v>
      </c>
      <c r="J314" s="14">
        <v>16.5</v>
      </c>
      <c r="K314" s="14">
        <f t="shared" si="7"/>
        <v>16.5</v>
      </c>
    </row>
    <row r="315" spans="4:11">
      <c r="D315" s="11">
        <v>46067</v>
      </c>
      <c r="E315" s="12">
        <v>1578983</v>
      </c>
      <c r="F315" s="12" t="s">
        <v>13</v>
      </c>
      <c r="G315" s="13">
        <v>20321476</v>
      </c>
      <c r="H315" s="12" t="s">
        <v>148</v>
      </c>
      <c r="I315" s="13">
        <v>1</v>
      </c>
      <c r="J315" s="14">
        <v>55</v>
      </c>
      <c r="K315" s="14">
        <f t="shared" ref="K315:K344" si="8">J315*I315</f>
        <v>55</v>
      </c>
    </row>
    <row r="316" spans="4:11">
      <c r="D316" s="11">
        <v>46067</v>
      </c>
      <c r="E316" s="12">
        <v>1578983</v>
      </c>
      <c r="F316" s="12" t="s">
        <v>13</v>
      </c>
      <c r="G316" s="13">
        <v>20312966</v>
      </c>
      <c r="H316" s="12" t="s">
        <v>147</v>
      </c>
      <c r="I316" s="13">
        <v>4</v>
      </c>
      <c r="J316" s="14">
        <v>159.5</v>
      </c>
      <c r="K316" s="14">
        <f t="shared" si="8"/>
        <v>638</v>
      </c>
    </row>
    <row r="317" spans="4:11">
      <c r="D317" s="11">
        <v>46067</v>
      </c>
      <c r="E317" s="12">
        <v>1578983</v>
      </c>
      <c r="F317" s="12" t="s">
        <v>13</v>
      </c>
      <c r="G317" s="13">
        <v>20312965</v>
      </c>
      <c r="H317" s="12" t="s">
        <v>15</v>
      </c>
      <c r="I317" s="13">
        <v>3</v>
      </c>
      <c r="J317" s="14">
        <v>137.5</v>
      </c>
      <c r="K317" s="14">
        <f t="shared" si="8"/>
        <v>412.5</v>
      </c>
    </row>
    <row r="318" spans="4:11">
      <c r="D318" s="11">
        <v>46067</v>
      </c>
      <c r="E318" s="12">
        <v>1578983</v>
      </c>
      <c r="F318" s="12" t="s">
        <v>13</v>
      </c>
      <c r="G318" s="13">
        <v>20312967</v>
      </c>
      <c r="H318" s="12" t="s">
        <v>130</v>
      </c>
      <c r="I318" s="13">
        <v>5</v>
      </c>
      <c r="J318" s="14">
        <v>176</v>
      </c>
      <c r="K318" s="14">
        <f t="shared" si="8"/>
        <v>880</v>
      </c>
    </row>
    <row r="319" spans="4:11">
      <c r="D319" s="11">
        <v>46067</v>
      </c>
      <c r="E319" s="12">
        <v>1578983</v>
      </c>
      <c r="F319" s="12" t="s">
        <v>53</v>
      </c>
      <c r="G319" s="13">
        <v>20322235</v>
      </c>
      <c r="H319" s="12" t="s">
        <v>81</v>
      </c>
      <c r="I319" s="13">
        <v>2</v>
      </c>
      <c r="J319" s="14">
        <v>2.5</v>
      </c>
      <c r="K319" s="14">
        <f t="shared" si="8"/>
        <v>5</v>
      </c>
    </row>
    <row r="320" spans="4:11">
      <c r="D320" s="11">
        <v>46067</v>
      </c>
      <c r="E320" s="12">
        <v>1578983</v>
      </c>
      <c r="F320" s="12" t="s">
        <v>53</v>
      </c>
      <c r="G320" s="13">
        <v>20322234</v>
      </c>
      <c r="H320" s="12" t="s">
        <v>141</v>
      </c>
      <c r="I320" s="13">
        <v>3</v>
      </c>
      <c r="J320" s="14">
        <v>2.5</v>
      </c>
      <c r="K320" s="14">
        <f t="shared" si="8"/>
        <v>7.5</v>
      </c>
    </row>
    <row r="321" spans="4:11">
      <c r="D321" s="11">
        <v>46067</v>
      </c>
      <c r="E321" s="12">
        <v>1578983</v>
      </c>
      <c r="F321" s="12" t="s">
        <v>53</v>
      </c>
      <c r="G321" s="13">
        <v>20330757</v>
      </c>
      <c r="H321" s="12" t="s">
        <v>113</v>
      </c>
      <c r="I321" s="13">
        <v>3</v>
      </c>
      <c r="J321" s="14">
        <v>35</v>
      </c>
      <c r="K321" s="14">
        <f t="shared" si="8"/>
        <v>105</v>
      </c>
    </row>
    <row r="322" spans="4:11">
      <c r="D322" s="11">
        <v>46067</v>
      </c>
      <c r="E322" s="12">
        <v>1578983</v>
      </c>
      <c r="F322" s="12" t="s">
        <v>53</v>
      </c>
      <c r="G322" s="13">
        <v>20402355</v>
      </c>
      <c r="H322" s="12" t="s">
        <v>139</v>
      </c>
      <c r="I322" s="13">
        <v>1</v>
      </c>
      <c r="J322" s="14">
        <v>25</v>
      </c>
      <c r="K322" s="14">
        <f t="shared" si="8"/>
        <v>25</v>
      </c>
    </row>
    <row r="323" spans="4:11">
      <c r="D323" s="11">
        <v>46067</v>
      </c>
      <c r="E323" s="12">
        <v>1578983</v>
      </c>
      <c r="F323" s="12" t="s">
        <v>30</v>
      </c>
      <c r="G323" s="13">
        <v>20340286</v>
      </c>
      <c r="H323" s="12" t="s">
        <v>168</v>
      </c>
      <c r="I323" s="13">
        <v>3</v>
      </c>
      <c r="J323" s="14">
        <v>55</v>
      </c>
      <c r="K323" s="14">
        <f t="shared" si="8"/>
        <v>165</v>
      </c>
    </row>
    <row r="324" spans="4:11">
      <c r="D324" s="11">
        <v>46067</v>
      </c>
      <c r="E324" s="12">
        <v>1578983</v>
      </c>
      <c r="F324" s="12" t="s">
        <v>20</v>
      </c>
      <c r="G324" s="13">
        <v>20321257</v>
      </c>
      <c r="H324" s="12" t="s">
        <v>21</v>
      </c>
      <c r="I324" s="13">
        <v>7</v>
      </c>
      <c r="J324" s="14">
        <v>16.5</v>
      </c>
      <c r="K324" s="14">
        <f t="shared" si="8"/>
        <v>115.5</v>
      </c>
    </row>
    <row r="325" spans="4:11">
      <c r="D325" s="11">
        <v>46067</v>
      </c>
      <c r="E325" s="12">
        <v>1578983</v>
      </c>
      <c r="F325" s="12" t="s">
        <v>20</v>
      </c>
      <c r="G325" s="13">
        <v>20363041</v>
      </c>
      <c r="H325" s="12" t="s">
        <v>150</v>
      </c>
      <c r="I325" s="13">
        <v>1</v>
      </c>
      <c r="J325" s="14">
        <v>16.5</v>
      </c>
      <c r="K325" s="14">
        <f t="shared" si="8"/>
        <v>16.5</v>
      </c>
    </row>
    <row r="326" spans="4:11">
      <c r="D326" s="11">
        <v>46067</v>
      </c>
      <c r="E326" s="12">
        <v>1578983</v>
      </c>
      <c r="F326" s="12" t="s">
        <v>20</v>
      </c>
      <c r="G326" s="13">
        <v>20014824</v>
      </c>
      <c r="H326" s="12" t="s">
        <v>68</v>
      </c>
      <c r="I326" s="13">
        <v>1</v>
      </c>
      <c r="J326" s="14">
        <v>16.5</v>
      </c>
      <c r="K326" s="14">
        <f t="shared" si="8"/>
        <v>16.5</v>
      </c>
    </row>
    <row r="327" spans="4:11">
      <c r="D327" s="11">
        <v>46067</v>
      </c>
      <c r="E327" s="12">
        <v>1578983</v>
      </c>
      <c r="F327" s="12" t="s">
        <v>20</v>
      </c>
      <c r="G327" s="13">
        <v>20318380</v>
      </c>
      <c r="H327" s="12" t="s">
        <v>143</v>
      </c>
      <c r="I327" s="13">
        <v>1</v>
      </c>
      <c r="J327" s="14">
        <v>16.5</v>
      </c>
      <c r="K327" s="14">
        <f t="shared" si="8"/>
        <v>16.5</v>
      </c>
    </row>
    <row r="328" spans="4:11">
      <c r="D328" s="11">
        <v>46067</v>
      </c>
      <c r="E328" s="12">
        <v>1578983</v>
      </c>
      <c r="F328" s="12" t="s">
        <v>20</v>
      </c>
      <c r="G328" s="13">
        <v>20318340</v>
      </c>
      <c r="H328" s="12" t="s">
        <v>144</v>
      </c>
      <c r="I328" s="13">
        <v>1</v>
      </c>
      <c r="J328" s="14">
        <v>16.5</v>
      </c>
      <c r="K328" s="14">
        <f t="shared" si="8"/>
        <v>16.5</v>
      </c>
    </row>
    <row r="329" spans="4:11">
      <c r="D329" s="11">
        <v>46067</v>
      </c>
      <c r="E329" s="12">
        <v>1578983</v>
      </c>
      <c r="F329" s="12" t="s">
        <v>20</v>
      </c>
      <c r="G329" s="13">
        <v>20407575</v>
      </c>
      <c r="H329" s="12" t="s">
        <v>140</v>
      </c>
      <c r="I329" s="13">
        <v>1</v>
      </c>
      <c r="J329" s="14">
        <v>16.5</v>
      </c>
      <c r="K329" s="14">
        <f t="shared" si="8"/>
        <v>16.5</v>
      </c>
    </row>
    <row r="330" spans="4:11">
      <c r="D330" s="11">
        <v>46067</v>
      </c>
      <c r="E330" s="12">
        <v>1578983</v>
      </c>
      <c r="F330" s="12" t="s">
        <v>20</v>
      </c>
      <c r="G330" s="13">
        <v>20318342</v>
      </c>
      <c r="H330" s="12" t="s">
        <v>115</v>
      </c>
      <c r="I330" s="13">
        <v>2</v>
      </c>
      <c r="J330" s="14">
        <v>16.5</v>
      </c>
      <c r="K330" s="14">
        <f t="shared" si="8"/>
        <v>33</v>
      </c>
    </row>
    <row r="331" spans="4:11">
      <c r="D331" s="11">
        <v>46068</v>
      </c>
      <c r="E331" s="12">
        <v>1579065</v>
      </c>
      <c r="F331" s="12" t="s">
        <v>13</v>
      </c>
      <c r="G331" s="13">
        <v>20312965</v>
      </c>
      <c r="H331" s="12" t="s">
        <v>15</v>
      </c>
      <c r="I331" s="13">
        <v>1</v>
      </c>
      <c r="J331" s="14">
        <v>137.5</v>
      </c>
      <c r="K331" s="14">
        <f t="shared" si="8"/>
        <v>137.5</v>
      </c>
    </row>
    <row r="332" spans="4:11">
      <c r="D332" s="11">
        <v>46068</v>
      </c>
      <c r="E332" s="12">
        <v>1579065</v>
      </c>
      <c r="F332" s="12" t="s">
        <v>13</v>
      </c>
      <c r="G332" s="13">
        <v>20312967</v>
      </c>
      <c r="H332" s="12" t="s">
        <v>130</v>
      </c>
      <c r="I332" s="13">
        <v>2</v>
      </c>
      <c r="J332" s="14">
        <v>176</v>
      </c>
      <c r="K332" s="14">
        <f t="shared" si="8"/>
        <v>352</v>
      </c>
    </row>
    <row r="333" spans="4:11">
      <c r="D333" s="11">
        <v>46068</v>
      </c>
      <c r="E333" s="12">
        <v>1579065</v>
      </c>
      <c r="F333" s="12" t="s">
        <v>53</v>
      </c>
      <c r="G333" s="13">
        <v>20322235</v>
      </c>
      <c r="H333" s="12" t="s">
        <v>81</v>
      </c>
      <c r="I333" s="13">
        <v>1</v>
      </c>
      <c r="J333" s="14">
        <v>2.5</v>
      </c>
      <c r="K333" s="14">
        <f t="shared" si="8"/>
        <v>2.5</v>
      </c>
    </row>
    <row r="334" spans="4:11">
      <c r="D334" s="11">
        <v>46068</v>
      </c>
      <c r="E334" s="12">
        <v>1579065</v>
      </c>
      <c r="F334" s="12" t="s">
        <v>53</v>
      </c>
      <c r="G334" s="13">
        <v>20330757</v>
      </c>
      <c r="H334" s="12" t="s">
        <v>113</v>
      </c>
      <c r="I334" s="13">
        <v>2</v>
      </c>
      <c r="J334" s="14">
        <v>35</v>
      </c>
      <c r="K334" s="14">
        <f t="shared" si="8"/>
        <v>70</v>
      </c>
    </row>
    <row r="335" spans="4:11">
      <c r="D335" s="11">
        <v>46068</v>
      </c>
      <c r="E335" s="12">
        <v>1579065</v>
      </c>
      <c r="F335" s="12" t="s">
        <v>20</v>
      </c>
      <c r="G335" s="13">
        <v>20321257</v>
      </c>
      <c r="H335" s="12" t="s">
        <v>21</v>
      </c>
      <c r="I335" s="13">
        <v>2</v>
      </c>
      <c r="J335" s="14">
        <v>16.5</v>
      </c>
      <c r="K335" s="14">
        <f t="shared" si="8"/>
        <v>33</v>
      </c>
    </row>
    <row r="336" spans="4:11">
      <c r="D336" s="11">
        <v>46068</v>
      </c>
      <c r="E336" s="12">
        <v>1579065</v>
      </c>
      <c r="F336" s="12" t="s">
        <v>20</v>
      </c>
      <c r="G336" s="13">
        <v>20318380</v>
      </c>
      <c r="H336" s="12" t="s">
        <v>143</v>
      </c>
      <c r="I336" s="13">
        <v>2</v>
      </c>
      <c r="J336" s="14">
        <v>16.5</v>
      </c>
      <c r="K336" s="14">
        <f t="shared" si="8"/>
        <v>33</v>
      </c>
    </row>
    <row r="337" spans="4:11">
      <c r="D337" s="11">
        <v>46069</v>
      </c>
      <c r="E337" s="12">
        <v>1579109</v>
      </c>
      <c r="F337" s="12" t="s">
        <v>13</v>
      </c>
      <c r="G337" s="13">
        <v>20321476</v>
      </c>
      <c r="H337" s="12" t="s">
        <v>148</v>
      </c>
      <c r="I337" s="13">
        <v>1</v>
      </c>
      <c r="J337" s="14">
        <v>55</v>
      </c>
      <c r="K337" s="14">
        <f t="shared" si="8"/>
        <v>55</v>
      </c>
    </row>
    <row r="338" spans="4:11">
      <c r="D338" s="11">
        <v>46069</v>
      </c>
      <c r="E338" s="12">
        <v>1579109</v>
      </c>
      <c r="F338" s="12" t="s">
        <v>13</v>
      </c>
      <c r="G338" s="13">
        <v>20321252</v>
      </c>
      <c r="H338" s="12" t="s">
        <v>149</v>
      </c>
      <c r="I338" s="13">
        <v>1</v>
      </c>
      <c r="J338" s="14">
        <v>49.5</v>
      </c>
      <c r="K338" s="14">
        <f t="shared" si="8"/>
        <v>49.5</v>
      </c>
    </row>
    <row r="339" spans="4:11">
      <c r="D339" s="11">
        <v>46069</v>
      </c>
      <c r="E339" s="12">
        <v>1579109</v>
      </c>
      <c r="F339" s="12" t="s">
        <v>13</v>
      </c>
      <c r="G339" s="13">
        <v>20321719</v>
      </c>
      <c r="H339" s="12" t="s">
        <v>146</v>
      </c>
      <c r="I339" s="13">
        <v>1</v>
      </c>
      <c r="J339" s="14">
        <v>49.5</v>
      </c>
      <c r="K339" s="14">
        <f t="shared" si="8"/>
        <v>49.5</v>
      </c>
    </row>
    <row r="340" spans="4:11">
      <c r="D340" s="11">
        <v>46069</v>
      </c>
      <c r="E340" s="12">
        <v>1579109</v>
      </c>
      <c r="F340" s="12" t="s">
        <v>13</v>
      </c>
      <c r="G340" s="13">
        <v>20312966</v>
      </c>
      <c r="H340" s="12" t="s">
        <v>147</v>
      </c>
      <c r="I340" s="13">
        <v>4</v>
      </c>
      <c r="J340" s="14">
        <v>159.5</v>
      </c>
      <c r="K340" s="14">
        <f t="shared" si="8"/>
        <v>638</v>
      </c>
    </row>
    <row r="341" spans="4:11">
      <c r="D341" s="11">
        <v>46069</v>
      </c>
      <c r="E341" s="12">
        <v>1579109</v>
      </c>
      <c r="F341" s="12" t="s">
        <v>13</v>
      </c>
      <c r="G341" s="13">
        <v>20312965</v>
      </c>
      <c r="H341" s="12" t="s">
        <v>15</v>
      </c>
      <c r="I341" s="13">
        <v>1</v>
      </c>
      <c r="J341" s="14">
        <v>137.5</v>
      </c>
      <c r="K341" s="14">
        <f t="shared" si="8"/>
        <v>137.5</v>
      </c>
    </row>
    <row r="342" spans="4:11">
      <c r="D342" s="11">
        <v>46069</v>
      </c>
      <c r="E342" s="12">
        <v>1579109</v>
      </c>
      <c r="F342" s="12" t="s">
        <v>13</v>
      </c>
      <c r="G342" s="13">
        <v>20312967</v>
      </c>
      <c r="H342" s="12" t="s">
        <v>130</v>
      </c>
      <c r="I342" s="13">
        <v>7</v>
      </c>
      <c r="J342" s="14">
        <v>176</v>
      </c>
      <c r="K342" s="14">
        <f t="shared" si="8"/>
        <v>1232</v>
      </c>
    </row>
    <row r="343" spans="4:11">
      <c r="D343" s="11">
        <v>46069</v>
      </c>
      <c r="E343" s="12">
        <v>1579109</v>
      </c>
      <c r="F343" s="12" t="s">
        <v>16</v>
      </c>
      <c r="G343" s="13">
        <v>20377062</v>
      </c>
      <c r="H343" s="12" t="s">
        <v>186</v>
      </c>
      <c r="I343" s="13">
        <v>1</v>
      </c>
      <c r="J343" s="14">
        <v>8</v>
      </c>
      <c r="K343" s="14">
        <f t="shared" si="8"/>
        <v>8</v>
      </c>
    </row>
    <row r="344" spans="4:11">
      <c r="D344" s="11">
        <v>46069</v>
      </c>
      <c r="E344" s="12">
        <v>1579109</v>
      </c>
      <c r="F344" s="12" t="s">
        <v>16</v>
      </c>
      <c r="G344" s="13">
        <v>20340288</v>
      </c>
      <c r="H344" s="12" t="s">
        <v>114</v>
      </c>
      <c r="I344" s="13">
        <v>1</v>
      </c>
      <c r="J344" s="14">
        <v>22</v>
      </c>
      <c r="K344" s="14">
        <f t="shared" si="8"/>
        <v>22</v>
      </c>
    </row>
    <row r="345" spans="4:11">
      <c r="D345" s="11">
        <v>46069</v>
      </c>
      <c r="E345" s="12">
        <v>1579109</v>
      </c>
      <c r="F345" s="12" t="s">
        <v>53</v>
      </c>
      <c r="G345" s="13">
        <v>20322235</v>
      </c>
      <c r="H345" s="12" t="s">
        <v>81</v>
      </c>
      <c r="I345" s="13">
        <v>1</v>
      </c>
      <c r="J345" s="14">
        <v>2.5</v>
      </c>
      <c r="K345" s="14">
        <f t="shared" ref="K345:K394" si="9">J345*I345</f>
        <v>2.5</v>
      </c>
    </row>
    <row r="346" spans="4:11">
      <c r="D346" s="11">
        <v>46069</v>
      </c>
      <c r="E346" s="12">
        <v>1579109</v>
      </c>
      <c r="F346" s="12" t="s">
        <v>53</v>
      </c>
      <c r="G346" s="13">
        <v>20322234</v>
      </c>
      <c r="H346" s="12" t="s">
        <v>141</v>
      </c>
      <c r="I346" s="13">
        <v>3</v>
      </c>
      <c r="J346" s="14">
        <v>2.5</v>
      </c>
      <c r="K346" s="14">
        <f t="shared" si="9"/>
        <v>7.5</v>
      </c>
    </row>
    <row r="347" spans="4:11">
      <c r="D347" s="11">
        <v>46069</v>
      </c>
      <c r="E347" s="12">
        <v>1579109</v>
      </c>
      <c r="F347" s="12" t="s">
        <v>53</v>
      </c>
      <c r="G347" s="13">
        <v>20322304</v>
      </c>
      <c r="H347" s="12" t="s">
        <v>112</v>
      </c>
      <c r="I347" s="13">
        <v>3</v>
      </c>
      <c r="J347" s="14">
        <v>25</v>
      </c>
      <c r="K347" s="14">
        <f t="shared" si="9"/>
        <v>75</v>
      </c>
    </row>
    <row r="348" spans="4:11">
      <c r="D348" s="11">
        <v>46069</v>
      </c>
      <c r="E348" s="12">
        <v>1579109</v>
      </c>
      <c r="F348" s="12" t="s">
        <v>53</v>
      </c>
      <c r="G348" s="13">
        <v>20330757</v>
      </c>
      <c r="H348" s="12" t="s">
        <v>113</v>
      </c>
      <c r="I348" s="13">
        <v>4</v>
      </c>
      <c r="J348" s="14">
        <v>35</v>
      </c>
      <c r="K348" s="14">
        <f t="shared" si="9"/>
        <v>140</v>
      </c>
    </row>
    <row r="349" spans="4:11">
      <c r="D349" s="11">
        <v>46069</v>
      </c>
      <c r="E349" s="12">
        <v>1579109</v>
      </c>
      <c r="F349" s="12" t="s">
        <v>53</v>
      </c>
      <c r="G349" s="13">
        <v>20323697</v>
      </c>
      <c r="H349" s="12" t="s">
        <v>142</v>
      </c>
      <c r="I349" s="13">
        <v>1</v>
      </c>
      <c r="J349" s="14">
        <v>4</v>
      </c>
      <c r="K349" s="14">
        <f t="shared" si="9"/>
        <v>4</v>
      </c>
    </row>
    <row r="350" spans="4:11">
      <c r="D350" s="11">
        <v>46069</v>
      </c>
      <c r="E350" s="12">
        <v>1579109</v>
      </c>
      <c r="F350" s="12" t="s">
        <v>30</v>
      </c>
      <c r="G350" s="13">
        <v>20340286</v>
      </c>
      <c r="H350" s="12" t="s">
        <v>168</v>
      </c>
      <c r="I350" s="13">
        <v>1</v>
      </c>
      <c r="J350" s="14">
        <v>55</v>
      </c>
      <c r="K350" s="14">
        <f t="shared" si="9"/>
        <v>55</v>
      </c>
    </row>
    <row r="351" ht="25.5" spans="4:11">
      <c r="D351" s="11">
        <v>46069</v>
      </c>
      <c r="E351" s="12">
        <v>1579109</v>
      </c>
      <c r="F351" s="12" t="s">
        <v>30</v>
      </c>
      <c r="G351" s="13">
        <v>20395243</v>
      </c>
      <c r="H351" s="12" t="s">
        <v>180</v>
      </c>
      <c r="I351" s="13">
        <v>1</v>
      </c>
      <c r="J351" s="14">
        <v>357.5</v>
      </c>
      <c r="K351" s="14">
        <f t="shared" si="9"/>
        <v>357.5</v>
      </c>
    </row>
    <row r="352" spans="4:11">
      <c r="D352" s="11">
        <v>46069</v>
      </c>
      <c r="E352" s="12">
        <v>1579109</v>
      </c>
      <c r="F352" s="12" t="s">
        <v>20</v>
      </c>
      <c r="G352" s="13">
        <v>20321257</v>
      </c>
      <c r="H352" s="12" t="s">
        <v>21</v>
      </c>
      <c r="I352" s="13">
        <v>4</v>
      </c>
      <c r="J352" s="14">
        <v>16.5</v>
      </c>
      <c r="K352" s="14">
        <f t="shared" si="9"/>
        <v>66</v>
      </c>
    </row>
    <row r="353" spans="4:11">
      <c r="D353" s="11">
        <v>46069</v>
      </c>
      <c r="E353" s="12">
        <v>1579109</v>
      </c>
      <c r="F353" s="12" t="s">
        <v>20</v>
      </c>
      <c r="G353" s="13">
        <v>20318334</v>
      </c>
      <c r="H353" s="12" t="s">
        <v>175</v>
      </c>
      <c r="I353" s="13">
        <v>1</v>
      </c>
      <c r="J353" s="14">
        <v>16.5</v>
      </c>
      <c r="K353" s="14">
        <f t="shared" si="9"/>
        <v>16.5</v>
      </c>
    </row>
    <row r="354" spans="4:11">
      <c r="D354" s="11">
        <v>46069</v>
      </c>
      <c r="E354" s="12">
        <v>1579109</v>
      </c>
      <c r="F354" s="12" t="s">
        <v>20</v>
      </c>
      <c r="G354" s="13">
        <v>20318378</v>
      </c>
      <c r="H354" s="12" t="s">
        <v>128</v>
      </c>
      <c r="I354" s="13">
        <v>1</v>
      </c>
      <c r="J354" s="14">
        <v>16.5</v>
      </c>
      <c r="K354" s="14">
        <f t="shared" si="9"/>
        <v>16.5</v>
      </c>
    </row>
    <row r="355" spans="4:11">
      <c r="D355" s="11">
        <v>46069</v>
      </c>
      <c r="E355" s="12">
        <v>1579109</v>
      </c>
      <c r="F355" s="12" t="s">
        <v>20</v>
      </c>
      <c r="G355" s="13">
        <v>20318380</v>
      </c>
      <c r="H355" s="12" t="s">
        <v>143</v>
      </c>
      <c r="I355" s="13">
        <v>1</v>
      </c>
      <c r="J355" s="14">
        <v>16.5</v>
      </c>
      <c r="K355" s="14">
        <f t="shared" si="9"/>
        <v>16.5</v>
      </c>
    </row>
    <row r="356" spans="4:11">
      <c r="D356" s="11">
        <v>46069</v>
      </c>
      <c r="E356" s="12">
        <v>1579109</v>
      </c>
      <c r="F356" s="12" t="s">
        <v>20</v>
      </c>
      <c r="G356" s="13">
        <v>20318340</v>
      </c>
      <c r="H356" s="12" t="s">
        <v>144</v>
      </c>
      <c r="I356" s="13">
        <v>2</v>
      </c>
      <c r="J356" s="14">
        <v>16.5</v>
      </c>
      <c r="K356" s="14">
        <f t="shared" si="9"/>
        <v>33</v>
      </c>
    </row>
    <row r="357" spans="4:11">
      <c r="D357" s="11">
        <v>46069</v>
      </c>
      <c r="E357" s="12">
        <v>1579109</v>
      </c>
      <c r="F357" s="12" t="s">
        <v>20</v>
      </c>
      <c r="G357" s="13">
        <v>20321250</v>
      </c>
      <c r="H357" s="12" t="s">
        <v>157</v>
      </c>
      <c r="I357" s="13">
        <v>1</v>
      </c>
      <c r="J357" s="14">
        <v>16.5</v>
      </c>
      <c r="K357" s="14">
        <f t="shared" si="9"/>
        <v>16.5</v>
      </c>
    </row>
    <row r="358" spans="4:11">
      <c r="D358" s="11">
        <v>46069</v>
      </c>
      <c r="E358" s="12">
        <v>1579109</v>
      </c>
      <c r="F358" s="12" t="s">
        <v>20</v>
      </c>
      <c r="G358" s="13">
        <v>20340289</v>
      </c>
      <c r="H358" s="12" t="s">
        <v>145</v>
      </c>
      <c r="I358" s="13">
        <v>1</v>
      </c>
      <c r="J358" s="14">
        <v>16.5</v>
      </c>
      <c r="K358" s="14">
        <f t="shared" si="9"/>
        <v>16.5</v>
      </c>
    </row>
    <row r="359" spans="4:11">
      <c r="D359" s="11">
        <v>46069</v>
      </c>
      <c r="E359" s="12">
        <v>1579109</v>
      </c>
      <c r="F359" s="12" t="s">
        <v>20</v>
      </c>
      <c r="G359" s="13">
        <v>20318336</v>
      </c>
      <c r="H359" s="12" t="s">
        <v>137</v>
      </c>
      <c r="I359" s="13">
        <v>2</v>
      </c>
      <c r="J359" s="14">
        <v>16.5</v>
      </c>
      <c r="K359" s="14">
        <f t="shared" si="9"/>
        <v>33</v>
      </c>
    </row>
    <row r="360" spans="4:11">
      <c r="D360" s="11">
        <v>46069</v>
      </c>
      <c r="E360" s="12">
        <v>1579109</v>
      </c>
      <c r="F360" s="12" t="s">
        <v>20</v>
      </c>
      <c r="G360" s="13">
        <v>20318342</v>
      </c>
      <c r="H360" s="12" t="s">
        <v>115</v>
      </c>
      <c r="I360" s="13">
        <v>1</v>
      </c>
      <c r="J360" s="14">
        <v>16.5</v>
      </c>
      <c r="K360" s="14">
        <f t="shared" si="9"/>
        <v>16.5</v>
      </c>
    </row>
    <row r="361" spans="4:11">
      <c r="D361" s="11">
        <v>46070</v>
      </c>
      <c r="E361" s="12">
        <v>1579126</v>
      </c>
      <c r="F361" s="12" t="s">
        <v>13</v>
      </c>
      <c r="G361" s="13">
        <v>20312966</v>
      </c>
      <c r="H361" s="12" t="s">
        <v>147</v>
      </c>
      <c r="I361" s="13">
        <v>1</v>
      </c>
      <c r="J361" s="14">
        <v>159.5</v>
      </c>
      <c r="K361" s="14">
        <f t="shared" si="9"/>
        <v>159.5</v>
      </c>
    </row>
    <row r="362" spans="4:11">
      <c r="D362" s="11">
        <v>46070</v>
      </c>
      <c r="E362" s="12">
        <v>1579126</v>
      </c>
      <c r="F362" s="12" t="s">
        <v>13</v>
      </c>
      <c r="G362" s="13">
        <v>20312967</v>
      </c>
      <c r="H362" s="12" t="s">
        <v>130</v>
      </c>
      <c r="I362" s="13">
        <v>1</v>
      </c>
      <c r="J362" s="14">
        <v>176</v>
      </c>
      <c r="K362" s="14">
        <f t="shared" si="9"/>
        <v>176</v>
      </c>
    </row>
    <row r="363" spans="4:11">
      <c r="D363" s="11">
        <v>46070</v>
      </c>
      <c r="E363" s="12">
        <v>1579126</v>
      </c>
      <c r="F363" s="12" t="s">
        <v>53</v>
      </c>
      <c r="G363" s="13">
        <v>20322235</v>
      </c>
      <c r="H363" s="12" t="s">
        <v>81</v>
      </c>
      <c r="I363" s="13">
        <v>1</v>
      </c>
      <c r="J363" s="14">
        <v>2.5</v>
      </c>
      <c r="K363" s="14">
        <f t="shared" si="9"/>
        <v>2.5</v>
      </c>
    </row>
    <row r="364" spans="4:11">
      <c r="D364" s="11">
        <v>46070</v>
      </c>
      <c r="E364" s="12">
        <v>1579126</v>
      </c>
      <c r="F364" s="12" t="s">
        <v>53</v>
      </c>
      <c r="G364" s="13">
        <v>20322234</v>
      </c>
      <c r="H364" s="12" t="s">
        <v>141</v>
      </c>
      <c r="I364" s="13">
        <v>2</v>
      </c>
      <c r="J364" s="14">
        <v>2.5</v>
      </c>
      <c r="K364" s="14">
        <f t="shared" si="9"/>
        <v>5</v>
      </c>
    </row>
    <row r="365" spans="4:11">
      <c r="D365" s="11">
        <v>46070</v>
      </c>
      <c r="E365" s="12">
        <v>1579126</v>
      </c>
      <c r="F365" s="12" t="s">
        <v>20</v>
      </c>
      <c r="G365" s="13">
        <v>20321257</v>
      </c>
      <c r="H365" s="12" t="s">
        <v>21</v>
      </c>
      <c r="I365" s="13">
        <v>1</v>
      </c>
      <c r="J365" s="14">
        <v>16.5</v>
      </c>
      <c r="K365" s="14">
        <f t="shared" si="9"/>
        <v>16.5</v>
      </c>
    </row>
    <row r="366" spans="4:11">
      <c r="D366" s="11">
        <v>46070</v>
      </c>
      <c r="E366" s="12">
        <v>1579126</v>
      </c>
      <c r="F366" s="12" t="s">
        <v>20</v>
      </c>
      <c r="G366" s="13">
        <v>20318336</v>
      </c>
      <c r="H366" s="12" t="s">
        <v>137</v>
      </c>
      <c r="I366" s="13">
        <v>1</v>
      </c>
      <c r="J366" s="14">
        <v>16.5</v>
      </c>
      <c r="K366" s="14">
        <f t="shared" si="9"/>
        <v>16.5</v>
      </c>
    </row>
    <row r="367" spans="4:11">
      <c r="D367" s="11">
        <v>46071</v>
      </c>
      <c r="E367" s="12">
        <v>1579162</v>
      </c>
      <c r="F367" s="12" t="s">
        <v>13</v>
      </c>
      <c r="G367" s="13">
        <v>20321719</v>
      </c>
      <c r="H367" s="12" t="s">
        <v>146</v>
      </c>
      <c r="I367" s="13">
        <v>1</v>
      </c>
      <c r="J367" s="14">
        <v>49.5</v>
      </c>
      <c r="K367" s="14">
        <f t="shared" si="9"/>
        <v>49.5</v>
      </c>
    </row>
    <row r="368" spans="4:11">
      <c r="D368" s="11">
        <v>46071</v>
      </c>
      <c r="E368" s="12">
        <v>1579162</v>
      </c>
      <c r="F368" s="12" t="s">
        <v>13</v>
      </c>
      <c r="G368" s="13">
        <v>20312967</v>
      </c>
      <c r="H368" s="12" t="s">
        <v>130</v>
      </c>
      <c r="I368" s="13">
        <v>2</v>
      </c>
      <c r="J368" s="14">
        <v>176</v>
      </c>
      <c r="K368" s="14">
        <f t="shared" si="9"/>
        <v>352</v>
      </c>
    </row>
    <row r="369" spans="4:11">
      <c r="D369" s="11">
        <v>46071</v>
      </c>
      <c r="E369" s="12">
        <v>1579162</v>
      </c>
      <c r="F369" s="12" t="s">
        <v>53</v>
      </c>
      <c r="G369" s="13">
        <v>20322243</v>
      </c>
      <c r="H369" s="12" t="s">
        <v>54</v>
      </c>
      <c r="I369" s="13">
        <v>1</v>
      </c>
      <c r="J369" s="14">
        <v>30</v>
      </c>
      <c r="K369" s="14">
        <f t="shared" si="9"/>
        <v>30</v>
      </c>
    </row>
    <row r="370" spans="4:11">
      <c r="D370" s="11">
        <v>46071</v>
      </c>
      <c r="E370" s="12">
        <v>1579162</v>
      </c>
      <c r="F370" s="12" t="s">
        <v>53</v>
      </c>
      <c r="G370" s="13">
        <v>20330757</v>
      </c>
      <c r="H370" s="12" t="s">
        <v>113</v>
      </c>
      <c r="I370" s="13">
        <v>2</v>
      </c>
      <c r="J370" s="14">
        <v>35</v>
      </c>
      <c r="K370" s="14">
        <f t="shared" si="9"/>
        <v>70</v>
      </c>
    </row>
    <row r="371" spans="4:11">
      <c r="D371" s="11">
        <v>46071</v>
      </c>
      <c r="E371" s="12">
        <v>1579193</v>
      </c>
      <c r="F371" s="12" t="s">
        <v>13</v>
      </c>
      <c r="G371" s="13">
        <v>20321476</v>
      </c>
      <c r="H371" s="12" t="s">
        <v>148</v>
      </c>
      <c r="I371" s="13">
        <v>1</v>
      </c>
      <c r="J371" s="14">
        <v>55</v>
      </c>
      <c r="K371" s="14">
        <f t="shared" si="9"/>
        <v>55</v>
      </c>
    </row>
    <row r="372" spans="4:11">
      <c r="D372" s="11">
        <v>46071</v>
      </c>
      <c r="E372" s="12">
        <v>1579193</v>
      </c>
      <c r="F372" s="12" t="s">
        <v>13</v>
      </c>
      <c r="G372" s="13">
        <v>20321252</v>
      </c>
      <c r="H372" s="12" t="s">
        <v>149</v>
      </c>
      <c r="I372" s="13">
        <v>1</v>
      </c>
      <c r="J372" s="14">
        <v>49.5</v>
      </c>
      <c r="K372" s="14">
        <f t="shared" si="9"/>
        <v>49.5</v>
      </c>
    </row>
    <row r="373" spans="4:11">
      <c r="D373" s="11">
        <v>46072</v>
      </c>
      <c r="E373" s="12">
        <v>1579262</v>
      </c>
      <c r="F373" s="12" t="s">
        <v>13</v>
      </c>
      <c r="G373" s="13">
        <v>20321476</v>
      </c>
      <c r="H373" s="12" t="s">
        <v>148</v>
      </c>
      <c r="I373" s="13">
        <v>1</v>
      </c>
      <c r="J373" s="14">
        <v>55</v>
      </c>
      <c r="K373" s="14">
        <f t="shared" si="9"/>
        <v>55</v>
      </c>
    </row>
    <row r="374" spans="4:11">
      <c r="D374" s="11">
        <v>46072</v>
      </c>
      <c r="E374" s="12">
        <v>1579262</v>
      </c>
      <c r="F374" s="12" t="s">
        <v>13</v>
      </c>
      <c r="G374" s="13">
        <v>20321719</v>
      </c>
      <c r="H374" s="12" t="s">
        <v>146</v>
      </c>
      <c r="I374" s="13">
        <v>1</v>
      </c>
      <c r="J374" s="14">
        <v>49.5</v>
      </c>
      <c r="K374" s="14">
        <f t="shared" si="9"/>
        <v>49.5</v>
      </c>
    </row>
    <row r="375" spans="4:11">
      <c r="D375" s="11">
        <v>46072</v>
      </c>
      <c r="E375" s="12">
        <v>1579262</v>
      </c>
      <c r="F375" s="12" t="s">
        <v>13</v>
      </c>
      <c r="G375" s="13">
        <v>20312966</v>
      </c>
      <c r="H375" s="12" t="s">
        <v>147</v>
      </c>
      <c r="I375" s="13">
        <v>6</v>
      </c>
      <c r="J375" s="14">
        <v>159.5</v>
      </c>
      <c r="K375" s="14">
        <f t="shared" si="9"/>
        <v>957</v>
      </c>
    </row>
    <row r="376" spans="4:11">
      <c r="D376" s="11">
        <v>46072</v>
      </c>
      <c r="E376" s="12">
        <v>1579262</v>
      </c>
      <c r="F376" s="12" t="s">
        <v>13</v>
      </c>
      <c r="G376" s="13">
        <v>20312965</v>
      </c>
      <c r="H376" s="12" t="s">
        <v>15</v>
      </c>
      <c r="I376" s="13">
        <v>2</v>
      </c>
      <c r="J376" s="14">
        <v>137.5</v>
      </c>
      <c r="K376" s="14">
        <f t="shared" si="9"/>
        <v>275</v>
      </c>
    </row>
    <row r="377" spans="4:11">
      <c r="D377" s="11">
        <v>46072</v>
      </c>
      <c r="E377" s="12">
        <v>1579262</v>
      </c>
      <c r="F377" s="12" t="s">
        <v>13</v>
      </c>
      <c r="G377" s="13">
        <v>20312967</v>
      </c>
      <c r="H377" s="12" t="s">
        <v>130</v>
      </c>
      <c r="I377" s="13">
        <v>6</v>
      </c>
      <c r="J377" s="14">
        <v>176</v>
      </c>
      <c r="K377" s="14">
        <f t="shared" si="9"/>
        <v>1056</v>
      </c>
    </row>
    <row r="378" spans="4:11">
      <c r="D378" s="11">
        <v>46072</v>
      </c>
      <c r="E378" s="12">
        <v>1579262</v>
      </c>
      <c r="F378" s="12" t="s">
        <v>53</v>
      </c>
      <c r="G378" s="13">
        <v>20322234</v>
      </c>
      <c r="H378" s="12" t="s">
        <v>141</v>
      </c>
      <c r="I378" s="13">
        <v>1</v>
      </c>
      <c r="J378" s="14">
        <v>2.5</v>
      </c>
      <c r="K378" s="14">
        <f t="shared" si="9"/>
        <v>2.5</v>
      </c>
    </row>
    <row r="379" spans="4:11">
      <c r="D379" s="11">
        <v>46072</v>
      </c>
      <c r="E379" s="12">
        <v>1579262</v>
      </c>
      <c r="F379" s="12" t="s">
        <v>53</v>
      </c>
      <c r="G379" s="13">
        <v>20322304</v>
      </c>
      <c r="H379" s="12" t="s">
        <v>112</v>
      </c>
      <c r="I379" s="13">
        <v>3</v>
      </c>
      <c r="J379" s="14">
        <v>25</v>
      </c>
      <c r="K379" s="14">
        <f t="shared" si="9"/>
        <v>75</v>
      </c>
    </row>
    <row r="380" spans="4:11">
      <c r="D380" s="11">
        <v>46072</v>
      </c>
      <c r="E380" s="12">
        <v>1579262</v>
      </c>
      <c r="F380" s="12" t="s">
        <v>53</v>
      </c>
      <c r="G380" s="13">
        <v>20330757</v>
      </c>
      <c r="H380" s="12" t="s">
        <v>113</v>
      </c>
      <c r="I380" s="13">
        <v>3</v>
      </c>
      <c r="J380" s="14">
        <v>35</v>
      </c>
      <c r="K380" s="14">
        <f t="shared" si="9"/>
        <v>105</v>
      </c>
    </row>
    <row r="381" spans="4:11">
      <c r="D381" s="11">
        <v>46072</v>
      </c>
      <c r="E381" s="12">
        <v>1579262</v>
      </c>
      <c r="F381" s="12" t="s">
        <v>20</v>
      </c>
      <c r="G381" s="13">
        <v>20321257</v>
      </c>
      <c r="H381" s="12" t="s">
        <v>21</v>
      </c>
      <c r="I381" s="13">
        <v>4</v>
      </c>
      <c r="J381" s="14">
        <v>16.5</v>
      </c>
      <c r="K381" s="14">
        <f t="shared" si="9"/>
        <v>66</v>
      </c>
    </row>
    <row r="382" spans="4:11">
      <c r="D382" s="11">
        <v>46072</v>
      </c>
      <c r="E382" s="12">
        <v>1579262</v>
      </c>
      <c r="F382" s="12" t="s">
        <v>20</v>
      </c>
      <c r="G382" s="13">
        <v>20318361</v>
      </c>
      <c r="H382" s="12" t="s">
        <v>187</v>
      </c>
      <c r="I382" s="13">
        <v>1</v>
      </c>
      <c r="J382" s="14">
        <v>16.5</v>
      </c>
      <c r="K382" s="14">
        <f t="shared" si="9"/>
        <v>16.5</v>
      </c>
    </row>
    <row r="383" spans="4:11">
      <c r="D383" s="11">
        <v>46072</v>
      </c>
      <c r="E383" s="12">
        <v>1579262</v>
      </c>
      <c r="F383" s="12" t="s">
        <v>20</v>
      </c>
      <c r="G383" s="13">
        <v>20363041</v>
      </c>
      <c r="H383" s="12" t="s">
        <v>150</v>
      </c>
      <c r="I383" s="13">
        <v>2</v>
      </c>
      <c r="J383" s="14">
        <v>16.5</v>
      </c>
      <c r="K383" s="14">
        <f t="shared" si="9"/>
        <v>33</v>
      </c>
    </row>
    <row r="384" spans="4:11">
      <c r="D384" s="11">
        <v>46072</v>
      </c>
      <c r="E384" s="12">
        <v>1579262</v>
      </c>
      <c r="F384" s="12" t="s">
        <v>20</v>
      </c>
      <c r="G384" s="13">
        <v>20321604</v>
      </c>
      <c r="H384" s="12" t="s">
        <v>163</v>
      </c>
      <c r="I384" s="13">
        <v>1</v>
      </c>
      <c r="J384" s="14">
        <v>16.5</v>
      </c>
      <c r="K384" s="14">
        <f t="shared" si="9"/>
        <v>16.5</v>
      </c>
    </row>
    <row r="385" spans="4:11">
      <c r="D385" s="11">
        <v>46072</v>
      </c>
      <c r="E385" s="12">
        <v>1579262</v>
      </c>
      <c r="F385" s="12" t="s">
        <v>20</v>
      </c>
      <c r="G385" s="13">
        <v>20318340</v>
      </c>
      <c r="H385" s="12" t="s">
        <v>144</v>
      </c>
      <c r="I385" s="13">
        <v>1</v>
      </c>
      <c r="J385" s="14">
        <v>16.5</v>
      </c>
      <c r="K385" s="14">
        <f t="shared" si="9"/>
        <v>16.5</v>
      </c>
    </row>
    <row r="386" spans="4:11">
      <c r="D386" s="11">
        <v>46072</v>
      </c>
      <c r="E386" s="12">
        <v>1579262</v>
      </c>
      <c r="F386" s="12" t="s">
        <v>20</v>
      </c>
      <c r="G386" s="13">
        <v>20321502</v>
      </c>
      <c r="H386" s="12" t="s">
        <v>164</v>
      </c>
      <c r="I386" s="13">
        <v>1</v>
      </c>
      <c r="J386" s="14">
        <v>16.5</v>
      </c>
      <c r="K386" s="14">
        <f t="shared" si="9"/>
        <v>16.5</v>
      </c>
    </row>
    <row r="387" spans="4:11">
      <c r="D387" s="11">
        <v>46072</v>
      </c>
      <c r="E387" s="12">
        <v>1579262</v>
      </c>
      <c r="F387" s="12" t="s">
        <v>20</v>
      </c>
      <c r="G387" s="13">
        <v>20318383</v>
      </c>
      <c r="H387" s="12" t="s">
        <v>178</v>
      </c>
      <c r="I387" s="13">
        <v>1</v>
      </c>
      <c r="J387" s="14">
        <v>16.5</v>
      </c>
      <c r="K387" s="14">
        <f t="shared" si="9"/>
        <v>16.5</v>
      </c>
    </row>
    <row r="388" spans="4:11">
      <c r="D388" s="11">
        <v>46072</v>
      </c>
      <c r="E388" s="12">
        <v>1579262</v>
      </c>
      <c r="F388" s="12" t="s">
        <v>20</v>
      </c>
      <c r="G388" s="13">
        <v>20318342</v>
      </c>
      <c r="H388" s="12" t="s">
        <v>115</v>
      </c>
      <c r="I388" s="13">
        <v>2</v>
      </c>
      <c r="J388" s="14">
        <v>16.5</v>
      </c>
      <c r="K388" s="14">
        <f t="shared" si="9"/>
        <v>33</v>
      </c>
    </row>
    <row r="389" spans="4:11">
      <c r="D389" s="11">
        <v>46073</v>
      </c>
      <c r="E389" s="12">
        <v>1579306</v>
      </c>
      <c r="F389" s="12" t="s">
        <v>13</v>
      </c>
      <c r="G389" s="13">
        <v>20321252</v>
      </c>
      <c r="H389" s="12" t="s">
        <v>149</v>
      </c>
      <c r="I389" s="13">
        <v>1</v>
      </c>
      <c r="J389" s="14">
        <v>49.5</v>
      </c>
      <c r="K389" s="14">
        <f t="shared" si="9"/>
        <v>49.5</v>
      </c>
    </row>
    <row r="390" spans="4:11">
      <c r="D390" s="11">
        <v>46073</v>
      </c>
      <c r="E390" s="12">
        <v>1579306</v>
      </c>
      <c r="F390" s="12" t="s">
        <v>13</v>
      </c>
      <c r="G390" s="13">
        <v>20312968</v>
      </c>
      <c r="H390" s="12" t="s">
        <v>181</v>
      </c>
      <c r="I390" s="13">
        <v>1</v>
      </c>
      <c r="J390" s="14">
        <v>187</v>
      </c>
      <c r="K390" s="14">
        <f t="shared" si="9"/>
        <v>187</v>
      </c>
    </row>
    <row r="391" spans="4:11">
      <c r="D391" s="11">
        <v>46073</v>
      </c>
      <c r="E391" s="12">
        <v>1579306</v>
      </c>
      <c r="F391" s="12" t="s">
        <v>13</v>
      </c>
      <c r="G391" s="13">
        <v>20312967</v>
      </c>
      <c r="H391" s="12" t="s">
        <v>130</v>
      </c>
      <c r="I391" s="13">
        <v>2</v>
      </c>
      <c r="J391" s="14">
        <v>176</v>
      </c>
      <c r="K391" s="14">
        <f t="shared" si="9"/>
        <v>352</v>
      </c>
    </row>
    <row r="392" spans="4:11">
      <c r="D392" s="11">
        <v>46073</v>
      </c>
      <c r="E392" s="12">
        <v>1579306</v>
      </c>
      <c r="F392" s="12" t="s">
        <v>53</v>
      </c>
      <c r="G392" s="13">
        <v>20391359</v>
      </c>
      <c r="H392" s="12" t="s">
        <v>188</v>
      </c>
      <c r="I392" s="13">
        <v>1</v>
      </c>
      <c r="J392" s="14">
        <v>25</v>
      </c>
      <c r="K392" s="14">
        <f t="shared" si="9"/>
        <v>25</v>
      </c>
    </row>
    <row r="393" spans="4:11">
      <c r="D393" s="11">
        <v>46073</v>
      </c>
      <c r="E393" s="12">
        <v>1579306</v>
      </c>
      <c r="F393" s="12" t="s">
        <v>53</v>
      </c>
      <c r="G393" s="13">
        <v>20322243</v>
      </c>
      <c r="H393" s="12" t="s">
        <v>54</v>
      </c>
      <c r="I393" s="13">
        <v>1</v>
      </c>
      <c r="J393" s="14">
        <v>30</v>
      </c>
      <c r="K393" s="14">
        <f t="shared" si="9"/>
        <v>30</v>
      </c>
    </row>
    <row r="394" spans="4:11">
      <c r="D394" s="11">
        <v>46073</v>
      </c>
      <c r="E394" s="12">
        <v>1579306</v>
      </c>
      <c r="F394" s="12" t="s">
        <v>53</v>
      </c>
      <c r="G394" s="13">
        <v>20322234</v>
      </c>
      <c r="H394" s="12" t="s">
        <v>141</v>
      </c>
      <c r="I394" s="13">
        <v>4</v>
      </c>
      <c r="J394" s="14">
        <v>2.5</v>
      </c>
      <c r="K394" s="14">
        <f t="shared" si="9"/>
        <v>10</v>
      </c>
    </row>
    <row r="395" spans="4:11">
      <c r="D395" s="11">
        <v>46073</v>
      </c>
      <c r="E395" s="12">
        <v>1579306</v>
      </c>
      <c r="F395" s="12" t="s">
        <v>20</v>
      </c>
      <c r="G395" s="13">
        <v>20321257</v>
      </c>
      <c r="H395" s="12" t="s">
        <v>21</v>
      </c>
      <c r="I395" s="13">
        <v>2</v>
      </c>
      <c r="J395" s="14">
        <v>16.5</v>
      </c>
      <c r="K395" s="14">
        <f t="shared" ref="K395:K458" si="10">J395*I395</f>
        <v>33</v>
      </c>
    </row>
    <row r="396" spans="4:11">
      <c r="D396" s="11">
        <v>46073</v>
      </c>
      <c r="E396" s="12">
        <v>1579306</v>
      </c>
      <c r="F396" s="12" t="s">
        <v>20</v>
      </c>
      <c r="G396" s="13">
        <v>20014824</v>
      </c>
      <c r="H396" s="12" t="s">
        <v>68</v>
      </c>
      <c r="I396" s="13">
        <v>1</v>
      </c>
      <c r="J396" s="14">
        <v>16.5</v>
      </c>
      <c r="K396" s="14">
        <f t="shared" si="10"/>
        <v>16.5</v>
      </c>
    </row>
    <row r="397" spans="4:11">
      <c r="D397" s="11">
        <v>46074</v>
      </c>
      <c r="E397" s="12">
        <v>1579366</v>
      </c>
      <c r="F397" s="12" t="s">
        <v>13</v>
      </c>
      <c r="G397" s="13">
        <v>20312966</v>
      </c>
      <c r="H397" s="12" t="s">
        <v>147</v>
      </c>
      <c r="I397" s="13">
        <v>3</v>
      </c>
      <c r="J397" s="14">
        <v>159.5</v>
      </c>
      <c r="K397" s="14">
        <f t="shared" si="10"/>
        <v>478.5</v>
      </c>
    </row>
    <row r="398" spans="4:11">
      <c r="D398" s="11">
        <v>46074</v>
      </c>
      <c r="E398" s="12">
        <v>1579366</v>
      </c>
      <c r="F398" s="12" t="s">
        <v>13</v>
      </c>
      <c r="G398" s="13">
        <v>20312965</v>
      </c>
      <c r="H398" s="12" t="s">
        <v>15</v>
      </c>
      <c r="I398" s="13">
        <v>1</v>
      </c>
      <c r="J398" s="14">
        <v>137.5</v>
      </c>
      <c r="K398" s="14">
        <f t="shared" si="10"/>
        <v>137.5</v>
      </c>
    </row>
    <row r="399" spans="4:11">
      <c r="D399" s="11">
        <v>46074</v>
      </c>
      <c r="E399" s="12">
        <v>1579366</v>
      </c>
      <c r="F399" s="12" t="s">
        <v>13</v>
      </c>
      <c r="G399" s="13">
        <v>20312967</v>
      </c>
      <c r="H399" s="12" t="s">
        <v>130</v>
      </c>
      <c r="I399" s="13">
        <v>6</v>
      </c>
      <c r="J399" s="14">
        <v>176</v>
      </c>
      <c r="K399" s="14">
        <f t="shared" si="10"/>
        <v>1056</v>
      </c>
    </row>
    <row r="400" spans="4:11">
      <c r="D400" s="11">
        <v>46074</v>
      </c>
      <c r="E400" s="12">
        <v>1579366</v>
      </c>
      <c r="F400" s="12" t="s">
        <v>53</v>
      </c>
      <c r="G400" s="13">
        <v>20322243</v>
      </c>
      <c r="H400" s="12" t="s">
        <v>54</v>
      </c>
      <c r="I400" s="13">
        <v>1</v>
      </c>
      <c r="J400" s="14">
        <v>30</v>
      </c>
      <c r="K400" s="14">
        <f t="shared" si="10"/>
        <v>30</v>
      </c>
    </row>
    <row r="401" spans="4:11">
      <c r="D401" s="11">
        <v>46074</v>
      </c>
      <c r="E401" s="12">
        <v>1579366</v>
      </c>
      <c r="F401" s="12" t="s">
        <v>53</v>
      </c>
      <c r="G401" s="13">
        <v>20322234</v>
      </c>
      <c r="H401" s="12" t="s">
        <v>141</v>
      </c>
      <c r="I401" s="13">
        <v>1</v>
      </c>
      <c r="J401" s="14">
        <v>2.5</v>
      </c>
      <c r="K401" s="14">
        <f t="shared" si="10"/>
        <v>2.5</v>
      </c>
    </row>
    <row r="402" spans="4:11">
      <c r="D402" s="11">
        <v>46074</v>
      </c>
      <c r="E402" s="12">
        <v>1579366</v>
      </c>
      <c r="F402" s="12" t="s">
        <v>53</v>
      </c>
      <c r="G402" s="13">
        <v>20330757</v>
      </c>
      <c r="H402" s="12" t="s">
        <v>113</v>
      </c>
      <c r="I402" s="13">
        <v>3</v>
      </c>
      <c r="J402" s="14">
        <v>35</v>
      </c>
      <c r="K402" s="14">
        <f t="shared" si="10"/>
        <v>105</v>
      </c>
    </row>
    <row r="403" spans="4:11">
      <c r="D403" s="11">
        <v>46074</v>
      </c>
      <c r="E403" s="12">
        <v>1579366</v>
      </c>
      <c r="F403" s="12" t="s">
        <v>20</v>
      </c>
      <c r="G403" s="13">
        <v>20321257</v>
      </c>
      <c r="H403" s="12" t="s">
        <v>21</v>
      </c>
      <c r="I403" s="13">
        <v>5</v>
      </c>
      <c r="J403" s="14">
        <v>16.5</v>
      </c>
      <c r="K403" s="14">
        <f t="shared" si="10"/>
        <v>82.5</v>
      </c>
    </row>
    <row r="404" spans="4:11">
      <c r="D404" s="11">
        <v>46074</v>
      </c>
      <c r="E404" s="12">
        <v>1579366</v>
      </c>
      <c r="F404" s="12" t="s">
        <v>20</v>
      </c>
      <c r="G404" s="13">
        <v>20318380</v>
      </c>
      <c r="H404" s="12" t="s">
        <v>143</v>
      </c>
      <c r="I404" s="13">
        <v>1</v>
      </c>
      <c r="J404" s="14">
        <v>16.5</v>
      </c>
      <c r="K404" s="14">
        <f t="shared" si="10"/>
        <v>16.5</v>
      </c>
    </row>
    <row r="405" spans="4:11">
      <c r="D405" s="11">
        <v>46074</v>
      </c>
      <c r="E405" s="12">
        <v>1579366</v>
      </c>
      <c r="F405" s="12" t="s">
        <v>20</v>
      </c>
      <c r="G405" s="13">
        <v>20321250</v>
      </c>
      <c r="H405" s="12" t="s">
        <v>157</v>
      </c>
      <c r="I405" s="13">
        <v>2</v>
      </c>
      <c r="J405" s="14">
        <v>16.5</v>
      </c>
      <c r="K405" s="14">
        <f t="shared" si="10"/>
        <v>33</v>
      </c>
    </row>
    <row r="406" spans="4:11">
      <c r="D406" s="11">
        <v>46074</v>
      </c>
      <c r="E406" s="12">
        <v>1579366</v>
      </c>
      <c r="F406" s="12" t="s">
        <v>20</v>
      </c>
      <c r="G406" s="13">
        <v>20318336</v>
      </c>
      <c r="H406" s="12" t="s">
        <v>137</v>
      </c>
      <c r="I406" s="13">
        <v>3</v>
      </c>
      <c r="J406" s="14">
        <v>16.5</v>
      </c>
      <c r="K406" s="14">
        <f t="shared" si="10"/>
        <v>49.5</v>
      </c>
    </row>
    <row r="407" spans="4:11">
      <c r="D407" s="11">
        <v>46074</v>
      </c>
      <c r="E407" s="12">
        <v>1579366</v>
      </c>
      <c r="F407" s="12" t="s">
        <v>20</v>
      </c>
      <c r="G407" s="13">
        <v>20318342</v>
      </c>
      <c r="H407" s="12" t="s">
        <v>115</v>
      </c>
      <c r="I407" s="13">
        <v>1</v>
      </c>
      <c r="J407" s="14">
        <v>16.5</v>
      </c>
      <c r="K407" s="14">
        <f t="shared" si="10"/>
        <v>16.5</v>
      </c>
    </row>
    <row r="408" spans="4:11">
      <c r="D408" s="11">
        <v>46075</v>
      </c>
      <c r="E408" s="12">
        <v>1579428</v>
      </c>
      <c r="F408" s="12" t="s">
        <v>13</v>
      </c>
      <c r="G408" s="13">
        <v>20321252</v>
      </c>
      <c r="H408" s="12" t="s">
        <v>149</v>
      </c>
      <c r="I408" s="13">
        <v>1</v>
      </c>
      <c r="J408" s="14">
        <v>49.5</v>
      </c>
      <c r="K408" s="14">
        <f t="shared" si="10"/>
        <v>49.5</v>
      </c>
    </row>
    <row r="409" spans="4:11">
      <c r="D409" s="11">
        <v>46075</v>
      </c>
      <c r="E409" s="12">
        <v>1579428</v>
      </c>
      <c r="F409" s="12" t="s">
        <v>13</v>
      </c>
      <c r="G409" s="13">
        <v>20312966</v>
      </c>
      <c r="H409" s="12" t="s">
        <v>147</v>
      </c>
      <c r="I409" s="13">
        <v>8</v>
      </c>
      <c r="J409" s="14">
        <v>159.5</v>
      </c>
      <c r="K409" s="14">
        <f t="shared" si="10"/>
        <v>1276</v>
      </c>
    </row>
    <row r="410" spans="4:11">
      <c r="D410" s="11">
        <v>46075</v>
      </c>
      <c r="E410" s="12">
        <v>1579428</v>
      </c>
      <c r="F410" s="12" t="s">
        <v>13</v>
      </c>
      <c r="G410" s="13">
        <v>20312967</v>
      </c>
      <c r="H410" s="12" t="s">
        <v>130</v>
      </c>
      <c r="I410" s="13">
        <v>5</v>
      </c>
      <c r="J410" s="14">
        <v>176</v>
      </c>
      <c r="K410" s="14">
        <f t="shared" si="10"/>
        <v>880</v>
      </c>
    </row>
    <row r="411" spans="4:11">
      <c r="D411" s="11">
        <v>46075</v>
      </c>
      <c r="E411" s="12">
        <v>1579428</v>
      </c>
      <c r="F411" s="12" t="s">
        <v>53</v>
      </c>
      <c r="G411" s="13">
        <v>20322235</v>
      </c>
      <c r="H411" s="12" t="s">
        <v>81</v>
      </c>
      <c r="I411" s="13">
        <v>2</v>
      </c>
      <c r="J411" s="14">
        <v>2.5</v>
      </c>
      <c r="K411" s="14">
        <f t="shared" si="10"/>
        <v>5</v>
      </c>
    </row>
    <row r="412" spans="4:11">
      <c r="D412" s="11">
        <v>46075</v>
      </c>
      <c r="E412" s="12">
        <v>1579428</v>
      </c>
      <c r="F412" s="12" t="s">
        <v>53</v>
      </c>
      <c r="G412" s="13">
        <v>20331736</v>
      </c>
      <c r="H412" s="12" t="s">
        <v>189</v>
      </c>
      <c r="I412" s="13">
        <v>4</v>
      </c>
      <c r="J412" s="14">
        <v>25</v>
      </c>
      <c r="K412" s="14">
        <f t="shared" si="10"/>
        <v>100</v>
      </c>
    </row>
    <row r="413" spans="4:11">
      <c r="D413" s="11">
        <v>46075</v>
      </c>
      <c r="E413" s="12">
        <v>1579428</v>
      </c>
      <c r="F413" s="12" t="s">
        <v>53</v>
      </c>
      <c r="G413" s="13">
        <v>20323697</v>
      </c>
      <c r="H413" s="12" t="s">
        <v>142</v>
      </c>
      <c r="I413" s="13">
        <v>1</v>
      </c>
      <c r="J413" s="14">
        <v>4</v>
      </c>
      <c r="K413" s="14">
        <f t="shared" si="10"/>
        <v>4</v>
      </c>
    </row>
    <row r="414" spans="4:11">
      <c r="D414" s="11">
        <v>46075</v>
      </c>
      <c r="E414" s="12">
        <v>1579428</v>
      </c>
      <c r="F414" s="12" t="s">
        <v>20</v>
      </c>
      <c r="G414" s="13">
        <v>20321257</v>
      </c>
      <c r="H414" s="12" t="s">
        <v>21</v>
      </c>
      <c r="I414" s="13">
        <v>4</v>
      </c>
      <c r="J414" s="14">
        <v>16.5</v>
      </c>
      <c r="K414" s="14">
        <f t="shared" si="10"/>
        <v>66</v>
      </c>
    </row>
    <row r="415" spans="4:11">
      <c r="D415" s="11">
        <v>46075</v>
      </c>
      <c r="E415" s="12">
        <v>1579428</v>
      </c>
      <c r="F415" s="12" t="s">
        <v>20</v>
      </c>
      <c r="G415" s="13">
        <v>20318378</v>
      </c>
      <c r="H415" s="12" t="s">
        <v>128</v>
      </c>
      <c r="I415" s="13">
        <v>1</v>
      </c>
      <c r="J415" s="14">
        <v>16.5</v>
      </c>
      <c r="K415" s="14">
        <f t="shared" si="10"/>
        <v>16.5</v>
      </c>
    </row>
    <row r="416" spans="4:11">
      <c r="D416" s="11">
        <v>46075</v>
      </c>
      <c r="E416" s="12">
        <v>1579428</v>
      </c>
      <c r="F416" s="12" t="s">
        <v>20</v>
      </c>
      <c r="G416" s="13">
        <v>20318380</v>
      </c>
      <c r="H416" s="12" t="s">
        <v>143</v>
      </c>
      <c r="I416" s="13">
        <v>3</v>
      </c>
      <c r="J416" s="14">
        <v>16.5</v>
      </c>
      <c r="K416" s="14">
        <f t="shared" si="10"/>
        <v>49.5</v>
      </c>
    </row>
    <row r="417" spans="4:11">
      <c r="D417" s="11">
        <v>46075</v>
      </c>
      <c r="E417" s="12">
        <v>1579428</v>
      </c>
      <c r="F417" s="12" t="s">
        <v>20</v>
      </c>
      <c r="G417" s="13">
        <v>20321604</v>
      </c>
      <c r="H417" s="12" t="s">
        <v>163</v>
      </c>
      <c r="I417" s="13">
        <v>1</v>
      </c>
      <c r="J417" s="14">
        <v>16.5</v>
      </c>
      <c r="K417" s="14">
        <f t="shared" si="10"/>
        <v>16.5</v>
      </c>
    </row>
    <row r="418" spans="4:11">
      <c r="D418" s="11">
        <v>46075</v>
      </c>
      <c r="E418" s="12">
        <v>1579428</v>
      </c>
      <c r="F418" s="12" t="s">
        <v>20</v>
      </c>
      <c r="G418" s="13">
        <v>20318379</v>
      </c>
      <c r="H418" s="12" t="s">
        <v>190</v>
      </c>
      <c r="I418" s="13">
        <v>1</v>
      </c>
      <c r="J418" s="14">
        <v>16.5</v>
      </c>
      <c r="K418" s="14">
        <f t="shared" si="10"/>
        <v>16.5</v>
      </c>
    </row>
    <row r="419" spans="4:11">
      <c r="D419" s="11">
        <v>46075</v>
      </c>
      <c r="E419" s="12">
        <v>1579428</v>
      </c>
      <c r="F419" s="12" t="s">
        <v>20</v>
      </c>
      <c r="G419" s="13">
        <v>20318336</v>
      </c>
      <c r="H419" s="12" t="s">
        <v>137</v>
      </c>
      <c r="I419" s="13">
        <v>1</v>
      </c>
      <c r="J419" s="14">
        <v>16.5</v>
      </c>
      <c r="K419" s="14">
        <f t="shared" si="10"/>
        <v>16.5</v>
      </c>
    </row>
    <row r="420" spans="4:11">
      <c r="D420" s="11">
        <v>46075</v>
      </c>
      <c r="E420" s="12">
        <v>1579428</v>
      </c>
      <c r="F420" s="12" t="s">
        <v>20</v>
      </c>
      <c r="G420" s="13">
        <v>20318342</v>
      </c>
      <c r="H420" s="12" t="s">
        <v>115</v>
      </c>
      <c r="I420" s="13">
        <v>2</v>
      </c>
      <c r="J420" s="14">
        <v>16.5</v>
      </c>
      <c r="K420" s="14">
        <f t="shared" si="10"/>
        <v>33</v>
      </c>
    </row>
    <row r="421" spans="4:11">
      <c r="D421" s="11">
        <v>46075</v>
      </c>
      <c r="E421" s="12">
        <v>1579428</v>
      </c>
      <c r="F421" s="12" t="s">
        <v>20</v>
      </c>
      <c r="G421" s="13">
        <v>20318393</v>
      </c>
      <c r="H421" s="12" t="s">
        <v>26</v>
      </c>
      <c r="I421" s="13">
        <v>1</v>
      </c>
      <c r="J421" s="14">
        <v>16.5</v>
      </c>
      <c r="K421" s="14">
        <f t="shared" si="10"/>
        <v>16.5</v>
      </c>
    </row>
    <row r="422" spans="4:11">
      <c r="D422" s="11">
        <v>46075</v>
      </c>
      <c r="E422" s="12">
        <v>1579439</v>
      </c>
      <c r="F422" s="12" t="s">
        <v>13</v>
      </c>
      <c r="G422" s="13">
        <v>20312967</v>
      </c>
      <c r="H422" s="12" t="s">
        <v>130</v>
      </c>
      <c r="I422" s="13">
        <v>1</v>
      </c>
      <c r="J422" s="14">
        <v>176</v>
      </c>
      <c r="K422" s="14">
        <f t="shared" si="10"/>
        <v>176</v>
      </c>
    </row>
    <row r="423" spans="4:11">
      <c r="D423" s="11">
        <v>46075</v>
      </c>
      <c r="E423" s="12">
        <v>1579439</v>
      </c>
      <c r="F423" s="12" t="s">
        <v>20</v>
      </c>
      <c r="G423" s="13">
        <v>20318340</v>
      </c>
      <c r="H423" s="12" t="s">
        <v>144</v>
      </c>
      <c r="I423" s="13">
        <v>1</v>
      </c>
      <c r="J423" s="14">
        <v>16.5</v>
      </c>
      <c r="K423" s="14">
        <f t="shared" si="10"/>
        <v>16.5</v>
      </c>
    </row>
    <row r="424" spans="4:11">
      <c r="D424" s="11">
        <v>46076</v>
      </c>
      <c r="E424" s="12">
        <v>1579486</v>
      </c>
      <c r="F424" s="12" t="s">
        <v>53</v>
      </c>
      <c r="G424" s="13">
        <v>20330757</v>
      </c>
      <c r="H424" s="12" t="s">
        <v>113</v>
      </c>
      <c r="I424" s="13">
        <v>2</v>
      </c>
      <c r="J424" s="14">
        <v>35</v>
      </c>
      <c r="K424" s="14">
        <f t="shared" si="10"/>
        <v>70</v>
      </c>
    </row>
    <row r="425" spans="4:11">
      <c r="D425" s="11">
        <v>46076</v>
      </c>
      <c r="E425" s="12">
        <v>1579525</v>
      </c>
      <c r="F425" s="12" t="s">
        <v>13</v>
      </c>
      <c r="G425" s="13">
        <v>20321719</v>
      </c>
      <c r="H425" s="12" t="s">
        <v>146</v>
      </c>
      <c r="I425" s="13">
        <v>1</v>
      </c>
      <c r="J425" s="14">
        <v>49.5</v>
      </c>
      <c r="K425" s="14">
        <f t="shared" si="10"/>
        <v>49.5</v>
      </c>
    </row>
    <row r="426" spans="4:11">
      <c r="D426" s="11">
        <v>46076</v>
      </c>
      <c r="E426" s="12">
        <v>1579525</v>
      </c>
      <c r="F426" s="12" t="s">
        <v>13</v>
      </c>
      <c r="G426" s="13">
        <v>20312966</v>
      </c>
      <c r="H426" s="12" t="s">
        <v>147</v>
      </c>
      <c r="I426" s="13">
        <v>8</v>
      </c>
      <c r="J426" s="14">
        <v>159.5</v>
      </c>
      <c r="K426" s="14">
        <f t="shared" si="10"/>
        <v>1276</v>
      </c>
    </row>
    <row r="427" spans="4:11">
      <c r="D427" s="11">
        <v>46076</v>
      </c>
      <c r="E427" s="12">
        <v>1579525</v>
      </c>
      <c r="F427" s="12" t="s">
        <v>13</v>
      </c>
      <c r="G427" s="13">
        <v>20312965</v>
      </c>
      <c r="H427" s="12" t="s">
        <v>15</v>
      </c>
      <c r="I427" s="13">
        <v>1</v>
      </c>
      <c r="J427" s="14">
        <v>137.5</v>
      </c>
      <c r="K427" s="14">
        <f t="shared" si="10"/>
        <v>137.5</v>
      </c>
    </row>
    <row r="428" spans="4:11">
      <c r="D428" s="11">
        <v>46076</v>
      </c>
      <c r="E428" s="12">
        <v>1579525</v>
      </c>
      <c r="F428" s="12" t="s">
        <v>13</v>
      </c>
      <c r="G428" s="13">
        <v>20312968</v>
      </c>
      <c r="H428" s="12" t="s">
        <v>181</v>
      </c>
      <c r="I428" s="13">
        <v>1</v>
      </c>
      <c r="J428" s="14">
        <v>187</v>
      </c>
      <c r="K428" s="14">
        <f t="shared" si="10"/>
        <v>187</v>
      </c>
    </row>
    <row r="429" spans="4:11">
      <c r="D429" s="11">
        <v>46076</v>
      </c>
      <c r="E429" s="12">
        <v>1579525</v>
      </c>
      <c r="F429" s="12" t="s">
        <v>13</v>
      </c>
      <c r="G429" s="13">
        <v>20312967</v>
      </c>
      <c r="H429" s="12" t="s">
        <v>130</v>
      </c>
      <c r="I429" s="13">
        <v>8</v>
      </c>
      <c r="J429" s="14">
        <v>176</v>
      </c>
      <c r="K429" s="14">
        <f t="shared" si="10"/>
        <v>1408</v>
      </c>
    </row>
    <row r="430" spans="4:11">
      <c r="D430" s="11">
        <v>46076</v>
      </c>
      <c r="E430" s="12">
        <v>1579525</v>
      </c>
      <c r="F430" s="12" t="s">
        <v>53</v>
      </c>
      <c r="G430" s="13">
        <v>20322243</v>
      </c>
      <c r="H430" s="12" t="s">
        <v>54</v>
      </c>
      <c r="I430" s="13">
        <v>1</v>
      </c>
      <c r="J430" s="14">
        <v>30</v>
      </c>
      <c r="K430" s="14">
        <f t="shared" si="10"/>
        <v>30</v>
      </c>
    </row>
    <row r="431" spans="4:11">
      <c r="D431" s="11">
        <v>46076</v>
      </c>
      <c r="E431" s="12">
        <v>1579525</v>
      </c>
      <c r="F431" s="12" t="s">
        <v>53</v>
      </c>
      <c r="G431" s="13">
        <v>20330757</v>
      </c>
      <c r="H431" s="12" t="s">
        <v>113</v>
      </c>
      <c r="I431" s="13">
        <v>3</v>
      </c>
      <c r="J431" s="14">
        <v>35</v>
      </c>
      <c r="K431" s="14">
        <f t="shared" si="10"/>
        <v>105</v>
      </c>
    </row>
    <row r="432" spans="4:11">
      <c r="D432" s="11">
        <v>46076</v>
      </c>
      <c r="E432" s="12">
        <v>1579525</v>
      </c>
      <c r="F432" s="12" t="s">
        <v>30</v>
      </c>
      <c r="G432" s="13">
        <v>20340286</v>
      </c>
      <c r="H432" s="12" t="s">
        <v>168</v>
      </c>
      <c r="I432" s="13">
        <v>1</v>
      </c>
      <c r="J432" s="14">
        <v>55</v>
      </c>
      <c r="K432" s="14">
        <f t="shared" si="10"/>
        <v>55</v>
      </c>
    </row>
    <row r="433" spans="4:11">
      <c r="D433" s="11">
        <v>46076</v>
      </c>
      <c r="E433" s="12">
        <v>1579525</v>
      </c>
      <c r="F433" s="12" t="s">
        <v>20</v>
      </c>
      <c r="G433" s="13">
        <v>20321257</v>
      </c>
      <c r="H433" s="12" t="s">
        <v>21</v>
      </c>
      <c r="I433" s="13">
        <v>6</v>
      </c>
      <c r="J433" s="14">
        <v>16.5</v>
      </c>
      <c r="K433" s="14">
        <f t="shared" si="10"/>
        <v>99</v>
      </c>
    </row>
    <row r="434" spans="4:11">
      <c r="D434" s="11">
        <v>46076</v>
      </c>
      <c r="E434" s="12">
        <v>1579525</v>
      </c>
      <c r="F434" s="12" t="s">
        <v>20</v>
      </c>
      <c r="G434" s="13">
        <v>20318334</v>
      </c>
      <c r="H434" s="12" t="s">
        <v>175</v>
      </c>
      <c r="I434" s="13">
        <v>2</v>
      </c>
      <c r="J434" s="14">
        <v>16.5</v>
      </c>
      <c r="K434" s="14">
        <f t="shared" si="10"/>
        <v>33</v>
      </c>
    </row>
    <row r="435" spans="4:11">
      <c r="D435" s="11">
        <v>46076</v>
      </c>
      <c r="E435" s="12">
        <v>1579525</v>
      </c>
      <c r="F435" s="12" t="s">
        <v>20</v>
      </c>
      <c r="G435" s="13">
        <v>20363041</v>
      </c>
      <c r="H435" s="12" t="s">
        <v>150</v>
      </c>
      <c r="I435" s="13">
        <v>1</v>
      </c>
      <c r="J435" s="14">
        <v>16.5</v>
      </c>
      <c r="K435" s="14">
        <f t="shared" si="10"/>
        <v>16.5</v>
      </c>
    </row>
    <row r="436" spans="4:11">
      <c r="D436" s="11">
        <v>46076</v>
      </c>
      <c r="E436" s="12">
        <v>1579525</v>
      </c>
      <c r="F436" s="12" t="s">
        <v>20</v>
      </c>
      <c r="G436" s="13">
        <v>20014824</v>
      </c>
      <c r="H436" s="12" t="s">
        <v>68</v>
      </c>
      <c r="I436" s="13">
        <v>1</v>
      </c>
      <c r="J436" s="14">
        <v>16.5</v>
      </c>
      <c r="K436" s="14">
        <f t="shared" si="10"/>
        <v>16.5</v>
      </c>
    </row>
    <row r="437" spans="4:11">
      <c r="D437" s="11">
        <v>46076</v>
      </c>
      <c r="E437" s="12">
        <v>1579525</v>
      </c>
      <c r="F437" s="12" t="s">
        <v>20</v>
      </c>
      <c r="G437" s="13">
        <v>20318378</v>
      </c>
      <c r="H437" s="12" t="s">
        <v>128</v>
      </c>
      <c r="I437" s="13">
        <v>1</v>
      </c>
      <c r="J437" s="14">
        <v>16.5</v>
      </c>
      <c r="K437" s="14">
        <f t="shared" si="10"/>
        <v>16.5</v>
      </c>
    </row>
    <row r="438" spans="4:11">
      <c r="D438" s="11">
        <v>46076</v>
      </c>
      <c r="E438" s="12">
        <v>1579525</v>
      </c>
      <c r="F438" s="12" t="s">
        <v>20</v>
      </c>
      <c r="G438" s="13">
        <v>20318380</v>
      </c>
      <c r="H438" s="12" t="s">
        <v>143</v>
      </c>
      <c r="I438" s="13">
        <v>1</v>
      </c>
      <c r="J438" s="14">
        <v>16.5</v>
      </c>
      <c r="K438" s="14">
        <f t="shared" si="10"/>
        <v>16.5</v>
      </c>
    </row>
    <row r="439" spans="4:11">
      <c r="D439" s="11">
        <v>46076</v>
      </c>
      <c r="E439" s="12">
        <v>1579525</v>
      </c>
      <c r="F439" s="12" t="s">
        <v>20</v>
      </c>
      <c r="G439" s="13">
        <v>20318340</v>
      </c>
      <c r="H439" s="12" t="s">
        <v>144</v>
      </c>
      <c r="I439" s="13">
        <v>2</v>
      </c>
      <c r="J439" s="14">
        <v>16.5</v>
      </c>
      <c r="K439" s="14">
        <f t="shared" si="10"/>
        <v>33</v>
      </c>
    </row>
    <row r="440" spans="4:11">
      <c r="D440" s="11">
        <v>46076</v>
      </c>
      <c r="E440" s="12">
        <v>1579525</v>
      </c>
      <c r="F440" s="12" t="s">
        <v>20</v>
      </c>
      <c r="G440" s="13">
        <v>20340289</v>
      </c>
      <c r="H440" s="12" t="s">
        <v>145</v>
      </c>
      <c r="I440" s="13">
        <v>1</v>
      </c>
      <c r="J440" s="14">
        <v>16.5</v>
      </c>
      <c r="K440" s="14">
        <f t="shared" si="10"/>
        <v>16.5</v>
      </c>
    </row>
    <row r="441" spans="4:11">
      <c r="D441" s="11">
        <v>46076</v>
      </c>
      <c r="E441" s="12">
        <v>1579525</v>
      </c>
      <c r="F441" s="12" t="s">
        <v>20</v>
      </c>
      <c r="G441" s="13">
        <v>20318336</v>
      </c>
      <c r="H441" s="12" t="s">
        <v>137</v>
      </c>
      <c r="I441" s="13">
        <v>3</v>
      </c>
      <c r="J441" s="14">
        <v>16.5</v>
      </c>
      <c r="K441" s="14">
        <f t="shared" si="10"/>
        <v>49.5</v>
      </c>
    </row>
    <row r="442" spans="4:11">
      <c r="D442" s="11">
        <v>46076</v>
      </c>
      <c r="E442" s="12">
        <v>1579525</v>
      </c>
      <c r="F442" s="12" t="s">
        <v>20</v>
      </c>
      <c r="G442" s="13">
        <v>20318342</v>
      </c>
      <c r="H442" s="12" t="s">
        <v>115</v>
      </c>
      <c r="I442" s="13">
        <v>1</v>
      </c>
      <c r="J442" s="14">
        <v>16.5</v>
      </c>
      <c r="K442" s="14">
        <f t="shared" si="10"/>
        <v>16.5</v>
      </c>
    </row>
    <row r="443" spans="4:11">
      <c r="D443" s="11">
        <v>46076</v>
      </c>
      <c r="E443" s="12">
        <v>1579547</v>
      </c>
      <c r="F443" s="12" t="s">
        <v>53</v>
      </c>
      <c r="G443" s="13">
        <v>20322235</v>
      </c>
      <c r="H443" s="12" t="s">
        <v>81</v>
      </c>
      <c r="I443" s="13">
        <v>2</v>
      </c>
      <c r="J443" s="14">
        <v>2.5</v>
      </c>
      <c r="K443" s="14">
        <f t="shared" si="10"/>
        <v>5</v>
      </c>
    </row>
    <row r="444" spans="4:11">
      <c r="D444" s="11">
        <v>46076</v>
      </c>
      <c r="E444" s="12">
        <v>1579547</v>
      </c>
      <c r="F444" s="12" t="s">
        <v>53</v>
      </c>
      <c r="G444" s="13">
        <v>20322234</v>
      </c>
      <c r="H444" s="12" t="s">
        <v>141</v>
      </c>
      <c r="I444" s="13">
        <v>2</v>
      </c>
      <c r="J444" s="14">
        <v>2.5</v>
      </c>
      <c r="K444" s="14">
        <f t="shared" si="10"/>
        <v>5</v>
      </c>
    </row>
    <row r="445" spans="4:11">
      <c r="D445" s="11">
        <v>46076</v>
      </c>
      <c r="E445" s="12">
        <v>1579547</v>
      </c>
      <c r="F445" s="12" t="s">
        <v>53</v>
      </c>
      <c r="G445" s="13">
        <v>20330757</v>
      </c>
      <c r="H445" s="12" t="s">
        <v>113</v>
      </c>
      <c r="I445" s="13">
        <v>1</v>
      </c>
      <c r="J445" s="14">
        <v>35</v>
      </c>
      <c r="K445" s="14">
        <f t="shared" si="10"/>
        <v>35</v>
      </c>
    </row>
    <row r="446" spans="4:11">
      <c r="D446" s="11">
        <v>46077</v>
      </c>
      <c r="E446" s="12">
        <v>1579579</v>
      </c>
      <c r="F446" s="12" t="s">
        <v>13</v>
      </c>
      <c r="G446" s="13">
        <v>20321476</v>
      </c>
      <c r="H446" s="12" t="s">
        <v>148</v>
      </c>
      <c r="I446" s="13">
        <v>1</v>
      </c>
      <c r="J446" s="14">
        <v>55</v>
      </c>
      <c r="K446" s="14">
        <f t="shared" si="10"/>
        <v>55</v>
      </c>
    </row>
    <row r="447" spans="4:11">
      <c r="D447" s="11">
        <v>46077</v>
      </c>
      <c r="E447" s="12">
        <v>1579581</v>
      </c>
      <c r="F447" s="12" t="s">
        <v>13</v>
      </c>
      <c r="G447" s="13">
        <v>20312966</v>
      </c>
      <c r="H447" s="12" t="s">
        <v>147</v>
      </c>
      <c r="I447" s="13">
        <v>8</v>
      </c>
      <c r="J447" s="14">
        <v>159.5</v>
      </c>
      <c r="K447" s="14">
        <f t="shared" si="10"/>
        <v>1276</v>
      </c>
    </row>
    <row r="448" spans="4:11">
      <c r="D448" s="11">
        <v>46077</v>
      </c>
      <c r="E448" s="12">
        <v>1579581</v>
      </c>
      <c r="F448" s="12" t="s">
        <v>13</v>
      </c>
      <c r="G448" s="13">
        <v>20312965</v>
      </c>
      <c r="H448" s="12" t="s">
        <v>15</v>
      </c>
      <c r="I448" s="13">
        <v>1</v>
      </c>
      <c r="J448" s="14">
        <v>137.5</v>
      </c>
      <c r="K448" s="14">
        <f t="shared" si="10"/>
        <v>137.5</v>
      </c>
    </row>
    <row r="449" spans="4:11">
      <c r="D449" s="11">
        <v>46077</v>
      </c>
      <c r="E449" s="12">
        <v>1579581</v>
      </c>
      <c r="F449" s="12" t="s">
        <v>13</v>
      </c>
      <c r="G449" s="13">
        <v>20312967</v>
      </c>
      <c r="H449" s="12" t="s">
        <v>130</v>
      </c>
      <c r="I449" s="13">
        <v>1</v>
      </c>
      <c r="J449" s="14">
        <v>176</v>
      </c>
      <c r="K449" s="14">
        <f t="shared" si="10"/>
        <v>176</v>
      </c>
    </row>
    <row r="450" spans="4:11">
      <c r="D450" s="11">
        <v>46077</v>
      </c>
      <c r="E450" s="12">
        <v>1579581</v>
      </c>
      <c r="F450" s="12" t="s">
        <v>53</v>
      </c>
      <c r="G450" s="13">
        <v>20323503</v>
      </c>
      <c r="H450" s="12" t="s">
        <v>172</v>
      </c>
      <c r="I450" s="13">
        <v>1</v>
      </c>
      <c r="J450" s="14">
        <v>4</v>
      </c>
      <c r="K450" s="14">
        <f t="shared" si="10"/>
        <v>4</v>
      </c>
    </row>
    <row r="451" spans="4:11">
      <c r="D451" s="11">
        <v>46077</v>
      </c>
      <c r="E451" s="12">
        <v>1579581</v>
      </c>
      <c r="F451" s="12" t="s">
        <v>53</v>
      </c>
      <c r="G451" s="13">
        <v>20322304</v>
      </c>
      <c r="H451" s="12" t="s">
        <v>112</v>
      </c>
      <c r="I451" s="13">
        <v>1</v>
      </c>
      <c r="J451" s="14">
        <v>25</v>
      </c>
      <c r="K451" s="14">
        <f t="shared" si="10"/>
        <v>25</v>
      </c>
    </row>
    <row r="452" spans="4:11">
      <c r="D452" s="11">
        <v>46077</v>
      </c>
      <c r="E452" s="12">
        <v>1579581</v>
      </c>
      <c r="F452" s="12" t="s">
        <v>53</v>
      </c>
      <c r="G452" s="13">
        <v>20330757</v>
      </c>
      <c r="H452" s="12" t="s">
        <v>113</v>
      </c>
      <c r="I452" s="13">
        <v>3</v>
      </c>
      <c r="J452" s="14">
        <v>35</v>
      </c>
      <c r="K452" s="14">
        <f t="shared" si="10"/>
        <v>105</v>
      </c>
    </row>
    <row r="453" spans="4:11">
      <c r="D453" s="11">
        <v>46077</v>
      </c>
      <c r="E453" s="12">
        <v>1579581</v>
      </c>
      <c r="F453" s="12" t="s">
        <v>20</v>
      </c>
      <c r="G453" s="13">
        <v>20321257</v>
      </c>
      <c r="H453" s="12" t="s">
        <v>21</v>
      </c>
      <c r="I453" s="13">
        <v>1</v>
      </c>
      <c r="J453" s="14">
        <v>16.5</v>
      </c>
      <c r="K453" s="14">
        <f t="shared" si="10"/>
        <v>16.5</v>
      </c>
    </row>
    <row r="454" spans="4:11">
      <c r="D454" s="11">
        <v>46077</v>
      </c>
      <c r="E454" s="12">
        <v>1579581</v>
      </c>
      <c r="F454" s="12" t="s">
        <v>20</v>
      </c>
      <c r="G454" s="13">
        <v>20363041</v>
      </c>
      <c r="H454" s="12" t="s">
        <v>150</v>
      </c>
      <c r="I454" s="13">
        <v>1</v>
      </c>
      <c r="J454" s="14">
        <v>16.5</v>
      </c>
      <c r="K454" s="14">
        <f t="shared" si="10"/>
        <v>16.5</v>
      </c>
    </row>
    <row r="455" spans="4:11">
      <c r="D455" s="11">
        <v>46077</v>
      </c>
      <c r="E455" s="12">
        <v>1579581</v>
      </c>
      <c r="F455" s="12" t="s">
        <v>20</v>
      </c>
      <c r="G455" s="13">
        <v>20318380</v>
      </c>
      <c r="H455" s="12" t="s">
        <v>143</v>
      </c>
      <c r="I455" s="13">
        <v>2</v>
      </c>
      <c r="J455" s="14">
        <v>16.5</v>
      </c>
      <c r="K455" s="14">
        <f t="shared" si="10"/>
        <v>33</v>
      </c>
    </row>
    <row r="456" spans="4:11">
      <c r="D456" s="11">
        <v>46077</v>
      </c>
      <c r="E456" s="12">
        <v>1579581</v>
      </c>
      <c r="F456" s="12" t="s">
        <v>20</v>
      </c>
      <c r="G456" s="13">
        <v>20321250</v>
      </c>
      <c r="H456" s="12" t="s">
        <v>157</v>
      </c>
      <c r="I456" s="13">
        <v>1</v>
      </c>
      <c r="J456" s="14">
        <v>16.5</v>
      </c>
      <c r="K456" s="14">
        <f t="shared" si="10"/>
        <v>16.5</v>
      </c>
    </row>
    <row r="457" spans="4:11">
      <c r="D457" s="11">
        <v>46077</v>
      </c>
      <c r="E457" s="12">
        <v>1579581</v>
      </c>
      <c r="F457" s="12" t="s">
        <v>20</v>
      </c>
      <c r="G457" s="13">
        <v>20318393</v>
      </c>
      <c r="H457" s="12" t="s">
        <v>26</v>
      </c>
      <c r="I457" s="13">
        <v>1</v>
      </c>
      <c r="J457" s="14">
        <v>16.5</v>
      </c>
      <c r="K457" s="14">
        <f t="shared" si="10"/>
        <v>16.5</v>
      </c>
    </row>
    <row r="458" spans="4:11">
      <c r="D458" s="11">
        <v>46077</v>
      </c>
      <c r="E458" s="12">
        <v>1579624</v>
      </c>
      <c r="F458" s="12" t="s">
        <v>13</v>
      </c>
      <c r="G458" s="13">
        <v>20321252</v>
      </c>
      <c r="H458" s="12" t="s">
        <v>149</v>
      </c>
      <c r="I458" s="13">
        <v>1</v>
      </c>
      <c r="J458" s="14">
        <v>49.5</v>
      </c>
      <c r="K458" s="14">
        <f t="shared" si="10"/>
        <v>49.5</v>
      </c>
    </row>
    <row r="459" spans="4:11">
      <c r="D459" s="11">
        <v>46077</v>
      </c>
      <c r="E459" s="12">
        <v>1579624</v>
      </c>
      <c r="F459" s="12" t="s">
        <v>13</v>
      </c>
      <c r="G459" s="13">
        <v>20312966</v>
      </c>
      <c r="H459" s="12" t="s">
        <v>147</v>
      </c>
      <c r="I459" s="13">
        <v>2</v>
      </c>
      <c r="J459" s="14">
        <v>159.5</v>
      </c>
      <c r="K459" s="14">
        <f>J459*I459</f>
        <v>319</v>
      </c>
    </row>
    <row r="460" spans="4:11">
      <c r="D460" s="11">
        <v>46077</v>
      </c>
      <c r="E460" s="12">
        <v>1579624</v>
      </c>
      <c r="F460" s="12" t="s">
        <v>13</v>
      </c>
      <c r="G460" s="13">
        <v>20312967</v>
      </c>
      <c r="H460" s="12" t="s">
        <v>130</v>
      </c>
      <c r="I460" s="13">
        <v>5</v>
      </c>
      <c r="J460" s="14">
        <v>176</v>
      </c>
      <c r="K460" s="14">
        <f>J460*I460</f>
        <v>880</v>
      </c>
    </row>
    <row r="461" spans="4:11">
      <c r="D461" s="11">
        <v>46077</v>
      </c>
      <c r="E461" s="12">
        <v>1579624</v>
      </c>
      <c r="F461" s="12" t="s">
        <v>20</v>
      </c>
      <c r="G461" s="13">
        <v>20321257</v>
      </c>
      <c r="H461" s="12" t="s">
        <v>21</v>
      </c>
      <c r="I461" s="13">
        <v>4</v>
      </c>
      <c r="J461" s="14">
        <v>16.5</v>
      </c>
      <c r="K461" s="14">
        <f t="shared" ref="K461:K514" si="11">J461*I461</f>
        <v>66</v>
      </c>
    </row>
    <row r="462" spans="4:11">
      <c r="D462" s="11">
        <v>46077</v>
      </c>
      <c r="E462" s="12">
        <v>1579624</v>
      </c>
      <c r="F462" s="12" t="s">
        <v>20</v>
      </c>
      <c r="G462" s="13">
        <v>20318380</v>
      </c>
      <c r="H462" s="12" t="s">
        <v>143</v>
      </c>
      <c r="I462" s="13">
        <v>1</v>
      </c>
      <c r="J462" s="14">
        <v>16.5</v>
      </c>
      <c r="K462" s="14">
        <f t="shared" si="11"/>
        <v>16.5</v>
      </c>
    </row>
    <row r="463" spans="4:11">
      <c r="D463" s="11">
        <v>46077</v>
      </c>
      <c r="E463" s="12">
        <v>1579624</v>
      </c>
      <c r="F463" s="12" t="s">
        <v>20</v>
      </c>
      <c r="G463" s="13">
        <v>20321604</v>
      </c>
      <c r="H463" s="12" t="s">
        <v>163</v>
      </c>
      <c r="I463" s="13">
        <v>1</v>
      </c>
      <c r="J463" s="14">
        <v>16.5</v>
      </c>
      <c r="K463" s="14">
        <f t="shared" si="11"/>
        <v>16.5</v>
      </c>
    </row>
    <row r="464" spans="4:11">
      <c r="D464" s="11">
        <v>46077</v>
      </c>
      <c r="E464" s="12">
        <v>1579624</v>
      </c>
      <c r="F464" s="12" t="s">
        <v>20</v>
      </c>
      <c r="G464" s="13">
        <v>20321250</v>
      </c>
      <c r="H464" s="12" t="s">
        <v>157</v>
      </c>
      <c r="I464" s="13">
        <v>1</v>
      </c>
      <c r="J464" s="14">
        <v>16.5</v>
      </c>
      <c r="K464" s="14">
        <f t="shared" si="11"/>
        <v>16.5</v>
      </c>
    </row>
    <row r="465" spans="4:11">
      <c r="D465" s="11">
        <v>46077</v>
      </c>
      <c r="E465" s="12">
        <v>1579624</v>
      </c>
      <c r="F465" s="12" t="s">
        <v>20</v>
      </c>
      <c r="G465" s="13">
        <v>20318379</v>
      </c>
      <c r="H465" s="12" t="s">
        <v>190</v>
      </c>
      <c r="I465" s="13">
        <v>1</v>
      </c>
      <c r="J465" s="14">
        <v>16.5</v>
      </c>
      <c r="K465" s="14">
        <f t="shared" si="11"/>
        <v>16.5</v>
      </c>
    </row>
    <row r="466" spans="4:11">
      <c r="D466" s="11">
        <v>46077</v>
      </c>
      <c r="E466" s="12">
        <v>1579662</v>
      </c>
      <c r="F466" s="12" t="s">
        <v>13</v>
      </c>
      <c r="G466" s="13">
        <v>20312966</v>
      </c>
      <c r="H466" s="12" t="s">
        <v>147</v>
      </c>
      <c r="I466" s="13">
        <v>2</v>
      </c>
      <c r="J466" s="14">
        <v>159.5</v>
      </c>
      <c r="K466" s="14">
        <f t="shared" si="11"/>
        <v>319</v>
      </c>
    </row>
    <row r="467" spans="4:11">
      <c r="D467" s="11">
        <v>46077</v>
      </c>
      <c r="E467" s="12">
        <v>1579662</v>
      </c>
      <c r="F467" s="12" t="s">
        <v>13</v>
      </c>
      <c r="G467" s="13">
        <v>20312965</v>
      </c>
      <c r="H467" s="12" t="s">
        <v>15</v>
      </c>
      <c r="I467" s="13">
        <v>3</v>
      </c>
      <c r="J467" s="14">
        <v>137.5</v>
      </c>
      <c r="K467" s="14">
        <f t="shared" si="11"/>
        <v>412.5</v>
      </c>
    </row>
    <row r="468" spans="4:11">
      <c r="D468" s="11">
        <v>46077</v>
      </c>
      <c r="E468" s="12">
        <v>1579662</v>
      </c>
      <c r="F468" s="12" t="s">
        <v>13</v>
      </c>
      <c r="G468" s="13">
        <v>20312967</v>
      </c>
      <c r="H468" s="12" t="s">
        <v>130</v>
      </c>
      <c r="I468" s="13">
        <v>6</v>
      </c>
      <c r="J468" s="14">
        <v>176</v>
      </c>
      <c r="K468" s="14">
        <f t="shared" si="11"/>
        <v>1056</v>
      </c>
    </row>
    <row r="469" spans="4:11">
      <c r="D469" s="11">
        <v>46077</v>
      </c>
      <c r="E469" s="12">
        <v>1579662</v>
      </c>
      <c r="F469" s="12" t="s">
        <v>20</v>
      </c>
      <c r="G469" s="13">
        <v>20014824</v>
      </c>
      <c r="H469" s="12" t="s">
        <v>68</v>
      </c>
      <c r="I469" s="13">
        <v>1</v>
      </c>
      <c r="J469" s="14">
        <v>16.5</v>
      </c>
      <c r="K469" s="14">
        <f t="shared" si="11"/>
        <v>16.5</v>
      </c>
    </row>
    <row r="470" spans="4:11">
      <c r="D470" s="11">
        <v>46077</v>
      </c>
      <c r="E470" s="12">
        <v>1579662</v>
      </c>
      <c r="F470" s="12" t="s">
        <v>20</v>
      </c>
      <c r="G470" s="13">
        <v>20318378</v>
      </c>
      <c r="H470" s="12" t="s">
        <v>128</v>
      </c>
      <c r="I470" s="13">
        <v>1</v>
      </c>
      <c r="J470" s="14">
        <v>16.5</v>
      </c>
      <c r="K470" s="14">
        <f t="shared" si="11"/>
        <v>16.5</v>
      </c>
    </row>
    <row r="471" spans="4:11">
      <c r="D471" s="11">
        <v>46077</v>
      </c>
      <c r="E471" s="12">
        <v>1579662</v>
      </c>
      <c r="F471" s="12" t="s">
        <v>20</v>
      </c>
      <c r="G471" s="13">
        <v>20318380</v>
      </c>
      <c r="H471" s="12" t="s">
        <v>143</v>
      </c>
      <c r="I471" s="13">
        <v>1</v>
      </c>
      <c r="J471" s="14">
        <v>16.5</v>
      </c>
      <c r="K471" s="14">
        <f t="shared" si="11"/>
        <v>16.5</v>
      </c>
    </row>
    <row r="472" spans="4:11">
      <c r="D472" s="11">
        <v>46077</v>
      </c>
      <c r="E472" s="12">
        <v>1579662</v>
      </c>
      <c r="F472" s="12" t="s">
        <v>20</v>
      </c>
      <c r="G472" s="13">
        <v>20321250</v>
      </c>
      <c r="H472" s="12" t="s">
        <v>157</v>
      </c>
      <c r="I472" s="13">
        <v>2</v>
      </c>
      <c r="J472" s="14">
        <v>16.5</v>
      </c>
      <c r="K472" s="14">
        <f t="shared" si="11"/>
        <v>33</v>
      </c>
    </row>
    <row r="473" spans="4:11">
      <c r="D473" s="11">
        <v>46077</v>
      </c>
      <c r="E473" s="12">
        <v>1579662</v>
      </c>
      <c r="F473" s="12" t="s">
        <v>20</v>
      </c>
      <c r="G473" s="13">
        <v>20340289</v>
      </c>
      <c r="H473" s="12" t="s">
        <v>145</v>
      </c>
      <c r="I473" s="13">
        <v>1</v>
      </c>
      <c r="J473" s="14">
        <v>16.5</v>
      </c>
      <c r="K473" s="14">
        <f t="shared" si="11"/>
        <v>16.5</v>
      </c>
    </row>
    <row r="474" spans="4:11">
      <c r="D474" s="11">
        <v>46077</v>
      </c>
      <c r="E474" s="12">
        <v>1579662</v>
      </c>
      <c r="F474" s="12" t="s">
        <v>20</v>
      </c>
      <c r="G474" s="13">
        <v>20318336</v>
      </c>
      <c r="H474" s="12" t="s">
        <v>137</v>
      </c>
      <c r="I474" s="13">
        <v>1</v>
      </c>
      <c r="J474" s="14">
        <v>16.5</v>
      </c>
      <c r="K474" s="14">
        <f t="shared" si="11"/>
        <v>16.5</v>
      </c>
    </row>
    <row r="475" spans="4:11">
      <c r="D475" s="11">
        <v>46077</v>
      </c>
      <c r="E475" s="12">
        <v>1579662</v>
      </c>
      <c r="F475" s="12" t="s">
        <v>20</v>
      </c>
      <c r="G475" s="13">
        <v>20318342</v>
      </c>
      <c r="H475" s="12" t="s">
        <v>115</v>
      </c>
      <c r="I475" s="13">
        <v>1</v>
      </c>
      <c r="J475" s="14">
        <v>16.5</v>
      </c>
      <c r="K475" s="14">
        <f t="shared" si="11"/>
        <v>16.5</v>
      </c>
    </row>
    <row r="476" spans="4:11">
      <c r="D476" s="11">
        <v>46077</v>
      </c>
      <c r="E476" s="12">
        <v>1579679</v>
      </c>
      <c r="F476" s="12" t="s">
        <v>53</v>
      </c>
      <c r="G476" s="13">
        <v>20330757</v>
      </c>
      <c r="H476" s="12" t="s">
        <v>113</v>
      </c>
      <c r="I476" s="13">
        <v>4</v>
      </c>
      <c r="J476" s="14">
        <v>35</v>
      </c>
      <c r="K476" s="14">
        <f t="shared" si="11"/>
        <v>140</v>
      </c>
    </row>
    <row r="477" spans="4:11">
      <c r="D477" s="11">
        <v>46077</v>
      </c>
      <c r="E477" s="12">
        <v>1579683</v>
      </c>
      <c r="F477" s="12" t="s">
        <v>20</v>
      </c>
      <c r="G477" s="13">
        <v>20014824</v>
      </c>
      <c r="H477" s="12" t="s">
        <v>68</v>
      </c>
      <c r="I477" s="13">
        <v>1</v>
      </c>
      <c r="J477" s="14">
        <v>16.5</v>
      </c>
      <c r="K477" s="14">
        <f t="shared" si="11"/>
        <v>16.5</v>
      </c>
    </row>
    <row r="478" spans="4:11">
      <c r="D478" s="11">
        <v>46077</v>
      </c>
      <c r="E478" s="12">
        <v>1579683</v>
      </c>
      <c r="F478" s="12" t="s">
        <v>20</v>
      </c>
      <c r="G478" s="13">
        <v>20318340</v>
      </c>
      <c r="H478" s="12" t="s">
        <v>144</v>
      </c>
      <c r="I478" s="13">
        <v>1</v>
      </c>
      <c r="J478" s="14">
        <v>16.5</v>
      </c>
      <c r="K478" s="14">
        <f t="shared" si="11"/>
        <v>16.5</v>
      </c>
    </row>
    <row r="479" spans="4:11">
      <c r="D479" s="11">
        <v>46077</v>
      </c>
      <c r="E479" s="12">
        <v>1579694</v>
      </c>
      <c r="F479" s="12" t="s">
        <v>13</v>
      </c>
      <c r="G479" s="13">
        <v>20366734</v>
      </c>
      <c r="H479" s="12" t="s">
        <v>191</v>
      </c>
      <c r="I479" s="13">
        <v>1</v>
      </c>
      <c r="J479" s="14">
        <v>275</v>
      </c>
      <c r="K479" s="14">
        <f t="shared" si="11"/>
        <v>275</v>
      </c>
    </row>
    <row r="480" spans="4:11">
      <c r="D480" s="11">
        <v>46077</v>
      </c>
      <c r="E480" s="12">
        <v>1579694</v>
      </c>
      <c r="F480" s="12" t="s">
        <v>13</v>
      </c>
      <c r="G480" s="13">
        <v>20312966</v>
      </c>
      <c r="H480" s="12" t="s">
        <v>147</v>
      </c>
      <c r="I480" s="13">
        <v>3</v>
      </c>
      <c r="J480" s="14">
        <v>159.5</v>
      </c>
      <c r="K480" s="14">
        <f t="shared" si="11"/>
        <v>478.5</v>
      </c>
    </row>
    <row r="481" spans="4:11">
      <c r="D481" s="11">
        <v>46077</v>
      </c>
      <c r="E481" s="12">
        <v>1579694</v>
      </c>
      <c r="F481" s="12" t="s">
        <v>13</v>
      </c>
      <c r="G481" s="13">
        <v>20312965</v>
      </c>
      <c r="H481" s="12" t="s">
        <v>15</v>
      </c>
      <c r="I481" s="13">
        <v>2</v>
      </c>
      <c r="J481" s="14">
        <v>137.5</v>
      </c>
      <c r="K481" s="14">
        <f t="shared" si="11"/>
        <v>275</v>
      </c>
    </row>
    <row r="482" spans="4:11">
      <c r="D482" s="11">
        <v>46077</v>
      </c>
      <c r="E482" s="12">
        <v>1579694</v>
      </c>
      <c r="F482" s="12" t="s">
        <v>13</v>
      </c>
      <c r="G482" s="13">
        <v>20312967</v>
      </c>
      <c r="H482" s="12" t="s">
        <v>130</v>
      </c>
      <c r="I482" s="13">
        <v>4</v>
      </c>
      <c r="J482" s="14">
        <v>176</v>
      </c>
      <c r="K482" s="14">
        <f t="shared" si="11"/>
        <v>704</v>
      </c>
    </row>
    <row r="483" spans="4:11">
      <c r="D483" s="11">
        <v>46077</v>
      </c>
      <c r="E483" s="12">
        <v>1579694</v>
      </c>
      <c r="F483" s="12" t="s">
        <v>20</v>
      </c>
      <c r="G483" s="13">
        <v>20321257</v>
      </c>
      <c r="H483" s="12" t="s">
        <v>21</v>
      </c>
      <c r="I483" s="13">
        <v>1</v>
      </c>
      <c r="J483" s="14">
        <v>16.5</v>
      </c>
      <c r="K483" s="14">
        <f t="shared" si="11"/>
        <v>16.5</v>
      </c>
    </row>
    <row r="484" spans="4:11">
      <c r="D484" s="11">
        <v>46077</v>
      </c>
      <c r="E484" s="12">
        <v>1579694</v>
      </c>
      <c r="F484" s="12" t="s">
        <v>20</v>
      </c>
      <c r="G484" s="13">
        <v>20318375</v>
      </c>
      <c r="H484" s="12" t="s">
        <v>67</v>
      </c>
      <c r="I484" s="13">
        <v>1</v>
      </c>
      <c r="J484" s="14">
        <v>16.5</v>
      </c>
      <c r="K484" s="14">
        <f t="shared" si="11"/>
        <v>16.5</v>
      </c>
    </row>
    <row r="485" spans="4:11">
      <c r="D485" s="11">
        <v>46077</v>
      </c>
      <c r="E485" s="12">
        <v>1579694</v>
      </c>
      <c r="F485" s="12" t="s">
        <v>20</v>
      </c>
      <c r="G485" s="13">
        <v>20318378</v>
      </c>
      <c r="H485" s="12" t="s">
        <v>128</v>
      </c>
      <c r="I485" s="13">
        <v>1</v>
      </c>
      <c r="J485" s="14">
        <v>16.5</v>
      </c>
      <c r="K485" s="14">
        <f t="shared" si="11"/>
        <v>16.5</v>
      </c>
    </row>
    <row r="486" spans="4:11">
      <c r="D486" s="11">
        <v>46077</v>
      </c>
      <c r="E486" s="12">
        <v>1579694</v>
      </c>
      <c r="F486" s="12" t="s">
        <v>20</v>
      </c>
      <c r="G486" s="13">
        <v>20318380</v>
      </c>
      <c r="H486" s="12" t="s">
        <v>143</v>
      </c>
      <c r="I486" s="13">
        <v>1</v>
      </c>
      <c r="J486" s="14">
        <v>16.5</v>
      </c>
      <c r="K486" s="14">
        <f t="shared" si="11"/>
        <v>16.5</v>
      </c>
    </row>
    <row r="487" spans="4:11">
      <c r="D487" s="11">
        <v>46077</v>
      </c>
      <c r="E487" s="12">
        <v>1579694</v>
      </c>
      <c r="F487" s="12" t="s">
        <v>20</v>
      </c>
      <c r="G487" s="13">
        <v>20321604</v>
      </c>
      <c r="H487" s="12" t="s">
        <v>163</v>
      </c>
      <c r="I487" s="13">
        <v>1</v>
      </c>
      <c r="J487" s="14">
        <v>16.5</v>
      </c>
      <c r="K487" s="14">
        <f t="shared" si="11"/>
        <v>16.5</v>
      </c>
    </row>
    <row r="488" spans="4:11">
      <c r="D488" s="11">
        <v>46077</v>
      </c>
      <c r="E488" s="12">
        <v>1579694</v>
      </c>
      <c r="F488" s="12" t="s">
        <v>20</v>
      </c>
      <c r="G488" s="13">
        <v>20321250</v>
      </c>
      <c r="H488" s="12" t="s">
        <v>157</v>
      </c>
      <c r="I488" s="13">
        <v>2</v>
      </c>
      <c r="J488" s="14">
        <v>16.5</v>
      </c>
      <c r="K488" s="14">
        <f t="shared" si="11"/>
        <v>33</v>
      </c>
    </row>
    <row r="489" spans="4:11">
      <c r="D489" s="11">
        <v>46077</v>
      </c>
      <c r="E489" s="12">
        <v>1579694</v>
      </c>
      <c r="F489" s="12" t="s">
        <v>20</v>
      </c>
      <c r="G489" s="13">
        <v>20318342</v>
      </c>
      <c r="H489" s="12" t="s">
        <v>115</v>
      </c>
      <c r="I489" s="13">
        <v>1</v>
      </c>
      <c r="J489" s="14">
        <v>16.5</v>
      </c>
      <c r="K489" s="14">
        <f t="shared" si="11"/>
        <v>16.5</v>
      </c>
    </row>
    <row r="490" spans="4:11">
      <c r="D490" s="11">
        <v>46077</v>
      </c>
      <c r="E490" s="12">
        <v>1579723</v>
      </c>
      <c r="F490" s="12" t="s">
        <v>13</v>
      </c>
      <c r="G490" s="13">
        <v>20321719</v>
      </c>
      <c r="H490" s="12" t="s">
        <v>146</v>
      </c>
      <c r="I490" s="13">
        <v>1</v>
      </c>
      <c r="J490" s="14">
        <v>49.5</v>
      </c>
      <c r="K490" s="14">
        <f t="shared" si="11"/>
        <v>49.5</v>
      </c>
    </row>
    <row r="491" spans="4:11">
      <c r="D491" s="11">
        <v>46077</v>
      </c>
      <c r="E491" s="12">
        <v>1579723</v>
      </c>
      <c r="F491" s="12" t="s">
        <v>13</v>
      </c>
      <c r="G491" s="13">
        <v>20312966</v>
      </c>
      <c r="H491" s="12" t="s">
        <v>147</v>
      </c>
      <c r="I491" s="13">
        <v>3</v>
      </c>
      <c r="J491" s="14">
        <v>159.5</v>
      </c>
      <c r="K491" s="14">
        <f t="shared" si="11"/>
        <v>478.5</v>
      </c>
    </row>
    <row r="492" spans="4:11">
      <c r="D492" s="11">
        <v>46077</v>
      </c>
      <c r="E492" s="12">
        <v>1579723</v>
      </c>
      <c r="F492" s="12" t="s">
        <v>13</v>
      </c>
      <c r="G492" s="13">
        <v>20312965</v>
      </c>
      <c r="H492" s="12" t="s">
        <v>15</v>
      </c>
      <c r="I492" s="13">
        <v>1</v>
      </c>
      <c r="J492" s="14">
        <v>137.5</v>
      </c>
      <c r="K492" s="14">
        <f t="shared" si="11"/>
        <v>137.5</v>
      </c>
    </row>
    <row r="493" spans="4:11">
      <c r="D493" s="11">
        <v>46077</v>
      </c>
      <c r="E493" s="12">
        <v>1579723</v>
      </c>
      <c r="F493" s="12" t="s">
        <v>13</v>
      </c>
      <c r="G493" s="13">
        <v>20312967</v>
      </c>
      <c r="H493" s="12" t="s">
        <v>130</v>
      </c>
      <c r="I493" s="13">
        <v>8</v>
      </c>
      <c r="J493" s="14">
        <v>176</v>
      </c>
      <c r="K493" s="14">
        <f t="shared" si="11"/>
        <v>1408</v>
      </c>
    </row>
    <row r="494" spans="4:11">
      <c r="D494" s="11">
        <v>46077</v>
      </c>
      <c r="E494" s="12">
        <v>1579723</v>
      </c>
      <c r="F494" s="12" t="s">
        <v>30</v>
      </c>
      <c r="G494" s="13">
        <v>20408950</v>
      </c>
      <c r="H494" s="12" t="s">
        <v>162</v>
      </c>
      <c r="I494" s="13">
        <v>1</v>
      </c>
      <c r="J494" s="14">
        <v>60.5</v>
      </c>
      <c r="K494" s="14">
        <f t="shared" si="11"/>
        <v>60.5</v>
      </c>
    </row>
    <row r="495" spans="4:11">
      <c r="D495" s="11">
        <v>46077</v>
      </c>
      <c r="E495" s="12">
        <v>1579723</v>
      </c>
      <c r="F495" s="12" t="s">
        <v>20</v>
      </c>
      <c r="G495" s="13">
        <v>20321257</v>
      </c>
      <c r="H495" s="12" t="s">
        <v>21</v>
      </c>
      <c r="I495" s="13">
        <v>9</v>
      </c>
      <c r="J495" s="14">
        <v>16.5</v>
      </c>
      <c r="K495" s="14">
        <f t="shared" si="11"/>
        <v>148.5</v>
      </c>
    </row>
    <row r="496" spans="4:11">
      <c r="D496" s="11">
        <v>46077</v>
      </c>
      <c r="E496" s="12">
        <v>1579723</v>
      </c>
      <c r="F496" s="12" t="s">
        <v>20</v>
      </c>
      <c r="G496" s="13">
        <v>20318378</v>
      </c>
      <c r="H496" s="12" t="s">
        <v>128</v>
      </c>
      <c r="I496" s="13">
        <v>1</v>
      </c>
      <c r="J496" s="14">
        <v>16.5</v>
      </c>
      <c r="K496" s="14">
        <f t="shared" si="11"/>
        <v>16.5</v>
      </c>
    </row>
    <row r="497" spans="4:11">
      <c r="D497" s="11">
        <v>46077</v>
      </c>
      <c r="E497" s="12">
        <v>1579723</v>
      </c>
      <c r="F497" s="12" t="s">
        <v>20</v>
      </c>
      <c r="G497" s="13">
        <v>20318380</v>
      </c>
      <c r="H497" s="12" t="s">
        <v>143</v>
      </c>
      <c r="I497" s="13">
        <v>2</v>
      </c>
      <c r="J497" s="14">
        <v>16.5</v>
      </c>
      <c r="K497" s="14">
        <f t="shared" si="11"/>
        <v>33</v>
      </c>
    </row>
    <row r="498" spans="4:11">
      <c r="D498" s="11">
        <v>46077</v>
      </c>
      <c r="E498" s="12">
        <v>1579723</v>
      </c>
      <c r="F498" s="12" t="s">
        <v>20</v>
      </c>
      <c r="G498" s="13">
        <v>20318340</v>
      </c>
      <c r="H498" s="12" t="s">
        <v>144</v>
      </c>
      <c r="I498" s="13">
        <v>2</v>
      </c>
      <c r="J498" s="14">
        <v>16.5</v>
      </c>
      <c r="K498" s="14">
        <f t="shared" si="11"/>
        <v>33</v>
      </c>
    </row>
    <row r="499" spans="4:11">
      <c r="D499" s="11">
        <v>46077</v>
      </c>
      <c r="E499" s="12">
        <v>1579723</v>
      </c>
      <c r="F499" s="12" t="s">
        <v>20</v>
      </c>
      <c r="G499" s="13">
        <v>20321502</v>
      </c>
      <c r="H499" s="12" t="s">
        <v>164</v>
      </c>
      <c r="I499" s="13">
        <v>1</v>
      </c>
      <c r="J499" s="14">
        <v>16.5</v>
      </c>
      <c r="K499" s="14">
        <f t="shared" si="11"/>
        <v>16.5</v>
      </c>
    </row>
    <row r="500" spans="4:11">
      <c r="D500" s="11">
        <v>46077</v>
      </c>
      <c r="E500" s="12">
        <v>1579723</v>
      </c>
      <c r="F500" s="12" t="s">
        <v>20</v>
      </c>
      <c r="G500" s="13">
        <v>20318336</v>
      </c>
      <c r="H500" s="12" t="s">
        <v>137</v>
      </c>
      <c r="I500" s="13">
        <v>3</v>
      </c>
      <c r="J500" s="14">
        <v>16.5</v>
      </c>
      <c r="K500" s="14">
        <f t="shared" si="11"/>
        <v>49.5</v>
      </c>
    </row>
    <row r="501" spans="4:11">
      <c r="D501" s="11">
        <v>46077</v>
      </c>
      <c r="E501" s="12">
        <v>1579723</v>
      </c>
      <c r="F501" s="12" t="s">
        <v>20</v>
      </c>
      <c r="G501" s="13">
        <v>20318342</v>
      </c>
      <c r="H501" s="12" t="s">
        <v>115</v>
      </c>
      <c r="I501" s="13">
        <v>1</v>
      </c>
      <c r="J501" s="14">
        <v>16.5</v>
      </c>
      <c r="K501" s="14">
        <f t="shared" si="11"/>
        <v>16.5</v>
      </c>
    </row>
    <row r="502" spans="4:11">
      <c r="D502" s="11">
        <v>46078</v>
      </c>
      <c r="E502" s="12">
        <v>1579910</v>
      </c>
      <c r="F502" s="12" t="s">
        <v>13</v>
      </c>
      <c r="G502" s="13">
        <v>20312966</v>
      </c>
      <c r="H502" s="12" t="s">
        <v>147</v>
      </c>
      <c r="I502" s="13">
        <v>1</v>
      </c>
      <c r="J502" s="14">
        <v>159.5</v>
      </c>
      <c r="K502" s="14">
        <f t="shared" si="11"/>
        <v>159.5</v>
      </c>
    </row>
    <row r="503" spans="4:11">
      <c r="D503" s="11">
        <v>46078</v>
      </c>
      <c r="E503" s="12">
        <v>1579910</v>
      </c>
      <c r="F503" s="12" t="s">
        <v>13</v>
      </c>
      <c r="G503" s="13">
        <v>20312965</v>
      </c>
      <c r="H503" s="12" t="s">
        <v>15</v>
      </c>
      <c r="I503" s="13">
        <v>1</v>
      </c>
      <c r="J503" s="14">
        <v>137.5</v>
      </c>
      <c r="K503" s="14">
        <f t="shared" si="11"/>
        <v>137.5</v>
      </c>
    </row>
    <row r="504" spans="4:11">
      <c r="D504" s="11">
        <v>46078</v>
      </c>
      <c r="E504" s="12">
        <v>1579910</v>
      </c>
      <c r="F504" s="12" t="s">
        <v>13</v>
      </c>
      <c r="G504" s="13">
        <v>20312967</v>
      </c>
      <c r="H504" s="12" t="s">
        <v>130</v>
      </c>
      <c r="I504" s="13">
        <v>2</v>
      </c>
      <c r="J504" s="14">
        <v>176</v>
      </c>
      <c r="K504" s="14">
        <f t="shared" si="11"/>
        <v>352</v>
      </c>
    </row>
    <row r="505" spans="4:11">
      <c r="D505" s="11">
        <v>46078</v>
      </c>
      <c r="E505" s="12">
        <v>1579910</v>
      </c>
      <c r="F505" s="12" t="s">
        <v>53</v>
      </c>
      <c r="G505" s="13">
        <v>20322243</v>
      </c>
      <c r="H505" s="12" t="s">
        <v>54</v>
      </c>
      <c r="I505" s="13">
        <v>2</v>
      </c>
      <c r="J505" s="14">
        <v>30</v>
      </c>
      <c r="K505" s="14">
        <f t="shared" si="11"/>
        <v>60</v>
      </c>
    </row>
    <row r="506" spans="4:11">
      <c r="D506" s="11">
        <v>46078</v>
      </c>
      <c r="E506" s="12">
        <v>1579910</v>
      </c>
      <c r="F506" s="12" t="s">
        <v>53</v>
      </c>
      <c r="G506" s="13">
        <v>20322304</v>
      </c>
      <c r="H506" s="12" t="s">
        <v>112</v>
      </c>
      <c r="I506" s="13">
        <v>3</v>
      </c>
      <c r="J506" s="14">
        <v>25</v>
      </c>
      <c r="K506" s="14">
        <f t="shared" si="11"/>
        <v>75</v>
      </c>
    </row>
    <row r="507" spans="4:11">
      <c r="D507" s="11">
        <v>46078</v>
      </c>
      <c r="E507" s="12">
        <v>1579910</v>
      </c>
      <c r="F507" s="12" t="s">
        <v>53</v>
      </c>
      <c r="G507" s="13">
        <v>20330757</v>
      </c>
      <c r="H507" s="12" t="s">
        <v>113</v>
      </c>
      <c r="I507" s="13">
        <v>2</v>
      </c>
      <c r="J507" s="14">
        <v>35</v>
      </c>
      <c r="K507" s="14">
        <f t="shared" si="11"/>
        <v>70</v>
      </c>
    </row>
    <row r="508" spans="4:11">
      <c r="D508" s="11">
        <v>46078</v>
      </c>
      <c r="E508" s="12">
        <v>1579910</v>
      </c>
      <c r="F508" s="12" t="s">
        <v>20</v>
      </c>
      <c r="G508" s="13">
        <v>20321257</v>
      </c>
      <c r="H508" s="12" t="s">
        <v>21</v>
      </c>
      <c r="I508" s="13">
        <v>3</v>
      </c>
      <c r="J508" s="14">
        <v>16.5</v>
      </c>
      <c r="K508" s="14">
        <f t="shared" si="11"/>
        <v>49.5</v>
      </c>
    </row>
    <row r="509" spans="4:11">
      <c r="D509" s="11">
        <v>46078</v>
      </c>
      <c r="E509" s="12">
        <v>1579910</v>
      </c>
      <c r="F509" s="12" t="s">
        <v>20</v>
      </c>
      <c r="G509" s="13">
        <v>20321604</v>
      </c>
      <c r="H509" s="12" t="s">
        <v>163</v>
      </c>
      <c r="I509" s="13">
        <v>1</v>
      </c>
      <c r="J509" s="14">
        <v>16.5</v>
      </c>
      <c r="K509" s="14">
        <f t="shared" si="11"/>
        <v>16.5</v>
      </c>
    </row>
    <row r="510" spans="4:11">
      <c r="D510" s="11">
        <v>46078</v>
      </c>
      <c r="E510" s="12">
        <v>1579910</v>
      </c>
      <c r="F510" s="12" t="s">
        <v>20</v>
      </c>
      <c r="G510" s="13">
        <v>20318383</v>
      </c>
      <c r="H510" s="12" t="s">
        <v>178</v>
      </c>
      <c r="I510" s="13">
        <v>1</v>
      </c>
      <c r="J510" s="14">
        <v>16.5</v>
      </c>
      <c r="K510" s="14">
        <f t="shared" si="11"/>
        <v>16.5</v>
      </c>
    </row>
    <row r="511" spans="4:11">
      <c r="D511" s="11">
        <v>46078</v>
      </c>
      <c r="E511" s="12">
        <v>1579910</v>
      </c>
      <c r="F511" s="12" t="s">
        <v>20</v>
      </c>
      <c r="G511" s="13">
        <v>20318389</v>
      </c>
      <c r="H511" s="12" t="s">
        <v>192</v>
      </c>
      <c r="I511" s="13">
        <v>1</v>
      </c>
      <c r="J511" s="14">
        <v>16.5</v>
      </c>
      <c r="K511" s="14">
        <f t="shared" si="11"/>
        <v>16.5</v>
      </c>
    </row>
    <row r="512" spans="4:11">
      <c r="D512" s="11">
        <v>46078</v>
      </c>
      <c r="E512" s="12">
        <v>1579980</v>
      </c>
      <c r="F512" s="12" t="s">
        <v>13</v>
      </c>
      <c r="G512" s="13">
        <v>20312966</v>
      </c>
      <c r="H512" s="12" t="s">
        <v>147</v>
      </c>
      <c r="I512" s="13">
        <v>1</v>
      </c>
      <c r="J512" s="14">
        <v>159.5</v>
      </c>
      <c r="K512" s="14">
        <f t="shared" si="11"/>
        <v>159.5</v>
      </c>
    </row>
    <row r="513" spans="4:11">
      <c r="D513" s="11">
        <v>46078</v>
      </c>
      <c r="E513" s="12">
        <v>1579980</v>
      </c>
      <c r="F513" s="12" t="s">
        <v>13</v>
      </c>
      <c r="G513" s="13">
        <v>20312965</v>
      </c>
      <c r="H513" s="12" t="s">
        <v>15</v>
      </c>
      <c r="I513" s="13">
        <v>4</v>
      </c>
      <c r="J513" s="14">
        <v>137.5</v>
      </c>
      <c r="K513" s="14">
        <f t="shared" si="11"/>
        <v>550</v>
      </c>
    </row>
    <row r="514" spans="4:11">
      <c r="D514" s="11">
        <v>46078</v>
      </c>
      <c r="E514" s="12">
        <v>1579980</v>
      </c>
      <c r="F514" s="12" t="s">
        <v>13</v>
      </c>
      <c r="G514" s="13">
        <v>20312967</v>
      </c>
      <c r="H514" s="12" t="s">
        <v>130</v>
      </c>
      <c r="I514" s="13">
        <v>5</v>
      </c>
      <c r="J514" s="14">
        <v>176</v>
      </c>
      <c r="K514" s="14">
        <f t="shared" si="11"/>
        <v>880</v>
      </c>
    </row>
    <row r="515" spans="4:11">
      <c r="D515" s="11">
        <v>46078</v>
      </c>
      <c r="E515" s="12">
        <v>1580042</v>
      </c>
      <c r="F515" s="12" t="s">
        <v>13</v>
      </c>
      <c r="G515" s="13">
        <v>20321918</v>
      </c>
      <c r="H515" s="12" t="s">
        <v>152</v>
      </c>
      <c r="I515" s="13">
        <v>1</v>
      </c>
      <c r="J515" s="14">
        <v>49.5</v>
      </c>
      <c r="K515" s="14">
        <f t="shared" ref="K515:K562" si="12">J515*I515</f>
        <v>49.5</v>
      </c>
    </row>
    <row r="516" spans="4:11">
      <c r="D516" s="11">
        <v>46078</v>
      </c>
      <c r="E516" s="12">
        <v>1580042</v>
      </c>
      <c r="F516" s="12" t="s">
        <v>13</v>
      </c>
      <c r="G516" s="13">
        <v>20312966</v>
      </c>
      <c r="H516" s="12" t="s">
        <v>147</v>
      </c>
      <c r="I516" s="13">
        <v>4</v>
      </c>
      <c r="J516" s="14">
        <v>159.5</v>
      </c>
      <c r="K516" s="14">
        <f t="shared" si="12"/>
        <v>638</v>
      </c>
    </row>
    <row r="517" spans="4:11">
      <c r="D517" s="11">
        <v>46078</v>
      </c>
      <c r="E517" s="12">
        <v>1580042</v>
      </c>
      <c r="F517" s="12" t="s">
        <v>13</v>
      </c>
      <c r="G517" s="13">
        <v>20312965</v>
      </c>
      <c r="H517" s="12" t="s">
        <v>15</v>
      </c>
      <c r="I517" s="13">
        <v>2</v>
      </c>
      <c r="J517" s="14">
        <v>137.5</v>
      </c>
      <c r="K517" s="14">
        <f t="shared" si="12"/>
        <v>275</v>
      </c>
    </row>
    <row r="518" spans="4:11">
      <c r="D518" s="11">
        <v>46078</v>
      </c>
      <c r="E518" s="12">
        <v>1580042</v>
      </c>
      <c r="F518" s="12" t="s">
        <v>13</v>
      </c>
      <c r="G518" s="13">
        <v>20312967</v>
      </c>
      <c r="H518" s="12" t="s">
        <v>130</v>
      </c>
      <c r="I518" s="13">
        <v>1</v>
      </c>
      <c r="J518" s="14">
        <v>176</v>
      </c>
      <c r="K518" s="14">
        <f t="shared" si="12"/>
        <v>176</v>
      </c>
    </row>
    <row r="519" spans="4:11">
      <c r="D519" s="11">
        <v>46078</v>
      </c>
      <c r="E519" s="12">
        <v>1580042</v>
      </c>
      <c r="F519" s="12" t="s">
        <v>39</v>
      </c>
      <c r="G519" s="13">
        <v>20327255</v>
      </c>
      <c r="H519" s="12" t="s">
        <v>193</v>
      </c>
      <c r="I519" s="13">
        <v>1</v>
      </c>
      <c r="J519" s="14">
        <v>55</v>
      </c>
      <c r="K519" s="14">
        <f t="shared" si="12"/>
        <v>55</v>
      </c>
    </row>
    <row r="520" spans="4:11">
      <c r="D520" s="11">
        <v>46078</v>
      </c>
      <c r="E520" s="12">
        <v>1580042</v>
      </c>
      <c r="F520" s="12" t="s">
        <v>16</v>
      </c>
      <c r="G520" s="13">
        <v>20354360</v>
      </c>
      <c r="H520" s="12" t="s">
        <v>194</v>
      </c>
      <c r="I520" s="13">
        <v>1</v>
      </c>
      <c r="J520" s="14">
        <v>13.5</v>
      </c>
      <c r="K520" s="14">
        <f t="shared" si="12"/>
        <v>13.5</v>
      </c>
    </row>
    <row r="521" spans="4:11">
      <c r="D521" s="11">
        <v>46078</v>
      </c>
      <c r="E521" s="12">
        <v>1580042</v>
      </c>
      <c r="F521" s="12" t="s">
        <v>16</v>
      </c>
      <c r="G521" s="13">
        <v>20366610</v>
      </c>
      <c r="H521" s="12" t="s">
        <v>155</v>
      </c>
      <c r="I521" s="13">
        <v>1</v>
      </c>
      <c r="J521" s="14">
        <v>16.5</v>
      </c>
      <c r="K521" s="14">
        <f t="shared" si="12"/>
        <v>16.5</v>
      </c>
    </row>
    <row r="522" spans="4:11">
      <c r="D522" s="11">
        <v>46078</v>
      </c>
      <c r="E522" s="12">
        <v>1580042</v>
      </c>
      <c r="F522" s="12" t="s">
        <v>16</v>
      </c>
      <c r="G522" s="13">
        <v>20410156</v>
      </c>
      <c r="H522" s="12" t="s">
        <v>195</v>
      </c>
      <c r="I522" s="13">
        <v>1</v>
      </c>
      <c r="J522" s="14">
        <v>16.5</v>
      </c>
      <c r="K522" s="14">
        <f t="shared" si="12"/>
        <v>16.5</v>
      </c>
    </row>
    <row r="523" spans="4:11">
      <c r="D523" s="11">
        <v>46078</v>
      </c>
      <c r="E523" s="12">
        <v>1580042</v>
      </c>
      <c r="F523" s="12" t="s">
        <v>16</v>
      </c>
      <c r="G523" s="13">
        <v>20410957</v>
      </c>
      <c r="H523" s="12" t="s">
        <v>196</v>
      </c>
      <c r="I523" s="13">
        <v>1</v>
      </c>
      <c r="J523" s="14">
        <v>16.5</v>
      </c>
      <c r="K523" s="14">
        <f t="shared" si="12"/>
        <v>16.5</v>
      </c>
    </row>
    <row r="524" spans="4:11">
      <c r="D524" s="11">
        <v>46078</v>
      </c>
      <c r="E524" s="12">
        <v>1580042</v>
      </c>
      <c r="F524" s="12" t="s">
        <v>16</v>
      </c>
      <c r="G524" s="13">
        <v>20411008</v>
      </c>
      <c r="H524" s="12" t="s">
        <v>160</v>
      </c>
      <c r="I524" s="13">
        <v>1</v>
      </c>
      <c r="J524" s="14">
        <v>16.5</v>
      </c>
      <c r="K524" s="14">
        <f t="shared" si="12"/>
        <v>16.5</v>
      </c>
    </row>
    <row r="525" spans="4:11">
      <c r="D525" s="11">
        <v>46078</v>
      </c>
      <c r="E525" s="12">
        <v>1580042</v>
      </c>
      <c r="F525" s="12" t="s">
        <v>16</v>
      </c>
      <c r="G525" s="13">
        <v>20318395</v>
      </c>
      <c r="H525" s="12" t="s">
        <v>161</v>
      </c>
      <c r="I525" s="13">
        <v>1</v>
      </c>
      <c r="J525" s="14">
        <v>16.5</v>
      </c>
      <c r="K525" s="14">
        <f t="shared" si="12"/>
        <v>16.5</v>
      </c>
    </row>
    <row r="526" spans="4:11">
      <c r="D526" s="11">
        <v>46078</v>
      </c>
      <c r="E526" s="12">
        <v>1580042</v>
      </c>
      <c r="F526" s="12" t="s">
        <v>53</v>
      </c>
      <c r="G526" s="13">
        <v>20322235</v>
      </c>
      <c r="H526" s="12" t="s">
        <v>81</v>
      </c>
      <c r="I526" s="13">
        <v>3</v>
      </c>
      <c r="J526" s="14">
        <v>2.5</v>
      </c>
      <c r="K526" s="14">
        <f t="shared" si="12"/>
        <v>7.5</v>
      </c>
    </row>
    <row r="527" spans="4:11">
      <c r="D527" s="11">
        <v>46078</v>
      </c>
      <c r="E527" s="12">
        <v>1580042</v>
      </c>
      <c r="F527" s="12" t="s">
        <v>53</v>
      </c>
      <c r="G527" s="13">
        <v>20322234</v>
      </c>
      <c r="H527" s="12" t="s">
        <v>141</v>
      </c>
      <c r="I527" s="13">
        <v>7</v>
      </c>
      <c r="J527" s="14">
        <v>2.5</v>
      </c>
      <c r="K527" s="14">
        <f t="shared" si="12"/>
        <v>17.5</v>
      </c>
    </row>
    <row r="528" spans="4:11">
      <c r="D528" s="11">
        <v>46078</v>
      </c>
      <c r="E528" s="12">
        <v>1580042</v>
      </c>
      <c r="F528" s="12" t="s">
        <v>53</v>
      </c>
      <c r="G528" s="13">
        <v>20330757</v>
      </c>
      <c r="H528" s="12" t="s">
        <v>113</v>
      </c>
      <c r="I528" s="13">
        <v>3</v>
      </c>
      <c r="J528" s="14">
        <v>35</v>
      </c>
      <c r="K528" s="14">
        <f t="shared" si="12"/>
        <v>105</v>
      </c>
    </row>
    <row r="529" spans="4:11">
      <c r="D529" s="11">
        <v>46078</v>
      </c>
      <c r="E529" s="12">
        <v>1580042</v>
      </c>
      <c r="F529" s="12" t="s">
        <v>30</v>
      </c>
      <c r="G529" s="13">
        <v>20340286</v>
      </c>
      <c r="H529" s="12" t="s">
        <v>168</v>
      </c>
      <c r="I529" s="13">
        <v>1</v>
      </c>
      <c r="J529" s="14">
        <v>55</v>
      </c>
      <c r="K529" s="14">
        <f t="shared" si="12"/>
        <v>55</v>
      </c>
    </row>
    <row r="530" spans="4:11">
      <c r="D530" s="11">
        <v>46078</v>
      </c>
      <c r="E530" s="12">
        <v>1580042</v>
      </c>
      <c r="F530" s="12" t="s">
        <v>30</v>
      </c>
      <c r="G530" s="13">
        <v>20366063</v>
      </c>
      <c r="H530" s="12" t="s">
        <v>197</v>
      </c>
      <c r="I530" s="13">
        <v>1</v>
      </c>
      <c r="J530" s="14">
        <v>66</v>
      </c>
      <c r="K530" s="14">
        <f t="shared" si="12"/>
        <v>66</v>
      </c>
    </row>
    <row r="531" spans="4:11">
      <c r="D531" s="11">
        <v>46078</v>
      </c>
      <c r="E531" s="12">
        <v>1580042</v>
      </c>
      <c r="F531" s="12" t="s">
        <v>30</v>
      </c>
      <c r="G531" s="13">
        <v>20366064</v>
      </c>
      <c r="H531" s="12" t="s">
        <v>183</v>
      </c>
      <c r="I531" s="13">
        <v>1</v>
      </c>
      <c r="J531" s="14">
        <v>71.5</v>
      </c>
      <c r="K531" s="14">
        <f t="shared" si="12"/>
        <v>71.5</v>
      </c>
    </row>
    <row r="532" spans="4:11">
      <c r="D532" s="11">
        <v>46078</v>
      </c>
      <c r="E532" s="12">
        <v>1580042</v>
      </c>
      <c r="F532" s="12" t="s">
        <v>20</v>
      </c>
      <c r="G532" s="13">
        <v>20343399</v>
      </c>
      <c r="H532" s="12" t="s">
        <v>153</v>
      </c>
      <c r="I532" s="13">
        <v>1</v>
      </c>
      <c r="J532" s="14">
        <v>33</v>
      </c>
      <c r="K532" s="14">
        <f t="shared" si="12"/>
        <v>33</v>
      </c>
    </row>
    <row r="533" spans="4:11">
      <c r="D533" s="11">
        <v>46078</v>
      </c>
      <c r="E533" s="12">
        <v>1580042</v>
      </c>
      <c r="F533" s="12" t="s">
        <v>20</v>
      </c>
      <c r="G533" s="13">
        <v>20318378</v>
      </c>
      <c r="H533" s="12" t="s">
        <v>128</v>
      </c>
      <c r="I533" s="13">
        <v>1</v>
      </c>
      <c r="J533" s="14">
        <v>16.5</v>
      </c>
      <c r="K533" s="14">
        <f t="shared" si="12"/>
        <v>16.5</v>
      </c>
    </row>
    <row r="534" spans="4:11">
      <c r="D534" s="11">
        <v>46078</v>
      </c>
      <c r="E534" s="12">
        <v>1580042</v>
      </c>
      <c r="F534" s="12" t="s">
        <v>20</v>
      </c>
      <c r="G534" s="13">
        <v>20318380</v>
      </c>
      <c r="H534" s="12" t="s">
        <v>143</v>
      </c>
      <c r="I534" s="13">
        <v>1</v>
      </c>
      <c r="J534" s="14">
        <v>16.5</v>
      </c>
      <c r="K534" s="14">
        <f t="shared" si="12"/>
        <v>16.5</v>
      </c>
    </row>
    <row r="535" spans="4:11">
      <c r="D535" s="11">
        <v>46078</v>
      </c>
      <c r="E535" s="12">
        <v>1580042</v>
      </c>
      <c r="F535" s="12" t="s">
        <v>20</v>
      </c>
      <c r="G535" s="13">
        <v>20374808</v>
      </c>
      <c r="H535" s="12" t="s">
        <v>173</v>
      </c>
      <c r="I535" s="13">
        <v>1</v>
      </c>
      <c r="J535" s="14">
        <v>16.5</v>
      </c>
      <c r="K535" s="14">
        <f t="shared" si="12"/>
        <v>16.5</v>
      </c>
    </row>
    <row r="536" spans="4:11">
      <c r="D536" s="11">
        <v>46078</v>
      </c>
      <c r="E536" s="12">
        <v>1580042</v>
      </c>
      <c r="F536" s="12" t="s">
        <v>20</v>
      </c>
      <c r="G536" s="13">
        <v>20321250</v>
      </c>
      <c r="H536" s="12" t="s">
        <v>157</v>
      </c>
      <c r="I536" s="13">
        <v>1</v>
      </c>
      <c r="J536" s="14">
        <v>16.5</v>
      </c>
      <c r="K536" s="14">
        <f t="shared" si="12"/>
        <v>16.5</v>
      </c>
    </row>
    <row r="537" spans="4:11">
      <c r="D537" s="11">
        <v>46078</v>
      </c>
      <c r="E537" s="12">
        <v>1580042</v>
      </c>
      <c r="F537" s="12" t="s">
        <v>20</v>
      </c>
      <c r="G537" s="13">
        <v>20340289</v>
      </c>
      <c r="H537" s="12" t="s">
        <v>145</v>
      </c>
      <c r="I537" s="13">
        <v>1</v>
      </c>
      <c r="J537" s="14">
        <v>16.5</v>
      </c>
      <c r="K537" s="14">
        <f t="shared" si="12"/>
        <v>16.5</v>
      </c>
    </row>
    <row r="538" spans="4:11">
      <c r="D538" s="11">
        <v>46078</v>
      </c>
      <c r="E538" s="12">
        <v>1580042</v>
      </c>
      <c r="F538" s="12" t="s">
        <v>20</v>
      </c>
      <c r="G538" s="13">
        <v>20318336</v>
      </c>
      <c r="H538" s="12" t="s">
        <v>137</v>
      </c>
      <c r="I538" s="13">
        <v>1</v>
      </c>
      <c r="J538" s="14">
        <v>16.5</v>
      </c>
      <c r="K538" s="14">
        <f t="shared" si="12"/>
        <v>16.5</v>
      </c>
    </row>
    <row r="539" spans="4:11">
      <c r="D539" s="11">
        <v>46078</v>
      </c>
      <c r="E539" s="12">
        <v>1580042</v>
      </c>
      <c r="F539" s="12" t="s">
        <v>20</v>
      </c>
      <c r="G539" s="13">
        <v>20318342</v>
      </c>
      <c r="H539" s="12" t="s">
        <v>115</v>
      </c>
      <c r="I539" s="13">
        <v>2</v>
      </c>
      <c r="J539" s="14">
        <v>16.5</v>
      </c>
      <c r="K539" s="14">
        <f t="shared" si="12"/>
        <v>33</v>
      </c>
    </row>
    <row r="540" spans="4:11">
      <c r="D540" s="11">
        <v>46078</v>
      </c>
      <c r="E540" s="12">
        <v>1580062</v>
      </c>
      <c r="F540" s="12" t="s">
        <v>13</v>
      </c>
      <c r="G540" s="13">
        <v>20312966</v>
      </c>
      <c r="H540" s="12" t="s">
        <v>147</v>
      </c>
      <c r="I540" s="13">
        <v>1</v>
      </c>
      <c r="J540" s="14">
        <v>159.5</v>
      </c>
      <c r="K540" s="14">
        <f t="shared" si="12"/>
        <v>159.5</v>
      </c>
    </row>
    <row r="541" spans="4:11">
      <c r="D541" s="11">
        <v>46078</v>
      </c>
      <c r="E541" s="12">
        <v>1580062</v>
      </c>
      <c r="F541" s="12" t="s">
        <v>13</v>
      </c>
      <c r="G541" s="13">
        <v>20312967</v>
      </c>
      <c r="H541" s="12" t="s">
        <v>130</v>
      </c>
      <c r="I541" s="13">
        <v>1</v>
      </c>
      <c r="J541" s="14">
        <v>176</v>
      </c>
      <c r="K541" s="14">
        <f t="shared" si="12"/>
        <v>176</v>
      </c>
    </row>
    <row r="542" spans="4:11">
      <c r="D542" s="11">
        <v>46078</v>
      </c>
      <c r="E542" s="12">
        <v>1580062</v>
      </c>
      <c r="F542" s="12" t="s">
        <v>39</v>
      </c>
      <c r="G542" s="13">
        <v>20322150</v>
      </c>
      <c r="H542" s="12" t="s">
        <v>198</v>
      </c>
      <c r="I542" s="13">
        <v>2</v>
      </c>
      <c r="J542" s="14">
        <v>49.5</v>
      </c>
      <c r="K542" s="14">
        <f t="shared" si="12"/>
        <v>99</v>
      </c>
    </row>
    <row r="543" spans="4:11">
      <c r="D543" s="11">
        <v>46078</v>
      </c>
      <c r="E543" s="12">
        <v>1580062</v>
      </c>
      <c r="F543" s="12" t="s">
        <v>20</v>
      </c>
      <c r="G543" s="13">
        <v>20321257</v>
      </c>
      <c r="H543" s="12" t="s">
        <v>21</v>
      </c>
      <c r="I543" s="13">
        <v>1</v>
      </c>
      <c r="J543" s="14">
        <v>16.5</v>
      </c>
      <c r="K543" s="14">
        <f t="shared" si="12"/>
        <v>16.5</v>
      </c>
    </row>
    <row r="544" spans="4:11">
      <c r="D544" s="11">
        <v>46078</v>
      </c>
      <c r="E544" s="12">
        <v>1580062</v>
      </c>
      <c r="F544" s="12" t="s">
        <v>20</v>
      </c>
      <c r="G544" s="13">
        <v>20318340</v>
      </c>
      <c r="H544" s="12" t="s">
        <v>144</v>
      </c>
      <c r="I544" s="13">
        <v>1</v>
      </c>
      <c r="J544" s="14">
        <v>16.5</v>
      </c>
      <c r="K544" s="14">
        <f t="shared" si="12"/>
        <v>16.5</v>
      </c>
    </row>
    <row r="545" spans="4:11">
      <c r="D545" s="11">
        <v>46078</v>
      </c>
      <c r="E545" s="12">
        <v>1580062</v>
      </c>
      <c r="F545" s="12" t="s">
        <v>20</v>
      </c>
      <c r="G545" s="13">
        <v>20321250</v>
      </c>
      <c r="H545" s="12" t="s">
        <v>157</v>
      </c>
      <c r="I545" s="13">
        <v>2</v>
      </c>
      <c r="J545" s="14">
        <v>16.5</v>
      </c>
      <c r="K545" s="14">
        <f t="shared" si="12"/>
        <v>33</v>
      </c>
    </row>
    <row r="546" spans="4:11">
      <c r="D546" s="11">
        <v>46078</v>
      </c>
      <c r="E546" s="12">
        <v>1580062</v>
      </c>
      <c r="F546" s="12" t="s">
        <v>20</v>
      </c>
      <c r="G546" s="13">
        <v>20318342</v>
      </c>
      <c r="H546" s="12" t="s">
        <v>115</v>
      </c>
      <c r="I546" s="13">
        <v>1</v>
      </c>
      <c r="J546" s="14">
        <v>16.5</v>
      </c>
      <c r="K546" s="14">
        <f t="shared" si="12"/>
        <v>16.5</v>
      </c>
    </row>
    <row r="547" spans="4:11">
      <c r="D547" s="11">
        <v>46078</v>
      </c>
      <c r="E547" s="12">
        <v>1580071</v>
      </c>
      <c r="F547" s="12" t="s">
        <v>13</v>
      </c>
      <c r="G547" s="13">
        <v>20321719</v>
      </c>
      <c r="H547" s="12" t="s">
        <v>146</v>
      </c>
      <c r="I547" s="13">
        <v>1</v>
      </c>
      <c r="J547" s="14">
        <v>49.5</v>
      </c>
      <c r="K547" s="14">
        <f t="shared" si="12"/>
        <v>49.5</v>
      </c>
    </row>
    <row r="548" spans="4:11">
      <c r="D548" s="11">
        <v>46078</v>
      </c>
      <c r="E548" s="12">
        <v>1580071</v>
      </c>
      <c r="F548" s="12" t="s">
        <v>13</v>
      </c>
      <c r="G548" s="13">
        <v>20312995</v>
      </c>
      <c r="H548" s="12" t="s">
        <v>176</v>
      </c>
      <c r="I548" s="13">
        <v>1</v>
      </c>
      <c r="J548" s="14">
        <v>82.5</v>
      </c>
      <c r="K548" s="14">
        <f t="shared" si="12"/>
        <v>82.5</v>
      </c>
    </row>
    <row r="549" spans="4:11">
      <c r="D549" s="11">
        <v>46078</v>
      </c>
      <c r="E549" s="12">
        <v>1580071</v>
      </c>
      <c r="F549" s="12" t="s">
        <v>13</v>
      </c>
      <c r="G549" s="13">
        <v>20312966</v>
      </c>
      <c r="H549" s="12" t="s">
        <v>147</v>
      </c>
      <c r="I549" s="13">
        <v>5</v>
      </c>
      <c r="J549" s="14">
        <v>159.5</v>
      </c>
      <c r="K549" s="14">
        <f t="shared" si="12"/>
        <v>797.5</v>
      </c>
    </row>
    <row r="550" spans="4:11">
      <c r="D550" s="11">
        <v>46078</v>
      </c>
      <c r="E550" s="12">
        <v>1580071</v>
      </c>
      <c r="F550" s="12" t="s">
        <v>13</v>
      </c>
      <c r="G550" s="13">
        <v>20312965</v>
      </c>
      <c r="H550" s="12" t="s">
        <v>15</v>
      </c>
      <c r="I550" s="13">
        <v>1</v>
      </c>
      <c r="J550" s="14">
        <v>137.5</v>
      </c>
      <c r="K550" s="14">
        <f t="shared" si="12"/>
        <v>137.5</v>
      </c>
    </row>
    <row r="551" spans="4:11">
      <c r="D551" s="11">
        <v>46078</v>
      </c>
      <c r="E551" s="12">
        <v>1580071</v>
      </c>
      <c r="F551" s="12" t="s">
        <v>13</v>
      </c>
      <c r="G551" s="13">
        <v>20312967</v>
      </c>
      <c r="H551" s="12" t="s">
        <v>130</v>
      </c>
      <c r="I551" s="13">
        <v>6</v>
      </c>
      <c r="J551" s="14">
        <v>176</v>
      </c>
      <c r="K551" s="14">
        <f t="shared" si="12"/>
        <v>1056</v>
      </c>
    </row>
    <row r="552" spans="4:11">
      <c r="D552" s="11">
        <v>46078</v>
      </c>
      <c r="E552" s="12">
        <v>1580071</v>
      </c>
      <c r="F552" s="12" t="s">
        <v>39</v>
      </c>
      <c r="G552" s="13">
        <v>20322150</v>
      </c>
      <c r="H552" s="12" t="s">
        <v>198</v>
      </c>
      <c r="I552" s="13">
        <v>1</v>
      </c>
      <c r="J552" s="14">
        <v>49.5</v>
      </c>
      <c r="K552" s="14">
        <f t="shared" si="12"/>
        <v>49.5</v>
      </c>
    </row>
    <row r="553" spans="4:11">
      <c r="D553" s="11">
        <v>46078</v>
      </c>
      <c r="E553" s="12">
        <v>1580071</v>
      </c>
      <c r="F553" s="12" t="s">
        <v>39</v>
      </c>
      <c r="G553" s="13">
        <v>20410992</v>
      </c>
      <c r="H553" s="12" t="s">
        <v>199</v>
      </c>
      <c r="I553" s="13">
        <v>2</v>
      </c>
      <c r="J553" s="14">
        <v>49.5</v>
      </c>
      <c r="K553" s="14">
        <f t="shared" si="12"/>
        <v>99</v>
      </c>
    </row>
    <row r="554" spans="4:11">
      <c r="D554" s="11">
        <v>46078</v>
      </c>
      <c r="E554" s="12">
        <v>1580071</v>
      </c>
      <c r="F554" s="12" t="s">
        <v>53</v>
      </c>
      <c r="G554" s="13">
        <v>20323503</v>
      </c>
      <c r="H554" s="12" t="s">
        <v>172</v>
      </c>
      <c r="I554" s="13">
        <v>1</v>
      </c>
      <c r="J554" s="14">
        <v>4</v>
      </c>
      <c r="K554" s="14">
        <f t="shared" si="12"/>
        <v>4</v>
      </c>
    </row>
    <row r="555" spans="4:11">
      <c r="D555" s="11">
        <v>46078</v>
      </c>
      <c r="E555" s="12">
        <v>1580071</v>
      </c>
      <c r="F555" s="12" t="s">
        <v>53</v>
      </c>
      <c r="G555" s="13">
        <v>20330757</v>
      </c>
      <c r="H555" s="12" t="s">
        <v>113</v>
      </c>
      <c r="I555" s="13">
        <v>2</v>
      </c>
      <c r="J555" s="14">
        <v>35</v>
      </c>
      <c r="K555" s="14">
        <f t="shared" si="12"/>
        <v>70</v>
      </c>
    </row>
    <row r="556" spans="4:11">
      <c r="D556" s="11">
        <v>46078</v>
      </c>
      <c r="E556" s="12">
        <v>1580071</v>
      </c>
      <c r="F556" s="12" t="s">
        <v>30</v>
      </c>
      <c r="G556" s="13">
        <v>20340286</v>
      </c>
      <c r="H556" s="12" t="s">
        <v>168</v>
      </c>
      <c r="I556" s="13">
        <v>1</v>
      </c>
      <c r="J556" s="14">
        <v>55</v>
      </c>
      <c r="K556" s="14">
        <f t="shared" si="12"/>
        <v>55</v>
      </c>
    </row>
    <row r="557" spans="4:11">
      <c r="D557" s="11">
        <v>46078</v>
      </c>
      <c r="E557" s="12">
        <v>1580071</v>
      </c>
      <c r="F557" s="12" t="s">
        <v>30</v>
      </c>
      <c r="G557" s="13">
        <v>20408950</v>
      </c>
      <c r="H557" s="12" t="s">
        <v>162</v>
      </c>
      <c r="I557" s="13">
        <v>1</v>
      </c>
      <c r="J557" s="14">
        <v>60.5</v>
      </c>
      <c r="K557" s="14">
        <f t="shared" si="12"/>
        <v>60.5</v>
      </c>
    </row>
    <row r="558" spans="4:11">
      <c r="D558" s="11">
        <v>46078</v>
      </c>
      <c r="E558" s="12">
        <v>1580071</v>
      </c>
      <c r="F558" s="12" t="s">
        <v>20</v>
      </c>
      <c r="G558" s="13">
        <v>20318334</v>
      </c>
      <c r="H558" s="12" t="s">
        <v>175</v>
      </c>
      <c r="I558" s="13">
        <v>1</v>
      </c>
      <c r="J558" s="14">
        <v>16.5</v>
      </c>
      <c r="K558" s="14">
        <f t="shared" si="12"/>
        <v>16.5</v>
      </c>
    </row>
    <row r="559" spans="4:11">
      <c r="D559" s="11">
        <v>46078</v>
      </c>
      <c r="E559" s="12">
        <v>1580071</v>
      </c>
      <c r="F559" s="12" t="s">
        <v>20</v>
      </c>
      <c r="G559" s="13">
        <v>20318340</v>
      </c>
      <c r="H559" s="12" t="s">
        <v>144</v>
      </c>
      <c r="I559" s="13">
        <v>1</v>
      </c>
      <c r="J559" s="14">
        <v>16.5</v>
      </c>
      <c r="K559" s="14">
        <f t="shared" si="12"/>
        <v>16.5</v>
      </c>
    </row>
    <row r="560" spans="4:11">
      <c r="D560" s="11">
        <v>46078</v>
      </c>
      <c r="E560" s="12">
        <v>1580071</v>
      </c>
      <c r="F560" s="12" t="s">
        <v>20</v>
      </c>
      <c r="G560" s="13">
        <v>20340289</v>
      </c>
      <c r="H560" s="12" t="s">
        <v>145</v>
      </c>
      <c r="I560" s="13">
        <v>1</v>
      </c>
      <c r="J560" s="14">
        <v>16.5</v>
      </c>
      <c r="K560" s="14">
        <f t="shared" si="12"/>
        <v>16.5</v>
      </c>
    </row>
    <row r="561" spans="4:11">
      <c r="D561" s="11">
        <v>46078</v>
      </c>
      <c r="E561" s="12">
        <v>1580071</v>
      </c>
      <c r="F561" s="12" t="s">
        <v>20</v>
      </c>
      <c r="G561" s="13">
        <v>20407575</v>
      </c>
      <c r="H561" s="12" t="s">
        <v>140</v>
      </c>
      <c r="I561" s="13">
        <v>1</v>
      </c>
      <c r="J561" s="14">
        <v>16.5</v>
      </c>
      <c r="K561" s="14">
        <f t="shared" si="12"/>
        <v>16.5</v>
      </c>
    </row>
    <row r="562" spans="4:11">
      <c r="D562" s="11">
        <v>46078</v>
      </c>
      <c r="E562" s="12">
        <v>1580071</v>
      </c>
      <c r="F562" s="12" t="s">
        <v>20</v>
      </c>
      <c r="G562" s="13">
        <v>20318342</v>
      </c>
      <c r="H562" s="12" t="s">
        <v>115</v>
      </c>
      <c r="I562" s="13">
        <v>1</v>
      </c>
      <c r="J562" s="14">
        <v>16.5</v>
      </c>
      <c r="K562" s="14">
        <f t="shared" si="12"/>
        <v>16.5</v>
      </c>
    </row>
    <row r="563" spans="4:11">
      <c r="D563" s="11">
        <v>46079</v>
      </c>
      <c r="E563" s="12">
        <v>1580230</v>
      </c>
      <c r="F563" s="12" t="s">
        <v>13</v>
      </c>
      <c r="G563" s="13">
        <v>20321476</v>
      </c>
      <c r="H563" s="12" t="s">
        <v>148</v>
      </c>
      <c r="I563" s="13">
        <v>1</v>
      </c>
      <c r="J563" s="14">
        <v>55</v>
      </c>
      <c r="K563" s="14">
        <f t="shared" ref="K563:K626" si="13">J563*I563</f>
        <v>55</v>
      </c>
    </row>
    <row r="564" spans="4:11">
      <c r="D564" s="11">
        <v>46079</v>
      </c>
      <c r="E564" s="12">
        <v>1580230</v>
      </c>
      <c r="F564" s="12" t="s">
        <v>13</v>
      </c>
      <c r="G564" s="13">
        <v>20321252</v>
      </c>
      <c r="H564" s="12" t="s">
        <v>149</v>
      </c>
      <c r="I564" s="13">
        <v>1</v>
      </c>
      <c r="J564" s="14">
        <v>49.5</v>
      </c>
      <c r="K564" s="14">
        <f t="shared" si="13"/>
        <v>49.5</v>
      </c>
    </row>
    <row r="565" spans="4:11">
      <c r="D565" s="11">
        <v>46079</v>
      </c>
      <c r="E565" s="12">
        <v>1580230</v>
      </c>
      <c r="F565" s="12" t="s">
        <v>13</v>
      </c>
      <c r="G565" s="13">
        <v>20312966</v>
      </c>
      <c r="H565" s="12" t="s">
        <v>147</v>
      </c>
      <c r="I565" s="13">
        <v>4</v>
      </c>
      <c r="J565" s="14">
        <v>159.5</v>
      </c>
      <c r="K565" s="14">
        <f t="shared" si="13"/>
        <v>638</v>
      </c>
    </row>
    <row r="566" spans="4:11">
      <c r="D566" s="11">
        <v>46079</v>
      </c>
      <c r="E566" s="12">
        <v>1580230</v>
      </c>
      <c r="F566" s="12" t="s">
        <v>13</v>
      </c>
      <c r="G566" s="13">
        <v>20312965</v>
      </c>
      <c r="H566" s="12" t="s">
        <v>15</v>
      </c>
      <c r="I566" s="13">
        <v>2</v>
      </c>
      <c r="J566" s="14">
        <v>137.5</v>
      </c>
      <c r="K566" s="14">
        <f t="shared" si="13"/>
        <v>275</v>
      </c>
    </row>
    <row r="567" spans="4:11">
      <c r="D567" s="11">
        <v>46079</v>
      </c>
      <c r="E567" s="12">
        <v>1580230</v>
      </c>
      <c r="F567" s="12" t="s">
        <v>13</v>
      </c>
      <c r="G567" s="13">
        <v>20312967</v>
      </c>
      <c r="H567" s="12" t="s">
        <v>130</v>
      </c>
      <c r="I567" s="13">
        <v>1</v>
      </c>
      <c r="J567" s="14">
        <v>176</v>
      </c>
      <c r="K567" s="14">
        <f t="shared" si="13"/>
        <v>176</v>
      </c>
    </row>
    <row r="568" spans="4:11">
      <c r="D568" s="11">
        <v>46079</v>
      </c>
      <c r="E568" s="12">
        <v>1580230</v>
      </c>
      <c r="F568" s="12" t="s">
        <v>39</v>
      </c>
      <c r="G568" s="13">
        <v>20410992</v>
      </c>
      <c r="H568" s="12" t="s">
        <v>199</v>
      </c>
      <c r="I568" s="13">
        <v>1</v>
      </c>
      <c r="J568" s="14">
        <v>49.5</v>
      </c>
      <c r="K568" s="14">
        <f t="shared" si="13"/>
        <v>49.5</v>
      </c>
    </row>
    <row r="569" spans="4:11">
      <c r="D569" s="11">
        <v>46079</v>
      </c>
      <c r="E569" s="12">
        <v>1580230</v>
      </c>
      <c r="F569" s="12" t="s">
        <v>16</v>
      </c>
      <c r="G569" s="13">
        <v>20318395</v>
      </c>
      <c r="H569" s="12" t="s">
        <v>161</v>
      </c>
      <c r="I569" s="13">
        <v>1</v>
      </c>
      <c r="J569" s="14">
        <v>16.5</v>
      </c>
      <c r="K569" s="14">
        <f t="shared" si="13"/>
        <v>16.5</v>
      </c>
    </row>
    <row r="570" spans="4:11">
      <c r="D570" s="11">
        <v>46079</v>
      </c>
      <c r="E570" s="12">
        <v>1580230</v>
      </c>
      <c r="F570" s="12" t="s">
        <v>53</v>
      </c>
      <c r="G570" s="13">
        <v>20322235</v>
      </c>
      <c r="H570" s="12" t="s">
        <v>81</v>
      </c>
      <c r="I570" s="13">
        <v>6</v>
      </c>
      <c r="J570" s="14">
        <v>2.5</v>
      </c>
      <c r="K570" s="14">
        <f t="shared" si="13"/>
        <v>15</v>
      </c>
    </row>
    <row r="571" spans="4:11">
      <c r="D571" s="11">
        <v>46079</v>
      </c>
      <c r="E571" s="12">
        <v>1580230</v>
      </c>
      <c r="F571" s="12" t="s">
        <v>53</v>
      </c>
      <c r="G571" s="13">
        <v>20322243</v>
      </c>
      <c r="H571" s="12" t="s">
        <v>54</v>
      </c>
      <c r="I571" s="13">
        <v>2</v>
      </c>
      <c r="J571" s="14">
        <v>30</v>
      </c>
      <c r="K571" s="14">
        <f t="shared" si="13"/>
        <v>60</v>
      </c>
    </row>
    <row r="572" spans="4:11">
      <c r="D572" s="11">
        <v>46079</v>
      </c>
      <c r="E572" s="12">
        <v>1580230</v>
      </c>
      <c r="F572" s="12" t="s">
        <v>53</v>
      </c>
      <c r="G572" s="13">
        <v>20322234</v>
      </c>
      <c r="H572" s="12" t="s">
        <v>141</v>
      </c>
      <c r="I572" s="13">
        <v>2</v>
      </c>
      <c r="J572" s="14">
        <v>2.5</v>
      </c>
      <c r="K572" s="14">
        <f t="shared" si="13"/>
        <v>5</v>
      </c>
    </row>
    <row r="573" spans="4:11">
      <c r="D573" s="11">
        <v>46079</v>
      </c>
      <c r="E573" s="12">
        <v>1580230</v>
      </c>
      <c r="F573" s="12" t="s">
        <v>53</v>
      </c>
      <c r="G573" s="13">
        <v>20322304</v>
      </c>
      <c r="H573" s="12" t="s">
        <v>112</v>
      </c>
      <c r="I573" s="13">
        <v>4</v>
      </c>
      <c r="J573" s="14">
        <v>25</v>
      </c>
      <c r="K573" s="14">
        <f t="shared" si="13"/>
        <v>100</v>
      </c>
    </row>
    <row r="574" spans="4:11">
      <c r="D574" s="11">
        <v>46079</v>
      </c>
      <c r="E574" s="12">
        <v>1580230</v>
      </c>
      <c r="F574" s="12" t="s">
        <v>53</v>
      </c>
      <c r="G574" s="13">
        <v>20330757</v>
      </c>
      <c r="H574" s="12" t="s">
        <v>113</v>
      </c>
      <c r="I574" s="13">
        <v>2</v>
      </c>
      <c r="J574" s="14">
        <v>35</v>
      </c>
      <c r="K574" s="14">
        <f t="shared" si="13"/>
        <v>70</v>
      </c>
    </row>
    <row r="575" spans="4:11">
      <c r="D575" s="11">
        <v>46079</v>
      </c>
      <c r="E575" s="12">
        <v>1580230</v>
      </c>
      <c r="F575" s="12" t="s">
        <v>20</v>
      </c>
      <c r="G575" s="13">
        <v>20321257</v>
      </c>
      <c r="H575" s="12" t="s">
        <v>21</v>
      </c>
      <c r="I575" s="13">
        <v>4</v>
      </c>
      <c r="J575" s="14">
        <v>16.5</v>
      </c>
      <c r="K575" s="14">
        <f t="shared" si="13"/>
        <v>66</v>
      </c>
    </row>
    <row r="576" spans="4:11">
      <c r="D576" s="11">
        <v>46079</v>
      </c>
      <c r="E576" s="12">
        <v>1580230</v>
      </c>
      <c r="F576" s="12" t="s">
        <v>20</v>
      </c>
      <c r="G576" s="13">
        <v>20383164</v>
      </c>
      <c r="H576" s="12" t="s">
        <v>151</v>
      </c>
      <c r="I576" s="13">
        <v>1</v>
      </c>
      <c r="J576" s="14">
        <v>22</v>
      </c>
      <c r="K576" s="14">
        <f t="shared" si="13"/>
        <v>22</v>
      </c>
    </row>
    <row r="577" spans="4:11">
      <c r="D577" s="11">
        <v>46079</v>
      </c>
      <c r="E577" s="12">
        <v>1580260</v>
      </c>
      <c r="F577" s="12" t="s">
        <v>13</v>
      </c>
      <c r="G577" s="13">
        <v>20312966</v>
      </c>
      <c r="H577" s="12" t="s">
        <v>147</v>
      </c>
      <c r="I577" s="13">
        <v>4</v>
      </c>
      <c r="J577" s="14">
        <v>159.5</v>
      </c>
      <c r="K577" s="14">
        <f t="shared" si="13"/>
        <v>638</v>
      </c>
    </row>
    <row r="578" spans="4:11">
      <c r="D578" s="11">
        <v>46079</v>
      </c>
      <c r="E578" s="12">
        <v>1580260</v>
      </c>
      <c r="F578" s="12" t="s">
        <v>13</v>
      </c>
      <c r="G578" s="13">
        <v>20312967</v>
      </c>
      <c r="H578" s="12" t="s">
        <v>130</v>
      </c>
      <c r="I578" s="13">
        <v>1</v>
      </c>
      <c r="J578" s="14">
        <v>176</v>
      </c>
      <c r="K578" s="14">
        <f t="shared" si="13"/>
        <v>176</v>
      </c>
    </row>
    <row r="579" spans="4:11">
      <c r="D579" s="11">
        <v>46079</v>
      </c>
      <c r="E579" s="12">
        <v>1580260</v>
      </c>
      <c r="F579" s="12" t="s">
        <v>30</v>
      </c>
      <c r="G579" s="13">
        <v>20340286</v>
      </c>
      <c r="H579" s="12" t="s">
        <v>168</v>
      </c>
      <c r="I579" s="13">
        <v>1</v>
      </c>
      <c r="J579" s="14">
        <v>55</v>
      </c>
      <c r="K579" s="14">
        <f t="shared" si="13"/>
        <v>55</v>
      </c>
    </row>
    <row r="580" spans="4:11">
      <c r="D580" s="11">
        <v>46079</v>
      </c>
      <c r="E580" s="12">
        <v>1580260</v>
      </c>
      <c r="F580" s="12" t="s">
        <v>20</v>
      </c>
      <c r="G580" s="13">
        <v>20321257</v>
      </c>
      <c r="H580" s="12" t="s">
        <v>21</v>
      </c>
      <c r="I580" s="13">
        <v>5</v>
      </c>
      <c r="J580" s="14">
        <v>16.5</v>
      </c>
      <c r="K580" s="14">
        <f t="shared" si="13"/>
        <v>82.5</v>
      </c>
    </row>
    <row r="581" spans="4:11">
      <c r="D581" s="11">
        <v>46079</v>
      </c>
      <c r="E581" s="12">
        <v>1580260</v>
      </c>
      <c r="F581" s="12" t="s">
        <v>20</v>
      </c>
      <c r="G581" s="13">
        <v>20014824</v>
      </c>
      <c r="H581" s="12" t="s">
        <v>68</v>
      </c>
      <c r="I581" s="13">
        <v>1</v>
      </c>
      <c r="J581" s="14">
        <v>16.5</v>
      </c>
      <c r="K581" s="14">
        <f t="shared" si="13"/>
        <v>16.5</v>
      </c>
    </row>
    <row r="582" spans="4:11">
      <c r="D582" s="11">
        <v>46079</v>
      </c>
      <c r="E582" s="12">
        <v>1580260</v>
      </c>
      <c r="F582" s="12" t="s">
        <v>20</v>
      </c>
      <c r="G582" s="13">
        <v>20318340</v>
      </c>
      <c r="H582" s="12" t="s">
        <v>144</v>
      </c>
      <c r="I582" s="13">
        <v>2</v>
      </c>
      <c r="J582" s="14">
        <v>16.5</v>
      </c>
      <c r="K582" s="14">
        <f t="shared" si="13"/>
        <v>33</v>
      </c>
    </row>
    <row r="583" spans="4:11">
      <c r="D583" s="11">
        <v>46079</v>
      </c>
      <c r="E583" s="12">
        <v>1580260</v>
      </c>
      <c r="F583" s="12" t="s">
        <v>20</v>
      </c>
      <c r="G583" s="13">
        <v>20318342</v>
      </c>
      <c r="H583" s="12" t="s">
        <v>115</v>
      </c>
      <c r="I583" s="13">
        <v>1</v>
      </c>
      <c r="J583" s="14">
        <v>16.5</v>
      </c>
      <c r="K583" s="14">
        <f t="shared" si="13"/>
        <v>16.5</v>
      </c>
    </row>
    <row r="584" spans="4:11">
      <c r="D584" s="11">
        <v>46079</v>
      </c>
      <c r="E584" s="12">
        <v>1580318</v>
      </c>
      <c r="F584" s="12" t="s">
        <v>13</v>
      </c>
      <c r="G584" s="13">
        <v>20312966</v>
      </c>
      <c r="H584" s="12" t="s">
        <v>147</v>
      </c>
      <c r="I584" s="13">
        <v>3</v>
      </c>
      <c r="J584" s="14">
        <v>159.5</v>
      </c>
      <c r="K584" s="14">
        <f t="shared" si="13"/>
        <v>478.5</v>
      </c>
    </row>
    <row r="585" spans="4:11">
      <c r="D585" s="11">
        <v>46079</v>
      </c>
      <c r="E585" s="12">
        <v>1580318</v>
      </c>
      <c r="F585" s="12" t="s">
        <v>13</v>
      </c>
      <c r="G585" s="13">
        <v>20312965</v>
      </c>
      <c r="H585" s="12" t="s">
        <v>15</v>
      </c>
      <c r="I585" s="13">
        <v>4</v>
      </c>
      <c r="J585" s="14">
        <v>137.5</v>
      </c>
      <c r="K585" s="14">
        <f t="shared" si="13"/>
        <v>550</v>
      </c>
    </row>
    <row r="586" spans="4:11">
      <c r="D586" s="11">
        <v>46079</v>
      </c>
      <c r="E586" s="12">
        <v>1580318</v>
      </c>
      <c r="F586" s="12" t="s">
        <v>13</v>
      </c>
      <c r="G586" s="13">
        <v>20312967</v>
      </c>
      <c r="H586" s="12" t="s">
        <v>130</v>
      </c>
      <c r="I586" s="13">
        <v>6</v>
      </c>
      <c r="J586" s="14">
        <v>176</v>
      </c>
      <c r="K586" s="14">
        <f t="shared" si="13"/>
        <v>1056</v>
      </c>
    </row>
    <row r="587" spans="4:11">
      <c r="D587" s="11">
        <v>46079</v>
      </c>
      <c r="E587" s="12">
        <v>1580318</v>
      </c>
      <c r="F587" s="12" t="s">
        <v>39</v>
      </c>
      <c r="G587" s="13">
        <v>20410992</v>
      </c>
      <c r="H587" s="12" t="s">
        <v>199</v>
      </c>
      <c r="I587" s="13">
        <v>1</v>
      </c>
      <c r="J587" s="14">
        <v>49.5</v>
      </c>
      <c r="K587" s="14">
        <f t="shared" si="13"/>
        <v>49.5</v>
      </c>
    </row>
    <row r="588" spans="4:11">
      <c r="D588" s="11">
        <v>46079</v>
      </c>
      <c r="E588" s="12">
        <v>1580318</v>
      </c>
      <c r="F588" s="12" t="s">
        <v>20</v>
      </c>
      <c r="G588" s="13">
        <v>20321257</v>
      </c>
      <c r="H588" s="12" t="s">
        <v>21</v>
      </c>
      <c r="I588" s="13">
        <v>2</v>
      </c>
      <c r="J588" s="14">
        <v>16.5</v>
      </c>
      <c r="K588" s="14">
        <f t="shared" si="13"/>
        <v>33</v>
      </c>
    </row>
    <row r="589" spans="4:11">
      <c r="D589" s="11">
        <v>46079</v>
      </c>
      <c r="E589" s="12">
        <v>1580318</v>
      </c>
      <c r="F589" s="12" t="s">
        <v>20</v>
      </c>
      <c r="G589" s="13">
        <v>20318334</v>
      </c>
      <c r="H589" s="12" t="s">
        <v>175</v>
      </c>
      <c r="I589" s="13">
        <v>2</v>
      </c>
      <c r="J589" s="14">
        <v>16.5</v>
      </c>
      <c r="K589" s="14">
        <f t="shared" si="13"/>
        <v>33</v>
      </c>
    </row>
    <row r="590" spans="4:11">
      <c r="D590" s="11">
        <v>46079</v>
      </c>
      <c r="E590" s="12">
        <v>1580318</v>
      </c>
      <c r="F590" s="12" t="s">
        <v>20</v>
      </c>
      <c r="G590" s="13">
        <v>20318380</v>
      </c>
      <c r="H590" s="12" t="s">
        <v>143</v>
      </c>
      <c r="I590" s="13">
        <v>1</v>
      </c>
      <c r="J590" s="14">
        <v>16.5</v>
      </c>
      <c r="K590" s="14">
        <f t="shared" si="13"/>
        <v>16.5</v>
      </c>
    </row>
    <row r="591" spans="4:11">
      <c r="D591" s="11">
        <v>46079</v>
      </c>
      <c r="E591" s="12">
        <v>1580318</v>
      </c>
      <c r="F591" s="12" t="s">
        <v>20</v>
      </c>
      <c r="G591" s="13">
        <v>20321250</v>
      </c>
      <c r="H591" s="12" t="s">
        <v>157</v>
      </c>
      <c r="I591" s="13">
        <v>1</v>
      </c>
      <c r="J591" s="14">
        <v>16.5</v>
      </c>
      <c r="K591" s="14">
        <f t="shared" si="13"/>
        <v>16.5</v>
      </c>
    </row>
    <row r="592" spans="4:11">
      <c r="D592" s="11">
        <v>46079</v>
      </c>
      <c r="E592" s="12">
        <v>1580318</v>
      </c>
      <c r="F592" s="12" t="s">
        <v>20</v>
      </c>
      <c r="G592" s="13">
        <v>20340289</v>
      </c>
      <c r="H592" s="12" t="s">
        <v>145</v>
      </c>
      <c r="I592" s="13">
        <v>1</v>
      </c>
      <c r="J592" s="14">
        <v>16.5</v>
      </c>
      <c r="K592" s="14">
        <f t="shared" si="13"/>
        <v>16.5</v>
      </c>
    </row>
    <row r="593" spans="4:11">
      <c r="D593" s="11">
        <v>46079</v>
      </c>
      <c r="E593" s="12">
        <v>1580318</v>
      </c>
      <c r="F593" s="12" t="s">
        <v>20</v>
      </c>
      <c r="G593" s="13">
        <v>20318336</v>
      </c>
      <c r="H593" s="12" t="s">
        <v>137</v>
      </c>
      <c r="I593" s="13">
        <v>5</v>
      </c>
      <c r="J593" s="14">
        <v>16.5</v>
      </c>
      <c r="K593" s="14">
        <f t="shared" si="13"/>
        <v>82.5</v>
      </c>
    </row>
    <row r="594" spans="4:11">
      <c r="D594" s="11">
        <v>46079</v>
      </c>
      <c r="E594" s="12">
        <v>1580363</v>
      </c>
      <c r="F594" s="12" t="s">
        <v>53</v>
      </c>
      <c r="G594" s="13">
        <v>20330757</v>
      </c>
      <c r="H594" s="12" t="s">
        <v>113</v>
      </c>
      <c r="I594" s="13">
        <v>8</v>
      </c>
      <c r="J594" s="14">
        <v>35</v>
      </c>
      <c r="K594" s="14">
        <f t="shared" si="13"/>
        <v>280</v>
      </c>
    </row>
    <row r="595" spans="4:11">
      <c r="D595" s="11">
        <v>46079</v>
      </c>
      <c r="E595" s="12">
        <v>1580413</v>
      </c>
      <c r="F595" s="12" t="s">
        <v>13</v>
      </c>
      <c r="G595" s="13">
        <v>20312966</v>
      </c>
      <c r="H595" s="12" t="s">
        <v>147</v>
      </c>
      <c r="I595" s="13">
        <v>4</v>
      </c>
      <c r="J595" s="14">
        <v>159.5</v>
      </c>
      <c r="K595" s="14">
        <f t="shared" si="13"/>
        <v>638</v>
      </c>
    </row>
    <row r="596" spans="4:11">
      <c r="D596" s="11">
        <v>46079</v>
      </c>
      <c r="E596" s="12">
        <v>1580413</v>
      </c>
      <c r="F596" s="12" t="s">
        <v>13</v>
      </c>
      <c r="G596" s="13">
        <v>20312965</v>
      </c>
      <c r="H596" s="12" t="s">
        <v>15</v>
      </c>
      <c r="I596" s="13">
        <v>4</v>
      </c>
      <c r="J596" s="14">
        <v>137.5</v>
      </c>
      <c r="K596" s="14">
        <f t="shared" si="13"/>
        <v>550</v>
      </c>
    </row>
    <row r="597" spans="4:11">
      <c r="D597" s="11">
        <v>46079</v>
      </c>
      <c r="E597" s="12">
        <v>1580413</v>
      </c>
      <c r="F597" s="12" t="s">
        <v>39</v>
      </c>
      <c r="G597" s="13">
        <v>20410992</v>
      </c>
      <c r="H597" s="12" t="s">
        <v>199</v>
      </c>
      <c r="I597" s="13">
        <v>1</v>
      </c>
      <c r="J597" s="14">
        <v>49.5</v>
      </c>
      <c r="K597" s="14">
        <f t="shared" si="13"/>
        <v>49.5</v>
      </c>
    </row>
    <row r="598" spans="4:11">
      <c r="D598" s="11">
        <v>46079</v>
      </c>
      <c r="E598" s="12">
        <v>1580413</v>
      </c>
      <c r="F598" s="12" t="s">
        <v>20</v>
      </c>
      <c r="G598" s="13">
        <v>20318334</v>
      </c>
      <c r="H598" s="12" t="s">
        <v>175</v>
      </c>
      <c r="I598" s="13">
        <v>1</v>
      </c>
      <c r="J598" s="14">
        <v>16.5</v>
      </c>
      <c r="K598" s="14">
        <f t="shared" si="13"/>
        <v>16.5</v>
      </c>
    </row>
    <row r="599" spans="4:11">
      <c r="D599" s="11">
        <v>46079</v>
      </c>
      <c r="E599" s="12">
        <v>1580419</v>
      </c>
      <c r="F599" s="12" t="s">
        <v>13</v>
      </c>
      <c r="G599" s="13">
        <v>20321476</v>
      </c>
      <c r="H599" s="12" t="s">
        <v>148</v>
      </c>
      <c r="I599" s="13">
        <v>1</v>
      </c>
      <c r="J599" s="14">
        <v>55</v>
      </c>
      <c r="K599" s="14">
        <f t="shared" si="13"/>
        <v>55</v>
      </c>
    </row>
    <row r="600" spans="4:11">
      <c r="D600" s="11">
        <v>46079</v>
      </c>
      <c r="E600" s="12">
        <v>1580419</v>
      </c>
      <c r="F600" s="12" t="s">
        <v>13</v>
      </c>
      <c r="G600" s="13">
        <v>20321719</v>
      </c>
      <c r="H600" s="12" t="s">
        <v>146</v>
      </c>
      <c r="I600" s="13">
        <v>1</v>
      </c>
      <c r="J600" s="14">
        <v>49.5</v>
      </c>
      <c r="K600" s="14">
        <f t="shared" si="13"/>
        <v>49.5</v>
      </c>
    </row>
    <row r="601" spans="4:11">
      <c r="D601" s="11">
        <v>46079</v>
      </c>
      <c r="E601" s="12">
        <v>1580419</v>
      </c>
      <c r="F601" s="12" t="s">
        <v>13</v>
      </c>
      <c r="G601" s="13">
        <v>20312965</v>
      </c>
      <c r="H601" s="12" t="s">
        <v>15</v>
      </c>
      <c r="I601" s="13">
        <v>1</v>
      </c>
      <c r="J601" s="14">
        <v>137.5</v>
      </c>
      <c r="K601" s="14">
        <f t="shared" si="13"/>
        <v>137.5</v>
      </c>
    </row>
    <row r="602" spans="4:11">
      <c r="D602" s="11">
        <v>46079</v>
      </c>
      <c r="E602" s="12">
        <v>1580419</v>
      </c>
      <c r="F602" s="12" t="s">
        <v>13</v>
      </c>
      <c r="G602" s="13">
        <v>20312967</v>
      </c>
      <c r="H602" s="12" t="s">
        <v>130</v>
      </c>
      <c r="I602" s="13">
        <v>4</v>
      </c>
      <c r="J602" s="14">
        <v>176</v>
      </c>
      <c r="K602" s="14">
        <f t="shared" si="13"/>
        <v>704</v>
      </c>
    </row>
    <row r="603" spans="4:11">
      <c r="D603" s="11">
        <v>46079</v>
      </c>
      <c r="E603" s="12">
        <v>1580419</v>
      </c>
      <c r="F603" s="12" t="s">
        <v>30</v>
      </c>
      <c r="G603" s="13">
        <v>20366059</v>
      </c>
      <c r="H603" s="12" t="s">
        <v>200</v>
      </c>
      <c r="I603" s="13">
        <v>1</v>
      </c>
      <c r="J603" s="14">
        <v>66</v>
      </c>
      <c r="K603" s="14">
        <f t="shared" si="13"/>
        <v>66</v>
      </c>
    </row>
    <row r="604" spans="4:11">
      <c r="D604" s="11">
        <v>46079</v>
      </c>
      <c r="E604" s="12">
        <v>1580419</v>
      </c>
      <c r="F604" s="12" t="s">
        <v>20</v>
      </c>
      <c r="G604" s="13">
        <v>20318378</v>
      </c>
      <c r="H604" s="12" t="s">
        <v>128</v>
      </c>
      <c r="I604" s="13">
        <v>1</v>
      </c>
      <c r="J604" s="14">
        <v>16.5</v>
      </c>
      <c r="K604" s="14">
        <f t="shared" si="13"/>
        <v>16.5</v>
      </c>
    </row>
    <row r="605" spans="4:11">
      <c r="D605" s="11">
        <v>46079</v>
      </c>
      <c r="E605" s="12">
        <v>1580419</v>
      </c>
      <c r="F605" s="12" t="s">
        <v>20</v>
      </c>
      <c r="G605" s="13">
        <v>20321250</v>
      </c>
      <c r="H605" s="12" t="s">
        <v>157</v>
      </c>
      <c r="I605" s="13">
        <v>1</v>
      </c>
      <c r="J605" s="14">
        <v>16.5</v>
      </c>
      <c r="K605" s="14">
        <f t="shared" si="13"/>
        <v>16.5</v>
      </c>
    </row>
    <row r="606" spans="4:11">
      <c r="D606" s="11">
        <v>46079</v>
      </c>
      <c r="E606" s="12">
        <v>1580419</v>
      </c>
      <c r="F606" s="12" t="s">
        <v>20</v>
      </c>
      <c r="G606" s="13">
        <v>20318336</v>
      </c>
      <c r="H606" s="12" t="s">
        <v>137</v>
      </c>
      <c r="I606" s="13">
        <v>1</v>
      </c>
      <c r="J606" s="14">
        <v>16.5</v>
      </c>
      <c r="K606" s="14">
        <f t="shared" si="13"/>
        <v>16.5</v>
      </c>
    </row>
    <row r="607" spans="4:11">
      <c r="D607" s="11">
        <v>46079</v>
      </c>
      <c r="E607" s="12">
        <v>1580440</v>
      </c>
      <c r="F607" s="12" t="s">
        <v>13</v>
      </c>
      <c r="G607" s="13">
        <v>20312966</v>
      </c>
      <c r="H607" s="12" t="s">
        <v>147</v>
      </c>
      <c r="I607" s="13">
        <v>6</v>
      </c>
      <c r="J607" s="14">
        <v>159.5</v>
      </c>
      <c r="K607" s="14">
        <f t="shared" si="13"/>
        <v>957</v>
      </c>
    </row>
    <row r="608" spans="4:11">
      <c r="D608" s="11">
        <v>46079</v>
      </c>
      <c r="E608" s="12">
        <v>1580440</v>
      </c>
      <c r="F608" s="12" t="s">
        <v>13</v>
      </c>
      <c r="G608" s="13">
        <v>20312965</v>
      </c>
      <c r="H608" s="12" t="s">
        <v>15</v>
      </c>
      <c r="I608" s="13">
        <v>7</v>
      </c>
      <c r="J608" s="14">
        <v>137.5</v>
      </c>
      <c r="K608" s="14">
        <f t="shared" si="13"/>
        <v>962.5</v>
      </c>
    </row>
    <row r="609" spans="4:11">
      <c r="D609" s="11">
        <v>46079</v>
      </c>
      <c r="E609" s="12">
        <v>1580440</v>
      </c>
      <c r="F609" s="12" t="s">
        <v>13</v>
      </c>
      <c r="G609" s="13">
        <v>20312967</v>
      </c>
      <c r="H609" s="12" t="s">
        <v>130</v>
      </c>
      <c r="I609" s="13">
        <v>10</v>
      </c>
      <c r="J609" s="14">
        <v>176</v>
      </c>
      <c r="K609" s="14">
        <f t="shared" si="13"/>
        <v>1760</v>
      </c>
    </row>
    <row r="610" spans="4:11">
      <c r="D610" s="11">
        <v>46079</v>
      </c>
      <c r="E610" s="12">
        <v>1580440</v>
      </c>
      <c r="F610" s="12" t="s">
        <v>16</v>
      </c>
      <c r="G610" s="13">
        <v>20366610</v>
      </c>
      <c r="H610" s="12" t="s">
        <v>155</v>
      </c>
      <c r="I610" s="13">
        <v>1</v>
      </c>
      <c r="J610" s="14">
        <v>16.5</v>
      </c>
      <c r="K610" s="14">
        <f t="shared" si="13"/>
        <v>16.5</v>
      </c>
    </row>
    <row r="611" spans="4:11">
      <c r="D611" s="11">
        <v>46079</v>
      </c>
      <c r="E611" s="12">
        <v>1580440</v>
      </c>
      <c r="F611" s="12" t="s">
        <v>16</v>
      </c>
      <c r="G611" s="13">
        <v>20410957</v>
      </c>
      <c r="H611" s="12" t="s">
        <v>196</v>
      </c>
      <c r="I611" s="13">
        <v>1</v>
      </c>
      <c r="J611" s="14">
        <v>16.5</v>
      </c>
      <c r="K611" s="14">
        <f t="shared" si="13"/>
        <v>16.5</v>
      </c>
    </row>
    <row r="612" spans="4:11">
      <c r="D612" s="11">
        <v>46079</v>
      </c>
      <c r="E612" s="12">
        <v>1580440</v>
      </c>
      <c r="F612" s="12" t="s">
        <v>16</v>
      </c>
      <c r="G612" s="13">
        <v>20318363</v>
      </c>
      <c r="H612" s="12" t="s">
        <v>156</v>
      </c>
      <c r="I612" s="13">
        <v>1</v>
      </c>
      <c r="J612" s="14">
        <v>8</v>
      </c>
      <c r="K612" s="14">
        <f t="shared" si="13"/>
        <v>8</v>
      </c>
    </row>
    <row r="613" spans="4:11">
      <c r="D613" s="11">
        <v>46079</v>
      </c>
      <c r="E613" s="12">
        <v>1580440</v>
      </c>
      <c r="F613" s="12" t="s">
        <v>30</v>
      </c>
      <c r="G613" s="13">
        <v>20340286</v>
      </c>
      <c r="H613" s="12" t="s">
        <v>168</v>
      </c>
      <c r="I613" s="13">
        <v>1</v>
      </c>
      <c r="J613" s="14">
        <v>55</v>
      </c>
      <c r="K613" s="14">
        <f t="shared" si="13"/>
        <v>55</v>
      </c>
    </row>
    <row r="614" spans="4:11">
      <c r="D614" s="11">
        <v>46079</v>
      </c>
      <c r="E614" s="12">
        <v>1580440</v>
      </c>
      <c r="F614" s="12" t="s">
        <v>30</v>
      </c>
      <c r="G614" s="13">
        <v>20366064</v>
      </c>
      <c r="H614" s="12" t="s">
        <v>183</v>
      </c>
      <c r="I614" s="13">
        <v>1</v>
      </c>
      <c r="J614" s="14">
        <v>71.5</v>
      </c>
      <c r="K614" s="14">
        <f t="shared" si="13"/>
        <v>71.5</v>
      </c>
    </row>
    <row r="615" spans="4:11">
      <c r="D615" s="11">
        <v>46079</v>
      </c>
      <c r="E615" s="12">
        <v>1580440</v>
      </c>
      <c r="F615" s="12" t="s">
        <v>30</v>
      </c>
      <c r="G615" s="13">
        <v>20366065</v>
      </c>
      <c r="H615" s="12" t="s">
        <v>201</v>
      </c>
      <c r="I615" s="13">
        <v>1</v>
      </c>
      <c r="J615" s="14">
        <v>71.5</v>
      </c>
      <c r="K615" s="14">
        <f t="shared" si="13"/>
        <v>71.5</v>
      </c>
    </row>
    <row r="616" spans="4:11">
      <c r="D616" s="11">
        <v>46079</v>
      </c>
      <c r="E616" s="12">
        <v>1580440</v>
      </c>
      <c r="F616" s="12" t="s">
        <v>30</v>
      </c>
      <c r="G616" s="13">
        <v>20408950</v>
      </c>
      <c r="H616" s="12" t="s">
        <v>162</v>
      </c>
      <c r="I616" s="13">
        <v>1</v>
      </c>
      <c r="J616" s="14">
        <v>60.5</v>
      </c>
      <c r="K616" s="14">
        <f t="shared" si="13"/>
        <v>60.5</v>
      </c>
    </row>
    <row r="617" spans="4:11">
      <c r="D617" s="11">
        <v>46079</v>
      </c>
      <c r="E617" s="12">
        <v>1580440</v>
      </c>
      <c r="F617" s="12" t="s">
        <v>20</v>
      </c>
      <c r="G617" s="13">
        <v>20321257</v>
      </c>
      <c r="H617" s="12" t="s">
        <v>21</v>
      </c>
      <c r="I617" s="13">
        <v>7</v>
      </c>
      <c r="J617" s="14">
        <v>16.5</v>
      </c>
      <c r="K617" s="14">
        <f t="shared" si="13"/>
        <v>115.5</v>
      </c>
    </row>
    <row r="618" spans="4:11">
      <c r="D618" s="11">
        <v>46079</v>
      </c>
      <c r="E618" s="12">
        <v>1580440</v>
      </c>
      <c r="F618" s="12" t="s">
        <v>20</v>
      </c>
      <c r="G618" s="13">
        <v>20318361</v>
      </c>
      <c r="H618" s="12" t="s">
        <v>187</v>
      </c>
      <c r="I618" s="13">
        <v>2</v>
      </c>
      <c r="J618" s="14">
        <v>16.5</v>
      </c>
      <c r="K618" s="14">
        <f t="shared" si="13"/>
        <v>33</v>
      </c>
    </row>
    <row r="619" spans="4:11">
      <c r="D619" s="11">
        <v>46079</v>
      </c>
      <c r="E619" s="12">
        <v>1580440</v>
      </c>
      <c r="F619" s="12" t="s">
        <v>20</v>
      </c>
      <c r="G619" s="13">
        <v>20363041</v>
      </c>
      <c r="H619" s="12" t="s">
        <v>150</v>
      </c>
      <c r="I619" s="13">
        <v>2</v>
      </c>
      <c r="J619" s="14">
        <v>16.5</v>
      </c>
      <c r="K619" s="14">
        <f t="shared" si="13"/>
        <v>33</v>
      </c>
    </row>
    <row r="620" spans="4:11">
      <c r="D620" s="11">
        <v>46079</v>
      </c>
      <c r="E620" s="12">
        <v>1580440</v>
      </c>
      <c r="F620" s="12" t="s">
        <v>20</v>
      </c>
      <c r="G620" s="13">
        <v>20318378</v>
      </c>
      <c r="H620" s="12" t="s">
        <v>128</v>
      </c>
      <c r="I620" s="13">
        <v>1</v>
      </c>
      <c r="J620" s="14">
        <v>16.5</v>
      </c>
      <c r="K620" s="14">
        <f t="shared" si="13"/>
        <v>16.5</v>
      </c>
    </row>
    <row r="621" spans="4:11">
      <c r="D621" s="11">
        <v>46079</v>
      </c>
      <c r="E621" s="12">
        <v>1580440</v>
      </c>
      <c r="F621" s="12" t="s">
        <v>20</v>
      </c>
      <c r="G621" s="13">
        <v>20318380</v>
      </c>
      <c r="H621" s="12" t="s">
        <v>143</v>
      </c>
      <c r="I621" s="13">
        <v>1</v>
      </c>
      <c r="J621" s="14">
        <v>16.5</v>
      </c>
      <c r="K621" s="14">
        <f t="shared" si="13"/>
        <v>16.5</v>
      </c>
    </row>
    <row r="622" spans="4:11">
      <c r="D622" s="11">
        <v>46079</v>
      </c>
      <c r="E622" s="12">
        <v>1580440</v>
      </c>
      <c r="F622" s="12" t="s">
        <v>20</v>
      </c>
      <c r="G622" s="13">
        <v>20318340</v>
      </c>
      <c r="H622" s="12" t="s">
        <v>144</v>
      </c>
      <c r="I622" s="13">
        <v>3</v>
      </c>
      <c r="J622" s="14">
        <v>16.5</v>
      </c>
      <c r="K622" s="14">
        <f t="shared" si="13"/>
        <v>49.5</v>
      </c>
    </row>
    <row r="623" spans="4:11">
      <c r="D623" s="11">
        <v>46079</v>
      </c>
      <c r="E623" s="12">
        <v>1580440</v>
      </c>
      <c r="F623" s="12" t="s">
        <v>20</v>
      </c>
      <c r="G623" s="13">
        <v>20374808</v>
      </c>
      <c r="H623" s="12" t="s">
        <v>173</v>
      </c>
      <c r="I623" s="13">
        <v>2</v>
      </c>
      <c r="J623" s="14">
        <v>16.5</v>
      </c>
      <c r="K623" s="14">
        <f t="shared" si="13"/>
        <v>33</v>
      </c>
    </row>
    <row r="624" spans="4:11">
      <c r="D624" s="11">
        <v>46079</v>
      </c>
      <c r="E624" s="12">
        <v>1580440</v>
      </c>
      <c r="F624" s="12" t="s">
        <v>20</v>
      </c>
      <c r="G624" s="13">
        <v>20321250</v>
      </c>
      <c r="H624" s="12" t="s">
        <v>157</v>
      </c>
      <c r="I624" s="13">
        <v>7</v>
      </c>
      <c r="J624" s="14">
        <v>16.5</v>
      </c>
      <c r="K624" s="14">
        <f t="shared" si="13"/>
        <v>115.5</v>
      </c>
    </row>
    <row r="625" spans="4:11">
      <c r="D625" s="11">
        <v>46079</v>
      </c>
      <c r="E625" s="12">
        <v>1580440</v>
      </c>
      <c r="F625" s="12" t="s">
        <v>20</v>
      </c>
      <c r="G625" s="13">
        <v>20340289</v>
      </c>
      <c r="H625" s="12" t="s">
        <v>145</v>
      </c>
      <c r="I625" s="13">
        <v>1</v>
      </c>
      <c r="J625" s="14">
        <v>16.5</v>
      </c>
      <c r="K625" s="14">
        <f t="shared" si="13"/>
        <v>16.5</v>
      </c>
    </row>
    <row r="626" spans="4:11">
      <c r="D626" s="11">
        <v>46079</v>
      </c>
      <c r="E626" s="12">
        <v>1580440</v>
      </c>
      <c r="F626" s="12" t="s">
        <v>20</v>
      </c>
      <c r="G626" s="13">
        <v>20383164</v>
      </c>
      <c r="H626" s="12" t="s">
        <v>151</v>
      </c>
      <c r="I626" s="13">
        <v>2</v>
      </c>
      <c r="J626" s="14">
        <v>22</v>
      </c>
      <c r="K626" s="14">
        <f t="shared" si="13"/>
        <v>44</v>
      </c>
    </row>
    <row r="627" spans="4:11">
      <c r="D627" s="11">
        <v>46079</v>
      </c>
      <c r="E627" s="12">
        <v>1580440</v>
      </c>
      <c r="F627" s="12" t="s">
        <v>20</v>
      </c>
      <c r="G627" s="13">
        <v>20318336</v>
      </c>
      <c r="H627" s="12" t="s">
        <v>137</v>
      </c>
      <c r="I627" s="13">
        <v>2</v>
      </c>
      <c r="J627" s="14">
        <v>16.5</v>
      </c>
      <c r="K627" s="14">
        <f>J627*I627</f>
        <v>33</v>
      </c>
    </row>
    <row r="628" spans="4:11">
      <c r="D628" s="11">
        <v>46079</v>
      </c>
      <c r="E628" s="12">
        <v>1580440</v>
      </c>
      <c r="F628" s="12" t="s">
        <v>20</v>
      </c>
      <c r="G628" s="13">
        <v>20318342</v>
      </c>
      <c r="H628" s="12" t="s">
        <v>115</v>
      </c>
      <c r="I628" s="13">
        <v>2</v>
      </c>
      <c r="J628" s="14">
        <v>16.5</v>
      </c>
      <c r="K628" s="14">
        <f>J628*I628</f>
        <v>33</v>
      </c>
    </row>
    <row r="629" spans="4:11">
      <c r="D629" s="11">
        <v>46079</v>
      </c>
      <c r="E629" s="12">
        <v>1580440</v>
      </c>
      <c r="F629" s="12" t="s">
        <v>20</v>
      </c>
      <c r="G629" s="13">
        <v>20318393</v>
      </c>
      <c r="H629" s="12" t="s">
        <v>26</v>
      </c>
      <c r="I629" s="13">
        <v>1</v>
      </c>
      <c r="J629" s="14">
        <v>16.5</v>
      </c>
      <c r="K629" s="14">
        <f>J629*I629</f>
        <v>16.5</v>
      </c>
    </row>
    <row r="630" spans="4:11">
      <c r="D630" s="11">
        <v>46080</v>
      </c>
      <c r="E630" s="12">
        <v>1580611</v>
      </c>
      <c r="F630" s="12" t="s">
        <v>13</v>
      </c>
      <c r="G630" s="13">
        <v>20312966</v>
      </c>
      <c r="H630" s="12" t="s">
        <v>147</v>
      </c>
      <c r="I630" s="13">
        <v>4</v>
      </c>
      <c r="J630" s="14">
        <v>159.5</v>
      </c>
      <c r="K630" s="14">
        <f t="shared" ref="K630:K645" si="14">J630*I630</f>
        <v>638</v>
      </c>
    </row>
    <row r="631" spans="4:11">
      <c r="D631" s="11">
        <v>46080</v>
      </c>
      <c r="E631" s="12">
        <v>1580611</v>
      </c>
      <c r="F631" s="12" t="s">
        <v>13</v>
      </c>
      <c r="G631" s="13">
        <v>20312967</v>
      </c>
      <c r="H631" s="12" t="s">
        <v>130</v>
      </c>
      <c r="I631" s="13">
        <v>2</v>
      </c>
      <c r="J631" s="14">
        <v>176</v>
      </c>
      <c r="K631" s="14">
        <f t="shared" si="14"/>
        <v>352</v>
      </c>
    </row>
    <row r="632" spans="4:11">
      <c r="D632" s="11">
        <v>46080</v>
      </c>
      <c r="E632" s="12">
        <v>1580611</v>
      </c>
      <c r="F632" s="12" t="s">
        <v>16</v>
      </c>
      <c r="G632" s="13">
        <v>20354360</v>
      </c>
      <c r="H632" s="12" t="s">
        <v>194</v>
      </c>
      <c r="I632" s="13">
        <v>1</v>
      </c>
      <c r="J632" s="14">
        <v>13.5</v>
      </c>
      <c r="K632" s="14">
        <f t="shared" si="14"/>
        <v>13.5</v>
      </c>
    </row>
    <row r="633" spans="4:11">
      <c r="D633" s="11">
        <v>46080</v>
      </c>
      <c r="E633" s="12">
        <v>1580611</v>
      </c>
      <c r="F633" s="12" t="s">
        <v>16</v>
      </c>
      <c r="G633" s="13">
        <v>20318395</v>
      </c>
      <c r="H633" s="12" t="s">
        <v>161</v>
      </c>
      <c r="I633" s="13">
        <v>1</v>
      </c>
      <c r="J633" s="14">
        <v>16.5</v>
      </c>
      <c r="K633" s="14">
        <f t="shared" si="14"/>
        <v>16.5</v>
      </c>
    </row>
    <row r="634" spans="4:11">
      <c r="D634" s="11">
        <v>46080</v>
      </c>
      <c r="E634" s="12">
        <v>1580611</v>
      </c>
      <c r="F634" s="12" t="s">
        <v>53</v>
      </c>
      <c r="G634" s="13">
        <v>20322235</v>
      </c>
      <c r="H634" s="12" t="s">
        <v>81</v>
      </c>
      <c r="I634" s="13">
        <v>13</v>
      </c>
      <c r="J634" s="14">
        <v>2.5</v>
      </c>
      <c r="K634" s="14">
        <f t="shared" si="14"/>
        <v>32.5</v>
      </c>
    </row>
    <row r="635" spans="4:11">
      <c r="D635" s="11">
        <v>46080</v>
      </c>
      <c r="E635" s="12">
        <v>1580611</v>
      </c>
      <c r="F635" s="12" t="s">
        <v>53</v>
      </c>
      <c r="G635" s="13">
        <v>20322243</v>
      </c>
      <c r="H635" s="12" t="s">
        <v>54</v>
      </c>
      <c r="I635" s="13">
        <v>2</v>
      </c>
      <c r="J635" s="14">
        <v>30</v>
      </c>
      <c r="K635" s="14">
        <f t="shared" si="14"/>
        <v>60</v>
      </c>
    </row>
    <row r="636" spans="4:11">
      <c r="D636" s="11">
        <v>46080</v>
      </c>
      <c r="E636" s="12">
        <v>1580611</v>
      </c>
      <c r="F636" s="12" t="s">
        <v>53</v>
      </c>
      <c r="G636" s="13">
        <v>20322234</v>
      </c>
      <c r="H636" s="12" t="s">
        <v>141</v>
      </c>
      <c r="I636" s="13">
        <v>4</v>
      </c>
      <c r="J636" s="14">
        <v>2.5</v>
      </c>
      <c r="K636" s="14">
        <f t="shared" si="14"/>
        <v>10</v>
      </c>
    </row>
    <row r="637" spans="4:11">
      <c r="D637" s="11">
        <v>46080</v>
      </c>
      <c r="E637" s="12">
        <v>1580611</v>
      </c>
      <c r="F637" s="12" t="s">
        <v>53</v>
      </c>
      <c r="G637" s="13">
        <v>20322304</v>
      </c>
      <c r="H637" s="12" t="s">
        <v>112</v>
      </c>
      <c r="I637" s="13">
        <v>3</v>
      </c>
      <c r="J637" s="14">
        <v>25</v>
      </c>
      <c r="K637" s="14">
        <f t="shared" si="14"/>
        <v>75</v>
      </c>
    </row>
    <row r="638" spans="4:11">
      <c r="D638" s="11">
        <v>46080</v>
      </c>
      <c r="E638" s="12">
        <v>1580611</v>
      </c>
      <c r="F638" s="12" t="s">
        <v>53</v>
      </c>
      <c r="G638" s="13">
        <v>20330757</v>
      </c>
      <c r="H638" s="12" t="s">
        <v>113</v>
      </c>
      <c r="I638" s="13">
        <v>7</v>
      </c>
      <c r="J638" s="14">
        <v>35</v>
      </c>
      <c r="K638" s="14">
        <f t="shared" si="14"/>
        <v>245</v>
      </c>
    </row>
    <row r="639" spans="4:11">
      <c r="D639" s="11">
        <v>46080</v>
      </c>
      <c r="E639" s="12">
        <v>1580611</v>
      </c>
      <c r="F639" s="12" t="s">
        <v>30</v>
      </c>
      <c r="G639" s="13">
        <v>20340286</v>
      </c>
      <c r="H639" s="12" t="s">
        <v>168</v>
      </c>
      <c r="I639" s="13">
        <v>1</v>
      </c>
      <c r="J639" s="14">
        <v>55</v>
      </c>
      <c r="K639" s="14">
        <f t="shared" si="14"/>
        <v>55</v>
      </c>
    </row>
    <row r="640" spans="4:11">
      <c r="D640" s="11">
        <v>46080</v>
      </c>
      <c r="E640" s="12">
        <v>1580611</v>
      </c>
      <c r="F640" s="12" t="s">
        <v>30</v>
      </c>
      <c r="G640" s="13">
        <v>20366063</v>
      </c>
      <c r="H640" s="12" t="s">
        <v>197</v>
      </c>
      <c r="I640" s="13">
        <v>1</v>
      </c>
      <c r="J640" s="14">
        <v>66</v>
      </c>
      <c r="K640" s="14">
        <f t="shared" si="14"/>
        <v>66</v>
      </c>
    </row>
    <row r="641" spans="4:11">
      <c r="D641" s="11">
        <v>46080</v>
      </c>
      <c r="E641" s="12">
        <v>1580643</v>
      </c>
      <c r="F641" s="12" t="s">
        <v>13</v>
      </c>
      <c r="G641" s="13">
        <v>20312966</v>
      </c>
      <c r="H641" s="12" t="s">
        <v>147</v>
      </c>
      <c r="I641" s="13">
        <v>6</v>
      </c>
      <c r="J641" s="14">
        <v>159.5</v>
      </c>
      <c r="K641" s="14">
        <f t="shared" si="14"/>
        <v>957</v>
      </c>
    </row>
    <row r="642" spans="4:11">
      <c r="D642" s="11">
        <v>46080</v>
      </c>
      <c r="E642" s="12">
        <v>1580643</v>
      </c>
      <c r="F642" s="12" t="s">
        <v>13</v>
      </c>
      <c r="G642" s="13">
        <v>20312965</v>
      </c>
      <c r="H642" s="12" t="s">
        <v>15</v>
      </c>
      <c r="I642" s="13">
        <v>1</v>
      </c>
      <c r="J642" s="14">
        <v>137.5</v>
      </c>
      <c r="K642" s="14">
        <f t="shared" si="14"/>
        <v>137.5</v>
      </c>
    </row>
    <row r="643" spans="4:11">
      <c r="D643" s="11">
        <v>46080</v>
      </c>
      <c r="E643" s="12">
        <v>1580643</v>
      </c>
      <c r="F643" s="12" t="s">
        <v>13</v>
      </c>
      <c r="G643" s="13">
        <v>20312967</v>
      </c>
      <c r="H643" s="12" t="s">
        <v>130</v>
      </c>
      <c r="I643" s="13">
        <v>4</v>
      </c>
      <c r="J643" s="14">
        <v>176</v>
      </c>
      <c r="K643" s="14">
        <f t="shared" si="14"/>
        <v>704</v>
      </c>
    </row>
    <row r="644" spans="4:11">
      <c r="D644" s="11">
        <v>46080</v>
      </c>
      <c r="E644" s="12">
        <v>1580643</v>
      </c>
      <c r="F644" s="12" t="s">
        <v>20</v>
      </c>
      <c r="G644" s="13">
        <v>20318385</v>
      </c>
      <c r="H644" s="12" t="s">
        <v>202</v>
      </c>
      <c r="I644" s="13">
        <v>1</v>
      </c>
      <c r="J644" s="14">
        <v>38.5</v>
      </c>
      <c r="K644" s="14">
        <f t="shared" si="14"/>
        <v>38.5</v>
      </c>
    </row>
    <row r="645" spans="4:11">
      <c r="D645" s="11">
        <v>46080</v>
      </c>
      <c r="E645" s="12">
        <v>1580643</v>
      </c>
      <c r="F645" s="12" t="s">
        <v>20</v>
      </c>
      <c r="G645" s="13">
        <v>20321257</v>
      </c>
      <c r="H645" s="12" t="s">
        <v>21</v>
      </c>
      <c r="I645" s="13">
        <v>7</v>
      </c>
      <c r="J645" s="14">
        <v>16.5</v>
      </c>
      <c r="K645" s="14">
        <f t="shared" si="14"/>
        <v>115.5</v>
      </c>
    </row>
    <row r="646" spans="4:11">
      <c r="D646" s="11">
        <v>46080</v>
      </c>
      <c r="E646" s="12">
        <v>1580643</v>
      </c>
      <c r="F646" s="12" t="s">
        <v>20</v>
      </c>
      <c r="G646" s="13">
        <v>20318334</v>
      </c>
      <c r="H646" s="12" t="s">
        <v>175</v>
      </c>
      <c r="I646" s="13">
        <v>1</v>
      </c>
      <c r="J646" s="14">
        <v>16.5</v>
      </c>
      <c r="K646" s="14">
        <f t="shared" ref="K646:K709" si="15">J646*I646</f>
        <v>16.5</v>
      </c>
    </row>
    <row r="647" spans="4:11">
      <c r="D647" s="11">
        <v>46080</v>
      </c>
      <c r="E647" s="12">
        <v>1580643</v>
      </c>
      <c r="F647" s="12" t="s">
        <v>20</v>
      </c>
      <c r="G647" s="13">
        <v>20318378</v>
      </c>
      <c r="H647" s="12" t="s">
        <v>128</v>
      </c>
      <c r="I647" s="13">
        <v>1</v>
      </c>
      <c r="J647" s="14">
        <v>16.5</v>
      </c>
      <c r="K647" s="14">
        <f t="shared" si="15"/>
        <v>16.5</v>
      </c>
    </row>
    <row r="648" spans="4:11">
      <c r="D648" s="11">
        <v>46080</v>
      </c>
      <c r="E648" s="12">
        <v>1580643</v>
      </c>
      <c r="F648" s="12" t="s">
        <v>20</v>
      </c>
      <c r="G648" s="13">
        <v>20321250</v>
      </c>
      <c r="H648" s="12" t="s">
        <v>157</v>
      </c>
      <c r="I648" s="13">
        <v>2</v>
      </c>
      <c r="J648" s="14">
        <v>16.5</v>
      </c>
      <c r="K648" s="14">
        <f t="shared" si="15"/>
        <v>33</v>
      </c>
    </row>
    <row r="649" spans="4:11">
      <c r="D649" s="11">
        <v>46080</v>
      </c>
      <c r="E649" s="12">
        <v>1580643</v>
      </c>
      <c r="F649" s="12" t="s">
        <v>20</v>
      </c>
      <c r="G649" s="13">
        <v>20318383</v>
      </c>
      <c r="H649" s="12" t="s">
        <v>178</v>
      </c>
      <c r="I649" s="13">
        <v>1</v>
      </c>
      <c r="J649" s="14">
        <v>16.5</v>
      </c>
      <c r="K649" s="14">
        <f t="shared" si="15"/>
        <v>16.5</v>
      </c>
    </row>
    <row r="650" spans="4:11">
      <c r="D650" s="11">
        <v>46080</v>
      </c>
      <c r="E650" s="12">
        <v>1580643</v>
      </c>
      <c r="F650" s="12" t="s">
        <v>20</v>
      </c>
      <c r="G650" s="13">
        <v>20340289</v>
      </c>
      <c r="H650" s="12" t="s">
        <v>145</v>
      </c>
      <c r="I650" s="13">
        <v>1</v>
      </c>
      <c r="J650" s="14">
        <v>16.5</v>
      </c>
      <c r="K650" s="14">
        <f t="shared" si="15"/>
        <v>16.5</v>
      </c>
    </row>
    <row r="651" spans="4:11">
      <c r="D651" s="11">
        <v>46080</v>
      </c>
      <c r="E651" s="12">
        <v>1580643</v>
      </c>
      <c r="F651" s="12" t="s">
        <v>20</v>
      </c>
      <c r="G651" s="13">
        <v>20318336</v>
      </c>
      <c r="H651" s="12" t="s">
        <v>137</v>
      </c>
      <c r="I651" s="13">
        <v>2</v>
      </c>
      <c r="J651" s="14">
        <v>16.5</v>
      </c>
      <c r="K651" s="14">
        <f t="shared" si="15"/>
        <v>33</v>
      </c>
    </row>
    <row r="652" spans="4:11">
      <c r="D652" s="11">
        <v>46080</v>
      </c>
      <c r="E652" s="12">
        <v>1580643</v>
      </c>
      <c r="F652" s="12" t="s">
        <v>20</v>
      </c>
      <c r="G652" s="13">
        <v>20318393</v>
      </c>
      <c r="H652" s="12" t="s">
        <v>26</v>
      </c>
      <c r="I652" s="13">
        <v>1</v>
      </c>
      <c r="J652" s="14">
        <v>16.5</v>
      </c>
      <c r="K652" s="14">
        <f t="shared" si="15"/>
        <v>16.5</v>
      </c>
    </row>
    <row r="653" spans="4:11">
      <c r="D653" s="11">
        <v>46080</v>
      </c>
      <c r="E653" s="12">
        <v>1580703</v>
      </c>
      <c r="F653" s="12" t="s">
        <v>13</v>
      </c>
      <c r="G653" s="13">
        <v>20312966</v>
      </c>
      <c r="H653" s="12" t="s">
        <v>147</v>
      </c>
      <c r="I653" s="13">
        <v>3</v>
      </c>
      <c r="J653" s="14">
        <v>159.5</v>
      </c>
      <c r="K653" s="14">
        <f t="shared" si="15"/>
        <v>478.5</v>
      </c>
    </row>
    <row r="654" spans="4:11">
      <c r="D654" s="11">
        <v>46080</v>
      </c>
      <c r="E654" s="12">
        <v>1580703</v>
      </c>
      <c r="F654" s="12" t="s">
        <v>13</v>
      </c>
      <c r="G654" s="13">
        <v>20312965</v>
      </c>
      <c r="H654" s="12" t="s">
        <v>15</v>
      </c>
      <c r="I654" s="13">
        <v>3</v>
      </c>
      <c r="J654" s="14">
        <v>137.5</v>
      </c>
      <c r="K654" s="14">
        <f t="shared" si="15"/>
        <v>412.5</v>
      </c>
    </row>
    <row r="655" spans="4:11">
      <c r="D655" s="11">
        <v>46080</v>
      </c>
      <c r="E655" s="12">
        <v>1580703</v>
      </c>
      <c r="F655" s="12" t="s">
        <v>13</v>
      </c>
      <c r="G655" s="13">
        <v>20312967</v>
      </c>
      <c r="H655" s="12" t="s">
        <v>130</v>
      </c>
      <c r="I655" s="13">
        <v>6</v>
      </c>
      <c r="J655" s="14">
        <v>176</v>
      </c>
      <c r="K655" s="14">
        <f t="shared" si="15"/>
        <v>1056</v>
      </c>
    </row>
    <row r="656" spans="4:11">
      <c r="D656" s="11">
        <v>46080</v>
      </c>
      <c r="E656" s="12">
        <v>1580703</v>
      </c>
      <c r="F656" s="12" t="s">
        <v>39</v>
      </c>
      <c r="G656" s="13">
        <v>20327254</v>
      </c>
      <c r="H656" s="12" t="s">
        <v>203</v>
      </c>
      <c r="I656" s="13">
        <v>1</v>
      </c>
      <c r="J656" s="14">
        <v>49.5</v>
      </c>
      <c r="K656" s="14">
        <f t="shared" si="15"/>
        <v>49.5</v>
      </c>
    </row>
    <row r="657" spans="4:11">
      <c r="D657" s="11">
        <v>46080</v>
      </c>
      <c r="E657" s="12">
        <v>1580703</v>
      </c>
      <c r="F657" s="12" t="s">
        <v>39</v>
      </c>
      <c r="G657" s="13">
        <v>20322150</v>
      </c>
      <c r="H657" s="12" t="s">
        <v>198</v>
      </c>
      <c r="I657" s="13">
        <v>1</v>
      </c>
      <c r="J657" s="14">
        <v>49.5</v>
      </c>
      <c r="K657" s="14">
        <f t="shared" si="15"/>
        <v>49.5</v>
      </c>
    </row>
    <row r="658" spans="4:11">
      <c r="D658" s="11">
        <v>46080</v>
      </c>
      <c r="E658" s="12">
        <v>1580703</v>
      </c>
      <c r="F658" s="12" t="s">
        <v>39</v>
      </c>
      <c r="G658" s="13">
        <v>20410992</v>
      </c>
      <c r="H658" s="12" t="s">
        <v>199</v>
      </c>
      <c r="I658" s="13">
        <v>1</v>
      </c>
      <c r="J658" s="14">
        <v>49.5</v>
      </c>
      <c r="K658" s="14">
        <f t="shared" si="15"/>
        <v>49.5</v>
      </c>
    </row>
    <row r="659" spans="4:11">
      <c r="D659" s="11">
        <v>46080</v>
      </c>
      <c r="E659" s="12">
        <v>1580703</v>
      </c>
      <c r="F659" s="12" t="s">
        <v>20</v>
      </c>
      <c r="G659" s="13">
        <v>20363041</v>
      </c>
      <c r="H659" s="12" t="s">
        <v>150</v>
      </c>
      <c r="I659" s="13">
        <v>1</v>
      </c>
      <c r="J659" s="14">
        <v>16.5</v>
      </c>
      <c r="K659" s="14">
        <f t="shared" si="15"/>
        <v>16.5</v>
      </c>
    </row>
    <row r="660" spans="4:11">
      <c r="D660" s="11">
        <v>46080</v>
      </c>
      <c r="E660" s="12">
        <v>1580703</v>
      </c>
      <c r="F660" s="12" t="s">
        <v>20</v>
      </c>
      <c r="G660" s="13">
        <v>20318380</v>
      </c>
      <c r="H660" s="12" t="s">
        <v>143</v>
      </c>
      <c r="I660" s="13">
        <v>1</v>
      </c>
      <c r="J660" s="14">
        <v>16.5</v>
      </c>
      <c r="K660" s="14">
        <f t="shared" si="15"/>
        <v>16.5</v>
      </c>
    </row>
    <row r="661" spans="4:11">
      <c r="D661" s="11">
        <v>46080</v>
      </c>
      <c r="E661" s="12">
        <v>1580703</v>
      </c>
      <c r="F661" s="12" t="s">
        <v>20</v>
      </c>
      <c r="G661" s="13">
        <v>20321250</v>
      </c>
      <c r="H661" s="12" t="s">
        <v>157</v>
      </c>
      <c r="I661" s="13">
        <v>1</v>
      </c>
      <c r="J661" s="14">
        <v>16.5</v>
      </c>
      <c r="K661" s="14">
        <f t="shared" si="15"/>
        <v>16.5</v>
      </c>
    </row>
    <row r="662" spans="4:11">
      <c r="D662" s="11">
        <v>46080</v>
      </c>
      <c r="E662" s="12">
        <v>1580703</v>
      </c>
      <c r="F662" s="12" t="s">
        <v>20</v>
      </c>
      <c r="G662" s="13">
        <v>20383164</v>
      </c>
      <c r="H662" s="12" t="s">
        <v>151</v>
      </c>
      <c r="I662" s="13">
        <v>1</v>
      </c>
      <c r="J662" s="14">
        <v>22</v>
      </c>
      <c r="K662" s="14">
        <f t="shared" si="15"/>
        <v>22</v>
      </c>
    </row>
    <row r="663" spans="4:11">
      <c r="D663" s="11">
        <v>46080</v>
      </c>
      <c r="E663" s="12">
        <v>1580703</v>
      </c>
      <c r="F663" s="12" t="s">
        <v>20</v>
      </c>
      <c r="G663" s="13">
        <v>20318336</v>
      </c>
      <c r="H663" s="12" t="s">
        <v>137</v>
      </c>
      <c r="I663" s="13">
        <v>3</v>
      </c>
      <c r="J663" s="14">
        <v>16.5</v>
      </c>
      <c r="K663" s="14">
        <f t="shared" si="15"/>
        <v>49.5</v>
      </c>
    </row>
    <row r="664" spans="4:11">
      <c r="D664" s="11">
        <v>46080</v>
      </c>
      <c r="E664" s="12">
        <v>1580716</v>
      </c>
      <c r="F664" s="12" t="s">
        <v>39</v>
      </c>
      <c r="G664" s="13">
        <v>20326338</v>
      </c>
      <c r="H664" s="12" t="s">
        <v>169</v>
      </c>
      <c r="I664" s="13">
        <v>1</v>
      </c>
      <c r="J664" s="14">
        <v>55</v>
      </c>
      <c r="K664" s="14">
        <f t="shared" si="15"/>
        <v>55</v>
      </c>
    </row>
    <row r="665" spans="4:11">
      <c r="D665" s="11">
        <v>46080</v>
      </c>
      <c r="E665" s="12">
        <v>1580716</v>
      </c>
      <c r="F665" s="12" t="s">
        <v>20</v>
      </c>
      <c r="G665" s="13">
        <v>20407575</v>
      </c>
      <c r="H665" s="12" t="s">
        <v>140</v>
      </c>
      <c r="I665" s="13">
        <v>1</v>
      </c>
      <c r="J665" s="14">
        <v>16.5</v>
      </c>
      <c r="K665" s="14">
        <f t="shared" si="15"/>
        <v>16.5</v>
      </c>
    </row>
    <row r="666" spans="4:11">
      <c r="D666" s="11">
        <v>46080</v>
      </c>
      <c r="E666" s="12">
        <v>1580747</v>
      </c>
      <c r="F666" s="12" t="s">
        <v>13</v>
      </c>
      <c r="G666" s="13">
        <v>20312982</v>
      </c>
      <c r="H666" s="12" t="s">
        <v>204</v>
      </c>
      <c r="I666" s="13">
        <v>1</v>
      </c>
      <c r="J666" s="14">
        <v>209</v>
      </c>
      <c r="K666" s="14">
        <f t="shared" si="15"/>
        <v>209</v>
      </c>
    </row>
    <row r="667" spans="4:11">
      <c r="D667" s="11">
        <v>46080</v>
      </c>
      <c r="E667" s="12">
        <v>1580747</v>
      </c>
      <c r="F667" s="12" t="s">
        <v>13</v>
      </c>
      <c r="G667" s="13">
        <v>20365495</v>
      </c>
      <c r="H667" s="12" t="s">
        <v>205</v>
      </c>
      <c r="I667" s="13">
        <v>1</v>
      </c>
      <c r="J667" s="14">
        <v>154</v>
      </c>
      <c r="K667" s="14">
        <f t="shared" si="15"/>
        <v>154</v>
      </c>
    </row>
    <row r="668" spans="4:11">
      <c r="D668" s="11">
        <v>46080</v>
      </c>
      <c r="E668" s="12">
        <v>1580747</v>
      </c>
      <c r="F668" s="12" t="s">
        <v>13</v>
      </c>
      <c r="G668" s="13">
        <v>20312966</v>
      </c>
      <c r="H668" s="12" t="s">
        <v>147</v>
      </c>
      <c r="I668" s="13">
        <v>1</v>
      </c>
      <c r="J668" s="14">
        <v>159.5</v>
      </c>
      <c r="K668" s="14">
        <f t="shared" si="15"/>
        <v>159.5</v>
      </c>
    </row>
    <row r="669" spans="4:11">
      <c r="D669" s="11">
        <v>46080</v>
      </c>
      <c r="E669" s="12">
        <v>1580747</v>
      </c>
      <c r="F669" s="12" t="s">
        <v>13</v>
      </c>
      <c r="G669" s="13">
        <v>20312965</v>
      </c>
      <c r="H669" s="12" t="s">
        <v>15</v>
      </c>
      <c r="I669" s="13">
        <v>5</v>
      </c>
      <c r="J669" s="14">
        <v>137.5</v>
      </c>
      <c r="K669" s="14">
        <f t="shared" si="15"/>
        <v>687.5</v>
      </c>
    </row>
    <row r="670" spans="4:11">
      <c r="D670" s="11">
        <v>46080</v>
      </c>
      <c r="E670" s="12">
        <v>1580747</v>
      </c>
      <c r="F670" s="12" t="s">
        <v>13</v>
      </c>
      <c r="G670" s="13">
        <v>20312967</v>
      </c>
      <c r="H670" s="12" t="s">
        <v>130</v>
      </c>
      <c r="I670" s="13">
        <v>4</v>
      </c>
      <c r="J670" s="14">
        <v>176</v>
      </c>
      <c r="K670" s="14">
        <f t="shared" si="15"/>
        <v>704</v>
      </c>
    </row>
    <row r="671" spans="4:11">
      <c r="D671" s="11">
        <v>46080</v>
      </c>
      <c r="E671" s="12">
        <v>1580747</v>
      </c>
      <c r="F671" s="12" t="s">
        <v>39</v>
      </c>
      <c r="G671" s="13">
        <v>20410992</v>
      </c>
      <c r="H671" s="12" t="s">
        <v>199</v>
      </c>
      <c r="I671" s="13">
        <v>2</v>
      </c>
      <c r="J671" s="14">
        <v>49.5</v>
      </c>
      <c r="K671" s="14">
        <f t="shared" si="15"/>
        <v>99</v>
      </c>
    </row>
    <row r="672" spans="4:11">
      <c r="D672" s="11">
        <v>46080</v>
      </c>
      <c r="E672" s="12">
        <v>1580747</v>
      </c>
      <c r="F672" s="12" t="s">
        <v>20</v>
      </c>
      <c r="G672" s="13">
        <v>20321257</v>
      </c>
      <c r="H672" s="12" t="s">
        <v>21</v>
      </c>
      <c r="I672" s="13">
        <v>2</v>
      </c>
      <c r="J672" s="14">
        <v>16.5</v>
      </c>
      <c r="K672" s="14">
        <f t="shared" si="15"/>
        <v>33</v>
      </c>
    </row>
    <row r="673" spans="4:11">
      <c r="D673" s="11">
        <v>46080</v>
      </c>
      <c r="E673" s="12">
        <v>1580747</v>
      </c>
      <c r="F673" s="12" t="s">
        <v>20</v>
      </c>
      <c r="G673" s="13">
        <v>20318378</v>
      </c>
      <c r="H673" s="12" t="s">
        <v>128</v>
      </c>
      <c r="I673" s="13">
        <v>1</v>
      </c>
      <c r="J673" s="14">
        <v>16.5</v>
      </c>
      <c r="K673" s="14">
        <f t="shared" si="15"/>
        <v>16.5</v>
      </c>
    </row>
    <row r="674" spans="4:11">
      <c r="D674" s="11">
        <v>46080</v>
      </c>
      <c r="E674" s="12">
        <v>1580747</v>
      </c>
      <c r="F674" s="12" t="s">
        <v>20</v>
      </c>
      <c r="G674" s="13">
        <v>20318380</v>
      </c>
      <c r="H674" s="12" t="s">
        <v>143</v>
      </c>
      <c r="I674" s="13">
        <v>1</v>
      </c>
      <c r="J674" s="14">
        <v>16.5</v>
      </c>
      <c r="K674" s="14">
        <f t="shared" si="15"/>
        <v>16.5</v>
      </c>
    </row>
    <row r="675" spans="4:11">
      <c r="D675" s="11">
        <v>46080</v>
      </c>
      <c r="E675" s="12">
        <v>1580747</v>
      </c>
      <c r="F675" s="12" t="s">
        <v>20</v>
      </c>
      <c r="G675" s="13">
        <v>20318340</v>
      </c>
      <c r="H675" s="12" t="s">
        <v>144</v>
      </c>
      <c r="I675" s="13">
        <v>1</v>
      </c>
      <c r="J675" s="14">
        <v>16.5</v>
      </c>
      <c r="K675" s="14">
        <f t="shared" si="15"/>
        <v>16.5</v>
      </c>
    </row>
    <row r="676" spans="4:11">
      <c r="D676" s="11">
        <v>46080</v>
      </c>
      <c r="E676" s="12">
        <v>1580747</v>
      </c>
      <c r="F676" s="12" t="s">
        <v>20</v>
      </c>
      <c r="G676" s="13">
        <v>20321502</v>
      </c>
      <c r="H676" s="12" t="s">
        <v>164</v>
      </c>
      <c r="I676" s="13">
        <v>1</v>
      </c>
      <c r="J676" s="14">
        <v>16.5</v>
      </c>
      <c r="K676" s="14">
        <f t="shared" si="15"/>
        <v>16.5</v>
      </c>
    </row>
    <row r="677" spans="4:11">
      <c r="D677" s="11">
        <v>46080</v>
      </c>
      <c r="E677" s="12">
        <v>1580747</v>
      </c>
      <c r="F677" s="12" t="s">
        <v>20</v>
      </c>
      <c r="G677" s="13">
        <v>20321250</v>
      </c>
      <c r="H677" s="12" t="s">
        <v>157</v>
      </c>
      <c r="I677" s="13">
        <v>2</v>
      </c>
      <c r="J677" s="14">
        <v>16.5</v>
      </c>
      <c r="K677" s="14">
        <f t="shared" si="15"/>
        <v>33</v>
      </c>
    </row>
    <row r="678" spans="4:11">
      <c r="D678" s="11">
        <v>46080</v>
      </c>
      <c r="E678" s="12">
        <v>1580747</v>
      </c>
      <c r="F678" s="12" t="s">
        <v>20</v>
      </c>
      <c r="G678" s="13">
        <v>20318336</v>
      </c>
      <c r="H678" s="12" t="s">
        <v>137</v>
      </c>
      <c r="I678" s="13">
        <v>1</v>
      </c>
      <c r="J678" s="14">
        <v>16.5</v>
      </c>
      <c r="K678" s="14">
        <f t="shared" si="15"/>
        <v>16.5</v>
      </c>
    </row>
    <row r="679" spans="4:11">
      <c r="D679" s="11">
        <v>46080</v>
      </c>
      <c r="E679" s="12">
        <v>1580747</v>
      </c>
      <c r="F679" s="12" t="s">
        <v>20</v>
      </c>
      <c r="G679" s="13">
        <v>20318342</v>
      </c>
      <c r="H679" s="12" t="s">
        <v>115</v>
      </c>
      <c r="I679" s="13">
        <v>1</v>
      </c>
      <c r="J679" s="14">
        <v>16.5</v>
      </c>
      <c r="K679" s="14">
        <f t="shared" si="15"/>
        <v>16.5</v>
      </c>
    </row>
    <row r="680" spans="4:11">
      <c r="D680" s="11">
        <v>46080</v>
      </c>
      <c r="E680" s="12">
        <v>1580768</v>
      </c>
      <c r="F680" s="12" t="s">
        <v>13</v>
      </c>
      <c r="G680" s="13">
        <v>20312982</v>
      </c>
      <c r="H680" s="12" t="s">
        <v>204</v>
      </c>
      <c r="I680" s="13">
        <v>1</v>
      </c>
      <c r="J680" s="14">
        <v>209</v>
      </c>
      <c r="K680" s="14">
        <f t="shared" si="15"/>
        <v>209</v>
      </c>
    </row>
    <row r="681" spans="4:11">
      <c r="D681" s="11">
        <v>46080</v>
      </c>
      <c r="E681" s="12">
        <v>1580768</v>
      </c>
      <c r="F681" s="12" t="s">
        <v>13</v>
      </c>
      <c r="G681" s="13">
        <v>20312966</v>
      </c>
      <c r="H681" s="12" t="s">
        <v>147</v>
      </c>
      <c r="I681" s="13">
        <v>5</v>
      </c>
      <c r="J681" s="14">
        <v>159.5</v>
      </c>
      <c r="K681" s="14">
        <f t="shared" si="15"/>
        <v>797.5</v>
      </c>
    </row>
    <row r="682" spans="4:11">
      <c r="D682" s="11">
        <v>46080</v>
      </c>
      <c r="E682" s="12">
        <v>1580768</v>
      </c>
      <c r="F682" s="12" t="s">
        <v>13</v>
      </c>
      <c r="G682" s="13">
        <v>20334934</v>
      </c>
      <c r="H682" s="12" t="s">
        <v>154</v>
      </c>
      <c r="I682" s="13">
        <v>1</v>
      </c>
      <c r="J682" s="14">
        <v>121</v>
      </c>
      <c r="K682" s="14">
        <f t="shared" si="15"/>
        <v>121</v>
      </c>
    </row>
    <row r="683" spans="4:11">
      <c r="D683" s="11">
        <v>46080</v>
      </c>
      <c r="E683" s="12">
        <v>1580768</v>
      </c>
      <c r="F683" s="12" t="s">
        <v>13</v>
      </c>
      <c r="G683" s="13">
        <v>20327194</v>
      </c>
      <c r="H683" s="12" t="s">
        <v>158</v>
      </c>
      <c r="I683" s="13">
        <v>1</v>
      </c>
      <c r="J683" s="14">
        <v>27.5</v>
      </c>
      <c r="K683" s="14">
        <f t="shared" si="15"/>
        <v>27.5</v>
      </c>
    </row>
    <row r="684" spans="4:11">
      <c r="D684" s="11">
        <v>46080</v>
      </c>
      <c r="E684" s="12">
        <v>1580768</v>
      </c>
      <c r="F684" s="12" t="s">
        <v>13</v>
      </c>
      <c r="G684" s="13">
        <v>20312965</v>
      </c>
      <c r="H684" s="12" t="s">
        <v>15</v>
      </c>
      <c r="I684" s="13">
        <v>5</v>
      </c>
      <c r="J684" s="14">
        <v>137.5</v>
      </c>
      <c r="K684" s="14">
        <f t="shared" si="15"/>
        <v>687.5</v>
      </c>
    </row>
    <row r="685" spans="4:11">
      <c r="D685" s="11">
        <v>46080</v>
      </c>
      <c r="E685" s="12">
        <v>1580768</v>
      </c>
      <c r="F685" s="12" t="s">
        <v>13</v>
      </c>
      <c r="G685" s="13">
        <v>20312967</v>
      </c>
      <c r="H685" s="12" t="s">
        <v>130</v>
      </c>
      <c r="I685" s="13">
        <v>5</v>
      </c>
      <c r="J685" s="14">
        <v>176</v>
      </c>
      <c r="K685" s="14">
        <f t="shared" si="15"/>
        <v>880</v>
      </c>
    </row>
    <row r="686" spans="4:11">
      <c r="D686" s="11">
        <v>46080</v>
      </c>
      <c r="E686" s="12">
        <v>1580768</v>
      </c>
      <c r="F686" s="12" t="s">
        <v>39</v>
      </c>
      <c r="G686" s="13">
        <v>20327254</v>
      </c>
      <c r="H686" s="12" t="s">
        <v>203</v>
      </c>
      <c r="I686" s="13">
        <v>1</v>
      </c>
      <c r="J686" s="14">
        <v>49.5</v>
      </c>
      <c r="K686" s="14">
        <f t="shared" si="15"/>
        <v>49.5</v>
      </c>
    </row>
    <row r="687" spans="4:11">
      <c r="D687" s="11">
        <v>46080</v>
      </c>
      <c r="E687" s="12">
        <v>1580768</v>
      </c>
      <c r="F687" s="12" t="s">
        <v>53</v>
      </c>
      <c r="G687" s="13">
        <v>20322243</v>
      </c>
      <c r="H687" s="12" t="s">
        <v>54</v>
      </c>
      <c r="I687" s="13">
        <v>1</v>
      </c>
      <c r="J687" s="14">
        <v>30</v>
      </c>
      <c r="K687" s="14">
        <f t="shared" si="15"/>
        <v>30</v>
      </c>
    </row>
    <row r="688" spans="4:11">
      <c r="D688" s="11">
        <v>46080</v>
      </c>
      <c r="E688" s="12">
        <v>1580768</v>
      </c>
      <c r="F688" s="12" t="s">
        <v>53</v>
      </c>
      <c r="G688" s="13">
        <v>20330757</v>
      </c>
      <c r="H688" s="12" t="s">
        <v>113</v>
      </c>
      <c r="I688" s="13">
        <v>5</v>
      </c>
      <c r="J688" s="14">
        <v>35</v>
      </c>
      <c r="K688" s="14">
        <f t="shared" si="15"/>
        <v>175</v>
      </c>
    </row>
    <row r="689" spans="4:11">
      <c r="D689" s="11">
        <v>46080</v>
      </c>
      <c r="E689" s="12">
        <v>1580768</v>
      </c>
      <c r="F689" s="12" t="s">
        <v>53</v>
      </c>
      <c r="G689" s="13">
        <v>20323697</v>
      </c>
      <c r="H689" s="12" t="s">
        <v>142</v>
      </c>
      <c r="I689" s="13">
        <v>1</v>
      </c>
      <c r="J689" s="14">
        <v>4</v>
      </c>
      <c r="K689" s="14">
        <f t="shared" si="15"/>
        <v>4</v>
      </c>
    </row>
    <row r="690" spans="4:11">
      <c r="D690" s="11">
        <v>46080</v>
      </c>
      <c r="E690" s="12">
        <v>1580768</v>
      </c>
      <c r="F690" s="12" t="s">
        <v>30</v>
      </c>
      <c r="G690" s="13">
        <v>20340286</v>
      </c>
      <c r="H690" s="12" t="s">
        <v>168</v>
      </c>
      <c r="I690" s="13">
        <v>1</v>
      </c>
      <c r="J690" s="14">
        <v>55</v>
      </c>
      <c r="K690" s="14">
        <f t="shared" si="15"/>
        <v>55</v>
      </c>
    </row>
    <row r="691" spans="4:11">
      <c r="D691" s="11">
        <v>46080</v>
      </c>
      <c r="E691" s="12">
        <v>1580768</v>
      </c>
      <c r="F691" s="12" t="s">
        <v>30</v>
      </c>
      <c r="G691" s="13">
        <v>20408950</v>
      </c>
      <c r="H691" s="12" t="s">
        <v>162</v>
      </c>
      <c r="I691" s="13">
        <v>1</v>
      </c>
      <c r="J691" s="14">
        <v>60.5</v>
      </c>
      <c r="K691" s="14">
        <f t="shared" si="15"/>
        <v>60.5</v>
      </c>
    </row>
    <row r="692" spans="4:11">
      <c r="D692" s="11">
        <v>46080</v>
      </c>
      <c r="E692" s="12">
        <v>1580768</v>
      </c>
      <c r="F692" s="12" t="s">
        <v>20</v>
      </c>
      <c r="G692" s="13">
        <v>20369096</v>
      </c>
      <c r="H692" s="12" t="s">
        <v>182</v>
      </c>
      <c r="I692" s="13">
        <v>1</v>
      </c>
      <c r="J692" s="14">
        <v>16.5</v>
      </c>
      <c r="K692" s="14">
        <f t="shared" si="15"/>
        <v>16.5</v>
      </c>
    </row>
    <row r="693" spans="4:11">
      <c r="D693" s="11">
        <v>46080</v>
      </c>
      <c r="E693" s="12">
        <v>1580768</v>
      </c>
      <c r="F693" s="12" t="s">
        <v>20</v>
      </c>
      <c r="G693" s="13">
        <v>20343399</v>
      </c>
      <c r="H693" s="12" t="s">
        <v>153</v>
      </c>
      <c r="I693" s="13">
        <v>1</v>
      </c>
      <c r="J693" s="14">
        <v>33</v>
      </c>
      <c r="K693" s="14">
        <f t="shared" si="15"/>
        <v>33</v>
      </c>
    </row>
    <row r="694" spans="4:11">
      <c r="D694" s="11">
        <v>46080</v>
      </c>
      <c r="E694" s="12">
        <v>1580768</v>
      </c>
      <c r="F694" s="12" t="s">
        <v>20</v>
      </c>
      <c r="G694" s="13">
        <v>20318340</v>
      </c>
      <c r="H694" s="12" t="s">
        <v>144</v>
      </c>
      <c r="I694" s="13">
        <v>1</v>
      </c>
      <c r="J694" s="14">
        <v>16.5</v>
      </c>
      <c r="K694" s="14">
        <f t="shared" si="15"/>
        <v>16.5</v>
      </c>
    </row>
    <row r="695" spans="4:11">
      <c r="D695" s="11">
        <v>46080</v>
      </c>
      <c r="E695" s="12">
        <v>1580768</v>
      </c>
      <c r="F695" s="12" t="s">
        <v>20</v>
      </c>
      <c r="G695" s="13">
        <v>20321250</v>
      </c>
      <c r="H695" s="12" t="s">
        <v>157</v>
      </c>
      <c r="I695" s="13">
        <v>3</v>
      </c>
      <c r="J695" s="14">
        <v>16.5</v>
      </c>
      <c r="K695" s="14">
        <f t="shared" si="15"/>
        <v>49.5</v>
      </c>
    </row>
    <row r="696" spans="4:11">
      <c r="D696" s="11">
        <v>46080</v>
      </c>
      <c r="E696" s="12">
        <v>1580768</v>
      </c>
      <c r="F696" s="12" t="s">
        <v>20</v>
      </c>
      <c r="G696" s="13">
        <v>20340289</v>
      </c>
      <c r="H696" s="12" t="s">
        <v>145</v>
      </c>
      <c r="I696" s="13">
        <v>1</v>
      </c>
      <c r="J696" s="14">
        <v>16.5</v>
      </c>
      <c r="K696" s="14">
        <f t="shared" si="15"/>
        <v>16.5</v>
      </c>
    </row>
    <row r="697" spans="4:11">
      <c r="D697" s="11">
        <v>46080</v>
      </c>
      <c r="E697" s="12">
        <v>1580768</v>
      </c>
      <c r="F697" s="12" t="s">
        <v>20</v>
      </c>
      <c r="G697" s="13">
        <v>20318336</v>
      </c>
      <c r="H697" s="12" t="s">
        <v>137</v>
      </c>
      <c r="I697" s="13">
        <v>2</v>
      </c>
      <c r="J697" s="14">
        <v>16.5</v>
      </c>
      <c r="K697" s="14">
        <f t="shared" si="15"/>
        <v>33</v>
      </c>
    </row>
    <row r="698" spans="4:11">
      <c r="D698" s="11">
        <v>46080</v>
      </c>
      <c r="E698" s="12">
        <v>1580768</v>
      </c>
      <c r="F698" s="12" t="s">
        <v>20</v>
      </c>
      <c r="G698" s="13">
        <v>20318342</v>
      </c>
      <c r="H698" s="12" t="s">
        <v>115</v>
      </c>
      <c r="I698" s="13">
        <v>2</v>
      </c>
      <c r="J698" s="14">
        <v>16.5</v>
      </c>
      <c r="K698" s="14">
        <f t="shared" si="15"/>
        <v>33</v>
      </c>
    </row>
    <row r="699" spans="4:11">
      <c r="D699" s="11">
        <v>46081</v>
      </c>
      <c r="E699" s="12">
        <v>1580942</v>
      </c>
      <c r="F699" s="12" t="s">
        <v>13</v>
      </c>
      <c r="G699" s="13">
        <v>20321252</v>
      </c>
      <c r="H699" s="12" t="s">
        <v>149</v>
      </c>
      <c r="I699" s="13">
        <v>1</v>
      </c>
      <c r="J699" s="14">
        <v>49.5</v>
      </c>
      <c r="K699" s="14">
        <f t="shared" si="15"/>
        <v>49.5</v>
      </c>
    </row>
    <row r="700" spans="4:11">
      <c r="D700" s="11">
        <v>46081</v>
      </c>
      <c r="E700" s="12">
        <v>1580942</v>
      </c>
      <c r="F700" s="12" t="s">
        <v>13</v>
      </c>
      <c r="G700" s="13">
        <v>20312995</v>
      </c>
      <c r="H700" s="12" t="s">
        <v>176</v>
      </c>
      <c r="I700" s="13">
        <v>1</v>
      </c>
      <c r="J700" s="14">
        <v>82.5</v>
      </c>
      <c r="K700" s="14">
        <f t="shared" si="15"/>
        <v>82.5</v>
      </c>
    </row>
    <row r="701" spans="4:11">
      <c r="D701" s="11">
        <v>46081</v>
      </c>
      <c r="E701" s="12">
        <v>1580942</v>
      </c>
      <c r="F701" s="12" t="s">
        <v>13</v>
      </c>
      <c r="G701" s="13">
        <v>20312966</v>
      </c>
      <c r="H701" s="12" t="s">
        <v>147</v>
      </c>
      <c r="I701" s="13">
        <v>4</v>
      </c>
      <c r="J701" s="14">
        <v>159.5</v>
      </c>
      <c r="K701" s="14">
        <f t="shared" si="15"/>
        <v>638</v>
      </c>
    </row>
    <row r="702" spans="4:11">
      <c r="D702" s="11">
        <v>46081</v>
      </c>
      <c r="E702" s="12">
        <v>1580942</v>
      </c>
      <c r="F702" s="12" t="s">
        <v>13</v>
      </c>
      <c r="G702" s="13">
        <v>20312965</v>
      </c>
      <c r="H702" s="12" t="s">
        <v>15</v>
      </c>
      <c r="I702" s="13">
        <v>2</v>
      </c>
      <c r="J702" s="14">
        <v>137.5</v>
      </c>
      <c r="K702" s="14">
        <f t="shared" si="15"/>
        <v>275</v>
      </c>
    </row>
    <row r="703" spans="4:11">
      <c r="D703" s="11">
        <v>46081</v>
      </c>
      <c r="E703" s="12">
        <v>1580942</v>
      </c>
      <c r="F703" s="12" t="s">
        <v>13</v>
      </c>
      <c r="G703" s="13">
        <v>20312967</v>
      </c>
      <c r="H703" s="12" t="s">
        <v>130</v>
      </c>
      <c r="I703" s="13">
        <v>2</v>
      </c>
      <c r="J703" s="14">
        <v>176</v>
      </c>
      <c r="K703" s="14">
        <f t="shared" si="15"/>
        <v>352</v>
      </c>
    </row>
    <row r="704" spans="4:11">
      <c r="D704" s="11">
        <v>46081</v>
      </c>
      <c r="E704" s="12">
        <v>1580942</v>
      </c>
      <c r="F704" s="12" t="s">
        <v>39</v>
      </c>
      <c r="G704" s="13">
        <v>20327255</v>
      </c>
      <c r="H704" s="12" t="s">
        <v>193</v>
      </c>
      <c r="I704" s="13">
        <v>1</v>
      </c>
      <c r="J704" s="14">
        <v>55</v>
      </c>
      <c r="K704" s="14">
        <f t="shared" si="15"/>
        <v>55</v>
      </c>
    </row>
    <row r="705" spans="4:11">
      <c r="D705" s="11">
        <v>46081</v>
      </c>
      <c r="E705" s="12">
        <v>1580942</v>
      </c>
      <c r="F705" s="12" t="s">
        <v>39</v>
      </c>
      <c r="G705" s="13">
        <v>20322150</v>
      </c>
      <c r="H705" s="12" t="s">
        <v>198</v>
      </c>
      <c r="I705" s="13">
        <v>2</v>
      </c>
      <c r="J705" s="14">
        <v>49.5</v>
      </c>
      <c r="K705" s="14">
        <f t="shared" si="15"/>
        <v>99</v>
      </c>
    </row>
    <row r="706" spans="4:11">
      <c r="D706" s="11">
        <v>46081</v>
      </c>
      <c r="E706" s="12">
        <v>1580942</v>
      </c>
      <c r="F706" s="12" t="s">
        <v>16</v>
      </c>
      <c r="G706" s="13">
        <v>20354360</v>
      </c>
      <c r="H706" s="12" t="s">
        <v>194</v>
      </c>
      <c r="I706" s="13">
        <v>1</v>
      </c>
      <c r="J706" s="14">
        <v>13.5</v>
      </c>
      <c r="K706" s="14">
        <f t="shared" si="15"/>
        <v>13.5</v>
      </c>
    </row>
    <row r="707" spans="4:11">
      <c r="D707" s="11">
        <v>46081</v>
      </c>
      <c r="E707" s="12">
        <v>1580942</v>
      </c>
      <c r="F707" s="12" t="s">
        <v>16</v>
      </c>
      <c r="G707" s="13">
        <v>20318395</v>
      </c>
      <c r="H707" s="12" t="s">
        <v>161</v>
      </c>
      <c r="I707" s="13">
        <v>2</v>
      </c>
      <c r="J707" s="14">
        <v>16.5</v>
      </c>
      <c r="K707" s="14">
        <f t="shared" si="15"/>
        <v>33</v>
      </c>
    </row>
    <row r="708" spans="4:11">
      <c r="D708" s="11">
        <v>46081</v>
      </c>
      <c r="E708" s="12">
        <v>1580942</v>
      </c>
      <c r="F708" s="12" t="s">
        <v>53</v>
      </c>
      <c r="G708" s="13">
        <v>20323503</v>
      </c>
      <c r="H708" s="12" t="s">
        <v>172</v>
      </c>
      <c r="I708" s="13">
        <v>1</v>
      </c>
      <c r="J708" s="14">
        <v>4</v>
      </c>
      <c r="K708" s="14">
        <f t="shared" si="15"/>
        <v>4</v>
      </c>
    </row>
    <row r="709" spans="4:11">
      <c r="D709" s="11">
        <v>46081</v>
      </c>
      <c r="E709" s="12">
        <v>1580942</v>
      </c>
      <c r="F709" s="12" t="s">
        <v>53</v>
      </c>
      <c r="G709" s="13">
        <v>20322243</v>
      </c>
      <c r="H709" s="12" t="s">
        <v>54</v>
      </c>
      <c r="I709" s="13">
        <v>2</v>
      </c>
      <c r="J709" s="14">
        <v>30</v>
      </c>
      <c r="K709" s="14">
        <f t="shared" si="15"/>
        <v>60</v>
      </c>
    </row>
    <row r="710" spans="4:11">
      <c r="D710" s="11">
        <v>46081</v>
      </c>
      <c r="E710" s="12">
        <v>1580942</v>
      </c>
      <c r="F710" s="12" t="s">
        <v>53</v>
      </c>
      <c r="G710" s="13">
        <v>20322304</v>
      </c>
      <c r="H710" s="12" t="s">
        <v>112</v>
      </c>
      <c r="I710" s="13">
        <v>4</v>
      </c>
      <c r="J710" s="14">
        <v>25</v>
      </c>
      <c r="K710" s="14">
        <f>J710*I710</f>
        <v>100</v>
      </c>
    </row>
    <row r="711" spans="4:11">
      <c r="D711" s="11">
        <v>46081</v>
      </c>
      <c r="E711" s="12">
        <v>1580942</v>
      </c>
      <c r="F711" s="12" t="s">
        <v>53</v>
      </c>
      <c r="G711" s="13">
        <v>20330757</v>
      </c>
      <c r="H711" s="12" t="s">
        <v>113</v>
      </c>
      <c r="I711" s="13">
        <v>5</v>
      </c>
      <c r="J711" s="14">
        <v>35</v>
      </c>
      <c r="K711" s="14">
        <f>J711*I711</f>
        <v>175</v>
      </c>
    </row>
    <row r="712" spans="4:11">
      <c r="D712" s="11">
        <v>46081</v>
      </c>
      <c r="E712" s="12">
        <v>1580942</v>
      </c>
      <c r="F712" s="12" t="s">
        <v>20</v>
      </c>
      <c r="G712" s="13">
        <v>20321257</v>
      </c>
      <c r="H712" s="12" t="s">
        <v>21</v>
      </c>
      <c r="I712" s="13">
        <v>14</v>
      </c>
      <c r="J712" s="14">
        <v>16.5</v>
      </c>
      <c r="K712" s="14">
        <f t="shared" ref="K712:K775" si="16">J712*I712</f>
        <v>231</v>
      </c>
    </row>
    <row r="713" spans="4:11">
      <c r="D713" s="11">
        <v>46081</v>
      </c>
      <c r="E713" s="12">
        <v>1580942</v>
      </c>
      <c r="F713" s="12" t="s">
        <v>20</v>
      </c>
      <c r="G713" s="13">
        <v>20014824</v>
      </c>
      <c r="H713" s="12" t="s">
        <v>68</v>
      </c>
      <c r="I713" s="13">
        <v>1</v>
      </c>
      <c r="J713" s="14">
        <v>16.5</v>
      </c>
      <c r="K713" s="14">
        <f t="shared" si="16"/>
        <v>16.5</v>
      </c>
    </row>
    <row r="714" spans="4:11">
      <c r="D714" s="11">
        <v>46081</v>
      </c>
      <c r="E714" s="12">
        <v>1580942</v>
      </c>
      <c r="F714" s="12" t="s">
        <v>20</v>
      </c>
      <c r="G714" s="13">
        <v>20318380</v>
      </c>
      <c r="H714" s="12" t="s">
        <v>143</v>
      </c>
      <c r="I714" s="13">
        <v>3</v>
      </c>
      <c r="J714" s="14">
        <v>16.5</v>
      </c>
      <c r="K714" s="14">
        <f t="shared" si="16"/>
        <v>49.5</v>
      </c>
    </row>
    <row r="715" spans="4:11">
      <c r="D715" s="11">
        <v>46081</v>
      </c>
      <c r="E715" s="12">
        <v>1580942</v>
      </c>
      <c r="F715" s="12" t="s">
        <v>20</v>
      </c>
      <c r="G715" s="13">
        <v>20374808</v>
      </c>
      <c r="H715" s="12" t="s">
        <v>173</v>
      </c>
      <c r="I715" s="13">
        <v>1</v>
      </c>
      <c r="J715" s="14">
        <v>16.5</v>
      </c>
      <c r="K715" s="14">
        <f t="shared" si="16"/>
        <v>16.5</v>
      </c>
    </row>
    <row r="716" spans="4:11">
      <c r="D716" s="11">
        <v>46081</v>
      </c>
      <c r="E716" s="12">
        <v>1580942</v>
      </c>
      <c r="F716" s="12" t="s">
        <v>20</v>
      </c>
      <c r="G716" s="13">
        <v>20321250</v>
      </c>
      <c r="H716" s="12" t="s">
        <v>157</v>
      </c>
      <c r="I716" s="13">
        <v>2</v>
      </c>
      <c r="J716" s="14">
        <v>16.5</v>
      </c>
      <c r="K716" s="14">
        <f t="shared" si="16"/>
        <v>33</v>
      </c>
    </row>
    <row r="717" spans="4:11">
      <c r="D717" s="11">
        <v>46081</v>
      </c>
      <c r="E717" s="12">
        <v>1580942</v>
      </c>
      <c r="F717" s="12" t="s">
        <v>20</v>
      </c>
      <c r="G717" s="13">
        <v>20318336</v>
      </c>
      <c r="H717" s="12" t="s">
        <v>137</v>
      </c>
      <c r="I717" s="13">
        <v>2</v>
      </c>
      <c r="J717" s="14">
        <v>16.5</v>
      </c>
      <c r="K717" s="14">
        <f t="shared" si="16"/>
        <v>33</v>
      </c>
    </row>
    <row r="718" spans="4:11">
      <c r="D718" s="11">
        <v>46081</v>
      </c>
      <c r="E718" s="12">
        <v>1580942</v>
      </c>
      <c r="F718" s="12" t="s">
        <v>20</v>
      </c>
      <c r="G718" s="13">
        <v>20318393</v>
      </c>
      <c r="H718" s="12" t="s">
        <v>26</v>
      </c>
      <c r="I718" s="13">
        <v>2</v>
      </c>
      <c r="J718" s="14">
        <v>16.5</v>
      </c>
      <c r="K718" s="14">
        <f t="shared" si="16"/>
        <v>33</v>
      </c>
    </row>
    <row r="719" spans="4:11">
      <c r="D719" s="11">
        <v>46081</v>
      </c>
      <c r="E719" s="12">
        <v>1580955</v>
      </c>
      <c r="F719" s="12" t="s">
        <v>13</v>
      </c>
      <c r="G719" s="13">
        <v>20312966</v>
      </c>
      <c r="H719" s="12" t="s">
        <v>147</v>
      </c>
      <c r="I719" s="13">
        <v>6</v>
      </c>
      <c r="J719" s="14">
        <v>159.5</v>
      </c>
      <c r="K719" s="14">
        <f t="shared" si="16"/>
        <v>957</v>
      </c>
    </row>
    <row r="720" spans="4:11">
      <c r="D720" s="11">
        <v>46081</v>
      </c>
      <c r="E720" s="12">
        <v>1580955</v>
      </c>
      <c r="F720" s="12" t="s">
        <v>13</v>
      </c>
      <c r="G720" s="13">
        <v>20312965</v>
      </c>
      <c r="H720" s="12" t="s">
        <v>15</v>
      </c>
      <c r="I720" s="13">
        <v>3</v>
      </c>
      <c r="J720" s="14">
        <v>137.5</v>
      </c>
      <c r="K720" s="14">
        <f t="shared" si="16"/>
        <v>412.5</v>
      </c>
    </row>
    <row r="721" spans="4:11">
      <c r="D721" s="11">
        <v>46081</v>
      </c>
      <c r="E721" s="12">
        <v>1580955</v>
      </c>
      <c r="F721" s="12" t="s">
        <v>13</v>
      </c>
      <c r="G721" s="13">
        <v>20312967</v>
      </c>
      <c r="H721" s="12" t="s">
        <v>130</v>
      </c>
      <c r="I721" s="13">
        <v>4</v>
      </c>
      <c r="J721" s="14">
        <v>176</v>
      </c>
      <c r="K721" s="14">
        <f t="shared" si="16"/>
        <v>704</v>
      </c>
    </row>
    <row r="722" spans="4:11">
      <c r="D722" s="11">
        <v>46081</v>
      </c>
      <c r="E722" s="12">
        <v>1580955</v>
      </c>
      <c r="F722" s="12" t="s">
        <v>39</v>
      </c>
      <c r="G722" s="13">
        <v>20322150</v>
      </c>
      <c r="H722" s="12" t="s">
        <v>198</v>
      </c>
      <c r="I722" s="13">
        <v>1</v>
      </c>
      <c r="J722" s="14">
        <v>49.5</v>
      </c>
      <c r="K722" s="14">
        <f t="shared" si="16"/>
        <v>49.5</v>
      </c>
    </row>
    <row r="723" spans="4:11">
      <c r="D723" s="11">
        <v>46081</v>
      </c>
      <c r="E723" s="12">
        <v>1580955</v>
      </c>
      <c r="F723" s="12" t="s">
        <v>16</v>
      </c>
      <c r="G723" s="13">
        <v>20318363</v>
      </c>
      <c r="H723" s="12" t="s">
        <v>156</v>
      </c>
      <c r="I723" s="13">
        <v>1</v>
      </c>
      <c r="J723" s="14">
        <v>8</v>
      </c>
      <c r="K723" s="14">
        <f t="shared" si="16"/>
        <v>8</v>
      </c>
    </row>
    <row r="724" spans="4:11">
      <c r="D724" s="11">
        <v>46081</v>
      </c>
      <c r="E724" s="12">
        <v>1580955</v>
      </c>
      <c r="F724" s="12" t="s">
        <v>30</v>
      </c>
      <c r="G724" s="13">
        <v>20340286</v>
      </c>
      <c r="H724" s="12" t="s">
        <v>168</v>
      </c>
      <c r="I724" s="13">
        <v>1</v>
      </c>
      <c r="J724" s="14">
        <v>55</v>
      </c>
      <c r="K724" s="14">
        <f t="shared" si="16"/>
        <v>55</v>
      </c>
    </row>
    <row r="725" spans="4:11">
      <c r="D725" s="11">
        <v>46081</v>
      </c>
      <c r="E725" s="12">
        <v>1580955</v>
      </c>
      <c r="F725" s="12" t="s">
        <v>20</v>
      </c>
      <c r="G725" s="13">
        <v>20318334</v>
      </c>
      <c r="H725" s="12" t="s">
        <v>175</v>
      </c>
      <c r="I725" s="13">
        <v>1</v>
      </c>
      <c r="J725" s="14">
        <v>16.5</v>
      </c>
      <c r="K725" s="14">
        <f t="shared" si="16"/>
        <v>16.5</v>
      </c>
    </row>
    <row r="726" spans="4:11">
      <c r="D726" s="11">
        <v>46081</v>
      </c>
      <c r="E726" s="12">
        <v>1580997</v>
      </c>
      <c r="F726" s="12" t="s">
        <v>13</v>
      </c>
      <c r="G726" s="13">
        <v>20312966</v>
      </c>
      <c r="H726" s="12" t="s">
        <v>147</v>
      </c>
      <c r="I726" s="13">
        <v>1</v>
      </c>
      <c r="J726" s="14">
        <v>159.5</v>
      </c>
      <c r="K726" s="14">
        <f t="shared" si="16"/>
        <v>159.5</v>
      </c>
    </row>
    <row r="727" spans="4:11">
      <c r="D727" s="11">
        <v>46081</v>
      </c>
      <c r="E727" s="12">
        <v>1580997</v>
      </c>
      <c r="F727" s="12" t="s">
        <v>13</v>
      </c>
      <c r="G727" s="13">
        <v>20312967</v>
      </c>
      <c r="H727" s="12" t="s">
        <v>130</v>
      </c>
      <c r="I727" s="13">
        <v>1</v>
      </c>
      <c r="J727" s="14">
        <v>176</v>
      </c>
      <c r="K727" s="14">
        <f t="shared" si="16"/>
        <v>176</v>
      </c>
    </row>
    <row r="728" spans="4:11">
      <c r="D728" s="11">
        <v>46081</v>
      </c>
      <c r="E728" s="12">
        <v>1581026</v>
      </c>
      <c r="F728" s="12" t="s">
        <v>13</v>
      </c>
      <c r="G728" s="13">
        <v>20312966</v>
      </c>
      <c r="H728" s="12" t="s">
        <v>147</v>
      </c>
      <c r="I728" s="13">
        <v>3</v>
      </c>
      <c r="J728" s="14">
        <v>159.5</v>
      </c>
      <c r="K728" s="14">
        <f t="shared" si="16"/>
        <v>478.5</v>
      </c>
    </row>
    <row r="729" spans="4:11">
      <c r="D729" s="11">
        <v>46081</v>
      </c>
      <c r="E729" s="12">
        <v>1581026</v>
      </c>
      <c r="F729" s="12" t="s">
        <v>13</v>
      </c>
      <c r="G729" s="13">
        <v>20312965</v>
      </c>
      <c r="H729" s="12" t="s">
        <v>15</v>
      </c>
      <c r="I729" s="13">
        <v>1</v>
      </c>
      <c r="J729" s="14">
        <v>137.5</v>
      </c>
      <c r="K729" s="14">
        <f t="shared" si="16"/>
        <v>137.5</v>
      </c>
    </row>
    <row r="730" spans="4:11">
      <c r="D730" s="11">
        <v>46081</v>
      </c>
      <c r="E730" s="12">
        <v>1581026</v>
      </c>
      <c r="F730" s="12" t="s">
        <v>13</v>
      </c>
      <c r="G730" s="13">
        <v>20312967</v>
      </c>
      <c r="H730" s="12" t="s">
        <v>130</v>
      </c>
      <c r="I730" s="13">
        <v>8</v>
      </c>
      <c r="J730" s="14">
        <v>176</v>
      </c>
      <c r="K730" s="14">
        <f t="shared" si="16"/>
        <v>1408</v>
      </c>
    </row>
    <row r="731" spans="4:11">
      <c r="D731" s="11">
        <v>46081</v>
      </c>
      <c r="E731" s="12">
        <v>1581026</v>
      </c>
      <c r="F731" s="12" t="s">
        <v>39</v>
      </c>
      <c r="G731" s="13">
        <v>20410992</v>
      </c>
      <c r="H731" s="12" t="s">
        <v>199</v>
      </c>
      <c r="I731" s="13">
        <v>1</v>
      </c>
      <c r="J731" s="14">
        <v>49.5</v>
      </c>
      <c r="K731" s="14">
        <f t="shared" si="16"/>
        <v>49.5</v>
      </c>
    </row>
    <row r="732" ht="25.5" spans="4:11">
      <c r="D732" s="11">
        <v>46081</v>
      </c>
      <c r="E732" s="12">
        <v>1581026</v>
      </c>
      <c r="F732" s="12" t="s">
        <v>16</v>
      </c>
      <c r="G732" s="13">
        <v>20341579</v>
      </c>
      <c r="H732" s="12" t="s">
        <v>206</v>
      </c>
      <c r="I732" s="13">
        <v>1</v>
      </c>
      <c r="J732" s="14">
        <v>16.5</v>
      </c>
      <c r="K732" s="14">
        <f t="shared" si="16"/>
        <v>16.5</v>
      </c>
    </row>
    <row r="733" spans="4:11">
      <c r="D733" s="11">
        <v>46081</v>
      </c>
      <c r="E733" s="12">
        <v>1581026</v>
      </c>
      <c r="F733" s="12" t="s">
        <v>20</v>
      </c>
      <c r="G733" s="13">
        <v>20318334</v>
      </c>
      <c r="H733" s="12" t="s">
        <v>175</v>
      </c>
      <c r="I733" s="13">
        <v>1</v>
      </c>
      <c r="J733" s="14">
        <v>16.5</v>
      </c>
      <c r="K733" s="14">
        <f t="shared" si="16"/>
        <v>16.5</v>
      </c>
    </row>
    <row r="734" spans="4:11">
      <c r="D734" s="11">
        <v>46081</v>
      </c>
      <c r="E734" s="12">
        <v>1581026</v>
      </c>
      <c r="F734" s="12" t="s">
        <v>20</v>
      </c>
      <c r="G734" s="13">
        <v>20318378</v>
      </c>
      <c r="H734" s="12" t="s">
        <v>128</v>
      </c>
      <c r="I734" s="13">
        <v>1</v>
      </c>
      <c r="J734" s="14">
        <v>16.5</v>
      </c>
      <c r="K734" s="14">
        <f t="shared" si="16"/>
        <v>16.5</v>
      </c>
    </row>
    <row r="735" spans="4:11">
      <c r="D735" s="11">
        <v>46081</v>
      </c>
      <c r="E735" s="12">
        <v>1581026</v>
      </c>
      <c r="F735" s="12" t="s">
        <v>20</v>
      </c>
      <c r="G735" s="13">
        <v>20321250</v>
      </c>
      <c r="H735" s="12" t="s">
        <v>157</v>
      </c>
      <c r="I735" s="13">
        <v>3</v>
      </c>
      <c r="J735" s="14">
        <v>16.5</v>
      </c>
      <c r="K735" s="14">
        <f t="shared" si="16"/>
        <v>49.5</v>
      </c>
    </row>
    <row r="736" spans="4:11">
      <c r="D736" s="11">
        <v>46081</v>
      </c>
      <c r="E736" s="12">
        <v>1581026</v>
      </c>
      <c r="F736" s="12" t="s">
        <v>20</v>
      </c>
      <c r="G736" s="13">
        <v>20340289</v>
      </c>
      <c r="H736" s="12" t="s">
        <v>145</v>
      </c>
      <c r="I736" s="13">
        <v>1</v>
      </c>
      <c r="J736" s="14">
        <v>16.5</v>
      </c>
      <c r="K736" s="14">
        <f t="shared" si="16"/>
        <v>16.5</v>
      </c>
    </row>
    <row r="737" spans="4:11">
      <c r="D737" s="11">
        <v>46081</v>
      </c>
      <c r="E737" s="12">
        <v>1581026</v>
      </c>
      <c r="F737" s="12" t="s">
        <v>20</v>
      </c>
      <c r="G737" s="13">
        <v>20383164</v>
      </c>
      <c r="H737" s="12" t="s">
        <v>151</v>
      </c>
      <c r="I737" s="13">
        <v>1</v>
      </c>
      <c r="J737" s="14">
        <v>22</v>
      </c>
      <c r="K737" s="14">
        <f t="shared" si="16"/>
        <v>22</v>
      </c>
    </row>
    <row r="738" spans="4:11">
      <c r="D738" s="11">
        <v>46081</v>
      </c>
      <c r="E738" s="12">
        <v>1581026</v>
      </c>
      <c r="F738" s="12" t="s">
        <v>20</v>
      </c>
      <c r="G738" s="13">
        <v>20318336</v>
      </c>
      <c r="H738" s="12" t="s">
        <v>137</v>
      </c>
      <c r="I738" s="13">
        <v>5</v>
      </c>
      <c r="J738" s="14">
        <v>16.5</v>
      </c>
      <c r="K738" s="14">
        <f t="shared" si="16"/>
        <v>82.5</v>
      </c>
    </row>
    <row r="739" spans="4:11">
      <c r="D739" s="11">
        <v>46081</v>
      </c>
      <c r="E739" s="12">
        <v>1581026</v>
      </c>
      <c r="F739" s="12" t="s">
        <v>20</v>
      </c>
      <c r="G739" s="13">
        <v>20318342</v>
      </c>
      <c r="H739" s="12" t="s">
        <v>115</v>
      </c>
      <c r="I739" s="13">
        <v>1</v>
      </c>
      <c r="J739" s="14">
        <v>16.5</v>
      </c>
      <c r="K739" s="14">
        <f t="shared" si="16"/>
        <v>16.5</v>
      </c>
    </row>
    <row r="740" spans="4:11">
      <c r="D740" s="11">
        <v>46081</v>
      </c>
      <c r="E740" s="12">
        <v>1581064</v>
      </c>
      <c r="F740" s="12" t="s">
        <v>30</v>
      </c>
      <c r="G740" s="13">
        <v>20340286</v>
      </c>
      <c r="H740" s="12" t="s">
        <v>168</v>
      </c>
      <c r="I740" s="13">
        <v>1</v>
      </c>
      <c r="J740" s="14">
        <v>55</v>
      </c>
      <c r="K740" s="14">
        <f t="shared" si="16"/>
        <v>55</v>
      </c>
    </row>
    <row r="741" spans="4:11">
      <c r="D741" s="11">
        <v>46081</v>
      </c>
      <c r="E741" s="12">
        <v>1581064</v>
      </c>
      <c r="F741" s="12" t="s">
        <v>20</v>
      </c>
      <c r="G741" s="13">
        <v>20321257</v>
      </c>
      <c r="H741" s="12" t="s">
        <v>21</v>
      </c>
      <c r="I741" s="13">
        <v>1</v>
      </c>
      <c r="J741" s="14">
        <v>16.5</v>
      </c>
      <c r="K741" s="14">
        <f t="shared" si="16"/>
        <v>16.5</v>
      </c>
    </row>
    <row r="742" spans="4:11">
      <c r="D742" s="11">
        <v>46081</v>
      </c>
      <c r="E742" s="12">
        <v>1581064</v>
      </c>
      <c r="F742" s="12" t="s">
        <v>20</v>
      </c>
      <c r="G742" s="13">
        <v>20318334</v>
      </c>
      <c r="H742" s="12" t="s">
        <v>175</v>
      </c>
      <c r="I742" s="13">
        <v>1</v>
      </c>
      <c r="J742" s="14">
        <v>16.5</v>
      </c>
      <c r="K742" s="14">
        <f t="shared" si="16"/>
        <v>16.5</v>
      </c>
    </row>
    <row r="743" spans="4:11">
      <c r="D743" s="11">
        <v>46081</v>
      </c>
      <c r="E743" s="12">
        <v>1581098</v>
      </c>
      <c r="F743" s="12" t="s">
        <v>13</v>
      </c>
      <c r="G743" s="13">
        <v>20366734</v>
      </c>
      <c r="H743" s="12" t="s">
        <v>191</v>
      </c>
      <c r="I743" s="13">
        <v>1</v>
      </c>
      <c r="J743" s="14">
        <v>275</v>
      </c>
      <c r="K743" s="14">
        <f t="shared" si="16"/>
        <v>275</v>
      </c>
    </row>
    <row r="744" spans="4:11">
      <c r="D744" s="11">
        <v>46081</v>
      </c>
      <c r="E744" s="12">
        <v>1581103</v>
      </c>
      <c r="F744" s="12" t="s">
        <v>13</v>
      </c>
      <c r="G744" s="13">
        <v>20380117</v>
      </c>
      <c r="H744" s="12" t="s">
        <v>165</v>
      </c>
      <c r="I744" s="13">
        <v>1</v>
      </c>
      <c r="J744" s="14">
        <v>49.5</v>
      </c>
      <c r="K744" s="14">
        <f t="shared" si="16"/>
        <v>49.5</v>
      </c>
    </row>
    <row r="745" spans="4:11">
      <c r="D745" s="11">
        <v>46081</v>
      </c>
      <c r="E745" s="12">
        <v>1581103</v>
      </c>
      <c r="F745" s="12" t="s">
        <v>13</v>
      </c>
      <c r="G745" s="13">
        <v>20318372</v>
      </c>
      <c r="H745" s="12" t="s">
        <v>207</v>
      </c>
      <c r="I745" s="13">
        <v>1</v>
      </c>
      <c r="J745" s="14">
        <v>286</v>
      </c>
      <c r="K745" s="14">
        <f t="shared" si="16"/>
        <v>286</v>
      </c>
    </row>
    <row r="746" spans="4:11">
      <c r="D746" s="11">
        <v>46081</v>
      </c>
      <c r="E746" s="12">
        <v>1581103</v>
      </c>
      <c r="F746" s="12" t="s">
        <v>13</v>
      </c>
      <c r="G746" s="13">
        <v>20312966</v>
      </c>
      <c r="H746" s="12" t="s">
        <v>147</v>
      </c>
      <c r="I746" s="13">
        <v>2</v>
      </c>
      <c r="J746" s="14">
        <v>159.5</v>
      </c>
      <c r="K746" s="14">
        <f t="shared" si="16"/>
        <v>319</v>
      </c>
    </row>
    <row r="747" spans="4:11">
      <c r="D747" s="11">
        <v>46081</v>
      </c>
      <c r="E747" s="12">
        <v>1581103</v>
      </c>
      <c r="F747" s="12" t="s">
        <v>13</v>
      </c>
      <c r="G747" s="13">
        <v>20312965</v>
      </c>
      <c r="H747" s="12" t="s">
        <v>15</v>
      </c>
      <c r="I747" s="13">
        <v>3</v>
      </c>
      <c r="J747" s="14">
        <v>137.5</v>
      </c>
      <c r="K747" s="14">
        <f t="shared" si="16"/>
        <v>412.5</v>
      </c>
    </row>
    <row r="748" spans="4:11">
      <c r="D748" s="11">
        <v>46081</v>
      </c>
      <c r="E748" s="12">
        <v>1581103</v>
      </c>
      <c r="F748" s="12" t="s">
        <v>13</v>
      </c>
      <c r="G748" s="13">
        <v>20312967</v>
      </c>
      <c r="H748" s="12" t="s">
        <v>130</v>
      </c>
      <c r="I748" s="13">
        <v>7</v>
      </c>
      <c r="J748" s="14">
        <v>176</v>
      </c>
      <c r="K748" s="14">
        <f t="shared" si="16"/>
        <v>1232</v>
      </c>
    </row>
    <row r="749" spans="4:11">
      <c r="D749" s="11">
        <v>46081</v>
      </c>
      <c r="E749" s="12">
        <v>1581103</v>
      </c>
      <c r="F749" s="12" t="s">
        <v>53</v>
      </c>
      <c r="G749" s="13">
        <v>20322235</v>
      </c>
      <c r="H749" s="12" t="s">
        <v>81</v>
      </c>
      <c r="I749" s="13">
        <v>22</v>
      </c>
      <c r="J749" s="14">
        <v>2.5</v>
      </c>
      <c r="K749" s="14">
        <f t="shared" si="16"/>
        <v>55</v>
      </c>
    </row>
    <row r="750" spans="4:11">
      <c r="D750" s="11">
        <v>46081</v>
      </c>
      <c r="E750" s="12">
        <v>1581103</v>
      </c>
      <c r="F750" s="12" t="s">
        <v>53</v>
      </c>
      <c r="G750" s="13">
        <v>20322243</v>
      </c>
      <c r="H750" s="12" t="s">
        <v>54</v>
      </c>
      <c r="I750" s="13">
        <v>1</v>
      </c>
      <c r="J750" s="14">
        <v>30</v>
      </c>
      <c r="K750" s="14">
        <f t="shared" si="16"/>
        <v>30</v>
      </c>
    </row>
    <row r="751" spans="4:11">
      <c r="D751" s="11">
        <v>46081</v>
      </c>
      <c r="E751" s="12">
        <v>1581103</v>
      </c>
      <c r="F751" s="12" t="s">
        <v>53</v>
      </c>
      <c r="G751" s="13">
        <v>20322234</v>
      </c>
      <c r="H751" s="12" t="s">
        <v>141</v>
      </c>
      <c r="I751" s="13">
        <v>7</v>
      </c>
      <c r="J751" s="14">
        <v>2.5</v>
      </c>
      <c r="K751" s="14">
        <f t="shared" si="16"/>
        <v>17.5</v>
      </c>
    </row>
    <row r="752" spans="4:11">
      <c r="D752" s="11">
        <v>46081</v>
      </c>
      <c r="E752" s="12">
        <v>1581103</v>
      </c>
      <c r="F752" s="12" t="s">
        <v>53</v>
      </c>
      <c r="G752" s="13">
        <v>20330757</v>
      </c>
      <c r="H752" s="12" t="s">
        <v>113</v>
      </c>
      <c r="I752" s="13">
        <v>6</v>
      </c>
      <c r="J752" s="14">
        <v>35</v>
      </c>
      <c r="K752" s="14">
        <f t="shared" si="16"/>
        <v>210</v>
      </c>
    </row>
    <row r="753" spans="4:11">
      <c r="D753" s="11">
        <v>46081</v>
      </c>
      <c r="E753" s="12">
        <v>1581103</v>
      </c>
      <c r="F753" s="12" t="s">
        <v>20</v>
      </c>
      <c r="G753" s="13">
        <v>20321257</v>
      </c>
      <c r="H753" s="12" t="s">
        <v>21</v>
      </c>
      <c r="I753" s="13">
        <v>3</v>
      </c>
      <c r="J753" s="14">
        <v>16.5</v>
      </c>
      <c r="K753" s="14">
        <f t="shared" si="16"/>
        <v>49.5</v>
      </c>
    </row>
    <row r="754" spans="4:11">
      <c r="D754" s="11">
        <v>46081</v>
      </c>
      <c r="E754" s="12">
        <v>1581103</v>
      </c>
      <c r="F754" s="12" t="s">
        <v>20</v>
      </c>
      <c r="G754" s="13">
        <v>20318334</v>
      </c>
      <c r="H754" s="12" t="s">
        <v>175</v>
      </c>
      <c r="I754" s="13">
        <v>1</v>
      </c>
      <c r="J754" s="14">
        <v>16.5</v>
      </c>
      <c r="K754" s="14">
        <f t="shared" si="16"/>
        <v>16.5</v>
      </c>
    </row>
    <row r="755" spans="4:11">
      <c r="D755" s="11">
        <v>46081</v>
      </c>
      <c r="E755" s="12">
        <v>1581103</v>
      </c>
      <c r="F755" s="12" t="s">
        <v>20</v>
      </c>
      <c r="G755" s="13">
        <v>20335601</v>
      </c>
      <c r="H755" s="12" t="s">
        <v>208</v>
      </c>
      <c r="I755" s="13">
        <v>1</v>
      </c>
      <c r="J755" s="14">
        <v>16.5</v>
      </c>
      <c r="K755" s="14">
        <f t="shared" si="16"/>
        <v>16.5</v>
      </c>
    </row>
    <row r="756" spans="4:11">
      <c r="D756" s="11">
        <v>46081</v>
      </c>
      <c r="E756" s="12">
        <v>1581103</v>
      </c>
      <c r="F756" s="12" t="s">
        <v>20</v>
      </c>
      <c r="G756" s="13">
        <v>20014824</v>
      </c>
      <c r="H756" s="12" t="s">
        <v>68</v>
      </c>
      <c r="I756" s="13">
        <v>1</v>
      </c>
      <c r="J756" s="14">
        <v>16.5</v>
      </c>
      <c r="K756" s="14">
        <f t="shared" si="16"/>
        <v>16.5</v>
      </c>
    </row>
    <row r="757" spans="4:11">
      <c r="D757" s="11">
        <v>46081</v>
      </c>
      <c r="E757" s="12">
        <v>1581103</v>
      </c>
      <c r="F757" s="12" t="s">
        <v>20</v>
      </c>
      <c r="G757" s="13">
        <v>20369096</v>
      </c>
      <c r="H757" s="12" t="s">
        <v>182</v>
      </c>
      <c r="I757" s="13">
        <v>1</v>
      </c>
      <c r="J757" s="14">
        <v>16.5</v>
      </c>
      <c r="K757" s="14">
        <f t="shared" si="16"/>
        <v>16.5</v>
      </c>
    </row>
    <row r="758" spans="4:11">
      <c r="D758" s="11">
        <v>46081</v>
      </c>
      <c r="E758" s="12">
        <v>1581103</v>
      </c>
      <c r="F758" s="12" t="s">
        <v>20</v>
      </c>
      <c r="G758" s="13">
        <v>20343399</v>
      </c>
      <c r="H758" s="12" t="s">
        <v>153</v>
      </c>
      <c r="I758" s="13">
        <v>1</v>
      </c>
      <c r="J758" s="14">
        <v>33</v>
      </c>
      <c r="K758" s="14">
        <f t="shared" si="16"/>
        <v>33</v>
      </c>
    </row>
    <row r="759" spans="4:11">
      <c r="D759" s="11">
        <v>46081</v>
      </c>
      <c r="E759" s="12">
        <v>1581103</v>
      </c>
      <c r="F759" s="12" t="s">
        <v>20</v>
      </c>
      <c r="G759" s="13">
        <v>20321250</v>
      </c>
      <c r="H759" s="12" t="s">
        <v>157</v>
      </c>
      <c r="I759" s="13">
        <v>1</v>
      </c>
      <c r="J759" s="14">
        <v>16.5</v>
      </c>
      <c r="K759" s="14">
        <f t="shared" si="16"/>
        <v>16.5</v>
      </c>
    </row>
    <row r="760" spans="4:11">
      <c r="D760" s="11">
        <v>46081</v>
      </c>
      <c r="E760" s="12">
        <v>1581103</v>
      </c>
      <c r="F760" s="12" t="s">
        <v>20</v>
      </c>
      <c r="G760" s="13">
        <v>20340289</v>
      </c>
      <c r="H760" s="12" t="s">
        <v>145</v>
      </c>
      <c r="I760" s="13">
        <v>1</v>
      </c>
      <c r="J760" s="14">
        <v>16.5</v>
      </c>
      <c r="K760" s="14">
        <f t="shared" si="16"/>
        <v>16.5</v>
      </c>
    </row>
    <row r="761" spans="4:11">
      <c r="D761" s="11">
        <v>46081</v>
      </c>
      <c r="E761" s="12">
        <v>1581103</v>
      </c>
      <c r="F761" s="12" t="s">
        <v>20</v>
      </c>
      <c r="G761" s="13">
        <v>20318336</v>
      </c>
      <c r="H761" s="12" t="s">
        <v>137</v>
      </c>
      <c r="I761" s="13">
        <v>1</v>
      </c>
      <c r="J761" s="14">
        <v>16.5</v>
      </c>
      <c r="K761" s="14">
        <f t="shared" si="16"/>
        <v>16.5</v>
      </c>
    </row>
    <row r="762" spans="4:11">
      <c r="D762" s="11">
        <v>46081</v>
      </c>
      <c r="E762" s="12">
        <v>1581114</v>
      </c>
      <c r="F762" s="12" t="s">
        <v>13</v>
      </c>
      <c r="G762" s="13">
        <v>20321476</v>
      </c>
      <c r="H762" s="12" t="s">
        <v>148</v>
      </c>
      <c r="I762" s="13">
        <v>1</v>
      </c>
      <c r="J762" s="14">
        <v>55</v>
      </c>
      <c r="K762" s="14">
        <f t="shared" si="16"/>
        <v>55</v>
      </c>
    </row>
    <row r="763" spans="4:11">
      <c r="D763" s="11">
        <v>46081</v>
      </c>
      <c r="E763" s="12">
        <v>1581114</v>
      </c>
      <c r="F763" s="12" t="s">
        <v>13</v>
      </c>
      <c r="G763" s="13">
        <v>20312966</v>
      </c>
      <c r="H763" s="12" t="s">
        <v>147</v>
      </c>
      <c r="I763" s="13">
        <v>1</v>
      </c>
      <c r="J763" s="14">
        <v>159.5</v>
      </c>
      <c r="K763" s="14">
        <f t="shared" si="16"/>
        <v>159.5</v>
      </c>
    </row>
    <row r="764" spans="4:11">
      <c r="D764" s="11">
        <v>46081</v>
      </c>
      <c r="E764" s="12">
        <v>1581114</v>
      </c>
      <c r="F764" s="12" t="s">
        <v>13</v>
      </c>
      <c r="G764" s="13">
        <v>20312965</v>
      </c>
      <c r="H764" s="12" t="s">
        <v>15</v>
      </c>
      <c r="I764" s="13">
        <v>3</v>
      </c>
      <c r="J764" s="14">
        <v>137.5</v>
      </c>
      <c r="K764" s="14">
        <f t="shared" si="16"/>
        <v>412.5</v>
      </c>
    </row>
    <row r="765" spans="4:11">
      <c r="D765" s="11">
        <v>46081</v>
      </c>
      <c r="E765" s="12">
        <v>1581114</v>
      </c>
      <c r="F765" s="12" t="s">
        <v>13</v>
      </c>
      <c r="G765" s="13">
        <v>20312967</v>
      </c>
      <c r="H765" s="12" t="s">
        <v>130</v>
      </c>
      <c r="I765" s="13">
        <v>4</v>
      </c>
      <c r="J765" s="14">
        <v>176</v>
      </c>
      <c r="K765" s="14">
        <f t="shared" si="16"/>
        <v>704</v>
      </c>
    </row>
    <row r="766" spans="4:11">
      <c r="D766" s="11">
        <v>46081</v>
      </c>
      <c r="E766" s="12">
        <v>1581114</v>
      </c>
      <c r="F766" s="12" t="s">
        <v>30</v>
      </c>
      <c r="G766" s="13">
        <v>20366063</v>
      </c>
      <c r="H766" s="12" t="s">
        <v>197</v>
      </c>
      <c r="I766" s="13">
        <v>1</v>
      </c>
      <c r="J766" s="14">
        <v>66</v>
      </c>
      <c r="K766" s="14">
        <f t="shared" si="16"/>
        <v>66</v>
      </c>
    </row>
    <row r="767" spans="4:11">
      <c r="D767" s="11">
        <v>46081</v>
      </c>
      <c r="E767" s="12">
        <v>1581114</v>
      </c>
      <c r="F767" s="12" t="s">
        <v>20</v>
      </c>
      <c r="G767" s="13">
        <v>20321257</v>
      </c>
      <c r="H767" s="12" t="s">
        <v>21</v>
      </c>
      <c r="I767" s="13">
        <v>6</v>
      </c>
      <c r="J767" s="14">
        <v>16.5</v>
      </c>
      <c r="K767" s="14">
        <f t="shared" si="16"/>
        <v>99</v>
      </c>
    </row>
    <row r="768" spans="4:11">
      <c r="D768" s="11">
        <v>46081</v>
      </c>
      <c r="E768" s="12">
        <v>1581114</v>
      </c>
      <c r="F768" s="12" t="s">
        <v>20</v>
      </c>
      <c r="G768" s="13">
        <v>20318334</v>
      </c>
      <c r="H768" s="12" t="s">
        <v>175</v>
      </c>
      <c r="I768" s="13">
        <v>1</v>
      </c>
      <c r="J768" s="14">
        <v>16.5</v>
      </c>
      <c r="K768" s="14">
        <f t="shared" si="16"/>
        <v>16.5</v>
      </c>
    </row>
    <row r="769" spans="4:11">
      <c r="D769" s="11">
        <v>46081</v>
      </c>
      <c r="E769" s="12">
        <v>1581114</v>
      </c>
      <c r="F769" s="12" t="s">
        <v>20</v>
      </c>
      <c r="G769" s="13">
        <v>20318375</v>
      </c>
      <c r="H769" s="12" t="s">
        <v>67</v>
      </c>
      <c r="I769" s="13">
        <v>1</v>
      </c>
      <c r="J769" s="14">
        <v>16.5</v>
      </c>
      <c r="K769" s="14">
        <f t="shared" si="16"/>
        <v>16.5</v>
      </c>
    </row>
    <row r="770" spans="4:11">
      <c r="D770" s="11">
        <v>46081</v>
      </c>
      <c r="E770" s="12">
        <v>1581114</v>
      </c>
      <c r="F770" s="12" t="s">
        <v>20</v>
      </c>
      <c r="G770" s="13">
        <v>20321250</v>
      </c>
      <c r="H770" s="12" t="s">
        <v>157</v>
      </c>
      <c r="I770" s="13">
        <v>1</v>
      </c>
      <c r="J770" s="14">
        <v>16.5</v>
      </c>
      <c r="K770" s="14">
        <f t="shared" si="16"/>
        <v>16.5</v>
      </c>
    </row>
    <row r="771" spans="4:11">
      <c r="D771" s="11">
        <v>46081</v>
      </c>
      <c r="E771" s="12">
        <v>1581114</v>
      </c>
      <c r="F771" s="12" t="s">
        <v>20</v>
      </c>
      <c r="G771" s="13">
        <v>20322118</v>
      </c>
      <c r="H771" s="12" t="s">
        <v>170</v>
      </c>
      <c r="I771" s="13">
        <v>1</v>
      </c>
      <c r="J771" s="14">
        <v>16.5</v>
      </c>
      <c r="K771" s="14">
        <f t="shared" si="16"/>
        <v>16.5</v>
      </c>
    </row>
    <row r="772" spans="4:11">
      <c r="D772" s="11">
        <v>46081</v>
      </c>
      <c r="E772" s="12">
        <v>1581114</v>
      </c>
      <c r="F772" s="12" t="s">
        <v>20</v>
      </c>
      <c r="G772" s="13">
        <v>20318393</v>
      </c>
      <c r="H772" s="12" t="s">
        <v>26</v>
      </c>
      <c r="I772" s="13">
        <v>1</v>
      </c>
      <c r="J772" s="14">
        <v>16.5</v>
      </c>
      <c r="K772" s="14">
        <f t="shared" si="16"/>
        <v>16.5</v>
      </c>
    </row>
    <row r="773" spans="4:11">
      <c r="D773" s="11">
        <v>46082</v>
      </c>
      <c r="E773" s="12">
        <v>1581249</v>
      </c>
      <c r="F773" s="12" t="s">
        <v>13</v>
      </c>
      <c r="G773" s="13">
        <v>20365495</v>
      </c>
      <c r="H773" s="12" t="s">
        <v>205</v>
      </c>
      <c r="I773" s="13">
        <v>1</v>
      </c>
      <c r="J773" s="14">
        <v>154</v>
      </c>
      <c r="K773" s="14">
        <f t="shared" si="16"/>
        <v>154</v>
      </c>
    </row>
    <row r="774" spans="4:11">
      <c r="D774" s="11">
        <v>46082</v>
      </c>
      <c r="E774" s="12">
        <v>1581249</v>
      </c>
      <c r="F774" s="12" t="s">
        <v>13</v>
      </c>
      <c r="G774" s="13">
        <v>20312966</v>
      </c>
      <c r="H774" s="12" t="s">
        <v>147</v>
      </c>
      <c r="I774" s="13">
        <v>4</v>
      </c>
      <c r="J774" s="14">
        <v>159.5</v>
      </c>
      <c r="K774" s="14">
        <f t="shared" si="16"/>
        <v>638</v>
      </c>
    </row>
    <row r="775" spans="4:11">
      <c r="D775" s="11">
        <v>46082</v>
      </c>
      <c r="E775" s="12">
        <v>1581249</v>
      </c>
      <c r="F775" s="12" t="s">
        <v>13</v>
      </c>
      <c r="G775" s="13">
        <v>20312965</v>
      </c>
      <c r="H775" s="12" t="s">
        <v>15</v>
      </c>
      <c r="I775" s="13">
        <v>2</v>
      </c>
      <c r="J775" s="14">
        <v>137.5</v>
      </c>
      <c r="K775" s="14">
        <f t="shared" si="16"/>
        <v>275</v>
      </c>
    </row>
    <row r="776" spans="4:11">
      <c r="D776" s="11">
        <v>46082</v>
      </c>
      <c r="E776" s="12">
        <v>1581249</v>
      </c>
      <c r="F776" s="12" t="s">
        <v>13</v>
      </c>
      <c r="G776" s="13">
        <v>20312967</v>
      </c>
      <c r="H776" s="12" t="s">
        <v>130</v>
      </c>
      <c r="I776" s="13">
        <v>2</v>
      </c>
      <c r="J776" s="14">
        <v>176</v>
      </c>
      <c r="K776" s="14">
        <f t="shared" ref="K776:K781" si="17">J776*I776</f>
        <v>352</v>
      </c>
    </row>
    <row r="777" spans="4:11">
      <c r="D777" s="11">
        <v>46082</v>
      </c>
      <c r="E777" s="12">
        <v>1581249</v>
      </c>
      <c r="F777" s="12" t="s">
        <v>13</v>
      </c>
      <c r="G777" s="13">
        <v>20414050</v>
      </c>
      <c r="H777" s="12" t="s">
        <v>209</v>
      </c>
      <c r="I777" s="13">
        <v>1</v>
      </c>
      <c r="J777" s="14">
        <v>66</v>
      </c>
      <c r="K777" s="14">
        <f t="shared" si="17"/>
        <v>66</v>
      </c>
    </row>
    <row r="778" spans="4:11">
      <c r="D778" s="11">
        <v>46082</v>
      </c>
      <c r="E778" s="12">
        <v>1581249</v>
      </c>
      <c r="F778" s="12" t="s">
        <v>16</v>
      </c>
      <c r="G778" s="13">
        <v>20318363</v>
      </c>
      <c r="H778" s="12" t="s">
        <v>156</v>
      </c>
      <c r="I778" s="13">
        <v>1</v>
      </c>
      <c r="J778" s="14">
        <v>8</v>
      </c>
      <c r="K778" s="14">
        <f t="shared" si="17"/>
        <v>8</v>
      </c>
    </row>
    <row r="779" spans="4:11">
      <c r="D779" s="11">
        <v>46082</v>
      </c>
      <c r="E779" s="12">
        <v>1581249</v>
      </c>
      <c r="F779" s="12" t="s">
        <v>53</v>
      </c>
      <c r="G779" s="13">
        <v>20331736</v>
      </c>
      <c r="H779" s="12" t="s">
        <v>189</v>
      </c>
      <c r="I779" s="13">
        <v>4</v>
      </c>
      <c r="J779" s="14">
        <v>25</v>
      </c>
      <c r="K779" s="14">
        <f t="shared" si="17"/>
        <v>100</v>
      </c>
    </row>
    <row r="780" spans="4:11">
      <c r="D780" s="11">
        <v>46082</v>
      </c>
      <c r="E780" s="12">
        <v>1581249</v>
      </c>
      <c r="F780" s="12" t="s">
        <v>53</v>
      </c>
      <c r="G780" s="13">
        <v>20330757</v>
      </c>
      <c r="H780" s="12" t="s">
        <v>113</v>
      </c>
      <c r="I780" s="13">
        <v>1</v>
      </c>
      <c r="J780" s="14">
        <v>35</v>
      </c>
      <c r="K780" s="14">
        <f t="shared" si="17"/>
        <v>35</v>
      </c>
    </row>
    <row r="781" spans="4:11">
      <c r="D781" s="11">
        <v>46082</v>
      </c>
      <c r="E781" s="12">
        <v>1581249</v>
      </c>
      <c r="F781" s="12" t="s">
        <v>53</v>
      </c>
      <c r="G781" s="13">
        <v>20402355</v>
      </c>
      <c r="H781" s="12" t="s">
        <v>139</v>
      </c>
      <c r="I781" s="13">
        <v>1</v>
      </c>
      <c r="J781" s="14">
        <v>25</v>
      </c>
      <c r="K781" s="14">
        <f t="shared" si="17"/>
        <v>25</v>
      </c>
    </row>
    <row r="782" spans="4:11">
      <c r="D782" s="11">
        <v>46082</v>
      </c>
      <c r="E782" s="12">
        <v>1581249</v>
      </c>
      <c r="F782" s="12" t="s">
        <v>20</v>
      </c>
      <c r="G782" s="13">
        <v>20321257</v>
      </c>
      <c r="H782" s="12" t="s">
        <v>21</v>
      </c>
      <c r="I782" s="13">
        <v>3</v>
      </c>
      <c r="J782" s="14">
        <v>16.5</v>
      </c>
      <c r="K782" s="14">
        <f t="shared" ref="K782:K815" si="18">J782*I782</f>
        <v>49.5</v>
      </c>
    </row>
    <row r="783" spans="4:11">
      <c r="D783" s="11">
        <v>46082</v>
      </c>
      <c r="E783" s="12">
        <v>1581249</v>
      </c>
      <c r="F783" s="12" t="s">
        <v>20</v>
      </c>
      <c r="G783" s="13">
        <v>20329844</v>
      </c>
      <c r="H783" s="12" t="s">
        <v>76</v>
      </c>
      <c r="I783" s="13">
        <v>1</v>
      </c>
      <c r="J783" s="14">
        <v>16.5</v>
      </c>
      <c r="K783" s="14">
        <f t="shared" si="18"/>
        <v>16.5</v>
      </c>
    </row>
    <row r="784" spans="4:11">
      <c r="D784" s="11">
        <v>46082</v>
      </c>
      <c r="E784" s="12">
        <v>1581249</v>
      </c>
      <c r="F784" s="12" t="s">
        <v>20</v>
      </c>
      <c r="G784" s="13">
        <v>20318334</v>
      </c>
      <c r="H784" s="12" t="s">
        <v>175</v>
      </c>
      <c r="I784" s="13">
        <v>2</v>
      </c>
      <c r="J784" s="14">
        <v>16.5</v>
      </c>
      <c r="K784" s="14">
        <f t="shared" si="18"/>
        <v>33</v>
      </c>
    </row>
    <row r="785" spans="4:11">
      <c r="D785" s="11">
        <v>46082</v>
      </c>
      <c r="E785" s="12">
        <v>1581249</v>
      </c>
      <c r="F785" s="12" t="s">
        <v>20</v>
      </c>
      <c r="G785" s="13">
        <v>20363041</v>
      </c>
      <c r="H785" s="12" t="s">
        <v>150</v>
      </c>
      <c r="I785" s="13">
        <v>1</v>
      </c>
      <c r="J785" s="14">
        <v>16.5</v>
      </c>
      <c r="K785" s="14">
        <f t="shared" si="18"/>
        <v>16.5</v>
      </c>
    </row>
    <row r="786" spans="4:11">
      <c r="D786" s="11">
        <v>46082</v>
      </c>
      <c r="E786" s="12">
        <v>1581249</v>
      </c>
      <c r="F786" s="12" t="s">
        <v>20</v>
      </c>
      <c r="G786" s="13">
        <v>20343399</v>
      </c>
      <c r="H786" s="12" t="s">
        <v>153</v>
      </c>
      <c r="I786" s="13">
        <v>1</v>
      </c>
      <c r="J786" s="14">
        <v>33</v>
      </c>
      <c r="K786" s="14">
        <f t="shared" si="18"/>
        <v>33</v>
      </c>
    </row>
    <row r="787" spans="4:11">
      <c r="D787" s="11">
        <v>46082</v>
      </c>
      <c r="E787" s="12">
        <v>1581249</v>
      </c>
      <c r="F787" s="12" t="s">
        <v>20</v>
      </c>
      <c r="G787" s="13">
        <v>20318380</v>
      </c>
      <c r="H787" s="12" t="s">
        <v>143</v>
      </c>
      <c r="I787" s="13">
        <v>1</v>
      </c>
      <c r="J787" s="14">
        <v>16.5</v>
      </c>
      <c r="K787" s="14">
        <f t="shared" si="18"/>
        <v>16.5</v>
      </c>
    </row>
    <row r="788" spans="4:11">
      <c r="D788" s="11">
        <v>46082</v>
      </c>
      <c r="E788" s="12">
        <v>1581249</v>
      </c>
      <c r="F788" s="12" t="s">
        <v>20</v>
      </c>
      <c r="G788" s="13">
        <v>20321502</v>
      </c>
      <c r="H788" s="12" t="s">
        <v>164</v>
      </c>
      <c r="I788" s="13">
        <v>1</v>
      </c>
      <c r="J788" s="14">
        <v>16.5</v>
      </c>
      <c r="K788" s="14">
        <f t="shared" si="18"/>
        <v>16.5</v>
      </c>
    </row>
    <row r="789" spans="4:11">
      <c r="D789" s="11">
        <v>46082</v>
      </c>
      <c r="E789" s="12">
        <v>1581249</v>
      </c>
      <c r="F789" s="12" t="s">
        <v>20</v>
      </c>
      <c r="G789" s="13">
        <v>20321250</v>
      </c>
      <c r="H789" s="12" t="s">
        <v>157</v>
      </c>
      <c r="I789" s="13">
        <v>2</v>
      </c>
      <c r="J789" s="14">
        <v>16.5</v>
      </c>
      <c r="K789" s="14">
        <f t="shared" si="18"/>
        <v>33</v>
      </c>
    </row>
    <row r="790" spans="4:11">
      <c r="D790" s="11">
        <v>46082</v>
      </c>
      <c r="E790" s="12">
        <v>1581249</v>
      </c>
      <c r="F790" s="12" t="s">
        <v>20</v>
      </c>
      <c r="G790" s="13">
        <v>20407575</v>
      </c>
      <c r="H790" s="12" t="s">
        <v>140</v>
      </c>
      <c r="I790" s="13">
        <v>1</v>
      </c>
      <c r="J790" s="14">
        <v>16.5</v>
      </c>
      <c r="K790" s="14">
        <f t="shared" si="18"/>
        <v>16.5</v>
      </c>
    </row>
    <row r="791" spans="4:11">
      <c r="D791" s="11">
        <v>46082</v>
      </c>
      <c r="E791" s="12">
        <v>1581249</v>
      </c>
      <c r="F791" s="12" t="s">
        <v>20</v>
      </c>
      <c r="G791" s="13">
        <v>20318336</v>
      </c>
      <c r="H791" s="12" t="s">
        <v>137</v>
      </c>
      <c r="I791" s="13">
        <v>2</v>
      </c>
      <c r="J791" s="14">
        <v>16.5</v>
      </c>
      <c r="K791" s="14">
        <f t="shared" si="18"/>
        <v>33</v>
      </c>
    </row>
    <row r="792" spans="4:11">
      <c r="D792" s="11">
        <v>46083</v>
      </c>
      <c r="E792" s="12">
        <v>1581309</v>
      </c>
      <c r="F792" s="12" t="s">
        <v>13</v>
      </c>
      <c r="G792" s="13">
        <v>20365495</v>
      </c>
      <c r="H792" s="12" t="s">
        <v>205</v>
      </c>
      <c r="I792" s="13">
        <v>1</v>
      </c>
      <c r="J792" s="14">
        <v>154</v>
      </c>
      <c r="K792" s="14">
        <f t="shared" si="18"/>
        <v>154</v>
      </c>
    </row>
    <row r="793" spans="4:11">
      <c r="D793" s="11">
        <v>46083</v>
      </c>
      <c r="E793" s="12">
        <v>1581309</v>
      </c>
      <c r="F793" s="12" t="s">
        <v>13</v>
      </c>
      <c r="G793" s="13">
        <v>20312965</v>
      </c>
      <c r="H793" s="12" t="s">
        <v>15</v>
      </c>
      <c r="I793" s="13">
        <v>1</v>
      </c>
      <c r="J793" s="14">
        <v>137.5</v>
      </c>
      <c r="K793" s="14">
        <f t="shared" si="18"/>
        <v>137.5</v>
      </c>
    </row>
    <row r="794" spans="4:11">
      <c r="D794" s="11">
        <v>46083</v>
      </c>
      <c r="E794" s="12">
        <v>1581309</v>
      </c>
      <c r="F794" s="12" t="s">
        <v>16</v>
      </c>
      <c r="G794" s="13">
        <v>20340288</v>
      </c>
      <c r="H794" s="12" t="s">
        <v>114</v>
      </c>
      <c r="I794" s="13">
        <v>2</v>
      </c>
      <c r="J794" s="14">
        <v>22</v>
      </c>
      <c r="K794" s="14">
        <f t="shared" si="18"/>
        <v>44</v>
      </c>
    </row>
    <row r="795" spans="4:11">
      <c r="D795" s="11">
        <v>46083</v>
      </c>
      <c r="E795" s="12">
        <v>1581309</v>
      </c>
      <c r="F795" s="12" t="s">
        <v>53</v>
      </c>
      <c r="G795" s="13">
        <v>20322243</v>
      </c>
      <c r="H795" s="12" t="s">
        <v>54</v>
      </c>
      <c r="I795" s="13">
        <v>1</v>
      </c>
      <c r="J795" s="14">
        <v>30</v>
      </c>
      <c r="K795" s="14">
        <f t="shared" si="18"/>
        <v>30</v>
      </c>
    </row>
    <row r="796" spans="4:11">
      <c r="D796" s="11">
        <v>46083</v>
      </c>
      <c r="E796" s="12">
        <v>1581309</v>
      </c>
      <c r="F796" s="12" t="s">
        <v>53</v>
      </c>
      <c r="G796" s="13">
        <v>20322304</v>
      </c>
      <c r="H796" s="12" t="s">
        <v>112</v>
      </c>
      <c r="I796" s="13">
        <v>4</v>
      </c>
      <c r="J796" s="14">
        <v>25</v>
      </c>
      <c r="K796" s="14">
        <f t="shared" si="18"/>
        <v>100</v>
      </c>
    </row>
    <row r="797" spans="4:11">
      <c r="D797" s="11">
        <v>46083</v>
      </c>
      <c r="E797" s="12">
        <v>1581309</v>
      </c>
      <c r="F797" s="12" t="s">
        <v>53</v>
      </c>
      <c r="G797" s="13">
        <v>20330757</v>
      </c>
      <c r="H797" s="12" t="s">
        <v>113</v>
      </c>
      <c r="I797" s="13">
        <v>2</v>
      </c>
      <c r="J797" s="14">
        <v>35</v>
      </c>
      <c r="K797" s="14">
        <f t="shared" si="18"/>
        <v>70</v>
      </c>
    </row>
    <row r="798" spans="4:11">
      <c r="D798" s="11">
        <v>46083</v>
      </c>
      <c r="E798" s="12">
        <v>1581309</v>
      </c>
      <c r="F798" s="12" t="s">
        <v>30</v>
      </c>
      <c r="G798" s="13">
        <v>20340286</v>
      </c>
      <c r="H798" s="12" t="s">
        <v>168</v>
      </c>
      <c r="I798" s="13">
        <v>1</v>
      </c>
      <c r="J798" s="14">
        <v>55</v>
      </c>
      <c r="K798" s="14">
        <f t="shared" si="18"/>
        <v>55</v>
      </c>
    </row>
    <row r="799" spans="4:11">
      <c r="D799" s="11">
        <v>46083</v>
      </c>
      <c r="E799" s="12">
        <v>1581309</v>
      </c>
      <c r="F799" s="12" t="s">
        <v>20</v>
      </c>
      <c r="G799" s="13">
        <v>20321502</v>
      </c>
      <c r="H799" s="12" t="s">
        <v>164</v>
      </c>
      <c r="I799" s="13">
        <v>1</v>
      </c>
      <c r="J799" s="14">
        <v>16.5</v>
      </c>
      <c r="K799" s="14">
        <f t="shared" si="18"/>
        <v>16.5</v>
      </c>
    </row>
    <row r="800" spans="4:11">
      <c r="D800" s="11">
        <v>46083</v>
      </c>
      <c r="E800" s="12">
        <v>1581309</v>
      </c>
      <c r="F800" s="12" t="s">
        <v>20</v>
      </c>
      <c r="G800" s="13">
        <v>20383164</v>
      </c>
      <c r="H800" s="12" t="s">
        <v>151</v>
      </c>
      <c r="I800" s="13">
        <v>1</v>
      </c>
      <c r="J800" s="14">
        <v>22</v>
      </c>
      <c r="K800" s="14">
        <f t="shared" si="18"/>
        <v>22</v>
      </c>
    </row>
    <row r="801" spans="4:11">
      <c r="D801" s="11">
        <v>46083</v>
      </c>
      <c r="E801" s="12">
        <v>1581404</v>
      </c>
      <c r="F801" s="12" t="s">
        <v>39</v>
      </c>
      <c r="G801" s="13">
        <v>20326338</v>
      </c>
      <c r="H801" s="12" t="s">
        <v>169</v>
      </c>
      <c r="I801" s="13">
        <v>1</v>
      </c>
      <c r="J801" s="14">
        <v>55</v>
      </c>
      <c r="K801" s="14">
        <f t="shared" si="18"/>
        <v>55</v>
      </c>
    </row>
    <row r="802" spans="4:11">
      <c r="D802" s="11">
        <v>46083</v>
      </c>
      <c r="E802" s="12">
        <v>1581404</v>
      </c>
      <c r="F802" s="12" t="s">
        <v>16</v>
      </c>
      <c r="G802" s="13">
        <v>20337609</v>
      </c>
      <c r="H802" s="12" t="s">
        <v>210</v>
      </c>
      <c r="I802" s="13">
        <v>1</v>
      </c>
      <c r="J802" s="14">
        <v>8</v>
      </c>
      <c r="K802" s="14">
        <f t="shared" si="18"/>
        <v>8</v>
      </c>
    </row>
    <row r="803" spans="4:11">
      <c r="D803" s="11">
        <v>46083</v>
      </c>
      <c r="E803" s="12">
        <v>1581404</v>
      </c>
      <c r="F803" s="12" t="s">
        <v>211</v>
      </c>
      <c r="G803" s="13">
        <v>20374869</v>
      </c>
      <c r="H803" s="26" t="s">
        <v>212</v>
      </c>
      <c r="I803" s="13">
        <v>1</v>
      </c>
      <c r="J803" s="14">
        <v>22</v>
      </c>
      <c r="K803" s="14">
        <f t="shared" si="18"/>
        <v>22</v>
      </c>
    </row>
    <row r="804" spans="4:11">
      <c r="D804" s="11">
        <v>46083</v>
      </c>
      <c r="E804" s="12">
        <v>1581404</v>
      </c>
      <c r="F804" s="12" t="s">
        <v>20</v>
      </c>
      <c r="G804" s="13">
        <v>20318334</v>
      </c>
      <c r="H804" s="12" t="s">
        <v>175</v>
      </c>
      <c r="I804" s="13">
        <v>1</v>
      </c>
      <c r="J804" s="14">
        <v>16.5</v>
      </c>
      <c r="K804" s="14">
        <f t="shared" si="18"/>
        <v>16.5</v>
      </c>
    </row>
    <row r="805" spans="4:11">
      <c r="D805" s="11">
        <v>46083</v>
      </c>
      <c r="E805" s="12">
        <v>1581417</v>
      </c>
      <c r="F805" s="12" t="s">
        <v>13</v>
      </c>
      <c r="G805" s="13">
        <v>20312966</v>
      </c>
      <c r="H805" s="12" t="s">
        <v>147</v>
      </c>
      <c r="I805" s="13">
        <v>1</v>
      </c>
      <c r="J805" s="14">
        <v>159.5</v>
      </c>
      <c r="K805" s="14">
        <f t="shared" si="18"/>
        <v>159.5</v>
      </c>
    </row>
    <row r="806" spans="4:11">
      <c r="D806" s="11">
        <v>46083</v>
      </c>
      <c r="E806" s="12">
        <v>1581417</v>
      </c>
      <c r="F806" s="12" t="s">
        <v>13</v>
      </c>
      <c r="G806" s="13">
        <v>20312965</v>
      </c>
      <c r="H806" s="12" t="s">
        <v>15</v>
      </c>
      <c r="I806" s="13">
        <v>3</v>
      </c>
      <c r="J806" s="14">
        <v>137.5</v>
      </c>
      <c r="K806" s="14">
        <f t="shared" si="18"/>
        <v>412.5</v>
      </c>
    </row>
    <row r="807" spans="4:11">
      <c r="D807" s="11">
        <v>46083</v>
      </c>
      <c r="E807" s="12">
        <v>1581417</v>
      </c>
      <c r="F807" s="12" t="s">
        <v>13</v>
      </c>
      <c r="G807" s="13">
        <v>20312967</v>
      </c>
      <c r="H807" s="12" t="s">
        <v>130</v>
      </c>
      <c r="I807" s="13">
        <v>6</v>
      </c>
      <c r="J807" s="14">
        <v>176</v>
      </c>
      <c r="K807" s="14">
        <f t="shared" si="18"/>
        <v>1056</v>
      </c>
    </row>
    <row r="808" spans="4:11">
      <c r="D808" s="11">
        <v>46083</v>
      </c>
      <c r="E808" s="12">
        <v>1581417</v>
      </c>
      <c r="F808" s="12" t="s">
        <v>39</v>
      </c>
      <c r="G808" s="13">
        <v>20322150</v>
      </c>
      <c r="H808" s="12" t="s">
        <v>198</v>
      </c>
      <c r="I808" s="13">
        <v>2</v>
      </c>
      <c r="J808" s="14">
        <v>49.5</v>
      </c>
      <c r="K808" s="14">
        <f t="shared" si="18"/>
        <v>99</v>
      </c>
    </row>
    <row r="809" spans="4:11">
      <c r="D809" s="11">
        <v>46083</v>
      </c>
      <c r="E809" s="12">
        <v>1581417</v>
      </c>
      <c r="F809" s="12" t="s">
        <v>116</v>
      </c>
      <c r="G809" s="13">
        <v>20323896</v>
      </c>
      <c r="H809" s="26" t="s">
        <v>213</v>
      </c>
      <c r="I809" s="13">
        <v>1</v>
      </c>
      <c r="J809" s="14">
        <v>165</v>
      </c>
      <c r="K809" s="14">
        <f t="shared" si="18"/>
        <v>165</v>
      </c>
    </row>
    <row r="810" spans="4:11">
      <c r="D810" s="11">
        <v>46083</v>
      </c>
      <c r="E810" s="12">
        <v>1581417</v>
      </c>
      <c r="F810" s="12" t="s">
        <v>20</v>
      </c>
      <c r="G810" s="13">
        <v>20318380</v>
      </c>
      <c r="H810" s="12" t="s">
        <v>143</v>
      </c>
      <c r="I810" s="13">
        <v>1</v>
      </c>
      <c r="J810" s="14">
        <v>16.5</v>
      </c>
      <c r="K810" s="14">
        <f t="shared" si="18"/>
        <v>16.5</v>
      </c>
    </row>
    <row r="811" spans="4:11">
      <c r="D811" s="11">
        <v>46083</v>
      </c>
      <c r="E811" s="12">
        <v>1581417</v>
      </c>
      <c r="F811" s="12" t="s">
        <v>20</v>
      </c>
      <c r="G811" s="13">
        <v>20321250</v>
      </c>
      <c r="H811" s="12" t="s">
        <v>157</v>
      </c>
      <c r="I811" s="13">
        <v>1</v>
      </c>
      <c r="J811" s="14">
        <v>16.5</v>
      </c>
      <c r="K811" s="14">
        <f t="shared" si="18"/>
        <v>16.5</v>
      </c>
    </row>
    <row r="812" spans="4:11">
      <c r="D812" s="11">
        <v>46083</v>
      </c>
      <c r="E812" s="12">
        <v>1581417</v>
      </c>
      <c r="F812" s="12" t="s">
        <v>20</v>
      </c>
      <c r="G812" s="13">
        <v>20383164</v>
      </c>
      <c r="H812" s="12" t="s">
        <v>151</v>
      </c>
      <c r="I812" s="13">
        <v>1</v>
      </c>
      <c r="J812" s="14">
        <v>22</v>
      </c>
      <c r="K812" s="14">
        <f t="shared" si="18"/>
        <v>22</v>
      </c>
    </row>
    <row r="813" spans="4:11">
      <c r="D813" s="11">
        <v>46083</v>
      </c>
      <c r="E813" s="12">
        <v>1581417</v>
      </c>
      <c r="F813" s="12" t="s">
        <v>20</v>
      </c>
      <c r="G813" s="13">
        <v>20318336</v>
      </c>
      <c r="H813" s="12" t="s">
        <v>137</v>
      </c>
      <c r="I813" s="13">
        <v>1</v>
      </c>
      <c r="J813" s="14">
        <v>16.5</v>
      </c>
      <c r="K813" s="14">
        <f t="shared" si="18"/>
        <v>16.5</v>
      </c>
    </row>
    <row r="814" spans="4:11">
      <c r="D814" s="11">
        <v>46083</v>
      </c>
      <c r="E814" s="12">
        <v>1581417</v>
      </c>
      <c r="F814" s="12" t="s">
        <v>20</v>
      </c>
      <c r="G814" s="13">
        <v>20322118</v>
      </c>
      <c r="H814" s="12" t="s">
        <v>170</v>
      </c>
      <c r="I814" s="13">
        <v>1</v>
      </c>
      <c r="J814" s="14">
        <v>16.5</v>
      </c>
      <c r="K814" s="14">
        <f t="shared" si="18"/>
        <v>16.5</v>
      </c>
    </row>
    <row r="815" spans="4:11">
      <c r="D815" s="11">
        <v>46083</v>
      </c>
      <c r="E815" s="12">
        <v>1581441</v>
      </c>
      <c r="F815" s="12" t="s">
        <v>30</v>
      </c>
      <c r="G815" s="13">
        <v>20408950</v>
      </c>
      <c r="H815" s="12" t="s">
        <v>162</v>
      </c>
      <c r="I815" s="13">
        <v>1</v>
      </c>
      <c r="J815" s="14">
        <v>60.5</v>
      </c>
      <c r="K815" s="14">
        <f t="shared" si="18"/>
        <v>60.5</v>
      </c>
    </row>
    <row r="816" spans="4:11">
      <c r="D816" s="11">
        <v>46083</v>
      </c>
      <c r="E816" s="12">
        <v>1581475</v>
      </c>
      <c r="F816" s="12" t="s">
        <v>13</v>
      </c>
      <c r="G816" s="13">
        <v>20312967</v>
      </c>
      <c r="H816" s="12" t="s">
        <v>130</v>
      </c>
      <c r="I816" s="13">
        <v>1</v>
      </c>
      <c r="J816" s="14">
        <v>176</v>
      </c>
      <c r="K816" s="14">
        <f t="shared" ref="K816:K879" si="19">J816*I816</f>
        <v>176</v>
      </c>
    </row>
    <row r="817" spans="4:11">
      <c r="D817" s="11">
        <v>46083</v>
      </c>
      <c r="E817" s="12">
        <v>1581475</v>
      </c>
      <c r="F817" s="12" t="s">
        <v>39</v>
      </c>
      <c r="G817" s="13">
        <v>20410992</v>
      </c>
      <c r="H817" s="12" t="s">
        <v>199</v>
      </c>
      <c r="I817" s="13">
        <v>1</v>
      </c>
      <c r="J817" s="14">
        <v>49.5</v>
      </c>
      <c r="K817" s="14">
        <f t="shared" si="19"/>
        <v>49.5</v>
      </c>
    </row>
    <row r="818" spans="4:11">
      <c r="D818" s="11">
        <v>46083</v>
      </c>
      <c r="E818" s="12">
        <v>1581475</v>
      </c>
      <c r="F818" s="12" t="s">
        <v>53</v>
      </c>
      <c r="G818" s="13">
        <v>20392931</v>
      </c>
      <c r="H818" s="12" t="s">
        <v>214</v>
      </c>
      <c r="I818" s="13">
        <v>1</v>
      </c>
      <c r="J818" s="14">
        <v>25</v>
      </c>
      <c r="K818" s="14">
        <f t="shared" si="19"/>
        <v>25</v>
      </c>
    </row>
    <row r="819" spans="4:11">
      <c r="D819" s="11">
        <v>46083</v>
      </c>
      <c r="E819" s="12">
        <v>1581475</v>
      </c>
      <c r="F819" s="12" t="s">
        <v>53</v>
      </c>
      <c r="G819" s="13">
        <v>20322235</v>
      </c>
      <c r="H819" s="12" t="s">
        <v>81</v>
      </c>
      <c r="I819" s="13">
        <v>8</v>
      </c>
      <c r="J819" s="14">
        <v>2.5</v>
      </c>
      <c r="K819" s="14">
        <f t="shared" si="19"/>
        <v>20</v>
      </c>
    </row>
    <row r="820" spans="4:11">
      <c r="D820" s="11">
        <v>46083</v>
      </c>
      <c r="E820" s="12">
        <v>1581475</v>
      </c>
      <c r="F820" s="12" t="s">
        <v>53</v>
      </c>
      <c r="G820" s="13">
        <v>20322243</v>
      </c>
      <c r="H820" s="12" t="s">
        <v>54</v>
      </c>
      <c r="I820" s="13">
        <v>1</v>
      </c>
      <c r="J820" s="14">
        <v>30</v>
      </c>
      <c r="K820" s="14">
        <f t="shared" si="19"/>
        <v>30</v>
      </c>
    </row>
    <row r="821" spans="4:11">
      <c r="D821" s="11">
        <v>46083</v>
      </c>
      <c r="E821" s="12">
        <v>1581475</v>
      </c>
      <c r="F821" s="12" t="s">
        <v>53</v>
      </c>
      <c r="G821" s="13">
        <v>20322234</v>
      </c>
      <c r="H821" s="12" t="s">
        <v>141</v>
      </c>
      <c r="I821" s="13">
        <v>4</v>
      </c>
      <c r="J821" s="14">
        <v>2.5</v>
      </c>
      <c r="K821" s="14">
        <f t="shared" si="19"/>
        <v>10</v>
      </c>
    </row>
    <row r="822" spans="4:11">
      <c r="D822" s="11">
        <v>46083</v>
      </c>
      <c r="E822" s="12">
        <v>1581475</v>
      </c>
      <c r="F822" s="12" t="s">
        <v>53</v>
      </c>
      <c r="G822" s="13">
        <v>20330757</v>
      </c>
      <c r="H822" s="12" t="s">
        <v>113</v>
      </c>
      <c r="I822" s="13">
        <v>3</v>
      </c>
      <c r="J822" s="14">
        <v>35</v>
      </c>
      <c r="K822" s="14">
        <f t="shared" si="19"/>
        <v>105</v>
      </c>
    </row>
    <row r="823" spans="4:11">
      <c r="D823" s="11">
        <v>46083</v>
      </c>
      <c r="E823" s="12">
        <v>1581475</v>
      </c>
      <c r="F823" s="12" t="s">
        <v>20</v>
      </c>
      <c r="G823" s="13">
        <v>20318361</v>
      </c>
      <c r="H823" s="12" t="s">
        <v>187</v>
      </c>
      <c r="I823" s="13">
        <v>1</v>
      </c>
      <c r="J823" s="14">
        <v>16.5</v>
      </c>
      <c r="K823" s="14">
        <f t="shared" si="19"/>
        <v>16.5</v>
      </c>
    </row>
    <row r="824" spans="4:11">
      <c r="D824" s="11">
        <v>46083</v>
      </c>
      <c r="E824" s="12">
        <v>1581475</v>
      </c>
      <c r="F824" s="12" t="s">
        <v>20</v>
      </c>
      <c r="G824" s="13">
        <v>20363041</v>
      </c>
      <c r="H824" s="12" t="s">
        <v>150</v>
      </c>
      <c r="I824" s="13">
        <v>1</v>
      </c>
      <c r="J824" s="14">
        <v>16.5</v>
      </c>
      <c r="K824" s="14">
        <f t="shared" si="19"/>
        <v>16.5</v>
      </c>
    </row>
    <row r="825" spans="4:11">
      <c r="D825" s="11">
        <v>46083</v>
      </c>
      <c r="E825" s="12">
        <v>1581475</v>
      </c>
      <c r="F825" s="12" t="s">
        <v>20</v>
      </c>
      <c r="G825" s="13">
        <v>20343399</v>
      </c>
      <c r="H825" s="12" t="s">
        <v>153</v>
      </c>
      <c r="I825" s="13">
        <v>1</v>
      </c>
      <c r="J825" s="14">
        <v>33</v>
      </c>
      <c r="K825" s="14">
        <f t="shared" si="19"/>
        <v>33</v>
      </c>
    </row>
    <row r="826" spans="4:11">
      <c r="D826" s="11">
        <v>46083</v>
      </c>
      <c r="E826" s="12">
        <v>1581475</v>
      </c>
      <c r="F826" s="12" t="s">
        <v>20</v>
      </c>
      <c r="G826" s="13">
        <v>20318378</v>
      </c>
      <c r="H826" s="12" t="s">
        <v>128</v>
      </c>
      <c r="I826" s="13">
        <v>2</v>
      </c>
      <c r="J826" s="14">
        <v>16.5</v>
      </c>
      <c r="K826" s="14">
        <f t="shared" si="19"/>
        <v>33</v>
      </c>
    </row>
    <row r="827" spans="4:11">
      <c r="D827" s="11">
        <v>46083</v>
      </c>
      <c r="E827" s="12">
        <v>1581475</v>
      </c>
      <c r="F827" s="12" t="s">
        <v>20</v>
      </c>
      <c r="G827" s="13">
        <v>20318340</v>
      </c>
      <c r="H827" s="12" t="s">
        <v>144</v>
      </c>
      <c r="I827" s="13">
        <v>3</v>
      </c>
      <c r="J827" s="14">
        <v>16.5</v>
      </c>
      <c r="K827" s="14">
        <f t="shared" si="19"/>
        <v>49.5</v>
      </c>
    </row>
    <row r="828" spans="4:11">
      <c r="D828" s="11">
        <v>46083</v>
      </c>
      <c r="E828" s="12">
        <v>1581475</v>
      </c>
      <c r="F828" s="12" t="s">
        <v>20</v>
      </c>
      <c r="G828" s="13">
        <v>20340298</v>
      </c>
      <c r="H828" s="12" t="s">
        <v>215</v>
      </c>
      <c r="I828" s="13">
        <v>1</v>
      </c>
      <c r="J828" s="14">
        <v>16.5</v>
      </c>
      <c r="K828" s="14">
        <f t="shared" si="19"/>
        <v>16.5</v>
      </c>
    </row>
    <row r="829" spans="4:11">
      <c r="D829" s="11">
        <v>46083</v>
      </c>
      <c r="E829" s="12">
        <v>1581475</v>
      </c>
      <c r="F829" s="12" t="s">
        <v>20</v>
      </c>
      <c r="G829" s="13">
        <v>20321250</v>
      </c>
      <c r="H829" s="12" t="s">
        <v>157</v>
      </c>
      <c r="I829" s="13">
        <v>1</v>
      </c>
      <c r="J829" s="14">
        <v>16.5</v>
      </c>
      <c r="K829" s="14">
        <f t="shared" si="19"/>
        <v>16.5</v>
      </c>
    </row>
    <row r="830" spans="4:11">
      <c r="D830" s="11">
        <v>46083</v>
      </c>
      <c r="E830" s="12">
        <v>1581475</v>
      </c>
      <c r="F830" s="12" t="s">
        <v>20</v>
      </c>
      <c r="G830" s="13">
        <v>20318383</v>
      </c>
      <c r="H830" s="12" t="s">
        <v>178</v>
      </c>
      <c r="I830" s="13">
        <v>1</v>
      </c>
      <c r="J830" s="14">
        <v>16.5</v>
      </c>
      <c r="K830" s="14">
        <f t="shared" si="19"/>
        <v>16.5</v>
      </c>
    </row>
    <row r="831" spans="4:11">
      <c r="D831" s="11">
        <v>46083</v>
      </c>
      <c r="E831" s="12">
        <v>1581475</v>
      </c>
      <c r="F831" s="12" t="s">
        <v>20</v>
      </c>
      <c r="G831" s="13">
        <v>20340289</v>
      </c>
      <c r="H831" s="12" t="s">
        <v>145</v>
      </c>
      <c r="I831" s="13">
        <v>1</v>
      </c>
      <c r="J831" s="14">
        <v>16.5</v>
      </c>
      <c r="K831" s="14">
        <f t="shared" si="19"/>
        <v>16.5</v>
      </c>
    </row>
    <row r="832" spans="4:11">
      <c r="D832" s="11">
        <v>46083</v>
      </c>
      <c r="E832" s="12">
        <v>1581475</v>
      </c>
      <c r="F832" s="12" t="s">
        <v>20</v>
      </c>
      <c r="G832" s="13">
        <v>20318336</v>
      </c>
      <c r="H832" s="12" t="s">
        <v>137</v>
      </c>
      <c r="I832" s="13">
        <v>2</v>
      </c>
      <c r="J832" s="14">
        <v>16.5</v>
      </c>
      <c r="K832" s="14">
        <f t="shared" si="19"/>
        <v>33</v>
      </c>
    </row>
    <row r="833" spans="4:11">
      <c r="D833" s="11">
        <v>46083</v>
      </c>
      <c r="E833" s="12">
        <v>1581475</v>
      </c>
      <c r="F833" s="12" t="s">
        <v>20</v>
      </c>
      <c r="G833" s="13">
        <v>20318342</v>
      </c>
      <c r="H833" s="12" t="s">
        <v>115</v>
      </c>
      <c r="I833" s="13">
        <v>1</v>
      </c>
      <c r="J833" s="14">
        <v>16.5</v>
      </c>
      <c r="K833" s="14">
        <f t="shared" si="19"/>
        <v>16.5</v>
      </c>
    </row>
    <row r="834" spans="4:11">
      <c r="D834" s="11">
        <v>46083</v>
      </c>
      <c r="E834" s="12">
        <v>1581495</v>
      </c>
      <c r="F834" s="12" t="s">
        <v>13</v>
      </c>
      <c r="G834" s="13">
        <v>20321719</v>
      </c>
      <c r="H834" s="12" t="s">
        <v>146</v>
      </c>
      <c r="I834" s="13">
        <v>1</v>
      </c>
      <c r="J834" s="14">
        <v>49.5</v>
      </c>
      <c r="K834" s="14">
        <f t="shared" si="19"/>
        <v>49.5</v>
      </c>
    </row>
    <row r="835" spans="4:11">
      <c r="D835" s="11">
        <v>46083</v>
      </c>
      <c r="E835" s="12">
        <v>1581495</v>
      </c>
      <c r="F835" s="12" t="s">
        <v>13</v>
      </c>
      <c r="G835" s="13">
        <v>20312966</v>
      </c>
      <c r="H835" s="12" t="s">
        <v>147</v>
      </c>
      <c r="I835" s="13">
        <v>12</v>
      </c>
      <c r="J835" s="14">
        <v>159.5</v>
      </c>
      <c r="K835" s="14">
        <f t="shared" si="19"/>
        <v>1914</v>
      </c>
    </row>
    <row r="836" spans="4:11">
      <c r="D836" s="11">
        <v>46083</v>
      </c>
      <c r="E836" s="12">
        <v>1581495</v>
      </c>
      <c r="F836" s="12" t="s">
        <v>13</v>
      </c>
      <c r="G836" s="13">
        <v>20312965</v>
      </c>
      <c r="H836" s="12" t="s">
        <v>15</v>
      </c>
      <c r="I836" s="13">
        <v>1</v>
      </c>
      <c r="J836" s="14">
        <v>137.5</v>
      </c>
      <c r="K836" s="14">
        <f t="shared" si="19"/>
        <v>137.5</v>
      </c>
    </row>
    <row r="837" spans="4:11">
      <c r="D837" s="11">
        <v>46083</v>
      </c>
      <c r="E837" s="12">
        <v>1581495</v>
      </c>
      <c r="F837" s="12" t="s">
        <v>13</v>
      </c>
      <c r="G837" s="13">
        <v>20312967</v>
      </c>
      <c r="H837" s="12" t="s">
        <v>130</v>
      </c>
      <c r="I837" s="13">
        <v>8</v>
      </c>
      <c r="J837" s="14">
        <v>176</v>
      </c>
      <c r="K837" s="14">
        <f t="shared" si="19"/>
        <v>1408</v>
      </c>
    </row>
    <row r="838" spans="4:11">
      <c r="D838" s="11">
        <v>46083</v>
      </c>
      <c r="E838" s="12">
        <v>1581495</v>
      </c>
      <c r="F838" s="12" t="s">
        <v>13</v>
      </c>
      <c r="G838" s="13">
        <v>20408959</v>
      </c>
      <c r="H838" s="12" t="s">
        <v>216</v>
      </c>
      <c r="I838" s="13">
        <v>1</v>
      </c>
      <c r="J838" s="14">
        <v>60.5</v>
      </c>
      <c r="K838" s="14">
        <f t="shared" si="19"/>
        <v>60.5</v>
      </c>
    </row>
    <row r="839" spans="4:11">
      <c r="D839" s="11">
        <v>46083</v>
      </c>
      <c r="E839" s="12">
        <v>1581495</v>
      </c>
      <c r="F839" s="12" t="s">
        <v>30</v>
      </c>
      <c r="G839" s="13">
        <v>20340286</v>
      </c>
      <c r="H839" s="12" t="s">
        <v>168</v>
      </c>
      <c r="I839" s="13">
        <v>1</v>
      </c>
      <c r="J839" s="14">
        <v>55</v>
      </c>
      <c r="K839" s="14">
        <f t="shared" si="19"/>
        <v>55</v>
      </c>
    </row>
    <row r="840" spans="4:11">
      <c r="D840" s="11">
        <v>46083</v>
      </c>
      <c r="E840" s="12">
        <v>1581495</v>
      </c>
      <c r="F840" s="12" t="s">
        <v>30</v>
      </c>
      <c r="G840" s="13">
        <v>20366063</v>
      </c>
      <c r="H840" s="12" t="s">
        <v>197</v>
      </c>
      <c r="I840" s="13">
        <v>1</v>
      </c>
      <c r="J840" s="14">
        <v>66</v>
      </c>
      <c r="K840" s="14">
        <f t="shared" si="19"/>
        <v>66</v>
      </c>
    </row>
    <row r="841" spans="4:11">
      <c r="D841" s="11">
        <v>46083</v>
      </c>
      <c r="E841" s="12">
        <v>1581495</v>
      </c>
      <c r="F841" s="12" t="s">
        <v>20</v>
      </c>
      <c r="G841" s="13">
        <v>20321257</v>
      </c>
      <c r="H841" s="12" t="s">
        <v>21</v>
      </c>
      <c r="I841" s="13">
        <v>5</v>
      </c>
      <c r="J841" s="14">
        <v>16.5</v>
      </c>
      <c r="K841" s="14">
        <f t="shared" si="19"/>
        <v>82.5</v>
      </c>
    </row>
    <row r="842" spans="4:11">
      <c r="D842" s="11">
        <v>46083</v>
      </c>
      <c r="E842" s="12">
        <v>1581495</v>
      </c>
      <c r="F842" s="12" t="s">
        <v>20</v>
      </c>
      <c r="G842" s="13">
        <v>20318380</v>
      </c>
      <c r="H842" s="12" t="s">
        <v>143</v>
      </c>
      <c r="I842" s="13">
        <v>1</v>
      </c>
      <c r="J842" s="14">
        <v>16.5</v>
      </c>
      <c r="K842" s="14">
        <f t="shared" si="19"/>
        <v>16.5</v>
      </c>
    </row>
    <row r="843" spans="4:11">
      <c r="D843" s="11">
        <v>46083</v>
      </c>
      <c r="E843" s="12">
        <v>1581495</v>
      </c>
      <c r="F843" s="12" t="s">
        <v>20</v>
      </c>
      <c r="G843" s="13">
        <v>20318340</v>
      </c>
      <c r="H843" s="12" t="s">
        <v>144</v>
      </c>
      <c r="I843" s="13">
        <v>2</v>
      </c>
      <c r="J843" s="14">
        <v>16.5</v>
      </c>
      <c r="K843" s="14">
        <f t="shared" si="19"/>
        <v>33</v>
      </c>
    </row>
    <row r="844" spans="4:11">
      <c r="D844" s="11">
        <v>46083</v>
      </c>
      <c r="E844" s="12">
        <v>1581495</v>
      </c>
      <c r="F844" s="12" t="s">
        <v>20</v>
      </c>
      <c r="G844" s="13">
        <v>20321250</v>
      </c>
      <c r="H844" s="12" t="s">
        <v>157</v>
      </c>
      <c r="I844" s="13">
        <v>2</v>
      </c>
      <c r="J844" s="14">
        <v>16.5</v>
      </c>
      <c r="K844" s="14">
        <f t="shared" si="19"/>
        <v>33</v>
      </c>
    </row>
    <row r="845" spans="4:11">
      <c r="D845" s="11">
        <v>46083</v>
      </c>
      <c r="E845" s="12">
        <v>1581495</v>
      </c>
      <c r="F845" s="12" t="s">
        <v>20</v>
      </c>
      <c r="G845" s="13">
        <v>20383164</v>
      </c>
      <c r="H845" s="12" t="s">
        <v>151</v>
      </c>
      <c r="I845" s="13">
        <v>1</v>
      </c>
      <c r="J845" s="14">
        <v>22</v>
      </c>
      <c r="K845" s="14">
        <f t="shared" si="19"/>
        <v>22</v>
      </c>
    </row>
    <row r="846" spans="4:11">
      <c r="D846" s="11">
        <v>46083</v>
      </c>
      <c r="E846" s="12">
        <v>1581495</v>
      </c>
      <c r="F846" s="12" t="s">
        <v>20</v>
      </c>
      <c r="G846" s="13">
        <v>20318379</v>
      </c>
      <c r="H846" s="12" t="s">
        <v>190</v>
      </c>
      <c r="I846" s="13">
        <v>1</v>
      </c>
      <c r="J846" s="14">
        <v>16.5</v>
      </c>
      <c r="K846" s="14">
        <f t="shared" si="19"/>
        <v>16.5</v>
      </c>
    </row>
    <row r="847" spans="4:11">
      <c r="D847" s="11">
        <v>46083</v>
      </c>
      <c r="E847" s="12">
        <v>1581495</v>
      </c>
      <c r="F847" s="12" t="s">
        <v>20</v>
      </c>
      <c r="G847" s="13">
        <v>20318342</v>
      </c>
      <c r="H847" s="12" t="s">
        <v>115</v>
      </c>
      <c r="I847" s="13">
        <v>1</v>
      </c>
      <c r="J847" s="14">
        <v>16.5</v>
      </c>
      <c r="K847" s="14">
        <f t="shared" si="19"/>
        <v>16.5</v>
      </c>
    </row>
    <row r="848" spans="4:11">
      <c r="D848" s="11">
        <v>46084</v>
      </c>
      <c r="E848" s="12">
        <v>1581635</v>
      </c>
      <c r="F848" s="12" t="s">
        <v>13</v>
      </c>
      <c r="G848" s="13">
        <v>20321252</v>
      </c>
      <c r="H848" s="12" t="s">
        <v>149</v>
      </c>
      <c r="I848" s="13">
        <v>1</v>
      </c>
      <c r="J848" s="14">
        <v>49.5</v>
      </c>
      <c r="K848" s="14">
        <f t="shared" si="19"/>
        <v>49.5</v>
      </c>
    </row>
    <row r="849" spans="4:11">
      <c r="D849" s="11">
        <v>46084</v>
      </c>
      <c r="E849" s="12">
        <v>1581635</v>
      </c>
      <c r="F849" s="12" t="s">
        <v>13</v>
      </c>
      <c r="G849" s="13">
        <v>20318372</v>
      </c>
      <c r="H849" s="12" t="s">
        <v>207</v>
      </c>
      <c r="I849" s="13">
        <v>1</v>
      </c>
      <c r="J849" s="14">
        <v>286</v>
      </c>
      <c r="K849" s="14">
        <f t="shared" si="19"/>
        <v>286</v>
      </c>
    </row>
    <row r="850" spans="4:11">
      <c r="D850" s="11">
        <v>46084</v>
      </c>
      <c r="E850" s="12">
        <v>1581635</v>
      </c>
      <c r="F850" s="12" t="s">
        <v>13</v>
      </c>
      <c r="G850" s="13">
        <v>20312966</v>
      </c>
      <c r="H850" s="12" t="s">
        <v>147</v>
      </c>
      <c r="I850" s="13">
        <v>4</v>
      </c>
      <c r="J850" s="14">
        <v>159.5</v>
      </c>
      <c r="K850" s="14">
        <f t="shared" si="19"/>
        <v>638</v>
      </c>
    </row>
    <row r="851" spans="4:11">
      <c r="D851" s="11">
        <v>46084</v>
      </c>
      <c r="E851" s="12">
        <v>1581635</v>
      </c>
      <c r="F851" s="12" t="s">
        <v>13</v>
      </c>
      <c r="G851" s="13">
        <v>20312965</v>
      </c>
      <c r="H851" s="12" t="s">
        <v>15</v>
      </c>
      <c r="I851" s="13">
        <v>1</v>
      </c>
      <c r="J851" s="14">
        <v>137.5</v>
      </c>
      <c r="K851" s="14">
        <f t="shared" si="19"/>
        <v>137.5</v>
      </c>
    </row>
    <row r="852" spans="4:11">
      <c r="D852" s="11">
        <v>46084</v>
      </c>
      <c r="E852" s="12">
        <v>1581635</v>
      </c>
      <c r="F852" s="12" t="s">
        <v>13</v>
      </c>
      <c r="G852" s="13">
        <v>20312967</v>
      </c>
      <c r="H852" s="12" t="s">
        <v>130</v>
      </c>
      <c r="I852" s="13">
        <v>4</v>
      </c>
      <c r="J852" s="14">
        <v>176</v>
      </c>
      <c r="K852" s="14">
        <f t="shared" si="19"/>
        <v>704</v>
      </c>
    </row>
    <row r="853" spans="4:11">
      <c r="D853" s="11">
        <v>46084</v>
      </c>
      <c r="E853" s="12">
        <v>1581635</v>
      </c>
      <c r="F853" s="12" t="s">
        <v>39</v>
      </c>
      <c r="G853" s="13">
        <v>20410992</v>
      </c>
      <c r="H853" s="12" t="s">
        <v>199</v>
      </c>
      <c r="I853" s="13">
        <v>1</v>
      </c>
      <c r="J853" s="14">
        <v>49.5</v>
      </c>
      <c r="K853" s="14">
        <f t="shared" si="19"/>
        <v>49.5</v>
      </c>
    </row>
    <row r="854" spans="4:11">
      <c r="D854" s="11">
        <v>46084</v>
      </c>
      <c r="E854" s="12">
        <v>1581635</v>
      </c>
      <c r="F854" s="12" t="s">
        <v>53</v>
      </c>
      <c r="G854" s="13">
        <v>20322243</v>
      </c>
      <c r="H854" s="12" t="s">
        <v>54</v>
      </c>
      <c r="I854" s="13">
        <v>1</v>
      </c>
      <c r="J854" s="14">
        <v>30</v>
      </c>
      <c r="K854" s="14">
        <f t="shared" si="19"/>
        <v>30</v>
      </c>
    </row>
    <row r="855" spans="4:11">
      <c r="D855" s="11">
        <v>46084</v>
      </c>
      <c r="E855" s="12">
        <v>1581635</v>
      </c>
      <c r="F855" s="12" t="s">
        <v>53</v>
      </c>
      <c r="G855" s="13">
        <v>20322304</v>
      </c>
      <c r="H855" s="12" t="s">
        <v>112</v>
      </c>
      <c r="I855" s="13">
        <v>4</v>
      </c>
      <c r="J855" s="14">
        <v>25</v>
      </c>
      <c r="K855" s="14">
        <f t="shared" si="19"/>
        <v>100</v>
      </c>
    </row>
    <row r="856" spans="4:11">
      <c r="D856" s="11">
        <v>46084</v>
      </c>
      <c r="E856" s="12">
        <v>1581635</v>
      </c>
      <c r="F856" s="12" t="s">
        <v>53</v>
      </c>
      <c r="G856" s="13">
        <v>20330757</v>
      </c>
      <c r="H856" s="12" t="s">
        <v>113</v>
      </c>
      <c r="I856" s="13">
        <v>6</v>
      </c>
      <c r="J856" s="14">
        <v>35</v>
      </c>
      <c r="K856" s="14">
        <f t="shared" si="19"/>
        <v>210</v>
      </c>
    </row>
    <row r="857" spans="4:11">
      <c r="D857" s="11">
        <v>46084</v>
      </c>
      <c r="E857" s="12">
        <v>1581635</v>
      </c>
      <c r="F857" s="12" t="s">
        <v>20</v>
      </c>
      <c r="G857" s="13">
        <v>20321257</v>
      </c>
      <c r="H857" s="12" t="s">
        <v>21</v>
      </c>
      <c r="I857" s="13">
        <v>3</v>
      </c>
      <c r="J857" s="14">
        <v>16.5</v>
      </c>
      <c r="K857" s="14">
        <f t="shared" si="19"/>
        <v>49.5</v>
      </c>
    </row>
    <row r="858" spans="4:11">
      <c r="D858" s="11">
        <v>46084</v>
      </c>
      <c r="E858" s="12">
        <v>1581635</v>
      </c>
      <c r="F858" s="12" t="s">
        <v>20</v>
      </c>
      <c r="G858" s="13">
        <v>20318334</v>
      </c>
      <c r="H858" s="12" t="s">
        <v>175</v>
      </c>
      <c r="I858" s="13">
        <v>2</v>
      </c>
      <c r="J858" s="14">
        <v>16.5</v>
      </c>
      <c r="K858" s="14">
        <f t="shared" si="19"/>
        <v>33</v>
      </c>
    </row>
    <row r="859" spans="4:11">
      <c r="D859" s="11">
        <v>46084</v>
      </c>
      <c r="E859" s="12">
        <v>1581635</v>
      </c>
      <c r="F859" s="12" t="s">
        <v>20</v>
      </c>
      <c r="G859" s="13">
        <v>20014824</v>
      </c>
      <c r="H859" s="12" t="s">
        <v>68</v>
      </c>
      <c r="I859" s="13">
        <v>1</v>
      </c>
      <c r="J859" s="14">
        <v>16.5</v>
      </c>
      <c r="K859" s="14">
        <f t="shared" si="19"/>
        <v>16.5</v>
      </c>
    </row>
    <row r="860" spans="4:11">
      <c r="D860" s="11">
        <v>46084</v>
      </c>
      <c r="E860" s="12">
        <v>1581635</v>
      </c>
      <c r="F860" s="12" t="s">
        <v>20</v>
      </c>
      <c r="G860" s="13">
        <v>20318380</v>
      </c>
      <c r="H860" s="12" t="s">
        <v>143</v>
      </c>
      <c r="I860" s="13">
        <v>1</v>
      </c>
      <c r="J860" s="14">
        <v>16.5</v>
      </c>
      <c r="K860" s="14">
        <f t="shared" si="19"/>
        <v>16.5</v>
      </c>
    </row>
    <row r="861" spans="4:11">
      <c r="D861" s="11">
        <v>46084</v>
      </c>
      <c r="E861" s="12">
        <v>1581635</v>
      </c>
      <c r="F861" s="12" t="s">
        <v>20</v>
      </c>
      <c r="G861" s="13">
        <v>20318336</v>
      </c>
      <c r="H861" s="12" t="s">
        <v>137</v>
      </c>
      <c r="I861" s="13">
        <v>2</v>
      </c>
      <c r="J861" s="14">
        <v>16.5</v>
      </c>
      <c r="K861" s="14">
        <f t="shared" si="19"/>
        <v>33</v>
      </c>
    </row>
    <row r="862" spans="4:11">
      <c r="D862" s="11">
        <v>46084</v>
      </c>
      <c r="E862" s="12">
        <v>1581674</v>
      </c>
      <c r="F862" s="12" t="s">
        <v>13</v>
      </c>
      <c r="G862" s="13">
        <v>20312966</v>
      </c>
      <c r="H862" s="12" t="s">
        <v>147</v>
      </c>
      <c r="I862" s="13">
        <v>3</v>
      </c>
      <c r="J862" s="14">
        <v>159.5</v>
      </c>
      <c r="K862" s="14">
        <f t="shared" si="19"/>
        <v>478.5</v>
      </c>
    </row>
    <row r="863" spans="4:11">
      <c r="D863" s="11">
        <v>46084</v>
      </c>
      <c r="E863" s="12">
        <v>1581674</v>
      </c>
      <c r="F863" s="12" t="s">
        <v>13</v>
      </c>
      <c r="G863" s="13">
        <v>20312965</v>
      </c>
      <c r="H863" s="12" t="s">
        <v>15</v>
      </c>
      <c r="I863" s="13">
        <v>1</v>
      </c>
      <c r="J863" s="14">
        <v>137.5</v>
      </c>
      <c r="K863" s="14">
        <f t="shared" si="19"/>
        <v>137.5</v>
      </c>
    </row>
    <row r="864" spans="4:11">
      <c r="D864" s="11">
        <v>46084</v>
      </c>
      <c r="E864" s="12">
        <v>1581674</v>
      </c>
      <c r="F864" s="12" t="s">
        <v>13</v>
      </c>
      <c r="G864" s="13">
        <v>20312967</v>
      </c>
      <c r="H864" s="12" t="s">
        <v>130</v>
      </c>
      <c r="I864" s="13">
        <v>3</v>
      </c>
      <c r="J864" s="14">
        <v>176</v>
      </c>
      <c r="K864" s="14">
        <f t="shared" si="19"/>
        <v>528</v>
      </c>
    </row>
    <row r="865" spans="4:11">
      <c r="D865" s="11">
        <v>46084</v>
      </c>
      <c r="E865" s="12">
        <v>1581674</v>
      </c>
      <c r="F865" s="12" t="s">
        <v>13</v>
      </c>
      <c r="G865" s="13">
        <v>20414050</v>
      </c>
      <c r="H865" s="12" t="s">
        <v>209</v>
      </c>
      <c r="I865" s="13">
        <v>1</v>
      </c>
      <c r="J865" s="14">
        <v>66</v>
      </c>
      <c r="K865" s="14">
        <f t="shared" si="19"/>
        <v>66</v>
      </c>
    </row>
    <row r="866" ht="25.5" spans="4:11">
      <c r="D866" s="11">
        <v>46084</v>
      </c>
      <c r="E866" s="12">
        <v>1581674</v>
      </c>
      <c r="F866" s="12" t="s">
        <v>13</v>
      </c>
      <c r="G866" s="13">
        <v>20404520</v>
      </c>
      <c r="H866" s="12" t="s">
        <v>217</v>
      </c>
      <c r="I866" s="13">
        <v>1</v>
      </c>
      <c r="J866" s="14">
        <v>44</v>
      </c>
      <c r="K866" s="14">
        <f t="shared" si="19"/>
        <v>44</v>
      </c>
    </row>
    <row r="867" spans="4:11">
      <c r="D867" s="11">
        <v>46084</v>
      </c>
      <c r="E867" s="12">
        <v>1581674</v>
      </c>
      <c r="F867" s="12" t="s">
        <v>20</v>
      </c>
      <c r="G867" s="13">
        <v>20321257</v>
      </c>
      <c r="H867" s="12" t="s">
        <v>21</v>
      </c>
      <c r="I867" s="13">
        <v>6</v>
      </c>
      <c r="J867" s="14">
        <v>16.5</v>
      </c>
      <c r="K867" s="14">
        <f t="shared" si="19"/>
        <v>99</v>
      </c>
    </row>
    <row r="868" spans="4:11">
      <c r="D868" s="11">
        <v>46084</v>
      </c>
      <c r="E868" s="12">
        <v>1581674</v>
      </c>
      <c r="F868" s="12" t="s">
        <v>20</v>
      </c>
      <c r="G868" s="13">
        <v>20321250</v>
      </c>
      <c r="H868" s="12" t="s">
        <v>157</v>
      </c>
      <c r="I868" s="13">
        <v>1</v>
      </c>
      <c r="J868" s="14">
        <v>16.5</v>
      </c>
      <c r="K868" s="14">
        <f t="shared" si="19"/>
        <v>16.5</v>
      </c>
    </row>
    <row r="869" spans="4:11">
      <c r="D869" s="11">
        <v>46084</v>
      </c>
      <c r="E869" s="12">
        <v>1581674</v>
      </c>
      <c r="F869" s="12" t="s">
        <v>20</v>
      </c>
      <c r="G869" s="13">
        <v>20340289</v>
      </c>
      <c r="H869" s="12" t="s">
        <v>145</v>
      </c>
      <c r="I869" s="13">
        <v>1</v>
      </c>
      <c r="J869" s="14">
        <v>16.5</v>
      </c>
      <c r="K869" s="14">
        <f t="shared" si="19"/>
        <v>16.5</v>
      </c>
    </row>
    <row r="870" spans="4:11">
      <c r="D870" s="11">
        <v>46084</v>
      </c>
      <c r="E870" s="12">
        <v>1581674</v>
      </c>
      <c r="F870" s="12" t="s">
        <v>20</v>
      </c>
      <c r="G870" s="13">
        <v>20383164</v>
      </c>
      <c r="H870" s="12" t="s">
        <v>151</v>
      </c>
      <c r="I870" s="13">
        <v>2</v>
      </c>
      <c r="J870" s="14">
        <v>22</v>
      </c>
      <c r="K870" s="14">
        <f t="shared" si="19"/>
        <v>44</v>
      </c>
    </row>
    <row r="871" spans="4:11">
      <c r="D871" s="11">
        <v>46084</v>
      </c>
      <c r="E871" s="12">
        <v>1581674</v>
      </c>
      <c r="F871" s="12" t="s">
        <v>20</v>
      </c>
      <c r="G871" s="13">
        <v>20318336</v>
      </c>
      <c r="H871" s="12" t="s">
        <v>137</v>
      </c>
      <c r="I871" s="13">
        <v>1</v>
      </c>
      <c r="J871" s="14">
        <v>16.5</v>
      </c>
      <c r="K871" s="14">
        <f t="shared" si="19"/>
        <v>16.5</v>
      </c>
    </row>
    <row r="872" spans="4:11">
      <c r="D872" s="11">
        <v>46084</v>
      </c>
      <c r="E872" s="12">
        <v>1581695</v>
      </c>
      <c r="F872" s="12" t="s">
        <v>39</v>
      </c>
      <c r="G872" s="13">
        <v>20332467</v>
      </c>
      <c r="H872" s="12" t="s">
        <v>218</v>
      </c>
      <c r="I872" s="13">
        <v>1</v>
      </c>
      <c r="J872" s="14">
        <v>22</v>
      </c>
      <c r="K872" s="14">
        <f t="shared" si="19"/>
        <v>22</v>
      </c>
    </row>
    <row r="873" spans="4:11">
      <c r="D873" s="11">
        <v>46084</v>
      </c>
      <c r="E873" s="12">
        <v>1581707</v>
      </c>
      <c r="F873" s="12" t="s">
        <v>13</v>
      </c>
      <c r="G873" s="13">
        <v>20312966</v>
      </c>
      <c r="H873" s="12" t="s">
        <v>147</v>
      </c>
      <c r="I873" s="13">
        <v>1</v>
      </c>
      <c r="J873" s="14">
        <v>159.5</v>
      </c>
      <c r="K873" s="14">
        <f t="shared" si="19"/>
        <v>159.5</v>
      </c>
    </row>
    <row r="874" spans="4:11">
      <c r="D874" s="11">
        <v>46084</v>
      </c>
      <c r="E874" s="12">
        <v>1581707</v>
      </c>
      <c r="F874" s="12" t="s">
        <v>13</v>
      </c>
      <c r="G874" s="13">
        <v>20312965</v>
      </c>
      <c r="H874" s="12" t="s">
        <v>15</v>
      </c>
      <c r="I874" s="13">
        <v>4</v>
      </c>
      <c r="J874" s="14">
        <v>137.5</v>
      </c>
      <c r="K874" s="14">
        <f t="shared" si="19"/>
        <v>550</v>
      </c>
    </row>
    <row r="875" spans="4:11">
      <c r="D875" s="11">
        <v>46084</v>
      </c>
      <c r="E875" s="12">
        <v>1581707</v>
      </c>
      <c r="F875" s="12" t="s">
        <v>13</v>
      </c>
      <c r="G875" s="13">
        <v>20312968</v>
      </c>
      <c r="H875" s="12" t="s">
        <v>181</v>
      </c>
      <c r="I875" s="13">
        <v>1</v>
      </c>
      <c r="J875" s="14">
        <v>187</v>
      </c>
      <c r="K875" s="14">
        <f t="shared" si="19"/>
        <v>187</v>
      </c>
    </row>
    <row r="876" spans="4:11">
      <c r="D876" s="11">
        <v>46084</v>
      </c>
      <c r="E876" s="12">
        <v>1581707</v>
      </c>
      <c r="F876" s="12" t="s">
        <v>13</v>
      </c>
      <c r="G876" s="13">
        <v>20312967</v>
      </c>
      <c r="H876" s="12" t="s">
        <v>130</v>
      </c>
      <c r="I876" s="13">
        <v>6</v>
      </c>
      <c r="J876" s="14">
        <v>176</v>
      </c>
      <c r="K876" s="14">
        <f t="shared" si="19"/>
        <v>1056</v>
      </c>
    </row>
    <row r="877" spans="4:11">
      <c r="D877" s="11">
        <v>46084</v>
      </c>
      <c r="E877" s="12">
        <v>1581707</v>
      </c>
      <c r="F877" s="12" t="s">
        <v>13</v>
      </c>
      <c r="G877" s="13">
        <v>20321251</v>
      </c>
      <c r="H877" s="12" t="s">
        <v>219</v>
      </c>
      <c r="I877" s="13">
        <v>1</v>
      </c>
      <c r="J877" s="14">
        <v>170.5</v>
      </c>
      <c r="K877" s="14">
        <f t="shared" si="19"/>
        <v>170.5</v>
      </c>
    </row>
    <row r="878" spans="4:11">
      <c r="D878" s="11">
        <v>46084</v>
      </c>
      <c r="E878" s="12">
        <v>1581707</v>
      </c>
      <c r="F878" s="12" t="s">
        <v>39</v>
      </c>
      <c r="G878" s="13">
        <v>20322150</v>
      </c>
      <c r="H878" s="12" t="s">
        <v>198</v>
      </c>
      <c r="I878" s="13">
        <v>2</v>
      </c>
      <c r="J878" s="14">
        <v>49.5</v>
      </c>
      <c r="K878" s="14">
        <f t="shared" si="19"/>
        <v>99</v>
      </c>
    </row>
    <row r="879" spans="4:11">
      <c r="D879" s="11">
        <v>46084</v>
      </c>
      <c r="E879" s="12">
        <v>1581707</v>
      </c>
      <c r="F879" s="12" t="s">
        <v>16</v>
      </c>
      <c r="G879" s="13">
        <v>20318363</v>
      </c>
      <c r="H879" s="12" t="s">
        <v>156</v>
      </c>
      <c r="I879" s="13">
        <v>1</v>
      </c>
      <c r="J879" s="14">
        <v>8</v>
      </c>
      <c r="K879" s="14">
        <f t="shared" si="19"/>
        <v>8</v>
      </c>
    </row>
    <row r="880" spans="4:11">
      <c r="D880" s="11">
        <v>46084</v>
      </c>
      <c r="E880" s="12">
        <v>1581707</v>
      </c>
      <c r="F880" s="12" t="s">
        <v>20</v>
      </c>
      <c r="G880" s="13">
        <v>20318340</v>
      </c>
      <c r="H880" s="12" t="s">
        <v>144</v>
      </c>
      <c r="I880" s="13">
        <v>1</v>
      </c>
      <c r="J880" s="14">
        <v>16.5</v>
      </c>
      <c r="K880" s="14">
        <f>J880*I880</f>
        <v>16.5</v>
      </c>
    </row>
    <row r="881" spans="4:11">
      <c r="D881" s="11">
        <v>46084</v>
      </c>
      <c r="E881" s="12">
        <v>1581707</v>
      </c>
      <c r="F881" s="12" t="s">
        <v>20</v>
      </c>
      <c r="G881" s="13">
        <v>20383164</v>
      </c>
      <c r="H881" s="12" t="s">
        <v>151</v>
      </c>
      <c r="I881" s="13">
        <v>1</v>
      </c>
      <c r="J881" s="14">
        <v>22</v>
      </c>
      <c r="K881" s="14">
        <f>J881*I881</f>
        <v>22</v>
      </c>
    </row>
    <row r="882" spans="4:11">
      <c r="D882" s="11">
        <v>46084</v>
      </c>
      <c r="E882" s="12">
        <v>1581707</v>
      </c>
      <c r="F882" s="12" t="s">
        <v>20</v>
      </c>
      <c r="G882" s="13">
        <v>20318336</v>
      </c>
      <c r="H882" s="12" t="s">
        <v>137</v>
      </c>
      <c r="I882" s="13">
        <v>2</v>
      </c>
      <c r="J882" s="14">
        <v>16.5</v>
      </c>
      <c r="K882" s="14">
        <f>J882*I882</f>
        <v>33</v>
      </c>
    </row>
    <row r="883" spans="4:11">
      <c r="D883" s="11">
        <v>46084</v>
      </c>
      <c r="E883" s="12">
        <v>1581707</v>
      </c>
      <c r="F883" s="12" t="s">
        <v>20</v>
      </c>
      <c r="G883" s="13">
        <v>20322118</v>
      </c>
      <c r="H883" s="12" t="s">
        <v>170</v>
      </c>
      <c r="I883" s="13">
        <v>1</v>
      </c>
      <c r="J883" s="14">
        <v>16.5</v>
      </c>
      <c r="K883" s="14">
        <f>J883*I883</f>
        <v>16.5</v>
      </c>
    </row>
    <row r="884" spans="4:11">
      <c r="D884" s="11">
        <v>46084</v>
      </c>
      <c r="E884" s="12">
        <v>1581721</v>
      </c>
      <c r="F884" s="12" t="s">
        <v>13</v>
      </c>
      <c r="G884" s="13">
        <v>20321719</v>
      </c>
      <c r="H884" s="12" t="s">
        <v>146</v>
      </c>
      <c r="I884" s="13">
        <v>1</v>
      </c>
      <c r="J884" s="14">
        <v>49.5</v>
      </c>
      <c r="K884" s="14">
        <f t="shared" ref="K884:K911" si="20">J884*I884</f>
        <v>49.5</v>
      </c>
    </row>
    <row r="885" spans="4:11">
      <c r="D885" s="11">
        <v>46084</v>
      </c>
      <c r="E885" s="12">
        <v>1581729</v>
      </c>
      <c r="F885" s="12" t="s">
        <v>16</v>
      </c>
      <c r="G885" s="13">
        <v>20353761</v>
      </c>
      <c r="H885" s="12" t="s">
        <v>220</v>
      </c>
      <c r="I885" s="13">
        <v>1</v>
      </c>
      <c r="J885" s="14">
        <v>8</v>
      </c>
      <c r="K885" s="14">
        <f t="shared" si="20"/>
        <v>8</v>
      </c>
    </row>
    <row r="886" spans="4:11">
      <c r="D886" s="11">
        <v>46084</v>
      </c>
      <c r="E886" s="12">
        <v>1581729</v>
      </c>
      <c r="F886" s="12" t="s">
        <v>20</v>
      </c>
      <c r="G886" s="13">
        <v>20318334</v>
      </c>
      <c r="H886" s="12" t="s">
        <v>175</v>
      </c>
      <c r="I886" s="13">
        <v>1</v>
      </c>
      <c r="J886" s="14">
        <v>16.5</v>
      </c>
      <c r="K886" s="14">
        <f t="shared" si="20"/>
        <v>16.5</v>
      </c>
    </row>
    <row r="887" spans="4:11">
      <c r="D887" s="11">
        <v>46084</v>
      </c>
      <c r="E887" s="12">
        <v>1581770</v>
      </c>
      <c r="F887" s="12" t="s">
        <v>13</v>
      </c>
      <c r="G887" s="13">
        <v>20312966</v>
      </c>
      <c r="H887" s="12" t="s">
        <v>147</v>
      </c>
      <c r="I887" s="13">
        <v>1</v>
      </c>
      <c r="J887" s="14">
        <v>159.5</v>
      </c>
      <c r="K887" s="14">
        <f t="shared" si="20"/>
        <v>159.5</v>
      </c>
    </row>
    <row r="888" spans="4:11">
      <c r="D888" s="11">
        <v>46084</v>
      </c>
      <c r="E888" s="12">
        <v>1581770</v>
      </c>
      <c r="F888" s="12" t="s">
        <v>13</v>
      </c>
      <c r="G888" s="13">
        <v>20312965</v>
      </c>
      <c r="H888" s="12" t="s">
        <v>15</v>
      </c>
      <c r="I888" s="13">
        <v>1</v>
      </c>
      <c r="J888" s="14">
        <v>137.5</v>
      </c>
      <c r="K888" s="14">
        <f t="shared" si="20"/>
        <v>137.5</v>
      </c>
    </row>
    <row r="889" spans="4:11">
      <c r="D889" s="11">
        <v>46084</v>
      </c>
      <c r="E889" s="12">
        <v>1581770</v>
      </c>
      <c r="F889" s="12" t="s">
        <v>13</v>
      </c>
      <c r="G889" s="13">
        <v>20312968</v>
      </c>
      <c r="H889" s="12" t="s">
        <v>181</v>
      </c>
      <c r="I889" s="13">
        <v>1</v>
      </c>
      <c r="J889" s="14">
        <v>187</v>
      </c>
      <c r="K889" s="14">
        <f t="shared" si="20"/>
        <v>187</v>
      </c>
    </row>
    <row r="890" spans="4:11">
      <c r="D890" s="11">
        <v>46084</v>
      </c>
      <c r="E890" s="12">
        <v>1581770</v>
      </c>
      <c r="F890" s="12" t="s">
        <v>20</v>
      </c>
      <c r="G890" s="13">
        <v>20343399</v>
      </c>
      <c r="H890" s="12" t="s">
        <v>153</v>
      </c>
      <c r="I890" s="13">
        <v>1</v>
      </c>
      <c r="J890" s="14">
        <v>33</v>
      </c>
      <c r="K890" s="14">
        <f t="shared" si="20"/>
        <v>33</v>
      </c>
    </row>
    <row r="891" spans="4:11">
      <c r="D891" s="11">
        <v>46084</v>
      </c>
      <c r="E891" s="12">
        <v>1581770</v>
      </c>
      <c r="F891" s="12" t="s">
        <v>20</v>
      </c>
      <c r="G891" s="13">
        <v>20318378</v>
      </c>
      <c r="H891" s="12" t="s">
        <v>128</v>
      </c>
      <c r="I891" s="13">
        <v>1</v>
      </c>
      <c r="J891" s="14">
        <v>16.5</v>
      </c>
      <c r="K891" s="14">
        <f t="shared" si="20"/>
        <v>16.5</v>
      </c>
    </row>
    <row r="892" spans="4:11">
      <c r="D892" s="11">
        <v>46084</v>
      </c>
      <c r="E892" s="12">
        <v>1581770</v>
      </c>
      <c r="F892" s="12" t="s">
        <v>20</v>
      </c>
      <c r="G892" s="13">
        <v>20318340</v>
      </c>
      <c r="H892" s="12" t="s">
        <v>144</v>
      </c>
      <c r="I892" s="13">
        <v>2</v>
      </c>
      <c r="J892" s="14">
        <v>16.5</v>
      </c>
      <c r="K892" s="14">
        <f t="shared" si="20"/>
        <v>33</v>
      </c>
    </row>
    <row r="893" spans="4:11">
      <c r="D893" s="11">
        <v>46084</v>
      </c>
      <c r="E893" s="12">
        <v>1581770</v>
      </c>
      <c r="F893" s="12" t="s">
        <v>20</v>
      </c>
      <c r="G893" s="13">
        <v>20374808</v>
      </c>
      <c r="H893" s="12" t="s">
        <v>173</v>
      </c>
      <c r="I893" s="13">
        <v>1</v>
      </c>
      <c r="J893" s="14">
        <v>16.5</v>
      </c>
      <c r="K893" s="14">
        <f t="shared" si="20"/>
        <v>16.5</v>
      </c>
    </row>
    <row r="894" spans="4:11">
      <c r="D894" s="11">
        <v>46084</v>
      </c>
      <c r="E894" s="12">
        <v>1581770</v>
      </c>
      <c r="F894" s="12" t="s">
        <v>20</v>
      </c>
      <c r="G894" s="13">
        <v>20318342</v>
      </c>
      <c r="H894" s="12" t="s">
        <v>115</v>
      </c>
      <c r="I894" s="13">
        <v>1</v>
      </c>
      <c r="J894" s="14">
        <v>16.5</v>
      </c>
      <c r="K894" s="14">
        <f t="shared" si="20"/>
        <v>16.5</v>
      </c>
    </row>
    <row r="895" spans="4:11">
      <c r="D895" s="11">
        <v>46084</v>
      </c>
      <c r="E895" s="12">
        <v>1581784</v>
      </c>
      <c r="F895" s="12" t="s">
        <v>13</v>
      </c>
      <c r="G895" s="13">
        <v>20321476</v>
      </c>
      <c r="H895" s="12" t="s">
        <v>148</v>
      </c>
      <c r="I895" s="13">
        <v>1</v>
      </c>
      <c r="J895" s="14">
        <v>55</v>
      </c>
      <c r="K895" s="14">
        <f t="shared" si="20"/>
        <v>55</v>
      </c>
    </row>
    <row r="896" spans="4:11">
      <c r="D896" s="11">
        <v>46084</v>
      </c>
      <c r="E896" s="12">
        <v>1581784</v>
      </c>
      <c r="F896" s="12" t="s">
        <v>13</v>
      </c>
      <c r="G896" s="13">
        <v>20312966</v>
      </c>
      <c r="H896" s="12" t="s">
        <v>147</v>
      </c>
      <c r="I896" s="13">
        <v>3</v>
      </c>
      <c r="J896" s="14">
        <v>159.5</v>
      </c>
      <c r="K896" s="14">
        <f t="shared" si="20"/>
        <v>478.5</v>
      </c>
    </row>
    <row r="897" spans="4:11">
      <c r="D897" s="11">
        <v>46084</v>
      </c>
      <c r="E897" s="12">
        <v>1581784</v>
      </c>
      <c r="F897" s="12" t="s">
        <v>13</v>
      </c>
      <c r="G897" s="13">
        <v>20312965</v>
      </c>
      <c r="H897" s="12" t="s">
        <v>15</v>
      </c>
      <c r="I897" s="13">
        <v>4</v>
      </c>
      <c r="J897" s="14">
        <v>137.5</v>
      </c>
      <c r="K897" s="14">
        <f t="shared" si="20"/>
        <v>550</v>
      </c>
    </row>
    <row r="898" spans="4:11">
      <c r="D898" s="11">
        <v>46084</v>
      </c>
      <c r="E898" s="12">
        <v>1581784</v>
      </c>
      <c r="F898" s="12" t="s">
        <v>13</v>
      </c>
      <c r="G898" s="13">
        <v>20312967</v>
      </c>
      <c r="H898" s="12" t="s">
        <v>130</v>
      </c>
      <c r="I898" s="13">
        <v>3</v>
      </c>
      <c r="J898" s="14">
        <v>176</v>
      </c>
      <c r="K898" s="14">
        <f t="shared" si="20"/>
        <v>528</v>
      </c>
    </row>
    <row r="899" spans="4:11">
      <c r="D899" s="11">
        <v>46084</v>
      </c>
      <c r="E899" s="12">
        <v>1581784</v>
      </c>
      <c r="F899" s="12" t="s">
        <v>39</v>
      </c>
      <c r="G899" s="13">
        <v>20322150</v>
      </c>
      <c r="H899" s="12" t="s">
        <v>198</v>
      </c>
      <c r="I899" s="13">
        <v>1</v>
      </c>
      <c r="J899" s="14">
        <v>49.5</v>
      </c>
      <c r="K899" s="14">
        <f t="shared" si="20"/>
        <v>49.5</v>
      </c>
    </row>
    <row r="900" spans="4:11">
      <c r="D900" s="11">
        <v>46084</v>
      </c>
      <c r="E900" s="12">
        <v>1581784</v>
      </c>
      <c r="F900" s="12" t="s">
        <v>53</v>
      </c>
      <c r="G900" s="13">
        <v>20322243</v>
      </c>
      <c r="H900" s="12" t="s">
        <v>54</v>
      </c>
      <c r="I900" s="13">
        <v>1</v>
      </c>
      <c r="J900" s="14">
        <v>30</v>
      </c>
      <c r="K900" s="14">
        <f t="shared" si="20"/>
        <v>30</v>
      </c>
    </row>
    <row r="901" spans="4:11">
      <c r="D901" s="11">
        <v>46084</v>
      </c>
      <c r="E901" s="12">
        <v>1581784</v>
      </c>
      <c r="F901" s="12" t="s">
        <v>53</v>
      </c>
      <c r="G901" s="13">
        <v>20330757</v>
      </c>
      <c r="H901" s="12" t="s">
        <v>113</v>
      </c>
      <c r="I901" s="13">
        <v>4</v>
      </c>
      <c r="J901" s="14">
        <v>35</v>
      </c>
      <c r="K901" s="14">
        <f t="shared" si="20"/>
        <v>140</v>
      </c>
    </row>
    <row r="902" spans="4:11">
      <c r="D902" s="11">
        <v>46084</v>
      </c>
      <c r="E902" s="12">
        <v>1581784</v>
      </c>
      <c r="F902" s="12" t="s">
        <v>20</v>
      </c>
      <c r="G902" s="13">
        <v>20321257</v>
      </c>
      <c r="H902" s="12" t="s">
        <v>21</v>
      </c>
      <c r="I902" s="13">
        <v>1</v>
      </c>
      <c r="J902" s="14">
        <v>16.5</v>
      </c>
      <c r="K902" s="14">
        <f t="shared" si="20"/>
        <v>16.5</v>
      </c>
    </row>
    <row r="903" spans="4:11">
      <c r="D903" s="11">
        <v>46084</v>
      </c>
      <c r="E903" s="12">
        <v>1581800</v>
      </c>
      <c r="F903" s="12" t="s">
        <v>13</v>
      </c>
      <c r="G903" s="13">
        <v>20321252</v>
      </c>
      <c r="H903" s="12" t="s">
        <v>149</v>
      </c>
      <c r="I903" s="13">
        <v>1</v>
      </c>
      <c r="J903" s="14">
        <v>49.5</v>
      </c>
      <c r="K903" s="14">
        <f t="shared" si="20"/>
        <v>49.5</v>
      </c>
    </row>
    <row r="904" spans="4:11">
      <c r="D904" s="11">
        <v>46084</v>
      </c>
      <c r="E904" s="12">
        <v>1581800</v>
      </c>
      <c r="F904" s="12" t="s">
        <v>13</v>
      </c>
      <c r="G904" s="13">
        <v>20331447</v>
      </c>
      <c r="H904" s="12" t="s">
        <v>221</v>
      </c>
      <c r="I904" s="13">
        <v>1</v>
      </c>
      <c r="J904" s="14">
        <v>264</v>
      </c>
      <c r="K904" s="14">
        <f t="shared" si="20"/>
        <v>264</v>
      </c>
    </row>
    <row r="905" spans="4:11">
      <c r="D905" s="11">
        <v>46084</v>
      </c>
      <c r="E905" s="12">
        <v>1581800</v>
      </c>
      <c r="F905" s="12" t="s">
        <v>13</v>
      </c>
      <c r="G905" s="13">
        <v>20312966</v>
      </c>
      <c r="H905" s="12" t="s">
        <v>147</v>
      </c>
      <c r="I905" s="13">
        <v>7</v>
      </c>
      <c r="J905" s="14">
        <v>159.5</v>
      </c>
      <c r="K905" s="14">
        <f t="shared" si="20"/>
        <v>1116.5</v>
      </c>
    </row>
    <row r="906" spans="4:11">
      <c r="D906" s="11">
        <v>46084</v>
      </c>
      <c r="E906" s="12">
        <v>1581800</v>
      </c>
      <c r="F906" s="12" t="s">
        <v>13</v>
      </c>
      <c r="G906" s="13">
        <v>20312965</v>
      </c>
      <c r="H906" s="12" t="s">
        <v>15</v>
      </c>
      <c r="I906" s="13">
        <v>3</v>
      </c>
      <c r="J906" s="14">
        <v>137.5</v>
      </c>
      <c r="K906" s="14">
        <f t="shared" si="20"/>
        <v>412.5</v>
      </c>
    </row>
    <row r="907" spans="4:11">
      <c r="D907" s="11">
        <v>46084</v>
      </c>
      <c r="E907" s="12">
        <v>1581800</v>
      </c>
      <c r="F907" s="12" t="s">
        <v>13</v>
      </c>
      <c r="G907" s="13">
        <v>20312967</v>
      </c>
      <c r="H907" s="12" t="s">
        <v>130</v>
      </c>
      <c r="I907" s="13">
        <v>6</v>
      </c>
      <c r="J907" s="14">
        <v>176</v>
      </c>
      <c r="K907" s="14">
        <f t="shared" si="20"/>
        <v>1056</v>
      </c>
    </row>
    <row r="908" spans="4:11">
      <c r="D908" s="11">
        <v>46084</v>
      </c>
      <c r="E908" s="12">
        <v>1581800</v>
      </c>
      <c r="F908" s="12" t="s">
        <v>39</v>
      </c>
      <c r="G908" s="13">
        <v>20327254</v>
      </c>
      <c r="H908" s="12" t="s">
        <v>203</v>
      </c>
      <c r="I908" s="13">
        <v>1</v>
      </c>
      <c r="J908" s="14">
        <v>49.5</v>
      </c>
      <c r="K908" s="14">
        <f t="shared" si="20"/>
        <v>49.5</v>
      </c>
    </row>
    <row r="909" spans="4:11">
      <c r="D909" s="11">
        <v>46084</v>
      </c>
      <c r="E909" s="12">
        <v>1581800</v>
      </c>
      <c r="F909" s="12" t="s">
        <v>39</v>
      </c>
      <c r="G909" s="13">
        <v>20322150</v>
      </c>
      <c r="H909" s="12" t="s">
        <v>198</v>
      </c>
      <c r="I909" s="13">
        <v>1</v>
      </c>
      <c r="J909" s="14">
        <v>49.5</v>
      </c>
      <c r="K909" s="14">
        <f t="shared" si="20"/>
        <v>49.5</v>
      </c>
    </row>
    <row r="910" spans="4:11">
      <c r="D910" s="11">
        <v>46084</v>
      </c>
      <c r="E910" s="12">
        <v>1581800</v>
      </c>
      <c r="F910" s="12" t="s">
        <v>39</v>
      </c>
      <c r="G910" s="13">
        <v>20410992</v>
      </c>
      <c r="H910" s="12" t="s">
        <v>199</v>
      </c>
      <c r="I910" s="13">
        <v>2</v>
      </c>
      <c r="J910" s="14">
        <v>49.5</v>
      </c>
      <c r="K910" s="14">
        <f t="shared" si="20"/>
        <v>99</v>
      </c>
    </row>
    <row r="911" spans="4:11">
      <c r="D911" s="11">
        <v>46084</v>
      </c>
      <c r="E911" s="12">
        <v>1581800</v>
      </c>
      <c r="F911" s="12" t="s">
        <v>53</v>
      </c>
      <c r="G911" s="13">
        <v>20402355</v>
      </c>
      <c r="H911" s="12" t="s">
        <v>139</v>
      </c>
      <c r="I911" s="13">
        <v>1</v>
      </c>
      <c r="J911" s="14">
        <v>25</v>
      </c>
      <c r="K911" s="14">
        <f t="shared" si="20"/>
        <v>25</v>
      </c>
    </row>
    <row r="912" spans="4:11">
      <c r="D912" s="11">
        <v>46084</v>
      </c>
      <c r="E912" s="12">
        <v>1581800</v>
      </c>
      <c r="F912" s="12" t="s">
        <v>20</v>
      </c>
      <c r="G912" s="13">
        <v>20318380</v>
      </c>
      <c r="H912" s="12" t="s">
        <v>143</v>
      </c>
      <c r="I912" s="13">
        <v>1</v>
      </c>
      <c r="J912" s="14">
        <v>16.5</v>
      </c>
      <c r="K912" s="14">
        <f t="shared" ref="K912:K975" si="21">J912*I912</f>
        <v>16.5</v>
      </c>
    </row>
    <row r="913" spans="4:11">
      <c r="D913" s="11">
        <v>46084</v>
      </c>
      <c r="E913" s="12">
        <v>1581800</v>
      </c>
      <c r="F913" s="12" t="s">
        <v>20</v>
      </c>
      <c r="G913" s="13">
        <v>20318340</v>
      </c>
      <c r="H913" s="12" t="s">
        <v>144</v>
      </c>
      <c r="I913" s="13">
        <v>1</v>
      </c>
      <c r="J913" s="14">
        <v>16.5</v>
      </c>
      <c r="K913" s="14">
        <f t="shared" si="21"/>
        <v>16.5</v>
      </c>
    </row>
    <row r="914" spans="4:11">
      <c r="D914" s="11">
        <v>46084</v>
      </c>
      <c r="E914" s="12">
        <v>1581800</v>
      </c>
      <c r="F914" s="12" t="s">
        <v>20</v>
      </c>
      <c r="G914" s="13">
        <v>20387214</v>
      </c>
      <c r="H914" s="12" t="s">
        <v>222</v>
      </c>
      <c r="I914" s="13">
        <v>1</v>
      </c>
      <c r="J914" s="14">
        <v>16.5</v>
      </c>
      <c r="K914" s="14">
        <f t="shared" si="21"/>
        <v>16.5</v>
      </c>
    </row>
    <row r="915" spans="4:11">
      <c r="D915" s="11">
        <v>46084</v>
      </c>
      <c r="E915" s="12">
        <v>1581800</v>
      </c>
      <c r="F915" s="12" t="s">
        <v>20</v>
      </c>
      <c r="G915" s="13">
        <v>20321250</v>
      </c>
      <c r="H915" s="12" t="s">
        <v>157</v>
      </c>
      <c r="I915" s="13">
        <v>3</v>
      </c>
      <c r="J915" s="14">
        <v>16.5</v>
      </c>
      <c r="K915" s="14">
        <f t="shared" si="21"/>
        <v>49.5</v>
      </c>
    </row>
    <row r="916" spans="4:11">
      <c r="D916" s="11">
        <v>46084</v>
      </c>
      <c r="E916" s="12">
        <v>1581800</v>
      </c>
      <c r="F916" s="12" t="s">
        <v>20</v>
      </c>
      <c r="G916" s="13">
        <v>20318383</v>
      </c>
      <c r="H916" s="12" t="s">
        <v>178</v>
      </c>
      <c r="I916" s="13">
        <v>1</v>
      </c>
      <c r="J916" s="14">
        <v>16.5</v>
      </c>
      <c r="K916" s="14">
        <f t="shared" si="21"/>
        <v>16.5</v>
      </c>
    </row>
    <row r="917" spans="4:11">
      <c r="D917" s="11">
        <v>46084</v>
      </c>
      <c r="E917" s="12">
        <v>1581800</v>
      </c>
      <c r="F917" s="12" t="s">
        <v>20</v>
      </c>
      <c r="G917" s="13">
        <v>20340289</v>
      </c>
      <c r="H917" s="12" t="s">
        <v>145</v>
      </c>
      <c r="I917" s="13">
        <v>1</v>
      </c>
      <c r="J917" s="14">
        <v>16.5</v>
      </c>
      <c r="K917" s="14">
        <f t="shared" si="21"/>
        <v>16.5</v>
      </c>
    </row>
    <row r="918" spans="4:11">
      <c r="D918" s="11">
        <v>46084</v>
      </c>
      <c r="E918" s="12">
        <v>1581800</v>
      </c>
      <c r="F918" s="12" t="s">
        <v>20</v>
      </c>
      <c r="G918" s="13">
        <v>20407575</v>
      </c>
      <c r="H918" s="12" t="s">
        <v>140</v>
      </c>
      <c r="I918" s="13">
        <v>1</v>
      </c>
      <c r="J918" s="14">
        <v>16.5</v>
      </c>
      <c r="K918" s="14">
        <f t="shared" si="21"/>
        <v>16.5</v>
      </c>
    </row>
    <row r="919" spans="4:11">
      <c r="D919" s="11">
        <v>46084</v>
      </c>
      <c r="E919" s="12">
        <v>1581800</v>
      </c>
      <c r="F919" s="12" t="s">
        <v>20</v>
      </c>
      <c r="G919" s="13">
        <v>20414408</v>
      </c>
      <c r="H919" s="12" t="s">
        <v>223</v>
      </c>
      <c r="I919" s="13">
        <v>1</v>
      </c>
      <c r="J919" s="14">
        <v>16.5</v>
      </c>
      <c r="K919" s="14">
        <f t="shared" si="21"/>
        <v>16.5</v>
      </c>
    </row>
    <row r="920" spans="4:11">
      <c r="D920" s="11">
        <v>46084</v>
      </c>
      <c r="E920" s="12">
        <v>1581800</v>
      </c>
      <c r="F920" s="12" t="s">
        <v>20</v>
      </c>
      <c r="G920" s="13">
        <v>20318389</v>
      </c>
      <c r="H920" s="12" t="s">
        <v>192</v>
      </c>
      <c r="I920" s="13">
        <v>1</v>
      </c>
      <c r="J920" s="14">
        <v>16.5</v>
      </c>
      <c r="K920" s="14">
        <f t="shared" si="21"/>
        <v>16.5</v>
      </c>
    </row>
    <row r="921" spans="4:11">
      <c r="D921" s="11">
        <v>46084</v>
      </c>
      <c r="E921" s="12">
        <v>1581800</v>
      </c>
      <c r="F921" s="12" t="s">
        <v>20</v>
      </c>
      <c r="G921" s="13">
        <v>20318336</v>
      </c>
      <c r="H921" s="12" t="s">
        <v>137</v>
      </c>
      <c r="I921" s="13">
        <v>1</v>
      </c>
      <c r="J921" s="14">
        <v>16.5</v>
      </c>
      <c r="K921" s="14">
        <f t="shared" si="21"/>
        <v>16.5</v>
      </c>
    </row>
    <row r="922" spans="4:11">
      <c r="D922" s="11">
        <v>46084</v>
      </c>
      <c r="E922" s="12">
        <v>1581800</v>
      </c>
      <c r="F922" s="12" t="s">
        <v>20</v>
      </c>
      <c r="G922" s="13">
        <v>20318342</v>
      </c>
      <c r="H922" s="12" t="s">
        <v>115</v>
      </c>
      <c r="I922" s="13">
        <v>1</v>
      </c>
      <c r="J922" s="14">
        <v>16.5</v>
      </c>
      <c r="K922" s="14">
        <f t="shared" si="21"/>
        <v>16.5</v>
      </c>
    </row>
    <row r="923" spans="4:11">
      <c r="D923" s="11">
        <v>46085</v>
      </c>
      <c r="E923" s="12">
        <v>1581940</v>
      </c>
      <c r="F923" s="12" t="s">
        <v>13</v>
      </c>
      <c r="G923" s="13">
        <v>20321719</v>
      </c>
      <c r="H923" s="12" t="s">
        <v>146</v>
      </c>
      <c r="I923" s="13">
        <v>1</v>
      </c>
      <c r="J923" s="14">
        <v>49.5</v>
      </c>
      <c r="K923" s="14">
        <f t="shared" si="21"/>
        <v>49.5</v>
      </c>
    </row>
    <row r="924" spans="4:11">
      <c r="D924" s="11">
        <v>46085</v>
      </c>
      <c r="E924" s="12">
        <v>1581940</v>
      </c>
      <c r="F924" s="12" t="s">
        <v>13</v>
      </c>
      <c r="G924" s="13">
        <v>20312966</v>
      </c>
      <c r="H924" s="12" t="s">
        <v>147</v>
      </c>
      <c r="I924" s="13">
        <v>5</v>
      </c>
      <c r="J924" s="14">
        <v>159.5</v>
      </c>
      <c r="K924" s="14">
        <f t="shared" si="21"/>
        <v>797.5</v>
      </c>
    </row>
    <row r="925" spans="4:11">
      <c r="D925" s="11">
        <v>46085</v>
      </c>
      <c r="E925" s="12">
        <v>1581940</v>
      </c>
      <c r="F925" s="12" t="s">
        <v>13</v>
      </c>
      <c r="G925" s="13">
        <v>20312965</v>
      </c>
      <c r="H925" s="12" t="s">
        <v>15</v>
      </c>
      <c r="I925" s="13">
        <v>3</v>
      </c>
      <c r="J925" s="14">
        <v>137.5</v>
      </c>
      <c r="K925" s="14">
        <f t="shared" si="21"/>
        <v>412.5</v>
      </c>
    </row>
    <row r="926" spans="4:11">
      <c r="D926" s="11">
        <v>46085</v>
      </c>
      <c r="E926" s="12">
        <v>1581940</v>
      </c>
      <c r="F926" s="12" t="s">
        <v>13</v>
      </c>
      <c r="G926" s="13">
        <v>20312967</v>
      </c>
      <c r="H926" s="12" t="s">
        <v>130</v>
      </c>
      <c r="I926" s="13">
        <v>1</v>
      </c>
      <c r="J926" s="14">
        <v>176</v>
      </c>
      <c r="K926" s="14">
        <f t="shared" si="21"/>
        <v>176</v>
      </c>
    </row>
    <row r="927" spans="4:11">
      <c r="D927" s="11">
        <v>46085</v>
      </c>
      <c r="E927" s="12">
        <v>1581940</v>
      </c>
      <c r="F927" s="12" t="s">
        <v>39</v>
      </c>
      <c r="G927" s="13">
        <v>20327255</v>
      </c>
      <c r="H927" s="12" t="s">
        <v>193</v>
      </c>
      <c r="I927" s="13">
        <v>1</v>
      </c>
      <c r="J927" s="14">
        <v>55</v>
      </c>
      <c r="K927" s="14">
        <f t="shared" si="21"/>
        <v>55</v>
      </c>
    </row>
    <row r="928" spans="4:11">
      <c r="D928" s="11">
        <v>46085</v>
      </c>
      <c r="E928" s="12">
        <v>1581940</v>
      </c>
      <c r="F928" s="12" t="s">
        <v>16</v>
      </c>
      <c r="G928" s="13">
        <v>20366610</v>
      </c>
      <c r="H928" s="12" t="s">
        <v>155</v>
      </c>
      <c r="I928" s="13">
        <v>1</v>
      </c>
      <c r="J928" s="14">
        <v>16.5</v>
      </c>
      <c r="K928" s="14">
        <f t="shared" si="21"/>
        <v>16.5</v>
      </c>
    </row>
    <row r="929" spans="4:11">
      <c r="D929" s="11">
        <v>46085</v>
      </c>
      <c r="E929" s="12">
        <v>1581940</v>
      </c>
      <c r="F929" s="12" t="s">
        <v>16</v>
      </c>
      <c r="G929" s="13">
        <v>20410957</v>
      </c>
      <c r="H929" s="12" t="s">
        <v>196</v>
      </c>
      <c r="I929" s="13">
        <v>1</v>
      </c>
      <c r="J929" s="14">
        <v>16.5</v>
      </c>
      <c r="K929" s="14">
        <f t="shared" si="21"/>
        <v>16.5</v>
      </c>
    </row>
    <row r="930" spans="4:11">
      <c r="D930" s="11">
        <v>46085</v>
      </c>
      <c r="E930" s="12">
        <v>1581940</v>
      </c>
      <c r="F930" s="12" t="s">
        <v>53</v>
      </c>
      <c r="G930" s="13">
        <v>20322304</v>
      </c>
      <c r="H930" s="12" t="s">
        <v>112</v>
      </c>
      <c r="I930" s="13">
        <v>4</v>
      </c>
      <c r="J930" s="14">
        <v>25</v>
      </c>
      <c r="K930" s="14">
        <f t="shared" si="21"/>
        <v>100</v>
      </c>
    </row>
    <row r="931" spans="4:11">
      <c r="D931" s="11">
        <v>46085</v>
      </c>
      <c r="E931" s="12">
        <v>1581940</v>
      </c>
      <c r="F931" s="12" t="s">
        <v>53</v>
      </c>
      <c r="G931" s="13">
        <v>20330757</v>
      </c>
      <c r="H931" s="12" t="s">
        <v>113</v>
      </c>
      <c r="I931" s="13">
        <v>5</v>
      </c>
      <c r="J931" s="14">
        <v>35</v>
      </c>
      <c r="K931" s="14">
        <f t="shared" si="21"/>
        <v>175</v>
      </c>
    </row>
    <row r="932" spans="4:11">
      <c r="D932" s="11">
        <v>46085</v>
      </c>
      <c r="E932" s="12">
        <v>1581940</v>
      </c>
      <c r="F932" s="12" t="s">
        <v>30</v>
      </c>
      <c r="G932" s="13">
        <v>20366063</v>
      </c>
      <c r="H932" s="12" t="s">
        <v>197</v>
      </c>
      <c r="I932" s="13">
        <v>1</v>
      </c>
      <c r="J932" s="14">
        <v>66</v>
      </c>
      <c r="K932" s="14">
        <f t="shared" si="21"/>
        <v>66</v>
      </c>
    </row>
    <row r="933" spans="4:11">
      <c r="D933" s="11">
        <v>46085</v>
      </c>
      <c r="E933" s="12">
        <v>1581940</v>
      </c>
      <c r="F933" s="12" t="s">
        <v>20</v>
      </c>
      <c r="G933" s="13">
        <v>20321257</v>
      </c>
      <c r="H933" s="12" t="s">
        <v>21</v>
      </c>
      <c r="I933" s="13">
        <v>10</v>
      </c>
      <c r="J933" s="14">
        <v>16.5</v>
      </c>
      <c r="K933" s="14">
        <f t="shared" si="21"/>
        <v>165</v>
      </c>
    </row>
    <row r="934" spans="4:11">
      <c r="D934" s="11">
        <v>46085</v>
      </c>
      <c r="E934" s="12">
        <v>1581940</v>
      </c>
      <c r="F934" s="12" t="s">
        <v>20</v>
      </c>
      <c r="G934" s="13">
        <v>20318334</v>
      </c>
      <c r="H934" s="12" t="s">
        <v>175</v>
      </c>
      <c r="I934" s="13">
        <v>1</v>
      </c>
      <c r="J934" s="14">
        <v>16.5</v>
      </c>
      <c r="K934" s="14">
        <f t="shared" si="21"/>
        <v>16.5</v>
      </c>
    </row>
    <row r="935" spans="4:11">
      <c r="D935" s="11">
        <v>46085</v>
      </c>
      <c r="E935" s="12">
        <v>1581940</v>
      </c>
      <c r="F935" s="12" t="s">
        <v>20</v>
      </c>
      <c r="G935" s="13">
        <v>20318378</v>
      </c>
      <c r="H935" s="12" t="s">
        <v>128</v>
      </c>
      <c r="I935" s="13">
        <v>2</v>
      </c>
      <c r="J935" s="14">
        <v>16.5</v>
      </c>
      <c r="K935" s="14">
        <f t="shared" si="21"/>
        <v>33</v>
      </c>
    </row>
    <row r="936" spans="4:11">
      <c r="D936" s="11">
        <v>46085</v>
      </c>
      <c r="E936" s="12">
        <v>1581940</v>
      </c>
      <c r="F936" s="12" t="s">
        <v>20</v>
      </c>
      <c r="G936" s="13">
        <v>20318380</v>
      </c>
      <c r="H936" s="12" t="s">
        <v>143</v>
      </c>
      <c r="I936" s="13">
        <v>2</v>
      </c>
      <c r="J936" s="14">
        <v>16.5</v>
      </c>
      <c r="K936" s="14">
        <f t="shared" si="21"/>
        <v>33</v>
      </c>
    </row>
    <row r="937" spans="4:11">
      <c r="D937" s="11">
        <v>46085</v>
      </c>
      <c r="E937" s="12">
        <v>1581940</v>
      </c>
      <c r="F937" s="12" t="s">
        <v>20</v>
      </c>
      <c r="G937" s="13">
        <v>20318340</v>
      </c>
      <c r="H937" s="12" t="s">
        <v>144</v>
      </c>
      <c r="I937" s="13">
        <v>3</v>
      </c>
      <c r="J937" s="14">
        <v>16.5</v>
      </c>
      <c r="K937" s="14">
        <f t="shared" si="21"/>
        <v>49.5</v>
      </c>
    </row>
    <row r="938" spans="4:11">
      <c r="D938" s="11">
        <v>46085</v>
      </c>
      <c r="E938" s="12">
        <v>1581940</v>
      </c>
      <c r="F938" s="12" t="s">
        <v>20</v>
      </c>
      <c r="G938" s="13">
        <v>20321250</v>
      </c>
      <c r="H938" s="12" t="s">
        <v>157</v>
      </c>
      <c r="I938" s="13">
        <v>1</v>
      </c>
      <c r="J938" s="14">
        <v>16.5</v>
      </c>
      <c r="K938" s="14">
        <f t="shared" si="21"/>
        <v>16.5</v>
      </c>
    </row>
    <row r="939" spans="4:11">
      <c r="D939" s="11">
        <v>46085</v>
      </c>
      <c r="E939" s="12">
        <v>1581940</v>
      </c>
      <c r="F939" s="12" t="s">
        <v>20</v>
      </c>
      <c r="G939" s="13">
        <v>20318379</v>
      </c>
      <c r="H939" s="12" t="s">
        <v>190</v>
      </c>
      <c r="I939" s="13">
        <v>1</v>
      </c>
      <c r="J939" s="14">
        <v>16.5</v>
      </c>
      <c r="K939" s="14">
        <f t="shared" si="21"/>
        <v>16.5</v>
      </c>
    </row>
    <row r="940" spans="4:11">
      <c r="D940" s="11">
        <v>46085</v>
      </c>
      <c r="E940" s="12">
        <v>1581940</v>
      </c>
      <c r="F940" s="12" t="s">
        <v>20</v>
      </c>
      <c r="G940" s="13">
        <v>20318342</v>
      </c>
      <c r="H940" s="12" t="s">
        <v>115</v>
      </c>
      <c r="I940" s="13">
        <v>1</v>
      </c>
      <c r="J940" s="14">
        <v>16.5</v>
      </c>
      <c r="K940" s="14">
        <f t="shared" si="21"/>
        <v>16.5</v>
      </c>
    </row>
    <row r="941" spans="4:11">
      <c r="D941" s="11">
        <v>46085</v>
      </c>
      <c r="E941" s="12">
        <v>1581982</v>
      </c>
      <c r="F941" s="12" t="s">
        <v>13</v>
      </c>
      <c r="G941" s="13">
        <v>20380117</v>
      </c>
      <c r="H941" s="12" t="s">
        <v>165</v>
      </c>
      <c r="I941" s="13">
        <v>1</v>
      </c>
      <c r="J941" s="14">
        <v>49.5</v>
      </c>
      <c r="K941" s="14">
        <f t="shared" si="21"/>
        <v>49.5</v>
      </c>
    </row>
    <row r="942" spans="4:11">
      <c r="D942" s="11">
        <v>46085</v>
      </c>
      <c r="E942" s="12">
        <v>1581982</v>
      </c>
      <c r="F942" s="12" t="s">
        <v>13</v>
      </c>
      <c r="G942" s="13">
        <v>20312965</v>
      </c>
      <c r="H942" s="12" t="s">
        <v>15</v>
      </c>
      <c r="I942" s="13">
        <v>2</v>
      </c>
      <c r="J942" s="14">
        <v>137.5</v>
      </c>
      <c r="K942" s="14">
        <f t="shared" si="21"/>
        <v>275</v>
      </c>
    </row>
    <row r="943" spans="4:11">
      <c r="D943" s="11">
        <v>46085</v>
      </c>
      <c r="E943" s="12">
        <v>1581982</v>
      </c>
      <c r="F943" s="12" t="s">
        <v>13</v>
      </c>
      <c r="G943" s="13">
        <v>20312967</v>
      </c>
      <c r="H943" s="12" t="s">
        <v>130</v>
      </c>
      <c r="I943" s="13">
        <v>2</v>
      </c>
      <c r="J943" s="14">
        <v>176</v>
      </c>
      <c r="K943" s="14">
        <f t="shared" si="21"/>
        <v>352</v>
      </c>
    </row>
    <row r="944" spans="4:11">
      <c r="D944" s="11">
        <v>46085</v>
      </c>
      <c r="E944" s="12">
        <v>1581982</v>
      </c>
      <c r="F944" s="12" t="s">
        <v>20</v>
      </c>
      <c r="G944" s="13">
        <v>20321257</v>
      </c>
      <c r="H944" s="12" t="s">
        <v>21</v>
      </c>
      <c r="I944" s="13">
        <v>3</v>
      </c>
      <c r="J944" s="14">
        <v>16.5</v>
      </c>
      <c r="K944" s="14">
        <f t="shared" si="21"/>
        <v>49.5</v>
      </c>
    </row>
    <row r="945" spans="4:11">
      <c r="D945" s="11">
        <v>46085</v>
      </c>
      <c r="E945" s="12">
        <v>1581982</v>
      </c>
      <c r="F945" s="12" t="s">
        <v>20</v>
      </c>
      <c r="G945" s="13">
        <v>20343399</v>
      </c>
      <c r="H945" s="12" t="s">
        <v>153</v>
      </c>
      <c r="I945" s="13">
        <v>2</v>
      </c>
      <c r="J945" s="14">
        <v>33</v>
      </c>
      <c r="K945" s="14">
        <f t="shared" si="21"/>
        <v>66</v>
      </c>
    </row>
    <row r="946" spans="4:11">
      <c r="D946" s="11">
        <v>46085</v>
      </c>
      <c r="E946" s="12">
        <v>1581982</v>
      </c>
      <c r="F946" s="12" t="s">
        <v>20</v>
      </c>
      <c r="G946" s="13">
        <v>20318379</v>
      </c>
      <c r="H946" s="12" t="s">
        <v>190</v>
      </c>
      <c r="I946" s="13">
        <v>1</v>
      </c>
      <c r="J946" s="14">
        <v>16.5</v>
      </c>
      <c r="K946" s="14">
        <f t="shared" si="21"/>
        <v>16.5</v>
      </c>
    </row>
    <row r="947" spans="4:11">
      <c r="D947" s="11">
        <v>46085</v>
      </c>
      <c r="E947" s="12">
        <v>1582023</v>
      </c>
      <c r="F947" s="12" t="s">
        <v>13</v>
      </c>
      <c r="G947" s="13">
        <v>20312966</v>
      </c>
      <c r="H947" s="12" t="s">
        <v>147</v>
      </c>
      <c r="I947" s="13">
        <v>4</v>
      </c>
      <c r="J947" s="14">
        <v>159.5</v>
      </c>
      <c r="K947" s="14">
        <f t="shared" si="21"/>
        <v>638</v>
      </c>
    </row>
    <row r="948" spans="4:11">
      <c r="D948" s="11">
        <v>46085</v>
      </c>
      <c r="E948" s="12">
        <v>1582023</v>
      </c>
      <c r="F948" s="12" t="s">
        <v>13</v>
      </c>
      <c r="G948" s="13">
        <v>20312965</v>
      </c>
      <c r="H948" s="12" t="s">
        <v>15</v>
      </c>
      <c r="I948" s="13">
        <v>3</v>
      </c>
      <c r="J948" s="14">
        <v>137.5</v>
      </c>
      <c r="K948" s="14">
        <f t="shared" si="21"/>
        <v>412.5</v>
      </c>
    </row>
    <row r="949" spans="4:11">
      <c r="D949" s="11">
        <v>46085</v>
      </c>
      <c r="E949" s="12">
        <v>1582023</v>
      </c>
      <c r="F949" s="12" t="s">
        <v>13</v>
      </c>
      <c r="G949" s="13">
        <v>20312967</v>
      </c>
      <c r="H949" s="12" t="s">
        <v>130</v>
      </c>
      <c r="I949" s="13">
        <v>6</v>
      </c>
      <c r="J949" s="14">
        <v>176</v>
      </c>
      <c r="K949" s="14">
        <f t="shared" si="21"/>
        <v>1056</v>
      </c>
    </row>
    <row r="950" spans="4:11">
      <c r="D950" s="11">
        <v>46085</v>
      </c>
      <c r="E950" s="12">
        <v>1582023</v>
      </c>
      <c r="F950" s="12" t="s">
        <v>39</v>
      </c>
      <c r="G950" s="13">
        <v>20327254</v>
      </c>
      <c r="H950" s="12" t="s">
        <v>203</v>
      </c>
      <c r="I950" s="13">
        <v>1</v>
      </c>
      <c r="J950" s="14">
        <v>49.5</v>
      </c>
      <c r="K950" s="14">
        <f t="shared" si="21"/>
        <v>49.5</v>
      </c>
    </row>
    <row r="951" spans="4:11">
      <c r="D951" s="11">
        <v>46085</v>
      </c>
      <c r="E951" s="12">
        <v>1582023</v>
      </c>
      <c r="F951" s="12" t="s">
        <v>39</v>
      </c>
      <c r="G951" s="13">
        <v>20322150</v>
      </c>
      <c r="H951" s="12" t="s">
        <v>198</v>
      </c>
      <c r="I951" s="13">
        <v>1</v>
      </c>
      <c r="J951" s="14">
        <v>49.5</v>
      </c>
      <c r="K951" s="14">
        <f t="shared" si="21"/>
        <v>49.5</v>
      </c>
    </row>
    <row r="952" spans="4:11">
      <c r="D952" s="11">
        <v>46085</v>
      </c>
      <c r="E952" s="12">
        <v>1582023</v>
      </c>
      <c r="F952" s="12" t="s">
        <v>39</v>
      </c>
      <c r="G952" s="13">
        <v>20410992</v>
      </c>
      <c r="H952" s="12" t="s">
        <v>199</v>
      </c>
      <c r="I952" s="13">
        <v>2</v>
      </c>
      <c r="J952" s="14">
        <v>49.5</v>
      </c>
      <c r="K952" s="14">
        <f t="shared" si="21"/>
        <v>99</v>
      </c>
    </row>
    <row r="953" spans="4:11">
      <c r="D953" s="11">
        <v>46085</v>
      </c>
      <c r="E953" s="12">
        <v>1582061</v>
      </c>
      <c r="F953" s="12" t="s">
        <v>16</v>
      </c>
      <c r="G953" s="13">
        <v>20318363</v>
      </c>
      <c r="H953" s="12" t="s">
        <v>156</v>
      </c>
      <c r="I953" s="13">
        <v>1</v>
      </c>
      <c r="J953" s="14">
        <v>8</v>
      </c>
      <c r="K953" s="14">
        <f t="shared" si="21"/>
        <v>8</v>
      </c>
    </row>
    <row r="954" ht="25.5" spans="4:11">
      <c r="D954" s="11">
        <v>46085</v>
      </c>
      <c r="E954" s="12">
        <v>1582061</v>
      </c>
      <c r="F954" s="12" t="s">
        <v>16</v>
      </c>
      <c r="G954" s="13">
        <v>20341579</v>
      </c>
      <c r="H954" s="12" t="s">
        <v>206</v>
      </c>
      <c r="I954" s="13">
        <v>1</v>
      </c>
      <c r="J954" s="14">
        <v>16.5</v>
      </c>
      <c r="K954" s="14">
        <f t="shared" si="21"/>
        <v>16.5</v>
      </c>
    </row>
    <row r="955" spans="4:11">
      <c r="D955" s="11">
        <v>46085</v>
      </c>
      <c r="E955" s="12">
        <v>1582061</v>
      </c>
      <c r="F955" s="12" t="s">
        <v>30</v>
      </c>
      <c r="G955" s="13">
        <v>20408950</v>
      </c>
      <c r="H955" s="12" t="s">
        <v>162</v>
      </c>
      <c r="I955" s="13">
        <v>1</v>
      </c>
      <c r="J955" s="14">
        <v>60.5</v>
      </c>
      <c r="K955" s="14">
        <f t="shared" si="21"/>
        <v>60.5</v>
      </c>
    </row>
    <row r="956" spans="4:11">
      <c r="D956" s="11">
        <v>46085</v>
      </c>
      <c r="E956" s="12">
        <v>1582061</v>
      </c>
      <c r="F956" s="12" t="s">
        <v>20</v>
      </c>
      <c r="G956" s="13">
        <v>20318340</v>
      </c>
      <c r="H956" s="12" t="s">
        <v>144</v>
      </c>
      <c r="I956" s="13">
        <v>3</v>
      </c>
      <c r="J956" s="14">
        <v>16.5</v>
      </c>
      <c r="K956" s="14">
        <f t="shared" si="21"/>
        <v>49.5</v>
      </c>
    </row>
    <row r="957" spans="4:11">
      <c r="D957" s="11">
        <v>46085</v>
      </c>
      <c r="E957" s="12">
        <v>1582061</v>
      </c>
      <c r="F957" s="12" t="s">
        <v>20</v>
      </c>
      <c r="G957" s="13">
        <v>20374808</v>
      </c>
      <c r="H957" s="12" t="s">
        <v>173</v>
      </c>
      <c r="I957" s="13">
        <v>1</v>
      </c>
      <c r="J957" s="14">
        <v>16.5</v>
      </c>
      <c r="K957" s="14">
        <f t="shared" si="21"/>
        <v>16.5</v>
      </c>
    </row>
    <row r="958" spans="4:11">
      <c r="D958" s="11">
        <v>46085</v>
      </c>
      <c r="E958" s="12">
        <v>1582061</v>
      </c>
      <c r="F958" s="12" t="s">
        <v>20</v>
      </c>
      <c r="G958" s="13">
        <v>20340289</v>
      </c>
      <c r="H958" s="12" t="s">
        <v>145</v>
      </c>
      <c r="I958" s="13">
        <v>1</v>
      </c>
      <c r="J958" s="14">
        <v>16.5</v>
      </c>
      <c r="K958" s="14">
        <f t="shared" si="21"/>
        <v>16.5</v>
      </c>
    </row>
    <row r="959" spans="4:11">
      <c r="D959" s="11">
        <v>46085</v>
      </c>
      <c r="E959" s="12">
        <v>1582061</v>
      </c>
      <c r="F959" s="12" t="s">
        <v>20</v>
      </c>
      <c r="G959" s="13">
        <v>20383164</v>
      </c>
      <c r="H959" s="12" t="s">
        <v>151</v>
      </c>
      <c r="I959" s="13">
        <v>1</v>
      </c>
      <c r="J959" s="14">
        <v>22</v>
      </c>
      <c r="K959" s="14">
        <f t="shared" si="21"/>
        <v>22</v>
      </c>
    </row>
    <row r="960" spans="4:11">
      <c r="D960" s="11">
        <v>46085</v>
      </c>
      <c r="E960" s="12">
        <v>1582061</v>
      </c>
      <c r="F960" s="12" t="s">
        <v>20</v>
      </c>
      <c r="G960" s="13">
        <v>20407575</v>
      </c>
      <c r="H960" s="12" t="s">
        <v>140</v>
      </c>
      <c r="I960" s="13">
        <v>1</v>
      </c>
      <c r="J960" s="14">
        <v>16.5</v>
      </c>
      <c r="K960" s="14">
        <f t="shared" si="21"/>
        <v>16.5</v>
      </c>
    </row>
    <row r="961" spans="4:11">
      <c r="D961" s="11">
        <v>46085</v>
      </c>
      <c r="E961" s="12">
        <v>1582061</v>
      </c>
      <c r="F961" s="12" t="s">
        <v>20</v>
      </c>
      <c r="G961" s="13">
        <v>20318336</v>
      </c>
      <c r="H961" s="12" t="s">
        <v>137</v>
      </c>
      <c r="I961" s="13">
        <v>1</v>
      </c>
      <c r="J961" s="14">
        <v>16.5</v>
      </c>
      <c r="K961" s="14">
        <f t="shared" si="21"/>
        <v>16.5</v>
      </c>
    </row>
    <row r="962" spans="4:11">
      <c r="D962" s="11">
        <v>46085</v>
      </c>
      <c r="E962" s="12">
        <v>1582089</v>
      </c>
      <c r="F962" s="12" t="s">
        <v>13</v>
      </c>
      <c r="G962" s="13">
        <v>20312995</v>
      </c>
      <c r="H962" s="12" t="s">
        <v>176</v>
      </c>
      <c r="I962" s="13">
        <v>1</v>
      </c>
      <c r="J962" s="14">
        <v>82.5</v>
      </c>
      <c r="K962" s="14">
        <f t="shared" si="21"/>
        <v>82.5</v>
      </c>
    </row>
    <row r="963" spans="4:11">
      <c r="D963" s="11">
        <v>46085</v>
      </c>
      <c r="E963" s="12">
        <v>1582089</v>
      </c>
      <c r="F963" s="12" t="s">
        <v>13</v>
      </c>
      <c r="G963" s="13">
        <v>20312966</v>
      </c>
      <c r="H963" s="12" t="s">
        <v>147</v>
      </c>
      <c r="I963" s="13">
        <v>3</v>
      </c>
      <c r="J963" s="14">
        <v>159.5</v>
      </c>
      <c r="K963" s="14">
        <f t="shared" si="21"/>
        <v>478.5</v>
      </c>
    </row>
    <row r="964" spans="4:11">
      <c r="D964" s="11">
        <v>46085</v>
      </c>
      <c r="E964" s="12">
        <v>1582089</v>
      </c>
      <c r="F964" s="12" t="s">
        <v>13</v>
      </c>
      <c r="G964" s="13">
        <v>20312965</v>
      </c>
      <c r="H964" s="12" t="s">
        <v>15</v>
      </c>
      <c r="I964" s="13">
        <v>4</v>
      </c>
      <c r="J964" s="14">
        <v>137.5</v>
      </c>
      <c r="K964" s="14">
        <f t="shared" si="21"/>
        <v>550</v>
      </c>
    </row>
    <row r="965" spans="4:11">
      <c r="D965" s="11">
        <v>46085</v>
      </c>
      <c r="E965" s="12">
        <v>1582089</v>
      </c>
      <c r="F965" s="12" t="s">
        <v>13</v>
      </c>
      <c r="G965" s="13">
        <v>20312967</v>
      </c>
      <c r="H965" s="12" t="s">
        <v>130</v>
      </c>
      <c r="I965" s="13">
        <v>3</v>
      </c>
      <c r="J965" s="14">
        <v>176</v>
      </c>
      <c r="K965" s="14">
        <f t="shared" si="21"/>
        <v>528</v>
      </c>
    </row>
    <row r="966" spans="4:11">
      <c r="D966" s="11">
        <v>46085</v>
      </c>
      <c r="E966" s="12">
        <v>1582089</v>
      </c>
      <c r="F966" s="12" t="s">
        <v>39</v>
      </c>
      <c r="G966" s="13">
        <v>20322150</v>
      </c>
      <c r="H966" s="12" t="s">
        <v>198</v>
      </c>
      <c r="I966" s="13">
        <v>1</v>
      </c>
      <c r="J966" s="14">
        <v>49.5</v>
      </c>
      <c r="K966" s="14">
        <f t="shared" si="21"/>
        <v>49.5</v>
      </c>
    </row>
    <row r="967" spans="4:11">
      <c r="D967" s="11">
        <v>46085</v>
      </c>
      <c r="E967" s="12">
        <v>1582089</v>
      </c>
      <c r="F967" s="12" t="s">
        <v>39</v>
      </c>
      <c r="G967" s="13">
        <v>20410992</v>
      </c>
      <c r="H967" s="12" t="s">
        <v>199</v>
      </c>
      <c r="I967" s="13">
        <v>1</v>
      </c>
      <c r="J967" s="14">
        <v>49.5</v>
      </c>
      <c r="K967" s="14">
        <f t="shared" si="21"/>
        <v>49.5</v>
      </c>
    </row>
    <row r="968" spans="4:11">
      <c r="D968" s="11">
        <v>46085</v>
      </c>
      <c r="E968" s="12">
        <v>1582089</v>
      </c>
      <c r="F968" s="12" t="s">
        <v>53</v>
      </c>
      <c r="G968" s="13">
        <v>20322234</v>
      </c>
      <c r="H968" s="12" t="s">
        <v>141</v>
      </c>
      <c r="I968" s="13">
        <v>8</v>
      </c>
      <c r="J968" s="14">
        <v>2.5</v>
      </c>
      <c r="K968" s="14">
        <f t="shared" si="21"/>
        <v>20</v>
      </c>
    </row>
    <row r="969" spans="4:11">
      <c r="D969" s="11">
        <v>46085</v>
      </c>
      <c r="E969" s="12">
        <v>1582089</v>
      </c>
      <c r="F969" s="12" t="s">
        <v>53</v>
      </c>
      <c r="G969" s="13">
        <v>20330757</v>
      </c>
      <c r="H969" s="12" t="s">
        <v>113</v>
      </c>
      <c r="I969" s="13">
        <v>3</v>
      </c>
      <c r="J969" s="14">
        <v>35</v>
      </c>
      <c r="K969" s="14">
        <f t="shared" si="21"/>
        <v>105</v>
      </c>
    </row>
    <row r="970" spans="4:11">
      <c r="D970" s="11">
        <v>46085</v>
      </c>
      <c r="E970" s="12">
        <v>1582089</v>
      </c>
      <c r="F970" s="12" t="s">
        <v>53</v>
      </c>
      <c r="G970" s="13">
        <v>20323697</v>
      </c>
      <c r="H970" s="12" t="s">
        <v>142</v>
      </c>
      <c r="I970" s="13">
        <v>1</v>
      </c>
      <c r="J970" s="14">
        <v>4</v>
      </c>
      <c r="K970" s="14">
        <f t="shared" si="21"/>
        <v>4</v>
      </c>
    </row>
    <row r="971" spans="4:11">
      <c r="D971" s="11">
        <v>46085</v>
      </c>
      <c r="E971" s="12">
        <v>1582089</v>
      </c>
      <c r="F971" s="12" t="s">
        <v>53</v>
      </c>
      <c r="G971" s="13">
        <v>20402355</v>
      </c>
      <c r="H971" s="12" t="s">
        <v>139</v>
      </c>
      <c r="I971" s="13">
        <v>1</v>
      </c>
      <c r="J971" s="14">
        <v>25</v>
      </c>
      <c r="K971" s="14">
        <f t="shared" si="21"/>
        <v>25</v>
      </c>
    </row>
    <row r="972" spans="4:11">
      <c r="D972" s="11">
        <v>46085</v>
      </c>
      <c r="E972" s="12">
        <v>1582089</v>
      </c>
      <c r="F972" s="12" t="s">
        <v>20</v>
      </c>
      <c r="G972" s="13">
        <v>20318340</v>
      </c>
      <c r="H972" s="12" t="s">
        <v>144</v>
      </c>
      <c r="I972" s="13">
        <v>1</v>
      </c>
      <c r="J972" s="14">
        <v>16.5</v>
      </c>
      <c r="K972" s="14">
        <f t="shared" si="21"/>
        <v>16.5</v>
      </c>
    </row>
    <row r="973" spans="4:11">
      <c r="D973" s="11">
        <v>46085</v>
      </c>
      <c r="E973" s="12">
        <v>1582089</v>
      </c>
      <c r="F973" s="12" t="s">
        <v>20</v>
      </c>
      <c r="G973" s="13">
        <v>20340289</v>
      </c>
      <c r="H973" s="12" t="s">
        <v>145</v>
      </c>
      <c r="I973" s="13">
        <v>1</v>
      </c>
      <c r="J973" s="14">
        <v>16.5</v>
      </c>
      <c r="K973" s="14">
        <f t="shared" si="21"/>
        <v>16.5</v>
      </c>
    </row>
    <row r="974" spans="4:11">
      <c r="D974" s="11">
        <v>46085</v>
      </c>
      <c r="E974" s="12">
        <v>1582089</v>
      </c>
      <c r="F974" s="12" t="s">
        <v>20</v>
      </c>
      <c r="G974" s="13">
        <v>20318336</v>
      </c>
      <c r="H974" s="12" t="s">
        <v>137</v>
      </c>
      <c r="I974" s="13">
        <v>1</v>
      </c>
      <c r="J974" s="14">
        <v>16.5</v>
      </c>
      <c r="K974" s="14">
        <f t="shared" si="21"/>
        <v>16.5</v>
      </c>
    </row>
    <row r="975" spans="4:11">
      <c r="D975" s="11">
        <v>46085</v>
      </c>
      <c r="E975" s="12">
        <v>1582111</v>
      </c>
      <c r="F975" s="12" t="s">
        <v>13</v>
      </c>
      <c r="G975" s="13">
        <v>20312967</v>
      </c>
      <c r="H975" s="12" t="s">
        <v>130</v>
      </c>
      <c r="I975" s="13">
        <v>1</v>
      </c>
      <c r="J975" s="14">
        <v>176</v>
      </c>
      <c r="K975" s="14">
        <f t="shared" si="21"/>
        <v>176</v>
      </c>
    </row>
    <row r="976" spans="4:11">
      <c r="D976" s="11">
        <v>46085</v>
      </c>
      <c r="E976" s="12">
        <v>1582117</v>
      </c>
      <c r="F976" s="12" t="s">
        <v>13</v>
      </c>
      <c r="G976" s="13">
        <v>20318353</v>
      </c>
      <c r="H976" s="12" t="s">
        <v>224</v>
      </c>
      <c r="I976" s="13">
        <v>1</v>
      </c>
      <c r="J976" s="14">
        <v>66</v>
      </c>
      <c r="K976" s="14">
        <f t="shared" ref="K976:K1023" si="22">J976*I976</f>
        <v>66</v>
      </c>
    </row>
    <row r="977" spans="4:11">
      <c r="D977" s="11">
        <v>46085</v>
      </c>
      <c r="E977" s="12">
        <v>1582117</v>
      </c>
      <c r="F977" s="12" t="s">
        <v>13</v>
      </c>
      <c r="G977" s="13">
        <v>20312966</v>
      </c>
      <c r="H977" s="12" t="s">
        <v>147</v>
      </c>
      <c r="I977" s="13">
        <v>1</v>
      </c>
      <c r="J977" s="14">
        <v>159.5</v>
      </c>
      <c r="K977" s="14">
        <f t="shared" si="22"/>
        <v>159.5</v>
      </c>
    </row>
    <row r="978" spans="4:11">
      <c r="D978" s="11">
        <v>46085</v>
      </c>
      <c r="E978" s="12">
        <v>1582117</v>
      </c>
      <c r="F978" s="12" t="s">
        <v>13</v>
      </c>
      <c r="G978" s="13">
        <v>20327194</v>
      </c>
      <c r="H978" s="12" t="s">
        <v>158</v>
      </c>
      <c r="I978" s="13">
        <v>1</v>
      </c>
      <c r="J978" s="14">
        <v>27.5</v>
      </c>
      <c r="K978" s="14">
        <f t="shared" si="22"/>
        <v>27.5</v>
      </c>
    </row>
    <row r="979" spans="4:11">
      <c r="D979" s="11">
        <v>46085</v>
      </c>
      <c r="E979" s="12">
        <v>1582117</v>
      </c>
      <c r="F979" s="12" t="s">
        <v>13</v>
      </c>
      <c r="G979" s="13">
        <v>20312965</v>
      </c>
      <c r="H979" s="12" t="s">
        <v>15</v>
      </c>
      <c r="I979" s="13">
        <v>4</v>
      </c>
      <c r="J979" s="14">
        <v>137.5</v>
      </c>
      <c r="K979" s="14">
        <f t="shared" si="22"/>
        <v>550</v>
      </c>
    </row>
    <row r="980" spans="4:11">
      <c r="D980" s="11">
        <v>46085</v>
      </c>
      <c r="E980" s="12">
        <v>1582117</v>
      </c>
      <c r="F980" s="12" t="s">
        <v>13</v>
      </c>
      <c r="G980" s="13">
        <v>20312967</v>
      </c>
      <c r="H980" s="12" t="s">
        <v>130</v>
      </c>
      <c r="I980" s="13">
        <v>5</v>
      </c>
      <c r="J980" s="14">
        <v>176</v>
      </c>
      <c r="K980" s="14">
        <f t="shared" si="22"/>
        <v>880</v>
      </c>
    </row>
    <row r="981" spans="4:11">
      <c r="D981" s="11">
        <v>46085</v>
      </c>
      <c r="E981" s="12">
        <v>1582117</v>
      </c>
      <c r="F981" s="12" t="s">
        <v>13</v>
      </c>
      <c r="G981" s="13">
        <v>20321251</v>
      </c>
      <c r="H981" s="12" t="s">
        <v>219</v>
      </c>
      <c r="I981" s="13">
        <v>1</v>
      </c>
      <c r="J981" s="14">
        <v>170.5</v>
      </c>
      <c r="K981" s="14">
        <f t="shared" si="22"/>
        <v>170.5</v>
      </c>
    </row>
    <row r="982" spans="4:11">
      <c r="D982" s="11">
        <v>46085</v>
      </c>
      <c r="E982" s="12">
        <v>1582117</v>
      </c>
      <c r="F982" s="12" t="s">
        <v>39</v>
      </c>
      <c r="G982" s="13">
        <v>20327254</v>
      </c>
      <c r="H982" s="12" t="s">
        <v>203</v>
      </c>
      <c r="I982" s="13">
        <v>1</v>
      </c>
      <c r="J982" s="14">
        <v>49.5</v>
      </c>
      <c r="K982" s="14">
        <f t="shared" si="22"/>
        <v>49.5</v>
      </c>
    </row>
    <row r="983" spans="4:11">
      <c r="D983" s="11">
        <v>46085</v>
      </c>
      <c r="E983" s="12">
        <v>1582117</v>
      </c>
      <c r="F983" s="12" t="s">
        <v>39</v>
      </c>
      <c r="G983" s="13">
        <v>20322150</v>
      </c>
      <c r="H983" s="12" t="s">
        <v>198</v>
      </c>
      <c r="I983" s="13">
        <v>1</v>
      </c>
      <c r="J983" s="14">
        <v>49.5</v>
      </c>
      <c r="K983" s="14">
        <f t="shared" si="22"/>
        <v>49.5</v>
      </c>
    </row>
    <row r="984" spans="4:11">
      <c r="D984" s="11">
        <v>46085</v>
      </c>
      <c r="E984" s="12">
        <v>1582117</v>
      </c>
      <c r="F984" s="12" t="s">
        <v>20</v>
      </c>
      <c r="G984" s="13">
        <v>20321257</v>
      </c>
      <c r="H984" s="12" t="s">
        <v>21</v>
      </c>
      <c r="I984" s="13">
        <v>7</v>
      </c>
      <c r="J984" s="14">
        <v>16.5</v>
      </c>
      <c r="K984" s="14">
        <f t="shared" si="22"/>
        <v>115.5</v>
      </c>
    </row>
    <row r="985" spans="4:11">
      <c r="D985" s="11">
        <v>46085</v>
      </c>
      <c r="E985" s="12">
        <v>1582117</v>
      </c>
      <c r="F985" s="12" t="s">
        <v>20</v>
      </c>
      <c r="G985" s="13">
        <v>20318334</v>
      </c>
      <c r="H985" s="12" t="s">
        <v>175</v>
      </c>
      <c r="I985" s="13">
        <v>2</v>
      </c>
      <c r="J985" s="14">
        <v>16.5</v>
      </c>
      <c r="K985" s="14">
        <f t="shared" si="22"/>
        <v>33</v>
      </c>
    </row>
    <row r="986" spans="4:11">
      <c r="D986" s="11">
        <v>46085</v>
      </c>
      <c r="E986" s="12">
        <v>1582117</v>
      </c>
      <c r="F986" s="12" t="s">
        <v>20</v>
      </c>
      <c r="G986" s="13">
        <v>20318378</v>
      </c>
      <c r="H986" s="12" t="s">
        <v>128</v>
      </c>
      <c r="I986" s="13">
        <v>1</v>
      </c>
      <c r="J986" s="14">
        <v>16.5</v>
      </c>
      <c r="K986" s="14">
        <f t="shared" si="22"/>
        <v>16.5</v>
      </c>
    </row>
    <row r="987" spans="4:11">
      <c r="D987" s="11">
        <v>46085</v>
      </c>
      <c r="E987" s="12">
        <v>1582117</v>
      </c>
      <c r="F987" s="12" t="s">
        <v>20</v>
      </c>
      <c r="G987" s="13">
        <v>20318380</v>
      </c>
      <c r="H987" s="12" t="s">
        <v>143</v>
      </c>
      <c r="I987" s="13">
        <v>1</v>
      </c>
      <c r="J987" s="14">
        <v>16.5</v>
      </c>
      <c r="K987" s="14">
        <f t="shared" si="22"/>
        <v>16.5</v>
      </c>
    </row>
    <row r="988" spans="4:11">
      <c r="D988" s="11">
        <v>46085</v>
      </c>
      <c r="E988" s="12">
        <v>1582117</v>
      </c>
      <c r="F988" s="12" t="s">
        <v>20</v>
      </c>
      <c r="G988" s="13">
        <v>20383164</v>
      </c>
      <c r="H988" s="12" t="s">
        <v>151</v>
      </c>
      <c r="I988" s="13">
        <v>1</v>
      </c>
      <c r="J988" s="14">
        <v>22</v>
      </c>
      <c r="K988" s="14">
        <f t="shared" si="22"/>
        <v>22</v>
      </c>
    </row>
    <row r="989" spans="4:11">
      <c r="D989" s="11">
        <v>46085</v>
      </c>
      <c r="E989" s="12">
        <v>1582117</v>
      </c>
      <c r="F989" s="12" t="s">
        <v>20</v>
      </c>
      <c r="G989" s="13">
        <v>20318379</v>
      </c>
      <c r="H989" s="12" t="s">
        <v>190</v>
      </c>
      <c r="I989" s="13">
        <v>1</v>
      </c>
      <c r="J989" s="14">
        <v>16.5</v>
      </c>
      <c r="K989" s="14">
        <f t="shared" si="22"/>
        <v>16.5</v>
      </c>
    </row>
    <row r="990" spans="4:11">
      <c r="D990" s="11">
        <v>46085</v>
      </c>
      <c r="E990" s="12">
        <v>1582117</v>
      </c>
      <c r="F990" s="12" t="s">
        <v>20</v>
      </c>
      <c r="G990" s="13">
        <v>20318336</v>
      </c>
      <c r="H990" s="12" t="s">
        <v>137</v>
      </c>
      <c r="I990" s="13">
        <v>1</v>
      </c>
      <c r="J990" s="14">
        <v>16.5</v>
      </c>
      <c r="K990" s="14">
        <f t="shared" si="22"/>
        <v>16.5</v>
      </c>
    </row>
    <row r="991" spans="4:11">
      <c r="D991" s="11">
        <v>46085</v>
      </c>
      <c r="E991" s="12">
        <v>1582117</v>
      </c>
      <c r="F991" s="12" t="s">
        <v>20</v>
      </c>
      <c r="G991" s="13">
        <v>20318342</v>
      </c>
      <c r="H991" s="12" t="s">
        <v>115</v>
      </c>
      <c r="I991" s="13">
        <v>1</v>
      </c>
      <c r="J991" s="14">
        <v>16.5</v>
      </c>
      <c r="K991" s="14">
        <f t="shared" si="22"/>
        <v>16.5</v>
      </c>
    </row>
    <row r="992" spans="4:11">
      <c r="D992" s="11">
        <v>46086</v>
      </c>
      <c r="E992" s="12">
        <v>1582284</v>
      </c>
      <c r="F992" s="12" t="s">
        <v>13</v>
      </c>
      <c r="G992" s="13">
        <v>20312966</v>
      </c>
      <c r="H992" s="12" t="s">
        <v>147</v>
      </c>
      <c r="I992" s="13">
        <v>4</v>
      </c>
      <c r="J992" s="14">
        <v>159.5</v>
      </c>
      <c r="K992" s="14">
        <f t="shared" si="22"/>
        <v>638</v>
      </c>
    </row>
    <row r="993" spans="4:11">
      <c r="D993" s="11">
        <v>46086</v>
      </c>
      <c r="E993" s="12">
        <v>1582284</v>
      </c>
      <c r="F993" s="12" t="s">
        <v>13</v>
      </c>
      <c r="G993" s="13">
        <v>20312965</v>
      </c>
      <c r="H993" s="12" t="s">
        <v>15</v>
      </c>
      <c r="I993" s="13">
        <v>1</v>
      </c>
      <c r="J993" s="14">
        <v>137.5</v>
      </c>
      <c r="K993" s="14">
        <f t="shared" si="22"/>
        <v>137.5</v>
      </c>
    </row>
    <row r="994" spans="4:11">
      <c r="D994" s="11">
        <v>46086</v>
      </c>
      <c r="E994" s="12">
        <v>1582284</v>
      </c>
      <c r="F994" s="12" t="s">
        <v>13</v>
      </c>
      <c r="G994" s="13">
        <v>20312967</v>
      </c>
      <c r="H994" s="12" t="s">
        <v>130</v>
      </c>
      <c r="I994" s="13">
        <v>3</v>
      </c>
      <c r="J994" s="14">
        <v>176</v>
      </c>
      <c r="K994" s="14">
        <f t="shared" si="22"/>
        <v>528</v>
      </c>
    </row>
    <row r="995" spans="4:11">
      <c r="D995" s="11">
        <v>46086</v>
      </c>
      <c r="E995" s="12">
        <v>1582284</v>
      </c>
      <c r="F995" s="12" t="s">
        <v>16</v>
      </c>
      <c r="G995" s="13">
        <v>20354360</v>
      </c>
      <c r="H995" s="12" t="s">
        <v>194</v>
      </c>
      <c r="I995" s="13">
        <v>1</v>
      </c>
      <c r="J995" s="14">
        <v>13.5</v>
      </c>
      <c r="K995" s="14">
        <f t="shared" si="22"/>
        <v>13.5</v>
      </c>
    </row>
    <row r="996" spans="4:11">
      <c r="D996" s="11">
        <v>46086</v>
      </c>
      <c r="E996" s="12">
        <v>1582284</v>
      </c>
      <c r="F996" s="12" t="s">
        <v>53</v>
      </c>
      <c r="G996" s="13">
        <v>20322243</v>
      </c>
      <c r="H996" s="12" t="s">
        <v>54</v>
      </c>
      <c r="I996" s="13">
        <v>4</v>
      </c>
      <c r="J996" s="14">
        <v>30</v>
      </c>
      <c r="K996" s="14">
        <f t="shared" si="22"/>
        <v>120</v>
      </c>
    </row>
    <row r="997" spans="4:11">
      <c r="D997" s="11">
        <v>46086</v>
      </c>
      <c r="E997" s="12">
        <v>1582284</v>
      </c>
      <c r="F997" s="12" t="s">
        <v>53</v>
      </c>
      <c r="G997" s="13">
        <v>20322304</v>
      </c>
      <c r="H997" s="12" t="s">
        <v>112</v>
      </c>
      <c r="I997" s="13">
        <v>4</v>
      </c>
      <c r="J997" s="14">
        <v>25</v>
      </c>
      <c r="K997" s="14">
        <f t="shared" si="22"/>
        <v>100</v>
      </c>
    </row>
    <row r="998" spans="4:11">
      <c r="D998" s="11">
        <v>46086</v>
      </c>
      <c r="E998" s="12">
        <v>1582284</v>
      </c>
      <c r="F998" s="12" t="s">
        <v>53</v>
      </c>
      <c r="G998" s="13">
        <v>20330757</v>
      </c>
      <c r="H998" s="12" t="s">
        <v>113</v>
      </c>
      <c r="I998" s="13">
        <v>6</v>
      </c>
      <c r="J998" s="14">
        <v>35</v>
      </c>
      <c r="K998" s="14">
        <f t="shared" si="22"/>
        <v>210</v>
      </c>
    </row>
    <row r="999" spans="4:11">
      <c r="D999" s="11">
        <v>46086</v>
      </c>
      <c r="E999" s="12">
        <v>1582284</v>
      </c>
      <c r="F999" s="12" t="s">
        <v>20</v>
      </c>
      <c r="G999" s="13">
        <v>20321257</v>
      </c>
      <c r="H999" s="12" t="s">
        <v>21</v>
      </c>
      <c r="I999" s="13">
        <v>5</v>
      </c>
      <c r="J999" s="14">
        <v>16.5</v>
      </c>
      <c r="K999" s="14">
        <f t="shared" si="22"/>
        <v>82.5</v>
      </c>
    </row>
    <row r="1000" spans="4:11">
      <c r="D1000" s="11">
        <v>46086</v>
      </c>
      <c r="E1000" s="12">
        <v>1582284</v>
      </c>
      <c r="F1000" s="12" t="s">
        <v>20</v>
      </c>
      <c r="G1000" s="13">
        <v>20014824</v>
      </c>
      <c r="H1000" s="12" t="s">
        <v>68</v>
      </c>
      <c r="I1000" s="13">
        <v>1</v>
      </c>
      <c r="J1000" s="14">
        <v>16.5</v>
      </c>
      <c r="K1000" s="14">
        <f t="shared" si="22"/>
        <v>16.5</v>
      </c>
    </row>
    <row r="1001" spans="4:11">
      <c r="D1001" s="11">
        <v>46086</v>
      </c>
      <c r="E1001" s="12">
        <v>1582284</v>
      </c>
      <c r="F1001" s="12" t="s">
        <v>20</v>
      </c>
      <c r="G1001" s="13">
        <v>20321250</v>
      </c>
      <c r="H1001" s="12" t="s">
        <v>157</v>
      </c>
      <c r="I1001" s="13">
        <v>2</v>
      </c>
      <c r="J1001" s="14">
        <v>16.5</v>
      </c>
      <c r="K1001" s="14">
        <f t="shared" si="22"/>
        <v>33</v>
      </c>
    </row>
    <row r="1002" spans="4:11">
      <c r="D1002" s="11">
        <v>46086</v>
      </c>
      <c r="E1002" s="12">
        <v>1582284</v>
      </c>
      <c r="F1002" s="12" t="s">
        <v>20</v>
      </c>
      <c r="G1002" s="13">
        <v>20340289</v>
      </c>
      <c r="H1002" s="12" t="s">
        <v>145</v>
      </c>
      <c r="I1002" s="13">
        <v>1</v>
      </c>
      <c r="J1002" s="14">
        <v>16.5</v>
      </c>
      <c r="K1002" s="14">
        <f t="shared" si="22"/>
        <v>16.5</v>
      </c>
    </row>
    <row r="1003" spans="4:11">
      <c r="D1003" s="11">
        <v>46086</v>
      </c>
      <c r="E1003" s="12">
        <v>1582284</v>
      </c>
      <c r="F1003" s="12" t="s">
        <v>20</v>
      </c>
      <c r="G1003" s="13">
        <v>20318389</v>
      </c>
      <c r="H1003" s="12" t="s">
        <v>192</v>
      </c>
      <c r="I1003" s="13">
        <v>1</v>
      </c>
      <c r="J1003" s="14">
        <v>16.5</v>
      </c>
      <c r="K1003" s="14">
        <f t="shared" si="22"/>
        <v>16.5</v>
      </c>
    </row>
    <row r="1004" spans="4:11">
      <c r="D1004" s="11">
        <v>46086</v>
      </c>
      <c r="E1004" s="12">
        <v>1582284</v>
      </c>
      <c r="F1004" s="12" t="s">
        <v>20</v>
      </c>
      <c r="G1004" s="13">
        <v>20318336</v>
      </c>
      <c r="H1004" s="12" t="s">
        <v>137</v>
      </c>
      <c r="I1004" s="13">
        <v>2</v>
      </c>
      <c r="J1004" s="14">
        <v>16.5</v>
      </c>
      <c r="K1004" s="14">
        <f t="shared" si="22"/>
        <v>33</v>
      </c>
    </row>
    <row r="1005" spans="4:11">
      <c r="D1005" s="11">
        <v>46086</v>
      </c>
      <c r="E1005" s="12">
        <v>1582325</v>
      </c>
      <c r="F1005" s="12" t="s">
        <v>13</v>
      </c>
      <c r="G1005" s="13">
        <v>20312966</v>
      </c>
      <c r="H1005" s="12" t="s">
        <v>147</v>
      </c>
      <c r="I1005" s="13">
        <v>2</v>
      </c>
      <c r="J1005" s="14">
        <v>159.5</v>
      </c>
      <c r="K1005" s="14">
        <f t="shared" si="22"/>
        <v>319</v>
      </c>
    </row>
    <row r="1006" spans="4:11">
      <c r="D1006" s="11">
        <v>46086</v>
      </c>
      <c r="E1006" s="12">
        <v>1582325</v>
      </c>
      <c r="F1006" s="12" t="s">
        <v>16</v>
      </c>
      <c r="G1006" s="13">
        <v>20318395</v>
      </c>
      <c r="H1006" s="12" t="s">
        <v>161</v>
      </c>
      <c r="I1006" s="13">
        <v>1</v>
      </c>
      <c r="J1006" s="14">
        <v>16.5</v>
      </c>
      <c r="K1006" s="14">
        <f t="shared" si="22"/>
        <v>16.5</v>
      </c>
    </row>
    <row r="1007" spans="4:11">
      <c r="D1007" s="11">
        <v>46086</v>
      </c>
      <c r="E1007" s="12">
        <v>1582325</v>
      </c>
      <c r="F1007" s="12" t="s">
        <v>30</v>
      </c>
      <c r="G1007" s="13">
        <v>20340286</v>
      </c>
      <c r="H1007" s="12" t="s">
        <v>168</v>
      </c>
      <c r="I1007" s="13">
        <v>1</v>
      </c>
      <c r="J1007" s="14">
        <v>55</v>
      </c>
      <c r="K1007" s="14">
        <f t="shared" si="22"/>
        <v>55</v>
      </c>
    </row>
    <row r="1008" spans="4:11">
      <c r="D1008" s="11">
        <v>46086</v>
      </c>
      <c r="E1008" s="12">
        <v>1582325</v>
      </c>
      <c r="F1008" s="12" t="s">
        <v>20</v>
      </c>
      <c r="G1008" s="13">
        <v>20363041</v>
      </c>
      <c r="H1008" s="12" t="s">
        <v>150</v>
      </c>
      <c r="I1008" s="13">
        <v>1</v>
      </c>
      <c r="J1008" s="14">
        <v>16.5</v>
      </c>
      <c r="K1008" s="14">
        <f t="shared" si="22"/>
        <v>16.5</v>
      </c>
    </row>
    <row r="1009" spans="4:11">
      <c r="D1009" s="11">
        <v>46086</v>
      </c>
      <c r="E1009" s="12">
        <v>1582325</v>
      </c>
      <c r="F1009" s="12" t="s">
        <v>20</v>
      </c>
      <c r="G1009" s="13">
        <v>20318347</v>
      </c>
      <c r="H1009" s="12" t="s">
        <v>225</v>
      </c>
      <c r="I1009" s="13">
        <v>2</v>
      </c>
      <c r="J1009" s="14">
        <v>16.5</v>
      </c>
      <c r="K1009" s="14">
        <f t="shared" si="22"/>
        <v>33</v>
      </c>
    </row>
    <row r="1010" spans="4:11">
      <c r="D1010" s="11">
        <v>46086</v>
      </c>
      <c r="E1010" s="12">
        <v>1582325</v>
      </c>
      <c r="F1010" s="12" t="s">
        <v>20</v>
      </c>
      <c r="G1010" s="13">
        <v>20318378</v>
      </c>
      <c r="H1010" s="12" t="s">
        <v>128</v>
      </c>
      <c r="I1010" s="13">
        <v>1</v>
      </c>
      <c r="J1010" s="14">
        <v>16.5</v>
      </c>
      <c r="K1010" s="14">
        <f t="shared" si="22"/>
        <v>16.5</v>
      </c>
    </row>
    <row r="1011" spans="4:11">
      <c r="D1011" s="11">
        <v>46086</v>
      </c>
      <c r="E1011" s="12">
        <v>1582325</v>
      </c>
      <c r="F1011" s="12" t="s">
        <v>20</v>
      </c>
      <c r="G1011" s="13">
        <v>20321250</v>
      </c>
      <c r="H1011" s="12" t="s">
        <v>157</v>
      </c>
      <c r="I1011" s="13">
        <v>1</v>
      </c>
      <c r="J1011" s="14">
        <v>16.5</v>
      </c>
      <c r="K1011" s="14">
        <f t="shared" si="22"/>
        <v>16.5</v>
      </c>
    </row>
    <row r="1012" spans="4:11">
      <c r="D1012" s="11">
        <v>46086</v>
      </c>
      <c r="E1012" s="12">
        <v>1582325</v>
      </c>
      <c r="F1012" s="12" t="s">
        <v>20</v>
      </c>
      <c r="G1012" s="13">
        <v>20318336</v>
      </c>
      <c r="H1012" s="12" t="s">
        <v>137</v>
      </c>
      <c r="I1012" s="13">
        <v>1</v>
      </c>
      <c r="J1012" s="14">
        <v>16.5</v>
      </c>
      <c r="K1012" s="14">
        <f t="shared" si="22"/>
        <v>16.5</v>
      </c>
    </row>
    <row r="1013" spans="4:11">
      <c r="D1013" s="11">
        <v>46086</v>
      </c>
      <c r="E1013" s="12">
        <v>1582325</v>
      </c>
      <c r="F1013" s="12" t="s">
        <v>20</v>
      </c>
      <c r="G1013" s="13">
        <v>20318342</v>
      </c>
      <c r="H1013" s="12" t="s">
        <v>115</v>
      </c>
      <c r="I1013" s="13">
        <v>1</v>
      </c>
      <c r="J1013" s="14">
        <v>16.5</v>
      </c>
      <c r="K1013" s="14">
        <f t="shared" si="22"/>
        <v>16.5</v>
      </c>
    </row>
    <row r="1014" spans="4:11">
      <c r="D1014" s="11">
        <v>46086</v>
      </c>
      <c r="E1014" s="12">
        <v>1582337</v>
      </c>
      <c r="F1014" s="12" t="s">
        <v>13</v>
      </c>
      <c r="G1014" s="13">
        <v>20321719</v>
      </c>
      <c r="H1014" s="12" t="s">
        <v>146</v>
      </c>
      <c r="I1014" s="13">
        <v>1</v>
      </c>
      <c r="J1014" s="14">
        <v>49.5</v>
      </c>
      <c r="K1014" s="14">
        <f t="shared" si="22"/>
        <v>49.5</v>
      </c>
    </row>
    <row r="1015" spans="4:11">
      <c r="D1015" s="11">
        <v>46086</v>
      </c>
      <c r="E1015" s="12">
        <v>1582373</v>
      </c>
      <c r="F1015" s="12" t="s">
        <v>13</v>
      </c>
      <c r="G1015" s="13">
        <v>20321476</v>
      </c>
      <c r="H1015" s="12" t="s">
        <v>148</v>
      </c>
      <c r="I1015" s="13">
        <v>1</v>
      </c>
      <c r="J1015" s="14">
        <v>55</v>
      </c>
      <c r="K1015" s="14">
        <f t="shared" si="22"/>
        <v>55</v>
      </c>
    </row>
    <row r="1016" spans="4:11">
      <c r="D1016" s="11">
        <v>46086</v>
      </c>
      <c r="E1016" s="12">
        <v>1582374</v>
      </c>
      <c r="F1016" s="12" t="s">
        <v>13</v>
      </c>
      <c r="G1016" s="13">
        <v>20312966</v>
      </c>
      <c r="H1016" s="12" t="s">
        <v>147</v>
      </c>
      <c r="I1016" s="13">
        <v>4</v>
      </c>
      <c r="J1016" s="14">
        <v>159.5</v>
      </c>
      <c r="K1016" s="14">
        <f t="shared" si="22"/>
        <v>638</v>
      </c>
    </row>
    <row r="1017" spans="4:11">
      <c r="D1017" s="11">
        <v>46086</v>
      </c>
      <c r="E1017" s="12">
        <v>1582374</v>
      </c>
      <c r="F1017" s="12" t="s">
        <v>13</v>
      </c>
      <c r="G1017" s="13">
        <v>20312965</v>
      </c>
      <c r="H1017" s="12" t="s">
        <v>15</v>
      </c>
      <c r="I1017" s="13">
        <v>4</v>
      </c>
      <c r="J1017" s="14">
        <v>137.5</v>
      </c>
      <c r="K1017" s="14">
        <f t="shared" si="22"/>
        <v>550</v>
      </c>
    </row>
    <row r="1018" spans="4:11">
      <c r="D1018" s="11">
        <v>46086</v>
      </c>
      <c r="E1018" s="12">
        <v>1582374</v>
      </c>
      <c r="F1018" s="12" t="s">
        <v>13</v>
      </c>
      <c r="G1018" s="13">
        <v>20312967</v>
      </c>
      <c r="H1018" s="12" t="s">
        <v>130</v>
      </c>
      <c r="I1018" s="13">
        <v>4</v>
      </c>
      <c r="J1018" s="14">
        <v>176</v>
      </c>
      <c r="K1018" s="14">
        <f t="shared" si="22"/>
        <v>704</v>
      </c>
    </row>
    <row r="1019" spans="4:11">
      <c r="D1019" s="11">
        <v>46086</v>
      </c>
      <c r="E1019" s="12">
        <v>1582374</v>
      </c>
      <c r="F1019" s="12" t="s">
        <v>13</v>
      </c>
      <c r="G1019" s="13">
        <v>20408959</v>
      </c>
      <c r="H1019" s="12" t="s">
        <v>216</v>
      </c>
      <c r="I1019" s="13">
        <v>1</v>
      </c>
      <c r="J1019" s="14">
        <v>60.5</v>
      </c>
      <c r="K1019" s="14">
        <f t="shared" si="22"/>
        <v>60.5</v>
      </c>
    </row>
    <row r="1020" spans="4:11">
      <c r="D1020" s="11">
        <v>46086</v>
      </c>
      <c r="E1020" s="12">
        <v>1582374</v>
      </c>
      <c r="F1020" s="12" t="s">
        <v>13</v>
      </c>
      <c r="G1020" s="13">
        <v>20321251</v>
      </c>
      <c r="H1020" s="12" t="s">
        <v>219</v>
      </c>
      <c r="I1020" s="13">
        <v>1</v>
      </c>
      <c r="J1020" s="14">
        <v>170.5</v>
      </c>
      <c r="K1020" s="14">
        <f t="shared" si="22"/>
        <v>170.5</v>
      </c>
    </row>
    <row r="1021" spans="4:11">
      <c r="D1021" s="11">
        <v>46086</v>
      </c>
      <c r="E1021" s="12">
        <v>1582374</v>
      </c>
      <c r="F1021" s="12" t="s">
        <v>53</v>
      </c>
      <c r="G1021" s="13">
        <v>20323503</v>
      </c>
      <c r="H1021" s="12" t="s">
        <v>172</v>
      </c>
      <c r="I1021" s="13">
        <v>1</v>
      </c>
      <c r="J1021" s="14">
        <v>4</v>
      </c>
      <c r="K1021" s="14">
        <f t="shared" si="22"/>
        <v>4</v>
      </c>
    </row>
    <row r="1022" spans="4:11">
      <c r="D1022" s="11">
        <v>46086</v>
      </c>
      <c r="E1022" s="12">
        <v>1582374</v>
      </c>
      <c r="F1022" s="12" t="s">
        <v>53</v>
      </c>
      <c r="G1022" s="13">
        <v>20322234</v>
      </c>
      <c r="H1022" s="12" t="s">
        <v>141</v>
      </c>
      <c r="I1022" s="13">
        <v>4</v>
      </c>
      <c r="J1022" s="14">
        <v>2.5</v>
      </c>
      <c r="K1022" s="14">
        <f t="shared" si="22"/>
        <v>10</v>
      </c>
    </row>
    <row r="1023" spans="4:11">
      <c r="D1023" s="11">
        <v>46086</v>
      </c>
      <c r="E1023" s="12">
        <v>1582374</v>
      </c>
      <c r="F1023" s="12" t="s">
        <v>53</v>
      </c>
      <c r="G1023" s="13">
        <v>20330757</v>
      </c>
      <c r="H1023" s="12" t="s">
        <v>113</v>
      </c>
      <c r="I1023" s="13">
        <v>3</v>
      </c>
      <c r="J1023" s="14">
        <v>35</v>
      </c>
      <c r="K1023" s="14">
        <f t="shared" si="22"/>
        <v>105</v>
      </c>
    </row>
    <row r="1024" spans="4:11">
      <c r="D1024" s="11">
        <v>46086</v>
      </c>
      <c r="E1024" s="12">
        <v>1582439</v>
      </c>
      <c r="F1024" s="12" t="s">
        <v>13</v>
      </c>
      <c r="G1024" s="13">
        <v>20318355</v>
      </c>
      <c r="H1024" s="12" t="s">
        <v>226</v>
      </c>
      <c r="I1024" s="13">
        <v>1</v>
      </c>
      <c r="J1024" s="14">
        <v>71.5</v>
      </c>
      <c r="K1024" s="14">
        <f t="shared" ref="K1024:K1070" si="23">J1024*I1024</f>
        <v>71.5</v>
      </c>
    </row>
    <row r="1025" spans="4:11">
      <c r="D1025" s="11">
        <v>46086</v>
      </c>
      <c r="E1025" s="12">
        <v>1582439</v>
      </c>
      <c r="F1025" s="12" t="s">
        <v>13</v>
      </c>
      <c r="G1025" s="13">
        <v>20312966</v>
      </c>
      <c r="H1025" s="12" t="s">
        <v>147</v>
      </c>
      <c r="I1025" s="13">
        <v>5</v>
      </c>
      <c r="J1025" s="14">
        <v>159.5</v>
      </c>
      <c r="K1025" s="14">
        <f t="shared" si="23"/>
        <v>797.5</v>
      </c>
    </row>
    <row r="1026" spans="4:11">
      <c r="D1026" s="11">
        <v>46086</v>
      </c>
      <c r="E1026" s="12">
        <v>1582439</v>
      </c>
      <c r="F1026" s="12" t="s">
        <v>13</v>
      </c>
      <c r="G1026" s="13">
        <v>20327194</v>
      </c>
      <c r="H1026" s="12" t="s">
        <v>158</v>
      </c>
      <c r="I1026" s="13">
        <v>1</v>
      </c>
      <c r="J1026" s="14">
        <v>27.5</v>
      </c>
      <c r="K1026" s="14">
        <f t="shared" si="23"/>
        <v>27.5</v>
      </c>
    </row>
    <row r="1027" spans="4:11">
      <c r="D1027" s="11">
        <v>46086</v>
      </c>
      <c r="E1027" s="12">
        <v>1582439</v>
      </c>
      <c r="F1027" s="12" t="s">
        <v>13</v>
      </c>
      <c r="G1027" s="13">
        <v>20312965</v>
      </c>
      <c r="H1027" s="12" t="s">
        <v>15</v>
      </c>
      <c r="I1027" s="13">
        <v>1</v>
      </c>
      <c r="J1027" s="14">
        <v>137.5</v>
      </c>
      <c r="K1027" s="14">
        <f t="shared" si="23"/>
        <v>137.5</v>
      </c>
    </row>
    <row r="1028" spans="4:11">
      <c r="D1028" s="11">
        <v>46086</v>
      </c>
      <c r="E1028" s="12">
        <v>1582439</v>
      </c>
      <c r="F1028" s="12" t="s">
        <v>13</v>
      </c>
      <c r="G1028" s="13">
        <v>20312967</v>
      </c>
      <c r="H1028" s="12" t="s">
        <v>130</v>
      </c>
      <c r="I1028" s="13">
        <v>3</v>
      </c>
      <c r="J1028" s="14">
        <v>176</v>
      </c>
      <c r="K1028" s="14">
        <f t="shared" si="23"/>
        <v>528</v>
      </c>
    </row>
    <row r="1029" spans="4:11">
      <c r="D1029" s="11">
        <v>46086</v>
      </c>
      <c r="E1029" s="12">
        <v>1582439</v>
      </c>
      <c r="F1029" s="12" t="s">
        <v>30</v>
      </c>
      <c r="G1029" s="13">
        <v>20408950</v>
      </c>
      <c r="H1029" s="12" t="s">
        <v>162</v>
      </c>
      <c r="I1029" s="13">
        <v>1</v>
      </c>
      <c r="J1029" s="14">
        <v>60.5</v>
      </c>
      <c r="K1029" s="14">
        <f t="shared" si="23"/>
        <v>60.5</v>
      </c>
    </row>
    <row r="1030" spans="4:11">
      <c r="D1030" s="11">
        <v>46086</v>
      </c>
      <c r="E1030" s="12">
        <v>1582439</v>
      </c>
      <c r="F1030" s="12" t="s">
        <v>20</v>
      </c>
      <c r="G1030" s="13">
        <v>20318360</v>
      </c>
      <c r="H1030" s="12" t="s">
        <v>227</v>
      </c>
      <c r="I1030" s="13">
        <v>1</v>
      </c>
      <c r="J1030" s="14">
        <v>33</v>
      </c>
      <c r="K1030" s="14">
        <f t="shared" si="23"/>
        <v>33</v>
      </c>
    </row>
    <row r="1031" spans="4:11">
      <c r="D1031" s="11">
        <v>46086</v>
      </c>
      <c r="E1031" s="12">
        <v>1582439</v>
      </c>
      <c r="F1031" s="12" t="s">
        <v>20</v>
      </c>
      <c r="G1031" s="13">
        <v>20321257</v>
      </c>
      <c r="H1031" s="12" t="s">
        <v>21</v>
      </c>
      <c r="I1031" s="13">
        <v>1</v>
      </c>
      <c r="J1031" s="14">
        <v>16.5</v>
      </c>
      <c r="K1031" s="14">
        <f t="shared" si="23"/>
        <v>16.5</v>
      </c>
    </row>
    <row r="1032" spans="4:11">
      <c r="D1032" s="11">
        <v>46086</v>
      </c>
      <c r="E1032" s="12">
        <v>1582439</v>
      </c>
      <c r="F1032" s="12" t="s">
        <v>20</v>
      </c>
      <c r="G1032" s="13">
        <v>20318334</v>
      </c>
      <c r="H1032" s="12" t="s">
        <v>175</v>
      </c>
      <c r="I1032" s="13">
        <v>1</v>
      </c>
      <c r="J1032" s="14">
        <v>16.5</v>
      </c>
      <c r="K1032" s="14">
        <f t="shared" si="23"/>
        <v>16.5</v>
      </c>
    </row>
    <row r="1033" spans="4:11">
      <c r="D1033" s="11">
        <v>46086</v>
      </c>
      <c r="E1033" s="12">
        <v>1582439</v>
      </c>
      <c r="F1033" s="12" t="s">
        <v>20</v>
      </c>
      <c r="G1033" s="13">
        <v>20318378</v>
      </c>
      <c r="H1033" s="12" t="s">
        <v>128</v>
      </c>
      <c r="I1033" s="13">
        <v>1</v>
      </c>
      <c r="J1033" s="14">
        <v>16.5</v>
      </c>
      <c r="K1033" s="14">
        <f t="shared" si="23"/>
        <v>16.5</v>
      </c>
    </row>
    <row r="1034" spans="4:11">
      <c r="D1034" s="11">
        <v>46086</v>
      </c>
      <c r="E1034" s="12">
        <v>1582439</v>
      </c>
      <c r="F1034" s="12" t="s">
        <v>20</v>
      </c>
      <c r="G1034" s="13">
        <v>20318380</v>
      </c>
      <c r="H1034" s="12" t="s">
        <v>143</v>
      </c>
      <c r="I1034" s="13">
        <v>1</v>
      </c>
      <c r="J1034" s="14">
        <v>16.5</v>
      </c>
      <c r="K1034" s="14">
        <f t="shared" si="23"/>
        <v>16.5</v>
      </c>
    </row>
    <row r="1035" spans="4:11">
      <c r="D1035" s="11">
        <v>46086</v>
      </c>
      <c r="E1035" s="12">
        <v>1582439</v>
      </c>
      <c r="F1035" s="12" t="s">
        <v>20</v>
      </c>
      <c r="G1035" s="13">
        <v>20318340</v>
      </c>
      <c r="H1035" s="12" t="s">
        <v>144</v>
      </c>
      <c r="I1035" s="13">
        <v>1</v>
      </c>
      <c r="J1035" s="14">
        <v>16.5</v>
      </c>
      <c r="K1035" s="14">
        <f t="shared" si="23"/>
        <v>16.5</v>
      </c>
    </row>
    <row r="1036" spans="4:11">
      <c r="D1036" s="11">
        <v>46086</v>
      </c>
      <c r="E1036" s="12">
        <v>1582439</v>
      </c>
      <c r="F1036" s="12" t="s">
        <v>20</v>
      </c>
      <c r="G1036" s="13">
        <v>20321250</v>
      </c>
      <c r="H1036" s="12" t="s">
        <v>157</v>
      </c>
      <c r="I1036" s="13">
        <v>4</v>
      </c>
      <c r="J1036" s="14">
        <v>16.5</v>
      </c>
      <c r="K1036" s="14">
        <f t="shared" si="23"/>
        <v>66</v>
      </c>
    </row>
    <row r="1037" spans="4:11">
      <c r="D1037" s="11">
        <v>46086</v>
      </c>
      <c r="E1037" s="12">
        <v>1582439</v>
      </c>
      <c r="F1037" s="12" t="s">
        <v>20</v>
      </c>
      <c r="G1037" s="13">
        <v>20383164</v>
      </c>
      <c r="H1037" s="12" t="s">
        <v>151</v>
      </c>
      <c r="I1037" s="13">
        <v>1</v>
      </c>
      <c r="J1037" s="14">
        <v>22</v>
      </c>
      <c r="K1037" s="14">
        <f t="shared" si="23"/>
        <v>22</v>
      </c>
    </row>
    <row r="1038" spans="4:11">
      <c r="D1038" s="11">
        <v>46086</v>
      </c>
      <c r="E1038" s="12">
        <v>1582439</v>
      </c>
      <c r="F1038" s="12" t="s">
        <v>20</v>
      </c>
      <c r="G1038" s="13">
        <v>20318336</v>
      </c>
      <c r="H1038" s="12" t="s">
        <v>137</v>
      </c>
      <c r="I1038" s="13">
        <v>2</v>
      </c>
      <c r="J1038" s="14">
        <v>16.5</v>
      </c>
      <c r="K1038" s="14">
        <f t="shared" si="23"/>
        <v>33</v>
      </c>
    </row>
    <row r="1039" spans="4:11">
      <c r="D1039" s="11">
        <v>46086</v>
      </c>
      <c r="E1039" s="12">
        <v>1582439</v>
      </c>
      <c r="F1039" s="12" t="s">
        <v>20</v>
      </c>
      <c r="G1039" s="13">
        <v>20318342</v>
      </c>
      <c r="H1039" s="12" t="s">
        <v>115</v>
      </c>
      <c r="I1039" s="13">
        <v>1</v>
      </c>
      <c r="J1039" s="14">
        <v>16.5</v>
      </c>
      <c r="K1039" s="14">
        <f t="shared" si="23"/>
        <v>16.5</v>
      </c>
    </row>
    <row r="1040" spans="4:11">
      <c r="D1040" s="11">
        <v>46086</v>
      </c>
      <c r="E1040" s="12">
        <v>1582439</v>
      </c>
      <c r="F1040" s="12" t="s">
        <v>20</v>
      </c>
      <c r="G1040" s="13">
        <v>20322118</v>
      </c>
      <c r="H1040" s="12" t="s">
        <v>170</v>
      </c>
      <c r="I1040" s="13">
        <v>1</v>
      </c>
      <c r="J1040" s="14">
        <v>16.5</v>
      </c>
      <c r="K1040" s="14">
        <f t="shared" si="23"/>
        <v>16.5</v>
      </c>
    </row>
    <row r="1041" spans="4:11">
      <c r="D1041" s="11">
        <v>46086</v>
      </c>
      <c r="E1041" s="12">
        <v>1582439</v>
      </c>
      <c r="F1041" s="12" t="s">
        <v>20</v>
      </c>
      <c r="G1041" s="13">
        <v>20318393</v>
      </c>
      <c r="H1041" s="12" t="s">
        <v>26</v>
      </c>
      <c r="I1041" s="13">
        <v>1</v>
      </c>
      <c r="J1041" s="14">
        <v>16.5</v>
      </c>
      <c r="K1041" s="14">
        <f t="shared" si="23"/>
        <v>16.5</v>
      </c>
    </row>
    <row r="1042" spans="4:11">
      <c r="D1042" s="11">
        <v>46086</v>
      </c>
      <c r="E1042" s="12">
        <v>1582462</v>
      </c>
      <c r="F1042" s="12" t="s">
        <v>13</v>
      </c>
      <c r="G1042" s="13">
        <v>20321252</v>
      </c>
      <c r="H1042" s="12" t="s">
        <v>149</v>
      </c>
      <c r="I1042" s="13">
        <v>1</v>
      </c>
      <c r="J1042" s="14">
        <v>49.5</v>
      </c>
      <c r="K1042" s="14">
        <f t="shared" si="23"/>
        <v>49.5</v>
      </c>
    </row>
    <row r="1043" spans="4:11">
      <c r="D1043" s="11">
        <v>46086</v>
      </c>
      <c r="E1043" s="12">
        <v>1582462</v>
      </c>
      <c r="F1043" s="12" t="s">
        <v>13</v>
      </c>
      <c r="G1043" s="13">
        <v>20318353</v>
      </c>
      <c r="H1043" s="12" t="s">
        <v>224</v>
      </c>
      <c r="I1043" s="13">
        <v>1</v>
      </c>
      <c r="J1043" s="14">
        <v>66</v>
      </c>
      <c r="K1043" s="14">
        <f t="shared" si="23"/>
        <v>66</v>
      </c>
    </row>
    <row r="1044" spans="4:11">
      <c r="D1044" s="11">
        <v>46086</v>
      </c>
      <c r="E1044" s="12">
        <v>1582462</v>
      </c>
      <c r="F1044" s="12" t="s">
        <v>13</v>
      </c>
      <c r="G1044" s="13">
        <v>20312995</v>
      </c>
      <c r="H1044" s="12" t="s">
        <v>176</v>
      </c>
      <c r="I1044" s="13">
        <v>1</v>
      </c>
      <c r="J1044" s="14">
        <v>82.5</v>
      </c>
      <c r="K1044" s="14">
        <f t="shared" si="23"/>
        <v>82.5</v>
      </c>
    </row>
    <row r="1045" spans="4:11">
      <c r="D1045" s="11">
        <v>46086</v>
      </c>
      <c r="E1045" s="12">
        <v>1582462</v>
      </c>
      <c r="F1045" s="12" t="s">
        <v>13</v>
      </c>
      <c r="G1045" s="13">
        <v>20312966</v>
      </c>
      <c r="H1045" s="12" t="s">
        <v>147</v>
      </c>
      <c r="I1045" s="13">
        <v>5</v>
      </c>
      <c r="J1045" s="14">
        <v>159.5</v>
      </c>
      <c r="K1045" s="14">
        <f t="shared" si="23"/>
        <v>797.5</v>
      </c>
    </row>
    <row r="1046" spans="4:11">
      <c r="D1046" s="11">
        <v>46086</v>
      </c>
      <c r="E1046" s="12">
        <v>1582462</v>
      </c>
      <c r="F1046" s="12" t="s">
        <v>13</v>
      </c>
      <c r="G1046" s="13">
        <v>20312965</v>
      </c>
      <c r="H1046" s="12" t="s">
        <v>15</v>
      </c>
      <c r="I1046" s="13">
        <v>3</v>
      </c>
      <c r="J1046" s="14">
        <v>137.5</v>
      </c>
      <c r="K1046" s="14">
        <f t="shared" si="23"/>
        <v>412.5</v>
      </c>
    </row>
    <row r="1047" spans="4:11">
      <c r="D1047" s="11">
        <v>46086</v>
      </c>
      <c r="E1047" s="12">
        <v>1582462</v>
      </c>
      <c r="F1047" s="12" t="s">
        <v>13</v>
      </c>
      <c r="G1047" s="13">
        <v>20312967</v>
      </c>
      <c r="H1047" s="12" t="s">
        <v>130</v>
      </c>
      <c r="I1047" s="13">
        <v>8</v>
      </c>
      <c r="J1047" s="14">
        <v>176</v>
      </c>
      <c r="K1047" s="14">
        <f t="shared" si="23"/>
        <v>1408</v>
      </c>
    </row>
    <row r="1048" spans="4:11">
      <c r="D1048" s="11">
        <v>46086</v>
      </c>
      <c r="E1048" s="12">
        <v>1582462</v>
      </c>
      <c r="F1048" s="12" t="s">
        <v>16</v>
      </c>
      <c r="G1048" s="13">
        <v>20411008</v>
      </c>
      <c r="H1048" s="12" t="s">
        <v>160</v>
      </c>
      <c r="I1048" s="13">
        <v>1</v>
      </c>
      <c r="J1048" s="14">
        <v>16.5</v>
      </c>
      <c r="K1048" s="14">
        <f t="shared" si="23"/>
        <v>16.5</v>
      </c>
    </row>
    <row r="1049" spans="4:11">
      <c r="D1049" s="11">
        <v>46086</v>
      </c>
      <c r="E1049" s="12">
        <v>1582462</v>
      </c>
      <c r="F1049" s="12" t="s">
        <v>16</v>
      </c>
      <c r="G1049" s="13">
        <v>20340288</v>
      </c>
      <c r="H1049" s="12" t="s">
        <v>114</v>
      </c>
      <c r="I1049" s="13">
        <v>1</v>
      </c>
      <c r="J1049" s="14">
        <v>22</v>
      </c>
      <c r="K1049" s="14">
        <f t="shared" si="23"/>
        <v>22</v>
      </c>
    </row>
    <row r="1050" spans="4:11">
      <c r="D1050" s="11">
        <v>46086</v>
      </c>
      <c r="E1050" s="12">
        <v>1582462</v>
      </c>
      <c r="F1050" s="12" t="s">
        <v>30</v>
      </c>
      <c r="G1050" s="13">
        <v>20340286</v>
      </c>
      <c r="H1050" s="12" t="s">
        <v>168</v>
      </c>
      <c r="I1050" s="13">
        <v>2</v>
      </c>
      <c r="J1050" s="14">
        <v>55</v>
      </c>
      <c r="K1050" s="14">
        <f t="shared" si="23"/>
        <v>110</v>
      </c>
    </row>
    <row r="1051" spans="4:11">
      <c r="D1051" s="11">
        <v>46086</v>
      </c>
      <c r="E1051" s="12">
        <v>1582462</v>
      </c>
      <c r="F1051" s="12" t="s">
        <v>20</v>
      </c>
      <c r="G1051" s="13">
        <v>20321257</v>
      </c>
      <c r="H1051" s="12" t="s">
        <v>21</v>
      </c>
      <c r="I1051" s="13">
        <v>4</v>
      </c>
      <c r="J1051" s="14">
        <v>16.5</v>
      </c>
      <c r="K1051" s="14">
        <f t="shared" si="23"/>
        <v>66</v>
      </c>
    </row>
    <row r="1052" spans="4:11">
      <c r="D1052" s="11">
        <v>46086</v>
      </c>
      <c r="E1052" s="12">
        <v>1582462</v>
      </c>
      <c r="F1052" s="12" t="s">
        <v>20</v>
      </c>
      <c r="G1052" s="13">
        <v>20318378</v>
      </c>
      <c r="H1052" s="12" t="s">
        <v>128</v>
      </c>
      <c r="I1052" s="13">
        <v>1</v>
      </c>
      <c r="J1052" s="14">
        <v>16.5</v>
      </c>
      <c r="K1052" s="14">
        <f t="shared" si="23"/>
        <v>16.5</v>
      </c>
    </row>
    <row r="1053" spans="4:11">
      <c r="D1053" s="11">
        <v>46086</v>
      </c>
      <c r="E1053" s="12">
        <v>1582462</v>
      </c>
      <c r="F1053" s="12" t="s">
        <v>20</v>
      </c>
      <c r="G1053" s="13">
        <v>20321250</v>
      </c>
      <c r="H1053" s="12" t="s">
        <v>157</v>
      </c>
      <c r="I1053" s="13">
        <v>1</v>
      </c>
      <c r="J1053" s="14">
        <v>16.5</v>
      </c>
      <c r="K1053" s="14">
        <f t="shared" si="23"/>
        <v>16.5</v>
      </c>
    </row>
    <row r="1054" spans="4:11">
      <c r="D1054" s="11">
        <v>46086</v>
      </c>
      <c r="E1054" s="12">
        <v>1582462</v>
      </c>
      <c r="F1054" s="12" t="s">
        <v>20</v>
      </c>
      <c r="G1054" s="13">
        <v>20318336</v>
      </c>
      <c r="H1054" s="12" t="s">
        <v>137</v>
      </c>
      <c r="I1054" s="13">
        <v>2</v>
      </c>
      <c r="J1054" s="14">
        <v>16.5</v>
      </c>
      <c r="K1054" s="14">
        <f t="shared" si="23"/>
        <v>33</v>
      </c>
    </row>
    <row r="1055" spans="4:11">
      <c r="D1055" s="11">
        <v>46086</v>
      </c>
      <c r="E1055" s="12">
        <v>1582462</v>
      </c>
      <c r="F1055" s="12" t="s">
        <v>20</v>
      </c>
      <c r="G1055" s="13">
        <v>20318342</v>
      </c>
      <c r="H1055" s="12" t="s">
        <v>115</v>
      </c>
      <c r="I1055" s="13">
        <v>1</v>
      </c>
      <c r="J1055" s="14">
        <v>16.5</v>
      </c>
      <c r="K1055" s="14">
        <f t="shared" si="23"/>
        <v>16.5</v>
      </c>
    </row>
    <row r="1056" spans="4:11">
      <c r="D1056" s="11">
        <v>46087</v>
      </c>
      <c r="E1056" s="12">
        <v>1582629</v>
      </c>
      <c r="F1056" s="12" t="s">
        <v>13</v>
      </c>
      <c r="G1056" s="13">
        <v>20366734</v>
      </c>
      <c r="H1056" s="12" t="s">
        <v>191</v>
      </c>
      <c r="I1056" s="13">
        <v>1</v>
      </c>
      <c r="J1056" s="14">
        <v>275</v>
      </c>
      <c r="K1056" s="14">
        <f t="shared" si="23"/>
        <v>275</v>
      </c>
    </row>
    <row r="1057" spans="4:11">
      <c r="D1057" s="11">
        <v>46087</v>
      </c>
      <c r="E1057" s="12">
        <v>1582629</v>
      </c>
      <c r="F1057" s="12" t="s">
        <v>13</v>
      </c>
      <c r="G1057" s="13">
        <v>20312966</v>
      </c>
      <c r="H1057" s="12" t="s">
        <v>147</v>
      </c>
      <c r="I1057" s="13">
        <v>4</v>
      </c>
      <c r="J1057" s="14">
        <v>159.5</v>
      </c>
      <c r="K1057" s="14">
        <f t="shared" si="23"/>
        <v>638</v>
      </c>
    </row>
    <row r="1058" spans="4:11">
      <c r="D1058" s="11">
        <v>46087</v>
      </c>
      <c r="E1058" s="12">
        <v>1582629</v>
      </c>
      <c r="F1058" s="12" t="s">
        <v>13</v>
      </c>
      <c r="G1058" s="13">
        <v>20312965</v>
      </c>
      <c r="H1058" s="12" t="s">
        <v>15</v>
      </c>
      <c r="I1058" s="13">
        <v>1</v>
      </c>
      <c r="J1058" s="14">
        <v>137.5</v>
      </c>
      <c r="K1058" s="14">
        <f t="shared" si="23"/>
        <v>137.5</v>
      </c>
    </row>
    <row r="1059" spans="4:11">
      <c r="D1059" s="11">
        <v>46087</v>
      </c>
      <c r="E1059" s="12">
        <v>1582629</v>
      </c>
      <c r="F1059" s="12" t="s">
        <v>13</v>
      </c>
      <c r="G1059" s="13">
        <v>20312967</v>
      </c>
      <c r="H1059" s="12" t="s">
        <v>130</v>
      </c>
      <c r="I1059" s="13">
        <v>1</v>
      </c>
      <c r="J1059" s="14">
        <v>176</v>
      </c>
      <c r="K1059" s="14">
        <f t="shared" si="23"/>
        <v>176</v>
      </c>
    </row>
    <row r="1060" spans="4:11">
      <c r="D1060" s="11">
        <v>46087</v>
      </c>
      <c r="E1060" s="12">
        <v>1582629</v>
      </c>
      <c r="F1060" s="12" t="s">
        <v>16</v>
      </c>
      <c r="G1060" s="13">
        <v>20366610</v>
      </c>
      <c r="H1060" s="12" t="s">
        <v>155</v>
      </c>
      <c r="I1060" s="13">
        <v>1</v>
      </c>
      <c r="J1060" s="14">
        <v>16.5</v>
      </c>
      <c r="K1060" s="14">
        <f t="shared" si="23"/>
        <v>16.5</v>
      </c>
    </row>
    <row r="1061" spans="4:11">
      <c r="D1061" s="11">
        <v>46087</v>
      </c>
      <c r="E1061" s="12">
        <v>1582629</v>
      </c>
      <c r="F1061" s="12" t="s">
        <v>53</v>
      </c>
      <c r="G1061" s="13">
        <v>20322243</v>
      </c>
      <c r="H1061" s="12" t="s">
        <v>54</v>
      </c>
      <c r="I1061" s="13">
        <v>2</v>
      </c>
      <c r="J1061" s="14">
        <v>30</v>
      </c>
      <c r="K1061" s="14">
        <f t="shared" si="23"/>
        <v>60</v>
      </c>
    </row>
    <row r="1062" spans="4:11">
      <c r="D1062" s="11">
        <v>46087</v>
      </c>
      <c r="E1062" s="12">
        <v>1582629</v>
      </c>
      <c r="F1062" s="12" t="s">
        <v>53</v>
      </c>
      <c r="G1062" s="13">
        <v>20322304</v>
      </c>
      <c r="H1062" s="12" t="s">
        <v>112</v>
      </c>
      <c r="I1062" s="13">
        <v>4</v>
      </c>
      <c r="J1062" s="14">
        <v>25</v>
      </c>
      <c r="K1062" s="14">
        <f t="shared" si="23"/>
        <v>100</v>
      </c>
    </row>
    <row r="1063" spans="4:11">
      <c r="D1063" s="11">
        <v>46087</v>
      </c>
      <c r="E1063" s="12">
        <v>1582629</v>
      </c>
      <c r="F1063" s="12" t="s">
        <v>53</v>
      </c>
      <c r="G1063" s="13">
        <v>20330757</v>
      </c>
      <c r="H1063" s="12" t="s">
        <v>113</v>
      </c>
      <c r="I1063" s="13">
        <v>6</v>
      </c>
      <c r="J1063" s="14">
        <v>35</v>
      </c>
      <c r="K1063" s="14">
        <f t="shared" si="23"/>
        <v>210</v>
      </c>
    </row>
    <row r="1064" spans="4:11">
      <c r="D1064" s="11">
        <v>46087</v>
      </c>
      <c r="E1064" s="12">
        <v>1582629</v>
      </c>
      <c r="F1064" s="12" t="s">
        <v>20</v>
      </c>
      <c r="G1064" s="13">
        <v>20321257</v>
      </c>
      <c r="H1064" s="12" t="s">
        <v>21</v>
      </c>
      <c r="I1064" s="13">
        <v>4</v>
      </c>
      <c r="J1064" s="14">
        <v>16.5</v>
      </c>
      <c r="K1064" s="14">
        <f t="shared" si="23"/>
        <v>66</v>
      </c>
    </row>
    <row r="1065" spans="4:11">
      <c r="D1065" s="11">
        <v>46087</v>
      </c>
      <c r="E1065" s="12">
        <v>1582629</v>
      </c>
      <c r="F1065" s="12" t="s">
        <v>20</v>
      </c>
      <c r="G1065" s="13">
        <v>20321250</v>
      </c>
      <c r="H1065" s="12" t="s">
        <v>157</v>
      </c>
      <c r="I1065" s="13">
        <v>1</v>
      </c>
      <c r="J1065" s="14">
        <v>16.5</v>
      </c>
      <c r="K1065" s="14">
        <f t="shared" si="23"/>
        <v>16.5</v>
      </c>
    </row>
    <row r="1066" spans="4:11">
      <c r="D1066" s="11">
        <v>46087</v>
      </c>
      <c r="E1066" s="12">
        <v>1582629</v>
      </c>
      <c r="F1066" s="12" t="s">
        <v>20</v>
      </c>
      <c r="G1066" s="13">
        <v>20340289</v>
      </c>
      <c r="H1066" s="12" t="s">
        <v>145</v>
      </c>
      <c r="I1066" s="13">
        <v>1</v>
      </c>
      <c r="J1066" s="14">
        <v>16.5</v>
      </c>
      <c r="K1066" s="14">
        <f t="shared" si="23"/>
        <v>16.5</v>
      </c>
    </row>
    <row r="1067" spans="4:11">
      <c r="D1067" s="11">
        <v>46087</v>
      </c>
      <c r="E1067" s="12">
        <v>1582646</v>
      </c>
      <c r="F1067" s="12" t="s">
        <v>13</v>
      </c>
      <c r="G1067" s="13">
        <v>20312966</v>
      </c>
      <c r="H1067" s="12" t="s">
        <v>147</v>
      </c>
      <c r="I1067" s="13">
        <v>2</v>
      </c>
      <c r="J1067" s="14">
        <v>159.5</v>
      </c>
      <c r="K1067" s="14">
        <f t="shared" si="23"/>
        <v>319</v>
      </c>
    </row>
    <row r="1068" spans="4:11">
      <c r="D1068" s="11">
        <v>46087</v>
      </c>
      <c r="E1068" s="12">
        <v>1582646</v>
      </c>
      <c r="F1068" s="12" t="s">
        <v>13</v>
      </c>
      <c r="G1068" s="13">
        <v>20312965</v>
      </c>
      <c r="H1068" s="12" t="s">
        <v>15</v>
      </c>
      <c r="I1068" s="13">
        <v>2</v>
      </c>
      <c r="J1068" s="14">
        <v>137.5</v>
      </c>
      <c r="K1068" s="14">
        <f t="shared" si="23"/>
        <v>275</v>
      </c>
    </row>
    <row r="1069" spans="4:11">
      <c r="D1069" s="11">
        <v>46087</v>
      </c>
      <c r="E1069" s="12">
        <v>1582646</v>
      </c>
      <c r="F1069" s="12" t="s">
        <v>13</v>
      </c>
      <c r="G1069" s="13">
        <v>20312967</v>
      </c>
      <c r="H1069" s="12" t="s">
        <v>130</v>
      </c>
      <c r="I1069" s="13">
        <v>4</v>
      </c>
      <c r="J1069" s="14">
        <v>176</v>
      </c>
      <c r="K1069" s="14">
        <f t="shared" si="23"/>
        <v>704</v>
      </c>
    </row>
    <row r="1070" spans="4:11">
      <c r="D1070" s="11">
        <v>46087</v>
      </c>
      <c r="E1070" s="12">
        <v>1582646</v>
      </c>
      <c r="F1070" s="12" t="s">
        <v>16</v>
      </c>
      <c r="G1070" s="13">
        <v>20410957</v>
      </c>
      <c r="H1070" s="12" t="s">
        <v>196</v>
      </c>
      <c r="I1070" s="13">
        <v>1</v>
      </c>
      <c r="J1070" s="14">
        <v>16.5</v>
      </c>
      <c r="K1070" s="14">
        <f t="shared" si="23"/>
        <v>16.5</v>
      </c>
    </row>
    <row r="1071" spans="4:11">
      <c r="D1071" s="11">
        <v>46087</v>
      </c>
      <c r="E1071" s="12">
        <v>1582646</v>
      </c>
      <c r="F1071" s="12" t="s">
        <v>20</v>
      </c>
      <c r="G1071" s="13">
        <v>20321257</v>
      </c>
      <c r="H1071" s="12" t="s">
        <v>21</v>
      </c>
      <c r="I1071" s="13">
        <v>5</v>
      </c>
      <c r="J1071" s="14">
        <v>16.5</v>
      </c>
      <c r="K1071" s="14">
        <f t="shared" ref="K1071:K1116" si="24">J1071*I1071</f>
        <v>82.5</v>
      </c>
    </row>
    <row r="1072" spans="4:11">
      <c r="D1072" s="11">
        <v>46087</v>
      </c>
      <c r="E1072" s="12">
        <v>1582646</v>
      </c>
      <c r="F1072" s="12" t="s">
        <v>20</v>
      </c>
      <c r="G1072" s="13">
        <v>20318380</v>
      </c>
      <c r="H1072" s="12" t="s">
        <v>143</v>
      </c>
      <c r="I1072" s="13">
        <v>1</v>
      </c>
      <c r="J1072" s="14">
        <v>16.5</v>
      </c>
      <c r="K1072" s="14">
        <f t="shared" si="24"/>
        <v>16.5</v>
      </c>
    </row>
    <row r="1073" spans="4:11">
      <c r="D1073" s="11">
        <v>46087</v>
      </c>
      <c r="E1073" s="12">
        <v>1582646</v>
      </c>
      <c r="F1073" s="12" t="s">
        <v>20</v>
      </c>
      <c r="G1073" s="13">
        <v>20321250</v>
      </c>
      <c r="H1073" s="12" t="s">
        <v>157</v>
      </c>
      <c r="I1073" s="13">
        <v>1</v>
      </c>
      <c r="J1073" s="14">
        <v>16.5</v>
      </c>
      <c r="K1073" s="14">
        <f t="shared" si="24"/>
        <v>16.5</v>
      </c>
    </row>
    <row r="1074" spans="4:11">
      <c r="D1074" s="11">
        <v>46087</v>
      </c>
      <c r="E1074" s="12">
        <v>1582646</v>
      </c>
      <c r="F1074" s="12" t="s">
        <v>20</v>
      </c>
      <c r="G1074" s="13">
        <v>20318379</v>
      </c>
      <c r="H1074" s="12" t="s">
        <v>190</v>
      </c>
      <c r="I1074" s="13">
        <v>1</v>
      </c>
      <c r="J1074" s="14">
        <v>16.5</v>
      </c>
      <c r="K1074" s="14">
        <f t="shared" si="24"/>
        <v>16.5</v>
      </c>
    </row>
    <row r="1075" spans="4:11">
      <c r="D1075" s="11">
        <v>46087</v>
      </c>
      <c r="E1075" s="12">
        <v>1582646</v>
      </c>
      <c r="F1075" s="12" t="s">
        <v>20</v>
      </c>
      <c r="G1075" s="13">
        <v>20318336</v>
      </c>
      <c r="H1075" s="12" t="s">
        <v>137</v>
      </c>
      <c r="I1075" s="13">
        <v>2</v>
      </c>
      <c r="J1075" s="14">
        <v>16.5</v>
      </c>
      <c r="K1075" s="14">
        <f t="shared" si="24"/>
        <v>33</v>
      </c>
    </row>
    <row r="1076" spans="4:11">
      <c r="D1076" s="11">
        <v>46087</v>
      </c>
      <c r="E1076" s="12">
        <v>1582698</v>
      </c>
      <c r="F1076" s="12" t="s">
        <v>30</v>
      </c>
      <c r="G1076" s="13">
        <v>20366064</v>
      </c>
      <c r="H1076" s="12" t="s">
        <v>183</v>
      </c>
      <c r="I1076" s="13">
        <v>1</v>
      </c>
      <c r="J1076" s="14">
        <v>71.5</v>
      </c>
      <c r="K1076" s="14">
        <f t="shared" si="24"/>
        <v>71.5</v>
      </c>
    </row>
    <row r="1077" spans="4:11">
      <c r="D1077" s="11">
        <v>46087</v>
      </c>
      <c r="E1077" s="12">
        <v>1582701</v>
      </c>
      <c r="F1077" s="12" t="s">
        <v>16</v>
      </c>
      <c r="G1077" s="13">
        <v>20410156</v>
      </c>
      <c r="H1077" s="12" t="s">
        <v>195</v>
      </c>
      <c r="I1077" s="13">
        <v>1</v>
      </c>
      <c r="J1077" s="14">
        <v>16.5</v>
      </c>
      <c r="K1077" s="14">
        <f t="shared" si="24"/>
        <v>16.5</v>
      </c>
    </row>
    <row r="1078" spans="4:11">
      <c r="D1078" s="11">
        <v>46087</v>
      </c>
      <c r="E1078" s="12">
        <v>1582701</v>
      </c>
      <c r="F1078" s="12" t="s">
        <v>20</v>
      </c>
      <c r="G1078" s="13">
        <v>20318334</v>
      </c>
      <c r="H1078" s="12" t="s">
        <v>175</v>
      </c>
      <c r="I1078" s="13">
        <v>1</v>
      </c>
      <c r="J1078" s="14">
        <v>16.5</v>
      </c>
      <c r="K1078" s="14">
        <f t="shared" si="24"/>
        <v>16.5</v>
      </c>
    </row>
    <row r="1079" spans="4:11">
      <c r="D1079" s="11">
        <v>46087</v>
      </c>
      <c r="E1079" s="12">
        <v>1582722</v>
      </c>
      <c r="F1079" s="12" t="s">
        <v>13</v>
      </c>
      <c r="G1079" s="13">
        <v>20312966</v>
      </c>
      <c r="H1079" s="12" t="s">
        <v>147</v>
      </c>
      <c r="I1079" s="13">
        <v>4</v>
      </c>
      <c r="J1079" s="14">
        <v>159.5</v>
      </c>
      <c r="K1079" s="14">
        <f t="shared" si="24"/>
        <v>638</v>
      </c>
    </row>
    <row r="1080" spans="4:11">
      <c r="D1080" s="11">
        <v>46087</v>
      </c>
      <c r="E1080" s="12">
        <v>1582722</v>
      </c>
      <c r="F1080" s="12" t="s">
        <v>13</v>
      </c>
      <c r="G1080" s="13">
        <v>20334934</v>
      </c>
      <c r="H1080" s="12" t="s">
        <v>154</v>
      </c>
      <c r="I1080" s="13">
        <v>1</v>
      </c>
      <c r="J1080" s="14">
        <v>121</v>
      </c>
      <c r="K1080" s="14">
        <f t="shared" si="24"/>
        <v>121</v>
      </c>
    </row>
    <row r="1081" spans="4:11">
      <c r="D1081" s="11">
        <v>46087</v>
      </c>
      <c r="E1081" s="12">
        <v>1582722</v>
      </c>
      <c r="F1081" s="12" t="s">
        <v>13</v>
      </c>
      <c r="G1081" s="13">
        <v>20312965</v>
      </c>
      <c r="H1081" s="12" t="s">
        <v>15</v>
      </c>
      <c r="I1081" s="13">
        <v>2</v>
      </c>
      <c r="J1081" s="14">
        <v>137.5</v>
      </c>
      <c r="K1081" s="14">
        <f t="shared" si="24"/>
        <v>275</v>
      </c>
    </row>
    <row r="1082" spans="4:11">
      <c r="D1082" s="11">
        <v>46087</v>
      </c>
      <c r="E1082" s="12">
        <v>1582722</v>
      </c>
      <c r="F1082" s="12" t="s">
        <v>13</v>
      </c>
      <c r="G1082" s="13">
        <v>20312967</v>
      </c>
      <c r="H1082" s="12" t="s">
        <v>130</v>
      </c>
      <c r="I1082" s="13">
        <v>4</v>
      </c>
      <c r="J1082" s="14">
        <v>176</v>
      </c>
      <c r="K1082" s="14">
        <f t="shared" si="24"/>
        <v>704</v>
      </c>
    </row>
    <row r="1083" ht="25.5" spans="4:11">
      <c r="D1083" s="11">
        <v>46087</v>
      </c>
      <c r="E1083" s="12">
        <v>1582722</v>
      </c>
      <c r="F1083" s="12" t="s">
        <v>39</v>
      </c>
      <c r="G1083" s="13">
        <v>20327255</v>
      </c>
      <c r="H1083" s="12" t="s">
        <v>228</v>
      </c>
      <c r="I1083" s="13">
        <v>1</v>
      </c>
      <c r="J1083" s="14">
        <v>55</v>
      </c>
      <c r="K1083" s="14">
        <f t="shared" si="24"/>
        <v>55</v>
      </c>
    </row>
    <row r="1084" spans="4:11">
      <c r="D1084" s="11">
        <v>46087</v>
      </c>
      <c r="E1084" s="12">
        <v>1582722</v>
      </c>
      <c r="F1084" s="12" t="s">
        <v>39</v>
      </c>
      <c r="G1084" s="13">
        <v>20414890</v>
      </c>
      <c r="H1084" s="12" t="s">
        <v>229</v>
      </c>
      <c r="I1084" s="13">
        <v>1</v>
      </c>
      <c r="J1084" s="14">
        <v>49.5</v>
      </c>
      <c r="K1084" s="14">
        <f t="shared" si="24"/>
        <v>49.5</v>
      </c>
    </row>
    <row r="1085" spans="4:11">
      <c r="D1085" s="11">
        <v>46087</v>
      </c>
      <c r="E1085" s="12">
        <v>1582722</v>
      </c>
      <c r="F1085" s="12" t="s">
        <v>30</v>
      </c>
      <c r="G1085" s="13">
        <v>20366063</v>
      </c>
      <c r="H1085" s="12" t="s">
        <v>197</v>
      </c>
      <c r="I1085" s="13">
        <v>1</v>
      </c>
      <c r="J1085" s="14">
        <v>66</v>
      </c>
      <c r="K1085" s="14">
        <f t="shared" si="24"/>
        <v>66</v>
      </c>
    </row>
    <row r="1086" spans="4:11">
      <c r="D1086" s="11">
        <v>46087</v>
      </c>
      <c r="E1086" s="12">
        <v>1582722</v>
      </c>
      <c r="F1086" s="12" t="s">
        <v>30</v>
      </c>
      <c r="G1086" s="13">
        <v>20366065</v>
      </c>
      <c r="H1086" s="12" t="s">
        <v>201</v>
      </c>
      <c r="I1086" s="13">
        <v>1</v>
      </c>
      <c r="J1086" s="14">
        <v>71.5</v>
      </c>
      <c r="K1086" s="14">
        <f t="shared" si="24"/>
        <v>71.5</v>
      </c>
    </row>
    <row r="1087" spans="4:11">
      <c r="D1087" s="11">
        <v>46087</v>
      </c>
      <c r="E1087" s="12">
        <v>1582767</v>
      </c>
      <c r="F1087" s="12" t="s">
        <v>16</v>
      </c>
      <c r="G1087" s="13">
        <v>20411008</v>
      </c>
      <c r="H1087" s="12" t="s">
        <v>160</v>
      </c>
      <c r="I1087" s="13">
        <v>1</v>
      </c>
      <c r="J1087" s="14">
        <v>16.5</v>
      </c>
      <c r="K1087" s="14">
        <f t="shared" si="24"/>
        <v>16.5</v>
      </c>
    </row>
    <row r="1088" spans="4:11">
      <c r="D1088" s="11">
        <v>46087</v>
      </c>
      <c r="E1088" s="12">
        <v>1582767</v>
      </c>
      <c r="F1088" s="12" t="s">
        <v>16</v>
      </c>
      <c r="G1088" s="13">
        <v>20318363</v>
      </c>
      <c r="H1088" s="12" t="s">
        <v>156</v>
      </c>
      <c r="I1088" s="13">
        <v>1</v>
      </c>
      <c r="J1088" s="14">
        <v>8</v>
      </c>
      <c r="K1088" s="14">
        <f t="shared" si="24"/>
        <v>8</v>
      </c>
    </row>
    <row r="1089" spans="4:11">
      <c r="D1089" s="11">
        <v>46087</v>
      </c>
      <c r="E1089" s="12">
        <v>1582767</v>
      </c>
      <c r="F1089" s="12" t="s">
        <v>20</v>
      </c>
      <c r="G1089" s="13">
        <v>20321250</v>
      </c>
      <c r="H1089" s="12" t="s">
        <v>157</v>
      </c>
      <c r="I1089" s="13">
        <v>1</v>
      </c>
      <c r="J1089" s="14">
        <v>16.5</v>
      </c>
      <c r="K1089" s="14">
        <f t="shared" si="24"/>
        <v>16.5</v>
      </c>
    </row>
    <row r="1090" spans="4:11">
      <c r="D1090" s="11">
        <v>46087</v>
      </c>
      <c r="E1090" s="12">
        <v>1582767</v>
      </c>
      <c r="F1090" s="12" t="s">
        <v>20</v>
      </c>
      <c r="G1090" s="13">
        <v>20383164</v>
      </c>
      <c r="H1090" s="12" t="s">
        <v>151</v>
      </c>
      <c r="I1090" s="13">
        <v>1</v>
      </c>
      <c r="J1090" s="14">
        <v>22</v>
      </c>
      <c r="K1090" s="14">
        <f t="shared" si="24"/>
        <v>22</v>
      </c>
    </row>
    <row r="1091" spans="4:11">
      <c r="D1091" s="11">
        <v>46087</v>
      </c>
      <c r="E1091" s="12">
        <v>1582794</v>
      </c>
      <c r="F1091" s="12" t="s">
        <v>13</v>
      </c>
      <c r="G1091" s="13">
        <v>20321918</v>
      </c>
      <c r="H1091" s="12" t="s">
        <v>152</v>
      </c>
      <c r="I1091" s="13">
        <v>1</v>
      </c>
      <c r="J1091" s="14">
        <v>49.5</v>
      </c>
      <c r="K1091" s="14">
        <f t="shared" si="24"/>
        <v>49.5</v>
      </c>
    </row>
    <row r="1092" spans="4:11">
      <c r="D1092" s="11">
        <v>46087</v>
      </c>
      <c r="E1092" s="12">
        <v>1582794</v>
      </c>
      <c r="F1092" s="12" t="s">
        <v>53</v>
      </c>
      <c r="G1092" s="13">
        <v>20323503</v>
      </c>
      <c r="H1092" s="12" t="s">
        <v>172</v>
      </c>
      <c r="I1092" s="13">
        <v>1</v>
      </c>
      <c r="J1092" s="14">
        <v>4</v>
      </c>
      <c r="K1092" s="14">
        <f t="shared" si="24"/>
        <v>4</v>
      </c>
    </row>
    <row r="1093" spans="4:11">
      <c r="D1093" s="11">
        <v>46087</v>
      </c>
      <c r="E1093" s="12">
        <v>1582794</v>
      </c>
      <c r="F1093" s="12" t="s">
        <v>53</v>
      </c>
      <c r="G1093" s="13">
        <v>20330757</v>
      </c>
      <c r="H1093" s="12" t="s">
        <v>113</v>
      </c>
      <c r="I1093" s="13">
        <v>3</v>
      </c>
      <c r="J1093" s="14">
        <v>35</v>
      </c>
      <c r="K1093" s="14">
        <f t="shared" si="24"/>
        <v>105</v>
      </c>
    </row>
    <row r="1094" spans="4:11">
      <c r="D1094" s="11">
        <v>46087</v>
      </c>
      <c r="E1094" s="12">
        <v>1582794</v>
      </c>
      <c r="F1094" s="12" t="s">
        <v>20</v>
      </c>
      <c r="G1094" s="13">
        <v>20318361</v>
      </c>
      <c r="H1094" s="12" t="s">
        <v>187</v>
      </c>
      <c r="I1094" s="13">
        <v>1</v>
      </c>
      <c r="J1094" s="14">
        <v>16.5</v>
      </c>
      <c r="K1094" s="14">
        <f t="shared" si="24"/>
        <v>16.5</v>
      </c>
    </row>
    <row r="1095" spans="4:11">
      <c r="D1095" s="11">
        <v>46087</v>
      </c>
      <c r="E1095" s="12">
        <v>1582794</v>
      </c>
      <c r="F1095" s="12" t="s">
        <v>20</v>
      </c>
      <c r="G1095" s="13">
        <v>20318334</v>
      </c>
      <c r="H1095" s="12" t="s">
        <v>175</v>
      </c>
      <c r="I1095" s="13">
        <v>1</v>
      </c>
      <c r="J1095" s="14">
        <v>16.5</v>
      </c>
      <c r="K1095" s="14">
        <f t="shared" si="24"/>
        <v>16.5</v>
      </c>
    </row>
    <row r="1096" spans="4:11">
      <c r="D1096" s="11">
        <v>46087</v>
      </c>
      <c r="E1096" s="12">
        <v>1582794</v>
      </c>
      <c r="F1096" s="12" t="s">
        <v>20</v>
      </c>
      <c r="G1096" s="13">
        <v>20318378</v>
      </c>
      <c r="H1096" s="12" t="s">
        <v>128</v>
      </c>
      <c r="I1096" s="13">
        <v>2</v>
      </c>
      <c r="J1096" s="14">
        <v>16.5</v>
      </c>
      <c r="K1096" s="14">
        <f t="shared" si="24"/>
        <v>33</v>
      </c>
    </row>
    <row r="1097" spans="4:11">
      <c r="D1097" s="11">
        <v>46087</v>
      </c>
      <c r="E1097" s="12">
        <v>1582794</v>
      </c>
      <c r="F1097" s="12" t="s">
        <v>20</v>
      </c>
      <c r="G1097" s="13">
        <v>20321502</v>
      </c>
      <c r="H1097" s="12" t="s">
        <v>164</v>
      </c>
      <c r="I1097" s="13">
        <v>2</v>
      </c>
      <c r="J1097" s="14">
        <v>16.5</v>
      </c>
      <c r="K1097" s="14">
        <f t="shared" si="24"/>
        <v>33</v>
      </c>
    </row>
    <row r="1098" spans="4:11">
      <c r="D1098" s="11">
        <v>46087</v>
      </c>
      <c r="E1098" s="12">
        <v>1582794</v>
      </c>
      <c r="F1098" s="12" t="s">
        <v>20</v>
      </c>
      <c r="G1098" s="13">
        <v>20321250</v>
      </c>
      <c r="H1098" s="12" t="s">
        <v>157</v>
      </c>
      <c r="I1098" s="13">
        <v>1</v>
      </c>
      <c r="J1098" s="14">
        <v>16.5</v>
      </c>
      <c r="K1098" s="14">
        <f t="shared" si="24"/>
        <v>16.5</v>
      </c>
    </row>
    <row r="1099" spans="4:11">
      <c r="D1099" s="11">
        <v>46087</v>
      </c>
      <c r="E1099" s="12">
        <v>1582810</v>
      </c>
      <c r="F1099" s="12" t="s">
        <v>13</v>
      </c>
      <c r="G1099" s="13">
        <v>20380117</v>
      </c>
      <c r="H1099" s="12" t="s">
        <v>165</v>
      </c>
      <c r="I1099" s="13">
        <v>1</v>
      </c>
      <c r="J1099" s="14">
        <v>49.5</v>
      </c>
      <c r="K1099" s="14">
        <f t="shared" si="24"/>
        <v>49.5</v>
      </c>
    </row>
    <row r="1100" spans="4:11">
      <c r="D1100" s="11">
        <v>46087</v>
      </c>
      <c r="E1100" s="12">
        <v>1582810</v>
      </c>
      <c r="F1100" s="12" t="s">
        <v>13</v>
      </c>
      <c r="G1100" s="13">
        <v>20365495</v>
      </c>
      <c r="H1100" s="12" t="s">
        <v>205</v>
      </c>
      <c r="I1100" s="13">
        <v>1</v>
      </c>
      <c r="J1100" s="14">
        <v>154</v>
      </c>
      <c r="K1100" s="14">
        <f t="shared" si="24"/>
        <v>154</v>
      </c>
    </row>
    <row r="1101" spans="4:11">
      <c r="D1101" s="11">
        <v>46087</v>
      </c>
      <c r="E1101" s="12">
        <v>1582810</v>
      </c>
      <c r="F1101" s="12" t="s">
        <v>13</v>
      </c>
      <c r="G1101" s="13">
        <v>20312966</v>
      </c>
      <c r="H1101" s="12" t="s">
        <v>147</v>
      </c>
      <c r="I1101" s="13">
        <v>10</v>
      </c>
      <c r="J1101" s="14">
        <v>159.5</v>
      </c>
      <c r="K1101" s="14">
        <f t="shared" si="24"/>
        <v>1595</v>
      </c>
    </row>
    <row r="1102" spans="4:11">
      <c r="D1102" s="11">
        <v>46087</v>
      </c>
      <c r="E1102" s="12">
        <v>1582810</v>
      </c>
      <c r="F1102" s="12" t="s">
        <v>13</v>
      </c>
      <c r="G1102" s="13">
        <v>20312965</v>
      </c>
      <c r="H1102" s="12" t="s">
        <v>15</v>
      </c>
      <c r="I1102" s="13">
        <v>8</v>
      </c>
      <c r="J1102" s="14">
        <v>137.5</v>
      </c>
      <c r="K1102" s="14">
        <f t="shared" si="24"/>
        <v>1100</v>
      </c>
    </row>
    <row r="1103" spans="4:11">
      <c r="D1103" s="11">
        <v>46087</v>
      </c>
      <c r="E1103" s="12">
        <v>1582810</v>
      </c>
      <c r="F1103" s="12" t="s">
        <v>13</v>
      </c>
      <c r="G1103" s="13">
        <v>20312967</v>
      </c>
      <c r="H1103" s="12" t="s">
        <v>130</v>
      </c>
      <c r="I1103" s="13">
        <v>13</v>
      </c>
      <c r="J1103" s="14">
        <v>176</v>
      </c>
      <c r="K1103" s="14">
        <f t="shared" si="24"/>
        <v>2288</v>
      </c>
    </row>
    <row r="1104" spans="4:11">
      <c r="D1104" s="11">
        <v>46087</v>
      </c>
      <c r="E1104" s="12">
        <v>1582810</v>
      </c>
      <c r="F1104" s="12" t="s">
        <v>16</v>
      </c>
      <c r="G1104" s="13">
        <v>20410296</v>
      </c>
      <c r="H1104" s="12" t="s">
        <v>230</v>
      </c>
      <c r="I1104" s="13">
        <v>1</v>
      </c>
      <c r="J1104" s="20">
        <v>26.5</v>
      </c>
      <c r="K1104" s="14">
        <f t="shared" si="24"/>
        <v>26.5</v>
      </c>
    </row>
    <row r="1105" spans="4:11">
      <c r="D1105" s="11">
        <v>46087</v>
      </c>
      <c r="E1105" s="12">
        <v>1582810</v>
      </c>
      <c r="F1105" s="12" t="s">
        <v>16</v>
      </c>
      <c r="G1105" s="13">
        <v>20410990</v>
      </c>
      <c r="H1105" s="12" t="s">
        <v>231</v>
      </c>
      <c r="I1105" s="13">
        <v>1</v>
      </c>
      <c r="J1105" s="14">
        <v>16.5</v>
      </c>
      <c r="K1105" s="14">
        <f t="shared" si="24"/>
        <v>16.5</v>
      </c>
    </row>
    <row r="1106" spans="4:11">
      <c r="D1106" s="11">
        <v>46087</v>
      </c>
      <c r="E1106" s="12">
        <v>1582810</v>
      </c>
      <c r="F1106" s="12" t="s">
        <v>16</v>
      </c>
      <c r="G1106" s="13">
        <v>20318395</v>
      </c>
      <c r="H1106" s="12" t="s">
        <v>161</v>
      </c>
      <c r="I1106" s="13">
        <v>1</v>
      </c>
      <c r="J1106" s="14">
        <v>16.5</v>
      </c>
      <c r="K1106" s="14">
        <f t="shared" si="24"/>
        <v>16.5</v>
      </c>
    </row>
    <row r="1107" spans="4:11">
      <c r="D1107" s="11">
        <v>46087</v>
      </c>
      <c r="E1107" s="12">
        <v>1582810</v>
      </c>
      <c r="F1107" s="12" t="s">
        <v>53</v>
      </c>
      <c r="G1107" s="13">
        <v>20323697</v>
      </c>
      <c r="H1107" s="12" t="s">
        <v>142</v>
      </c>
      <c r="I1107" s="13">
        <v>1</v>
      </c>
      <c r="J1107" s="14">
        <v>4</v>
      </c>
      <c r="K1107" s="14">
        <f t="shared" si="24"/>
        <v>4</v>
      </c>
    </row>
    <row r="1108" spans="4:11">
      <c r="D1108" s="11">
        <v>46087</v>
      </c>
      <c r="E1108" s="12">
        <v>1582810</v>
      </c>
      <c r="F1108" s="12" t="s">
        <v>53</v>
      </c>
      <c r="G1108" s="13">
        <v>20402355</v>
      </c>
      <c r="H1108" s="12" t="s">
        <v>139</v>
      </c>
      <c r="I1108" s="13">
        <v>1</v>
      </c>
      <c r="J1108" s="14">
        <v>25</v>
      </c>
      <c r="K1108" s="14">
        <f t="shared" si="24"/>
        <v>25</v>
      </c>
    </row>
    <row r="1109" spans="4:11">
      <c r="D1109" s="11">
        <v>46087</v>
      </c>
      <c r="E1109" s="12">
        <v>1582810</v>
      </c>
      <c r="F1109" s="12" t="s">
        <v>30</v>
      </c>
      <c r="G1109" s="13">
        <v>20366059</v>
      </c>
      <c r="H1109" s="12" t="s">
        <v>200</v>
      </c>
      <c r="I1109" s="13">
        <v>1</v>
      </c>
      <c r="J1109" s="14">
        <v>66</v>
      </c>
      <c r="K1109" s="14">
        <f t="shared" si="24"/>
        <v>66</v>
      </c>
    </row>
    <row r="1110" spans="4:11">
      <c r="D1110" s="11">
        <v>46087</v>
      </c>
      <c r="E1110" s="12">
        <v>1582810</v>
      </c>
      <c r="F1110" s="12" t="s">
        <v>20</v>
      </c>
      <c r="G1110" s="13">
        <v>20321257</v>
      </c>
      <c r="H1110" s="12" t="s">
        <v>21</v>
      </c>
      <c r="I1110" s="13">
        <v>7</v>
      </c>
      <c r="J1110" s="14">
        <v>16.5</v>
      </c>
      <c r="K1110" s="14">
        <f t="shared" si="24"/>
        <v>115.5</v>
      </c>
    </row>
    <row r="1111" spans="4:11">
      <c r="D1111" s="11">
        <v>46087</v>
      </c>
      <c r="E1111" s="12">
        <v>1582810</v>
      </c>
      <c r="F1111" s="12" t="s">
        <v>20</v>
      </c>
      <c r="G1111" s="13">
        <v>20318361</v>
      </c>
      <c r="H1111" s="12" t="s">
        <v>187</v>
      </c>
      <c r="I1111" s="13">
        <v>1</v>
      </c>
      <c r="J1111" s="14">
        <v>16.5</v>
      </c>
      <c r="K1111" s="14">
        <f t="shared" si="24"/>
        <v>16.5</v>
      </c>
    </row>
    <row r="1112" spans="4:11">
      <c r="D1112" s="11">
        <v>46087</v>
      </c>
      <c r="E1112" s="12">
        <v>1582810</v>
      </c>
      <c r="F1112" s="12" t="s">
        <v>20</v>
      </c>
      <c r="G1112" s="13">
        <v>20318334</v>
      </c>
      <c r="H1112" s="12" t="s">
        <v>175</v>
      </c>
      <c r="I1112" s="13">
        <v>2</v>
      </c>
      <c r="J1112" s="14">
        <v>16.5</v>
      </c>
      <c r="K1112" s="14">
        <f t="shared" si="24"/>
        <v>33</v>
      </c>
    </row>
    <row r="1113" spans="4:11">
      <c r="D1113" s="11">
        <v>46087</v>
      </c>
      <c r="E1113" s="12">
        <v>1582810</v>
      </c>
      <c r="F1113" s="12" t="s">
        <v>20</v>
      </c>
      <c r="G1113" s="13">
        <v>20363041</v>
      </c>
      <c r="H1113" s="12" t="s">
        <v>150</v>
      </c>
      <c r="I1113" s="13">
        <v>2</v>
      </c>
      <c r="J1113" s="14">
        <v>16.5</v>
      </c>
      <c r="K1113" s="14">
        <f t="shared" si="24"/>
        <v>33</v>
      </c>
    </row>
    <row r="1114" spans="4:11">
      <c r="D1114" s="11">
        <v>46087</v>
      </c>
      <c r="E1114" s="12">
        <v>1582810</v>
      </c>
      <c r="F1114" s="12" t="s">
        <v>20</v>
      </c>
      <c r="G1114" s="13">
        <v>20014824</v>
      </c>
      <c r="H1114" s="12" t="s">
        <v>68</v>
      </c>
      <c r="I1114" s="13">
        <v>1</v>
      </c>
      <c r="J1114" s="14">
        <v>16.5</v>
      </c>
      <c r="K1114" s="14">
        <f t="shared" si="24"/>
        <v>16.5</v>
      </c>
    </row>
    <row r="1115" spans="4:11">
      <c r="D1115" s="11">
        <v>46087</v>
      </c>
      <c r="E1115" s="12">
        <v>1582810</v>
      </c>
      <c r="F1115" s="12" t="s">
        <v>20</v>
      </c>
      <c r="G1115" s="13">
        <v>20343399</v>
      </c>
      <c r="H1115" s="12" t="s">
        <v>153</v>
      </c>
      <c r="I1115" s="13">
        <v>1</v>
      </c>
      <c r="J1115" s="14">
        <v>33</v>
      </c>
      <c r="K1115" s="14">
        <f t="shared" si="24"/>
        <v>33</v>
      </c>
    </row>
    <row r="1116" spans="4:11">
      <c r="D1116" s="11">
        <v>46087</v>
      </c>
      <c r="E1116" s="12">
        <v>1582810</v>
      </c>
      <c r="F1116" s="12" t="s">
        <v>20</v>
      </c>
      <c r="G1116" s="13">
        <v>20321604</v>
      </c>
      <c r="H1116" s="12" t="s">
        <v>163</v>
      </c>
      <c r="I1116" s="13">
        <v>1</v>
      </c>
      <c r="J1116" s="14">
        <v>16.5</v>
      </c>
      <c r="K1116" s="14">
        <f t="shared" si="24"/>
        <v>16.5</v>
      </c>
    </row>
    <row r="1117" spans="4:11">
      <c r="D1117" s="11">
        <v>46087</v>
      </c>
      <c r="E1117" s="12">
        <v>1582810</v>
      </c>
      <c r="F1117" s="12" t="s">
        <v>20</v>
      </c>
      <c r="G1117" s="13">
        <v>20318340</v>
      </c>
      <c r="H1117" s="12" t="s">
        <v>144</v>
      </c>
      <c r="I1117" s="13">
        <v>3</v>
      </c>
      <c r="J1117" s="14">
        <v>16.5</v>
      </c>
      <c r="K1117" s="14">
        <f t="shared" ref="K1117:K1157" si="25">J1117*I1117</f>
        <v>49.5</v>
      </c>
    </row>
    <row r="1118" spans="4:11">
      <c r="D1118" s="11">
        <v>46087</v>
      </c>
      <c r="E1118" s="12">
        <v>1582810</v>
      </c>
      <c r="F1118" s="12" t="s">
        <v>20</v>
      </c>
      <c r="G1118" s="13">
        <v>20321502</v>
      </c>
      <c r="H1118" s="12" t="s">
        <v>164</v>
      </c>
      <c r="I1118" s="13">
        <v>1</v>
      </c>
      <c r="J1118" s="14">
        <v>16.5</v>
      </c>
      <c r="K1118" s="14">
        <f t="shared" si="25"/>
        <v>16.5</v>
      </c>
    </row>
    <row r="1119" spans="4:11">
      <c r="D1119" s="11">
        <v>46087</v>
      </c>
      <c r="E1119" s="12">
        <v>1582810</v>
      </c>
      <c r="F1119" s="12" t="s">
        <v>20</v>
      </c>
      <c r="G1119" s="13">
        <v>20321250</v>
      </c>
      <c r="H1119" s="12" t="s">
        <v>157</v>
      </c>
      <c r="I1119" s="13">
        <v>4</v>
      </c>
      <c r="J1119" s="14">
        <v>16.5</v>
      </c>
      <c r="K1119" s="14">
        <f t="shared" si="25"/>
        <v>66</v>
      </c>
    </row>
    <row r="1120" spans="4:11">
      <c r="D1120" s="11">
        <v>46087</v>
      </c>
      <c r="E1120" s="12">
        <v>1582810</v>
      </c>
      <c r="F1120" s="12" t="s">
        <v>20</v>
      </c>
      <c r="G1120" s="13">
        <v>20340289</v>
      </c>
      <c r="H1120" s="12" t="s">
        <v>145</v>
      </c>
      <c r="I1120" s="13">
        <v>2</v>
      </c>
      <c r="J1120" s="14">
        <v>16.5</v>
      </c>
      <c r="K1120" s="14">
        <f t="shared" si="25"/>
        <v>33</v>
      </c>
    </row>
    <row r="1121" spans="4:11">
      <c r="D1121" s="11">
        <v>46087</v>
      </c>
      <c r="E1121" s="12">
        <v>1582810</v>
      </c>
      <c r="F1121" s="12" t="s">
        <v>20</v>
      </c>
      <c r="G1121" s="13">
        <v>20383164</v>
      </c>
      <c r="H1121" s="12" t="s">
        <v>151</v>
      </c>
      <c r="I1121" s="13">
        <v>2</v>
      </c>
      <c r="J1121" s="14">
        <v>22</v>
      </c>
      <c r="K1121" s="14">
        <f t="shared" si="25"/>
        <v>44</v>
      </c>
    </row>
    <row r="1122" spans="4:11">
      <c r="D1122" s="11">
        <v>46087</v>
      </c>
      <c r="E1122" s="12">
        <v>1582810</v>
      </c>
      <c r="F1122" s="12" t="s">
        <v>20</v>
      </c>
      <c r="G1122" s="13">
        <v>20407575</v>
      </c>
      <c r="H1122" s="12" t="s">
        <v>140</v>
      </c>
      <c r="I1122" s="13">
        <v>1</v>
      </c>
      <c r="J1122" s="14">
        <v>16.5</v>
      </c>
      <c r="K1122" s="14">
        <f t="shared" si="25"/>
        <v>16.5</v>
      </c>
    </row>
    <row r="1123" spans="4:11">
      <c r="D1123" s="11">
        <v>46087</v>
      </c>
      <c r="E1123" s="12">
        <v>1582810</v>
      </c>
      <c r="F1123" s="12" t="s">
        <v>20</v>
      </c>
      <c r="G1123" s="13">
        <v>20318336</v>
      </c>
      <c r="H1123" s="12" t="s">
        <v>137</v>
      </c>
      <c r="I1123" s="13">
        <v>3</v>
      </c>
      <c r="J1123" s="14">
        <v>16.5</v>
      </c>
      <c r="K1123" s="14">
        <f t="shared" si="25"/>
        <v>49.5</v>
      </c>
    </row>
    <row r="1124" spans="4:11">
      <c r="D1124" s="11">
        <v>46087</v>
      </c>
      <c r="E1124" s="12">
        <v>1582810</v>
      </c>
      <c r="F1124" s="12" t="s">
        <v>20</v>
      </c>
      <c r="G1124" s="13">
        <v>20318342</v>
      </c>
      <c r="H1124" s="12" t="s">
        <v>115</v>
      </c>
      <c r="I1124" s="13">
        <v>2</v>
      </c>
      <c r="J1124" s="14">
        <v>16.5</v>
      </c>
      <c r="K1124" s="14">
        <f t="shared" si="25"/>
        <v>33</v>
      </c>
    </row>
    <row r="1125" spans="4:11">
      <c r="D1125" s="11">
        <v>46087</v>
      </c>
      <c r="E1125" s="12">
        <v>1582810</v>
      </c>
      <c r="F1125" s="12" t="s">
        <v>20</v>
      </c>
      <c r="G1125" s="13">
        <v>20322118</v>
      </c>
      <c r="H1125" s="12" t="s">
        <v>170</v>
      </c>
      <c r="I1125" s="13">
        <v>1</v>
      </c>
      <c r="J1125" s="14">
        <v>16.5</v>
      </c>
      <c r="K1125" s="14">
        <f t="shared" si="25"/>
        <v>16.5</v>
      </c>
    </row>
    <row r="1126" spans="4:11">
      <c r="D1126" s="11">
        <v>46087</v>
      </c>
      <c r="E1126" s="12">
        <v>1582810</v>
      </c>
      <c r="F1126" s="12" t="s">
        <v>20</v>
      </c>
      <c r="G1126" s="13">
        <v>20318362</v>
      </c>
      <c r="H1126" s="12" t="s">
        <v>232</v>
      </c>
      <c r="I1126" s="13">
        <v>1</v>
      </c>
      <c r="J1126" s="14">
        <v>16.5</v>
      </c>
      <c r="K1126" s="14">
        <f t="shared" si="25"/>
        <v>16.5</v>
      </c>
    </row>
    <row r="1127" spans="4:11">
      <c r="D1127" s="11">
        <v>46088</v>
      </c>
      <c r="E1127" s="12">
        <v>1582985</v>
      </c>
      <c r="F1127" s="12" t="s">
        <v>13</v>
      </c>
      <c r="G1127" s="13">
        <v>20365495</v>
      </c>
      <c r="H1127" s="12" t="s">
        <v>205</v>
      </c>
      <c r="I1127" s="13">
        <v>1</v>
      </c>
      <c r="J1127" s="14">
        <v>154</v>
      </c>
      <c r="K1127" s="14">
        <f t="shared" si="25"/>
        <v>154</v>
      </c>
    </row>
    <row r="1128" spans="4:11">
      <c r="D1128" s="11">
        <v>46088</v>
      </c>
      <c r="E1128" s="12">
        <v>1582985</v>
      </c>
      <c r="F1128" s="12" t="s">
        <v>13</v>
      </c>
      <c r="G1128" s="13">
        <v>20312966</v>
      </c>
      <c r="H1128" s="12" t="s">
        <v>147</v>
      </c>
      <c r="I1128" s="13">
        <v>2</v>
      </c>
      <c r="J1128" s="14">
        <v>159.5</v>
      </c>
      <c r="K1128" s="14">
        <f t="shared" si="25"/>
        <v>319</v>
      </c>
    </row>
    <row r="1129" spans="4:11">
      <c r="D1129" s="11">
        <v>46088</v>
      </c>
      <c r="E1129" s="12">
        <v>1582985</v>
      </c>
      <c r="F1129" s="12" t="s">
        <v>13</v>
      </c>
      <c r="G1129" s="13">
        <v>20312965</v>
      </c>
      <c r="H1129" s="12" t="s">
        <v>15</v>
      </c>
      <c r="I1129" s="13">
        <v>3</v>
      </c>
      <c r="J1129" s="14">
        <v>137.5</v>
      </c>
      <c r="K1129" s="14">
        <f t="shared" si="25"/>
        <v>412.5</v>
      </c>
    </row>
    <row r="1130" spans="4:11">
      <c r="D1130" s="11">
        <v>46088</v>
      </c>
      <c r="E1130" s="12">
        <v>1582985</v>
      </c>
      <c r="F1130" s="12" t="s">
        <v>13</v>
      </c>
      <c r="G1130" s="13">
        <v>20312967</v>
      </c>
      <c r="H1130" s="12" t="s">
        <v>130</v>
      </c>
      <c r="I1130" s="13">
        <v>2</v>
      </c>
      <c r="J1130" s="14">
        <v>176</v>
      </c>
      <c r="K1130" s="14">
        <f t="shared" si="25"/>
        <v>352</v>
      </c>
    </row>
    <row r="1131" ht="25.5" spans="4:11">
      <c r="D1131" s="11">
        <v>46088</v>
      </c>
      <c r="E1131" s="12">
        <v>1582985</v>
      </c>
      <c r="F1131" s="12" t="s">
        <v>39</v>
      </c>
      <c r="G1131" s="13">
        <v>20327254</v>
      </c>
      <c r="H1131" s="12" t="s">
        <v>233</v>
      </c>
      <c r="I1131" s="13">
        <v>1</v>
      </c>
      <c r="J1131" s="14">
        <v>49.5</v>
      </c>
      <c r="K1131" s="14">
        <f t="shared" si="25"/>
        <v>49.5</v>
      </c>
    </row>
    <row r="1132" spans="4:11">
      <c r="D1132" s="11">
        <v>46088</v>
      </c>
      <c r="E1132" s="12">
        <v>1582985</v>
      </c>
      <c r="F1132" s="12" t="s">
        <v>39</v>
      </c>
      <c r="G1132" s="13">
        <v>20414890</v>
      </c>
      <c r="H1132" s="12" t="s">
        <v>229</v>
      </c>
      <c r="I1132" s="13">
        <v>3</v>
      </c>
      <c r="J1132" s="14">
        <v>49.5</v>
      </c>
      <c r="K1132" s="14">
        <f t="shared" si="25"/>
        <v>148.5</v>
      </c>
    </row>
    <row r="1133" spans="4:11">
      <c r="D1133" s="11">
        <v>46088</v>
      </c>
      <c r="E1133" s="12">
        <v>1582985</v>
      </c>
      <c r="F1133" s="12" t="s">
        <v>39</v>
      </c>
      <c r="G1133" s="13">
        <v>20414937</v>
      </c>
      <c r="H1133" s="12" t="s">
        <v>234</v>
      </c>
      <c r="I1133" s="13">
        <v>1</v>
      </c>
      <c r="J1133" s="14">
        <v>55</v>
      </c>
      <c r="K1133" s="14">
        <f t="shared" si="25"/>
        <v>55</v>
      </c>
    </row>
    <row r="1134" spans="4:11">
      <c r="D1134" s="11">
        <v>46088</v>
      </c>
      <c r="E1134" s="12">
        <v>1582985</v>
      </c>
      <c r="F1134" s="12" t="s">
        <v>53</v>
      </c>
      <c r="G1134" s="13">
        <v>20322243</v>
      </c>
      <c r="H1134" s="12" t="s">
        <v>54</v>
      </c>
      <c r="I1134" s="13">
        <v>2</v>
      </c>
      <c r="J1134" s="14">
        <v>30</v>
      </c>
      <c r="K1134" s="14">
        <f t="shared" si="25"/>
        <v>60</v>
      </c>
    </row>
    <row r="1135" spans="4:11">
      <c r="D1135" s="11">
        <v>46088</v>
      </c>
      <c r="E1135" s="12">
        <v>1582985</v>
      </c>
      <c r="F1135" s="12" t="s">
        <v>53</v>
      </c>
      <c r="G1135" s="13">
        <v>20322304</v>
      </c>
      <c r="H1135" s="12" t="s">
        <v>112</v>
      </c>
      <c r="I1135" s="13">
        <v>4</v>
      </c>
      <c r="J1135" s="14">
        <v>25</v>
      </c>
      <c r="K1135" s="14">
        <f t="shared" si="25"/>
        <v>100</v>
      </c>
    </row>
    <row r="1136" spans="4:11">
      <c r="D1136" s="11">
        <v>46088</v>
      </c>
      <c r="E1136" s="12">
        <v>1582985</v>
      </c>
      <c r="F1136" s="12" t="s">
        <v>53</v>
      </c>
      <c r="G1136" s="13">
        <v>20330757</v>
      </c>
      <c r="H1136" s="12" t="s">
        <v>113</v>
      </c>
      <c r="I1136" s="13">
        <v>3</v>
      </c>
      <c r="J1136" s="14">
        <v>35</v>
      </c>
      <c r="K1136" s="14">
        <f t="shared" si="25"/>
        <v>105</v>
      </c>
    </row>
    <row r="1137" spans="4:11">
      <c r="D1137" s="11">
        <v>46088</v>
      </c>
      <c r="E1137" s="12">
        <v>1583012</v>
      </c>
      <c r="F1137" s="12" t="s">
        <v>13</v>
      </c>
      <c r="G1137" s="13">
        <v>20312967</v>
      </c>
      <c r="H1137" s="12" t="s">
        <v>130</v>
      </c>
      <c r="I1137" s="13">
        <v>2</v>
      </c>
      <c r="J1137" s="14">
        <v>176</v>
      </c>
      <c r="K1137" s="14">
        <f t="shared" si="25"/>
        <v>352</v>
      </c>
    </row>
    <row r="1138" spans="4:11">
      <c r="D1138" s="11">
        <v>46088</v>
      </c>
      <c r="E1138" s="12">
        <v>1583012</v>
      </c>
      <c r="F1138" s="12" t="s">
        <v>39</v>
      </c>
      <c r="G1138" s="13">
        <v>20414953</v>
      </c>
      <c r="H1138" s="12" t="s">
        <v>235</v>
      </c>
      <c r="I1138" s="13">
        <v>1</v>
      </c>
      <c r="J1138" s="14">
        <v>49.5</v>
      </c>
      <c r="K1138" s="14">
        <f t="shared" si="25"/>
        <v>49.5</v>
      </c>
    </row>
    <row r="1139" spans="4:11">
      <c r="D1139" s="11">
        <v>46088</v>
      </c>
      <c r="E1139" s="12">
        <v>1583012</v>
      </c>
      <c r="F1139" s="12" t="s">
        <v>39</v>
      </c>
      <c r="G1139" s="13">
        <v>20414890</v>
      </c>
      <c r="H1139" s="12" t="s">
        <v>229</v>
      </c>
      <c r="I1139" s="13">
        <v>1</v>
      </c>
      <c r="J1139" s="14">
        <v>49.5</v>
      </c>
      <c r="K1139" s="14">
        <f t="shared" si="25"/>
        <v>49.5</v>
      </c>
    </row>
    <row r="1140" spans="4:11">
      <c r="D1140" s="11">
        <v>46088</v>
      </c>
      <c r="E1140" s="12">
        <v>1583012</v>
      </c>
      <c r="F1140" s="12" t="s">
        <v>39</v>
      </c>
      <c r="G1140" s="13">
        <v>20410992</v>
      </c>
      <c r="H1140" s="12" t="s">
        <v>199</v>
      </c>
      <c r="I1140" s="13">
        <v>1</v>
      </c>
      <c r="J1140" s="14">
        <v>49.5</v>
      </c>
      <c r="K1140" s="14">
        <f t="shared" si="25"/>
        <v>49.5</v>
      </c>
    </row>
    <row r="1141" spans="4:11">
      <c r="D1141" s="11">
        <v>46088</v>
      </c>
      <c r="E1141" s="12">
        <v>1583012</v>
      </c>
      <c r="F1141" s="12" t="s">
        <v>16</v>
      </c>
      <c r="G1141" s="13">
        <v>20407037</v>
      </c>
      <c r="H1141" s="12" t="s">
        <v>174</v>
      </c>
      <c r="I1141" s="13">
        <v>1</v>
      </c>
      <c r="J1141" s="20">
        <v>26.5</v>
      </c>
      <c r="K1141" s="14">
        <f t="shared" si="25"/>
        <v>26.5</v>
      </c>
    </row>
    <row r="1142" ht="25.5" spans="4:11">
      <c r="D1142" s="11">
        <v>46088</v>
      </c>
      <c r="E1142" s="12">
        <v>1583012</v>
      </c>
      <c r="F1142" s="12" t="s">
        <v>16</v>
      </c>
      <c r="G1142" s="13">
        <v>20341579</v>
      </c>
      <c r="H1142" s="12" t="s">
        <v>206</v>
      </c>
      <c r="I1142" s="13">
        <v>1</v>
      </c>
      <c r="J1142" s="14">
        <v>16.5</v>
      </c>
      <c r="K1142" s="14">
        <f t="shared" si="25"/>
        <v>16.5</v>
      </c>
    </row>
    <row r="1143" spans="4:11">
      <c r="D1143" s="11">
        <v>46088</v>
      </c>
      <c r="E1143" s="12">
        <v>1583012</v>
      </c>
      <c r="F1143" s="12" t="s">
        <v>53</v>
      </c>
      <c r="G1143" s="13">
        <v>20391359</v>
      </c>
      <c r="H1143" s="12" t="s">
        <v>188</v>
      </c>
      <c r="I1143" s="13">
        <v>1</v>
      </c>
      <c r="J1143" s="14">
        <v>25</v>
      </c>
      <c r="K1143" s="14">
        <f t="shared" si="25"/>
        <v>25</v>
      </c>
    </row>
    <row r="1144" spans="4:11">
      <c r="D1144" s="11">
        <v>46088</v>
      </c>
      <c r="E1144" s="12">
        <v>1583012</v>
      </c>
      <c r="F1144" s="12" t="s">
        <v>20</v>
      </c>
      <c r="G1144" s="13">
        <v>20321257</v>
      </c>
      <c r="H1144" s="12" t="s">
        <v>21</v>
      </c>
      <c r="I1144" s="13">
        <v>8</v>
      </c>
      <c r="J1144" s="14">
        <v>16.5</v>
      </c>
      <c r="K1144" s="14">
        <f t="shared" si="25"/>
        <v>132</v>
      </c>
    </row>
    <row r="1145" spans="4:11">
      <c r="D1145" s="11">
        <v>46088</v>
      </c>
      <c r="E1145" s="12">
        <v>1583012</v>
      </c>
      <c r="F1145" s="12" t="s">
        <v>20</v>
      </c>
      <c r="G1145" s="13">
        <v>20318334</v>
      </c>
      <c r="H1145" s="12" t="s">
        <v>175</v>
      </c>
      <c r="I1145" s="13">
        <v>1</v>
      </c>
      <c r="J1145" s="14">
        <v>16.5</v>
      </c>
      <c r="K1145" s="14">
        <f t="shared" si="25"/>
        <v>16.5</v>
      </c>
    </row>
    <row r="1146" spans="4:11">
      <c r="D1146" s="11">
        <v>46088</v>
      </c>
      <c r="E1146" s="12">
        <v>1583012</v>
      </c>
      <c r="F1146" s="12" t="s">
        <v>20</v>
      </c>
      <c r="G1146" s="13">
        <v>20014824</v>
      </c>
      <c r="H1146" s="12" t="s">
        <v>68</v>
      </c>
      <c r="I1146" s="13">
        <v>1</v>
      </c>
      <c r="J1146" s="14">
        <v>16.5</v>
      </c>
      <c r="K1146" s="14">
        <f t="shared" si="25"/>
        <v>16.5</v>
      </c>
    </row>
    <row r="1147" spans="4:11">
      <c r="D1147" s="11">
        <v>46088</v>
      </c>
      <c r="E1147" s="12">
        <v>1583012</v>
      </c>
      <c r="F1147" s="12" t="s">
        <v>20</v>
      </c>
      <c r="G1147" s="13">
        <v>20318378</v>
      </c>
      <c r="H1147" s="12" t="s">
        <v>128</v>
      </c>
      <c r="I1147" s="13">
        <v>1</v>
      </c>
      <c r="J1147" s="14">
        <v>16.5</v>
      </c>
      <c r="K1147" s="14">
        <f t="shared" si="25"/>
        <v>16.5</v>
      </c>
    </row>
    <row r="1148" spans="4:11">
      <c r="D1148" s="11">
        <v>46088</v>
      </c>
      <c r="E1148" s="12">
        <v>1583012</v>
      </c>
      <c r="F1148" s="12" t="s">
        <v>20</v>
      </c>
      <c r="G1148" s="13">
        <v>20318380</v>
      </c>
      <c r="H1148" s="12" t="s">
        <v>143</v>
      </c>
      <c r="I1148" s="13">
        <v>2</v>
      </c>
      <c r="J1148" s="14">
        <v>16.5</v>
      </c>
      <c r="K1148" s="14">
        <f t="shared" si="25"/>
        <v>33</v>
      </c>
    </row>
    <row r="1149" spans="4:11">
      <c r="D1149" s="11">
        <v>46088</v>
      </c>
      <c r="E1149" s="12">
        <v>1583012</v>
      </c>
      <c r="F1149" s="12" t="s">
        <v>20</v>
      </c>
      <c r="G1149" s="13">
        <v>20321604</v>
      </c>
      <c r="H1149" s="12" t="s">
        <v>163</v>
      </c>
      <c r="I1149" s="13">
        <v>1</v>
      </c>
      <c r="J1149" s="14">
        <v>16.5</v>
      </c>
      <c r="K1149" s="14">
        <f t="shared" si="25"/>
        <v>16.5</v>
      </c>
    </row>
    <row r="1150" spans="4:11">
      <c r="D1150" s="11">
        <v>46088</v>
      </c>
      <c r="E1150" s="12">
        <v>1583012</v>
      </c>
      <c r="F1150" s="12" t="s">
        <v>20</v>
      </c>
      <c r="G1150" s="13">
        <v>20318340</v>
      </c>
      <c r="H1150" s="12" t="s">
        <v>144</v>
      </c>
      <c r="I1150" s="13">
        <v>3</v>
      </c>
      <c r="J1150" s="14">
        <v>16.5</v>
      </c>
      <c r="K1150" s="14">
        <f t="shared" si="25"/>
        <v>49.5</v>
      </c>
    </row>
    <row r="1151" spans="4:11">
      <c r="D1151" s="11">
        <v>46088</v>
      </c>
      <c r="E1151" s="12">
        <v>1583012</v>
      </c>
      <c r="F1151" s="12" t="s">
        <v>20</v>
      </c>
      <c r="G1151" s="13">
        <v>20321502</v>
      </c>
      <c r="H1151" s="12" t="s">
        <v>164</v>
      </c>
      <c r="I1151" s="13">
        <v>2</v>
      </c>
      <c r="J1151" s="14">
        <v>16.5</v>
      </c>
      <c r="K1151" s="14">
        <f t="shared" si="25"/>
        <v>33</v>
      </c>
    </row>
    <row r="1152" spans="4:11">
      <c r="D1152" s="11">
        <v>46088</v>
      </c>
      <c r="E1152" s="12">
        <v>1583012</v>
      </c>
      <c r="F1152" s="12" t="s">
        <v>20</v>
      </c>
      <c r="G1152" s="13">
        <v>20321250</v>
      </c>
      <c r="H1152" s="12" t="s">
        <v>157</v>
      </c>
      <c r="I1152" s="13">
        <v>1</v>
      </c>
      <c r="J1152" s="14">
        <v>16.5</v>
      </c>
      <c r="K1152" s="14">
        <f t="shared" si="25"/>
        <v>16.5</v>
      </c>
    </row>
    <row r="1153" spans="4:11">
      <c r="D1153" s="11">
        <v>46088</v>
      </c>
      <c r="E1153" s="12">
        <v>1583012</v>
      </c>
      <c r="F1153" s="12" t="s">
        <v>20</v>
      </c>
      <c r="G1153" s="13">
        <v>20340289</v>
      </c>
      <c r="H1153" s="12" t="s">
        <v>145</v>
      </c>
      <c r="I1153" s="13">
        <v>1</v>
      </c>
      <c r="J1153" s="14">
        <v>16.5</v>
      </c>
      <c r="K1153" s="14">
        <f t="shared" si="25"/>
        <v>16.5</v>
      </c>
    </row>
    <row r="1154" spans="4:11">
      <c r="D1154" s="11">
        <v>46088</v>
      </c>
      <c r="E1154" s="12">
        <v>1583012</v>
      </c>
      <c r="F1154" s="12" t="s">
        <v>20</v>
      </c>
      <c r="G1154" s="13">
        <v>20318336</v>
      </c>
      <c r="H1154" s="12" t="s">
        <v>137</v>
      </c>
      <c r="I1154" s="13">
        <v>1</v>
      </c>
      <c r="J1154" s="14">
        <v>16.5</v>
      </c>
      <c r="K1154" s="14">
        <f t="shared" si="25"/>
        <v>16.5</v>
      </c>
    </row>
    <row r="1155" spans="4:11">
      <c r="D1155" s="11">
        <v>46089</v>
      </c>
      <c r="E1155" s="12">
        <v>1583080</v>
      </c>
      <c r="F1155" s="12" t="s">
        <v>13</v>
      </c>
      <c r="G1155" s="13">
        <v>20312966</v>
      </c>
      <c r="H1155" s="12" t="s">
        <v>147</v>
      </c>
      <c r="I1155" s="13">
        <v>2</v>
      </c>
      <c r="J1155" s="14">
        <v>159.5</v>
      </c>
      <c r="K1155" s="14">
        <f t="shared" si="25"/>
        <v>319</v>
      </c>
    </row>
    <row r="1156" spans="4:11">
      <c r="D1156" s="11">
        <v>46089</v>
      </c>
      <c r="E1156" s="12">
        <v>1583080</v>
      </c>
      <c r="F1156" s="12" t="s">
        <v>13</v>
      </c>
      <c r="G1156" s="13">
        <v>20312967</v>
      </c>
      <c r="H1156" s="12" t="s">
        <v>130</v>
      </c>
      <c r="I1156" s="13">
        <v>1</v>
      </c>
      <c r="J1156" s="14">
        <v>176</v>
      </c>
      <c r="K1156" s="14">
        <f t="shared" si="25"/>
        <v>176</v>
      </c>
    </row>
    <row r="1157" spans="4:11">
      <c r="D1157" s="11">
        <v>46089</v>
      </c>
      <c r="E1157" s="12">
        <v>1583080</v>
      </c>
      <c r="F1157" s="12" t="s">
        <v>39</v>
      </c>
      <c r="G1157" s="13">
        <v>20322353</v>
      </c>
      <c r="H1157" s="12" t="s">
        <v>236</v>
      </c>
      <c r="I1157" s="13">
        <v>1</v>
      </c>
      <c r="J1157" s="14">
        <v>71.5</v>
      </c>
      <c r="K1157" s="14">
        <f t="shared" si="25"/>
        <v>71.5</v>
      </c>
    </row>
    <row r="1158" spans="4:11">
      <c r="D1158" s="11">
        <v>46089</v>
      </c>
      <c r="E1158" s="12">
        <v>1583080</v>
      </c>
      <c r="F1158" s="12" t="s">
        <v>16</v>
      </c>
      <c r="G1158" s="13">
        <v>20340288</v>
      </c>
      <c r="H1158" s="12" t="s">
        <v>114</v>
      </c>
      <c r="I1158" s="13">
        <v>1</v>
      </c>
      <c r="J1158" s="14">
        <v>22</v>
      </c>
      <c r="K1158" s="14">
        <f t="shared" ref="K1158:K1168" si="26">J1158*I1158</f>
        <v>22</v>
      </c>
    </row>
    <row r="1159" spans="4:11">
      <c r="D1159" s="11">
        <v>46089</v>
      </c>
      <c r="E1159" s="12">
        <v>1583080</v>
      </c>
      <c r="F1159" s="12" t="s">
        <v>16</v>
      </c>
      <c r="G1159" s="13">
        <v>20407934</v>
      </c>
      <c r="H1159" s="12" t="s">
        <v>237</v>
      </c>
      <c r="I1159" s="13">
        <v>1</v>
      </c>
      <c r="J1159" s="14">
        <v>8</v>
      </c>
      <c r="K1159" s="14">
        <f t="shared" si="26"/>
        <v>8</v>
      </c>
    </row>
    <row r="1160" spans="4:11">
      <c r="D1160" s="11">
        <v>46089</v>
      </c>
      <c r="E1160" s="12">
        <v>1583080</v>
      </c>
      <c r="F1160" s="12" t="s">
        <v>16</v>
      </c>
      <c r="G1160" s="13">
        <v>20407933</v>
      </c>
      <c r="H1160" s="12" t="s">
        <v>238</v>
      </c>
      <c r="I1160" s="13">
        <v>1</v>
      </c>
      <c r="J1160" s="14">
        <v>8</v>
      </c>
      <c r="K1160" s="14">
        <f t="shared" si="26"/>
        <v>8</v>
      </c>
    </row>
    <row r="1161" spans="4:11">
      <c r="D1161" s="11">
        <v>46089</v>
      </c>
      <c r="E1161" s="12">
        <v>1583080</v>
      </c>
      <c r="F1161" s="12" t="s">
        <v>53</v>
      </c>
      <c r="G1161" s="13">
        <v>20331736</v>
      </c>
      <c r="H1161" s="12" t="s">
        <v>189</v>
      </c>
      <c r="I1161" s="13">
        <v>4</v>
      </c>
      <c r="J1161" s="14">
        <v>25</v>
      </c>
      <c r="K1161" s="14">
        <f t="shared" si="26"/>
        <v>100</v>
      </c>
    </row>
    <row r="1162" spans="4:11">
      <c r="D1162" s="11">
        <v>46089</v>
      </c>
      <c r="E1162" s="12">
        <v>1583080</v>
      </c>
      <c r="F1162" s="12" t="s">
        <v>53</v>
      </c>
      <c r="G1162" s="13">
        <v>20330757</v>
      </c>
      <c r="H1162" s="12" t="s">
        <v>113</v>
      </c>
      <c r="I1162" s="13">
        <v>4</v>
      </c>
      <c r="J1162" s="14">
        <v>35</v>
      </c>
      <c r="K1162" s="14">
        <f t="shared" si="26"/>
        <v>140</v>
      </c>
    </row>
    <row r="1163" spans="4:11">
      <c r="D1163" s="11">
        <v>46089</v>
      </c>
      <c r="E1163" s="12">
        <v>1583080</v>
      </c>
      <c r="F1163" s="12" t="s">
        <v>20</v>
      </c>
      <c r="G1163" s="13">
        <v>20321257</v>
      </c>
      <c r="H1163" s="12" t="s">
        <v>21</v>
      </c>
      <c r="I1163" s="13">
        <v>2</v>
      </c>
      <c r="J1163" s="14">
        <v>16.5</v>
      </c>
      <c r="K1163" s="14">
        <f t="shared" si="26"/>
        <v>33</v>
      </c>
    </row>
    <row r="1164" spans="4:11">
      <c r="D1164" s="11">
        <v>46089</v>
      </c>
      <c r="E1164" s="12">
        <v>1583080</v>
      </c>
      <c r="F1164" s="12" t="s">
        <v>20</v>
      </c>
      <c r="G1164" s="13">
        <v>20363041</v>
      </c>
      <c r="H1164" s="12" t="s">
        <v>150</v>
      </c>
      <c r="I1164" s="13">
        <v>1</v>
      </c>
      <c r="J1164" s="14">
        <v>16.5</v>
      </c>
      <c r="K1164" s="14">
        <f t="shared" si="26"/>
        <v>16.5</v>
      </c>
    </row>
    <row r="1165" spans="4:11">
      <c r="D1165" s="11">
        <v>46089</v>
      </c>
      <c r="E1165" s="12">
        <v>1583080</v>
      </c>
      <c r="F1165" s="12" t="s">
        <v>20</v>
      </c>
      <c r="G1165" s="13">
        <v>20321250</v>
      </c>
      <c r="H1165" s="12" t="s">
        <v>157</v>
      </c>
      <c r="I1165" s="13">
        <v>1</v>
      </c>
      <c r="J1165" s="14">
        <v>16.5</v>
      </c>
      <c r="K1165" s="14">
        <f t="shared" si="26"/>
        <v>16.5</v>
      </c>
    </row>
    <row r="1166" spans="4:11">
      <c r="D1166" s="11">
        <v>46089</v>
      </c>
      <c r="E1166" s="12">
        <v>1583080</v>
      </c>
      <c r="F1166" s="12" t="s">
        <v>20</v>
      </c>
      <c r="G1166" s="13">
        <v>20318383</v>
      </c>
      <c r="H1166" s="12" t="s">
        <v>178</v>
      </c>
      <c r="I1166" s="13">
        <v>1</v>
      </c>
      <c r="J1166" s="14">
        <v>16.5</v>
      </c>
      <c r="K1166" s="14">
        <f t="shared" si="26"/>
        <v>16.5</v>
      </c>
    </row>
    <row r="1167" spans="4:11">
      <c r="D1167" s="11">
        <v>46089</v>
      </c>
      <c r="E1167" s="12">
        <v>1583080</v>
      </c>
      <c r="F1167" s="12" t="s">
        <v>20</v>
      </c>
      <c r="G1167" s="13">
        <v>20318336</v>
      </c>
      <c r="H1167" s="12" t="s">
        <v>137</v>
      </c>
      <c r="I1167" s="13">
        <v>2</v>
      </c>
      <c r="J1167" s="14">
        <v>16.5</v>
      </c>
      <c r="K1167" s="14">
        <f t="shared" si="26"/>
        <v>33</v>
      </c>
    </row>
    <row r="1168" spans="4:11">
      <c r="D1168" s="11">
        <v>46089</v>
      </c>
      <c r="E1168" s="12">
        <v>1583082</v>
      </c>
      <c r="F1168" s="12" t="s">
        <v>13</v>
      </c>
      <c r="G1168" s="13">
        <v>20312966</v>
      </c>
      <c r="H1168" s="12" t="s">
        <v>147</v>
      </c>
      <c r="I1168" s="13">
        <v>1</v>
      </c>
      <c r="J1168" s="14">
        <v>159.5</v>
      </c>
      <c r="K1168" s="14">
        <f t="shared" si="26"/>
        <v>159.5</v>
      </c>
    </row>
  </sheetData>
  <autoFilter xmlns:etc="http://www.wps.cn/officeDocument/2017/etCustomData" ref="A7:K1168" etc:filterBottomFollowUsedRange="0">
    <extLst/>
  </autoFilter>
  <mergeCells count="5">
    <mergeCell ref="D8:H8"/>
    <mergeCell ref="C7:C1168"/>
    <mergeCell ref="B4:H5"/>
    <mergeCell ref="C1:H2"/>
    <mergeCell ref="A7:B1168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&amp;"-,Regular"2026年3月9日 8:21 
&amp;"-,Bold"&amp;10 黑龙江省铂康医疗灭菌有限公司 &amp;R&amp;"Droid Sans Fallback"&amp;9第&amp;P页，共&amp;N页 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J29"/>
  <sheetViews>
    <sheetView view="pageBreakPreview" zoomScaleNormal="100" topLeftCell="E1" workbookViewId="0">
      <selection activeCell="J14" sqref="J14:J18"/>
    </sheetView>
  </sheetViews>
  <sheetFormatPr defaultColWidth="9" defaultRowHeight="13.5"/>
  <cols>
    <col min="1" max="1" width="0.225" customWidth="1"/>
    <col min="2" max="2" width="1.09166666666667" customWidth="1"/>
    <col min="3" max="3" width="1.25833333333333" customWidth="1"/>
    <col min="4" max="4" width="12.125" customWidth="1"/>
    <col min="5" max="5" width="17.025" customWidth="1"/>
    <col min="6" max="6" width="7.125" customWidth="1"/>
    <col min="7" max="7" width="17.875" customWidth="1"/>
    <col min="8" max="8" width="12.75" customWidth="1"/>
    <col min="9" max="9" width="29.25" customWidth="1"/>
    <col min="10" max="10" width="11.375" customWidth="1"/>
  </cols>
  <sheetData>
    <row r="1" customFormat="1" ht="25.5" customHeight="1" spans="1:10">
      <c r="B1" s="1" t="s">
        <v>85</v>
      </c>
    </row>
    <row r="2" ht="2" customHeight="1"/>
    <row r="3" customFormat="1" ht="12.75" customHeight="1" spans="1:10">
      <c r="B3" s="2" t="s">
        <v>239</v>
      </c>
    </row>
    <row r="5" ht="2.05" customHeight="1"/>
    <row r="6" customFormat="1" ht="1.95" customHeight="1" spans="1:10">
      <c r="A6" s="4" t="s">
        <v>2</v>
      </c>
      <c r="B6" s="4" t="s">
        <v>2</v>
      </c>
      <c r="C6" s="4" t="s">
        <v>2</v>
      </c>
      <c r="D6" s="4" t="s">
        <v>2</v>
      </c>
      <c r="E6" s="4" t="s">
        <v>2</v>
      </c>
      <c r="F6" s="4" t="s">
        <v>2</v>
      </c>
      <c r="G6" s="4" t="s">
        <v>2</v>
      </c>
      <c r="H6" s="4" t="s">
        <v>2</v>
      </c>
      <c r="I6" s="4" t="s">
        <v>2</v>
      </c>
      <c r="J6" s="4" t="s">
        <v>2</v>
      </c>
    </row>
    <row r="7" customFormat="1" ht="15.75" spans="1:10">
      <c r="A7" s="31" t="s">
        <v>2</v>
      </c>
      <c r="B7" s="30" t="s">
        <v>2</v>
      </c>
      <c r="C7" s="31" t="s">
        <v>2</v>
      </c>
      <c r="D7" s="29" t="s">
        <v>3</v>
      </c>
      <c r="E7" s="30" t="s">
        <v>2</v>
      </c>
      <c r="F7" s="30" t="s">
        <v>2</v>
      </c>
      <c r="G7" s="30" t="s">
        <v>2</v>
      </c>
      <c r="H7" s="30" t="s">
        <v>2</v>
      </c>
      <c r="I7" s="31" t="s">
        <v>2</v>
      </c>
      <c r="J7" s="32">
        <f>J9</f>
        <v>-2629</v>
      </c>
    </row>
    <row r="8" customFormat="1" spans="1:10">
      <c r="A8" s="3" t="s">
        <v>2</v>
      </c>
      <c r="C8" s="33" t="s">
        <v>2</v>
      </c>
      <c r="D8" s="33" t="s">
        <v>87</v>
      </c>
      <c r="E8" s="33" t="s">
        <v>88</v>
      </c>
      <c r="F8" s="33" t="s">
        <v>89</v>
      </c>
      <c r="G8" s="33" t="s">
        <v>90</v>
      </c>
      <c r="H8" s="33" t="s">
        <v>7</v>
      </c>
      <c r="I8" s="33" t="s">
        <v>91</v>
      </c>
      <c r="J8" s="33" t="s">
        <v>92</v>
      </c>
    </row>
    <row r="9" customFormat="1" ht="14.25" spans="1:10">
      <c r="C9" s="33" t="s">
        <v>2</v>
      </c>
      <c r="D9" s="43" t="s">
        <v>111</v>
      </c>
      <c r="E9" s="30" t="s">
        <v>2</v>
      </c>
      <c r="F9" s="30" t="s">
        <v>2</v>
      </c>
      <c r="G9" s="30" t="s">
        <v>2</v>
      </c>
      <c r="H9" s="30" t="s">
        <v>2</v>
      </c>
      <c r="I9" s="33" t="s">
        <v>2</v>
      </c>
      <c r="J9" s="35">
        <f>J10+J19</f>
        <v>-2629</v>
      </c>
    </row>
    <row r="10" customFormat="1" spans="1:10">
      <c r="C10" s="3" t="s">
        <v>2</v>
      </c>
      <c r="D10" s="36" t="s">
        <v>13</v>
      </c>
      <c r="E10" s="30" t="s">
        <v>2</v>
      </c>
      <c r="F10" s="30" t="s">
        <v>2</v>
      </c>
      <c r="G10" s="30" t="s">
        <v>2</v>
      </c>
      <c r="H10" s="30" t="s">
        <v>2</v>
      </c>
      <c r="I10" s="37" t="s">
        <v>2</v>
      </c>
      <c r="J10" s="38">
        <f>SUM(J11:J18)</f>
        <v>-2464</v>
      </c>
    </row>
    <row r="11" customFormat="1" spans="1:10">
      <c r="D11" s="39">
        <v>3005930045</v>
      </c>
      <c r="E11" s="40">
        <v>46090.516915162</v>
      </c>
      <c r="F11" s="26" t="s">
        <v>94</v>
      </c>
      <c r="G11" s="41">
        <v>46063.7319990741</v>
      </c>
      <c r="H11" s="12">
        <v>20386876</v>
      </c>
      <c r="I11" s="12" t="s">
        <v>159</v>
      </c>
      <c r="J11" s="42">
        <v>-280.5</v>
      </c>
    </row>
    <row r="12" customFormat="1" spans="1:10">
      <c r="D12" s="39">
        <v>3005936492</v>
      </c>
      <c r="E12" s="40">
        <v>46090.5171216435</v>
      </c>
      <c r="F12" s="26" t="s">
        <v>94</v>
      </c>
      <c r="G12" s="41">
        <v>46065.6766984607</v>
      </c>
      <c r="H12" s="12">
        <v>20395243</v>
      </c>
      <c r="I12" s="12" t="s">
        <v>180</v>
      </c>
      <c r="J12" s="42">
        <v>-357.5</v>
      </c>
    </row>
    <row r="13" customFormat="1" spans="1:10">
      <c r="D13" s="39">
        <v>3005939383</v>
      </c>
      <c r="E13" s="40">
        <v>46090.5175384259</v>
      </c>
      <c r="F13" s="26" t="s">
        <v>94</v>
      </c>
      <c r="G13" s="41">
        <v>46066.6689429398</v>
      </c>
      <c r="H13" s="12">
        <v>20395243</v>
      </c>
      <c r="I13" s="12" t="s">
        <v>180</v>
      </c>
      <c r="J13" s="42">
        <v>-357.5</v>
      </c>
    </row>
    <row r="14" customFormat="1" spans="1:10">
      <c r="D14" s="39">
        <v>3005942815</v>
      </c>
      <c r="E14" s="40">
        <v>46090.5223919792</v>
      </c>
      <c r="F14" s="26" t="s">
        <v>94</v>
      </c>
      <c r="G14" s="41">
        <v>46069.5430934028</v>
      </c>
      <c r="H14" s="12">
        <v>20395243</v>
      </c>
      <c r="I14" s="12" t="s">
        <v>180</v>
      </c>
      <c r="J14" s="44">
        <v>-357.5</v>
      </c>
    </row>
    <row r="15" customFormat="1" spans="1:10">
      <c r="D15" s="39">
        <v>3005948456</v>
      </c>
      <c r="E15" s="40">
        <v>46090.5188970718</v>
      </c>
      <c r="F15" s="26" t="s">
        <v>94</v>
      </c>
      <c r="G15" s="41">
        <v>46077.6642766204</v>
      </c>
      <c r="H15" s="12">
        <v>20366734</v>
      </c>
      <c r="I15" s="12" t="s">
        <v>191</v>
      </c>
      <c r="J15" s="44">
        <v>-275</v>
      </c>
    </row>
    <row r="16" customFormat="1" spans="1:10">
      <c r="D16" s="39">
        <v>3005962365</v>
      </c>
      <c r="E16" s="40">
        <v>46090.5211152778</v>
      </c>
      <c r="F16" s="26" t="s">
        <v>94</v>
      </c>
      <c r="G16" s="41">
        <v>46081.7152069097</v>
      </c>
      <c r="H16" s="12">
        <v>20318372</v>
      </c>
      <c r="I16" s="12" t="s">
        <v>207</v>
      </c>
      <c r="J16" s="44">
        <v>-286</v>
      </c>
    </row>
    <row r="17" customFormat="1" spans="4:10">
      <c r="D17" s="39">
        <v>3005962469</v>
      </c>
      <c r="E17" s="40">
        <v>46090.5216519676</v>
      </c>
      <c r="F17" s="26" t="s">
        <v>94</v>
      </c>
      <c r="G17" s="41">
        <v>46081.6841470718</v>
      </c>
      <c r="H17" s="12">
        <v>20366734</v>
      </c>
      <c r="I17" s="12" t="s">
        <v>191</v>
      </c>
      <c r="J17" s="44">
        <v>-275</v>
      </c>
    </row>
    <row r="18" customFormat="1" spans="4:10">
      <c r="D18" s="39">
        <v>3005977111</v>
      </c>
      <c r="E18" s="40">
        <v>46092.3848471065</v>
      </c>
      <c r="F18" s="26" t="s">
        <v>94</v>
      </c>
      <c r="G18" s="41">
        <v>46087.439687581</v>
      </c>
      <c r="H18" s="12">
        <v>20366734</v>
      </c>
      <c r="I18" s="12" t="s">
        <v>191</v>
      </c>
      <c r="J18" s="44">
        <v>-275</v>
      </c>
    </row>
    <row r="19" customFormat="1" spans="4:10">
      <c r="D19" s="36" t="s">
        <v>93</v>
      </c>
      <c r="E19" s="30" t="s">
        <v>2</v>
      </c>
      <c r="F19" s="30" t="s">
        <v>2</v>
      </c>
      <c r="G19" s="30" t="s">
        <v>2</v>
      </c>
      <c r="H19" s="30" t="s">
        <v>2</v>
      </c>
      <c r="I19" s="37" t="s">
        <v>2</v>
      </c>
      <c r="J19" s="38">
        <f>SUM(J20:J29)</f>
        <v>-165</v>
      </c>
    </row>
    <row r="20" customFormat="1" spans="4:10">
      <c r="D20" s="39">
        <v>3005926915</v>
      </c>
      <c r="E20" s="40">
        <v>46090.5167356481</v>
      </c>
      <c r="F20" s="26" t="s">
        <v>94</v>
      </c>
      <c r="G20" s="41">
        <v>46062.7078238773</v>
      </c>
      <c r="H20" s="12">
        <v>20014824</v>
      </c>
      <c r="I20" s="12" t="s">
        <v>68</v>
      </c>
      <c r="J20" s="42">
        <v>-16.5</v>
      </c>
    </row>
    <row r="21" customFormat="1" spans="4:10">
      <c r="D21" s="39">
        <v>3005930052</v>
      </c>
      <c r="E21" s="40">
        <v>46090.5182325232</v>
      </c>
      <c r="F21" s="26" t="s">
        <v>94</v>
      </c>
      <c r="G21" s="41">
        <v>46063.6379797801</v>
      </c>
      <c r="H21" s="12">
        <v>20014824</v>
      </c>
      <c r="I21" s="12" t="s">
        <v>68</v>
      </c>
      <c r="J21" s="42">
        <v>-16.5</v>
      </c>
    </row>
    <row r="22" customFormat="1" spans="4:10">
      <c r="D22" s="39">
        <v>3005933973</v>
      </c>
      <c r="E22" s="40">
        <v>46090.5180846875</v>
      </c>
      <c r="F22" s="26" t="s">
        <v>94</v>
      </c>
      <c r="G22" s="41">
        <v>46064.7252576389</v>
      </c>
      <c r="H22" s="12">
        <v>20014824</v>
      </c>
      <c r="I22" s="12" t="s">
        <v>68</v>
      </c>
      <c r="J22" s="42">
        <v>-16.5</v>
      </c>
    </row>
    <row r="23" customFormat="1" spans="4:10">
      <c r="D23" s="39">
        <v>3005941909</v>
      </c>
      <c r="E23" s="40">
        <v>46090.5177139236</v>
      </c>
      <c r="F23" s="26" t="s">
        <v>94</v>
      </c>
      <c r="G23" s="41">
        <v>46067.6949095718</v>
      </c>
      <c r="H23" s="12">
        <v>20014824</v>
      </c>
      <c r="I23" s="12" t="s">
        <v>68</v>
      </c>
      <c r="J23" s="42">
        <v>-16.5</v>
      </c>
    </row>
    <row r="24" customFormat="1" spans="4:10">
      <c r="D24" s="39">
        <v>3005944579</v>
      </c>
      <c r="E24" s="40">
        <v>46090.517913044</v>
      </c>
      <c r="F24" s="26" t="s">
        <v>94</v>
      </c>
      <c r="G24" s="41">
        <v>46073.6007802894</v>
      </c>
      <c r="H24" s="12">
        <v>20014824</v>
      </c>
      <c r="I24" s="12" t="s">
        <v>68</v>
      </c>
      <c r="J24" s="42">
        <v>-16.5</v>
      </c>
    </row>
    <row r="25" customFormat="1" spans="4:10">
      <c r="D25" s="39">
        <v>3005946109</v>
      </c>
      <c r="E25" s="40">
        <v>46090.5209654745</v>
      </c>
      <c r="F25" s="26" t="s">
        <v>94</v>
      </c>
      <c r="G25" s="41">
        <v>46076.5438340625</v>
      </c>
      <c r="H25" s="12">
        <v>20014824</v>
      </c>
      <c r="I25" s="12" t="s">
        <v>68</v>
      </c>
      <c r="J25" s="42">
        <v>-16.5</v>
      </c>
    </row>
    <row r="26" customFormat="1" spans="4:10">
      <c r="D26" s="39">
        <v>3005948094</v>
      </c>
      <c r="E26" s="40">
        <v>46090.5206625</v>
      </c>
      <c r="F26" s="26" t="s">
        <v>94</v>
      </c>
      <c r="G26" s="41">
        <v>46077.612669294</v>
      </c>
      <c r="H26" s="12">
        <v>20014824</v>
      </c>
      <c r="I26" s="12" t="s">
        <v>68</v>
      </c>
      <c r="J26" s="42">
        <v>-16.5</v>
      </c>
    </row>
    <row r="27" customFormat="1" spans="4:10">
      <c r="D27" s="39">
        <v>3005948479</v>
      </c>
      <c r="E27" s="40">
        <v>46090.5187000347</v>
      </c>
      <c r="F27" s="26" t="s">
        <v>94</v>
      </c>
      <c r="G27" s="41">
        <v>46077.6536509606</v>
      </c>
      <c r="H27" s="12">
        <v>20014824</v>
      </c>
      <c r="I27" s="12" t="s">
        <v>68</v>
      </c>
      <c r="J27" s="42">
        <v>-16.5</v>
      </c>
    </row>
    <row r="28" customFormat="1" spans="4:10">
      <c r="D28" s="39">
        <v>3005962901</v>
      </c>
      <c r="E28" s="40">
        <v>46090.5213425116</v>
      </c>
      <c r="F28" s="26" t="s">
        <v>94</v>
      </c>
      <c r="G28" s="41">
        <v>46081.7152082176</v>
      </c>
      <c r="H28" s="12">
        <v>20014824</v>
      </c>
      <c r="I28" s="12" t="s">
        <v>68</v>
      </c>
      <c r="J28" s="42">
        <v>-16.5</v>
      </c>
    </row>
    <row r="29" customFormat="1" spans="4:10">
      <c r="D29" s="39">
        <v>3005974766</v>
      </c>
      <c r="E29" s="40">
        <v>46090.5218090625</v>
      </c>
      <c r="F29" s="26" t="s">
        <v>94</v>
      </c>
      <c r="G29" s="41">
        <v>46086.4677280093</v>
      </c>
      <c r="H29" s="12">
        <v>20014824</v>
      </c>
      <c r="I29" s="12" t="s">
        <v>68</v>
      </c>
      <c r="J29" s="42">
        <v>-16.5</v>
      </c>
    </row>
  </sheetData>
  <autoFilter xmlns:etc="http://www.wps.cn/officeDocument/2017/etCustomData" ref="A8:J29" etc:filterBottomFollowUsedRange="0">
    <extLst/>
  </autoFilter>
  <mergeCells count="9">
    <mergeCell ref="B1:I1"/>
    <mergeCell ref="A7:B7"/>
    <mergeCell ref="D7:H7"/>
    <mergeCell ref="D9:H9"/>
    <mergeCell ref="D10:H10"/>
    <mergeCell ref="D19:H19"/>
    <mergeCell ref="C10:C29"/>
    <mergeCell ref="B3:E4"/>
    <mergeCell ref="A8:B29"/>
  </mergeCells>
  <pageMargins left="0.25" right="0.25" top="0.75" bottom="0.75" header="0.298611111111111" footer="0.298611111111111"/>
  <pageSetup paperSize="9" scale="91" orientation="portrait"/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G11"/>
  <sheetViews>
    <sheetView view="pageBreakPreview" zoomScaleNormal="100" workbookViewId="0">
      <selection activeCell="G7" sqref="G7"/>
    </sheetView>
  </sheetViews>
  <sheetFormatPr defaultColWidth="9" defaultRowHeight="13.5" outlineLevelCol="6"/>
  <cols>
    <col min="1" max="1" width="13.7083333333333" customWidth="1"/>
    <col min="2" max="2" width="17.025" customWidth="1"/>
    <col min="3" max="3" width="6.875" customWidth="1"/>
    <col min="4" max="4" width="18.5" customWidth="1"/>
    <col min="5" max="5" width="10.625" customWidth="1"/>
    <col min="6" max="6" width="21.625" customWidth="1"/>
    <col min="7" max="7" width="12.625" customWidth="1"/>
  </cols>
  <sheetData>
    <row r="1" customFormat="1" ht="25.5" customHeight="1" spans="1:7">
      <c r="A1" s="27" t="s">
        <v>95</v>
      </c>
    </row>
    <row r="2" customFormat="1" ht="2" customHeight="1"/>
    <row r="3" customFormat="1" ht="12.75" customHeight="1" spans="1:7">
      <c r="A3" s="28" t="s">
        <v>240</v>
      </c>
    </row>
    <row r="4" customFormat="1"/>
    <row r="5" customFormat="1" ht="2.05" customHeight="1"/>
    <row r="6" ht="1.95" customHeight="1" spans="1:7">
      <c r="A6" s="4" t="s">
        <v>2</v>
      </c>
      <c r="B6" s="4" t="s">
        <v>2</v>
      </c>
      <c r="C6" s="4" t="s">
        <v>2</v>
      </c>
      <c r="D6" s="4" t="s">
        <v>2</v>
      </c>
      <c r="E6" s="4" t="s">
        <v>2</v>
      </c>
      <c r="F6" s="4" t="s">
        <v>2</v>
      </c>
      <c r="G6" s="4" t="s">
        <v>2</v>
      </c>
    </row>
    <row r="7" ht="15.75" spans="1:7">
      <c r="A7" s="29" t="s">
        <v>3</v>
      </c>
      <c r="B7" s="30" t="s">
        <v>2</v>
      </c>
      <c r="C7" s="30" t="s">
        <v>2</v>
      </c>
      <c r="D7" s="30" t="s">
        <v>2</v>
      </c>
      <c r="E7" s="30" t="s">
        <v>2</v>
      </c>
      <c r="F7" s="31" t="s">
        <v>2</v>
      </c>
      <c r="G7" s="32">
        <f>G9</f>
        <v>16.5</v>
      </c>
    </row>
    <row r="8" spans="1:7">
      <c r="A8" s="33" t="s">
        <v>87</v>
      </c>
      <c r="B8" s="33" t="s">
        <v>88</v>
      </c>
      <c r="C8" s="33" t="s">
        <v>89</v>
      </c>
      <c r="D8" s="33" t="s">
        <v>90</v>
      </c>
      <c r="E8" s="33" t="s">
        <v>7</v>
      </c>
      <c r="F8" s="33" t="s">
        <v>91</v>
      </c>
      <c r="G8" s="33" t="s">
        <v>92</v>
      </c>
    </row>
    <row r="9" spans="1:7">
      <c r="A9" s="34" t="s">
        <v>241</v>
      </c>
      <c r="B9" s="30"/>
      <c r="C9" s="30"/>
      <c r="D9" s="30"/>
      <c r="E9" s="30"/>
      <c r="F9" s="33" t="s">
        <v>2</v>
      </c>
      <c r="G9" s="35">
        <f>G10</f>
        <v>16.5</v>
      </c>
    </row>
    <row r="10" spans="1:7">
      <c r="A10" s="36" t="s">
        <v>93</v>
      </c>
      <c r="B10" s="30" t="s">
        <v>2</v>
      </c>
      <c r="C10" s="30" t="s">
        <v>2</v>
      </c>
      <c r="D10" s="30" t="s">
        <v>2</v>
      </c>
      <c r="E10" s="30" t="s">
        <v>2</v>
      </c>
      <c r="F10" s="37" t="s">
        <v>2</v>
      </c>
      <c r="G10" s="38">
        <f>G11</f>
        <v>16.5</v>
      </c>
    </row>
    <row r="11" spans="1:7">
      <c r="A11" s="39">
        <v>3005974766</v>
      </c>
      <c r="B11" s="40">
        <v>46090.5218090625</v>
      </c>
      <c r="C11" s="26" t="s">
        <v>94</v>
      </c>
      <c r="D11" s="41">
        <v>46086.4677280093</v>
      </c>
      <c r="E11" s="12">
        <v>20014824</v>
      </c>
      <c r="F11" s="12" t="s">
        <v>68</v>
      </c>
      <c r="G11" s="42">
        <v>16.5</v>
      </c>
    </row>
  </sheetData>
  <mergeCells count="5">
    <mergeCell ref="A1:G1"/>
    <mergeCell ref="A7:E7"/>
    <mergeCell ref="A9:E9"/>
    <mergeCell ref="A10:E10"/>
    <mergeCell ref="A3:C4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G16"/>
  <sheetViews>
    <sheetView view="pageBreakPreview" zoomScaleNormal="100" workbookViewId="0">
      <selection activeCell="G7" sqref="G7"/>
    </sheetView>
  </sheetViews>
  <sheetFormatPr defaultColWidth="9" defaultRowHeight="13.5" outlineLevelCol="6"/>
  <cols>
    <col min="1" max="1" width="13.7083333333333" customWidth="1"/>
    <col min="2" max="2" width="17.025" customWidth="1"/>
    <col min="3" max="3" width="6.875" customWidth="1"/>
    <col min="4" max="4" width="18.5" customWidth="1"/>
    <col min="5" max="5" width="10.625" customWidth="1"/>
    <col min="6" max="6" width="21.625" customWidth="1"/>
    <col min="7" max="7" width="12.625" customWidth="1"/>
  </cols>
  <sheetData>
    <row r="1" customFormat="1" ht="25.5" customHeight="1" spans="1:7">
      <c r="A1" s="27" t="s">
        <v>95</v>
      </c>
    </row>
    <row r="2" customFormat="1" ht="2" customHeight="1"/>
    <row r="3" customFormat="1" ht="12.75" customHeight="1" spans="1:7">
      <c r="A3" s="28" t="s">
        <v>240</v>
      </c>
    </row>
    <row r="4" customFormat="1"/>
    <row r="5" customFormat="1" ht="2.05" customHeight="1"/>
    <row r="6" ht="1.95" customHeight="1" spans="1:7">
      <c r="A6" s="4" t="s">
        <v>2</v>
      </c>
      <c r="B6" s="4" t="s">
        <v>2</v>
      </c>
      <c r="C6" s="4" t="s">
        <v>2</v>
      </c>
      <c r="D6" s="4" t="s">
        <v>2</v>
      </c>
      <c r="E6" s="4" t="s">
        <v>2</v>
      </c>
      <c r="F6" s="4" t="s">
        <v>2</v>
      </c>
      <c r="G6" s="4" t="s">
        <v>2</v>
      </c>
    </row>
    <row r="7" ht="15.75" spans="1:7">
      <c r="A7" s="29" t="s">
        <v>3</v>
      </c>
      <c r="B7" s="30" t="s">
        <v>2</v>
      </c>
      <c r="C7" s="30" t="s">
        <v>2</v>
      </c>
      <c r="D7" s="30" t="s">
        <v>2</v>
      </c>
      <c r="E7" s="30" t="s">
        <v>2</v>
      </c>
      <c r="F7" s="31" t="s">
        <v>2</v>
      </c>
      <c r="G7" s="32">
        <f>G9</f>
        <v>1298</v>
      </c>
    </row>
    <row r="8" spans="1:7">
      <c r="A8" s="33" t="s">
        <v>87</v>
      </c>
      <c r="B8" s="33" t="s">
        <v>88</v>
      </c>
      <c r="C8" s="33" t="s">
        <v>89</v>
      </c>
      <c r="D8" s="33" t="s">
        <v>90</v>
      </c>
      <c r="E8" s="33" t="s">
        <v>7</v>
      </c>
      <c r="F8" s="33" t="s">
        <v>91</v>
      </c>
      <c r="G8" s="33" t="s">
        <v>92</v>
      </c>
    </row>
    <row r="9" spans="1:7">
      <c r="A9" s="34" t="s">
        <v>98</v>
      </c>
      <c r="B9" s="30"/>
      <c r="C9" s="30"/>
      <c r="D9" s="30"/>
      <c r="E9" s="30"/>
      <c r="F9" s="33" t="s">
        <v>2</v>
      </c>
      <c r="G9" s="35">
        <f>G10</f>
        <v>1298</v>
      </c>
    </row>
    <row r="10" spans="1:7">
      <c r="A10" s="36" t="s">
        <v>93</v>
      </c>
      <c r="B10" s="30" t="s">
        <v>2</v>
      </c>
      <c r="C10" s="30" t="s">
        <v>2</v>
      </c>
      <c r="D10" s="30" t="s">
        <v>2</v>
      </c>
      <c r="E10" s="30" t="s">
        <v>2</v>
      </c>
      <c r="F10" s="37" t="s">
        <v>2</v>
      </c>
      <c r="G10" s="38">
        <f>SUM(G11:G16)</f>
        <v>1298</v>
      </c>
    </row>
    <row r="11" ht="25.5" spans="1:7">
      <c r="A11" s="39">
        <v>3005936492</v>
      </c>
      <c r="B11" s="40">
        <v>46090.5171216435</v>
      </c>
      <c r="C11" s="26" t="s">
        <v>94</v>
      </c>
      <c r="D11" s="41">
        <v>46065.6766984607</v>
      </c>
      <c r="E11" s="12">
        <v>20395243</v>
      </c>
      <c r="F11" s="12" t="s">
        <v>180</v>
      </c>
      <c r="G11" s="42">
        <v>357.5</v>
      </c>
    </row>
    <row r="12" ht="25.5" spans="1:7">
      <c r="A12" s="39">
        <v>3005939383</v>
      </c>
      <c r="B12" s="40">
        <v>46090.5175384259</v>
      </c>
      <c r="C12" s="26" t="s">
        <v>94</v>
      </c>
      <c r="D12" s="41">
        <v>46066.6689429398</v>
      </c>
      <c r="E12" s="12">
        <v>20395243</v>
      </c>
      <c r="F12" s="12" t="s">
        <v>180</v>
      </c>
      <c r="G12" s="42">
        <v>357.5</v>
      </c>
    </row>
    <row r="13" spans="1:7">
      <c r="A13" s="39">
        <v>3005948456</v>
      </c>
      <c r="B13" s="40">
        <v>46090.5188970718</v>
      </c>
      <c r="C13" s="26" t="s">
        <v>94</v>
      </c>
      <c r="D13" s="41">
        <v>46077.6642766204</v>
      </c>
      <c r="E13" s="12">
        <v>20366734</v>
      </c>
      <c r="F13" s="12" t="s">
        <v>191</v>
      </c>
      <c r="G13" s="42">
        <v>275</v>
      </c>
    </row>
    <row r="14" spans="1:7">
      <c r="A14" s="39">
        <v>3005977111</v>
      </c>
      <c r="B14" s="40">
        <v>46092.3848471065</v>
      </c>
      <c r="C14" s="26" t="s">
        <v>94</v>
      </c>
      <c r="D14" s="41">
        <v>46087.439687581</v>
      </c>
      <c r="E14" s="12">
        <v>20366734</v>
      </c>
      <c r="F14" s="12" t="s">
        <v>191</v>
      </c>
      <c r="G14" s="42">
        <v>275</v>
      </c>
    </row>
    <row r="15" spans="1:7">
      <c r="A15" s="39">
        <v>3005946109</v>
      </c>
      <c r="B15" s="40">
        <v>46090.5209654745</v>
      </c>
      <c r="C15" s="26" t="s">
        <v>94</v>
      </c>
      <c r="D15" s="41">
        <v>46076.5438340625</v>
      </c>
      <c r="E15" s="12">
        <v>20014824</v>
      </c>
      <c r="F15" s="12" t="s">
        <v>68</v>
      </c>
      <c r="G15" s="42">
        <v>16.5</v>
      </c>
    </row>
    <row r="16" spans="1:7">
      <c r="A16" s="39">
        <v>3005948094</v>
      </c>
      <c r="B16" s="40">
        <v>46090.5206625</v>
      </c>
      <c r="C16" s="26" t="s">
        <v>94</v>
      </c>
      <c r="D16" s="41">
        <v>46077.612669294</v>
      </c>
      <c r="E16" s="12">
        <v>20014824</v>
      </c>
      <c r="F16" s="12" t="s">
        <v>68</v>
      </c>
      <c r="G16" s="42">
        <v>16.5</v>
      </c>
    </row>
  </sheetData>
  <mergeCells count="5">
    <mergeCell ref="A1:G1"/>
    <mergeCell ref="A7:E7"/>
    <mergeCell ref="A9:E9"/>
    <mergeCell ref="A10:E10"/>
    <mergeCell ref="A3:C4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G11"/>
  <sheetViews>
    <sheetView view="pageBreakPreview" zoomScaleNormal="100" workbookViewId="0">
      <selection activeCell="G7" sqref="G7"/>
    </sheetView>
  </sheetViews>
  <sheetFormatPr defaultColWidth="9" defaultRowHeight="13.5" outlineLevelCol="6"/>
  <cols>
    <col min="1" max="1" width="13.7083333333333" customWidth="1"/>
    <col min="2" max="2" width="17.025" customWidth="1"/>
    <col min="3" max="3" width="6.875" customWidth="1"/>
    <col min="4" max="4" width="18.5" customWidth="1"/>
    <col min="5" max="5" width="10.625" customWidth="1"/>
    <col min="6" max="6" width="21.625" customWidth="1"/>
    <col min="7" max="7" width="12.625" customWidth="1"/>
  </cols>
  <sheetData>
    <row r="1" customFormat="1" ht="25.5" customHeight="1" spans="1:7">
      <c r="A1" s="27" t="s">
        <v>95</v>
      </c>
    </row>
    <row r="2" customFormat="1" ht="2" customHeight="1"/>
    <row r="3" customFormat="1" ht="12.75" customHeight="1" spans="1:7">
      <c r="A3" s="28" t="s">
        <v>240</v>
      </c>
    </row>
    <row r="4" customFormat="1"/>
    <row r="5" customFormat="1" ht="2.05" customHeight="1"/>
    <row r="6" ht="1.95" customHeight="1" spans="1:7">
      <c r="A6" s="4" t="s">
        <v>2</v>
      </c>
      <c r="B6" s="4" t="s">
        <v>2</v>
      </c>
      <c r="C6" s="4" t="s">
        <v>2</v>
      </c>
      <c r="D6" s="4" t="s">
        <v>2</v>
      </c>
      <c r="E6" s="4" t="s">
        <v>2</v>
      </c>
      <c r="F6" s="4" t="s">
        <v>2</v>
      </c>
      <c r="G6" s="4" t="s">
        <v>2</v>
      </c>
    </row>
    <row r="7" ht="15.75" spans="1:7">
      <c r="A7" s="29" t="s">
        <v>3</v>
      </c>
      <c r="B7" s="30" t="s">
        <v>2</v>
      </c>
      <c r="C7" s="30" t="s">
        <v>2</v>
      </c>
      <c r="D7" s="30" t="s">
        <v>2</v>
      </c>
      <c r="E7" s="30" t="s">
        <v>2</v>
      </c>
      <c r="F7" s="31" t="s">
        <v>2</v>
      </c>
      <c r="G7" s="32">
        <f>G9</f>
        <v>280.5</v>
      </c>
    </row>
    <row r="8" spans="1:7">
      <c r="A8" s="33" t="s">
        <v>87</v>
      </c>
      <c r="B8" s="33" t="s">
        <v>88</v>
      </c>
      <c r="C8" s="33" t="s">
        <v>89</v>
      </c>
      <c r="D8" s="33" t="s">
        <v>90</v>
      </c>
      <c r="E8" s="33" t="s">
        <v>7</v>
      </c>
      <c r="F8" s="33" t="s">
        <v>91</v>
      </c>
      <c r="G8" s="33" t="s">
        <v>92</v>
      </c>
    </row>
    <row r="9" spans="1:7">
      <c r="A9" s="34" t="s">
        <v>242</v>
      </c>
      <c r="B9" s="30"/>
      <c r="C9" s="30"/>
      <c r="D9" s="30"/>
      <c r="E9" s="30"/>
      <c r="F9" s="33" t="s">
        <v>2</v>
      </c>
      <c r="G9" s="35">
        <f>G10</f>
        <v>280.5</v>
      </c>
    </row>
    <row r="10" spans="1:7">
      <c r="A10" s="36" t="s">
        <v>93</v>
      </c>
      <c r="B10" s="30" t="s">
        <v>2</v>
      </c>
      <c r="C10" s="30" t="s">
        <v>2</v>
      </c>
      <c r="D10" s="30" t="s">
        <v>2</v>
      </c>
      <c r="E10" s="30" t="s">
        <v>2</v>
      </c>
      <c r="F10" s="37" t="s">
        <v>2</v>
      </c>
      <c r="G10" s="38">
        <f>G11</f>
        <v>280.5</v>
      </c>
    </row>
    <row r="11" spans="1:7">
      <c r="A11" s="39">
        <v>3005930045</v>
      </c>
      <c r="B11" s="40">
        <v>46090.516915162</v>
      </c>
      <c r="C11" s="26" t="s">
        <v>94</v>
      </c>
      <c r="D11" s="41">
        <v>46063.7319990741</v>
      </c>
      <c r="E11" s="12">
        <v>20386876</v>
      </c>
      <c r="F11" s="12" t="s">
        <v>159</v>
      </c>
      <c r="G11" s="42">
        <v>280.5</v>
      </c>
    </row>
  </sheetData>
  <mergeCells count="5">
    <mergeCell ref="A1:G1"/>
    <mergeCell ref="A7:E7"/>
    <mergeCell ref="A9:E9"/>
    <mergeCell ref="A10:E10"/>
    <mergeCell ref="A3:C4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G11"/>
  <sheetViews>
    <sheetView view="pageBreakPreview" zoomScaleNormal="100" workbookViewId="0">
      <selection activeCell="G7" sqref="G7"/>
    </sheetView>
  </sheetViews>
  <sheetFormatPr defaultColWidth="9" defaultRowHeight="13.5" outlineLevelCol="6"/>
  <cols>
    <col min="1" max="1" width="13.7083333333333" customWidth="1"/>
    <col min="2" max="2" width="17.025" customWidth="1"/>
    <col min="3" max="3" width="6.875" customWidth="1"/>
    <col min="4" max="4" width="18.5" customWidth="1"/>
    <col min="5" max="5" width="10.625" customWidth="1"/>
    <col min="6" max="6" width="21.625" customWidth="1"/>
    <col min="7" max="7" width="12.625" customWidth="1"/>
  </cols>
  <sheetData>
    <row r="1" customFormat="1" ht="25.5" customHeight="1" spans="1:7">
      <c r="A1" s="27" t="s">
        <v>95</v>
      </c>
    </row>
    <row r="2" customFormat="1" ht="2" customHeight="1"/>
    <row r="3" customFormat="1" ht="12.75" customHeight="1" spans="1:7">
      <c r="A3" s="28" t="s">
        <v>240</v>
      </c>
    </row>
    <row r="4" customFormat="1"/>
    <row r="5" customFormat="1" ht="2.05" customHeight="1"/>
    <row r="6" ht="1.95" customHeight="1" spans="1:7">
      <c r="A6" s="4" t="s">
        <v>2</v>
      </c>
      <c r="B6" s="4" t="s">
        <v>2</v>
      </c>
      <c r="C6" s="4" t="s">
        <v>2</v>
      </c>
      <c r="D6" s="4" t="s">
        <v>2</v>
      </c>
      <c r="E6" s="4" t="s">
        <v>2</v>
      </c>
      <c r="F6" s="4" t="s">
        <v>2</v>
      </c>
      <c r="G6" s="4" t="s">
        <v>2</v>
      </c>
    </row>
    <row r="7" ht="15.75" spans="1:7">
      <c r="A7" s="29" t="s">
        <v>3</v>
      </c>
      <c r="B7" s="30" t="s">
        <v>2</v>
      </c>
      <c r="C7" s="30" t="s">
        <v>2</v>
      </c>
      <c r="D7" s="30" t="s">
        <v>2</v>
      </c>
      <c r="E7" s="30" t="s">
        <v>2</v>
      </c>
      <c r="F7" s="31" t="s">
        <v>2</v>
      </c>
      <c r="G7" s="32">
        <f>G9</f>
        <v>357.5</v>
      </c>
    </row>
    <row r="8" spans="1:7">
      <c r="A8" s="33" t="s">
        <v>87</v>
      </c>
      <c r="B8" s="33" t="s">
        <v>88</v>
      </c>
      <c r="C8" s="33" t="s">
        <v>89</v>
      </c>
      <c r="D8" s="33" t="s">
        <v>90</v>
      </c>
      <c r="E8" s="33" t="s">
        <v>7</v>
      </c>
      <c r="F8" s="33" t="s">
        <v>91</v>
      </c>
      <c r="G8" s="33" t="s">
        <v>92</v>
      </c>
    </row>
    <row r="9" spans="1:7">
      <c r="A9" s="34" t="s">
        <v>243</v>
      </c>
      <c r="B9" s="30"/>
      <c r="C9" s="30"/>
      <c r="D9" s="30"/>
      <c r="E9" s="30"/>
      <c r="F9" s="33" t="s">
        <v>2</v>
      </c>
      <c r="G9" s="35">
        <f>G10</f>
        <v>357.5</v>
      </c>
    </row>
    <row r="10" spans="1:7">
      <c r="A10" s="36" t="s">
        <v>93</v>
      </c>
      <c r="B10" s="30" t="s">
        <v>2</v>
      </c>
      <c r="C10" s="30" t="s">
        <v>2</v>
      </c>
      <c r="D10" s="30" t="s">
        <v>2</v>
      </c>
      <c r="E10" s="30" t="s">
        <v>2</v>
      </c>
      <c r="F10" s="37" t="s">
        <v>2</v>
      </c>
      <c r="G10" s="38">
        <f>G11</f>
        <v>357.5</v>
      </c>
    </row>
    <row r="11" ht="25.5" spans="1:7">
      <c r="A11" s="39">
        <v>3005942815</v>
      </c>
      <c r="B11" s="40">
        <v>46090.5223919792</v>
      </c>
      <c r="C11" s="26" t="s">
        <v>94</v>
      </c>
      <c r="D11" s="41">
        <v>46069.5430934028</v>
      </c>
      <c r="E11" s="12">
        <v>20395243</v>
      </c>
      <c r="F11" s="12" t="s">
        <v>180</v>
      </c>
      <c r="G11" s="42">
        <v>357.5</v>
      </c>
    </row>
  </sheetData>
  <mergeCells count="5">
    <mergeCell ref="A1:G1"/>
    <mergeCell ref="A7:E7"/>
    <mergeCell ref="A9:E9"/>
    <mergeCell ref="A10:E10"/>
    <mergeCell ref="A3:C4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G14"/>
  <sheetViews>
    <sheetView view="pageBreakPreview" zoomScaleNormal="100" workbookViewId="0">
      <selection activeCell="G7" sqref="G7"/>
    </sheetView>
  </sheetViews>
  <sheetFormatPr defaultColWidth="9" defaultRowHeight="13.5" outlineLevelCol="6"/>
  <cols>
    <col min="1" max="1" width="13.7083333333333" customWidth="1"/>
    <col min="2" max="2" width="17.025" customWidth="1"/>
    <col min="3" max="3" width="6.875" customWidth="1"/>
    <col min="4" max="4" width="18.5" customWidth="1"/>
    <col min="5" max="5" width="10.625" customWidth="1"/>
    <col min="6" max="6" width="21.625" customWidth="1"/>
    <col min="7" max="7" width="12.625" customWidth="1"/>
  </cols>
  <sheetData>
    <row r="1" customFormat="1" ht="25.5" customHeight="1" spans="1:7">
      <c r="A1" s="27" t="s">
        <v>95</v>
      </c>
    </row>
    <row r="2" customFormat="1" ht="2" customHeight="1"/>
    <row r="3" customFormat="1" ht="12.75" customHeight="1" spans="1:7">
      <c r="A3" s="28" t="s">
        <v>240</v>
      </c>
    </row>
    <row r="4" customFormat="1"/>
    <row r="5" customFormat="1" ht="2.05" customHeight="1"/>
    <row r="6" ht="1.95" customHeight="1" spans="1:7">
      <c r="A6" s="4" t="s">
        <v>2</v>
      </c>
      <c r="B6" s="4" t="s">
        <v>2</v>
      </c>
      <c r="C6" s="4" t="s">
        <v>2</v>
      </c>
      <c r="D6" s="4" t="s">
        <v>2</v>
      </c>
      <c r="E6" s="4" t="s">
        <v>2</v>
      </c>
      <c r="F6" s="4" t="s">
        <v>2</v>
      </c>
      <c r="G6" s="4" t="s">
        <v>2</v>
      </c>
    </row>
    <row r="7" ht="15.75" spans="1:7">
      <c r="A7" s="29" t="s">
        <v>3</v>
      </c>
      <c r="B7" s="30" t="s">
        <v>2</v>
      </c>
      <c r="C7" s="30" t="s">
        <v>2</v>
      </c>
      <c r="D7" s="30" t="s">
        <v>2</v>
      </c>
      <c r="E7" s="30" t="s">
        <v>2</v>
      </c>
      <c r="F7" s="31" t="s">
        <v>2</v>
      </c>
      <c r="G7" s="32">
        <f>G9</f>
        <v>335.5</v>
      </c>
    </row>
    <row r="8" spans="1:7">
      <c r="A8" s="33" t="s">
        <v>87</v>
      </c>
      <c r="B8" s="33" t="s">
        <v>88</v>
      </c>
      <c r="C8" s="33" t="s">
        <v>89</v>
      </c>
      <c r="D8" s="33" t="s">
        <v>90</v>
      </c>
      <c r="E8" s="33" t="s">
        <v>7</v>
      </c>
      <c r="F8" s="33" t="s">
        <v>91</v>
      </c>
      <c r="G8" s="33" t="s">
        <v>92</v>
      </c>
    </row>
    <row r="9" spans="1:7">
      <c r="A9" s="34" t="s">
        <v>244</v>
      </c>
      <c r="B9" s="30"/>
      <c r="C9" s="30"/>
      <c r="D9" s="30"/>
      <c r="E9" s="30"/>
      <c r="F9" s="33" t="s">
        <v>2</v>
      </c>
      <c r="G9" s="35">
        <f>G10</f>
        <v>335.5</v>
      </c>
    </row>
    <row r="10" spans="1:7">
      <c r="A10" s="36" t="s">
        <v>93</v>
      </c>
      <c r="B10" s="30" t="s">
        <v>2</v>
      </c>
      <c r="C10" s="30" t="s">
        <v>2</v>
      </c>
      <c r="D10" s="30" t="s">
        <v>2</v>
      </c>
      <c r="E10" s="30" t="s">
        <v>2</v>
      </c>
      <c r="F10" s="37" t="s">
        <v>2</v>
      </c>
      <c r="G10" s="38">
        <f>G11+G12+G13+G14</f>
        <v>335.5</v>
      </c>
    </row>
    <row r="11" spans="1:7">
      <c r="A11" s="39">
        <v>3005962365</v>
      </c>
      <c r="B11" s="40">
        <v>46090.5211152778</v>
      </c>
      <c r="C11" s="26" t="s">
        <v>94</v>
      </c>
      <c r="D11" s="41">
        <v>46081.7152069097</v>
      </c>
      <c r="E11" s="12">
        <v>20318372</v>
      </c>
      <c r="F11" s="12" t="s">
        <v>207</v>
      </c>
      <c r="G11" s="42">
        <v>286</v>
      </c>
    </row>
    <row r="12" spans="1:7">
      <c r="A12" s="39">
        <v>3005926915</v>
      </c>
      <c r="B12" s="40">
        <v>46090.5167356481</v>
      </c>
      <c r="C12" s="26" t="s">
        <v>94</v>
      </c>
      <c r="D12" s="41">
        <v>46062.7078238773</v>
      </c>
      <c r="E12" s="12">
        <v>20014824</v>
      </c>
      <c r="F12" s="12" t="s">
        <v>68</v>
      </c>
      <c r="G12" s="42">
        <v>16.5</v>
      </c>
    </row>
    <row r="13" spans="1:7">
      <c r="A13" s="39">
        <v>3005930052</v>
      </c>
      <c r="B13" s="40">
        <v>46090.5182325232</v>
      </c>
      <c r="C13" s="26" t="s">
        <v>94</v>
      </c>
      <c r="D13" s="41">
        <v>46063.6379797801</v>
      </c>
      <c r="E13" s="12">
        <v>20014824</v>
      </c>
      <c r="F13" s="12" t="s">
        <v>68</v>
      </c>
      <c r="G13" s="42">
        <v>16.5</v>
      </c>
    </row>
    <row r="14" spans="1:7">
      <c r="A14" s="39">
        <v>3005962901</v>
      </c>
      <c r="B14" s="40">
        <v>46090.5213425116</v>
      </c>
      <c r="C14" s="26" t="s">
        <v>94</v>
      </c>
      <c r="D14" s="41">
        <v>46081.7152082176</v>
      </c>
      <c r="E14" s="12">
        <v>20014824</v>
      </c>
      <c r="F14" s="12" t="s">
        <v>68</v>
      </c>
      <c r="G14" s="42">
        <v>16.5</v>
      </c>
    </row>
  </sheetData>
  <mergeCells count="5">
    <mergeCell ref="A1:G1"/>
    <mergeCell ref="A7:E7"/>
    <mergeCell ref="A9:E9"/>
    <mergeCell ref="A10:E10"/>
    <mergeCell ref="A3:C4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G12"/>
  <sheetViews>
    <sheetView view="pageBreakPreview" zoomScaleNormal="100" workbookViewId="0">
      <selection activeCell="G7" sqref="G7"/>
    </sheetView>
  </sheetViews>
  <sheetFormatPr defaultColWidth="9" defaultRowHeight="13.5" outlineLevelCol="6"/>
  <cols>
    <col min="1" max="1" width="13.7083333333333" customWidth="1"/>
    <col min="2" max="2" width="17.025" customWidth="1"/>
    <col min="3" max="3" width="6.875" customWidth="1"/>
    <col min="4" max="4" width="18.5" customWidth="1"/>
    <col min="5" max="5" width="10.625" customWidth="1"/>
    <col min="6" max="6" width="21.625" customWidth="1"/>
    <col min="7" max="7" width="12.625" customWidth="1"/>
  </cols>
  <sheetData>
    <row r="1" customFormat="1" ht="25.5" customHeight="1" spans="1:7">
      <c r="A1" s="27" t="s">
        <v>95</v>
      </c>
    </row>
    <row r="2" customFormat="1" ht="2" customHeight="1"/>
    <row r="3" customFormat="1" ht="12.75" customHeight="1" spans="1:7">
      <c r="A3" s="28" t="s">
        <v>240</v>
      </c>
    </row>
    <row r="4" customFormat="1"/>
    <row r="5" customFormat="1" ht="2.05" customHeight="1"/>
    <row r="6" ht="1.95" customHeight="1" spans="1:7">
      <c r="A6" s="4" t="s">
        <v>2</v>
      </c>
      <c r="B6" s="4" t="s">
        <v>2</v>
      </c>
      <c r="C6" s="4" t="s">
        <v>2</v>
      </c>
      <c r="D6" s="4" t="s">
        <v>2</v>
      </c>
      <c r="E6" s="4" t="s">
        <v>2</v>
      </c>
      <c r="F6" s="4" t="s">
        <v>2</v>
      </c>
      <c r="G6" s="4" t="s">
        <v>2</v>
      </c>
    </row>
    <row r="7" ht="15.75" spans="1:7">
      <c r="A7" s="29" t="s">
        <v>3</v>
      </c>
      <c r="B7" s="30" t="s">
        <v>2</v>
      </c>
      <c r="C7" s="30" t="s">
        <v>2</v>
      </c>
      <c r="D7" s="30" t="s">
        <v>2</v>
      </c>
      <c r="E7" s="30" t="s">
        <v>2</v>
      </c>
      <c r="F7" s="31" t="s">
        <v>2</v>
      </c>
      <c r="G7" s="32">
        <f>G9</f>
        <v>291.5</v>
      </c>
    </row>
    <row r="8" spans="1:7">
      <c r="A8" s="33" t="s">
        <v>87</v>
      </c>
      <c r="B8" s="33" t="s">
        <v>88</v>
      </c>
      <c r="C8" s="33" t="s">
        <v>89</v>
      </c>
      <c r="D8" s="33" t="s">
        <v>90</v>
      </c>
      <c r="E8" s="33" t="s">
        <v>7</v>
      </c>
      <c r="F8" s="33" t="s">
        <v>91</v>
      </c>
      <c r="G8" s="33" t="s">
        <v>92</v>
      </c>
    </row>
    <row r="9" spans="1:7">
      <c r="A9" s="34" t="s">
        <v>99</v>
      </c>
      <c r="B9" s="30"/>
      <c r="C9" s="30"/>
      <c r="D9" s="30"/>
      <c r="E9" s="30"/>
      <c r="F9" s="33" t="s">
        <v>2</v>
      </c>
      <c r="G9" s="35">
        <f>G10</f>
        <v>291.5</v>
      </c>
    </row>
    <row r="10" spans="1:7">
      <c r="A10" s="36" t="s">
        <v>93</v>
      </c>
      <c r="B10" s="30" t="s">
        <v>2</v>
      </c>
      <c r="C10" s="30" t="s">
        <v>2</v>
      </c>
      <c r="D10" s="30" t="s">
        <v>2</v>
      </c>
      <c r="E10" s="30" t="s">
        <v>2</v>
      </c>
      <c r="F10" s="37" t="s">
        <v>2</v>
      </c>
      <c r="G10" s="38">
        <f>G11+G12</f>
        <v>291.5</v>
      </c>
    </row>
    <row r="11" spans="1:7">
      <c r="A11" s="39">
        <v>3005962469</v>
      </c>
      <c r="B11" s="40">
        <v>46090.5216519676</v>
      </c>
      <c r="C11" s="26" t="s">
        <v>94</v>
      </c>
      <c r="D11" s="41">
        <v>46081.6841470718</v>
      </c>
      <c r="E11" s="12">
        <v>20366734</v>
      </c>
      <c r="F11" s="12" t="s">
        <v>191</v>
      </c>
      <c r="G11" s="42">
        <v>275</v>
      </c>
    </row>
    <row r="12" spans="1:7">
      <c r="A12" s="39">
        <v>3005941909</v>
      </c>
      <c r="B12" s="40">
        <v>46090.5177139236</v>
      </c>
      <c r="C12" s="26" t="s">
        <v>94</v>
      </c>
      <c r="D12" s="41">
        <v>46067.6949095718</v>
      </c>
      <c r="E12" s="12">
        <v>20014824</v>
      </c>
      <c r="F12" s="12" t="s">
        <v>68</v>
      </c>
      <c r="G12" s="42">
        <v>16.5</v>
      </c>
    </row>
  </sheetData>
  <mergeCells count="5">
    <mergeCell ref="A1:G1"/>
    <mergeCell ref="A7:E7"/>
    <mergeCell ref="A9:E9"/>
    <mergeCell ref="A10:E10"/>
    <mergeCell ref="A3:C4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G11"/>
  <sheetViews>
    <sheetView view="pageBreakPreview" zoomScaleNormal="100" workbookViewId="0">
      <selection activeCell="I36" sqref="I36"/>
    </sheetView>
  </sheetViews>
  <sheetFormatPr defaultColWidth="9" defaultRowHeight="13.5" outlineLevelCol="6"/>
  <cols>
    <col min="1" max="1" width="13.7083333333333" customWidth="1"/>
    <col min="2" max="2" width="17.025" customWidth="1"/>
    <col min="3" max="3" width="6.875" customWidth="1"/>
    <col min="4" max="4" width="18.5" customWidth="1"/>
    <col min="5" max="5" width="10.625" customWidth="1"/>
    <col min="6" max="6" width="21.625" customWidth="1"/>
    <col min="7" max="7" width="12.625" customWidth="1"/>
  </cols>
  <sheetData>
    <row r="1" customFormat="1" ht="25.5" customHeight="1" spans="1:7">
      <c r="A1" s="27" t="s">
        <v>95</v>
      </c>
    </row>
    <row r="2" customFormat="1" ht="2" customHeight="1"/>
    <row r="3" customFormat="1" ht="12.75" customHeight="1" spans="1:7">
      <c r="A3" s="28" t="s">
        <v>240</v>
      </c>
    </row>
    <row r="4" customFormat="1"/>
    <row r="5" customFormat="1" ht="2.05" customHeight="1"/>
    <row r="6" ht="1.95" customHeight="1" spans="1:7">
      <c r="A6" s="4" t="s">
        <v>2</v>
      </c>
      <c r="B6" s="4" t="s">
        <v>2</v>
      </c>
      <c r="C6" s="4" t="s">
        <v>2</v>
      </c>
      <c r="D6" s="4" t="s">
        <v>2</v>
      </c>
      <c r="E6" s="4" t="s">
        <v>2</v>
      </c>
      <c r="F6" s="4" t="s">
        <v>2</v>
      </c>
      <c r="G6" s="4" t="s">
        <v>2</v>
      </c>
    </row>
    <row r="7" ht="15.75" spans="1:7">
      <c r="A7" s="29" t="s">
        <v>3</v>
      </c>
      <c r="B7" s="30" t="s">
        <v>2</v>
      </c>
      <c r="C7" s="30" t="s">
        <v>2</v>
      </c>
      <c r="D7" s="30" t="s">
        <v>2</v>
      </c>
      <c r="E7" s="30" t="s">
        <v>2</v>
      </c>
      <c r="F7" s="31" t="s">
        <v>2</v>
      </c>
      <c r="G7" s="32">
        <f>G9</f>
        <v>16.5</v>
      </c>
    </row>
    <row r="8" spans="1:7">
      <c r="A8" s="33" t="s">
        <v>87</v>
      </c>
      <c r="B8" s="33" t="s">
        <v>88</v>
      </c>
      <c r="C8" s="33" t="s">
        <v>89</v>
      </c>
      <c r="D8" s="33" t="s">
        <v>90</v>
      </c>
      <c r="E8" s="33" t="s">
        <v>7</v>
      </c>
      <c r="F8" s="33" t="s">
        <v>91</v>
      </c>
      <c r="G8" s="33" t="s">
        <v>92</v>
      </c>
    </row>
    <row r="9" spans="1:7">
      <c r="A9" s="34" t="s">
        <v>96</v>
      </c>
      <c r="B9" s="30"/>
      <c r="C9" s="30"/>
      <c r="D9" s="30"/>
      <c r="E9" s="30"/>
      <c r="F9" s="33" t="s">
        <v>2</v>
      </c>
      <c r="G9" s="35">
        <f>G10</f>
        <v>16.5</v>
      </c>
    </row>
    <row r="10" spans="1:7">
      <c r="A10" s="36" t="s">
        <v>93</v>
      </c>
      <c r="B10" s="30" t="s">
        <v>2</v>
      </c>
      <c r="C10" s="30" t="s">
        <v>2</v>
      </c>
      <c r="D10" s="30" t="s">
        <v>2</v>
      </c>
      <c r="E10" s="30" t="s">
        <v>2</v>
      </c>
      <c r="F10" s="37" t="s">
        <v>2</v>
      </c>
      <c r="G10" s="38">
        <f>G11</f>
        <v>16.5</v>
      </c>
    </row>
    <row r="11" spans="1:7">
      <c r="A11" s="39">
        <v>3005933973</v>
      </c>
      <c r="B11" s="40">
        <v>46090.5180846875</v>
      </c>
      <c r="C11" s="26" t="s">
        <v>94</v>
      </c>
      <c r="D11" s="41">
        <v>46064.7252576389</v>
      </c>
      <c r="E11" s="12">
        <v>20014824</v>
      </c>
      <c r="F11" s="12" t="s">
        <v>68</v>
      </c>
      <c r="G11" s="42">
        <v>16.5</v>
      </c>
    </row>
  </sheetData>
  <mergeCells count="5">
    <mergeCell ref="A1:G1"/>
    <mergeCell ref="A7:E7"/>
    <mergeCell ref="A9:E9"/>
    <mergeCell ref="A10:E10"/>
    <mergeCell ref="A3:C4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G12"/>
  <sheetViews>
    <sheetView view="pageBreakPreview" zoomScaleNormal="100" workbookViewId="0">
      <selection activeCell="J17" sqref="J17"/>
    </sheetView>
  </sheetViews>
  <sheetFormatPr defaultColWidth="9" defaultRowHeight="13.5" outlineLevelCol="6"/>
  <cols>
    <col min="1" max="1" width="13.7083333333333" customWidth="1"/>
    <col min="2" max="2" width="17.025" customWidth="1"/>
    <col min="3" max="3" width="6.875" customWidth="1"/>
    <col min="4" max="4" width="18.5" customWidth="1"/>
    <col min="5" max="5" width="10.625" customWidth="1"/>
    <col min="6" max="6" width="21.625" customWidth="1"/>
    <col min="7" max="7" width="12.625" customWidth="1"/>
  </cols>
  <sheetData>
    <row r="1" customFormat="1" ht="25.5" customHeight="1" spans="1:7">
      <c r="A1" s="27" t="s">
        <v>95</v>
      </c>
    </row>
    <row r="2" customFormat="1" ht="2" customHeight="1"/>
    <row r="3" customFormat="1" ht="12.75" customHeight="1" spans="1:7">
      <c r="A3" s="28" t="s">
        <v>240</v>
      </c>
    </row>
    <row r="4" customFormat="1"/>
    <row r="5" customFormat="1" ht="2.05" customHeight="1"/>
    <row r="6" ht="1.95" customHeight="1" spans="1:7">
      <c r="A6" s="4" t="s">
        <v>2</v>
      </c>
      <c r="B6" s="4" t="s">
        <v>2</v>
      </c>
      <c r="C6" s="4" t="s">
        <v>2</v>
      </c>
      <c r="D6" s="4" t="s">
        <v>2</v>
      </c>
      <c r="E6" s="4" t="s">
        <v>2</v>
      </c>
      <c r="F6" s="4" t="s">
        <v>2</v>
      </c>
      <c r="G6" s="4" t="s">
        <v>2</v>
      </c>
    </row>
    <row r="7" ht="15.75" spans="1:7">
      <c r="A7" s="29" t="s">
        <v>3</v>
      </c>
      <c r="B7" s="30" t="s">
        <v>2</v>
      </c>
      <c r="C7" s="30" t="s">
        <v>2</v>
      </c>
      <c r="D7" s="30" t="s">
        <v>2</v>
      </c>
      <c r="E7" s="30" t="s">
        <v>2</v>
      </c>
      <c r="F7" s="31" t="s">
        <v>2</v>
      </c>
      <c r="G7" s="32">
        <f>G9</f>
        <v>33</v>
      </c>
    </row>
    <row r="8" spans="1:7">
      <c r="A8" s="33" t="s">
        <v>87</v>
      </c>
      <c r="B8" s="33" t="s">
        <v>88</v>
      </c>
      <c r="C8" s="33" t="s">
        <v>89</v>
      </c>
      <c r="D8" s="33" t="s">
        <v>90</v>
      </c>
      <c r="E8" s="33" t="s">
        <v>7</v>
      </c>
      <c r="F8" s="33" t="s">
        <v>91</v>
      </c>
      <c r="G8" s="33" t="s">
        <v>92</v>
      </c>
    </row>
    <row r="9" spans="1:7">
      <c r="A9" s="34" t="s">
        <v>97</v>
      </c>
      <c r="B9" s="30"/>
      <c r="C9" s="30"/>
      <c r="D9" s="30"/>
      <c r="E9" s="30"/>
      <c r="F9" s="33" t="s">
        <v>2</v>
      </c>
      <c r="G9" s="35">
        <f>G10</f>
        <v>33</v>
      </c>
    </row>
    <row r="10" spans="1:7">
      <c r="A10" s="36" t="s">
        <v>93</v>
      </c>
      <c r="B10" s="30" t="s">
        <v>2</v>
      </c>
      <c r="C10" s="30" t="s">
        <v>2</v>
      </c>
      <c r="D10" s="30" t="s">
        <v>2</v>
      </c>
      <c r="E10" s="30" t="s">
        <v>2</v>
      </c>
      <c r="F10" s="37" t="s">
        <v>2</v>
      </c>
      <c r="G10" s="38">
        <f>G11+G12</f>
        <v>33</v>
      </c>
    </row>
    <row r="11" spans="1:7">
      <c r="A11" s="39">
        <v>3005944579</v>
      </c>
      <c r="B11" s="40">
        <v>46090.517913044</v>
      </c>
      <c r="C11" s="26" t="s">
        <v>94</v>
      </c>
      <c r="D11" s="41">
        <v>46073.6007802894</v>
      </c>
      <c r="E11" s="12">
        <v>20014824</v>
      </c>
      <c r="F11" s="12" t="s">
        <v>68</v>
      </c>
      <c r="G11" s="42">
        <v>16.5</v>
      </c>
    </row>
    <row r="12" spans="1:7">
      <c r="A12" s="39">
        <v>3005948479</v>
      </c>
      <c r="B12" s="40">
        <v>46090.5187000347</v>
      </c>
      <c r="C12" s="26" t="s">
        <v>94</v>
      </c>
      <c r="D12" s="41">
        <v>46077.6536509606</v>
      </c>
      <c r="E12" s="12">
        <v>20014824</v>
      </c>
      <c r="F12" s="12" t="s">
        <v>68</v>
      </c>
      <c r="G12" s="42">
        <v>16.5</v>
      </c>
    </row>
  </sheetData>
  <mergeCells count="5">
    <mergeCell ref="A1:G1"/>
    <mergeCell ref="A7:E7"/>
    <mergeCell ref="A9:E9"/>
    <mergeCell ref="A10:E10"/>
    <mergeCell ref="A3:C4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K15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19" t="s">
        <v>245</v>
      </c>
      <c r="E8" s="8"/>
      <c r="F8" s="8"/>
      <c r="G8" s="8"/>
      <c r="H8" s="8"/>
      <c r="I8" s="9">
        <f>SUM(I9:I15)</f>
        <v>7</v>
      </c>
      <c r="J8" s="10"/>
      <c r="K8" s="10">
        <f>SUM(K9:K15)</f>
        <v>121</v>
      </c>
    </row>
    <row r="9" customFormat="1" spans="1:11">
      <c r="D9" s="11">
        <v>46062</v>
      </c>
      <c r="E9" s="12">
        <v>1577332</v>
      </c>
      <c r="F9" s="12" t="s">
        <v>20</v>
      </c>
      <c r="G9" s="13">
        <v>20386875</v>
      </c>
      <c r="H9" s="12" t="s">
        <v>246</v>
      </c>
      <c r="I9" s="13">
        <v>1</v>
      </c>
      <c r="J9" s="14">
        <v>16.5</v>
      </c>
      <c r="K9" s="14">
        <v>16.5</v>
      </c>
    </row>
    <row r="10" customFormat="1" spans="1:11">
      <c r="D10" s="11">
        <v>46062</v>
      </c>
      <c r="E10" s="12">
        <v>1577343</v>
      </c>
      <c r="F10" s="12" t="s">
        <v>20</v>
      </c>
      <c r="G10" s="13">
        <v>20391312</v>
      </c>
      <c r="H10" s="12" t="s">
        <v>247</v>
      </c>
      <c r="I10" s="13">
        <v>1</v>
      </c>
      <c r="J10" s="14">
        <v>16.5</v>
      </c>
      <c r="K10" s="14">
        <f>J10*I10</f>
        <v>16.5</v>
      </c>
    </row>
    <row r="11" customFormat="1" spans="1:11">
      <c r="D11" s="11">
        <v>46065</v>
      </c>
      <c r="E11" s="12">
        <v>1578312</v>
      </c>
      <c r="F11" s="12" t="s">
        <v>20</v>
      </c>
      <c r="G11" s="13">
        <v>20330554</v>
      </c>
      <c r="H11" s="12" t="s">
        <v>248</v>
      </c>
      <c r="I11" s="13">
        <v>1</v>
      </c>
      <c r="J11" s="14">
        <v>16.5</v>
      </c>
      <c r="K11" s="14">
        <v>16.5</v>
      </c>
    </row>
    <row r="12" customFormat="1" spans="1:11">
      <c r="D12" s="11">
        <v>46065</v>
      </c>
      <c r="E12" s="12">
        <v>1578312</v>
      </c>
      <c r="F12" s="12" t="s">
        <v>20</v>
      </c>
      <c r="G12" s="13">
        <v>20394442</v>
      </c>
      <c r="H12" s="12" t="s">
        <v>249</v>
      </c>
      <c r="I12" s="13">
        <v>1</v>
      </c>
      <c r="J12" s="14">
        <v>16.5</v>
      </c>
      <c r="K12" s="14">
        <v>16.5</v>
      </c>
    </row>
    <row r="13" customFormat="1" spans="1:11">
      <c r="D13" s="11">
        <v>46078</v>
      </c>
      <c r="E13" s="12">
        <v>1579980</v>
      </c>
      <c r="F13" s="12" t="s">
        <v>53</v>
      </c>
      <c r="G13" s="13">
        <v>20413483</v>
      </c>
      <c r="H13" s="12" t="s">
        <v>250</v>
      </c>
      <c r="I13" s="13">
        <v>1</v>
      </c>
      <c r="J13" s="20">
        <v>22</v>
      </c>
      <c r="K13" s="14">
        <v>22</v>
      </c>
    </row>
    <row r="14" customFormat="1" spans="1:11">
      <c r="D14" s="11">
        <v>46087</v>
      </c>
      <c r="E14" s="12">
        <v>1582767</v>
      </c>
      <c r="F14" s="12" t="s">
        <v>20</v>
      </c>
      <c r="G14" s="13">
        <v>20330554</v>
      </c>
      <c r="H14" s="12" t="s">
        <v>248</v>
      </c>
      <c r="I14" s="13">
        <v>1</v>
      </c>
      <c r="J14" s="14">
        <v>16.5</v>
      </c>
      <c r="K14" s="14">
        <v>16.5</v>
      </c>
    </row>
    <row r="15" spans="1:11">
      <c r="D15" s="11">
        <v>46087</v>
      </c>
      <c r="E15" s="12">
        <v>1582810</v>
      </c>
      <c r="F15" s="12" t="s">
        <v>20</v>
      </c>
      <c r="G15" s="13">
        <v>20333417</v>
      </c>
      <c r="H15" s="12" t="s">
        <v>251</v>
      </c>
      <c r="I15" s="13">
        <v>1</v>
      </c>
      <c r="J15" s="14">
        <v>16.5</v>
      </c>
      <c r="K15" s="14">
        <v>16.5</v>
      </c>
    </row>
  </sheetData>
  <mergeCells count="5">
    <mergeCell ref="D8:H8"/>
    <mergeCell ref="C7:C14"/>
    <mergeCell ref="C1:H2"/>
    <mergeCell ref="B4:H5"/>
    <mergeCell ref="A7:B14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K9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19" t="s">
        <v>252</v>
      </c>
      <c r="E8" s="8"/>
      <c r="F8" s="8"/>
      <c r="G8" s="8"/>
      <c r="H8" s="8"/>
      <c r="I8" s="9">
        <f>I9</f>
        <v>1</v>
      </c>
      <c r="J8" s="10"/>
      <c r="K8" s="10">
        <f>K9</f>
        <v>181.5</v>
      </c>
    </row>
    <row r="9" customFormat="1" spans="1:11">
      <c r="D9" s="11">
        <v>46084</v>
      </c>
      <c r="E9" s="12">
        <v>1581800</v>
      </c>
      <c r="F9" s="12" t="s">
        <v>13</v>
      </c>
      <c r="G9" s="13">
        <v>20321258</v>
      </c>
      <c r="H9" s="12" t="s">
        <v>253</v>
      </c>
      <c r="I9" s="13">
        <v>1</v>
      </c>
      <c r="J9" s="14">
        <v>181.5</v>
      </c>
      <c r="K9" s="14">
        <f>J9*I9</f>
        <v>181.5</v>
      </c>
    </row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K11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19" t="s">
        <v>254</v>
      </c>
      <c r="E8" s="8"/>
      <c r="F8" s="8"/>
      <c r="G8" s="8"/>
      <c r="H8" s="8"/>
      <c r="I8" s="9">
        <f>SUM(I9:I11)</f>
        <v>3</v>
      </c>
      <c r="J8" s="10"/>
      <c r="K8" s="10">
        <f>SUM(K9:K11)</f>
        <v>264</v>
      </c>
    </row>
    <row r="9" customFormat="1" spans="1:11">
      <c r="D9" s="11">
        <v>46080</v>
      </c>
      <c r="E9" s="12">
        <v>1580747</v>
      </c>
      <c r="F9" s="12" t="s">
        <v>30</v>
      </c>
      <c r="G9" s="13">
        <v>20371279</v>
      </c>
      <c r="H9" s="12" t="s">
        <v>255</v>
      </c>
      <c r="I9" s="13">
        <v>1</v>
      </c>
      <c r="J9" s="14">
        <v>88</v>
      </c>
      <c r="K9" s="14">
        <v>88</v>
      </c>
    </row>
    <row r="10" customFormat="1" spans="1:11">
      <c r="D10" s="11">
        <v>46083</v>
      </c>
      <c r="E10" s="12">
        <v>1581309</v>
      </c>
      <c r="F10" s="12" t="s">
        <v>30</v>
      </c>
      <c r="G10" s="13">
        <v>20371279</v>
      </c>
      <c r="H10" s="12" t="s">
        <v>255</v>
      </c>
      <c r="I10" s="13">
        <v>1</v>
      </c>
      <c r="J10" s="14">
        <v>88</v>
      </c>
      <c r="K10" s="14">
        <v>88</v>
      </c>
    </row>
    <row r="11" customFormat="1" spans="1:11">
      <c r="D11" s="11">
        <v>46087</v>
      </c>
      <c r="E11" s="12">
        <v>1582810</v>
      </c>
      <c r="F11" s="12" t="s">
        <v>30</v>
      </c>
      <c r="G11" s="13">
        <v>20371279</v>
      </c>
      <c r="H11" s="12" t="s">
        <v>255</v>
      </c>
      <c r="I11" s="13">
        <v>1</v>
      </c>
      <c r="J11" s="14">
        <v>88</v>
      </c>
      <c r="K11" s="14">
        <v>88</v>
      </c>
    </row>
  </sheetData>
  <mergeCells count="5">
    <mergeCell ref="D8:H8"/>
    <mergeCell ref="C7:C11"/>
    <mergeCell ref="C1:H2"/>
    <mergeCell ref="B4:H5"/>
    <mergeCell ref="A7:B11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K18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customHeight="1" spans="1:11">
      <c r="D8" s="19" t="s">
        <v>244</v>
      </c>
      <c r="E8" s="8"/>
      <c r="F8" s="8"/>
      <c r="G8" s="8"/>
      <c r="H8" s="8"/>
      <c r="I8" s="9">
        <f>SUM(I9:I16)</f>
        <v>8</v>
      </c>
      <c r="J8" s="10"/>
      <c r="K8" s="10">
        <f>SUM(K9:K16)</f>
        <v>1012</v>
      </c>
    </row>
    <row r="9" customFormat="1" ht="14.25" customHeight="1" spans="1:11">
      <c r="D9" s="11">
        <v>46062</v>
      </c>
      <c r="E9" s="12">
        <v>1577414</v>
      </c>
      <c r="F9" s="12" t="s">
        <v>256</v>
      </c>
      <c r="G9" s="13">
        <v>20321070</v>
      </c>
      <c r="H9" s="12" t="s">
        <v>257</v>
      </c>
      <c r="I9" s="13">
        <v>1</v>
      </c>
      <c r="J9" s="14">
        <v>132</v>
      </c>
      <c r="K9" s="14">
        <v>132</v>
      </c>
    </row>
    <row r="10" customFormat="1" ht="14.25" customHeight="1" spans="1:11">
      <c r="D10" s="11">
        <v>46062</v>
      </c>
      <c r="E10" s="12">
        <v>1577418</v>
      </c>
      <c r="F10" s="12" t="s">
        <v>256</v>
      </c>
      <c r="G10" s="13">
        <v>20321098</v>
      </c>
      <c r="H10" s="12" t="s">
        <v>258</v>
      </c>
      <c r="I10" s="13">
        <v>1</v>
      </c>
      <c r="J10" s="14">
        <v>132</v>
      </c>
      <c r="K10" s="14">
        <v>132</v>
      </c>
    </row>
    <row r="11" ht="14.25" customHeight="1" spans="1:11">
      <c r="D11" s="11">
        <v>46065</v>
      </c>
      <c r="E11" s="12">
        <v>1578344</v>
      </c>
      <c r="F11" s="12" t="s">
        <v>256</v>
      </c>
      <c r="G11" s="13">
        <v>20321069</v>
      </c>
      <c r="H11" s="12" t="s">
        <v>259</v>
      </c>
      <c r="I11" s="13">
        <v>1</v>
      </c>
      <c r="J11" s="14">
        <v>132</v>
      </c>
      <c r="K11" s="14">
        <v>132</v>
      </c>
    </row>
    <row r="12" ht="14.25" customHeight="1" spans="1:11">
      <c r="D12" s="11">
        <v>46066</v>
      </c>
      <c r="E12" s="12">
        <v>1578683</v>
      </c>
      <c r="F12" s="12" t="s">
        <v>256</v>
      </c>
      <c r="G12" s="13">
        <v>20321069</v>
      </c>
      <c r="H12" s="12" t="s">
        <v>259</v>
      </c>
      <c r="I12" s="13">
        <v>1</v>
      </c>
      <c r="J12" s="14">
        <v>132</v>
      </c>
      <c r="K12" s="14">
        <v>132</v>
      </c>
    </row>
    <row r="13" ht="14.25" customHeight="1" spans="1:11">
      <c r="D13" s="11">
        <v>46067</v>
      </c>
      <c r="E13" s="12">
        <v>1578973</v>
      </c>
      <c r="F13" s="12" t="s">
        <v>256</v>
      </c>
      <c r="G13" s="13">
        <v>20321070</v>
      </c>
      <c r="H13" s="12" t="s">
        <v>257</v>
      </c>
      <c r="I13" s="13">
        <v>1</v>
      </c>
      <c r="J13" s="14">
        <v>132</v>
      </c>
      <c r="K13" s="14">
        <v>132</v>
      </c>
    </row>
    <row r="14" ht="14.25" customHeight="1" spans="1:11">
      <c r="D14" s="11">
        <v>46069</v>
      </c>
      <c r="E14" s="12">
        <v>1579109</v>
      </c>
      <c r="F14" s="12" t="s">
        <v>256</v>
      </c>
      <c r="G14" s="13">
        <v>20321070</v>
      </c>
      <c r="H14" s="12" t="s">
        <v>257</v>
      </c>
      <c r="I14" s="13">
        <v>1</v>
      </c>
      <c r="J14" s="14">
        <v>132</v>
      </c>
      <c r="K14" s="14">
        <v>132</v>
      </c>
    </row>
    <row r="15" ht="14.25" customHeight="1" spans="1:11">
      <c r="D15" s="11">
        <v>46072</v>
      </c>
      <c r="E15" s="12">
        <v>1579262</v>
      </c>
      <c r="F15" s="12" t="s">
        <v>256</v>
      </c>
      <c r="G15" s="13">
        <v>20321070</v>
      </c>
      <c r="H15" s="12" t="s">
        <v>257</v>
      </c>
      <c r="I15" s="13">
        <v>1</v>
      </c>
      <c r="J15" s="14">
        <v>132</v>
      </c>
      <c r="K15" s="14">
        <v>132</v>
      </c>
    </row>
    <row r="16" ht="14.25" customHeight="1" spans="1:11">
      <c r="D16" s="11">
        <v>46087</v>
      </c>
      <c r="E16" s="12">
        <v>1582810</v>
      </c>
      <c r="F16" s="12" t="s">
        <v>211</v>
      </c>
      <c r="G16" s="13">
        <v>20336771</v>
      </c>
      <c r="H16" s="12" t="s">
        <v>260</v>
      </c>
      <c r="I16" s="13">
        <v>1</v>
      </c>
      <c r="J16" s="14">
        <v>88</v>
      </c>
      <c r="K16" s="14">
        <v>88</v>
      </c>
    </row>
    <row r="17" ht="14.25" customHeight="1"/>
    <row r="18" ht="14.25" customHeight="1"/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K18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customHeight="1" spans="1:11">
      <c r="D8" s="19" t="s">
        <v>261</v>
      </c>
      <c r="E8" s="8"/>
      <c r="F8" s="8"/>
      <c r="G8" s="8"/>
      <c r="H8" s="8"/>
      <c r="I8" s="9">
        <f>I9</f>
        <v>1</v>
      </c>
      <c r="J8" s="10"/>
      <c r="K8" s="10">
        <f>K9</f>
        <v>132</v>
      </c>
    </row>
    <row r="9" customFormat="1" ht="14.25" customHeight="1" spans="1:11">
      <c r="D9" s="11">
        <v>46077</v>
      </c>
      <c r="E9" s="12">
        <v>1579579</v>
      </c>
      <c r="F9" s="12" t="s">
        <v>256</v>
      </c>
      <c r="G9" s="13">
        <v>20321070</v>
      </c>
      <c r="H9" s="12" t="s">
        <v>257</v>
      </c>
      <c r="I9" s="13">
        <v>1</v>
      </c>
      <c r="J9" s="14">
        <v>132</v>
      </c>
      <c r="K9" s="14">
        <f>J9*I9</f>
        <v>132</v>
      </c>
    </row>
    <row r="10" customFormat="1" ht="14.25" customHeight="1"/>
    <row r="11" customFormat="1" ht="14.25" customHeight="1"/>
    <row r="12" customFormat="1" ht="14.25" customHeight="1"/>
    <row r="13" customFormat="1" ht="14.25" customHeight="1"/>
    <row r="14" customFormat="1" ht="14.25" customHeight="1"/>
    <row r="15" customFormat="1" ht="14.25" customHeight="1"/>
    <row r="16" customFormat="1" ht="14.25" customHeight="1"/>
    <row r="17" customFormat="1" ht="14.25" customHeight="1"/>
    <row r="18" customFormat="1" ht="14.25" customHeight="1"/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K18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customFormat="1" spans="1:11">
      <c r="C1" s="1" t="s">
        <v>0</v>
      </c>
    </row>
    <row r="2" ht="23.05" customHeight="1"/>
    <row r="3" ht="2" customHeight="1"/>
    <row r="4" customFormat="1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customHeight="1" spans="1:11">
      <c r="D8" s="19" t="s">
        <v>96</v>
      </c>
      <c r="E8" s="8"/>
      <c r="F8" s="8"/>
      <c r="G8" s="8"/>
      <c r="H8" s="8"/>
      <c r="I8" s="9">
        <f>I9</f>
        <v>1</v>
      </c>
      <c r="J8" s="10"/>
      <c r="K8" s="10">
        <f>K9</f>
        <v>88</v>
      </c>
    </row>
    <row r="9" customFormat="1" ht="14.25" customHeight="1" spans="1:11">
      <c r="D9" s="11">
        <v>46083</v>
      </c>
      <c r="E9" s="12">
        <v>1581404</v>
      </c>
      <c r="F9" s="12" t="s">
        <v>211</v>
      </c>
      <c r="G9" s="13">
        <v>20336771</v>
      </c>
      <c r="H9" s="12" t="s">
        <v>260</v>
      </c>
      <c r="I9" s="13">
        <v>1</v>
      </c>
      <c r="J9" s="14">
        <v>88</v>
      </c>
      <c r="K9" s="14">
        <f>J9*I9</f>
        <v>88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K18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customHeight="1" spans="1:11">
      <c r="D8" s="19" t="s">
        <v>97</v>
      </c>
      <c r="E8" s="8"/>
      <c r="F8" s="8"/>
      <c r="G8" s="8"/>
      <c r="H8" s="8"/>
      <c r="I8" s="9">
        <f>I9+I10</f>
        <v>2</v>
      </c>
      <c r="J8" s="10"/>
      <c r="K8" s="10">
        <f>K9+K10</f>
        <v>264</v>
      </c>
    </row>
    <row r="9" customFormat="1" ht="14.25" customHeight="1" spans="1:11">
      <c r="D9" s="11">
        <v>46078</v>
      </c>
      <c r="E9" s="12">
        <v>1580071</v>
      </c>
      <c r="F9" s="12" t="s">
        <v>256</v>
      </c>
      <c r="G9" s="13">
        <v>20321069</v>
      </c>
      <c r="H9" s="12" t="s">
        <v>259</v>
      </c>
      <c r="I9" s="13">
        <v>1</v>
      </c>
      <c r="J9" s="14">
        <v>132</v>
      </c>
      <c r="K9" s="14">
        <v>132</v>
      </c>
    </row>
    <row r="10" customFormat="1" ht="14.25" customHeight="1" spans="1:11">
      <c r="D10" s="11">
        <v>46079</v>
      </c>
      <c r="E10" s="12">
        <v>1580228</v>
      </c>
      <c r="F10" s="12" t="s">
        <v>256</v>
      </c>
      <c r="G10" s="13">
        <v>20321070</v>
      </c>
      <c r="H10" s="12" t="s">
        <v>257</v>
      </c>
      <c r="I10" s="13">
        <v>1</v>
      </c>
      <c r="J10" s="14">
        <v>132</v>
      </c>
      <c r="K10" s="14">
        <v>132</v>
      </c>
    </row>
    <row r="11" customFormat="1" ht="14.25" customHeight="1"/>
    <row r="12" customFormat="1" ht="14.25" customHeight="1"/>
    <row r="13" customFormat="1" ht="14.25" customHeight="1"/>
    <row r="14" customFormat="1" ht="14.25" customHeight="1"/>
    <row r="15" customFormat="1" ht="14.25" customHeight="1"/>
    <row r="16" customFormat="1" ht="14.25" customHeight="1"/>
    <row r="17" customFormat="1" ht="14.25" customHeight="1"/>
    <row r="18" customFormat="1" ht="14.25" customHeight="1"/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K18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customHeight="1" spans="1:11">
      <c r="D8" s="19" t="s">
        <v>243</v>
      </c>
      <c r="E8" s="8"/>
      <c r="F8" s="8"/>
      <c r="G8" s="8"/>
      <c r="H8" s="8"/>
      <c r="I8" s="9">
        <f>I9</f>
        <v>1</v>
      </c>
      <c r="J8" s="10"/>
      <c r="K8" s="10">
        <f>K9</f>
        <v>22</v>
      </c>
    </row>
    <row r="9" customFormat="1" ht="14.25" customHeight="1" spans="1:11">
      <c r="D9" s="11">
        <v>46085</v>
      </c>
      <c r="E9" s="12">
        <v>1582112</v>
      </c>
      <c r="F9" s="12" t="s">
        <v>211</v>
      </c>
      <c r="G9" s="13">
        <v>20326322</v>
      </c>
      <c r="H9" s="12" t="s">
        <v>262</v>
      </c>
      <c r="I9" s="13">
        <v>1</v>
      </c>
      <c r="J9" s="14">
        <v>22</v>
      </c>
      <c r="K9" s="14">
        <f>J9*I9</f>
        <v>22</v>
      </c>
    </row>
    <row r="10" customFormat="1" ht="14.25" customHeight="1"/>
    <row r="11" customFormat="1" ht="14.25" customHeight="1"/>
    <row r="12" customFormat="1" ht="14.25" customHeight="1"/>
    <row r="13" customFormat="1" ht="14.25" customHeight="1"/>
    <row r="14" customFormat="1" ht="14.25" customHeight="1"/>
    <row r="15" customFormat="1" ht="14.25" customHeight="1"/>
    <row r="16" customFormat="1" ht="14.25" customHeight="1"/>
    <row r="17" customFormat="1" ht="14.25" customHeight="1"/>
    <row r="18" customFormat="1" ht="14.25" customHeight="1"/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K18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customHeight="1" spans="1:11">
      <c r="D8" s="19" t="s">
        <v>98</v>
      </c>
      <c r="E8" s="8"/>
      <c r="F8" s="8"/>
      <c r="G8" s="8"/>
      <c r="H8" s="8"/>
      <c r="I8" s="9">
        <f>SUM(I9:I18)</f>
        <v>10</v>
      </c>
      <c r="J8" s="10"/>
      <c r="K8" s="10">
        <f>SUM(K9:K18)</f>
        <v>844</v>
      </c>
    </row>
    <row r="9" customFormat="1" ht="14.25" customHeight="1" spans="1:11">
      <c r="D9" s="11">
        <v>46062</v>
      </c>
      <c r="E9" s="12">
        <v>1577223</v>
      </c>
      <c r="F9" s="12" t="s">
        <v>211</v>
      </c>
      <c r="G9" s="13">
        <v>20321109</v>
      </c>
      <c r="H9" s="12" t="s">
        <v>263</v>
      </c>
      <c r="I9" s="13">
        <v>1</v>
      </c>
      <c r="J9" s="14">
        <v>30</v>
      </c>
      <c r="K9" s="14">
        <v>30</v>
      </c>
    </row>
    <row r="10" customFormat="1" ht="14.25" customHeight="1" spans="1:11">
      <c r="D10" s="11">
        <v>46063</v>
      </c>
      <c r="E10" s="12">
        <v>1577704</v>
      </c>
      <c r="F10" s="12" t="s">
        <v>211</v>
      </c>
      <c r="G10" s="13">
        <v>20326322</v>
      </c>
      <c r="H10" s="12" t="s">
        <v>262</v>
      </c>
      <c r="I10" s="13">
        <v>1</v>
      </c>
      <c r="J10" s="14">
        <v>22</v>
      </c>
      <c r="K10" s="14">
        <v>22</v>
      </c>
    </row>
    <row r="11" customFormat="1" ht="14.25" customHeight="1" spans="1:11">
      <c r="D11" s="11">
        <v>46069</v>
      </c>
      <c r="E11" s="12">
        <v>1579109</v>
      </c>
      <c r="F11" s="12" t="s">
        <v>211</v>
      </c>
      <c r="G11" s="13">
        <v>20336771</v>
      </c>
      <c r="H11" s="12" t="s">
        <v>260</v>
      </c>
      <c r="I11" s="13">
        <v>1</v>
      </c>
      <c r="J11" s="14">
        <v>88</v>
      </c>
      <c r="K11" s="14">
        <v>88</v>
      </c>
    </row>
    <row r="12" customFormat="1" ht="14.25" customHeight="1" spans="1:11">
      <c r="D12" s="11">
        <v>46071</v>
      </c>
      <c r="E12" s="12">
        <v>1579193</v>
      </c>
      <c r="F12" s="12" t="s">
        <v>256</v>
      </c>
      <c r="G12" s="13">
        <v>20321069</v>
      </c>
      <c r="H12" s="12" t="s">
        <v>259</v>
      </c>
      <c r="I12" s="13">
        <v>1</v>
      </c>
      <c r="J12" s="14">
        <v>132</v>
      </c>
      <c r="K12" s="14">
        <v>132</v>
      </c>
    </row>
    <row r="13" customFormat="1" ht="14.25" customHeight="1" spans="1:11">
      <c r="D13" s="11">
        <v>46071</v>
      </c>
      <c r="E13" s="12">
        <v>1579193</v>
      </c>
      <c r="F13" s="12" t="s">
        <v>256</v>
      </c>
      <c r="G13" s="13">
        <v>20321070</v>
      </c>
      <c r="H13" s="12" t="s">
        <v>257</v>
      </c>
      <c r="I13" s="13">
        <v>1</v>
      </c>
      <c r="J13" s="14">
        <v>132</v>
      </c>
      <c r="K13" s="14">
        <v>132</v>
      </c>
    </row>
    <row r="14" customFormat="1" ht="14.25" customHeight="1" spans="1:11">
      <c r="D14" s="11">
        <v>46072</v>
      </c>
      <c r="E14" s="12">
        <v>1579262</v>
      </c>
      <c r="F14" s="12" t="s">
        <v>256</v>
      </c>
      <c r="G14" s="13">
        <v>20321098</v>
      </c>
      <c r="H14" s="12" t="s">
        <v>258</v>
      </c>
      <c r="I14" s="13">
        <v>1</v>
      </c>
      <c r="J14" s="14">
        <v>132</v>
      </c>
      <c r="K14" s="14">
        <v>132</v>
      </c>
    </row>
    <row r="15" customFormat="1" ht="14.25" customHeight="1" spans="1:11">
      <c r="D15" s="11">
        <v>46080</v>
      </c>
      <c r="E15" s="12">
        <v>1580768</v>
      </c>
      <c r="F15" s="12" t="s">
        <v>211</v>
      </c>
      <c r="G15" s="13">
        <v>20326322</v>
      </c>
      <c r="H15" s="12" t="s">
        <v>262</v>
      </c>
      <c r="I15" s="13">
        <v>1</v>
      </c>
      <c r="J15" s="14">
        <v>22</v>
      </c>
      <c r="K15" s="14">
        <v>22</v>
      </c>
    </row>
    <row r="16" customFormat="1" ht="14.25" customHeight="1" spans="1:11">
      <c r="D16" s="11">
        <v>46081</v>
      </c>
      <c r="E16" s="12">
        <v>1581103</v>
      </c>
      <c r="F16" s="12" t="s">
        <v>256</v>
      </c>
      <c r="G16" s="13">
        <v>20321069</v>
      </c>
      <c r="H16" s="12" t="s">
        <v>259</v>
      </c>
      <c r="I16" s="13">
        <v>1</v>
      </c>
      <c r="J16" s="14">
        <v>132</v>
      </c>
      <c r="K16" s="14">
        <v>132</v>
      </c>
    </row>
    <row r="17" customFormat="1" ht="14.25" customHeight="1" spans="4:11">
      <c r="D17" s="11">
        <v>46084</v>
      </c>
      <c r="E17" s="12">
        <v>1581635</v>
      </c>
      <c r="F17" s="12" t="s">
        <v>256</v>
      </c>
      <c r="G17" s="13">
        <v>20321098</v>
      </c>
      <c r="H17" s="12" t="s">
        <v>258</v>
      </c>
      <c r="I17" s="13">
        <v>1</v>
      </c>
      <c r="J17" s="14">
        <v>132</v>
      </c>
      <c r="K17" s="14">
        <v>132</v>
      </c>
    </row>
    <row r="18" customFormat="1" ht="14.25" customHeight="1" spans="4:11">
      <c r="D18" s="11">
        <v>46086</v>
      </c>
      <c r="E18" s="12">
        <v>1582374</v>
      </c>
      <c r="F18" s="12" t="s">
        <v>211</v>
      </c>
      <c r="G18" s="13">
        <v>20326322</v>
      </c>
      <c r="H18" s="12" t="s">
        <v>262</v>
      </c>
      <c r="I18" s="13">
        <v>1</v>
      </c>
      <c r="J18" s="14">
        <v>22</v>
      </c>
      <c r="K18" s="14">
        <v>22</v>
      </c>
    </row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K65"/>
  <sheetViews>
    <sheetView view="pageBreakPreview" zoomScaleNormal="100" topLeftCell="A35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customHeight="1" spans="1:11">
      <c r="D8" s="19" t="s">
        <v>252</v>
      </c>
      <c r="E8" s="8"/>
      <c r="F8" s="8"/>
      <c r="G8" s="8"/>
      <c r="H8" s="8"/>
      <c r="I8" s="9">
        <f>SUM(I9:I65)</f>
        <v>57</v>
      </c>
      <c r="J8" s="10"/>
      <c r="K8" s="10">
        <f>SUM(K9:K65)</f>
        <v>6401</v>
      </c>
    </row>
    <row r="9" customFormat="1" ht="14.25" customHeight="1" spans="1:11">
      <c r="D9" s="11">
        <v>46062</v>
      </c>
      <c r="E9" s="12">
        <v>1577223</v>
      </c>
      <c r="F9" s="12" t="s">
        <v>256</v>
      </c>
      <c r="G9" s="13">
        <v>20321749</v>
      </c>
      <c r="H9" s="12" t="s">
        <v>264</v>
      </c>
      <c r="I9" s="13">
        <v>1</v>
      </c>
      <c r="J9" s="14">
        <v>154</v>
      </c>
      <c r="K9" s="14">
        <v>154</v>
      </c>
    </row>
    <row r="10" customFormat="1" ht="14.25" customHeight="1" spans="1:11">
      <c r="D10" s="11">
        <v>46062</v>
      </c>
      <c r="E10" s="12">
        <v>1577305</v>
      </c>
      <c r="F10" s="12" t="s">
        <v>256</v>
      </c>
      <c r="G10" s="13">
        <v>20321099</v>
      </c>
      <c r="H10" s="12" t="s">
        <v>265</v>
      </c>
      <c r="I10" s="13">
        <v>1</v>
      </c>
      <c r="J10" s="14">
        <v>154</v>
      </c>
      <c r="K10" s="14">
        <v>154</v>
      </c>
    </row>
    <row r="11" customFormat="1" ht="14.25" customHeight="1" spans="1:11">
      <c r="D11" s="11">
        <v>46062</v>
      </c>
      <c r="E11" s="12">
        <v>1577345</v>
      </c>
      <c r="F11" s="12" t="s">
        <v>211</v>
      </c>
      <c r="G11" s="13">
        <v>20388378</v>
      </c>
      <c r="H11" s="12" t="s">
        <v>266</v>
      </c>
      <c r="I11" s="13">
        <v>1</v>
      </c>
      <c r="J11" s="14">
        <v>30</v>
      </c>
      <c r="K11" s="14">
        <v>30</v>
      </c>
    </row>
    <row r="12" customFormat="1" ht="14.25" customHeight="1" spans="1:11">
      <c r="D12" s="11">
        <v>46062</v>
      </c>
      <c r="E12" s="12">
        <v>1577345</v>
      </c>
      <c r="F12" s="12" t="s">
        <v>211</v>
      </c>
      <c r="G12" s="13">
        <v>20388573</v>
      </c>
      <c r="H12" s="12" t="s">
        <v>267</v>
      </c>
      <c r="I12" s="13">
        <v>1</v>
      </c>
      <c r="J12" s="14">
        <v>22</v>
      </c>
      <c r="K12" s="14">
        <v>22</v>
      </c>
    </row>
    <row r="13" customFormat="1" ht="14.25" customHeight="1" spans="1:11">
      <c r="D13" s="11">
        <v>46062</v>
      </c>
      <c r="E13" s="12">
        <v>1577414</v>
      </c>
      <c r="F13" s="12" t="s">
        <v>256</v>
      </c>
      <c r="G13" s="13">
        <v>20321749</v>
      </c>
      <c r="H13" s="12" t="s">
        <v>264</v>
      </c>
      <c r="I13" s="13">
        <v>1</v>
      </c>
      <c r="J13" s="14">
        <v>154</v>
      </c>
      <c r="K13" s="14">
        <v>154</v>
      </c>
    </row>
    <row r="14" customFormat="1" ht="14.25" customHeight="1" spans="1:11">
      <c r="D14" s="11">
        <v>46063</v>
      </c>
      <c r="E14" s="12">
        <v>1577600</v>
      </c>
      <c r="F14" s="12" t="s">
        <v>256</v>
      </c>
      <c r="G14" s="13">
        <v>20321749</v>
      </c>
      <c r="H14" s="12" t="s">
        <v>264</v>
      </c>
      <c r="I14" s="13">
        <v>1</v>
      </c>
      <c r="J14" s="14">
        <v>154</v>
      </c>
      <c r="K14" s="14">
        <v>154</v>
      </c>
    </row>
    <row r="15" customFormat="1" ht="14.25" customHeight="1" spans="1:11">
      <c r="D15" s="11">
        <v>46063</v>
      </c>
      <c r="E15" s="12">
        <v>1577600</v>
      </c>
      <c r="F15" s="12" t="s">
        <v>256</v>
      </c>
      <c r="G15" s="13">
        <v>20321099</v>
      </c>
      <c r="H15" s="12" t="s">
        <v>265</v>
      </c>
      <c r="I15" s="13">
        <v>1</v>
      </c>
      <c r="J15" s="14">
        <v>154</v>
      </c>
      <c r="K15" s="14">
        <v>154</v>
      </c>
    </row>
    <row r="16" customFormat="1" ht="14.25" customHeight="1" spans="1:11">
      <c r="D16" s="11">
        <v>46063</v>
      </c>
      <c r="E16" s="12">
        <v>1577680</v>
      </c>
      <c r="F16" s="12" t="s">
        <v>256</v>
      </c>
      <c r="G16" s="13">
        <v>20376138</v>
      </c>
      <c r="H16" s="12" t="s">
        <v>268</v>
      </c>
      <c r="I16" s="13">
        <v>1</v>
      </c>
      <c r="J16" s="14">
        <v>154</v>
      </c>
      <c r="K16" s="14">
        <v>154</v>
      </c>
    </row>
    <row r="17" customFormat="1" ht="14.25" customHeight="1" spans="4:11">
      <c r="D17" s="11">
        <v>46063</v>
      </c>
      <c r="E17" s="12">
        <v>1577704</v>
      </c>
      <c r="F17" s="12" t="s">
        <v>256</v>
      </c>
      <c r="G17" s="13">
        <v>20321749</v>
      </c>
      <c r="H17" s="12" t="s">
        <v>264</v>
      </c>
      <c r="I17" s="13">
        <v>1</v>
      </c>
      <c r="J17" s="14">
        <v>154</v>
      </c>
      <c r="K17" s="14">
        <v>154</v>
      </c>
    </row>
    <row r="18" customFormat="1" ht="14.25" customHeight="1" spans="4:11">
      <c r="D18" s="11">
        <v>46063</v>
      </c>
      <c r="E18" s="12">
        <v>1577704</v>
      </c>
      <c r="F18" s="12" t="s">
        <v>256</v>
      </c>
      <c r="G18" s="13">
        <v>20321099</v>
      </c>
      <c r="H18" s="12" t="s">
        <v>265</v>
      </c>
      <c r="I18" s="13">
        <v>1</v>
      </c>
      <c r="J18" s="14">
        <v>154</v>
      </c>
      <c r="K18" s="14">
        <v>154</v>
      </c>
    </row>
    <row r="19" spans="4:11">
      <c r="D19" s="11">
        <v>46064</v>
      </c>
      <c r="E19" s="12">
        <v>1577925</v>
      </c>
      <c r="F19" s="12" t="s">
        <v>256</v>
      </c>
      <c r="G19" s="13">
        <v>20321749</v>
      </c>
      <c r="H19" s="12" t="s">
        <v>264</v>
      </c>
      <c r="I19" s="13">
        <v>1</v>
      </c>
      <c r="J19" s="14">
        <v>154</v>
      </c>
      <c r="K19" s="14">
        <v>154</v>
      </c>
    </row>
    <row r="20" spans="4:11">
      <c r="D20" s="11">
        <v>46064</v>
      </c>
      <c r="E20" s="12">
        <v>1578051</v>
      </c>
      <c r="F20" s="12" t="s">
        <v>116</v>
      </c>
      <c r="G20" s="13">
        <v>20366044</v>
      </c>
      <c r="H20" s="12" t="s">
        <v>269</v>
      </c>
      <c r="I20" s="13">
        <v>1</v>
      </c>
      <c r="J20" s="14">
        <v>35</v>
      </c>
      <c r="K20" s="14">
        <v>35</v>
      </c>
    </row>
    <row r="21" ht="25.5" spans="4:11">
      <c r="D21" s="11">
        <v>46065</v>
      </c>
      <c r="E21" s="12">
        <v>1578231</v>
      </c>
      <c r="F21" s="12" t="s">
        <v>211</v>
      </c>
      <c r="G21" s="13">
        <v>20388378</v>
      </c>
      <c r="H21" s="12" t="s">
        <v>266</v>
      </c>
      <c r="I21" s="13">
        <v>1</v>
      </c>
      <c r="J21" s="14">
        <v>30</v>
      </c>
      <c r="K21" s="14">
        <v>30</v>
      </c>
    </row>
    <row r="22" spans="4:11">
      <c r="D22" s="11">
        <v>46065</v>
      </c>
      <c r="E22" s="12">
        <v>1578344</v>
      </c>
      <c r="F22" s="12" t="s">
        <v>256</v>
      </c>
      <c r="G22" s="13">
        <v>20376138</v>
      </c>
      <c r="H22" s="12" t="s">
        <v>268</v>
      </c>
      <c r="I22" s="13">
        <v>1</v>
      </c>
      <c r="J22" s="14">
        <v>154</v>
      </c>
      <c r="K22" s="14">
        <v>154</v>
      </c>
    </row>
    <row r="23" spans="4:11">
      <c r="D23" s="11">
        <v>46066</v>
      </c>
      <c r="E23" s="12">
        <v>1578608</v>
      </c>
      <c r="F23" s="12" t="s">
        <v>256</v>
      </c>
      <c r="G23" s="13">
        <v>20321749</v>
      </c>
      <c r="H23" s="12" t="s">
        <v>264</v>
      </c>
      <c r="I23" s="13">
        <v>1</v>
      </c>
      <c r="J23" s="14">
        <v>154</v>
      </c>
      <c r="K23" s="14">
        <v>154</v>
      </c>
    </row>
    <row r="24" spans="4:11">
      <c r="D24" s="11">
        <v>46066</v>
      </c>
      <c r="E24" s="12">
        <v>1578683</v>
      </c>
      <c r="F24" s="12" t="s">
        <v>256</v>
      </c>
      <c r="G24" s="13">
        <v>20376138</v>
      </c>
      <c r="H24" s="12" t="s">
        <v>268</v>
      </c>
      <c r="I24" s="13">
        <v>1</v>
      </c>
      <c r="J24" s="14">
        <v>154</v>
      </c>
      <c r="K24" s="14">
        <v>154</v>
      </c>
    </row>
    <row r="25" spans="4:11">
      <c r="D25" s="11">
        <v>46067</v>
      </c>
      <c r="E25" s="12">
        <v>1578895</v>
      </c>
      <c r="F25" s="12" t="s">
        <v>256</v>
      </c>
      <c r="G25" s="13">
        <v>20321099</v>
      </c>
      <c r="H25" s="12" t="s">
        <v>265</v>
      </c>
      <c r="I25" s="13">
        <v>1</v>
      </c>
      <c r="J25" s="14">
        <v>154</v>
      </c>
      <c r="K25" s="14">
        <v>154</v>
      </c>
    </row>
    <row r="26" spans="4:11">
      <c r="D26" s="11">
        <v>46067</v>
      </c>
      <c r="E26" s="12">
        <v>1578918</v>
      </c>
      <c r="F26" s="12" t="s">
        <v>256</v>
      </c>
      <c r="G26" s="13">
        <v>20321749</v>
      </c>
      <c r="H26" s="12" t="s">
        <v>264</v>
      </c>
      <c r="I26" s="13">
        <v>1</v>
      </c>
      <c r="J26" s="14">
        <v>154</v>
      </c>
      <c r="K26" s="14">
        <v>154</v>
      </c>
    </row>
    <row r="27" ht="25.5" spans="4:11">
      <c r="D27" s="11">
        <v>46067</v>
      </c>
      <c r="E27" s="12">
        <v>1578973</v>
      </c>
      <c r="F27" s="12" t="s">
        <v>211</v>
      </c>
      <c r="G27" s="13">
        <v>20388378</v>
      </c>
      <c r="H27" s="12" t="s">
        <v>266</v>
      </c>
      <c r="I27" s="13">
        <v>1</v>
      </c>
      <c r="J27" s="14">
        <v>30</v>
      </c>
      <c r="K27" s="14">
        <v>30</v>
      </c>
    </row>
    <row r="28" spans="4:11">
      <c r="D28" s="11">
        <v>46067</v>
      </c>
      <c r="E28" s="12">
        <v>1578973</v>
      </c>
      <c r="F28" s="12" t="s">
        <v>211</v>
      </c>
      <c r="G28" s="13">
        <v>20388573</v>
      </c>
      <c r="H28" s="12" t="s">
        <v>267</v>
      </c>
      <c r="I28" s="13">
        <v>1</v>
      </c>
      <c r="J28" s="14">
        <v>22</v>
      </c>
      <c r="K28" s="14">
        <v>22</v>
      </c>
    </row>
    <row r="29" spans="4:11">
      <c r="D29" s="11">
        <v>46069</v>
      </c>
      <c r="E29" s="12">
        <v>1579109</v>
      </c>
      <c r="F29" s="12" t="s">
        <v>256</v>
      </c>
      <c r="G29" s="13">
        <v>20376138</v>
      </c>
      <c r="H29" s="12" t="s">
        <v>268</v>
      </c>
      <c r="I29" s="13">
        <v>1</v>
      </c>
      <c r="J29" s="14">
        <v>154</v>
      </c>
      <c r="K29" s="14">
        <v>154</v>
      </c>
    </row>
    <row r="30" spans="4:11">
      <c r="D30" s="11">
        <v>46073</v>
      </c>
      <c r="E30" s="12">
        <v>1579306</v>
      </c>
      <c r="F30" s="12" t="s">
        <v>256</v>
      </c>
      <c r="G30" s="13">
        <v>20321099</v>
      </c>
      <c r="H30" s="12" t="s">
        <v>265</v>
      </c>
      <c r="I30" s="13">
        <v>1</v>
      </c>
      <c r="J30" s="14">
        <v>154</v>
      </c>
      <c r="K30" s="14">
        <v>154</v>
      </c>
    </row>
    <row r="31" spans="4:11">
      <c r="D31" s="11">
        <v>46073</v>
      </c>
      <c r="E31" s="12">
        <v>1579306</v>
      </c>
      <c r="F31" s="12" t="s">
        <v>256</v>
      </c>
      <c r="G31" s="13">
        <v>20321098</v>
      </c>
      <c r="H31" s="12" t="s">
        <v>258</v>
      </c>
      <c r="I31" s="13">
        <v>1</v>
      </c>
      <c r="J31" s="14">
        <v>132</v>
      </c>
      <c r="K31" s="14">
        <v>132</v>
      </c>
    </row>
    <row r="32" spans="4:11">
      <c r="D32" s="11">
        <v>46077</v>
      </c>
      <c r="E32" s="12">
        <v>1579624</v>
      </c>
      <c r="F32" s="12" t="s">
        <v>256</v>
      </c>
      <c r="G32" s="13">
        <v>20321749</v>
      </c>
      <c r="H32" s="12" t="s">
        <v>264</v>
      </c>
      <c r="I32" s="13">
        <v>1</v>
      </c>
      <c r="J32" s="14">
        <v>154</v>
      </c>
      <c r="K32" s="14">
        <v>154</v>
      </c>
    </row>
    <row r="33" spans="4:11">
      <c r="D33" s="11">
        <v>46078</v>
      </c>
      <c r="E33" s="12">
        <v>1580036</v>
      </c>
      <c r="F33" s="12" t="s">
        <v>256</v>
      </c>
      <c r="G33" s="13">
        <v>20321749</v>
      </c>
      <c r="H33" s="12" t="s">
        <v>264</v>
      </c>
      <c r="I33" s="13">
        <v>1</v>
      </c>
      <c r="J33" s="14">
        <v>154</v>
      </c>
      <c r="K33" s="14">
        <v>154</v>
      </c>
    </row>
    <row r="34" ht="25.5" spans="4:11">
      <c r="D34" s="11">
        <v>46078</v>
      </c>
      <c r="E34" s="12">
        <v>1580071</v>
      </c>
      <c r="F34" s="12" t="s">
        <v>211</v>
      </c>
      <c r="G34" s="13">
        <v>20388378</v>
      </c>
      <c r="H34" s="12" t="s">
        <v>266</v>
      </c>
      <c r="I34" s="13">
        <v>1</v>
      </c>
      <c r="J34" s="14">
        <v>30</v>
      </c>
      <c r="K34" s="14">
        <v>30</v>
      </c>
    </row>
    <row r="35" spans="4:11">
      <c r="D35" s="11">
        <v>46079</v>
      </c>
      <c r="E35" s="12">
        <v>1580321</v>
      </c>
      <c r="F35" s="12" t="s">
        <v>256</v>
      </c>
      <c r="G35" s="13">
        <v>20321749</v>
      </c>
      <c r="H35" s="12" t="s">
        <v>264</v>
      </c>
      <c r="I35" s="13">
        <v>1</v>
      </c>
      <c r="J35" s="14">
        <v>154</v>
      </c>
      <c r="K35" s="14">
        <v>154</v>
      </c>
    </row>
    <row r="36" spans="4:11">
      <c r="D36" s="11">
        <v>46079</v>
      </c>
      <c r="E36" s="12">
        <v>1580321</v>
      </c>
      <c r="F36" s="12" t="s">
        <v>256</v>
      </c>
      <c r="G36" s="13">
        <v>20321099</v>
      </c>
      <c r="H36" s="12" t="s">
        <v>265</v>
      </c>
      <c r="I36" s="13">
        <v>1</v>
      </c>
      <c r="J36" s="14">
        <v>154</v>
      </c>
      <c r="K36" s="14">
        <v>154</v>
      </c>
    </row>
    <row r="37" spans="4:11">
      <c r="D37" s="11">
        <v>46079</v>
      </c>
      <c r="E37" s="12">
        <v>1580321</v>
      </c>
      <c r="F37" s="12" t="s">
        <v>256</v>
      </c>
      <c r="G37" s="13">
        <v>20376138</v>
      </c>
      <c r="H37" s="12" t="s">
        <v>268</v>
      </c>
      <c r="I37" s="13">
        <v>1</v>
      </c>
      <c r="J37" s="14">
        <v>154</v>
      </c>
      <c r="K37" s="14">
        <v>154</v>
      </c>
    </row>
    <row r="38" spans="4:11">
      <c r="D38" s="11">
        <v>46080</v>
      </c>
      <c r="E38" s="12">
        <v>1580613</v>
      </c>
      <c r="F38" s="12" t="s">
        <v>256</v>
      </c>
      <c r="G38" s="13">
        <v>20321099</v>
      </c>
      <c r="H38" s="12" t="s">
        <v>265</v>
      </c>
      <c r="I38" s="13">
        <v>1</v>
      </c>
      <c r="J38" s="14">
        <v>154</v>
      </c>
      <c r="K38" s="14">
        <v>154</v>
      </c>
    </row>
    <row r="39" ht="25.5" spans="4:11">
      <c r="D39" s="11">
        <v>46080</v>
      </c>
      <c r="E39" s="12">
        <v>1580768</v>
      </c>
      <c r="F39" s="12" t="s">
        <v>211</v>
      </c>
      <c r="G39" s="13">
        <v>20388378</v>
      </c>
      <c r="H39" s="12" t="s">
        <v>266</v>
      </c>
      <c r="I39" s="13">
        <v>1</v>
      </c>
      <c r="J39" s="14">
        <v>30</v>
      </c>
      <c r="K39" s="14">
        <v>30</v>
      </c>
    </row>
    <row r="40" spans="4:11">
      <c r="D40" s="11">
        <v>46080</v>
      </c>
      <c r="E40" s="12">
        <v>1580768</v>
      </c>
      <c r="F40" s="12" t="s">
        <v>256</v>
      </c>
      <c r="G40" s="13">
        <v>20321099</v>
      </c>
      <c r="H40" s="12" t="s">
        <v>265</v>
      </c>
      <c r="I40" s="13">
        <v>1</v>
      </c>
      <c r="J40" s="14">
        <v>154</v>
      </c>
      <c r="K40" s="14">
        <v>154</v>
      </c>
    </row>
    <row r="41" spans="4:11">
      <c r="D41" s="11">
        <v>46080</v>
      </c>
      <c r="E41" s="12">
        <v>1580768</v>
      </c>
      <c r="F41" s="12" t="s">
        <v>256</v>
      </c>
      <c r="G41" s="13">
        <v>20376138</v>
      </c>
      <c r="H41" s="12" t="s">
        <v>268</v>
      </c>
      <c r="I41" s="13">
        <v>1</v>
      </c>
      <c r="J41" s="14">
        <v>154</v>
      </c>
      <c r="K41" s="14">
        <v>154</v>
      </c>
    </row>
    <row r="42" spans="4:11">
      <c r="D42" s="11">
        <v>46081</v>
      </c>
      <c r="E42" s="12">
        <v>1580942</v>
      </c>
      <c r="F42" s="12" t="s">
        <v>256</v>
      </c>
      <c r="G42" s="13">
        <v>20321749</v>
      </c>
      <c r="H42" s="12" t="s">
        <v>264</v>
      </c>
      <c r="I42" s="13">
        <v>1</v>
      </c>
      <c r="J42" s="14">
        <v>154</v>
      </c>
      <c r="K42" s="14">
        <v>154</v>
      </c>
    </row>
    <row r="43" spans="4:11">
      <c r="D43" s="11">
        <v>46081</v>
      </c>
      <c r="E43" s="12">
        <v>1581026</v>
      </c>
      <c r="F43" s="12" t="s">
        <v>256</v>
      </c>
      <c r="G43" s="13">
        <v>20376138</v>
      </c>
      <c r="H43" s="12" t="s">
        <v>268</v>
      </c>
      <c r="I43" s="13">
        <v>1</v>
      </c>
      <c r="J43" s="14">
        <v>154</v>
      </c>
      <c r="K43" s="14">
        <v>154</v>
      </c>
    </row>
    <row r="44" spans="4:11">
      <c r="D44" s="11">
        <v>46081</v>
      </c>
      <c r="E44" s="12">
        <v>1581074</v>
      </c>
      <c r="F44" s="12" t="s">
        <v>256</v>
      </c>
      <c r="G44" s="13">
        <v>20321749</v>
      </c>
      <c r="H44" s="12" t="s">
        <v>264</v>
      </c>
      <c r="I44" s="13">
        <v>1</v>
      </c>
      <c r="J44" s="14">
        <v>154</v>
      </c>
      <c r="K44" s="14">
        <v>154</v>
      </c>
    </row>
    <row r="45" spans="4:11">
      <c r="D45" s="11">
        <v>46081</v>
      </c>
      <c r="E45" s="12">
        <v>1581103</v>
      </c>
      <c r="F45" s="12" t="s">
        <v>256</v>
      </c>
      <c r="G45" s="13">
        <v>20321099</v>
      </c>
      <c r="H45" s="12" t="s">
        <v>265</v>
      </c>
      <c r="I45" s="13">
        <v>1</v>
      </c>
      <c r="J45" s="14">
        <v>154</v>
      </c>
      <c r="K45" s="14">
        <v>154</v>
      </c>
    </row>
    <row r="46" ht="25.5" spans="4:11">
      <c r="D46" s="11">
        <v>46082</v>
      </c>
      <c r="E46" s="12">
        <v>1581249</v>
      </c>
      <c r="F46" s="12" t="s">
        <v>211</v>
      </c>
      <c r="G46" s="13">
        <v>20388378</v>
      </c>
      <c r="H46" s="12" t="s">
        <v>266</v>
      </c>
      <c r="I46" s="13">
        <v>1</v>
      </c>
      <c r="J46" s="14">
        <v>30</v>
      </c>
      <c r="K46" s="14">
        <v>30</v>
      </c>
    </row>
    <row r="47" spans="4:11">
      <c r="D47" s="11">
        <v>46082</v>
      </c>
      <c r="E47" s="12">
        <v>1581249</v>
      </c>
      <c r="F47" s="12" t="s">
        <v>211</v>
      </c>
      <c r="G47" s="13">
        <v>20388573</v>
      </c>
      <c r="H47" s="12" t="s">
        <v>267</v>
      </c>
      <c r="I47" s="13">
        <v>1</v>
      </c>
      <c r="J47" s="14">
        <v>22</v>
      </c>
      <c r="K47" s="14">
        <v>22</v>
      </c>
    </row>
    <row r="48" spans="4:11">
      <c r="D48" s="11">
        <v>46082</v>
      </c>
      <c r="E48" s="12">
        <v>1581249</v>
      </c>
      <c r="F48" s="12" t="s">
        <v>256</v>
      </c>
      <c r="G48" s="13">
        <v>20376138</v>
      </c>
      <c r="H48" s="12" t="s">
        <v>268</v>
      </c>
      <c r="I48" s="13">
        <v>1</v>
      </c>
      <c r="J48" s="14">
        <v>154</v>
      </c>
      <c r="K48" s="14">
        <v>154</v>
      </c>
    </row>
    <row r="49" spans="4:11">
      <c r="D49" s="11">
        <v>46084</v>
      </c>
      <c r="E49" s="12">
        <v>1581695</v>
      </c>
      <c r="F49" s="12" t="s">
        <v>116</v>
      </c>
      <c r="G49" s="13">
        <v>20327473</v>
      </c>
      <c r="H49" s="12" t="s">
        <v>270</v>
      </c>
      <c r="I49" s="13">
        <v>1</v>
      </c>
      <c r="J49" s="14">
        <v>35</v>
      </c>
      <c r="K49" s="14">
        <v>35</v>
      </c>
    </row>
    <row r="50" ht="25.5" spans="4:11">
      <c r="D50" s="11">
        <v>46084</v>
      </c>
      <c r="E50" s="12">
        <v>1581800</v>
      </c>
      <c r="F50" s="12" t="s">
        <v>211</v>
      </c>
      <c r="G50" s="13">
        <v>20388378</v>
      </c>
      <c r="H50" s="12" t="s">
        <v>266</v>
      </c>
      <c r="I50" s="13">
        <v>1</v>
      </c>
      <c r="J50" s="14">
        <v>30</v>
      </c>
      <c r="K50" s="14">
        <v>30</v>
      </c>
    </row>
    <row r="51" spans="4:11">
      <c r="D51" s="11">
        <v>46084</v>
      </c>
      <c r="E51" s="12">
        <v>1581800</v>
      </c>
      <c r="F51" s="12" t="s">
        <v>256</v>
      </c>
      <c r="G51" s="13">
        <v>20321099</v>
      </c>
      <c r="H51" s="12" t="s">
        <v>265</v>
      </c>
      <c r="I51" s="13">
        <v>1</v>
      </c>
      <c r="J51" s="14">
        <v>154</v>
      </c>
      <c r="K51" s="14">
        <v>154</v>
      </c>
    </row>
    <row r="52" spans="4:11">
      <c r="D52" s="11">
        <v>46084</v>
      </c>
      <c r="E52" s="12">
        <v>1581800</v>
      </c>
      <c r="F52" s="12" t="s">
        <v>256</v>
      </c>
      <c r="G52" s="13">
        <v>20376138</v>
      </c>
      <c r="H52" s="12" t="s">
        <v>268</v>
      </c>
      <c r="I52" s="13">
        <v>1</v>
      </c>
      <c r="J52" s="14">
        <v>154</v>
      </c>
      <c r="K52" s="14">
        <v>154</v>
      </c>
    </row>
    <row r="53" spans="4:11">
      <c r="D53" s="11">
        <v>46084</v>
      </c>
      <c r="E53" s="12">
        <v>1581800</v>
      </c>
      <c r="F53" s="12" t="s">
        <v>116</v>
      </c>
      <c r="G53" s="13">
        <v>20321253</v>
      </c>
      <c r="H53" s="12" t="s">
        <v>271</v>
      </c>
      <c r="I53" s="13">
        <v>1</v>
      </c>
      <c r="J53" s="14">
        <v>35</v>
      </c>
      <c r="K53" s="14">
        <v>35</v>
      </c>
    </row>
    <row r="54" ht="25.5" spans="4:11">
      <c r="D54" s="11">
        <v>46085</v>
      </c>
      <c r="E54" s="12">
        <v>1582056</v>
      </c>
      <c r="F54" s="12" t="s">
        <v>211</v>
      </c>
      <c r="G54" s="13">
        <v>20388378</v>
      </c>
      <c r="H54" s="12" t="s">
        <v>266</v>
      </c>
      <c r="I54" s="13">
        <v>1</v>
      </c>
      <c r="J54" s="14">
        <v>30</v>
      </c>
      <c r="K54" s="14">
        <v>30</v>
      </c>
    </row>
    <row r="55" spans="4:11">
      <c r="D55" s="11">
        <v>46085</v>
      </c>
      <c r="E55" s="12">
        <v>1582112</v>
      </c>
      <c r="F55" s="12" t="s">
        <v>256</v>
      </c>
      <c r="G55" s="13">
        <v>20321749</v>
      </c>
      <c r="H55" s="12" t="s">
        <v>264</v>
      </c>
      <c r="I55" s="13">
        <v>1</v>
      </c>
      <c r="J55" s="14">
        <v>154</v>
      </c>
      <c r="K55" s="14">
        <v>154</v>
      </c>
    </row>
    <row r="56" spans="4:11">
      <c r="D56" s="11">
        <v>46085</v>
      </c>
      <c r="E56" s="12">
        <v>1582112</v>
      </c>
      <c r="F56" s="12" t="s">
        <v>116</v>
      </c>
      <c r="G56" s="13">
        <v>20327473</v>
      </c>
      <c r="H56" s="12" t="s">
        <v>270</v>
      </c>
      <c r="I56" s="13">
        <v>1</v>
      </c>
      <c r="J56" s="14">
        <v>35</v>
      </c>
      <c r="K56" s="14">
        <v>35</v>
      </c>
    </row>
    <row r="57" ht="25.5" spans="4:11">
      <c r="D57" s="11">
        <v>46086</v>
      </c>
      <c r="E57" s="12">
        <v>1582347</v>
      </c>
      <c r="F57" s="12" t="s">
        <v>211</v>
      </c>
      <c r="G57" s="13">
        <v>20388378</v>
      </c>
      <c r="H57" s="12" t="s">
        <v>266</v>
      </c>
      <c r="I57" s="13">
        <v>1</v>
      </c>
      <c r="J57" s="14">
        <v>30</v>
      </c>
      <c r="K57" s="14">
        <v>30</v>
      </c>
    </row>
    <row r="58" spans="4:11">
      <c r="D58" s="11">
        <v>46086</v>
      </c>
      <c r="E58" s="12">
        <v>1582347</v>
      </c>
      <c r="F58" s="12" t="s">
        <v>256</v>
      </c>
      <c r="G58" s="13">
        <v>20321099</v>
      </c>
      <c r="H58" s="12" t="s">
        <v>265</v>
      </c>
      <c r="I58" s="13">
        <v>1</v>
      </c>
      <c r="J58" s="14">
        <v>154</v>
      </c>
      <c r="K58" s="14">
        <v>154</v>
      </c>
    </row>
    <row r="59" spans="4:11">
      <c r="D59" s="11">
        <v>46086</v>
      </c>
      <c r="E59" s="12">
        <v>1582374</v>
      </c>
      <c r="F59" s="12" t="s">
        <v>116</v>
      </c>
      <c r="G59" s="13">
        <v>20327473</v>
      </c>
      <c r="H59" s="12" t="s">
        <v>270</v>
      </c>
      <c r="I59" s="13">
        <v>1</v>
      </c>
      <c r="J59" s="14">
        <v>35</v>
      </c>
      <c r="K59" s="14">
        <v>35</v>
      </c>
    </row>
    <row r="60" spans="4:11">
      <c r="D60" s="11">
        <v>46086</v>
      </c>
      <c r="E60" s="12">
        <v>1582462</v>
      </c>
      <c r="F60" s="12" t="s">
        <v>256</v>
      </c>
      <c r="G60" s="13">
        <v>20321749</v>
      </c>
      <c r="H60" s="12" t="s">
        <v>264</v>
      </c>
      <c r="I60" s="13">
        <v>1</v>
      </c>
      <c r="J60" s="14">
        <v>154</v>
      </c>
      <c r="K60" s="14">
        <v>154</v>
      </c>
    </row>
    <row r="61" spans="4:11">
      <c r="D61" s="11">
        <v>46086</v>
      </c>
      <c r="E61" s="12">
        <v>1582462</v>
      </c>
      <c r="F61" s="12" t="s">
        <v>256</v>
      </c>
      <c r="G61" s="13">
        <v>20376138</v>
      </c>
      <c r="H61" s="12" t="s">
        <v>268</v>
      </c>
      <c r="I61" s="13">
        <v>1</v>
      </c>
      <c r="J61" s="14">
        <v>154</v>
      </c>
      <c r="K61" s="14">
        <v>154</v>
      </c>
    </row>
    <row r="62" spans="4:11">
      <c r="D62" s="11">
        <v>46087</v>
      </c>
      <c r="E62" s="12">
        <v>1582646</v>
      </c>
      <c r="F62" s="12" t="s">
        <v>256</v>
      </c>
      <c r="G62" s="13">
        <v>20321099</v>
      </c>
      <c r="H62" s="12" t="s">
        <v>265</v>
      </c>
      <c r="I62" s="13">
        <v>1</v>
      </c>
      <c r="J62" s="14">
        <v>154</v>
      </c>
      <c r="K62" s="14">
        <v>154</v>
      </c>
    </row>
    <row r="63" spans="4:11">
      <c r="D63" s="11">
        <v>46087</v>
      </c>
      <c r="E63" s="12">
        <v>1582810</v>
      </c>
      <c r="F63" s="12" t="s">
        <v>211</v>
      </c>
      <c r="G63" s="13">
        <v>20321082</v>
      </c>
      <c r="H63" s="12" t="s">
        <v>272</v>
      </c>
      <c r="I63" s="13">
        <v>1</v>
      </c>
      <c r="J63" s="14">
        <v>30</v>
      </c>
      <c r="K63" s="14">
        <v>30</v>
      </c>
    </row>
    <row r="64" ht="25.5" spans="4:11">
      <c r="D64" s="11">
        <v>46088</v>
      </c>
      <c r="E64" s="12">
        <v>1583012</v>
      </c>
      <c r="F64" s="12" t="s">
        <v>211</v>
      </c>
      <c r="G64" s="13">
        <v>20388378</v>
      </c>
      <c r="H64" s="12" t="s">
        <v>266</v>
      </c>
      <c r="I64" s="13">
        <v>1</v>
      </c>
      <c r="J64" s="14">
        <v>30</v>
      </c>
      <c r="K64" s="14">
        <v>30</v>
      </c>
    </row>
    <row r="65" spans="4:11">
      <c r="D65" s="11">
        <v>46088</v>
      </c>
      <c r="E65" s="12">
        <v>1583012</v>
      </c>
      <c r="F65" s="12" t="s">
        <v>256</v>
      </c>
      <c r="G65" s="13">
        <v>20321099</v>
      </c>
      <c r="H65" s="12" t="s">
        <v>265</v>
      </c>
      <c r="I65" s="13">
        <v>1</v>
      </c>
      <c r="J65" s="14">
        <v>154</v>
      </c>
      <c r="K65" s="14">
        <v>154</v>
      </c>
    </row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K24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customHeight="1" spans="1:11">
      <c r="D8" s="19" t="s">
        <v>273</v>
      </c>
      <c r="E8" s="8"/>
      <c r="F8" s="8"/>
      <c r="G8" s="8"/>
      <c r="H8" s="8"/>
      <c r="I8" s="9">
        <f>SUM(I9:I24)</f>
        <v>16</v>
      </c>
      <c r="J8" s="10"/>
      <c r="K8" s="10">
        <f>SUM(K9:K24)</f>
        <v>2464</v>
      </c>
    </row>
    <row r="9" customFormat="1" ht="14.25" customHeight="1" spans="1:11">
      <c r="D9" s="11">
        <v>46062</v>
      </c>
      <c r="E9" s="12">
        <v>1577305</v>
      </c>
      <c r="F9" s="12" t="s">
        <v>256</v>
      </c>
      <c r="G9" s="13">
        <v>20376138</v>
      </c>
      <c r="H9" s="12" t="s">
        <v>268</v>
      </c>
      <c r="I9" s="13">
        <v>1</v>
      </c>
      <c r="J9" s="14">
        <v>154</v>
      </c>
      <c r="K9" s="14">
        <v>154</v>
      </c>
    </row>
    <row r="10" customFormat="1" ht="14.25" customHeight="1" spans="1:11">
      <c r="D10" s="11">
        <v>46063</v>
      </c>
      <c r="E10" s="12">
        <v>1577740</v>
      </c>
      <c r="F10" s="12" t="s">
        <v>256</v>
      </c>
      <c r="G10" s="13">
        <v>20376138</v>
      </c>
      <c r="H10" s="12" t="s">
        <v>268</v>
      </c>
      <c r="I10" s="13">
        <v>1</v>
      </c>
      <c r="J10" s="14">
        <v>154</v>
      </c>
      <c r="K10" s="14">
        <v>154</v>
      </c>
    </row>
    <row r="11" customFormat="1" ht="14.25" customHeight="1" spans="1:11">
      <c r="D11" s="11">
        <v>46065</v>
      </c>
      <c r="E11" s="12">
        <v>1578275</v>
      </c>
      <c r="F11" s="12" t="s">
        <v>256</v>
      </c>
      <c r="G11" s="13">
        <v>20321099</v>
      </c>
      <c r="H11" s="12" t="s">
        <v>265</v>
      </c>
      <c r="I11" s="13">
        <v>1</v>
      </c>
      <c r="J11" s="14">
        <v>154</v>
      </c>
      <c r="K11" s="14">
        <v>154</v>
      </c>
    </row>
    <row r="12" customFormat="1" ht="14.25" customHeight="1" spans="1:11">
      <c r="D12" s="11">
        <v>46067</v>
      </c>
      <c r="E12" s="12">
        <v>1578973</v>
      </c>
      <c r="F12" s="12" t="s">
        <v>256</v>
      </c>
      <c r="G12" s="13">
        <v>20376138</v>
      </c>
      <c r="H12" s="12" t="s">
        <v>268</v>
      </c>
      <c r="I12" s="13">
        <v>1</v>
      </c>
      <c r="J12" s="14">
        <v>154</v>
      </c>
      <c r="K12" s="14">
        <v>154</v>
      </c>
    </row>
    <row r="13" customFormat="1" ht="14.25" customHeight="1" spans="1:11">
      <c r="D13" s="11">
        <v>46071</v>
      </c>
      <c r="E13" s="12">
        <v>1579193</v>
      </c>
      <c r="F13" s="12" t="s">
        <v>256</v>
      </c>
      <c r="G13" s="13">
        <v>20321749</v>
      </c>
      <c r="H13" s="12" t="s">
        <v>264</v>
      </c>
      <c r="I13" s="13">
        <v>1</v>
      </c>
      <c r="J13" s="14">
        <v>154</v>
      </c>
      <c r="K13" s="14">
        <v>154</v>
      </c>
    </row>
    <row r="14" customFormat="1" ht="14.25" customHeight="1" spans="1:11">
      <c r="D14" s="11">
        <v>46073</v>
      </c>
      <c r="E14" s="12">
        <v>1579306</v>
      </c>
      <c r="F14" s="12" t="s">
        <v>256</v>
      </c>
      <c r="G14" s="13">
        <v>20321749</v>
      </c>
      <c r="H14" s="12" t="s">
        <v>264</v>
      </c>
      <c r="I14" s="13">
        <v>1</v>
      </c>
      <c r="J14" s="14">
        <v>154</v>
      </c>
      <c r="K14" s="14">
        <v>154</v>
      </c>
    </row>
    <row r="15" customFormat="1" ht="14.25" customHeight="1" spans="1:11">
      <c r="D15" s="11">
        <v>46076</v>
      </c>
      <c r="E15" s="12">
        <v>1579486</v>
      </c>
      <c r="F15" s="12" t="s">
        <v>256</v>
      </c>
      <c r="G15" s="13">
        <v>20321749</v>
      </c>
      <c r="H15" s="12" t="s">
        <v>264</v>
      </c>
      <c r="I15" s="13">
        <v>1</v>
      </c>
      <c r="J15" s="14">
        <v>154</v>
      </c>
      <c r="K15" s="14">
        <v>154</v>
      </c>
    </row>
    <row r="16" customFormat="1" ht="14.25" customHeight="1" spans="1:11">
      <c r="D16" s="11">
        <v>46076</v>
      </c>
      <c r="E16" s="12">
        <v>1579486</v>
      </c>
      <c r="F16" s="12" t="s">
        <v>256</v>
      </c>
      <c r="G16" s="13">
        <v>20376138</v>
      </c>
      <c r="H16" s="12" t="s">
        <v>268</v>
      </c>
      <c r="I16" s="13">
        <v>1</v>
      </c>
      <c r="J16" s="14">
        <v>154</v>
      </c>
      <c r="K16" s="14">
        <v>154</v>
      </c>
    </row>
    <row r="17" customFormat="1" ht="14.25" customHeight="1" spans="4:11">
      <c r="D17" s="11">
        <v>46080</v>
      </c>
      <c r="E17" s="12">
        <v>1580613</v>
      </c>
      <c r="F17" s="12" t="s">
        <v>256</v>
      </c>
      <c r="G17" s="13">
        <v>20321749</v>
      </c>
      <c r="H17" s="12" t="s">
        <v>264</v>
      </c>
      <c r="I17" s="13">
        <v>1</v>
      </c>
      <c r="J17" s="14">
        <v>154</v>
      </c>
      <c r="K17" s="14">
        <v>154</v>
      </c>
    </row>
    <row r="18" customFormat="1" ht="14.25" customHeight="1" spans="4:11">
      <c r="D18" s="11">
        <v>46081</v>
      </c>
      <c r="E18" s="12">
        <v>1581026</v>
      </c>
      <c r="F18" s="12" t="s">
        <v>256</v>
      </c>
      <c r="G18" s="13">
        <v>20321099</v>
      </c>
      <c r="H18" s="12" t="s">
        <v>265</v>
      </c>
      <c r="I18" s="13">
        <v>1</v>
      </c>
      <c r="J18" s="14">
        <v>154</v>
      </c>
      <c r="K18" s="14">
        <v>154</v>
      </c>
    </row>
    <row r="19" spans="4:11">
      <c r="D19" s="11">
        <v>46083</v>
      </c>
      <c r="E19" s="12">
        <v>1581404</v>
      </c>
      <c r="F19" s="12" t="s">
        <v>256</v>
      </c>
      <c r="G19" s="13">
        <v>20376138</v>
      </c>
      <c r="H19" s="12" t="s">
        <v>268</v>
      </c>
      <c r="I19" s="13">
        <v>1</v>
      </c>
      <c r="J19" s="14">
        <v>154</v>
      </c>
      <c r="K19" s="14">
        <v>154</v>
      </c>
    </row>
    <row r="20" spans="4:11">
      <c r="D20" s="11">
        <v>46084</v>
      </c>
      <c r="E20" s="12">
        <v>1581695</v>
      </c>
      <c r="F20" s="12" t="s">
        <v>256</v>
      </c>
      <c r="G20" s="13">
        <v>20321749</v>
      </c>
      <c r="H20" s="12" t="s">
        <v>264</v>
      </c>
      <c r="I20" s="13">
        <v>1</v>
      </c>
      <c r="J20" s="14">
        <v>154</v>
      </c>
      <c r="K20" s="14">
        <v>154</v>
      </c>
    </row>
    <row r="21" spans="4:11">
      <c r="D21" s="11">
        <v>46084</v>
      </c>
      <c r="E21" s="12">
        <v>1581800</v>
      </c>
      <c r="F21" s="12" t="s">
        <v>256</v>
      </c>
      <c r="G21" s="13">
        <v>20321749</v>
      </c>
      <c r="H21" s="12" t="s">
        <v>264</v>
      </c>
      <c r="I21" s="13">
        <v>1</v>
      </c>
      <c r="J21" s="14">
        <v>154</v>
      </c>
      <c r="K21" s="14">
        <v>154</v>
      </c>
    </row>
    <row r="22" spans="4:11">
      <c r="D22" s="11">
        <v>46085</v>
      </c>
      <c r="E22" s="12">
        <v>1581942</v>
      </c>
      <c r="F22" s="12" t="s">
        <v>256</v>
      </c>
      <c r="G22" s="13">
        <v>20376138</v>
      </c>
      <c r="H22" s="12" t="s">
        <v>268</v>
      </c>
      <c r="I22" s="13">
        <v>1</v>
      </c>
      <c r="J22" s="14">
        <v>154</v>
      </c>
      <c r="K22" s="14">
        <v>154</v>
      </c>
    </row>
    <row r="23" spans="4:11">
      <c r="D23" s="11">
        <v>46087</v>
      </c>
      <c r="E23" s="12">
        <v>1582745</v>
      </c>
      <c r="F23" s="12" t="s">
        <v>256</v>
      </c>
      <c r="G23" s="13">
        <v>20376138</v>
      </c>
      <c r="H23" s="12" t="s">
        <v>268</v>
      </c>
      <c r="I23" s="13">
        <v>1</v>
      </c>
      <c r="J23" s="14">
        <v>154</v>
      </c>
      <c r="K23" s="14">
        <v>154</v>
      </c>
    </row>
    <row r="24" spans="4:11">
      <c r="D24" s="11">
        <v>46087</v>
      </c>
      <c r="E24" s="12">
        <v>1582810</v>
      </c>
      <c r="F24" s="12" t="s">
        <v>256</v>
      </c>
      <c r="G24" s="13">
        <v>20321749</v>
      </c>
      <c r="H24" s="12" t="s">
        <v>264</v>
      </c>
      <c r="I24" s="13">
        <v>1</v>
      </c>
      <c r="J24" s="14">
        <v>154</v>
      </c>
      <c r="K24" s="14">
        <v>154</v>
      </c>
    </row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K18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customHeight="1" spans="1:11">
      <c r="D8" s="19" t="s">
        <v>99</v>
      </c>
      <c r="E8" s="8"/>
      <c r="F8" s="8"/>
      <c r="G8" s="8"/>
      <c r="H8" s="8"/>
      <c r="I8" s="9">
        <f>SUM(I9:I15)</f>
        <v>7</v>
      </c>
      <c r="J8" s="10"/>
      <c r="K8" s="10">
        <f>SUM(K9:K15)</f>
        <v>817</v>
      </c>
    </row>
    <row r="9" customFormat="1" ht="14.25" customHeight="1" spans="1:11">
      <c r="D9" s="11">
        <v>46063</v>
      </c>
      <c r="E9" s="12">
        <v>1577600</v>
      </c>
      <c r="F9" s="12" t="s">
        <v>256</v>
      </c>
      <c r="G9" s="13">
        <v>20321070</v>
      </c>
      <c r="H9" s="12" t="s">
        <v>257</v>
      </c>
      <c r="I9" s="13">
        <v>1</v>
      </c>
      <c r="J9" s="14">
        <v>132</v>
      </c>
      <c r="K9" s="14">
        <v>132</v>
      </c>
    </row>
    <row r="10" customFormat="1" ht="14.25" customHeight="1" spans="1:11">
      <c r="D10" s="11">
        <v>46069</v>
      </c>
      <c r="E10" s="12">
        <v>1579109</v>
      </c>
      <c r="F10" s="12" t="s">
        <v>256</v>
      </c>
      <c r="G10" s="13">
        <v>20321098</v>
      </c>
      <c r="H10" s="12" t="s">
        <v>258</v>
      </c>
      <c r="I10" s="13">
        <v>1</v>
      </c>
      <c r="J10" s="14">
        <v>132</v>
      </c>
      <c r="K10" s="14">
        <v>132</v>
      </c>
    </row>
    <row r="11" customFormat="1" ht="14.25" customHeight="1" spans="1:11">
      <c r="D11" s="11">
        <v>46077</v>
      </c>
      <c r="E11" s="12">
        <v>1579579</v>
      </c>
      <c r="F11" s="12" t="s">
        <v>256</v>
      </c>
      <c r="G11" s="13">
        <v>20321069</v>
      </c>
      <c r="H11" s="12" t="s">
        <v>259</v>
      </c>
      <c r="I11" s="13">
        <v>1</v>
      </c>
      <c r="J11" s="14">
        <v>132</v>
      </c>
      <c r="K11" s="14">
        <v>132</v>
      </c>
    </row>
    <row r="12" customFormat="1" ht="14.25" customHeight="1" spans="1:11">
      <c r="D12" s="11">
        <v>46077</v>
      </c>
      <c r="E12" s="12">
        <v>1579723</v>
      </c>
      <c r="F12" s="12" t="s">
        <v>256</v>
      </c>
      <c r="G12" s="13">
        <v>20321070</v>
      </c>
      <c r="H12" s="12" t="s">
        <v>257</v>
      </c>
      <c r="I12" s="13">
        <v>1</v>
      </c>
      <c r="J12" s="14">
        <v>132</v>
      </c>
      <c r="K12" s="14">
        <v>132</v>
      </c>
    </row>
    <row r="13" customFormat="1" ht="14.25" customHeight="1" spans="1:11">
      <c r="D13" s="11">
        <v>46083</v>
      </c>
      <c r="E13" s="12">
        <v>1581404</v>
      </c>
      <c r="F13" s="12" t="s">
        <v>211</v>
      </c>
      <c r="G13" s="13">
        <v>20371830</v>
      </c>
      <c r="H13" s="12" t="s">
        <v>274</v>
      </c>
      <c r="I13" s="13">
        <v>1</v>
      </c>
      <c r="J13" s="14">
        <v>25</v>
      </c>
      <c r="K13" s="14">
        <v>25</v>
      </c>
    </row>
    <row r="14" customFormat="1" ht="14.25" customHeight="1" spans="1:11">
      <c r="D14" s="11">
        <v>46084</v>
      </c>
      <c r="E14" s="12">
        <v>1581800</v>
      </c>
      <c r="F14" s="12" t="s">
        <v>256</v>
      </c>
      <c r="G14" s="13">
        <v>20321069</v>
      </c>
      <c r="H14" s="12" t="s">
        <v>259</v>
      </c>
      <c r="I14" s="13">
        <v>1</v>
      </c>
      <c r="J14" s="14">
        <v>132</v>
      </c>
      <c r="K14" s="14">
        <v>132</v>
      </c>
    </row>
    <row r="15" customFormat="1" ht="14.25" customHeight="1" spans="1:11">
      <c r="D15" s="11">
        <v>46084</v>
      </c>
      <c r="E15" s="12">
        <v>1581800</v>
      </c>
      <c r="F15" s="12" t="s">
        <v>256</v>
      </c>
      <c r="G15" s="13">
        <v>20321070</v>
      </c>
      <c r="H15" s="12" t="s">
        <v>257</v>
      </c>
      <c r="I15" s="13">
        <v>1</v>
      </c>
      <c r="J15" s="14">
        <v>132</v>
      </c>
      <c r="K15" s="14">
        <v>132</v>
      </c>
    </row>
    <row r="16" customFormat="1" ht="14.25" customHeight="1"/>
    <row r="17" customFormat="1" ht="14.25" customHeight="1"/>
    <row r="18" customFormat="1" ht="14.25" customHeight="1"/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K66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customHeight="1" spans="1:11">
      <c r="D8" s="19" t="s">
        <v>242</v>
      </c>
      <c r="E8" s="8"/>
      <c r="F8" s="8"/>
      <c r="G8" s="8"/>
      <c r="H8" s="8"/>
      <c r="I8" s="9">
        <f>SUM(I9:I66)</f>
        <v>58</v>
      </c>
      <c r="J8" s="10"/>
      <c r="K8" s="10">
        <f>SUM(K9:K66)</f>
        <v>2889</v>
      </c>
    </row>
    <row r="9" customFormat="1" ht="14.25" customHeight="1" spans="1:11">
      <c r="D9" s="11">
        <v>46062</v>
      </c>
      <c r="E9" s="12">
        <v>1577418</v>
      </c>
      <c r="F9" s="12" t="s">
        <v>256</v>
      </c>
      <c r="G9" s="13">
        <v>20321069</v>
      </c>
      <c r="H9" s="12" t="s">
        <v>259</v>
      </c>
      <c r="I9" s="13">
        <v>1</v>
      </c>
      <c r="J9" s="14">
        <v>132</v>
      </c>
      <c r="K9" s="14">
        <v>132</v>
      </c>
    </row>
    <row r="10" customFormat="1" ht="14.25" customHeight="1" spans="1:11">
      <c r="D10" s="11">
        <v>46063</v>
      </c>
      <c r="E10" s="12">
        <v>1577680</v>
      </c>
      <c r="F10" s="12" t="s">
        <v>211</v>
      </c>
      <c r="G10" s="13">
        <v>20377109</v>
      </c>
      <c r="H10" s="12" t="s">
        <v>275</v>
      </c>
      <c r="I10" s="13">
        <v>1</v>
      </c>
      <c r="J10" s="14">
        <v>30</v>
      </c>
      <c r="K10" s="14">
        <v>30</v>
      </c>
    </row>
    <row r="11" customFormat="1" ht="14.25" customHeight="1" spans="1:11">
      <c r="D11" s="11">
        <v>46063</v>
      </c>
      <c r="E11" s="12">
        <v>1577680</v>
      </c>
      <c r="F11" s="12" t="s">
        <v>256</v>
      </c>
      <c r="G11" s="13">
        <v>20409857</v>
      </c>
      <c r="H11" s="12" t="s">
        <v>276</v>
      </c>
      <c r="I11" s="13">
        <v>1</v>
      </c>
      <c r="J11" s="14">
        <v>66</v>
      </c>
      <c r="K11" s="14">
        <v>66</v>
      </c>
    </row>
    <row r="12" customFormat="1" ht="14.25" customHeight="1" spans="1:11">
      <c r="D12" s="11">
        <v>46063</v>
      </c>
      <c r="E12" s="12">
        <v>1577680</v>
      </c>
      <c r="F12" s="12" t="s">
        <v>116</v>
      </c>
      <c r="G12" s="13">
        <v>20329109</v>
      </c>
      <c r="H12" s="12" t="s">
        <v>277</v>
      </c>
      <c r="I12" s="13">
        <v>1</v>
      </c>
      <c r="J12" s="14">
        <v>35</v>
      </c>
      <c r="K12" s="14">
        <v>35</v>
      </c>
    </row>
    <row r="13" customFormat="1" ht="14.25" customHeight="1" spans="1:11">
      <c r="D13" s="11">
        <v>46066</v>
      </c>
      <c r="E13" s="12">
        <v>1578608</v>
      </c>
      <c r="F13" s="12" t="s">
        <v>211</v>
      </c>
      <c r="G13" s="13">
        <v>20377109</v>
      </c>
      <c r="H13" s="12" t="s">
        <v>275</v>
      </c>
      <c r="I13" s="13">
        <v>1</v>
      </c>
      <c r="J13" s="14">
        <v>30</v>
      </c>
      <c r="K13" s="14">
        <v>30</v>
      </c>
    </row>
    <row r="14" customFormat="1" ht="14.25" customHeight="1" spans="1:11">
      <c r="D14" s="11">
        <v>46066</v>
      </c>
      <c r="E14" s="12">
        <v>1578608</v>
      </c>
      <c r="F14" s="12" t="s">
        <v>116</v>
      </c>
      <c r="G14" s="13">
        <v>20409994</v>
      </c>
      <c r="H14" s="12" t="s">
        <v>278</v>
      </c>
      <c r="I14" s="13">
        <v>1</v>
      </c>
      <c r="J14" s="14">
        <v>66</v>
      </c>
      <c r="K14" s="14">
        <v>66</v>
      </c>
    </row>
    <row r="15" customFormat="1" ht="14.25" customHeight="1" spans="1:11">
      <c r="D15" s="11">
        <v>46066</v>
      </c>
      <c r="E15" s="12">
        <v>1578608</v>
      </c>
      <c r="F15" s="12" t="s">
        <v>116</v>
      </c>
      <c r="G15" s="13">
        <v>20329023</v>
      </c>
      <c r="H15" s="12" t="s">
        <v>279</v>
      </c>
      <c r="I15" s="13">
        <v>1</v>
      </c>
      <c r="J15" s="14">
        <v>35</v>
      </c>
      <c r="K15" s="14">
        <v>35</v>
      </c>
    </row>
    <row r="16" customFormat="1" ht="14.25" customHeight="1" spans="1:11">
      <c r="D16" s="11">
        <v>46077</v>
      </c>
      <c r="E16" s="12">
        <v>1579723</v>
      </c>
      <c r="F16" s="12" t="s">
        <v>211</v>
      </c>
      <c r="G16" s="13">
        <v>20321077</v>
      </c>
      <c r="H16" s="12" t="s">
        <v>280</v>
      </c>
      <c r="I16" s="13">
        <v>1</v>
      </c>
      <c r="J16" s="14">
        <v>44</v>
      </c>
      <c r="K16" s="14">
        <v>44</v>
      </c>
    </row>
    <row r="17" customFormat="1" ht="14.25" customHeight="1" spans="4:11">
      <c r="D17" s="11">
        <v>46077</v>
      </c>
      <c r="E17" s="12">
        <v>1579723</v>
      </c>
      <c r="F17" s="12" t="s">
        <v>256</v>
      </c>
      <c r="G17" s="13">
        <v>20409857</v>
      </c>
      <c r="H17" s="12" t="s">
        <v>276</v>
      </c>
      <c r="I17" s="13">
        <v>1</v>
      </c>
      <c r="J17" s="14">
        <v>66</v>
      </c>
      <c r="K17" s="14">
        <v>66</v>
      </c>
    </row>
    <row r="18" customFormat="1" ht="14.25" customHeight="1" spans="4:11">
      <c r="D18" s="11">
        <v>46077</v>
      </c>
      <c r="E18" s="12">
        <v>1579723</v>
      </c>
      <c r="F18" s="12" t="s">
        <v>116</v>
      </c>
      <c r="G18" s="13">
        <v>20329023</v>
      </c>
      <c r="H18" s="12" t="s">
        <v>279</v>
      </c>
      <c r="I18" s="13">
        <v>1</v>
      </c>
      <c r="J18" s="14">
        <v>35</v>
      </c>
      <c r="K18" s="14">
        <v>35</v>
      </c>
    </row>
    <row r="19" spans="4:11">
      <c r="D19" s="11">
        <v>46078</v>
      </c>
      <c r="E19" s="12">
        <v>1580036</v>
      </c>
      <c r="F19" s="12" t="s">
        <v>211</v>
      </c>
      <c r="G19" s="13">
        <v>20391189</v>
      </c>
      <c r="H19" s="12" t="s">
        <v>281</v>
      </c>
      <c r="I19" s="13">
        <v>1</v>
      </c>
      <c r="J19" s="14">
        <v>30</v>
      </c>
      <c r="K19" s="14">
        <v>30</v>
      </c>
    </row>
    <row r="20" spans="4:11">
      <c r="D20" s="11">
        <v>46078</v>
      </c>
      <c r="E20" s="12">
        <v>1580036</v>
      </c>
      <c r="F20" s="12" t="s">
        <v>116</v>
      </c>
      <c r="G20" s="13">
        <v>20410069</v>
      </c>
      <c r="H20" s="12" t="s">
        <v>282</v>
      </c>
      <c r="I20" s="13">
        <v>1</v>
      </c>
      <c r="J20" s="14">
        <v>66</v>
      </c>
      <c r="K20" s="14">
        <v>66</v>
      </c>
    </row>
    <row r="21" spans="4:11">
      <c r="D21" s="11">
        <v>46078</v>
      </c>
      <c r="E21" s="12">
        <v>1580036</v>
      </c>
      <c r="F21" s="12" t="s">
        <v>116</v>
      </c>
      <c r="G21" s="13">
        <v>20366044</v>
      </c>
      <c r="H21" s="12" t="s">
        <v>269</v>
      </c>
      <c r="I21" s="13">
        <v>1</v>
      </c>
      <c r="J21" s="14">
        <v>35</v>
      </c>
      <c r="K21" s="14">
        <v>35</v>
      </c>
    </row>
    <row r="22" spans="4:11">
      <c r="D22" s="11">
        <v>46079</v>
      </c>
      <c r="E22" s="12">
        <v>1580440</v>
      </c>
      <c r="F22" s="12" t="s">
        <v>211</v>
      </c>
      <c r="G22" s="13">
        <v>20325053</v>
      </c>
      <c r="H22" s="12" t="s">
        <v>283</v>
      </c>
      <c r="I22" s="13">
        <v>1</v>
      </c>
      <c r="J22" s="14">
        <v>35</v>
      </c>
      <c r="K22" s="14">
        <v>35</v>
      </c>
    </row>
    <row r="23" spans="4:11">
      <c r="D23" s="11">
        <v>46079</v>
      </c>
      <c r="E23" s="12">
        <v>1580440</v>
      </c>
      <c r="F23" s="12" t="s">
        <v>211</v>
      </c>
      <c r="G23" s="13">
        <v>20321812</v>
      </c>
      <c r="H23" s="12" t="s">
        <v>284</v>
      </c>
      <c r="I23" s="13">
        <v>1</v>
      </c>
      <c r="J23" s="14">
        <v>30</v>
      </c>
      <c r="K23" s="14">
        <v>30</v>
      </c>
    </row>
    <row r="24" spans="4:11">
      <c r="D24" s="11">
        <v>46079</v>
      </c>
      <c r="E24" s="12">
        <v>1580440</v>
      </c>
      <c r="F24" s="12" t="s">
        <v>256</v>
      </c>
      <c r="G24" s="13">
        <v>20321069</v>
      </c>
      <c r="H24" s="12" t="s">
        <v>259</v>
      </c>
      <c r="I24" s="13">
        <v>1</v>
      </c>
      <c r="J24" s="14">
        <v>132</v>
      </c>
      <c r="K24" s="14">
        <v>132</v>
      </c>
    </row>
    <row r="25" spans="4:11">
      <c r="D25" s="11">
        <v>46079</v>
      </c>
      <c r="E25" s="12">
        <v>1580440</v>
      </c>
      <c r="F25" s="12" t="s">
        <v>256</v>
      </c>
      <c r="G25" s="13">
        <v>20411026</v>
      </c>
      <c r="H25" s="12" t="s">
        <v>285</v>
      </c>
      <c r="I25" s="13">
        <v>1</v>
      </c>
      <c r="J25" s="14">
        <v>66</v>
      </c>
      <c r="K25" s="14">
        <v>66</v>
      </c>
    </row>
    <row r="26" spans="4:11">
      <c r="D26" s="11">
        <v>46079</v>
      </c>
      <c r="E26" s="12">
        <v>1580440</v>
      </c>
      <c r="F26" s="12" t="s">
        <v>116</v>
      </c>
      <c r="G26" s="13">
        <v>20409995</v>
      </c>
      <c r="H26" s="12" t="s">
        <v>286</v>
      </c>
      <c r="I26" s="13">
        <v>1</v>
      </c>
      <c r="J26" s="14">
        <v>66</v>
      </c>
      <c r="K26" s="14">
        <v>66</v>
      </c>
    </row>
    <row r="27" spans="4:11">
      <c r="D27" s="11">
        <v>46079</v>
      </c>
      <c r="E27" s="12">
        <v>1580440</v>
      </c>
      <c r="F27" s="12" t="s">
        <v>116</v>
      </c>
      <c r="G27" s="13">
        <v>20329109</v>
      </c>
      <c r="H27" s="12" t="s">
        <v>277</v>
      </c>
      <c r="I27" s="13">
        <v>1</v>
      </c>
      <c r="J27" s="14">
        <v>35</v>
      </c>
      <c r="K27" s="14">
        <v>35</v>
      </c>
    </row>
    <row r="28" spans="4:11">
      <c r="D28" s="11">
        <v>46080</v>
      </c>
      <c r="E28" s="12">
        <v>1580602</v>
      </c>
      <c r="F28" s="12" t="s">
        <v>211</v>
      </c>
      <c r="G28" s="13">
        <v>20321255</v>
      </c>
      <c r="H28" s="12" t="s">
        <v>287</v>
      </c>
      <c r="I28" s="13">
        <v>1</v>
      </c>
      <c r="J28" s="14">
        <v>30</v>
      </c>
      <c r="K28" s="14">
        <v>30</v>
      </c>
    </row>
    <row r="29" ht="25.5" spans="4:11">
      <c r="D29" s="11">
        <v>46080</v>
      </c>
      <c r="E29" s="12">
        <v>1580602</v>
      </c>
      <c r="F29" s="12" t="s">
        <v>256</v>
      </c>
      <c r="G29" s="13">
        <v>20409857</v>
      </c>
      <c r="H29" s="12" t="s">
        <v>276</v>
      </c>
      <c r="I29" s="13">
        <v>1</v>
      </c>
      <c r="J29" s="14">
        <v>66</v>
      </c>
      <c r="K29" s="14">
        <v>66</v>
      </c>
    </row>
    <row r="30" spans="4:11">
      <c r="D30" s="11">
        <v>46080</v>
      </c>
      <c r="E30" s="12">
        <v>1580602</v>
      </c>
      <c r="F30" s="12" t="s">
        <v>116</v>
      </c>
      <c r="G30" s="13">
        <v>20329220</v>
      </c>
      <c r="H30" s="12" t="s">
        <v>288</v>
      </c>
      <c r="I30" s="13">
        <v>1</v>
      </c>
      <c r="J30" s="14">
        <v>35</v>
      </c>
      <c r="K30" s="14">
        <v>35</v>
      </c>
    </row>
    <row r="31" spans="4:11">
      <c r="D31" s="11">
        <v>46080</v>
      </c>
      <c r="E31" s="12">
        <v>1580602</v>
      </c>
      <c r="F31" s="12" t="s">
        <v>116</v>
      </c>
      <c r="G31" s="13">
        <v>20329023</v>
      </c>
      <c r="H31" s="12" t="s">
        <v>279</v>
      </c>
      <c r="I31" s="13">
        <v>1</v>
      </c>
      <c r="J31" s="14">
        <v>35</v>
      </c>
      <c r="K31" s="14">
        <v>35</v>
      </c>
    </row>
    <row r="32" spans="4:11">
      <c r="D32" s="11">
        <v>46080</v>
      </c>
      <c r="E32" s="12">
        <v>1580613</v>
      </c>
      <c r="F32" s="12" t="s">
        <v>211</v>
      </c>
      <c r="G32" s="13">
        <v>20391188</v>
      </c>
      <c r="H32" s="12" t="s">
        <v>289</v>
      </c>
      <c r="I32" s="13">
        <v>1</v>
      </c>
      <c r="J32" s="14">
        <v>30</v>
      </c>
      <c r="K32" s="14">
        <v>30</v>
      </c>
    </row>
    <row r="33" spans="4:11">
      <c r="D33" s="11">
        <v>46080</v>
      </c>
      <c r="E33" s="12">
        <v>1580613</v>
      </c>
      <c r="F33" s="12" t="s">
        <v>256</v>
      </c>
      <c r="G33" s="13">
        <v>20410241</v>
      </c>
      <c r="H33" s="12" t="s">
        <v>290</v>
      </c>
      <c r="I33" s="13">
        <v>1</v>
      </c>
      <c r="J33" s="14">
        <v>35</v>
      </c>
      <c r="K33" s="14">
        <v>35</v>
      </c>
    </row>
    <row r="34" spans="4:11">
      <c r="D34" s="11">
        <v>46080</v>
      </c>
      <c r="E34" s="12">
        <v>1580613</v>
      </c>
      <c r="F34" s="12" t="s">
        <v>116</v>
      </c>
      <c r="G34" s="13">
        <v>20409994</v>
      </c>
      <c r="H34" s="12" t="s">
        <v>278</v>
      </c>
      <c r="I34" s="13">
        <v>1</v>
      </c>
      <c r="J34" s="14">
        <v>66</v>
      </c>
      <c r="K34" s="14">
        <v>66</v>
      </c>
    </row>
    <row r="35" spans="4:11">
      <c r="D35" s="11">
        <v>46080</v>
      </c>
      <c r="E35" s="12">
        <v>1580768</v>
      </c>
      <c r="F35" s="12" t="s">
        <v>211</v>
      </c>
      <c r="G35" s="13">
        <v>20325053</v>
      </c>
      <c r="H35" s="12" t="s">
        <v>283</v>
      </c>
      <c r="I35" s="13">
        <v>1</v>
      </c>
      <c r="J35" s="14">
        <v>35</v>
      </c>
      <c r="K35" s="14">
        <v>35</v>
      </c>
    </row>
    <row r="36" spans="4:11">
      <c r="D36" s="11">
        <v>46080</v>
      </c>
      <c r="E36" s="12">
        <v>1580768</v>
      </c>
      <c r="F36" s="12" t="s">
        <v>116</v>
      </c>
      <c r="G36" s="13">
        <v>20410069</v>
      </c>
      <c r="H36" s="12" t="s">
        <v>282</v>
      </c>
      <c r="I36" s="13">
        <v>1</v>
      </c>
      <c r="J36" s="14">
        <v>66</v>
      </c>
      <c r="K36" s="14">
        <v>66</v>
      </c>
    </row>
    <row r="37" spans="4:11">
      <c r="D37" s="11">
        <v>46080</v>
      </c>
      <c r="E37" s="12">
        <v>1580768</v>
      </c>
      <c r="F37" s="12" t="s">
        <v>116</v>
      </c>
      <c r="G37" s="13">
        <v>20410297</v>
      </c>
      <c r="H37" s="12" t="s">
        <v>291</v>
      </c>
      <c r="I37" s="13">
        <v>1</v>
      </c>
      <c r="J37" s="20">
        <v>35</v>
      </c>
      <c r="K37" s="14">
        <v>35</v>
      </c>
    </row>
    <row r="38" spans="4:11">
      <c r="D38" s="11">
        <v>46080</v>
      </c>
      <c r="E38" s="12">
        <v>1580774</v>
      </c>
      <c r="F38" s="12" t="s">
        <v>211</v>
      </c>
      <c r="G38" s="13">
        <v>20408954</v>
      </c>
      <c r="H38" s="12" t="s">
        <v>292</v>
      </c>
      <c r="I38" s="13">
        <v>1</v>
      </c>
      <c r="J38" s="20">
        <v>35</v>
      </c>
      <c r="K38" s="14">
        <v>35</v>
      </c>
    </row>
    <row r="39" spans="4:11">
      <c r="D39" s="11">
        <v>46080</v>
      </c>
      <c r="E39" s="12">
        <v>1580774</v>
      </c>
      <c r="F39" s="12" t="s">
        <v>211</v>
      </c>
      <c r="G39" s="13">
        <v>20331088</v>
      </c>
      <c r="H39" s="12" t="s">
        <v>293</v>
      </c>
      <c r="I39" s="13">
        <v>1</v>
      </c>
      <c r="J39" s="14">
        <v>30</v>
      </c>
      <c r="K39" s="14">
        <v>30</v>
      </c>
    </row>
    <row r="40" spans="4:11">
      <c r="D40" s="11">
        <v>46080</v>
      </c>
      <c r="E40" s="12">
        <v>1580774</v>
      </c>
      <c r="F40" s="12" t="s">
        <v>256</v>
      </c>
      <c r="G40" s="13">
        <v>20411026</v>
      </c>
      <c r="H40" s="12" t="s">
        <v>285</v>
      </c>
      <c r="I40" s="13">
        <v>1</v>
      </c>
      <c r="J40" s="14">
        <v>66</v>
      </c>
      <c r="K40" s="14">
        <v>66</v>
      </c>
    </row>
    <row r="41" spans="4:11">
      <c r="D41" s="11">
        <v>46081</v>
      </c>
      <c r="E41" s="12">
        <v>1580942</v>
      </c>
      <c r="F41" s="12" t="s">
        <v>211</v>
      </c>
      <c r="G41" s="13">
        <v>20411036</v>
      </c>
      <c r="H41" s="12" t="s">
        <v>294</v>
      </c>
      <c r="I41" s="13">
        <v>1</v>
      </c>
      <c r="J41" s="20">
        <v>44</v>
      </c>
      <c r="K41" s="14">
        <v>44</v>
      </c>
    </row>
    <row r="42" spans="4:11">
      <c r="D42" s="11">
        <v>46081</v>
      </c>
      <c r="E42" s="12">
        <v>1580942</v>
      </c>
      <c r="F42" s="12" t="s">
        <v>211</v>
      </c>
      <c r="G42" s="13">
        <v>20321255</v>
      </c>
      <c r="H42" s="12" t="s">
        <v>287</v>
      </c>
      <c r="I42" s="13">
        <v>1</v>
      </c>
      <c r="J42" s="14">
        <v>30</v>
      </c>
      <c r="K42" s="14">
        <v>30</v>
      </c>
    </row>
    <row r="43" spans="4:11">
      <c r="D43" s="11">
        <v>46081</v>
      </c>
      <c r="E43" s="12">
        <v>1580942</v>
      </c>
      <c r="F43" s="12" t="s">
        <v>211</v>
      </c>
      <c r="G43" s="13">
        <v>20391189</v>
      </c>
      <c r="H43" s="12" t="s">
        <v>281</v>
      </c>
      <c r="I43" s="13">
        <v>1</v>
      </c>
      <c r="J43" s="14">
        <v>30</v>
      </c>
      <c r="K43" s="14">
        <v>30</v>
      </c>
    </row>
    <row r="44" spans="4:11">
      <c r="D44" s="11">
        <v>46081</v>
      </c>
      <c r="E44" s="12">
        <v>1580942</v>
      </c>
      <c r="F44" s="12" t="s">
        <v>256</v>
      </c>
      <c r="G44" s="13">
        <v>20411027</v>
      </c>
      <c r="H44" s="12" t="s">
        <v>295</v>
      </c>
      <c r="I44" s="13">
        <v>1</v>
      </c>
      <c r="J44" s="14">
        <v>35</v>
      </c>
      <c r="K44" s="14">
        <v>35</v>
      </c>
    </row>
    <row r="45" spans="4:11">
      <c r="D45" s="11">
        <v>46081</v>
      </c>
      <c r="E45" s="12">
        <v>1580942</v>
      </c>
      <c r="F45" s="12" t="s">
        <v>116</v>
      </c>
      <c r="G45" s="13">
        <v>20366039</v>
      </c>
      <c r="H45" s="12" t="s">
        <v>296</v>
      </c>
      <c r="I45" s="13">
        <v>1</v>
      </c>
      <c r="J45" s="20">
        <v>35</v>
      </c>
      <c r="K45" s="14">
        <v>35</v>
      </c>
    </row>
    <row r="46" spans="4:11">
      <c r="D46" s="11">
        <v>46082</v>
      </c>
      <c r="E46" s="12">
        <v>1581249</v>
      </c>
      <c r="F46" s="12" t="s">
        <v>211</v>
      </c>
      <c r="G46" s="13">
        <v>20336771</v>
      </c>
      <c r="H46" s="12" t="s">
        <v>260</v>
      </c>
      <c r="I46" s="13">
        <v>1</v>
      </c>
      <c r="J46" s="14">
        <v>88</v>
      </c>
      <c r="K46" s="14">
        <v>88</v>
      </c>
    </row>
    <row r="47" spans="4:11">
      <c r="D47" s="11">
        <v>46083</v>
      </c>
      <c r="E47" s="12">
        <v>1581417</v>
      </c>
      <c r="F47" s="12" t="s">
        <v>116</v>
      </c>
      <c r="G47" s="13">
        <v>20325176</v>
      </c>
      <c r="H47" s="12" t="s">
        <v>297</v>
      </c>
      <c r="I47" s="13">
        <v>1</v>
      </c>
      <c r="J47" s="14">
        <v>66</v>
      </c>
      <c r="K47" s="14">
        <v>66</v>
      </c>
    </row>
    <row r="48" spans="4:11">
      <c r="D48" s="11">
        <v>46083</v>
      </c>
      <c r="E48" s="12">
        <v>1581417</v>
      </c>
      <c r="F48" s="12" t="s">
        <v>116</v>
      </c>
      <c r="G48" s="13">
        <v>20361902</v>
      </c>
      <c r="H48" s="12" t="s">
        <v>298</v>
      </c>
      <c r="I48" s="13">
        <v>1</v>
      </c>
      <c r="J48" s="14">
        <v>66</v>
      </c>
      <c r="K48" s="14">
        <v>66</v>
      </c>
    </row>
    <row r="49" spans="4:11">
      <c r="D49" s="11">
        <v>46083</v>
      </c>
      <c r="E49" s="12">
        <v>1581495</v>
      </c>
      <c r="F49" s="12" t="s">
        <v>211</v>
      </c>
      <c r="G49" s="13">
        <v>20377109</v>
      </c>
      <c r="H49" s="12" t="s">
        <v>275</v>
      </c>
      <c r="I49" s="13">
        <v>1</v>
      </c>
      <c r="J49" s="14">
        <v>30</v>
      </c>
      <c r="K49" s="14">
        <v>30</v>
      </c>
    </row>
    <row r="50" spans="4:11">
      <c r="D50" s="11">
        <v>46083</v>
      </c>
      <c r="E50" s="12">
        <v>1581495</v>
      </c>
      <c r="F50" s="12" t="s">
        <v>256</v>
      </c>
      <c r="G50" s="13">
        <v>20321069</v>
      </c>
      <c r="H50" s="12" t="s">
        <v>259</v>
      </c>
      <c r="I50" s="13">
        <v>1</v>
      </c>
      <c r="J50" s="14">
        <v>132</v>
      </c>
      <c r="K50" s="14">
        <v>132</v>
      </c>
    </row>
    <row r="51" ht="25.5" spans="4:11">
      <c r="D51" s="11">
        <v>46083</v>
      </c>
      <c r="E51" s="12">
        <v>1581495</v>
      </c>
      <c r="F51" s="12" t="s">
        <v>256</v>
      </c>
      <c r="G51" s="13">
        <v>20409857</v>
      </c>
      <c r="H51" s="12" t="s">
        <v>276</v>
      </c>
      <c r="I51" s="13">
        <v>1</v>
      </c>
      <c r="J51" s="14">
        <v>66</v>
      </c>
      <c r="K51" s="14">
        <v>66</v>
      </c>
    </row>
    <row r="52" spans="4:11">
      <c r="D52" s="11">
        <v>46083</v>
      </c>
      <c r="E52" s="12">
        <v>1581495</v>
      </c>
      <c r="F52" s="12" t="s">
        <v>256</v>
      </c>
      <c r="G52" s="13">
        <v>20385206</v>
      </c>
      <c r="H52" s="12" t="s">
        <v>299</v>
      </c>
      <c r="I52" s="13">
        <v>1</v>
      </c>
      <c r="J52" s="14">
        <v>35</v>
      </c>
      <c r="K52" s="14">
        <v>35</v>
      </c>
    </row>
    <row r="53" spans="4:11">
      <c r="D53" s="11">
        <v>46084</v>
      </c>
      <c r="E53" s="12">
        <v>1581717</v>
      </c>
      <c r="F53" s="12" t="s">
        <v>211</v>
      </c>
      <c r="G53" s="13">
        <v>20371830</v>
      </c>
      <c r="H53" s="12" t="s">
        <v>274</v>
      </c>
      <c r="I53" s="13">
        <v>1</v>
      </c>
      <c r="J53" s="14">
        <v>25</v>
      </c>
      <c r="K53" s="14">
        <f>J53*I53</f>
        <v>25</v>
      </c>
    </row>
    <row r="54" spans="4:11">
      <c r="D54" s="11">
        <v>46086</v>
      </c>
      <c r="E54" s="12">
        <v>1582347</v>
      </c>
      <c r="F54" s="12" t="s">
        <v>256</v>
      </c>
      <c r="G54" s="13">
        <v>20385206</v>
      </c>
      <c r="H54" s="12" t="s">
        <v>299</v>
      </c>
      <c r="I54" s="13">
        <v>1</v>
      </c>
      <c r="J54" s="14">
        <v>35</v>
      </c>
      <c r="K54" s="14">
        <v>35</v>
      </c>
    </row>
    <row r="55" spans="4:11">
      <c r="D55" s="11">
        <v>46086</v>
      </c>
      <c r="E55" s="12">
        <v>1582347</v>
      </c>
      <c r="F55" s="12" t="s">
        <v>116</v>
      </c>
      <c r="G55" s="13">
        <v>20325176</v>
      </c>
      <c r="H55" s="12" t="s">
        <v>297</v>
      </c>
      <c r="I55" s="13">
        <v>1</v>
      </c>
      <c r="J55" s="14">
        <v>66</v>
      </c>
      <c r="K55" s="14">
        <v>66</v>
      </c>
    </row>
    <row r="56" spans="4:11">
      <c r="D56" s="11">
        <v>46086</v>
      </c>
      <c r="E56" s="12">
        <v>1582374</v>
      </c>
      <c r="F56" s="12" t="s">
        <v>211</v>
      </c>
      <c r="G56" s="13">
        <v>20321077</v>
      </c>
      <c r="H56" s="12" t="s">
        <v>280</v>
      </c>
      <c r="I56" s="13">
        <v>1</v>
      </c>
      <c r="J56" s="14">
        <v>44</v>
      </c>
      <c r="K56" s="14">
        <v>44</v>
      </c>
    </row>
    <row r="57" spans="4:11">
      <c r="D57" s="11">
        <v>46086</v>
      </c>
      <c r="E57" s="12">
        <v>1582374</v>
      </c>
      <c r="F57" s="12" t="s">
        <v>116</v>
      </c>
      <c r="G57" s="13">
        <v>20361902</v>
      </c>
      <c r="H57" s="12" t="s">
        <v>298</v>
      </c>
      <c r="I57" s="13">
        <v>1</v>
      </c>
      <c r="J57" s="14">
        <v>66</v>
      </c>
      <c r="K57" s="14">
        <v>66</v>
      </c>
    </row>
    <row r="58" spans="4:11">
      <c r="D58" s="11">
        <v>46087</v>
      </c>
      <c r="E58" s="12">
        <v>1582722</v>
      </c>
      <c r="F58" s="12" t="s">
        <v>211</v>
      </c>
      <c r="G58" s="13">
        <v>20408955</v>
      </c>
      <c r="H58" s="12" t="s">
        <v>300</v>
      </c>
      <c r="I58" s="13">
        <v>1</v>
      </c>
      <c r="J58" s="14">
        <v>30</v>
      </c>
      <c r="K58" s="14">
        <v>30</v>
      </c>
    </row>
    <row r="59" spans="4:11">
      <c r="D59" s="11">
        <v>46087</v>
      </c>
      <c r="E59" s="12">
        <v>1582722</v>
      </c>
      <c r="F59" s="12" t="s">
        <v>211</v>
      </c>
      <c r="G59" s="13">
        <v>20325053</v>
      </c>
      <c r="H59" s="12" t="s">
        <v>283</v>
      </c>
      <c r="I59" s="13">
        <v>1</v>
      </c>
      <c r="J59" s="14">
        <v>35</v>
      </c>
      <c r="K59" s="14">
        <v>35</v>
      </c>
    </row>
    <row r="60" spans="4:11">
      <c r="D60" s="11">
        <v>46087</v>
      </c>
      <c r="E60" s="12">
        <v>1582722</v>
      </c>
      <c r="F60" s="12" t="s">
        <v>116</v>
      </c>
      <c r="G60" s="13">
        <v>20409994</v>
      </c>
      <c r="H60" s="12" t="s">
        <v>278</v>
      </c>
      <c r="I60" s="13">
        <v>1</v>
      </c>
      <c r="J60" s="14">
        <v>66</v>
      </c>
      <c r="K60" s="14">
        <v>66</v>
      </c>
    </row>
    <row r="61" spans="4:11">
      <c r="D61" s="11">
        <v>46087</v>
      </c>
      <c r="E61" s="12">
        <v>1582722</v>
      </c>
      <c r="F61" s="12" t="s">
        <v>116</v>
      </c>
      <c r="G61" s="13">
        <v>20410297</v>
      </c>
      <c r="H61" s="12" t="s">
        <v>291</v>
      </c>
      <c r="I61" s="13">
        <v>1</v>
      </c>
      <c r="J61" s="20">
        <v>35</v>
      </c>
      <c r="K61" s="14">
        <v>35</v>
      </c>
    </row>
    <row r="62" spans="4:11">
      <c r="D62" s="11">
        <v>46087</v>
      </c>
      <c r="E62" s="12">
        <v>1582722</v>
      </c>
      <c r="F62" s="12" t="s">
        <v>116</v>
      </c>
      <c r="G62" s="13">
        <v>20329220</v>
      </c>
      <c r="H62" s="12" t="s">
        <v>288</v>
      </c>
      <c r="I62" s="13">
        <v>1</v>
      </c>
      <c r="J62" s="14">
        <v>35</v>
      </c>
      <c r="K62" s="14">
        <v>35</v>
      </c>
    </row>
    <row r="63" spans="4:11">
      <c r="D63" s="11">
        <v>46087</v>
      </c>
      <c r="E63" s="12">
        <v>1582722</v>
      </c>
      <c r="F63" s="12" t="s">
        <v>116</v>
      </c>
      <c r="G63" s="13">
        <v>20325176</v>
      </c>
      <c r="H63" s="12" t="s">
        <v>297</v>
      </c>
      <c r="I63" s="13">
        <v>1</v>
      </c>
      <c r="J63" s="14">
        <v>66</v>
      </c>
      <c r="K63" s="14">
        <v>66</v>
      </c>
    </row>
    <row r="64" spans="4:11">
      <c r="D64" s="11">
        <v>46087</v>
      </c>
      <c r="E64" s="12">
        <v>1582745</v>
      </c>
      <c r="F64" s="12" t="s">
        <v>256</v>
      </c>
      <c r="G64" s="13">
        <v>20385206</v>
      </c>
      <c r="H64" s="12" t="s">
        <v>299</v>
      </c>
      <c r="I64" s="13">
        <v>1</v>
      </c>
      <c r="J64" s="14">
        <v>35</v>
      </c>
      <c r="K64" s="14">
        <v>35</v>
      </c>
    </row>
    <row r="65" spans="4:11">
      <c r="D65" s="11">
        <v>46087</v>
      </c>
      <c r="E65" s="12">
        <v>1582745</v>
      </c>
      <c r="F65" s="12" t="s">
        <v>116</v>
      </c>
      <c r="G65" s="13">
        <v>20409995</v>
      </c>
      <c r="H65" s="12" t="s">
        <v>286</v>
      </c>
      <c r="I65" s="13">
        <v>1</v>
      </c>
      <c r="J65" s="14">
        <v>66</v>
      </c>
      <c r="K65" s="14">
        <v>66</v>
      </c>
    </row>
    <row r="66" spans="4:11">
      <c r="D66" s="11">
        <v>46087</v>
      </c>
      <c r="E66" s="12">
        <v>1582810</v>
      </c>
      <c r="F66" s="12" t="s">
        <v>211</v>
      </c>
      <c r="G66" s="13">
        <v>20331088</v>
      </c>
      <c r="H66" s="12" t="s">
        <v>293</v>
      </c>
      <c r="I66" s="13">
        <v>1</v>
      </c>
      <c r="J66" s="14">
        <v>30</v>
      </c>
      <c r="K66" s="14">
        <v>30</v>
      </c>
    </row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K18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customHeight="1" spans="1:11">
      <c r="D8" s="19" t="s">
        <v>301</v>
      </c>
      <c r="E8" s="8"/>
      <c r="F8" s="8"/>
      <c r="G8" s="8"/>
      <c r="H8" s="8"/>
      <c r="I8" s="9">
        <f>I9+I10</f>
        <v>2</v>
      </c>
      <c r="J8" s="10"/>
      <c r="K8" s="10">
        <f>K9+K10</f>
        <v>264</v>
      </c>
    </row>
    <row r="9" customFormat="1" ht="14.25" customHeight="1" spans="1:11">
      <c r="D9" s="11">
        <v>46076</v>
      </c>
      <c r="E9" s="12">
        <v>1579486</v>
      </c>
      <c r="F9" s="12" t="s">
        <v>256</v>
      </c>
      <c r="G9" s="13">
        <v>20321070</v>
      </c>
      <c r="H9" s="12" t="s">
        <v>257</v>
      </c>
      <c r="I9" s="13">
        <v>1</v>
      </c>
      <c r="J9" s="14">
        <v>132</v>
      </c>
      <c r="K9" s="14">
        <v>132</v>
      </c>
    </row>
    <row r="10" customFormat="1" ht="14.25" customHeight="1" spans="1:11">
      <c r="D10" s="11">
        <v>46077</v>
      </c>
      <c r="E10" s="12">
        <v>1579624</v>
      </c>
      <c r="F10" s="12" t="s">
        <v>256</v>
      </c>
      <c r="G10" s="13">
        <v>20321098</v>
      </c>
      <c r="H10" s="12" t="s">
        <v>258</v>
      </c>
      <c r="I10" s="13">
        <v>1</v>
      </c>
      <c r="J10" s="14">
        <v>132</v>
      </c>
      <c r="K10" s="14">
        <v>132</v>
      </c>
    </row>
    <row r="11" customFormat="1" ht="14.25" customHeight="1"/>
    <row r="12" customFormat="1" ht="14.25" customHeight="1"/>
    <row r="13" customFormat="1" ht="14.25" customHeight="1"/>
    <row r="14" customFormat="1" ht="14.25" customHeight="1"/>
    <row r="15" customFormat="1" ht="14.25" customHeight="1"/>
    <row r="16" customFormat="1" ht="14.25" customHeight="1"/>
    <row r="17" customFormat="1" ht="14.25" customHeight="1"/>
    <row r="18" customFormat="1" ht="14.25" customHeight="1"/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K18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customHeight="1" spans="1:11">
      <c r="D8" s="19" t="s">
        <v>241</v>
      </c>
      <c r="E8" s="8"/>
      <c r="F8" s="8"/>
      <c r="G8" s="8"/>
      <c r="H8" s="8"/>
      <c r="I8" s="9">
        <f>SUM(I9:I18)</f>
        <v>10</v>
      </c>
      <c r="J8" s="10"/>
      <c r="K8" s="10">
        <f>SUM(K9:K18)</f>
        <v>1320</v>
      </c>
    </row>
    <row r="9" customFormat="1" ht="14.25" customHeight="1" spans="1:11">
      <c r="D9" s="11">
        <v>46064</v>
      </c>
      <c r="E9" s="12">
        <v>1578051</v>
      </c>
      <c r="F9" s="12" t="s">
        <v>256</v>
      </c>
      <c r="G9" s="13">
        <v>20321069</v>
      </c>
      <c r="H9" s="12" t="s">
        <v>259</v>
      </c>
      <c r="I9" s="13">
        <v>1</v>
      </c>
      <c r="J9" s="14">
        <v>132</v>
      </c>
      <c r="K9" s="14">
        <v>132</v>
      </c>
    </row>
    <row r="10" customFormat="1" ht="14.25" customHeight="1" spans="1:11">
      <c r="D10" s="11">
        <v>46065</v>
      </c>
      <c r="E10" s="12">
        <v>1578275</v>
      </c>
      <c r="F10" s="12" t="s">
        <v>256</v>
      </c>
      <c r="G10" s="13">
        <v>20321098</v>
      </c>
      <c r="H10" s="12" t="s">
        <v>258</v>
      </c>
      <c r="I10" s="13">
        <v>1</v>
      </c>
      <c r="J10" s="14">
        <v>132</v>
      </c>
      <c r="K10" s="14">
        <v>132</v>
      </c>
    </row>
    <row r="11" customFormat="1" ht="14.25" customHeight="1" spans="1:11">
      <c r="D11" s="11">
        <v>46065</v>
      </c>
      <c r="E11" s="12">
        <v>1578344</v>
      </c>
      <c r="F11" s="12" t="s">
        <v>256</v>
      </c>
      <c r="G11" s="13">
        <v>20321070</v>
      </c>
      <c r="H11" s="12" t="s">
        <v>257</v>
      </c>
      <c r="I11" s="13">
        <v>1</v>
      </c>
      <c r="J11" s="14">
        <v>132</v>
      </c>
      <c r="K11" s="14">
        <v>132</v>
      </c>
    </row>
    <row r="12" customFormat="1" ht="14.25" customHeight="1" spans="1:11">
      <c r="D12" s="11">
        <v>46069</v>
      </c>
      <c r="E12" s="12">
        <v>1579109</v>
      </c>
      <c r="F12" s="12" t="s">
        <v>256</v>
      </c>
      <c r="G12" s="13">
        <v>20321069</v>
      </c>
      <c r="H12" s="12" t="s">
        <v>259</v>
      </c>
      <c r="I12" s="13">
        <v>1</v>
      </c>
      <c r="J12" s="14">
        <v>132</v>
      </c>
      <c r="K12" s="14">
        <v>132</v>
      </c>
    </row>
    <row r="13" customFormat="1" ht="14.25" customHeight="1" spans="1:11">
      <c r="D13" s="11">
        <v>46071</v>
      </c>
      <c r="E13" s="12">
        <v>1579162</v>
      </c>
      <c r="F13" s="12" t="s">
        <v>256</v>
      </c>
      <c r="G13" s="13">
        <v>20321098</v>
      </c>
      <c r="H13" s="12" t="s">
        <v>258</v>
      </c>
      <c r="I13" s="13">
        <v>1</v>
      </c>
      <c r="J13" s="14">
        <v>132</v>
      </c>
      <c r="K13" s="14">
        <v>132</v>
      </c>
    </row>
    <row r="14" customFormat="1" ht="14.25" customHeight="1" spans="1:11">
      <c r="D14" s="11">
        <v>46079</v>
      </c>
      <c r="E14" s="12">
        <v>1580440</v>
      </c>
      <c r="F14" s="12" t="s">
        <v>256</v>
      </c>
      <c r="G14" s="13">
        <v>20321098</v>
      </c>
      <c r="H14" s="12" t="s">
        <v>258</v>
      </c>
      <c r="I14" s="13">
        <v>1</v>
      </c>
      <c r="J14" s="14">
        <v>132</v>
      </c>
      <c r="K14" s="14">
        <v>132</v>
      </c>
    </row>
    <row r="15" customFormat="1" ht="14.25" customHeight="1" spans="1:11">
      <c r="D15" s="11">
        <v>46081</v>
      </c>
      <c r="E15" s="12">
        <v>1580942</v>
      </c>
      <c r="F15" s="12" t="s">
        <v>256</v>
      </c>
      <c r="G15" s="13">
        <v>20321070</v>
      </c>
      <c r="H15" s="12" t="s">
        <v>257</v>
      </c>
      <c r="I15" s="13">
        <v>1</v>
      </c>
      <c r="J15" s="14">
        <v>132</v>
      </c>
      <c r="K15" s="14">
        <v>132</v>
      </c>
    </row>
    <row r="16" customFormat="1" ht="14.25" customHeight="1" spans="1:11">
      <c r="D16" s="11">
        <v>46084</v>
      </c>
      <c r="E16" s="12">
        <v>1581717</v>
      </c>
      <c r="F16" s="12" t="s">
        <v>256</v>
      </c>
      <c r="G16" s="13">
        <v>20321069</v>
      </c>
      <c r="H16" s="12" t="s">
        <v>259</v>
      </c>
      <c r="I16" s="13">
        <v>1</v>
      </c>
      <c r="J16" s="14">
        <v>132</v>
      </c>
      <c r="K16" s="14">
        <v>132</v>
      </c>
    </row>
    <row r="17" customFormat="1" ht="14.25" customHeight="1" spans="4:11">
      <c r="D17" s="11">
        <v>46086</v>
      </c>
      <c r="E17" s="12">
        <v>1582347</v>
      </c>
      <c r="F17" s="12" t="s">
        <v>256</v>
      </c>
      <c r="G17" s="13">
        <v>20321098</v>
      </c>
      <c r="H17" s="12" t="s">
        <v>258</v>
      </c>
      <c r="I17" s="13">
        <v>1</v>
      </c>
      <c r="J17" s="14">
        <v>132</v>
      </c>
      <c r="K17" s="14">
        <v>132</v>
      </c>
    </row>
    <row r="18" customFormat="1" ht="14.25" customHeight="1" spans="4:11">
      <c r="D18" s="11">
        <v>46086</v>
      </c>
      <c r="E18" s="12">
        <v>1582347</v>
      </c>
      <c r="F18" s="12" t="s">
        <v>256</v>
      </c>
      <c r="G18" s="13">
        <v>20321070</v>
      </c>
      <c r="H18" s="12" t="s">
        <v>257</v>
      </c>
      <c r="I18" s="13">
        <v>1</v>
      </c>
      <c r="J18" s="14">
        <v>132</v>
      </c>
      <c r="K18" s="14">
        <v>132</v>
      </c>
    </row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K75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customHeight="1" spans="1:11">
      <c r="D8" s="19" t="s">
        <v>245</v>
      </c>
      <c r="E8" s="8"/>
      <c r="F8" s="8"/>
      <c r="G8" s="8"/>
      <c r="H8" s="8"/>
      <c r="I8" s="9">
        <f>SUM(I9:I75)</f>
        <v>67</v>
      </c>
      <c r="J8" s="10"/>
      <c r="K8" s="10">
        <f>SUM(K9:K75)</f>
        <v>3292</v>
      </c>
    </row>
    <row r="9" customFormat="1" ht="14.25" customHeight="1" spans="1:11">
      <c r="D9" s="11">
        <v>46062</v>
      </c>
      <c r="E9" s="12">
        <v>1577223</v>
      </c>
      <c r="F9" s="12" t="s">
        <v>116</v>
      </c>
      <c r="G9" s="13">
        <v>20322726</v>
      </c>
      <c r="H9" s="26" t="s">
        <v>302</v>
      </c>
      <c r="I9" s="13">
        <v>1</v>
      </c>
      <c r="J9" s="14">
        <v>35</v>
      </c>
      <c r="K9" s="14">
        <f>J9*I9</f>
        <v>35</v>
      </c>
    </row>
    <row r="10" customFormat="1" ht="14.25" customHeight="1" spans="1:11">
      <c r="D10" s="11">
        <v>46063</v>
      </c>
      <c r="E10" s="12">
        <v>1577704</v>
      </c>
      <c r="F10" s="12" t="s">
        <v>116</v>
      </c>
      <c r="G10" s="13">
        <v>20366042</v>
      </c>
      <c r="H10" s="12" t="s">
        <v>303</v>
      </c>
      <c r="I10" s="13">
        <v>1</v>
      </c>
      <c r="J10" s="14">
        <v>35</v>
      </c>
      <c r="K10" s="14">
        <v>35</v>
      </c>
    </row>
    <row r="11" customFormat="1" ht="14.25" customHeight="1" spans="1:11">
      <c r="D11" s="11">
        <v>46063</v>
      </c>
      <c r="E11" s="12">
        <v>1577704</v>
      </c>
      <c r="F11" s="12" t="s">
        <v>116</v>
      </c>
      <c r="G11" s="13">
        <v>20410984</v>
      </c>
      <c r="H11" s="12" t="s">
        <v>304</v>
      </c>
      <c r="I11" s="13">
        <v>1</v>
      </c>
      <c r="J11" s="20">
        <v>35</v>
      </c>
      <c r="K11" s="14">
        <v>35</v>
      </c>
    </row>
    <row r="12" customFormat="1" ht="14.25" customHeight="1" spans="1:11">
      <c r="D12" s="11">
        <v>46063</v>
      </c>
      <c r="E12" s="12">
        <v>1577740</v>
      </c>
      <c r="F12" s="12" t="s">
        <v>256</v>
      </c>
      <c r="G12" s="13">
        <v>20321098</v>
      </c>
      <c r="H12" s="12" t="s">
        <v>258</v>
      </c>
      <c r="I12" s="13">
        <v>1</v>
      </c>
      <c r="J12" s="14">
        <v>132</v>
      </c>
      <c r="K12" s="14">
        <v>132</v>
      </c>
    </row>
    <row r="13" customFormat="1" ht="14.25" customHeight="1" spans="1:11">
      <c r="D13" s="11">
        <v>46064</v>
      </c>
      <c r="E13" s="12">
        <v>1577925</v>
      </c>
      <c r="F13" s="12" t="s">
        <v>256</v>
      </c>
      <c r="G13" s="13">
        <v>20321099</v>
      </c>
      <c r="H13" s="12" t="s">
        <v>265</v>
      </c>
      <c r="I13" s="13">
        <v>1</v>
      </c>
      <c r="J13" s="14">
        <v>154</v>
      </c>
      <c r="K13" s="14">
        <v>154</v>
      </c>
    </row>
    <row r="14" customFormat="1" ht="14.25" customHeight="1" spans="1:11">
      <c r="D14" s="11">
        <v>46064</v>
      </c>
      <c r="E14" s="12">
        <v>1578051</v>
      </c>
      <c r="F14" s="12" t="s">
        <v>256</v>
      </c>
      <c r="G14" s="13">
        <v>20321070</v>
      </c>
      <c r="H14" s="12" t="s">
        <v>257</v>
      </c>
      <c r="I14" s="13">
        <v>1</v>
      </c>
      <c r="J14" s="14">
        <v>132</v>
      </c>
      <c r="K14" s="14">
        <v>132</v>
      </c>
    </row>
    <row r="15" customFormat="1" ht="14.25" customHeight="1" spans="1:11">
      <c r="D15" s="11">
        <v>46065</v>
      </c>
      <c r="E15" s="12">
        <v>1578275</v>
      </c>
      <c r="F15" s="12" t="s">
        <v>211</v>
      </c>
      <c r="G15" s="13">
        <v>20408954</v>
      </c>
      <c r="H15" s="12" t="s">
        <v>292</v>
      </c>
      <c r="I15" s="13">
        <v>1</v>
      </c>
      <c r="J15" s="20">
        <v>35</v>
      </c>
      <c r="K15" s="14">
        <v>35</v>
      </c>
    </row>
    <row r="16" customFormat="1" ht="14.25" customHeight="1" spans="1:11">
      <c r="D16" s="11">
        <v>46065</v>
      </c>
      <c r="E16" s="12">
        <v>1578275</v>
      </c>
      <c r="F16" s="12" t="s">
        <v>211</v>
      </c>
      <c r="G16" s="13">
        <v>20408955</v>
      </c>
      <c r="H16" s="12" t="s">
        <v>300</v>
      </c>
      <c r="I16" s="13">
        <v>1</v>
      </c>
      <c r="J16" s="14">
        <v>30</v>
      </c>
      <c r="K16" s="14">
        <v>30</v>
      </c>
    </row>
    <row r="17" customFormat="1" ht="14.25" customHeight="1" spans="4:11">
      <c r="D17" s="11">
        <v>46065</v>
      </c>
      <c r="E17" s="12">
        <v>1578275</v>
      </c>
      <c r="F17" s="12" t="s">
        <v>116</v>
      </c>
      <c r="G17" s="13">
        <v>20410069</v>
      </c>
      <c r="H17" s="12" t="s">
        <v>282</v>
      </c>
      <c r="I17" s="13">
        <v>1</v>
      </c>
      <c r="J17" s="14">
        <v>66</v>
      </c>
      <c r="K17" s="14">
        <v>66</v>
      </c>
    </row>
    <row r="18" customFormat="1" ht="14.25" customHeight="1" spans="4:11">
      <c r="D18" s="11">
        <v>46078</v>
      </c>
      <c r="E18" s="12">
        <v>1580036</v>
      </c>
      <c r="F18" s="12" t="s">
        <v>256</v>
      </c>
      <c r="G18" s="13">
        <v>20410999</v>
      </c>
      <c r="H18" s="12" t="s">
        <v>305</v>
      </c>
      <c r="I18" s="13">
        <v>1</v>
      </c>
      <c r="J18" s="14">
        <v>35</v>
      </c>
      <c r="K18" s="14">
        <v>35</v>
      </c>
    </row>
    <row r="19" customFormat="1" ht="14.25" customHeight="1" spans="4:11">
      <c r="D19" s="11">
        <v>46078</v>
      </c>
      <c r="E19" s="12">
        <v>1580036</v>
      </c>
      <c r="F19" s="12" t="s">
        <v>116</v>
      </c>
      <c r="G19" s="13">
        <v>20366042</v>
      </c>
      <c r="H19" s="12" t="s">
        <v>303</v>
      </c>
      <c r="I19" s="13">
        <v>1</v>
      </c>
      <c r="J19" s="14">
        <v>35</v>
      </c>
      <c r="K19" s="14">
        <v>35</v>
      </c>
    </row>
    <row r="20" spans="4:11">
      <c r="D20" s="11">
        <v>46078</v>
      </c>
      <c r="E20" s="12">
        <v>1580036</v>
      </c>
      <c r="F20" s="12" t="s">
        <v>116</v>
      </c>
      <c r="G20" s="13">
        <v>20410984</v>
      </c>
      <c r="H20" s="12" t="s">
        <v>304</v>
      </c>
      <c r="I20" s="13">
        <v>1</v>
      </c>
      <c r="J20" s="20">
        <v>35</v>
      </c>
      <c r="K20" s="14">
        <v>35</v>
      </c>
    </row>
    <row r="21" spans="4:11">
      <c r="D21" s="11">
        <v>46078</v>
      </c>
      <c r="E21" s="12">
        <v>1580036</v>
      </c>
      <c r="F21" s="12" t="s">
        <v>116</v>
      </c>
      <c r="G21" s="13">
        <v>20329023</v>
      </c>
      <c r="H21" s="12" t="s">
        <v>279</v>
      </c>
      <c r="I21" s="13">
        <v>1</v>
      </c>
      <c r="J21" s="14">
        <v>35</v>
      </c>
      <c r="K21" s="14">
        <v>35</v>
      </c>
    </row>
    <row r="22" spans="4:11">
      <c r="D22" s="11">
        <v>46078</v>
      </c>
      <c r="E22" s="12">
        <v>1580062</v>
      </c>
      <c r="F22" s="12" t="s">
        <v>211</v>
      </c>
      <c r="G22" s="13">
        <v>20408954</v>
      </c>
      <c r="H22" s="12" t="s">
        <v>292</v>
      </c>
      <c r="I22" s="13">
        <v>1</v>
      </c>
      <c r="J22" s="20">
        <v>35</v>
      </c>
      <c r="K22" s="14">
        <v>35</v>
      </c>
    </row>
    <row r="23" spans="4:11">
      <c r="D23" s="11">
        <v>46078</v>
      </c>
      <c r="E23" s="12">
        <v>1580062</v>
      </c>
      <c r="F23" s="12" t="s">
        <v>211</v>
      </c>
      <c r="G23" s="13">
        <v>20408955</v>
      </c>
      <c r="H23" s="12" t="s">
        <v>300</v>
      </c>
      <c r="I23" s="13">
        <v>1</v>
      </c>
      <c r="J23" s="14">
        <v>30</v>
      </c>
      <c r="K23" s="14">
        <v>30</v>
      </c>
    </row>
    <row r="24" spans="4:11">
      <c r="D24" s="11">
        <v>46078</v>
      </c>
      <c r="E24" s="12">
        <v>1580062</v>
      </c>
      <c r="F24" s="12" t="s">
        <v>116</v>
      </c>
      <c r="G24" s="13">
        <v>20409994</v>
      </c>
      <c r="H24" s="12" t="s">
        <v>278</v>
      </c>
      <c r="I24" s="13">
        <v>1</v>
      </c>
      <c r="J24" s="14">
        <v>66</v>
      </c>
      <c r="K24" s="14">
        <v>66</v>
      </c>
    </row>
    <row r="25" spans="4:11">
      <c r="D25" s="11">
        <v>46078</v>
      </c>
      <c r="E25" s="12">
        <v>1580071</v>
      </c>
      <c r="F25" s="12" t="s">
        <v>211</v>
      </c>
      <c r="G25" s="13">
        <v>20325053</v>
      </c>
      <c r="H25" s="12" t="s">
        <v>283</v>
      </c>
      <c r="I25" s="13">
        <v>1</v>
      </c>
      <c r="J25" s="14">
        <v>35</v>
      </c>
      <c r="K25" s="14">
        <v>35</v>
      </c>
    </row>
    <row r="26" ht="25.5" spans="4:11">
      <c r="D26" s="11">
        <v>46078</v>
      </c>
      <c r="E26" s="12">
        <v>1580071</v>
      </c>
      <c r="F26" s="12" t="s">
        <v>256</v>
      </c>
      <c r="G26" s="13">
        <v>20409857</v>
      </c>
      <c r="H26" s="12" t="s">
        <v>276</v>
      </c>
      <c r="I26" s="13">
        <v>1</v>
      </c>
      <c r="J26" s="14">
        <v>66</v>
      </c>
      <c r="K26" s="14">
        <v>66</v>
      </c>
    </row>
    <row r="27" spans="4:11">
      <c r="D27" s="11">
        <v>46078</v>
      </c>
      <c r="E27" s="12">
        <v>1580071</v>
      </c>
      <c r="F27" s="12" t="s">
        <v>116</v>
      </c>
      <c r="G27" s="13">
        <v>20410297</v>
      </c>
      <c r="H27" s="12" t="s">
        <v>291</v>
      </c>
      <c r="I27" s="13">
        <v>1</v>
      </c>
      <c r="J27" s="20">
        <v>35</v>
      </c>
      <c r="K27" s="14">
        <v>35</v>
      </c>
    </row>
    <row r="28" spans="4:11">
      <c r="D28" s="11">
        <v>46079</v>
      </c>
      <c r="E28" s="12">
        <v>1580228</v>
      </c>
      <c r="F28" s="12" t="s">
        <v>256</v>
      </c>
      <c r="G28" s="13">
        <v>20321098</v>
      </c>
      <c r="H28" s="12" t="s">
        <v>258</v>
      </c>
      <c r="I28" s="13">
        <v>1</v>
      </c>
      <c r="J28" s="14">
        <v>132</v>
      </c>
      <c r="K28" s="14">
        <v>132</v>
      </c>
    </row>
    <row r="29" spans="4:11">
      <c r="D29" s="11">
        <v>46079</v>
      </c>
      <c r="E29" s="12">
        <v>1580321</v>
      </c>
      <c r="F29" s="12" t="s">
        <v>211</v>
      </c>
      <c r="G29" s="13">
        <v>20408954</v>
      </c>
      <c r="H29" s="12" t="s">
        <v>292</v>
      </c>
      <c r="I29" s="13">
        <v>1</v>
      </c>
      <c r="J29" s="20">
        <v>35</v>
      </c>
      <c r="K29" s="14">
        <v>35</v>
      </c>
    </row>
    <row r="30" spans="4:11">
      <c r="D30" s="11">
        <v>46079</v>
      </c>
      <c r="E30" s="12">
        <v>1580321</v>
      </c>
      <c r="F30" s="12" t="s">
        <v>211</v>
      </c>
      <c r="G30" s="13">
        <v>20408955</v>
      </c>
      <c r="H30" s="12" t="s">
        <v>300</v>
      </c>
      <c r="I30" s="13">
        <v>1</v>
      </c>
      <c r="J30" s="14">
        <v>30</v>
      </c>
      <c r="K30" s="14">
        <v>30</v>
      </c>
    </row>
    <row r="31" spans="4:11">
      <c r="D31" s="11">
        <v>46079</v>
      </c>
      <c r="E31" s="12">
        <v>1580321</v>
      </c>
      <c r="F31" s="12" t="s">
        <v>116</v>
      </c>
      <c r="G31" s="13">
        <v>20410069</v>
      </c>
      <c r="H31" s="12" t="s">
        <v>282</v>
      </c>
      <c r="I31" s="13">
        <v>1</v>
      </c>
      <c r="J31" s="14">
        <v>66</v>
      </c>
      <c r="K31" s="14">
        <v>66</v>
      </c>
    </row>
    <row r="32" spans="4:11">
      <c r="D32" s="11">
        <v>46079</v>
      </c>
      <c r="E32" s="12">
        <v>1580440</v>
      </c>
      <c r="F32" s="12" t="s">
        <v>256</v>
      </c>
      <c r="G32" s="13">
        <v>20410999</v>
      </c>
      <c r="H32" s="12" t="s">
        <v>305</v>
      </c>
      <c r="I32" s="13">
        <v>1</v>
      </c>
      <c r="J32" s="14">
        <v>35</v>
      </c>
      <c r="K32" s="14">
        <v>35</v>
      </c>
    </row>
    <row r="33" spans="4:11">
      <c r="D33" s="11">
        <v>46079</v>
      </c>
      <c r="E33" s="12">
        <v>1580440</v>
      </c>
      <c r="F33" s="12" t="s">
        <v>116</v>
      </c>
      <c r="G33" s="13">
        <v>20366042</v>
      </c>
      <c r="H33" s="12" t="s">
        <v>303</v>
      </c>
      <c r="I33" s="13">
        <v>1</v>
      </c>
      <c r="J33" s="14">
        <v>35</v>
      </c>
      <c r="K33" s="14">
        <v>35</v>
      </c>
    </row>
    <row r="34" spans="4:11">
      <c r="D34" s="11">
        <v>46080</v>
      </c>
      <c r="E34" s="12">
        <v>1580768</v>
      </c>
      <c r="F34" s="12" t="s">
        <v>211</v>
      </c>
      <c r="G34" s="13">
        <v>20408955</v>
      </c>
      <c r="H34" s="12" t="s">
        <v>300</v>
      </c>
      <c r="I34" s="13">
        <v>1</v>
      </c>
      <c r="J34" s="14">
        <v>30</v>
      </c>
      <c r="K34" s="14">
        <v>30</v>
      </c>
    </row>
    <row r="35" spans="4:11">
      <c r="D35" s="11">
        <v>46080</v>
      </c>
      <c r="E35" s="12">
        <v>1580768</v>
      </c>
      <c r="F35" s="12" t="s">
        <v>256</v>
      </c>
      <c r="G35" s="13">
        <v>20410241</v>
      </c>
      <c r="H35" s="12" t="s">
        <v>290</v>
      </c>
      <c r="I35" s="13">
        <v>1</v>
      </c>
      <c r="J35" s="14">
        <v>35</v>
      </c>
      <c r="K35" s="14">
        <v>35</v>
      </c>
    </row>
    <row r="36" spans="4:11">
      <c r="D36" s="11">
        <v>46080</v>
      </c>
      <c r="E36" s="12">
        <v>1580774</v>
      </c>
      <c r="F36" s="12" t="s">
        <v>116</v>
      </c>
      <c r="G36" s="13">
        <v>20409995</v>
      </c>
      <c r="H36" s="12" t="s">
        <v>286</v>
      </c>
      <c r="I36" s="13">
        <v>1</v>
      </c>
      <c r="J36" s="14">
        <v>66</v>
      </c>
      <c r="K36" s="14">
        <v>66</v>
      </c>
    </row>
    <row r="37" spans="4:11">
      <c r="D37" s="11">
        <v>46081</v>
      </c>
      <c r="E37" s="12">
        <v>1581103</v>
      </c>
      <c r="F37" s="12" t="s">
        <v>211</v>
      </c>
      <c r="G37" s="13">
        <v>20408954</v>
      </c>
      <c r="H37" s="12" t="s">
        <v>292</v>
      </c>
      <c r="I37" s="13">
        <v>1</v>
      </c>
      <c r="J37" s="20">
        <v>35</v>
      </c>
      <c r="K37" s="14">
        <v>35</v>
      </c>
    </row>
    <row r="38" spans="4:11">
      <c r="D38" s="11">
        <v>46081</v>
      </c>
      <c r="E38" s="12">
        <v>1581103</v>
      </c>
      <c r="F38" s="12" t="s">
        <v>211</v>
      </c>
      <c r="G38" s="13">
        <v>20408955</v>
      </c>
      <c r="H38" s="12" t="s">
        <v>300</v>
      </c>
      <c r="I38" s="13">
        <v>1</v>
      </c>
      <c r="J38" s="14">
        <v>30</v>
      </c>
      <c r="K38" s="14">
        <v>30</v>
      </c>
    </row>
    <row r="39" spans="4:11">
      <c r="D39" s="11">
        <v>46081</v>
      </c>
      <c r="E39" s="12">
        <v>1581103</v>
      </c>
      <c r="F39" s="12" t="s">
        <v>116</v>
      </c>
      <c r="G39" s="13">
        <v>20409995</v>
      </c>
      <c r="H39" s="12" t="s">
        <v>286</v>
      </c>
      <c r="I39" s="13">
        <v>1</v>
      </c>
      <c r="J39" s="14">
        <v>66</v>
      </c>
      <c r="K39" s="14">
        <v>66</v>
      </c>
    </row>
    <row r="40" spans="4:11">
      <c r="D40" s="11">
        <v>46083</v>
      </c>
      <c r="E40" s="12">
        <v>1581404</v>
      </c>
      <c r="F40" s="12" t="s">
        <v>211</v>
      </c>
      <c r="G40" s="13">
        <v>20321255</v>
      </c>
      <c r="H40" s="12" t="s">
        <v>287</v>
      </c>
      <c r="I40" s="13">
        <v>1</v>
      </c>
      <c r="J40" s="14">
        <v>30</v>
      </c>
      <c r="K40" s="14">
        <v>30</v>
      </c>
    </row>
    <row r="41" spans="4:11">
      <c r="D41" s="11">
        <v>46083</v>
      </c>
      <c r="E41" s="12">
        <v>1581404</v>
      </c>
      <c r="F41" s="12" t="s">
        <v>116</v>
      </c>
      <c r="G41" s="13">
        <v>20410069</v>
      </c>
      <c r="H41" s="12" t="s">
        <v>282</v>
      </c>
      <c r="I41" s="13">
        <v>1</v>
      </c>
      <c r="J41" s="14">
        <v>66</v>
      </c>
      <c r="K41" s="14">
        <v>66</v>
      </c>
    </row>
    <row r="42" spans="4:11">
      <c r="D42" s="11">
        <v>46083</v>
      </c>
      <c r="E42" s="12">
        <v>1581404</v>
      </c>
      <c r="F42" s="12" t="s">
        <v>116</v>
      </c>
      <c r="G42" s="13">
        <v>20366039</v>
      </c>
      <c r="H42" s="12" t="s">
        <v>296</v>
      </c>
      <c r="I42" s="13">
        <v>1</v>
      </c>
      <c r="J42" s="20">
        <v>35</v>
      </c>
      <c r="K42" s="14">
        <v>35</v>
      </c>
    </row>
    <row r="43" spans="4:11">
      <c r="D43" s="11">
        <v>46083</v>
      </c>
      <c r="E43" s="12">
        <v>1581495</v>
      </c>
      <c r="F43" s="12" t="s">
        <v>211</v>
      </c>
      <c r="G43" s="13">
        <v>20408955</v>
      </c>
      <c r="H43" s="12" t="s">
        <v>300</v>
      </c>
      <c r="I43" s="13">
        <v>1</v>
      </c>
      <c r="J43" s="14">
        <v>30</v>
      </c>
      <c r="K43" s="14">
        <v>30</v>
      </c>
    </row>
    <row r="44" spans="4:11">
      <c r="D44" s="11">
        <v>46083</v>
      </c>
      <c r="E44" s="12">
        <v>1581495</v>
      </c>
      <c r="F44" s="12" t="s">
        <v>116</v>
      </c>
      <c r="G44" s="13">
        <v>20409994</v>
      </c>
      <c r="H44" s="12" t="s">
        <v>278</v>
      </c>
      <c r="I44" s="13">
        <v>1</v>
      </c>
      <c r="J44" s="14">
        <v>66</v>
      </c>
      <c r="K44" s="14">
        <v>66</v>
      </c>
    </row>
    <row r="45" spans="4:11">
      <c r="D45" s="11">
        <v>46083</v>
      </c>
      <c r="E45" s="12">
        <v>1581495</v>
      </c>
      <c r="F45" s="12" t="s">
        <v>116</v>
      </c>
      <c r="G45" s="13">
        <v>20410297</v>
      </c>
      <c r="H45" s="12" t="s">
        <v>291</v>
      </c>
      <c r="I45" s="13">
        <v>1</v>
      </c>
      <c r="J45" s="20">
        <v>35</v>
      </c>
      <c r="K45" s="14">
        <v>35</v>
      </c>
    </row>
    <row r="46" spans="4:11">
      <c r="D46" s="11">
        <v>46085</v>
      </c>
      <c r="E46" s="12">
        <v>1581942</v>
      </c>
      <c r="F46" s="12" t="s">
        <v>256</v>
      </c>
      <c r="G46" s="13">
        <v>20321098</v>
      </c>
      <c r="H46" s="12" t="s">
        <v>258</v>
      </c>
      <c r="I46" s="13">
        <v>1</v>
      </c>
      <c r="J46" s="14">
        <v>132</v>
      </c>
      <c r="K46" s="14">
        <v>132</v>
      </c>
    </row>
    <row r="47" spans="4:11">
      <c r="D47" s="11">
        <v>46085</v>
      </c>
      <c r="E47" s="12">
        <v>1581942</v>
      </c>
      <c r="F47" s="12" t="s">
        <v>256</v>
      </c>
      <c r="G47" s="13">
        <v>20410999</v>
      </c>
      <c r="H47" s="12" t="s">
        <v>305</v>
      </c>
      <c r="I47" s="13">
        <v>1</v>
      </c>
      <c r="J47" s="14">
        <v>35</v>
      </c>
      <c r="K47" s="14">
        <v>35</v>
      </c>
    </row>
    <row r="48" spans="4:11">
      <c r="D48" s="11">
        <v>46085</v>
      </c>
      <c r="E48" s="12">
        <v>1581942</v>
      </c>
      <c r="F48" s="12" t="s">
        <v>116</v>
      </c>
      <c r="G48" s="13">
        <v>20366042</v>
      </c>
      <c r="H48" s="12" t="s">
        <v>303</v>
      </c>
      <c r="I48" s="13">
        <v>1</v>
      </c>
      <c r="J48" s="14">
        <v>35</v>
      </c>
      <c r="K48" s="14">
        <v>35</v>
      </c>
    </row>
    <row r="49" spans="4:11">
      <c r="D49" s="11">
        <v>46085</v>
      </c>
      <c r="E49" s="12">
        <v>1581998</v>
      </c>
      <c r="F49" s="12" t="s">
        <v>211</v>
      </c>
      <c r="G49" s="13">
        <v>20325053</v>
      </c>
      <c r="H49" s="12" t="s">
        <v>283</v>
      </c>
      <c r="I49" s="13">
        <v>1</v>
      </c>
      <c r="J49" s="14">
        <v>35</v>
      </c>
      <c r="K49" s="14">
        <v>35</v>
      </c>
    </row>
    <row r="50" spans="4:11">
      <c r="D50" s="11">
        <v>46085</v>
      </c>
      <c r="E50" s="12">
        <v>1581998</v>
      </c>
      <c r="F50" s="12" t="s">
        <v>256</v>
      </c>
      <c r="G50" s="13">
        <v>20385206</v>
      </c>
      <c r="H50" s="12" t="s">
        <v>299</v>
      </c>
      <c r="I50" s="13">
        <v>1</v>
      </c>
      <c r="J50" s="14">
        <v>35</v>
      </c>
      <c r="K50" s="14">
        <v>35</v>
      </c>
    </row>
    <row r="51" spans="4:11">
      <c r="D51" s="11">
        <v>46085</v>
      </c>
      <c r="E51" s="12">
        <v>1581998</v>
      </c>
      <c r="F51" s="12" t="s">
        <v>116</v>
      </c>
      <c r="G51" s="13">
        <v>20361902</v>
      </c>
      <c r="H51" s="12" t="s">
        <v>298</v>
      </c>
      <c r="I51" s="13">
        <v>1</v>
      </c>
      <c r="J51" s="14">
        <v>66</v>
      </c>
      <c r="K51" s="14">
        <v>66</v>
      </c>
    </row>
    <row r="52" spans="4:11">
      <c r="D52" s="11">
        <v>46085</v>
      </c>
      <c r="E52" s="12">
        <v>1582056</v>
      </c>
      <c r="F52" s="12" t="s">
        <v>211</v>
      </c>
      <c r="G52" s="13">
        <v>20321255</v>
      </c>
      <c r="H52" s="12" t="s">
        <v>287</v>
      </c>
      <c r="I52" s="13">
        <v>1</v>
      </c>
      <c r="J52" s="14">
        <v>30</v>
      </c>
      <c r="K52" s="14">
        <v>30</v>
      </c>
    </row>
    <row r="53" spans="4:11">
      <c r="D53" s="11">
        <v>46085</v>
      </c>
      <c r="E53" s="12">
        <v>1582056</v>
      </c>
      <c r="F53" s="12" t="s">
        <v>116</v>
      </c>
      <c r="G53" s="13">
        <v>20325176</v>
      </c>
      <c r="H53" s="12" t="s">
        <v>297</v>
      </c>
      <c r="I53" s="13">
        <v>1</v>
      </c>
      <c r="J53" s="14">
        <v>66</v>
      </c>
      <c r="K53" s="14">
        <v>66</v>
      </c>
    </row>
    <row r="54" spans="4:11">
      <c r="D54" s="11">
        <v>46085</v>
      </c>
      <c r="E54" s="12">
        <v>1582056</v>
      </c>
      <c r="F54" s="12" t="s">
        <v>116</v>
      </c>
      <c r="G54" s="13">
        <v>20329023</v>
      </c>
      <c r="H54" s="12" t="s">
        <v>279</v>
      </c>
      <c r="I54" s="13">
        <v>1</v>
      </c>
      <c r="J54" s="14">
        <v>35</v>
      </c>
      <c r="K54" s="14">
        <v>35</v>
      </c>
    </row>
    <row r="55" spans="4:11">
      <c r="D55" s="11">
        <v>46085</v>
      </c>
      <c r="E55" s="12">
        <v>1582112</v>
      </c>
      <c r="F55" s="12" t="s">
        <v>211</v>
      </c>
      <c r="G55" s="13">
        <v>20377109</v>
      </c>
      <c r="H55" s="12" t="s">
        <v>275</v>
      </c>
      <c r="I55" s="13">
        <v>1</v>
      </c>
      <c r="J55" s="14">
        <v>30</v>
      </c>
      <c r="K55" s="14">
        <v>30</v>
      </c>
    </row>
    <row r="56" ht="25.5" spans="4:11">
      <c r="D56" s="11">
        <v>46085</v>
      </c>
      <c r="E56" s="12">
        <v>1582112</v>
      </c>
      <c r="F56" s="12" t="s">
        <v>256</v>
      </c>
      <c r="G56" s="13">
        <v>20409857</v>
      </c>
      <c r="H56" s="12" t="s">
        <v>276</v>
      </c>
      <c r="I56" s="13">
        <v>1</v>
      </c>
      <c r="J56" s="14">
        <v>66</v>
      </c>
      <c r="K56" s="14">
        <v>66</v>
      </c>
    </row>
    <row r="57" spans="4:11">
      <c r="D57" s="11">
        <v>46085</v>
      </c>
      <c r="E57" s="12">
        <v>1582112</v>
      </c>
      <c r="F57" s="12" t="s">
        <v>116</v>
      </c>
      <c r="G57" s="13">
        <v>20366039</v>
      </c>
      <c r="H57" s="12" t="s">
        <v>296</v>
      </c>
      <c r="I57" s="13">
        <v>1</v>
      </c>
      <c r="J57" s="20">
        <v>35</v>
      </c>
      <c r="K57" s="14">
        <v>35</v>
      </c>
    </row>
    <row r="58" ht="25.5" spans="4:11">
      <c r="D58" s="11">
        <v>46086</v>
      </c>
      <c r="E58" s="12">
        <v>1582347</v>
      </c>
      <c r="F58" s="12" t="s">
        <v>256</v>
      </c>
      <c r="G58" s="13">
        <v>20409857</v>
      </c>
      <c r="H58" s="12" t="s">
        <v>276</v>
      </c>
      <c r="I58" s="13">
        <v>1</v>
      </c>
      <c r="J58" s="14">
        <v>66</v>
      </c>
      <c r="K58" s="14">
        <v>66</v>
      </c>
    </row>
    <row r="59" spans="4:11">
      <c r="D59" s="11">
        <v>46086</v>
      </c>
      <c r="E59" s="12">
        <v>1582374</v>
      </c>
      <c r="F59" s="12" t="s">
        <v>211</v>
      </c>
      <c r="G59" s="13">
        <v>20408955</v>
      </c>
      <c r="H59" s="12" t="s">
        <v>300</v>
      </c>
      <c r="I59" s="13">
        <v>1</v>
      </c>
      <c r="J59" s="14">
        <v>30</v>
      </c>
      <c r="K59" s="14">
        <v>30</v>
      </c>
    </row>
    <row r="60" spans="4:11">
      <c r="D60" s="11">
        <v>46086</v>
      </c>
      <c r="E60" s="12">
        <v>1582374</v>
      </c>
      <c r="F60" s="12" t="s">
        <v>211</v>
      </c>
      <c r="G60" s="13">
        <v>20325053</v>
      </c>
      <c r="H60" s="12" t="s">
        <v>283</v>
      </c>
      <c r="I60" s="13">
        <v>1</v>
      </c>
      <c r="J60" s="14">
        <v>35</v>
      </c>
      <c r="K60" s="14">
        <v>35</v>
      </c>
    </row>
    <row r="61" spans="4:11">
      <c r="D61" s="11">
        <v>46086</v>
      </c>
      <c r="E61" s="12">
        <v>1582374</v>
      </c>
      <c r="F61" s="12" t="s">
        <v>256</v>
      </c>
      <c r="G61" s="13">
        <v>20410241</v>
      </c>
      <c r="H61" s="12" t="s">
        <v>290</v>
      </c>
      <c r="I61" s="13">
        <v>1</v>
      </c>
      <c r="J61" s="14">
        <v>35</v>
      </c>
      <c r="K61" s="14">
        <v>35</v>
      </c>
    </row>
    <row r="62" spans="4:11">
      <c r="D62" s="11">
        <v>46086</v>
      </c>
      <c r="E62" s="12">
        <v>1582374</v>
      </c>
      <c r="F62" s="12" t="s">
        <v>116</v>
      </c>
      <c r="G62" s="13">
        <v>20409994</v>
      </c>
      <c r="H62" s="12" t="s">
        <v>278</v>
      </c>
      <c r="I62" s="13">
        <v>1</v>
      </c>
      <c r="J62" s="14">
        <v>66</v>
      </c>
      <c r="K62" s="14">
        <v>66</v>
      </c>
    </row>
    <row r="63" spans="4:11">
      <c r="D63" s="11">
        <v>46086</v>
      </c>
      <c r="E63" s="12">
        <v>1582374</v>
      </c>
      <c r="F63" s="12" t="s">
        <v>116</v>
      </c>
      <c r="G63" s="13">
        <v>20410297</v>
      </c>
      <c r="H63" s="12" t="s">
        <v>291</v>
      </c>
      <c r="I63" s="13">
        <v>1</v>
      </c>
      <c r="J63" s="20">
        <v>35</v>
      </c>
      <c r="K63" s="14">
        <v>35</v>
      </c>
    </row>
    <row r="64" spans="4:11">
      <c r="D64" s="11">
        <v>46086</v>
      </c>
      <c r="E64" s="12">
        <v>1582462</v>
      </c>
      <c r="F64" s="12" t="s">
        <v>211</v>
      </c>
      <c r="G64" s="13">
        <v>20321255</v>
      </c>
      <c r="H64" s="12" t="s">
        <v>287</v>
      </c>
      <c r="I64" s="13">
        <v>1</v>
      </c>
      <c r="J64" s="14">
        <v>30</v>
      </c>
      <c r="K64" s="14">
        <v>30</v>
      </c>
    </row>
    <row r="65" spans="4:11">
      <c r="D65" s="11">
        <v>46086</v>
      </c>
      <c r="E65" s="12">
        <v>1582462</v>
      </c>
      <c r="F65" s="12" t="s">
        <v>211</v>
      </c>
      <c r="G65" s="13">
        <v>20377109</v>
      </c>
      <c r="H65" s="12" t="s">
        <v>275</v>
      </c>
      <c r="I65" s="13">
        <v>1</v>
      </c>
      <c r="J65" s="14">
        <v>30</v>
      </c>
      <c r="K65" s="14">
        <v>30</v>
      </c>
    </row>
    <row r="66" spans="4:11">
      <c r="D66" s="11">
        <v>46086</v>
      </c>
      <c r="E66" s="12">
        <v>1582462</v>
      </c>
      <c r="F66" s="12" t="s">
        <v>256</v>
      </c>
      <c r="G66" s="13">
        <v>20321069</v>
      </c>
      <c r="H66" s="12" t="s">
        <v>259</v>
      </c>
      <c r="I66" s="13">
        <v>1</v>
      </c>
      <c r="J66" s="14">
        <v>132</v>
      </c>
      <c r="K66" s="14">
        <v>132</v>
      </c>
    </row>
    <row r="67" spans="4:11">
      <c r="D67" s="11">
        <v>46086</v>
      </c>
      <c r="E67" s="12">
        <v>1582462</v>
      </c>
      <c r="F67" s="12" t="s">
        <v>116</v>
      </c>
      <c r="G67" s="13">
        <v>20366039</v>
      </c>
      <c r="H67" s="12" t="s">
        <v>296</v>
      </c>
      <c r="I67" s="13">
        <v>1</v>
      </c>
      <c r="J67" s="20">
        <v>35</v>
      </c>
      <c r="K67" s="14">
        <v>35</v>
      </c>
    </row>
    <row r="68" spans="4:11">
      <c r="D68" s="11">
        <v>46086</v>
      </c>
      <c r="E68" s="12">
        <v>1582462</v>
      </c>
      <c r="F68" s="12" t="s">
        <v>116</v>
      </c>
      <c r="G68" s="13">
        <v>20410984</v>
      </c>
      <c r="H68" s="12" t="s">
        <v>304</v>
      </c>
      <c r="I68" s="13">
        <v>1</v>
      </c>
      <c r="J68" s="20">
        <v>35</v>
      </c>
      <c r="K68" s="14">
        <v>35</v>
      </c>
    </row>
    <row r="69" spans="4:11">
      <c r="D69" s="11">
        <v>46086</v>
      </c>
      <c r="E69" s="12">
        <v>1582462</v>
      </c>
      <c r="F69" s="12" t="s">
        <v>116</v>
      </c>
      <c r="G69" s="13">
        <v>20329023</v>
      </c>
      <c r="H69" s="12" t="s">
        <v>279</v>
      </c>
      <c r="I69" s="13">
        <v>1</v>
      </c>
      <c r="J69" s="14">
        <v>35</v>
      </c>
      <c r="K69" s="14">
        <v>35</v>
      </c>
    </row>
    <row r="70" spans="4:11">
      <c r="D70" s="11">
        <v>46087</v>
      </c>
      <c r="E70" s="12">
        <v>1582646</v>
      </c>
      <c r="F70" s="12" t="s">
        <v>256</v>
      </c>
      <c r="G70" s="13">
        <v>20410999</v>
      </c>
      <c r="H70" s="12" t="s">
        <v>305</v>
      </c>
      <c r="I70" s="13">
        <v>1</v>
      </c>
      <c r="J70" s="14">
        <v>35</v>
      </c>
      <c r="K70" s="14">
        <v>35</v>
      </c>
    </row>
    <row r="71" spans="4:11">
      <c r="D71" s="11">
        <v>46087</v>
      </c>
      <c r="E71" s="12">
        <v>1582646</v>
      </c>
      <c r="F71" s="12" t="s">
        <v>116</v>
      </c>
      <c r="G71" s="13">
        <v>20366042</v>
      </c>
      <c r="H71" s="12" t="s">
        <v>303</v>
      </c>
      <c r="I71" s="13">
        <v>1</v>
      </c>
      <c r="J71" s="14">
        <v>35</v>
      </c>
      <c r="K71" s="14">
        <v>35</v>
      </c>
    </row>
    <row r="72" spans="4:11">
      <c r="D72" s="11">
        <v>46087</v>
      </c>
      <c r="E72" s="12">
        <v>1582722</v>
      </c>
      <c r="F72" s="12" t="s">
        <v>116</v>
      </c>
      <c r="G72" s="13">
        <v>20410984</v>
      </c>
      <c r="H72" s="12" t="s">
        <v>304</v>
      </c>
      <c r="I72" s="13">
        <v>1</v>
      </c>
      <c r="J72" s="20">
        <v>35</v>
      </c>
      <c r="K72" s="14">
        <v>35</v>
      </c>
    </row>
    <row r="73" spans="4:11">
      <c r="D73" s="11">
        <v>46087</v>
      </c>
      <c r="E73" s="12">
        <v>1582745</v>
      </c>
      <c r="F73" s="12" t="s">
        <v>116</v>
      </c>
      <c r="G73" s="13">
        <v>20366043</v>
      </c>
      <c r="H73" s="12" t="s">
        <v>306</v>
      </c>
      <c r="I73" s="13">
        <v>1</v>
      </c>
      <c r="J73" s="14">
        <v>35</v>
      </c>
      <c r="K73" s="14">
        <v>35</v>
      </c>
    </row>
    <row r="74" spans="4:11">
      <c r="D74" s="11">
        <v>46087</v>
      </c>
      <c r="E74" s="12">
        <v>1582745</v>
      </c>
      <c r="F74" s="12" t="s">
        <v>116</v>
      </c>
      <c r="G74" s="13">
        <v>20366044</v>
      </c>
      <c r="H74" s="12" t="s">
        <v>269</v>
      </c>
      <c r="I74" s="13">
        <v>1</v>
      </c>
      <c r="J74" s="14">
        <v>35</v>
      </c>
      <c r="K74" s="14">
        <v>35</v>
      </c>
    </row>
    <row r="75" spans="4:11">
      <c r="D75" s="11">
        <v>46087</v>
      </c>
      <c r="E75" s="12">
        <v>1582745</v>
      </c>
      <c r="F75" s="12" t="s">
        <v>116</v>
      </c>
      <c r="G75" s="13">
        <v>20410954</v>
      </c>
      <c r="H75" s="12" t="s">
        <v>307</v>
      </c>
      <c r="I75" s="13">
        <v>1</v>
      </c>
      <c r="J75" s="14">
        <v>35</v>
      </c>
      <c r="K75" s="14">
        <v>35</v>
      </c>
    </row>
  </sheetData>
  <mergeCells count="5">
    <mergeCell ref="D8:H8"/>
    <mergeCell ref="C7:C10"/>
    <mergeCell ref="C1:H2"/>
    <mergeCell ref="B4:H5"/>
    <mergeCell ref="A7:B10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K23"/>
  <sheetViews>
    <sheetView view="pageBreakPreview" zoomScaleNormal="100" workbookViewId="0">
      <selection activeCell="K30" sqref="K3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customFormat="1" spans="1:11">
      <c r="C1" s="1" t="s">
        <v>0</v>
      </c>
    </row>
    <row r="2" ht="23.05" customHeight="1"/>
    <row r="3" ht="2" customHeight="1"/>
    <row r="4" customFormat="1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customHeight="1" spans="1:11">
      <c r="D8" s="19" t="s">
        <v>308</v>
      </c>
      <c r="E8" s="8"/>
      <c r="F8" s="8"/>
      <c r="G8" s="8"/>
      <c r="H8" s="8"/>
      <c r="I8" s="9">
        <f>SUM(I9:I23)</f>
        <v>16</v>
      </c>
      <c r="J8" s="10"/>
      <c r="K8" s="10">
        <f>SUM(K9:K23)</f>
        <v>1030</v>
      </c>
    </row>
    <row r="9" customFormat="1" ht="14.25" customHeight="1" spans="1:11">
      <c r="D9" s="11">
        <v>46073</v>
      </c>
      <c r="E9" s="12">
        <v>1579306</v>
      </c>
      <c r="F9" s="12" t="s">
        <v>211</v>
      </c>
      <c r="G9" s="13">
        <v>20394810</v>
      </c>
      <c r="H9" s="12" t="s">
        <v>309</v>
      </c>
      <c r="I9" s="13">
        <v>1</v>
      </c>
      <c r="J9" s="14">
        <v>44</v>
      </c>
      <c r="K9" s="14">
        <v>44</v>
      </c>
    </row>
    <row r="10" customFormat="1" ht="14.25" customHeight="1" spans="1:11">
      <c r="D10" s="11">
        <v>46073</v>
      </c>
      <c r="E10" s="12">
        <v>1579306</v>
      </c>
      <c r="F10" s="12" t="s">
        <v>211</v>
      </c>
      <c r="G10" s="13">
        <v>20341567</v>
      </c>
      <c r="H10" s="12" t="s">
        <v>310</v>
      </c>
      <c r="I10" s="13">
        <v>1</v>
      </c>
      <c r="J10" s="14">
        <v>30</v>
      </c>
      <c r="K10" s="14">
        <v>30</v>
      </c>
    </row>
    <row r="11" customFormat="1" ht="14.25" customHeight="1" spans="1:11">
      <c r="D11" s="11">
        <v>46073</v>
      </c>
      <c r="E11" s="12">
        <v>1579306</v>
      </c>
      <c r="F11" s="12" t="s">
        <v>256</v>
      </c>
      <c r="G11" s="13">
        <v>20329644</v>
      </c>
      <c r="H11" s="12" t="s">
        <v>311</v>
      </c>
      <c r="I11" s="13">
        <v>1</v>
      </c>
      <c r="J11" s="14">
        <v>300</v>
      </c>
      <c r="K11" s="14">
        <v>300</v>
      </c>
    </row>
    <row r="12" customFormat="1" ht="14.25" customHeight="1" spans="1:11">
      <c r="D12" s="11">
        <v>46073</v>
      </c>
      <c r="E12" s="12">
        <v>1579306</v>
      </c>
      <c r="F12" s="12" t="s">
        <v>116</v>
      </c>
      <c r="G12" s="13">
        <v>20321866</v>
      </c>
      <c r="H12" s="12" t="s">
        <v>312</v>
      </c>
      <c r="I12" s="13">
        <v>1</v>
      </c>
      <c r="J12" s="14">
        <v>165</v>
      </c>
      <c r="K12" s="14">
        <v>165</v>
      </c>
    </row>
    <row r="13" customFormat="1" ht="14.25" customHeight="1" spans="1:11">
      <c r="D13" s="11">
        <v>46073</v>
      </c>
      <c r="E13" s="12">
        <v>1579306</v>
      </c>
      <c r="F13" s="12" t="s">
        <v>116</v>
      </c>
      <c r="G13" s="13">
        <v>20321894</v>
      </c>
      <c r="H13" s="12" t="s">
        <v>313</v>
      </c>
      <c r="I13" s="13">
        <v>1</v>
      </c>
      <c r="J13" s="14">
        <v>35</v>
      </c>
      <c r="K13" s="14">
        <v>35</v>
      </c>
    </row>
    <row r="14" customFormat="1" ht="14.25" customHeight="1" spans="1:11">
      <c r="D14" s="11">
        <v>46081</v>
      </c>
      <c r="E14" s="12">
        <v>1581172</v>
      </c>
      <c r="F14" s="12" t="s">
        <v>211</v>
      </c>
      <c r="G14" s="13">
        <v>20414062</v>
      </c>
      <c r="H14" s="12" t="s">
        <v>314</v>
      </c>
      <c r="I14" s="13">
        <v>1</v>
      </c>
      <c r="J14" s="14">
        <v>44</v>
      </c>
      <c r="K14" s="14">
        <v>44</v>
      </c>
    </row>
    <row r="15" customFormat="1" ht="14.25" customHeight="1" spans="1:11">
      <c r="D15" s="11">
        <v>46082</v>
      </c>
      <c r="E15" s="12">
        <v>1581249</v>
      </c>
      <c r="F15" s="12" t="s">
        <v>211</v>
      </c>
      <c r="G15" s="13">
        <v>20401553</v>
      </c>
      <c r="H15" s="12" t="s">
        <v>315</v>
      </c>
      <c r="I15" s="13">
        <v>1</v>
      </c>
      <c r="J15" s="14">
        <v>30</v>
      </c>
      <c r="K15" s="14">
        <v>30</v>
      </c>
    </row>
    <row r="16" customFormat="1" ht="14.25" customHeight="1" spans="1:11">
      <c r="D16" s="11">
        <v>46082</v>
      </c>
      <c r="E16" s="12">
        <v>1581249</v>
      </c>
      <c r="F16" s="12" t="s">
        <v>116</v>
      </c>
      <c r="G16" s="13">
        <v>20414054</v>
      </c>
      <c r="H16" s="12" t="s">
        <v>316</v>
      </c>
      <c r="I16" s="13">
        <v>1</v>
      </c>
      <c r="J16" s="14">
        <v>35</v>
      </c>
      <c r="K16" s="14">
        <v>35</v>
      </c>
    </row>
    <row r="17" customFormat="1" ht="14.25" customHeight="1" spans="4:11">
      <c r="D17" s="11">
        <v>46082</v>
      </c>
      <c r="E17" s="12">
        <v>1581249</v>
      </c>
      <c r="F17" s="12" t="s">
        <v>116</v>
      </c>
      <c r="G17" s="13">
        <v>20414056</v>
      </c>
      <c r="H17" s="12" t="s">
        <v>317</v>
      </c>
      <c r="I17" s="13">
        <v>1</v>
      </c>
      <c r="J17" s="14">
        <v>35</v>
      </c>
      <c r="K17" s="14">
        <v>35</v>
      </c>
    </row>
    <row r="18" customFormat="1" ht="14.25" customHeight="1" spans="4:11">
      <c r="D18" s="11">
        <v>46083</v>
      </c>
      <c r="E18" s="12">
        <v>1581454</v>
      </c>
      <c r="F18" s="12" t="s">
        <v>211</v>
      </c>
      <c r="G18" s="13">
        <v>20394323</v>
      </c>
      <c r="H18" s="12" t="s">
        <v>318</v>
      </c>
      <c r="I18" s="13">
        <v>1</v>
      </c>
      <c r="J18" s="14">
        <v>44</v>
      </c>
      <c r="K18" s="14">
        <v>44</v>
      </c>
    </row>
    <row r="19" spans="4:11">
      <c r="D19" s="11">
        <v>46083</v>
      </c>
      <c r="E19" s="12">
        <v>1581454</v>
      </c>
      <c r="F19" s="12" t="s">
        <v>211</v>
      </c>
      <c r="G19" s="13">
        <v>20414062</v>
      </c>
      <c r="H19" s="12" t="s">
        <v>314</v>
      </c>
      <c r="I19" s="13">
        <v>1</v>
      </c>
      <c r="J19" s="14">
        <v>44</v>
      </c>
      <c r="K19" s="14">
        <v>44</v>
      </c>
    </row>
    <row r="20" spans="4:11">
      <c r="D20" s="11">
        <v>46084</v>
      </c>
      <c r="E20" s="12">
        <v>1581635</v>
      </c>
      <c r="F20" s="12" t="s">
        <v>211</v>
      </c>
      <c r="G20" s="13">
        <v>20394323</v>
      </c>
      <c r="H20" s="12" t="s">
        <v>318</v>
      </c>
      <c r="I20" s="13">
        <v>2</v>
      </c>
      <c r="J20" s="14">
        <v>44</v>
      </c>
      <c r="K20" s="14">
        <v>88</v>
      </c>
    </row>
    <row r="21" spans="4:11">
      <c r="D21" s="11">
        <v>46084</v>
      </c>
      <c r="E21" s="12">
        <v>1581635</v>
      </c>
      <c r="F21" s="12" t="s">
        <v>211</v>
      </c>
      <c r="G21" s="13">
        <v>20404556</v>
      </c>
      <c r="H21" s="12" t="s">
        <v>319</v>
      </c>
      <c r="I21" s="13">
        <v>1</v>
      </c>
      <c r="J21" s="14">
        <v>66</v>
      </c>
      <c r="K21" s="14">
        <v>66</v>
      </c>
    </row>
    <row r="22" spans="4:11">
      <c r="D22" s="11">
        <v>46084</v>
      </c>
      <c r="E22" s="12">
        <v>1581635</v>
      </c>
      <c r="F22" s="12" t="s">
        <v>116</v>
      </c>
      <c r="G22" s="13">
        <v>20414054</v>
      </c>
      <c r="H22" s="12" t="s">
        <v>316</v>
      </c>
      <c r="I22" s="13">
        <v>1</v>
      </c>
      <c r="J22" s="14">
        <v>35</v>
      </c>
      <c r="K22" s="14">
        <v>35</v>
      </c>
    </row>
    <row r="23" spans="4:11">
      <c r="D23" s="11">
        <v>46084</v>
      </c>
      <c r="E23" s="12">
        <v>1581635</v>
      </c>
      <c r="F23" s="12" t="s">
        <v>116</v>
      </c>
      <c r="G23" s="13">
        <v>20414056</v>
      </c>
      <c r="H23" s="12" t="s">
        <v>317</v>
      </c>
      <c r="I23" s="13">
        <v>1</v>
      </c>
      <c r="J23" s="14">
        <v>35</v>
      </c>
      <c r="K23" s="14">
        <v>35</v>
      </c>
    </row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showGridLines="0" view="pageBreakPreview" zoomScaleNormal="100" workbookViewId="0">
      <pane ySplit="6" topLeftCell="A7" activePane="bottomLeft" state="frozen"/>
      <selection/>
      <selection pane="bottomLeft" activeCell="P10" sqref="P1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100</v>
      </c>
      <c r="E8" s="8" t="s">
        <v>2</v>
      </c>
      <c r="F8" s="8" t="s">
        <v>2</v>
      </c>
      <c r="G8" s="8" t="s">
        <v>2</v>
      </c>
      <c r="H8" s="8" t="s">
        <v>2</v>
      </c>
      <c r="I8" s="9">
        <v>12</v>
      </c>
      <c r="J8" s="10"/>
      <c r="K8" s="10">
        <v>308</v>
      </c>
    </row>
    <row r="9" spans="1:11">
      <c r="D9" s="11">
        <v>46063</v>
      </c>
      <c r="E9" s="12">
        <v>1577674</v>
      </c>
      <c r="F9" s="12" t="s">
        <v>30</v>
      </c>
      <c r="G9" s="13">
        <v>20321092</v>
      </c>
      <c r="H9" s="12" t="s">
        <v>320</v>
      </c>
      <c r="I9" s="13">
        <v>1</v>
      </c>
      <c r="J9" s="14">
        <v>44</v>
      </c>
      <c r="K9" s="14">
        <v>44</v>
      </c>
    </row>
    <row r="10" spans="1:11">
      <c r="D10" s="11">
        <v>46065</v>
      </c>
      <c r="E10" s="12">
        <v>1578503</v>
      </c>
      <c r="F10" s="12" t="s">
        <v>321</v>
      </c>
      <c r="G10" s="13">
        <v>20321624</v>
      </c>
      <c r="H10" s="12" t="s">
        <v>322</v>
      </c>
      <c r="I10" s="13">
        <v>1</v>
      </c>
      <c r="J10" s="14">
        <v>35</v>
      </c>
      <c r="K10" s="14">
        <v>35</v>
      </c>
    </row>
    <row r="11" spans="1:11">
      <c r="D11" s="11">
        <v>46066</v>
      </c>
      <c r="E11" s="12">
        <v>1578598</v>
      </c>
      <c r="F11" s="12" t="s">
        <v>16</v>
      </c>
      <c r="G11" s="13">
        <v>20321075</v>
      </c>
      <c r="H11" s="12" t="s">
        <v>323</v>
      </c>
      <c r="I11" s="13">
        <v>1</v>
      </c>
      <c r="J11" s="14">
        <v>8</v>
      </c>
      <c r="K11" s="14">
        <v>8</v>
      </c>
    </row>
    <row r="12" spans="1:11">
      <c r="D12" s="11">
        <v>46067</v>
      </c>
      <c r="E12" s="12">
        <v>1578891</v>
      </c>
      <c r="F12" s="12" t="s">
        <v>16</v>
      </c>
      <c r="G12" s="13">
        <v>20321075</v>
      </c>
      <c r="H12" s="12" t="s">
        <v>323</v>
      </c>
      <c r="I12" s="13">
        <v>1</v>
      </c>
      <c r="J12" s="14">
        <v>8</v>
      </c>
      <c r="K12" s="14">
        <v>8</v>
      </c>
    </row>
    <row r="13" spans="1:11">
      <c r="D13" s="11">
        <v>46077</v>
      </c>
      <c r="E13" s="12">
        <v>1579651</v>
      </c>
      <c r="F13" s="12" t="s">
        <v>30</v>
      </c>
      <c r="G13" s="13">
        <v>20321713</v>
      </c>
      <c r="H13" s="12" t="s">
        <v>324</v>
      </c>
      <c r="I13" s="13">
        <v>1</v>
      </c>
      <c r="J13" s="14">
        <v>121</v>
      </c>
      <c r="K13" s="14">
        <v>121</v>
      </c>
    </row>
    <row r="14" spans="1:11">
      <c r="D14" s="11">
        <v>46077</v>
      </c>
      <c r="E14" s="12">
        <v>1579651</v>
      </c>
      <c r="F14" s="12" t="s">
        <v>30</v>
      </c>
      <c r="G14" s="13">
        <v>20321092</v>
      </c>
      <c r="H14" s="12" t="s">
        <v>320</v>
      </c>
      <c r="I14" s="13">
        <v>1</v>
      </c>
      <c r="J14" s="14">
        <v>44</v>
      </c>
      <c r="K14" s="14">
        <v>44</v>
      </c>
    </row>
    <row r="15" spans="1:11">
      <c r="D15" s="11">
        <v>46078</v>
      </c>
      <c r="E15" s="12">
        <v>1579964</v>
      </c>
      <c r="F15" s="12" t="s">
        <v>16</v>
      </c>
      <c r="G15" s="13">
        <v>20321075</v>
      </c>
      <c r="H15" s="12" t="s">
        <v>323</v>
      </c>
      <c r="I15" s="13">
        <v>1</v>
      </c>
      <c r="J15" s="14">
        <v>8</v>
      </c>
      <c r="K15" s="14">
        <v>8</v>
      </c>
    </row>
    <row r="16" spans="1:11">
      <c r="D16" s="11">
        <v>46081</v>
      </c>
      <c r="E16" s="12">
        <v>1580999</v>
      </c>
      <c r="F16" s="12" t="s">
        <v>16</v>
      </c>
      <c r="G16" s="13">
        <v>20321075</v>
      </c>
      <c r="H16" s="12" t="s">
        <v>323</v>
      </c>
      <c r="I16" s="13">
        <v>1</v>
      </c>
      <c r="J16" s="14">
        <v>8</v>
      </c>
      <c r="K16" s="14">
        <v>8</v>
      </c>
    </row>
    <row r="17" spans="4:11">
      <c r="D17" s="11">
        <v>46084</v>
      </c>
      <c r="E17" s="12">
        <v>1581675</v>
      </c>
      <c r="F17" s="12" t="s">
        <v>16</v>
      </c>
      <c r="G17" s="13">
        <v>20321075</v>
      </c>
      <c r="H17" s="12" t="s">
        <v>323</v>
      </c>
      <c r="I17" s="13">
        <v>1</v>
      </c>
      <c r="J17" s="14">
        <v>8</v>
      </c>
      <c r="K17" s="14">
        <v>8</v>
      </c>
    </row>
    <row r="18" spans="4:11">
      <c r="D18" s="11">
        <v>46085</v>
      </c>
      <c r="E18" s="12">
        <v>1581976</v>
      </c>
      <c r="F18" s="12" t="s">
        <v>16</v>
      </c>
      <c r="G18" s="13">
        <v>20321075</v>
      </c>
      <c r="H18" s="12" t="s">
        <v>323</v>
      </c>
      <c r="I18" s="13">
        <v>1</v>
      </c>
      <c r="J18" s="14">
        <v>8</v>
      </c>
      <c r="K18" s="14">
        <v>8</v>
      </c>
    </row>
    <row r="19" spans="4:11">
      <c r="D19" s="11">
        <v>46087</v>
      </c>
      <c r="E19" s="12">
        <v>1582636</v>
      </c>
      <c r="F19" s="12" t="s">
        <v>16</v>
      </c>
      <c r="G19" s="13">
        <v>20321075</v>
      </c>
      <c r="H19" s="12" t="s">
        <v>323</v>
      </c>
      <c r="I19" s="13">
        <v>2</v>
      </c>
      <c r="J19" s="14">
        <v>8</v>
      </c>
      <c r="K19" s="14">
        <v>16</v>
      </c>
    </row>
  </sheetData>
  <autoFilter xmlns:etc="http://www.wps.cn/officeDocument/2017/etCustomData" ref="A7:K19" etc:filterBottomFollowUsedRange="0">
    <extLst/>
  </autoFilter>
  <mergeCells count="5">
    <mergeCell ref="D8:H8"/>
    <mergeCell ref="C7:C19"/>
    <mergeCell ref="B4:H5"/>
    <mergeCell ref="A7:B1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&amp;"-,Regular"2026年3月9日 8:21 
&amp;"-,Bold"&amp;10 黑龙江省铂康医疗灭菌有限公司 &amp;R&amp;"Droid Sans Fallback"&amp;9第&amp;P页，共&amp;N页 </oddFooter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325</v>
      </c>
      <c r="E8" s="8" t="s">
        <v>2</v>
      </c>
      <c r="F8" s="8" t="s">
        <v>2</v>
      </c>
      <c r="G8" s="8" t="s">
        <v>2</v>
      </c>
      <c r="H8" s="8" t="s">
        <v>2</v>
      </c>
      <c r="I8" s="9">
        <v>5</v>
      </c>
      <c r="J8" s="10"/>
      <c r="K8" s="10">
        <v>148.5</v>
      </c>
    </row>
    <row r="9" spans="1:11">
      <c r="D9" s="11">
        <v>46062</v>
      </c>
      <c r="E9" s="12">
        <v>1577299</v>
      </c>
      <c r="F9" s="12" t="s">
        <v>20</v>
      </c>
      <c r="G9" s="13">
        <v>20322724</v>
      </c>
      <c r="H9" s="12" t="s">
        <v>326</v>
      </c>
      <c r="I9" s="13">
        <v>1</v>
      </c>
      <c r="J9" s="14">
        <v>33</v>
      </c>
      <c r="K9" s="14">
        <v>33</v>
      </c>
    </row>
    <row r="10" spans="1:11">
      <c r="D10" s="11">
        <v>46078</v>
      </c>
      <c r="E10" s="12">
        <v>1580040</v>
      </c>
      <c r="F10" s="12" t="s">
        <v>20</v>
      </c>
      <c r="G10" s="13">
        <v>20322724</v>
      </c>
      <c r="H10" s="12" t="s">
        <v>326</v>
      </c>
      <c r="I10" s="13">
        <v>1</v>
      </c>
      <c r="J10" s="14">
        <v>33</v>
      </c>
      <c r="K10" s="14">
        <v>33</v>
      </c>
    </row>
    <row r="11" spans="1:11">
      <c r="D11" s="11">
        <v>46081</v>
      </c>
      <c r="E11" s="12">
        <v>1580956</v>
      </c>
      <c r="F11" s="12" t="s">
        <v>20</v>
      </c>
      <c r="G11" s="13">
        <v>20318120</v>
      </c>
      <c r="H11" s="12" t="s">
        <v>327</v>
      </c>
      <c r="I11" s="13">
        <v>1</v>
      </c>
      <c r="J11" s="14">
        <v>27.5</v>
      </c>
      <c r="K11" s="14">
        <v>27.5</v>
      </c>
    </row>
    <row r="12" spans="1:11">
      <c r="D12" s="11">
        <v>46083</v>
      </c>
      <c r="E12" s="12">
        <v>1581371</v>
      </c>
      <c r="F12" s="12" t="s">
        <v>30</v>
      </c>
      <c r="G12" s="13">
        <v>20318100</v>
      </c>
      <c r="H12" s="12" t="s">
        <v>328</v>
      </c>
      <c r="I12" s="13">
        <v>1</v>
      </c>
      <c r="J12" s="14">
        <v>27.5</v>
      </c>
      <c r="K12" s="14">
        <v>27.5</v>
      </c>
    </row>
    <row r="13" spans="1:11">
      <c r="D13" s="11">
        <v>46084</v>
      </c>
      <c r="E13" s="12">
        <v>1581676</v>
      </c>
      <c r="F13" s="12" t="s">
        <v>30</v>
      </c>
      <c r="G13" s="13">
        <v>20318100</v>
      </c>
      <c r="H13" s="12" t="s">
        <v>328</v>
      </c>
      <c r="I13" s="13">
        <v>1</v>
      </c>
      <c r="J13" s="14">
        <v>27.5</v>
      </c>
      <c r="K13" s="14">
        <v>27.5</v>
      </c>
    </row>
  </sheetData>
  <mergeCells count="5">
    <mergeCell ref="D8:H8"/>
    <mergeCell ref="C7:C13"/>
    <mergeCell ref="B4:H5"/>
    <mergeCell ref="A7:B13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&amp;"-,Regular"2026年3月9日 8:21 
&amp;"-,Bold"&amp;10 黑龙江省铂康医疗灭菌有限公司 &amp;R&amp;"Droid Sans Fallback"&amp;9第&amp;P页，共&amp;N页 </oddFooter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329</v>
      </c>
      <c r="E8" s="8" t="s">
        <v>2</v>
      </c>
      <c r="F8" s="8" t="s">
        <v>2</v>
      </c>
      <c r="G8" s="8" t="s">
        <v>2</v>
      </c>
      <c r="H8" s="8" t="s">
        <v>2</v>
      </c>
      <c r="I8" s="9">
        <v>40</v>
      </c>
      <c r="J8" s="10"/>
      <c r="K8" s="10">
        <v>880</v>
      </c>
    </row>
    <row r="9" spans="1:11">
      <c r="D9" s="11">
        <v>46062</v>
      </c>
      <c r="E9" s="12">
        <v>1577342</v>
      </c>
      <c r="F9" s="12" t="s">
        <v>20</v>
      </c>
      <c r="G9" s="13">
        <v>20337403</v>
      </c>
      <c r="H9" s="12" t="s">
        <v>330</v>
      </c>
      <c r="I9" s="13">
        <v>4</v>
      </c>
      <c r="J9" s="14">
        <v>22</v>
      </c>
      <c r="K9" s="14">
        <v>88</v>
      </c>
    </row>
    <row r="10" spans="1:11">
      <c r="D10" s="11">
        <v>46064</v>
      </c>
      <c r="E10" s="12">
        <v>1578004</v>
      </c>
      <c r="F10" s="12" t="s">
        <v>20</v>
      </c>
      <c r="G10" s="13">
        <v>20337403</v>
      </c>
      <c r="H10" s="12" t="s">
        <v>330</v>
      </c>
      <c r="I10" s="13">
        <v>1</v>
      </c>
      <c r="J10" s="14">
        <v>22</v>
      </c>
      <c r="K10" s="14">
        <v>22</v>
      </c>
    </row>
    <row r="11" spans="1:11">
      <c r="D11" s="11">
        <v>46065</v>
      </c>
      <c r="E11" s="12">
        <v>1578301</v>
      </c>
      <c r="F11" s="12" t="s">
        <v>20</v>
      </c>
      <c r="G11" s="13">
        <v>20337403</v>
      </c>
      <c r="H11" s="12" t="s">
        <v>330</v>
      </c>
      <c r="I11" s="13">
        <v>3</v>
      </c>
      <c r="J11" s="14">
        <v>22</v>
      </c>
      <c r="K11" s="14">
        <v>66</v>
      </c>
    </row>
    <row r="12" spans="1:11">
      <c r="D12" s="11">
        <v>46065</v>
      </c>
      <c r="E12" s="12">
        <v>1578342</v>
      </c>
      <c r="F12" s="12" t="s">
        <v>20</v>
      </c>
      <c r="G12" s="13">
        <v>20337403</v>
      </c>
      <c r="H12" s="12" t="s">
        <v>330</v>
      </c>
      <c r="I12" s="13">
        <v>2</v>
      </c>
      <c r="J12" s="14">
        <v>22</v>
      </c>
      <c r="K12" s="14">
        <v>44</v>
      </c>
    </row>
    <row r="13" spans="1:11">
      <c r="D13" s="11">
        <v>46066</v>
      </c>
      <c r="E13" s="12">
        <v>1578642</v>
      </c>
      <c r="F13" s="12" t="s">
        <v>20</v>
      </c>
      <c r="G13" s="13">
        <v>20337403</v>
      </c>
      <c r="H13" s="12" t="s">
        <v>330</v>
      </c>
      <c r="I13" s="13">
        <v>2</v>
      </c>
      <c r="J13" s="14">
        <v>22</v>
      </c>
      <c r="K13" s="14">
        <v>44</v>
      </c>
    </row>
    <row r="14" spans="1:11">
      <c r="D14" s="11">
        <v>46078</v>
      </c>
      <c r="E14" s="12">
        <v>1579979</v>
      </c>
      <c r="F14" s="12" t="s">
        <v>20</v>
      </c>
      <c r="G14" s="13">
        <v>20337403</v>
      </c>
      <c r="H14" s="12" t="s">
        <v>330</v>
      </c>
      <c r="I14" s="13">
        <v>4</v>
      </c>
      <c r="J14" s="14">
        <v>22</v>
      </c>
      <c r="K14" s="14">
        <v>88</v>
      </c>
    </row>
    <row r="15" spans="1:11">
      <c r="D15" s="11">
        <v>46079</v>
      </c>
      <c r="E15" s="12">
        <v>1580317</v>
      </c>
      <c r="F15" s="12" t="s">
        <v>20</v>
      </c>
      <c r="G15" s="13">
        <v>20337403</v>
      </c>
      <c r="H15" s="12" t="s">
        <v>330</v>
      </c>
      <c r="I15" s="13">
        <v>6</v>
      </c>
      <c r="J15" s="14">
        <v>22</v>
      </c>
      <c r="K15" s="14">
        <v>132</v>
      </c>
    </row>
    <row r="16" spans="1:11">
      <c r="D16" s="11">
        <v>46080</v>
      </c>
      <c r="E16" s="12">
        <v>1580702</v>
      </c>
      <c r="F16" s="12" t="s">
        <v>20</v>
      </c>
      <c r="G16" s="13">
        <v>20337403</v>
      </c>
      <c r="H16" s="12" t="s">
        <v>330</v>
      </c>
      <c r="I16" s="13">
        <v>6</v>
      </c>
      <c r="J16" s="14">
        <v>22</v>
      </c>
      <c r="K16" s="14">
        <v>132</v>
      </c>
    </row>
    <row r="17" spans="4:11">
      <c r="D17" s="11">
        <v>46083</v>
      </c>
      <c r="E17" s="12">
        <v>1581403</v>
      </c>
      <c r="F17" s="12" t="s">
        <v>20</v>
      </c>
      <c r="G17" s="13">
        <v>20337403</v>
      </c>
      <c r="H17" s="12" t="s">
        <v>330</v>
      </c>
      <c r="I17" s="13">
        <v>6</v>
      </c>
      <c r="J17" s="14">
        <v>22</v>
      </c>
      <c r="K17" s="14">
        <v>132</v>
      </c>
    </row>
    <row r="18" spans="4:11">
      <c r="D18" s="11">
        <v>46085</v>
      </c>
      <c r="E18" s="12">
        <v>1582088</v>
      </c>
      <c r="F18" s="12" t="s">
        <v>20</v>
      </c>
      <c r="G18" s="13">
        <v>20337403</v>
      </c>
      <c r="H18" s="12" t="s">
        <v>330</v>
      </c>
      <c r="I18" s="13">
        <v>1</v>
      </c>
      <c r="J18" s="14">
        <v>22</v>
      </c>
      <c r="K18" s="14">
        <v>22</v>
      </c>
    </row>
    <row r="19" spans="4:11">
      <c r="D19" s="11">
        <v>46087</v>
      </c>
      <c r="E19" s="12">
        <v>1582721</v>
      </c>
      <c r="F19" s="12" t="s">
        <v>20</v>
      </c>
      <c r="G19" s="13">
        <v>20337403</v>
      </c>
      <c r="H19" s="12" t="s">
        <v>330</v>
      </c>
      <c r="I19" s="13">
        <v>5</v>
      </c>
      <c r="J19" s="14">
        <v>22</v>
      </c>
      <c r="K19" s="14">
        <v>110</v>
      </c>
    </row>
  </sheetData>
  <mergeCells count="5">
    <mergeCell ref="D8:H8"/>
    <mergeCell ref="C7:C19"/>
    <mergeCell ref="B4:H5"/>
    <mergeCell ref="A7:B1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&amp;"-,Regular"2026年3月9日 8:21 
&amp;"-,Bold"&amp;10 黑龙江省铂康医疗灭菌有限公司 &amp;R&amp;"Droid Sans Fallback"&amp;9第&amp;P页，共&amp;N页 </oddFooter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4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331</v>
      </c>
      <c r="E8" s="8" t="s">
        <v>2</v>
      </c>
      <c r="F8" s="8" t="s">
        <v>2</v>
      </c>
      <c r="G8" s="8" t="s">
        <v>2</v>
      </c>
      <c r="H8" s="8" t="s">
        <v>2</v>
      </c>
      <c r="I8" s="9">
        <v>42</v>
      </c>
      <c r="J8" s="10"/>
      <c r="K8" s="10">
        <v>913.5</v>
      </c>
    </row>
    <row r="9" spans="1:11">
      <c r="D9" s="11">
        <v>46062</v>
      </c>
      <c r="E9" s="12">
        <v>1577290</v>
      </c>
      <c r="F9" s="12" t="s">
        <v>16</v>
      </c>
      <c r="G9" s="13">
        <v>20318425</v>
      </c>
      <c r="H9" s="12" t="s">
        <v>332</v>
      </c>
      <c r="I9" s="13">
        <v>1</v>
      </c>
      <c r="J9" s="14">
        <v>13.5</v>
      </c>
      <c r="K9" s="14">
        <v>13.5</v>
      </c>
    </row>
    <row r="10" spans="1:11">
      <c r="D10" s="11">
        <v>46062</v>
      </c>
      <c r="E10" s="12">
        <v>1577290</v>
      </c>
      <c r="F10" s="12" t="s">
        <v>16</v>
      </c>
      <c r="G10" s="13">
        <v>20355574</v>
      </c>
      <c r="H10" s="12" t="s">
        <v>333</v>
      </c>
      <c r="I10" s="13">
        <v>1</v>
      </c>
      <c r="J10" s="14">
        <v>27.5</v>
      </c>
      <c r="K10" s="14">
        <v>27.5</v>
      </c>
    </row>
    <row r="11" spans="1:11">
      <c r="D11" s="11">
        <v>46062</v>
      </c>
      <c r="E11" s="12">
        <v>1577290</v>
      </c>
      <c r="F11" s="12" t="s">
        <v>16</v>
      </c>
      <c r="G11" s="13">
        <v>20318152</v>
      </c>
      <c r="H11" s="12" t="s">
        <v>334</v>
      </c>
      <c r="I11" s="13">
        <v>1</v>
      </c>
      <c r="J11" s="14">
        <v>11</v>
      </c>
      <c r="K11" s="14">
        <v>11</v>
      </c>
    </row>
    <row r="12" spans="1:11">
      <c r="D12" s="11">
        <v>46062</v>
      </c>
      <c r="E12" s="12">
        <v>1577290</v>
      </c>
      <c r="F12" s="12" t="s">
        <v>16</v>
      </c>
      <c r="G12" s="13">
        <v>20321075</v>
      </c>
      <c r="H12" s="12" t="s">
        <v>323</v>
      </c>
      <c r="I12" s="13">
        <v>1</v>
      </c>
      <c r="J12" s="14">
        <v>8</v>
      </c>
      <c r="K12" s="14">
        <v>8</v>
      </c>
    </row>
    <row r="13" spans="1:11">
      <c r="D13" s="11">
        <v>46062</v>
      </c>
      <c r="E13" s="12">
        <v>1577290</v>
      </c>
      <c r="F13" s="12" t="s">
        <v>16</v>
      </c>
      <c r="G13" s="13">
        <v>20321121</v>
      </c>
      <c r="H13" s="12" t="s">
        <v>335</v>
      </c>
      <c r="I13" s="13">
        <v>1</v>
      </c>
      <c r="J13" s="14">
        <v>27.5</v>
      </c>
      <c r="K13" s="14">
        <v>27.5</v>
      </c>
    </row>
    <row r="14" spans="1:11">
      <c r="D14" s="11">
        <v>46062</v>
      </c>
      <c r="E14" s="12">
        <v>1577290</v>
      </c>
      <c r="F14" s="12" t="s">
        <v>16</v>
      </c>
      <c r="G14" s="13">
        <v>20384959</v>
      </c>
      <c r="H14" s="12" t="s">
        <v>336</v>
      </c>
      <c r="I14" s="13">
        <v>1</v>
      </c>
      <c r="J14" s="14">
        <v>33</v>
      </c>
      <c r="K14" s="14">
        <v>33</v>
      </c>
    </row>
    <row r="15" spans="1:11">
      <c r="D15" s="11">
        <v>46062</v>
      </c>
      <c r="E15" s="12">
        <v>1577290</v>
      </c>
      <c r="F15" s="12" t="s">
        <v>30</v>
      </c>
      <c r="G15" s="13">
        <v>20321896</v>
      </c>
      <c r="H15" s="12" t="s">
        <v>337</v>
      </c>
      <c r="I15" s="13">
        <v>1</v>
      </c>
      <c r="J15" s="14">
        <v>44</v>
      </c>
      <c r="K15" s="14">
        <v>44</v>
      </c>
    </row>
    <row r="16" spans="1:11">
      <c r="D16" s="11">
        <v>46066</v>
      </c>
      <c r="E16" s="12">
        <v>1578599</v>
      </c>
      <c r="F16" s="12" t="s">
        <v>16</v>
      </c>
      <c r="G16" s="13">
        <v>20318425</v>
      </c>
      <c r="H16" s="12" t="s">
        <v>332</v>
      </c>
      <c r="I16" s="13">
        <v>1</v>
      </c>
      <c r="J16" s="14">
        <v>13.5</v>
      </c>
      <c r="K16" s="14">
        <v>13.5</v>
      </c>
    </row>
    <row r="17" spans="4:11">
      <c r="D17" s="11">
        <v>46066</v>
      </c>
      <c r="E17" s="12">
        <v>1578599</v>
      </c>
      <c r="F17" s="12" t="s">
        <v>16</v>
      </c>
      <c r="G17" s="13">
        <v>20355974</v>
      </c>
      <c r="H17" s="12" t="s">
        <v>338</v>
      </c>
      <c r="I17" s="13">
        <v>1</v>
      </c>
      <c r="J17" s="14">
        <v>16.5</v>
      </c>
      <c r="K17" s="14">
        <v>16.5</v>
      </c>
    </row>
    <row r="18" spans="4:11">
      <c r="D18" s="11">
        <v>46066</v>
      </c>
      <c r="E18" s="12">
        <v>1578599</v>
      </c>
      <c r="F18" s="12" t="s">
        <v>16</v>
      </c>
      <c r="G18" s="13">
        <v>20368782</v>
      </c>
      <c r="H18" s="12" t="s">
        <v>339</v>
      </c>
      <c r="I18" s="13">
        <v>2</v>
      </c>
      <c r="J18" s="14">
        <v>22</v>
      </c>
      <c r="K18" s="14">
        <v>44</v>
      </c>
    </row>
    <row r="19" spans="4:11">
      <c r="D19" s="11">
        <v>46067</v>
      </c>
      <c r="E19" s="12">
        <v>1578890</v>
      </c>
      <c r="F19" s="12" t="s">
        <v>16</v>
      </c>
      <c r="G19" s="13">
        <v>20318152</v>
      </c>
      <c r="H19" s="12" t="s">
        <v>334</v>
      </c>
      <c r="I19" s="13">
        <v>2</v>
      </c>
      <c r="J19" s="14">
        <v>11</v>
      </c>
      <c r="K19" s="14">
        <v>22</v>
      </c>
    </row>
    <row r="20" spans="4:11">
      <c r="D20" s="11">
        <v>46068</v>
      </c>
      <c r="E20" s="12">
        <v>1579069</v>
      </c>
      <c r="F20" s="12" t="s">
        <v>16</v>
      </c>
      <c r="G20" s="13">
        <v>20355974</v>
      </c>
      <c r="H20" s="12" t="s">
        <v>338</v>
      </c>
      <c r="I20" s="13">
        <v>1</v>
      </c>
      <c r="J20" s="14">
        <v>16.5</v>
      </c>
      <c r="K20" s="14">
        <v>16.5</v>
      </c>
    </row>
    <row r="21" spans="4:11">
      <c r="D21" s="11">
        <v>46077</v>
      </c>
      <c r="E21" s="12">
        <v>1579653</v>
      </c>
      <c r="F21" s="12" t="s">
        <v>16</v>
      </c>
      <c r="G21" s="13">
        <v>20355974</v>
      </c>
      <c r="H21" s="12" t="s">
        <v>338</v>
      </c>
      <c r="I21" s="13">
        <v>1</v>
      </c>
      <c r="J21" s="14">
        <v>16.5</v>
      </c>
      <c r="K21" s="14">
        <v>16.5</v>
      </c>
    </row>
    <row r="22" spans="4:11">
      <c r="D22" s="11">
        <v>46077</v>
      </c>
      <c r="E22" s="12">
        <v>1579653</v>
      </c>
      <c r="F22" s="12" t="s">
        <v>16</v>
      </c>
      <c r="G22" s="13">
        <v>20368782</v>
      </c>
      <c r="H22" s="12" t="s">
        <v>339</v>
      </c>
      <c r="I22" s="13">
        <v>1</v>
      </c>
      <c r="J22" s="14">
        <v>22</v>
      </c>
      <c r="K22" s="14">
        <v>22</v>
      </c>
    </row>
    <row r="23" spans="4:11">
      <c r="D23" s="11">
        <v>46077</v>
      </c>
      <c r="E23" s="12">
        <v>1579653</v>
      </c>
      <c r="F23" s="12" t="s">
        <v>16</v>
      </c>
      <c r="G23" s="13">
        <v>20321121</v>
      </c>
      <c r="H23" s="12" t="s">
        <v>335</v>
      </c>
      <c r="I23" s="13">
        <v>1</v>
      </c>
      <c r="J23" s="14">
        <v>27.5</v>
      </c>
      <c r="K23" s="14">
        <v>27.5</v>
      </c>
    </row>
    <row r="24" spans="4:11">
      <c r="D24" s="11">
        <v>46078</v>
      </c>
      <c r="E24" s="12">
        <v>1579965</v>
      </c>
      <c r="F24" s="12" t="s">
        <v>16</v>
      </c>
      <c r="G24" s="13">
        <v>20318296</v>
      </c>
      <c r="H24" s="12" t="s">
        <v>340</v>
      </c>
      <c r="I24" s="13">
        <v>1</v>
      </c>
      <c r="J24" s="14">
        <v>8</v>
      </c>
      <c r="K24" s="14">
        <v>8</v>
      </c>
    </row>
    <row r="25" spans="4:11">
      <c r="D25" s="11">
        <v>46078</v>
      </c>
      <c r="E25" s="12">
        <v>1579965</v>
      </c>
      <c r="F25" s="12" t="s">
        <v>16</v>
      </c>
      <c r="G25" s="13">
        <v>20385733</v>
      </c>
      <c r="H25" s="12" t="s">
        <v>341</v>
      </c>
      <c r="I25" s="13">
        <v>1</v>
      </c>
      <c r="J25" s="14">
        <v>22</v>
      </c>
      <c r="K25" s="14">
        <v>22</v>
      </c>
    </row>
    <row r="26" spans="4:11">
      <c r="D26" s="11">
        <v>46078</v>
      </c>
      <c r="E26" s="12">
        <v>1579965</v>
      </c>
      <c r="F26" s="12" t="s">
        <v>16</v>
      </c>
      <c r="G26" s="13">
        <v>20384959</v>
      </c>
      <c r="H26" s="12" t="s">
        <v>336</v>
      </c>
      <c r="I26" s="13">
        <v>1</v>
      </c>
      <c r="J26" s="14">
        <v>33</v>
      </c>
      <c r="K26" s="14">
        <v>33</v>
      </c>
    </row>
    <row r="27" spans="4:11">
      <c r="D27" s="11">
        <v>46080</v>
      </c>
      <c r="E27" s="12">
        <v>1580645</v>
      </c>
      <c r="F27" s="12" t="s">
        <v>16</v>
      </c>
      <c r="G27" s="13">
        <v>20318295</v>
      </c>
      <c r="H27" s="12" t="s">
        <v>342</v>
      </c>
      <c r="I27" s="13">
        <v>1</v>
      </c>
      <c r="J27" s="14">
        <v>13.5</v>
      </c>
      <c r="K27" s="14">
        <v>13.5</v>
      </c>
    </row>
    <row r="28" spans="4:11">
      <c r="D28" s="11">
        <v>46080</v>
      </c>
      <c r="E28" s="12">
        <v>1580645</v>
      </c>
      <c r="F28" s="12" t="s">
        <v>16</v>
      </c>
      <c r="G28" s="13">
        <v>20318425</v>
      </c>
      <c r="H28" s="12" t="s">
        <v>332</v>
      </c>
      <c r="I28" s="13">
        <v>1</v>
      </c>
      <c r="J28" s="14">
        <v>13.5</v>
      </c>
      <c r="K28" s="14">
        <v>13.5</v>
      </c>
    </row>
    <row r="29" spans="4:11">
      <c r="D29" s="11">
        <v>46080</v>
      </c>
      <c r="E29" s="12">
        <v>1580645</v>
      </c>
      <c r="F29" s="12" t="s">
        <v>16</v>
      </c>
      <c r="G29" s="13">
        <v>20371089</v>
      </c>
      <c r="H29" s="12" t="s">
        <v>343</v>
      </c>
      <c r="I29" s="13">
        <v>1</v>
      </c>
      <c r="J29" s="14">
        <v>33</v>
      </c>
      <c r="K29" s="14">
        <v>33</v>
      </c>
    </row>
    <row r="30" spans="4:11">
      <c r="D30" s="11">
        <v>46080</v>
      </c>
      <c r="E30" s="12">
        <v>1580645</v>
      </c>
      <c r="F30" s="12" t="s">
        <v>16</v>
      </c>
      <c r="G30" s="13">
        <v>20368782</v>
      </c>
      <c r="H30" s="12" t="s">
        <v>339</v>
      </c>
      <c r="I30" s="13">
        <v>1</v>
      </c>
      <c r="J30" s="14">
        <v>22</v>
      </c>
      <c r="K30" s="14">
        <v>22</v>
      </c>
    </row>
    <row r="31" spans="4:11">
      <c r="D31" s="11">
        <v>46080</v>
      </c>
      <c r="E31" s="12">
        <v>1580645</v>
      </c>
      <c r="F31" s="12" t="s">
        <v>16</v>
      </c>
      <c r="G31" s="13">
        <v>20321121</v>
      </c>
      <c r="H31" s="12" t="s">
        <v>335</v>
      </c>
      <c r="I31" s="13">
        <v>1</v>
      </c>
      <c r="J31" s="14">
        <v>27.5</v>
      </c>
      <c r="K31" s="14">
        <v>27.5</v>
      </c>
    </row>
    <row r="32" spans="4:11">
      <c r="D32" s="11">
        <v>46080</v>
      </c>
      <c r="E32" s="12">
        <v>1580645</v>
      </c>
      <c r="F32" s="12" t="s">
        <v>30</v>
      </c>
      <c r="G32" s="13">
        <v>20321896</v>
      </c>
      <c r="H32" s="12" t="s">
        <v>337</v>
      </c>
      <c r="I32" s="13">
        <v>1</v>
      </c>
      <c r="J32" s="14">
        <v>44</v>
      </c>
      <c r="K32" s="14">
        <v>44</v>
      </c>
    </row>
    <row r="33" spans="4:11">
      <c r="D33" s="11">
        <v>46083</v>
      </c>
      <c r="E33" s="12">
        <v>1581363</v>
      </c>
      <c r="F33" s="12" t="s">
        <v>16</v>
      </c>
      <c r="G33" s="13">
        <v>20391077</v>
      </c>
      <c r="H33" s="12" t="s">
        <v>344</v>
      </c>
      <c r="I33" s="13">
        <v>1</v>
      </c>
      <c r="J33" s="14">
        <v>8</v>
      </c>
      <c r="K33" s="14">
        <v>8</v>
      </c>
    </row>
    <row r="34" spans="4:11">
      <c r="D34" s="11">
        <v>46083</v>
      </c>
      <c r="E34" s="12">
        <v>1581363</v>
      </c>
      <c r="F34" s="12" t="s">
        <v>16</v>
      </c>
      <c r="G34" s="13">
        <v>20385733</v>
      </c>
      <c r="H34" s="12" t="s">
        <v>341</v>
      </c>
      <c r="I34" s="13">
        <v>2</v>
      </c>
      <c r="J34" s="14">
        <v>22</v>
      </c>
      <c r="K34" s="14">
        <v>44</v>
      </c>
    </row>
    <row r="35" spans="4:11">
      <c r="D35" s="11">
        <v>46083</v>
      </c>
      <c r="E35" s="12">
        <v>1581363</v>
      </c>
      <c r="F35" s="12" t="s">
        <v>16</v>
      </c>
      <c r="G35" s="13">
        <v>20368782</v>
      </c>
      <c r="H35" s="12" t="s">
        <v>339</v>
      </c>
      <c r="I35" s="13">
        <v>1</v>
      </c>
      <c r="J35" s="14">
        <v>22</v>
      </c>
      <c r="K35" s="14">
        <v>22</v>
      </c>
    </row>
    <row r="36" spans="4:11">
      <c r="D36" s="11">
        <v>46083</v>
      </c>
      <c r="E36" s="12">
        <v>1581363</v>
      </c>
      <c r="F36" s="12" t="s">
        <v>16</v>
      </c>
      <c r="G36" s="13">
        <v>20321121</v>
      </c>
      <c r="H36" s="12" t="s">
        <v>335</v>
      </c>
      <c r="I36" s="13">
        <v>3</v>
      </c>
      <c r="J36" s="14">
        <v>27.5</v>
      </c>
      <c r="K36" s="14">
        <v>82.5</v>
      </c>
    </row>
    <row r="37" spans="4:11">
      <c r="D37" s="11">
        <v>46085</v>
      </c>
      <c r="E37" s="12">
        <v>1581975</v>
      </c>
      <c r="F37" s="12" t="s">
        <v>16</v>
      </c>
      <c r="G37" s="13">
        <v>20385733</v>
      </c>
      <c r="H37" s="12" t="s">
        <v>341</v>
      </c>
      <c r="I37" s="13">
        <v>1</v>
      </c>
      <c r="J37" s="14">
        <v>22</v>
      </c>
      <c r="K37" s="14">
        <v>22</v>
      </c>
    </row>
    <row r="38" spans="4:11">
      <c r="D38" s="11">
        <v>46085</v>
      </c>
      <c r="E38" s="12">
        <v>1581975</v>
      </c>
      <c r="F38" s="12" t="s">
        <v>16</v>
      </c>
      <c r="G38" s="13">
        <v>20318152</v>
      </c>
      <c r="H38" s="12" t="s">
        <v>334</v>
      </c>
      <c r="I38" s="13">
        <v>1</v>
      </c>
      <c r="J38" s="14">
        <v>11</v>
      </c>
      <c r="K38" s="14">
        <v>11</v>
      </c>
    </row>
    <row r="39" spans="4:11">
      <c r="D39" s="11">
        <v>46085</v>
      </c>
      <c r="E39" s="12">
        <v>1581975</v>
      </c>
      <c r="F39" s="12" t="s">
        <v>16</v>
      </c>
      <c r="G39" s="13">
        <v>20368782</v>
      </c>
      <c r="H39" s="12" t="s">
        <v>339</v>
      </c>
      <c r="I39" s="13">
        <v>1</v>
      </c>
      <c r="J39" s="14">
        <v>22</v>
      </c>
      <c r="K39" s="14">
        <v>22</v>
      </c>
    </row>
    <row r="40" spans="4:11">
      <c r="D40" s="11">
        <v>46087</v>
      </c>
      <c r="E40" s="12">
        <v>1582643</v>
      </c>
      <c r="F40" s="12" t="s">
        <v>16</v>
      </c>
      <c r="G40" s="13">
        <v>20324213</v>
      </c>
      <c r="H40" s="12" t="s">
        <v>345</v>
      </c>
      <c r="I40" s="13">
        <v>1</v>
      </c>
      <c r="J40" s="14">
        <v>13.5</v>
      </c>
      <c r="K40" s="14">
        <v>13.5</v>
      </c>
    </row>
    <row r="41" spans="4:11">
      <c r="D41" s="11">
        <v>46087</v>
      </c>
      <c r="E41" s="12">
        <v>1582643</v>
      </c>
      <c r="F41" s="12" t="s">
        <v>16</v>
      </c>
      <c r="G41" s="13">
        <v>20355574</v>
      </c>
      <c r="H41" s="12" t="s">
        <v>333</v>
      </c>
      <c r="I41" s="13">
        <v>2</v>
      </c>
      <c r="J41" s="14">
        <v>27.5</v>
      </c>
      <c r="K41" s="14">
        <v>55</v>
      </c>
    </row>
    <row r="42" spans="4:11">
      <c r="D42" s="11">
        <v>46087</v>
      </c>
      <c r="E42" s="12">
        <v>1582643</v>
      </c>
      <c r="F42" s="12" t="s">
        <v>16</v>
      </c>
      <c r="G42" s="13">
        <v>20321075</v>
      </c>
      <c r="H42" s="12" t="s">
        <v>323</v>
      </c>
      <c r="I42" s="13">
        <v>1</v>
      </c>
      <c r="J42" s="14">
        <v>8</v>
      </c>
      <c r="K42" s="14">
        <v>8</v>
      </c>
    </row>
    <row r="43" spans="4:11">
      <c r="D43" s="11">
        <v>46087</v>
      </c>
      <c r="E43" s="12">
        <v>1582643</v>
      </c>
      <c r="F43" s="12" t="s">
        <v>16</v>
      </c>
      <c r="G43" s="13">
        <v>20384959</v>
      </c>
      <c r="H43" s="12" t="s">
        <v>336</v>
      </c>
      <c r="I43" s="13">
        <v>2</v>
      </c>
      <c r="J43" s="14">
        <v>33</v>
      </c>
      <c r="K43" s="14">
        <v>66</v>
      </c>
    </row>
    <row r="44" ht="0.05" customHeight="1"/>
  </sheetData>
  <autoFilter xmlns:etc="http://www.wps.cn/officeDocument/2017/etCustomData" ref="A7:K43" etc:filterBottomFollowUsedRange="0">
    <extLst/>
  </autoFilter>
  <mergeCells count="5">
    <mergeCell ref="D8:H8"/>
    <mergeCell ref="C7:C43"/>
    <mergeCell ref="B4:H5"/>
    <mergeCell ref="A7:B43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&amp;"-,Regular"2026年3月9日 8:21 
&amp;"-,Bold"&amp;10 黑龙江省铂康医疗灭菌有限公司 &amp;R&amp;"Droid Sans Fallback"&amp;9第&amp;P页，共&amp;N页 </oddFooter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4"/>
  <sheetViews>
    <sheetView showGridLines="0" view="pageBreakPreview" zoomScaleNormal="100" workbookViewId="0">
      <pane ySplit="6" topLeftCell="A7" activePane="bottomLeft" state="frozen"/>
      <selection/>
      <selection pane="bottomLeft" activeCell="L1" sqref="L$1:M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346</v>
      </c>
      <c r="E8" s="8" t="s">
        <v>2</v>
      </c>
      <c r="F8" s="8" t="s">
        <v>2</v>
      </c>
      <c r="G8" s="8" t="s">
        <v>2</v>
      </c>
      <c r="H8" s="8" t="s">
        <v>2</v>
      </c>
      <c r="I8" s="9">
        <v>38</v>
      </c>
      <c r="J8" s="10"/>
      <c r="K8" s="10">
        <v>1572</v>
      </c>
    </row>
    <row r="9" spans="1:11">
      <c r="D9" s="11">
        <v>46062</v>
      </c>
      <c r="E9" s="12">
        <v>1577300</v>
      </c>
      <c r="F9" s="12" t="s">
        <v>18</v>
      </c>
      <c r="G9" s="13">
        <v>20322551</v>
      </c>
      <c r="H9" s="12" t="s">
        <v>18</v>
      </c>
      <c r="I9" s="13">
        <v>1</v>
      </c>
      <c r="J9" s="14">
        <v>15</v>
      </c>
      <c r="K9" s="14">
        <v>15</v>
      </c>
    </row>
    <row r="10" spans="1:11">
      <c r="D10" s="11">
        <v>46062</v>
      </c>
      <c r="E10" s="12">
        <v>1577300</v>
      </c>
      <c r="F10" s="12" t="s">
        <v>211</v>
      </c>
      <c r="G10" s="13">
        <v>20346176</v>
      </c>
      <c r="H10" s="12" t="s">
        <v>347</v>
      </c>
      <c r="I10" s="13">
        <v>1</v>
      </c>
      <c r="J10" s="14">
        <v>35</v>
      </c>
      <c r="K10" s="14">
        <v>35</v>
      </c>
    </row>
    <row r="11" spans="1:11">
      <c r="D11" s="11">
        <v>46062</v>
      </c>
      <c r="E11" s="12">
        <v>1577300</v>
      </c>
      <c r="F11" s="12" t="s">
        <v>30</v>
      </c>
      <c r="G11" s="13">
        <v>20318092</v>
      </c>
      <c r="H11" s="12" t="s">
        <v>348</v>
      </c>
      <c r="I11" s="13">
        <v>3</v>
      </c>
      <c r="J11" s="14">
        <v>38.5</v>
      </c>
      <c r="K11" s="14">
        <v>115.5</v>
      </c>
    </row>
    <row r="12" spans="1:11">
      <c r="D12" s="11">
        <v>46062</v>
      </c>
      <c r="E12" s="12">
        <v>1577300</v>
      </c>
      <c r="F12" s="12" t="s">
        <v>116</v>
      </c>
      <c r="G12" s="13">
        <v>20318178</v>
      </c>
      <c r="H12" s="12" t="s">
        <v>349</v>
      </c>
      <c r="I12" s="13">
        <v>1</v>
      </c>
      <c r="J12" s="14">
        <v>35</v>
      </c>
      <c r="K12" s="14">
        <v>35</v>
      </c>
    </row>
    <row r="13" spans="1:11">
      <c r="D13" s="11">
        <v>46062</v>
      </c>
      <c r="E13" s="12">
        <v>1577300</v>
      </c>
      <c r="F13" s="12" t="s">
        <v>116</v>
      </c>
      <c r="G13" s="13">
        <v>20323279</v>
      </c>
      <c r="H13" s="12" t="s">
        <v>350</v>
      </c>
      <c r="I13" s="13">
        <v>1</v>
      </c>
      <c r="J13" s="14">
        <v>35</v>
      </c>
      <c r="K13" s="14">
        <v>35</v>
      </c>
    </row>
    <row r="14" spans="1:11">
      <c r="D14" s="11">
        <v>46062</v>
      </c>
      <c r="E14" s="12">
        <v>1577300</v>
      </c>
      <c r="F14" s="12" t="s">
        <v>20</v>
      </c>
      <c r="G14" s="13">
        <v>20321971</v>
      </c>
      <c r="H14" s="12" t="s">
        <v>351</v>
      </c>
      <c r="I14" s="13">
        <v>2</v>
      </c>
      <c r="J14" s="14">
        <v>16.5</v>
      </c>
      <c r="K14" s="14">
        <v>33</v>
      </c>
    </row>
    <row r="15" spans="1:11">
      <c r="D15" s="11">
        <v>46062</v>
      </c>
      <c r="E15" s="12">
        <v>1577300</v>
      </c>
      <c r="F15" s="12" t="s">
        <v>20</v>
      </c>
      <c r="G15" s="13">
        <v>20321972</v>
      </c>
      <c r="H15" s="12" t="s">
        <v>352</v>
      </c>
      <c r="I15" s="13">
        <v>3</v>
      </c>
      <c r="J15" s="14">
        <v>22</v>
      </c>
      <c r="K15" s="14">
        <v>66</v>
      </c>
    </row>
    <row r="16" spans="1:11">
      <c r="D16" s="11">
        <v>46083</v>
      </c>
      <c r="E16" s="12">
        <v>1581405</v>
      </c>
      <c r="F16" s="12" t="s">
        <v>16</v>
      </c>
      <c r="G16" s="13">
        <v>20318240</v>
      </c>
      <c r="H16" s="12" t="s">
        <v>353</v>
      </c>
      <c r="I16" s="13">
        <v>2</v>
      </c>
      <c r="J16" s="14">
        <v>11</v>
      </c>
      <c r="K16" s="14">
        <v>22</v>
      </c>
    </row>
    <row r="17" spans="4:11">
      <c r="D17" s="11">
        <v>46083</v>
      </c>
      <c r="E17" s="12">
        <v>1581405</v>
      </c>
      <c r="F17" s="12" t="s">
        <v>18</v>
      </c>
      <c r="G17" s="13">
        <v>20322551</v>
      </c>
      <c r="H17" s="12" t="s">
        <v>18</v>
      </c>
      <c r="I17" s="13">
        <v>1</v>
      </c>
      <c r="J17" s="14">
        <v>15</v>
      </c>
      <c r="K17" s="14">
        <v>15</v>
      </c>
    </row>
    <row r="18" spans="4:11">
      <c r="D18" s="11">
        <v>46083</v>
      </c>
      <c r="E18" s="12">
        <v>1581405</v>
      </c>
      <c r="F18" s="12" t="s">
        <v>211</v>
      </c>
      <c r="G18" s="13">
        <v>20346176</v>
      </c>
      <c r="H18" s="12" t="s">
        <v>347</v>
      </c>
      <c r="I18" s="13">
        <v>1</v>
      </c>
      <c r="J18" s="14">
        <v>35</v>
      </c>
      <c r="K18" s="14">
        <v>35</v>
      </c>
    </row>
    <row r="19" spans="4:11">
      <c r="D19" s="11">
        <v>46083</v>
      </c>
      <c r="E19" s="12">
        <v>1581405</v>
      </c>
      <c r="F19" s="12" t="s">
        <v>256</v>
      </c>
      <c r="G19" s="13">
        <v>20321128</v>
      </c>
      <c r="H19" s="12" t="s">
        <v>354</v>
      </c>
      <c r="I19" s="13">
        <v>1</v>
      </c>
      <c r="J19" s="14">
        <v>410</v>
      </c>
      <c r="K19" s="14">
        <v>410</v>
      </c>
    </row>
    <row r="20" spans="4:11">
      <c r="D20" s="11">
        <v>46083</v>
      </c>
      <c r="E20" s="12">
        <v>1581405</v>
      </c>
      <c r="F20" s="12" t="s">
        <v>30</v>
      </c>
      <c r="G20" s="13">
        <v>20318092</v>
      </c>
      <c r="H20" s="12" t="s">
        <v>348</v>
      </c>
      <c r="I20" s="13">
        <v>1</v>
      </c>
      <c r="J20" s="14">
        <v>38.5</v>
      </c>
      <c r="K20" s="14">
        <v>38.5</v>
      </c>
    </row>
    <row r="21" spans="4:11">
      <c r="D21" s="11">
        <v>46083</v>
      </c>
      <c r="E21" s="12">
        <v>1581405</v>
      </c>
      <c r="F21" s="12" t="s">
        <v>116</v>
      </c>
      <c r="G21" s="13">
        <v>20323281</v>
      </c>
      <c r="H21" s="12" t="s">
        <v>355</v>
      </c>
      <c r="I21" s="13">
        <v>1</v>
      </c>
      <c r="J21" s="14">
        <v>35</v>
      </c>
      <c r="K21" s="14">
        <v>35</v>
      </c>
    </row>
    <row r="22" spans="4:11">
      <c r="D22" s="11">
        <v>46083</v>
      </c>
      <c r="E22" s="12">
        <v>1581405</v>
      </c>
      <c r="F22" s="12" t="s">
        <v>20</v>
      </c>
      <c r="G22" s="13">
        <v>20321971</v>
      </c>
      <c r="H22" s="12" t="s">
        <v>351</v>
      </c>
      <c r="I22" s="13">
        <v>1</v>
      </c>
      <c r="J22" s="14">
        <v>16.5</v>
      </c>
      <c r="K22" s="14">
        <v>16.5</v>
      </c>
    </row>
    <row r="23" spans="4:11">
      <c r="D23" s="11">
        <v>46083</v>
      </c>
      <c r="E23" s="12">
        <v>1581405</v>
      </c>
      <c r="F23" s="12" t="s">
        <v>20</v>
      </c>
      <c r="G23" s="13">
        <v>20321972</v>
      </c>
      <c r="H23" s="12" t="s">
        <v>352</v>
      </c>
      <c r="I23" s="13">
        <v>1</v>
      </c>
      <c r="J23" s="14">
        <v>22</v>
      </c>
      <c r="K23" s="14">
        <v>22</v>
      </c>
    </row>
    <row r="24" spans="4:11">
      <c r="D24" s="11">
        <v>46083</v>
      </c>
      <c r="E24" s="12">
        <v>1581405</v>
      </c>
      <c r="F24" s="12" t="s">
        <v>20</v>
      </c>
      <c r="G24" s="13">
        <v>20322544</v>
      </c>
      <c r="H24" s="12" t="s">
        <v>356</v>
      </c>
      <c r="I24" s="13">
        <v>1</v>
      </c>
      <c r="J24" s="14">
        <v>22</v>
      </c>
      <c r="K24" s="14">
        <v>22</v>
      </c>
    </row>
    <row r="25" spans="4:11">
      <c r="D25" s="11">
        <v>46085</v>
      </c>
      <c r="E25" s="12">
        <v>1581966</v>
      </c>
      <c r="F25" s="12" t="s">
        <v>13</v>
      </c>
      <c r="G25" s="13">
        <v>20318099</v>
      </c>
      <c r="H25" s="12" t="s">
        <v>357</v>
      </c>
      <c r="I25" s="13">
        <v>1</v>
      </c>
      <c r="J25" s="14">
        <v>99</v>
      </c>
      <c r="K25" s="14">
        <v>99</v>
      </c>
    </row>
    <row r="26" spans="4:11">
      <c r="D26" s="11">
        <v>46085</v>
      </c>
      <c r="E26" s="12">
        <v>1581966</v>
      </c>
      <c r="F26" s="12" t="s">
        <v>16</v>
      </c>
      <c r="G26" s="13">
        <v>20322543</v>
      </c>
      <c r="H26" s="12" t="s">
        <v>358</v>
      </c>
      <c r="I26" s="13">
        <v>2</v>
      </c>
      <c r="J26" s="14">
        <v>13.5</v>
      </c>
      <c r="K26" s="14">
        <v>27</v>
      </c>
    </row>
    <row r="27" spans="4:11">
      <c r="D27" s="11">
        <v>46085</v>
      </c>
      <c r="E27" s="12">
        <v>1581966</v>
      </c>
      <c r="F27" s="12" t="s">
        <v>211</v>
      </c>
      <c r="G27" s="13">
        <v>20346176</v>
      </c>
      <c r="H27" s="12" t="s">
        <v>347</v>
      </c>
      <c r="I27" s="13">
        <v>1</v>
      </c>
      <c r="J27" s="14">
        <v>35</v>
      </c>
      <c r="K27" s="14">
        <v>35</v>
      </c>
    </row>
    <row r="28" spans="4:11">
      <c r="D28" s="11">
        <v>46085</v>
      </c>
      <c r="E28" s="12">
        <v>1581966</v>
      </c>
      <c r="F28" s="12" t="s">
        <v>211</v>
      </c>
      <c r="G28" s="13">
        <v>20376048</v>
      </c>
      <c r="H28" s="12" t="s">
        <v>359</v>
      </c>
      <c r="I28" s="13">
        <v>1</v>
      </c>
      <c r="J28" s="14">
        <v>88</v>
      </c>
      <c r="K28" s="14">
        <v>88</v>
      </c>
    </row>
    <row r="29" spans="4:11">
      <c r="D29" s="11">
        <v>46085</v>
      </c>
      <c r="E29" s="12">
        <v>1581966</v>
      </c>
      <c r="F29" s="12" t="s">
        <v>211</v>
      </c>
      <c r="G29" s="13">
        <v>20368276</v>
      </c>
      <c r="H29" s="12" t="s">
        <v>360</v>
      </c>
      <c r="I29" s="13">
        <v>1</v>
      </c>
      <c r="J29" s="14">
        <v>88</v>
      </c>
      <c r="K29" s="14">
        <v>88</v>
      </c>
    </row>
    <row r="30" spans="4:11">
      <c r="D30" s="11">
        <v>46085</v>
      </c>
      <c r="E30" s="12">
        <v>1581966</v>
      </c>
      <c r="F30" s="12" t="s">
        <v>30</v>
      </c>
      <c r="G30" s="13">
        <v>20318092</v>
      </c>
      <c r="H30" s="12" t="s">
        <v>348</v>
      </c>
      <c r="I30" s="13">
        <v>3</v>
      </c>
      <c r="J30" s="14">
        <v>38.5</v>
      </c>
      <c r="K30" s="14">
        <v>115.5</v>
      </c>
    </row>
    <row r="31" spans="4:11">
      <c r="D31" s="11">
        <v>46085</v>
      </c>
      <c r="E31" s="12">
        <v>1581966</v>
      </c>
      <c r="F31" s="12" t="s">
        <v>116</v>
      </c>
      <c r="G31" s="13">
        <v>20318178</v>
      </c>
      <c r="H31" s="12" t="s">
        <v>349</v>
      </c>
      <c r="I31" s="13">
        <v>1</v>
      </c>
      <c r="J31" s="14">
        <v>35</v>
      </c>
      <c r="K31" s="14">
        <v>35</v>
      </c>
    </row>
    <row r="32" spans="4:11">
      <c r="D32" s="11">
        <v>46085</v>
      </c>
      <c r="E32" s="12">
        <v>1581966</v>
      </c>
      <c r="F32" s="12" t="s">
        <v>116</v>
      </c>
      <c r="G32" s="13">
        <v>20323281</v>
      </c>
      <c r="H32" s="12" t="s">
        <v>355</v>
      </c>
      <c r="I32" s="13">
        <v>1</v>
      </c>
      <c r="J32" s="14">
        <v>35</v>
      </c>
      <c r="K32" s="14">
        <v>35</v>
      </c>
    </row>
    <row r="33" spans="4:11">
      <c r="D33" s="11">
        <v>46085</v>
      </c>
      <c r="E33" s="12">
        <v>1581966</v>
      </c>
      <c r="F33" s="12" t="s">
        <v>20</v>
      </c>
      <c r="G33" s="13">
        <v>20321971</v>
      </c>
      <c r="H33" s="12" t="s">
        <v>351</v>
      </c>
      <c r="I33" s="13">
        <v>2</v>
      </c>
      <c r="J33" s="14">
        <v>16.5</v>
      </c>
      <c r="K33" s="14">
        <v>33</v>
      </c>
    </row>
    <row r="34" spans="4:11">
      <c r="D34" s="11">
        <v>46085</v>
      </c>
      <c r="E34" s="12">
        <v>1581966</v>
      </c>
      <c r="F34" s="12" t="s">
        <v>20</v>
      </c>
      <c r="G34" s="13">
        <v>20321972</v>
      </c>
      <c r="H34" s="12" t="s">
        <v>352</v>
      </c>
      <c r="I34" s="13">
        <v>3</v>
      </c>
      <c r="J34" s="14">
        <v>22</v>
      </c>
      <c r="K34" s="14">
        <v>66</v>
      </c>
    </row>
  </sheetData>
  <autoFilter xmlns:etc="http://www.wps.cn/officeDocument/2017/etCustomData" ref="A7:K34" etc:filterBottomFollowUsedRange="0">
    <extLst/>
  </autoFilter>
  <mergeCells count="5">
    <mergeCell ref="D8:H8"/>
    <mergeCell ref="C7:C34"/>
    <mergeCell ref="B4:H5"/>
    <mergeCell ref="A7:B34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&amp;"-,Regular"2026年3月9日 8:21 
&amp;"-,Bold"&amp;10 黑龙江省铂康医疗灭菌有限公司 &amp;R&amp;"Droid Sans Fallback"&amp;9第&amp;P页，共&amp;N页 </oddFooter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8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6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361</v>
      </c>
      <c r="E8" s="8" t="s">
        <v>2</v>
      </c>
      <c r="F8" s="8" t="s">
        <v>2</v>
      </c>
      <c r="G8" s="8" t="s">
        <v>2</v>
      </c>
      <c r="H8" s="8" t="s">
        <v>2</v>
      </c>
      <c r="I8" s="9">
        <v>67</v>
      </c>
      <c r="J8" s="10"/>
      <c r="K8" s="10">
        <v>3488.5</v>
      </c>
    </row>
    <row r="9" spans="1:11">
      <c r="D9" s="11">
        <v>46062</v>
      </c>
      <c r="E9" s="12">
        <v>1577306</v>
      </c>
      <c r="F9" s="12" t="s">
        <v>30</v>
      </c>
      <c r="G9" s="13">
        <v>20386003</v>
      </c>
      <c r="H9" s="12" t="s">
        <v>362</v>
      </c>
      <c r="I9" s="13">
        <v>1</v>
      </c>
      <c r="J9" s="14">
        <v>27.5</v>
      </c>
      <c r="K9" s="14">
        <v>27.5</v>
      </c>
    </row>
    <row r="10" spans="1:11">
      <c r="D10" s="11">
        <v>46062</v>
      </c>
      <c r="E10" s="12">
        <v>1577306</v>
      </c>
      <c r="F10" s="12" t="s">
        <v>116</v>
      </c>
      <c r="G10" s="13">
        <v>20386006</v>
      </c>
      <c r="H10" s="12" t="s">
        <v>363</v>
      </c>
      <c r="I10" s="13">
        <v>1</v>
      </c>
      <c r="J10" s="14">
        <v>66</v>
      </c>
      <c r="K10" s="14">
        <v>66</v>
      </c>
    </row>
    <row r="11" spans="1:11">
      <c r="D11" s="11">
        <v>46062</v>
      </c>
      <c r="E11" s="12">
        <v>1577346</v>
      </c>
      <c r="F11" s="12" t="s">
        <v>16</v>
      </c>
      <c r="G11" s="13">
        <v>20389533</v>
      </c>
      <c r="H11" s="12" t="s">
        <v>364</v>
      </c>
      <c r="I11" s="13">
        <v>1</v>
      </c>
      <c r="J11" s="14">
        <v>8</v>
      </c>
      <c r="K11" s="14">
        <v>8</v>
      </c>
    </row>
    <row r="12" spans="1:11">
      <c r="D12" s="11">
        <v>46062</v>
      </c>
      <c r="E12" s="12">
        <v>1577346</v>
      </c>
      <c r="F12" s="12" t="s">
        <v>116</v>
      </c>
      <c r="G12" s="13">
        <v>20386007</v>
      </c>
      <c r="H12" s="12" t="s">
        <v>365</v>
      </c>
      <c r="I12" s="13">
        <v>1</v>
      </c>
      <c r="J12" s="14">
        <v>66</v>
      </c>
      <c r="K12" s="14">
        <v>66</v>
      </c>
    </row>
    <row r="13" spans="1:11">
      <c r="D13" s="11">
        <v>46062</v>
      </c>
      <c r="E13" s="12">
        <v>1577346</v>
      </c>
      <c r="F13" s="12" t="s">
        <v>20</v>
      </c>
      <c r="G13" s="13">
        <v>20322723</v>
      </c>
      <c r="H13" s="12" t="s">
        <v>366</v>
      </c>
      <c r="I13" s="13">
        <v>1</v>
      </c>
      <c r="J13" s="14">
        <v>49.5</v>
      </c>
      <c r="K13" s="14">
        <v>49.5</v>
      </c>
    </row>
    <row r="14" spans="1:11">
      <c r="D14" s="11">
        <v>46062</v>
      </c>
      <c r="E14" s="12">
        <v>1577415</v>
      </c>
      <c r="F14" s="12" t="s">
        <v>116</v>
      </c>
      <c r="G14" s="13">
        <v>20386006</v>
      </c>
      <c r="H14" s="12" t="s">
        <v>363</v>
      </c>
      <c r="I14" s="13">
        <v>1</v>
      </c>
      <c r="J14" s="14">
        <v>66</v>
      </c>
      <c r="K14" s="14">
        <v>66</v>
      </c>
    </row>
    <row r="15" spans="1:11">
      <c r="D15" s="11">
        <v>46062</v>
      </c>
      <c r="E15" s="12">
        <v>1577419</v>
      </c>
      <c r="F15" s="12" t="s">
        <v>116</v>
      </c>
      <c r="G15" s="13">
        <v>20386004</v>
      </c>
      <c r="H15" s="12" t="s">
        <v>367</v>
      </c>
      <c r="I15" s="13">
        <v>1</v>
      </c>
      <c r="J15" s="14">
        <v>110</v>
      </c>
      <c r="K15" s="14">
        <v>110</v>
      </c>
    </row>
    <row r="16" spans="1:11">
      <c r="D16" s="11">
        <v>46063</v>
      </c>
      <c r="E16" s="12">
        <v>1577673</v>
      </c>
      <c r="F16" s="12" t="s">
        <v>30</v>
      </c>
      <c r="G16" s="13">
        <v>20386003</v>
      </c>
      <c r="H16" s="12" t="s">
        <v>362</v>
      </c>
      <c r="I16" s="13">
        <v>1</v>
      </c>
      <c r="J16" s="14">
        <v>27.5</v>
      </c>
      <c r="K16" s="14">
        <v>27.5</v>
      </c>
    </row>
    <row r="17" spans="4:11">
      <c r="D17" s="11">
        <v>46063</v>
      </c>
      <c r="E17" s="12">
        <v>1577673</v>
      </c>
      <c r="F17" s="12" t="s">
        <v>20</v>
      </c>
      <c r="G17" s="13">
        <v>20388472</v>
      </c>
      <c r="H17" s="12" t="s">
        <v>368</v>
      </c>
      <c r="I17" s="13">
        <v>1</v>
      </c>
      <c r="J17" s="14">
        <v>55</v>
      </c>
      <c r="K17" s="14">
        <v>55</v>
      </c>
    </row>
    <row r="18" spans="4:11">
      <c r="D18" s="11">
        <v>46063</v>
      </c>
      <c r="E18" s="12">
        <v>1577673</v>
      </c>
      <c r="F18" s="12" t="s">
        <v>20</v>
      </c>
      <c r="G18" s="13">
        <v>20322723</v>
      </c>
      <c r="H18" s="12" t="s">
        <v>366</v>
      </c>
      <c r="I18" s="13">
        <v>1</v>
      </c>
      <c r="J18" s="14">
        <v>49.5</v>
      </c>
      <c r="K18" s="14">
        <v>49.5</v>
      </c>
    </row>
    <row r="19" spans="4:11">
      <c r="D19" s="11">
        <v>46065</v>
      </c>
      <c r="E19" s="12">
        <v>1578276</v>
      </c>
      <c r="F19" s="12" t="s">
        <v>16</v>
      </c>
      <c r="G19" s="13">
        <v>20322547</v>
      </c>
      <c r="H19" s="12" t="s">
        <v>369</v>
      </c>
      <c r="I19" s="13">
        <v>1</v>
      </c>
      <c r="J19" s="14">
        <v>8</v>
      </c>
      <c r="K19" s="14">
        <v>8</v>
      </c>
    </row>
    <row r="20" spans="4:11">
      <c r="D20" s="11">
        <v>46066</v>
      </c>
      <c r="E20" s="12">
        <v>1578600</v>
      </c>
      <c r="F20" s="12" t="s">
        <v>16</v>
      </c>
      <c r="G20" s="13">
        <v>20322547</v>
      </c>
      <c r="H20" s="12" t="s">
        <v>369</v>
      </c>
      <c r="I20" s="13">
        <v>1</v>
      </c>
      <c r="J20" s="14">
        <v>8</v>
      </c>
      <c r="K20" s="14">
        <v>8</v>
      </c>
    </row>
    <row r="21" spans="4:11">
      <c r="D21" s="11">
        <v>46066</v>
      </c>
      <c r="E21" s="12">
        <v>1578600</v>
      </c>
      <c r="F21" s="12" t="s">
        <v>20</v>
      </c>
      <c r="G21" s="13">
        <v>20322723</v>
      </c>
      <c r="H21" s="12" t="s">
        <v>366</v>
      </c>
      <c r="I21" s="13">
        <v>1</v>
      </c>
      <c r="J21" s="14">
        <v>49.5</v>
      </c>
      <c r="K21" s="14">
        <v>49.5</v>
      </c>
    </row>
    <row r="22" spans="4:11">
      <c r="D22" s="11">
        <v>46067</v>
      </c>
      <c r="E22" s="12">
        <v>1578834</v>
      </c>
      <c r="F22" s="12" t="s">
        <v>30</v>
      </c>
      <c r="G22" s="13">
        <v>20386003</v>
      </c>
      <c r="H22" s="12" t="s">
        <v>362</v>
      </c>
      <c r="I22" s="13">
        <v>1</v>
      </c>
      <c r="J22" s="14">
        <v>27.5</v>
      </c>
      <c r="K22" s="14">
        <v>27.5</v>
      </c>
    </row>
    <row r="23" spans="4:11">
      <c r="D23" s="11">
        <v>46067</v>
      </c>
      <c r="E23" s="12">
        <v>1578834</v>
      </c>
      <c r="F23" s="12" t="s">
        <v>20</v>
      </c>
      <c r="G23" s="13">
        <v>20322723</v>
      </c>
      <c r="H23" s="12" t="s">
        <v>366</v>
      </c>
      <c r="I23" s="13">
        <v>1</v>
      </c>
      <c r="J23" s="14">
        <v>49.5</v>
      </c>
      <c r="K23" s="14">
        <v>49.5</v>
      </c>
    </row>
    <row r="24" spans="4:11">
      <c r="D24" s="11">
        <v>46067</v>
      </c>
      <c r="E24" s="12">
        <v>1578910</v>
      </c>
      <c r="F24" s="12" t="s">
        <v>116</v>
      </c>
      <c r="G24" s="13">
        <v>20386007</v>
      </c>
      <c r="H24" s="12" t="s">
        <v>365</v>
      </c>
      <c r="I24" s="13">
        <v>1</v>
      </c>
      <c r="J24" s="14">
        <v>66</v>
      </c>
      <c r="K24" s="14">
        <v>66</v>
      </c>
    </row>
    <row r="25" spans="4:11">
      <c r="D25" s="11">
        <v>46067</v>
      </c>
      <c r="E25" s="12">
        <v>1578917</v>
      </c>
      <c r="F25" s="12" t="s">
        <v>256</v>
      </c>
      <c r="G25" s="13">
        <v>20386005</v>
      </c>
      <c r="H25" s="12" t="s">
        <v>370</v>
      </c>
      <c r="I25" s="13">
        <v>1</v>
      </c>
      <c r="J25" s="14">
        <v>110</v>
      </c>
      <c r="K25" s="14">
        <v>110</v>
      </c>
    </row>
    <row r="26" spans="4:11">
      <c r="D26" s="11">
        <v>46067</v>
      </c>
      <c r="E26" s="12">
        <v>1578970</v>
      </c>
      <c r="F26" s="12" t="s">
        <v>30</v>
      </c>
      <c r="G26" s="13">
        <v>20386003</v>
      </c>
      <c r="H26" s="12" t="s">
        <v>362</v>
      </c>
      <c r="I26" s="13">
        <v>1</v>
      </c>
      <c r="J26" s="14">
        <v>27.5</v>
      </c>
      <c r="K26" s="14">
        <v>27.5</v>
      </c>
    </row>
    <row r="27" spans="4:11">
      <c r="D27" s="11">
        <v>46067</v>
      </c>
      <c r="E27" s="12">
        <v>1578970</v>
      </c>
      <c r="F27" s="12" t="s">
        <v>20</v>
      </c>
      <c r="G27" s="13">
        <v>20388472</v>
      </c>
      <c r="H27" s="12" t="s">
        <v>368</v>
      </c>
      <c r="I27" s="13">
        <v>1</v>
      </c>
      <c r="J27" s="14">
        <v>55</v>
      </c>
      <c r="K27" s="14">
        <v>55</v>
      </c>
    </row>
    <row r="28" spans="4:11">
      <c r="D28" s="11">
        <v>46067</v>
      </c>
      <c r="E28" s="12">
        <v>1578970</v>
      </c>
      <c r="F28" s="12" t="s">
        <v>20</v>
      </c>
      <c r="G28" s="13">
        <v>20322723</v>
      </c>
      <c r="H28" s="12" t="s">
        <v>366</v>
      </c>
      <c r="I28" s="13">
        <v>1</v>
      </c>
      <c r="J28" s="14">
        <v>49.5</v>
      </c>
      <c r="K28" s="14">
        <v>49.5</v>
      </c>
    </row>
    <row r="29" ht="25.5" spans="4:11">
      <c r="D29" s="11">
        <v>46078</v>
      </c>
      <c r="E29" s="12">
        <v>1579942</v>
      </c>
      <c r="F29" s="12" t="s">
        <v>16</v>
      </c>
      <c r="G29" s="13">
        <v>20386001</v>
      </c>
      <c r="H29" s="12" t="s">
        <v>371</v>
      </c>
      <c r="I29" s="13">
        <v>1</v>
      </c>
      <c r="J29" s="14">
        <v>16.5</v>
      </c>
      <c r="K29" s="14">
        <v>16.5</v>
      </c>
    </row>
    <row r="30" spans="4:11">
      <c r="D30" s="11">
        <v>46078</v>
      </c>
      <c r="E30" s="12">
        <v>1579942</v>
      </c>
      <c r="F30" s="12" t="s">
        <v>16</v>
      </c>
      <c r="G30" s="13">
        <v>20321075</v>
      </c>
      <c r="H30" s="12" t="s">
        <v>323</v>
      </c>
      <c r="I30" s="13">
        <v>1</v>
      </c>
      <c r="J30" s="14">
        <v>8</v>
      </c>
      <c r="K30" s="14">
        <v>8</v>
      </c>
    </row>
    <row r="31" spans="4:11">
      <c r="D31" s="11">
        <v>46078</v>
      </c>
      <c r="E31" s="12">
        <v>1579942</v>
      </c>
      <c r="F31" s="12" t="s">
        <v>30</v>
      </c>
      <c r="G31" s="13">
        <v>20386003</v>
      </c>
      <c r="H31" s="12" t="s">
        <v>362</v>
      </c>
      <c r="I31" s="13">
        <v>1</v>
      </c>
      <c r="J31" s="14">
        <v>27.5</v>
      </c>
      <c r="K31" s="14">
        <v>27.5</v>
      </c>
    </row>
    <row r="32" spans="4:11">
      <c r="D32" s="11">
        <v>46078</v>
      </c>
      <c r="E32" s="12">
        <v>1579942</v>
      </c>
      <c r="F32" s="12" t="s">
        <v>116</v>
      </c>
      <c r="G32" s="13">
        <v>20386004</v>
      </c>
      <c r="H32" s="12" t="s">
        <v>367</v>
      </c>
      <c r="I32" s="13">
        <v>1</v>
      </c>
      <c r="J32" s="14">
        <v>110</v>
      </c>
      <c r="K32" s="14">
        <v>110</v>
      </c>
    </row>
    <row r="33" spans="4:11">
      <c r="D33" s="11">
        <v>46078</v>
      </c>
      <c r="E33" s="12">
        <v>1579942</v>
      </c>
      <c r="F33" s="12" t="s">
        <v>116</v>
      </c>
      <c r="G33" s="13">
        <v>20386006</v>
      </c>
      <c r="H33" s="12" t="s">
        <v>363</v>
      </c>
      <c r="I33" s="13">
        <v>1</v>
      </c>
      <c r="J33" s="14">
        <v>66</v>
      </c>
      <c r="K33" s="14">
        <v>66</v>
      </c>
    </row>
    <row r="34" spans="4:11">
      <c r="D34" s="11">
        <v>46078</v>
      </c>
      <c r="E34" s="12">
        <v>1579942</v>
      </c>
      <c r="F34" s="12" t="s">
        <v>20</v>
      </c>
      <c r="G34" s="13">
        <v>20322723</v>
      </c>
      <c r="H34" s="12" t="s">
        <v>366</v>
      </c>
      <c r="I34" s="13">
        <v>5</v>
      </c>
      <c r="J34" s="14">
        <v>49.5</v>
      </c>
      <c r="K34" s="14">
        <v>247.5</v>
      </c>
    </row>
    <row r="35" spans="4:11">
      <c r="D35" s="11">
        <v>46078</v>
      </c>
      <c r="E35" s="12">
        <v>1579950</v>
      </c>
      <c r="F35" s="12" t="s">
        <v>256</v>
      </c>
      <c r="G35" s="13">
        <v>20386005</v>
      </c>
      <c r="H35" s="12" t="s">
        <v>372</v>
      </c>
      <c r="I35" s="13">
        <v>1</v>
      </c>
      <c r="J35" s="14">
        <v>110</v>
      </c>
      <c r="K35" s="14">
        <v>110</v>
      </c>
    </row>
    <row r="36" spans="4:11">
      <c r="D36" s="11">
        <v>46078</v>
      </c>
      <c r="E36" s="12">
        <v>1579950</v>
      </c>
      <c r="F36" s="12" t="s">
        <v>116</v>
      </c>
      <c r="G36" s="13">
        <v>20386007</v>
      </c>
      <c r="H36" s="12" t="s">
        <v>365</v>
      </c>
      <c r="I36" s="13">
        <v>1</v>
      </c>
      <c r="J36" s="14">
        <v>66</v>
      </c>
      <c r="K36" s="14">
        <v>66</v>
      </c>
    </row>
    <row r="37" spans="4:11">
      <c r="D37" s="11">
        <v>46078</v>
      </c>
      <c r="E37" s="12">
        <v>1580039</v>
      </c>
      <c r="F37" s="12" t="s">
        <v>30</v>
      </c>
      <c r="G37" s="13">
        <v>20386003</v>
      </c>
      <c r="H37" s="12" t="s">
        <v>362</v>
      </c>
      <c r="I37" s="13">
        <v>1</v>
      </c>
      <c r="J37" s="14">
        <v>27.5</v>
      </c>
      <c r="K37" s="14">
        <v>27.5</v>
      </c>
    </row>
    <row r="38" spans="4:11">
      <c r="D38" s="11">
        <v>46078</v>
      </c>
      <c r="E38" s="12">
        <v>1580039</v>
      </c>
      <c r="F38" s="12" t="s">
        <v>20</v>
      </c>
      <c r="G38" s="13">
        <v>20388472</v>
      </c>
      <c r="H38" s="12" t="s">
        <v>368</v>
      </c>
      <c r="I38" s="13">
        <v>2</v>
      </c>
      <c r="J38" s="14">
        <v>55</v>
      </c>
      <c r="K38" s="14">
        <v>110</v>
      </c>
    </row>
    <row r="39" spans="4:11">
      <c r="D39" s="11">
        <v>46078</v>
      </c>
      <c r="E39" s="12">
        <v>1580039</v>
      </c>
      <c r="F39" s="12" t="s">
        <v>20</v>
      </c>
      <c r="G39" s="13">
        <v>20322723</v>
      </c>
      <c r="H39" s="12" t="s">
        <v>366</v>
      </c>
      <c r="I39" s="13">
        <v>1</v>
      </c>
      <c r="J39" s="14">
        <v>49.5</v>
      </c>
      <c r="K39" s="14">
        <v>49.5</v>
      </c>
    </row>
    <row r="40" spans="4:11">
      <c r="D40" s="11">
        <v>46078</v>
      </c>
      <c r="E40" s="12">
        <v>1580048</v>
      </c>
      <c r="F40" s="12" t="s">
        <v>116</v>
      </c>
      <c r="G40" s="13">
        <v>20386006</v>
      </c>
      <c r="H40" s="12" t="s">
        <v>363</v>
      </c>
      <c r="I40" s="13">
        <v>1</v>
      </c>
      <c r="J40" s="14">
        <v>66</v>
      </c>
      <c r="K40" s="14">
        <v>66</v>
      </c>
    </row>
    <row r="41" spans="4:11">
      <c r="D41" s="11">
        <v>46078</v>
      </c>
      <c r="E41" s="12">
        <v>1580068</v>
      </c>
      <c r="F41" s="12" t="s">
        <v>20</v>
      </c>
      <c r="G41" s="13">
        <v>20322724</v>
      </c>
      <c r="H41" s="12" t="s">
        <v>326</v>
      </c>
      <c r="I41" s="13">
        <v>1</v>
      </c>
      <c r="J41" s="14">
        <v>33</v>
      </c>
      <c r="K41" s="14">
        <v>33</v>
      </c>
    </row>
    <row r="42" spans="4:11">
      <c r="D42" s="11">
        <v>46079</v>
      </c>
      <c r="E42" s="12">
        <v>1580283</v>
      </c>
      <c r="F42" s="12" t="s">
        <v>256</v>
      </c>
      <c r="G42" s="13">
        <v>20386005</v>
      </c>
      <c r="H42" s="12" t="s">
        <v>372</v>
      </c>
      <c r="I42" s="13">
        <v>1</v>
      </c>
      <c r="J42" s="14">
        <v>110</v>
      </c>
      <c r="K42" s="14">
        <v>110</v>
      </c>
    </row>
    <row r="43" spans="4:11">
      <c r="D43" s="11">
        <v>46079</v>
      </c>
      <c r="E43" s="12">
        <v>1580283</v>
      </c>
      <c r="F43" s="12" t="s">
        <v>30</v>
      </c>
      <c r="G43" s="13">
        <v>20386003</v>
      </c>
      <c r="H43" s="12" t="s">
        <v>362</v>
      </c>
      <c r="I43" s="13">
        <v>1</v>
      </c>
      <c r="J43" s="14">
        <v>27.5</v>
      </c>
      <c r="K43" s="14">
        <v>27.5</v>
      </c>
    </row>
    <row r="44" spans="4:11">
      <c r="D44" s="11">
        <v>46079</v>
      </c>
      <c r="E44" s="12">
        <v>1580283</v>
      </c>
      <c r="F44" s="12" t="s">
        <v>20</v>
      </c>
      <c r="G44" s="13">
        <v>20388472</v>
      </c>
      <c r="H44" s="12" t="s">
        <v>368</v>
      </c>
      <c r="I44" s="13">
        <v>1</v>
      </c>
      <c r="J44" s="14">
        <v>55</v>
      </c>
      <c r="K44" s="14">
        <v>55</v>
      </c>
    </row>
    <row r="45" spans="4:11">
      <c r="D45" s="11">
        <v>46079</v>
      </c>
      <c r="E45" s="12">
        <v>1580283</v>
      </c>
      <c r="F45" s="12" t="s">
        <v>20</v>
      </c>
      <c r="G45" s="13">
        <v>20322723</v>
      </c>
      <c r="H45" s="12" t="s">
        <v>366</v>
      </c>
      <c r="I45" s="13">
        <v>1</v>
      </c>
      <c r="J45" s="14">
        <v>49.5</v>
      </c>
      <c r="K45" s="14">
        <v>49.5</v>
      </c>
    </row>
    <row r="46" spans="4:11">
      <c r="D46" s="11">
        <v>46080</v>
      </c>
      <c r="E46" s="12">
        <v>1580771</v>
      </c>
      <c r="F46" s="12" t="s">
        <v>30</v>
      </c>
      <c r="G46" s="13">
        <v>20386003</v>
      </c>
      <c r="H46" s="12" t="s">
        <v>362</v>
      </c>
      <c r="I46" s="13">
        <v>2</v>
      </c>
      <c r="J46" s="14">
        <v>27.5</v>
      </c>
      <c r="K46" s="14">
        <v>55</v>
      </c>
    </row>
    <row r="47" spans="4:11">
      <c r="D47" s="11">
        <v>46080</v>
      </c>
      <c r="E47" s="12">
        <v>1580775</v>
      </c>
      <c r="F47" s="12" t="s">
        <v>116</v>
      </c>
      <c r="G47" s="13">
        <v>20386007</v>
      </c>
      <c r="H47" s="12" t="s">
        <v>365</v>
      </c>
      <c r="I47" s="13">
        <v>1</v>
      </c>
      <c r="J47" s="14">
        <v>66</v>
      </c>
      <c r="K47" s="14">
        <v>66</v>
      </c>
    </row>
    <row r="48" spans="4:11">
      <c r="D48" s="11">
        <v>46081</v>
      </c>
      <c r="E48" s="12">
        <v>1580957</v>
      </c>
      <c r="F48" s="12" t="s">
        <v>20</v>
      </c>
      <c r="G48" s="13">
        <v>20322723</v>
      </c>
      <c r="H48" s="12" t="s">
        <v>366</v>
      </c>
      <c r="I48" s="13">
        <v>1</v>
      </c>
      <c r="J48" s="14">
        <v>49.5</v>
      </c>
      <c r="K48" s="14">
        <v>49.5</v>
      </c>
    </row>
    <row r="49" spans="4:11">
      <c r="D49" s="11">
        <v>46081</v>
      </c>
      <c r="E49" s="12">
        <v>1581018</v>
      </c>
      <c r="F49" s="12" t="s">
        <v>116</v>
      </c>
      <c r="G49" s="13">
        <v>20386004</v>
      </c>
      <c r="H49" s="12" t="s">
        <v>367</v>
      </c>
      <c r="I49" s="13">
        <v>1</v>
      </c>
      <c r="J49" s="14">
        <v>110</v>
      </c>
      <c r="K49" s="14">
        <v>110</v>
      </c>
    </row>
    <row r="50" spans="4:11">
      <c r="D50" s="11">
        <v>46081</v>
      </c>
      <c r="E50" s="12">
        <v>1581104</v>
      </c>
      <c r="F50" s="12" t="s">
        <v>20</v>
      </c>
      <c r="G50" s="13">
        <v>20388472</v>
      </c>
      <c r="H50" s="12" t="s">
        <v>368</v>
      </c>
      <c r="I50" s="13">
        <v>1</v>
      </c>
      <c r="J50" s="14">
        <v>55</v>
      </c>
      <c r="K50" s="14">
        <v>55</v>
      </c>
    </row>
    <row r="51" spans="4:11">
      <c r="D51" s="11">
        <v>46081</v>
      </c>
      <c r="E51" s="12">
        <v>1581104</v>
      </c>
      <c r="F51" s="12" t="s">
        <v>20</v>
      </c>
      <c r="G51" s="13">
        <v>20322723</v>
      </c>
      <c r="H51" s="12" t="s">
        <v>366</v>
      </c>
      <c r="I51" s="13">
        <v>2</v>
      </c>
      <c r="J51" s="14">
        <v>49.5</v>
      </c>
      <c r="K51" s="14">
        <v>99</v>
      </c>
    </row>
    <row r="52" spans="4:11">
      <c r="D52" s="11">
        <v>46083</v>
      </c>
      <c r="E52" s="12">
        <v>1581369</v>
      </c>
      <c r="F52" s="12" t="s">
        <v>30</v>
      </c>
      <c r="G52" s="13">
        <v>20386003</v>
      </c>
      <c r="H52" s="12" t="s">
        <v>362</v>
      </c>
      <c r="I52" s="13">
        <v>1</v>
      </c>
      <c r="J52" s="14">
        <v>27.5</v>
      </c>
      <c r="K52" s="14">
        <v>27.5</v>
      </c>
    </row>
    <row r="53" spans="4:11">
      <c r="D53" s="11">
        <v>46083</v>
      </c>
      <c r="E53" s="12">
        <v>1581409</v>
      </c>
      <c r="F53" s="12" t="s">
        <v>256</v>
      </c>
      <c r="G53" s="13">
        <v>20386005</v>
      </c>
      <c r="H53" s="12" t="s">
        <v>372</v>
      </c>
      <c r="I53" s="13">
        <v>1</v>
      </c>
      <c r="J53" s="14">
        <v>110</v>
      </c>
      <c r="K53" s="14">
        <v>110</v>
      </c>
    </row>
    <row r="54" spans="4:11">
      <c r="D54" s="11">
        <v>46083</v>
      </c>
      <c r="E54" s="12">
        <v>1581409</v>
      </c>
      <c r="F54" s="12" t="s">
        <v>116</v>
      </c>
      <c r="G54" s="13">
        <v>20386006</v>
      </c>
      <c r="H54" s="12" t="s">
        <v>363</v>
      </c>
      <c r="I54" s="13">
        <v>1</v>
      </c>
      <c r="J54" s="14">
        <v>66</v>
      </c>
      <c r="K54" s="14">
        <v>66</v>
      </c>
    </row>
    <row r="55" spans="4:11">
      <c r="D55" s="11">
        <v>46083</v>
      </c>
      <c r="E55" s="12">
        <v>1581496</v>
      </c>
      <c r="F55" s="12" t="s">
        <v>16</v>
      </c>
      <c r="G55" s="13">
        <v>20389533</v>
      </c>
      <c r="H55" s="12" t="s">
        <v>364</v>
      </c>
      <c r="I55" s="13">
        <v>1</v>
      </c>
      <c r="J55" s="14">
        <v>8</v>
      </c>
      <c r="K55" s="14">
        <v>8</v>
      </c>
    </row>
    <row r="56" spans="4:11">
      <c r="D56" s="11">
        <v>46083</v>
      </c>
      <c r="E56" s="12">
        <v>1581496</v>
      </c>
      <c r="F56" s="12" t="s">
        <v>116</v>
      </c>
      <c r="G56" s="13">
        <v>20386007</v>
      </c>
      <c r="H56" s="12" t="s">
        <v>365</v>
      </c>
      <c r="I56" s="13">
        <v>1</v>
      </c>
      <c r="J56" s="14">
        <v>66</v>
      </c>
      <c r="K56" s="14">
        <v>66</v>
      </c>
    </row>
    <row r="57" spans="4:11">
      <c r="D57" s="11">
        <v>46083</v>
      </c>
      <c r="E57" s="12">
        <v>1581496</v>
      </c>
      <c r="F57" s="12" t="s">
        <v>20</v>
      </c>
      <c r="G57" s="13">
        <v>20388472</v>
      </c>
      <c r="H57" s="12" t="s">
        <v>368</v>
      </c>
      <c r="I57" s="13">
        <v>1</v>
      </c>
      <c r="J57" s="14">
        <v>55</v>
      </c>
      <c r="K57" s="14">
        <v>55</v>
      </c>
    </row>
    <row r="58" spans="4:11">
      <c r="D58" s="11">
        <v>46083</v>
      </c>
      <c r="E58" s="12">
        <v>1581496</v>
      </c>
      <c r="F58" s="12" t="s">
        <v>20</v>
      </c>
      <c r="G58" s="13">
        <v>20322723</v>
      </c>
      <c r="H58" s="12" t="s">
        <v>366</v>
      </c>
      <c r="I58" s="13">
        <v>2</v>
      </c>
      <c r="J58" s="14">
        <v>49.5</v>
      </c>
      <c r="K58" s="14">
        <v>99</v>
      </c>
    </row>
    <row r="59" spans="4:11">
      <c r="D59" s="11">
        <v>46084</v>
      </c>
      <c r="E59" s="12">
        <v>1581677</v>
      </c>
      <c r="F59" s="12" t="s">
        <v>30</v>
      </c>
      <c r="G59" s="13">
        <v>20386003</v>
      </c>
      <c r="H59" s="12" t="s">
        <v>362</v>
      </c>
      <c r="I59" s="13">
        <v>1</v>
      </c>
      <c r="J59" s="14">
        <v>27.5</v>
      </c>
      <c r="K59" s="14">
        <v>27.5</v>
      </c>
    </row>
    <row r="60" spans="4:11">
      <c r="D60" s="11">
        <v>46084</v>
      </c>
      <c r="E60" s="12">
        <v>1581677</v>
      </c>
      <c r="F60" s="12" t="s">
        <v>20</v>
      </c>
      <c r="G60" s="13">
        <v>20322723</v>
      </c>
      <c r="H60" s="12" t="s">
        <v>366</v>
      </c>
      <c r="I60" s="13">
        <v>1</v>
      </c>
      <c r="J60" s="14">
        <v>49.5</v>
      </c>
      <c r="K60" s="14">
        <v>49.5</v>
      </c>
    </row>
    <row r="61" spans="4:11">
      <c r="D61" s="11">
        <v>46086</v>
      </c>
      <c r="E61" s="12">
        <v>1582390</v>
      </c>
      <c r="F61" s="12" t="s">
        <v>16</v>
      </c>
      <c r="G61" s="13">
        <v>20326227</v>
      </c>
      <c r="H61" s="12" t="s">
        <v>373</v>
      </c>
      <c r="I61" s="13">
        <v>1</v>
      </c>
      <c r="J61" s="14">
        <v>33</v>
      </c>
      <c r="K61" s="14">
        <v>33</v>
      </c>
    </row>
    <row r="62" spans="4:11">
      <c r="D62" s="11">
        <v>46086</v>
      </c>
      <c r="E62" s="12">
        <v>1582390</v>
      </c>
      <c r="F62" s="12" t="s">
        <v>116</v>
      </c>
      <c r="G62" s="13">
        <v>20386007</v>
      </c>
      <c r="H62" s="12" t="s">
        <v>365</v>
      </c>
      <c r="I62" s="13">
        <v>1</v>
      </c>
      <c r="J62" s="14">
        <v>66</v>
      </c>
      <c r="K62" s="14">
        <v>66</v>
      </c>
    </row>
    <row r="63" spans="4:11">
      <c r="D63" s="11">
        <v>46087</v>
      </c>
      <c r="E63" s="12">
        <v>1582637</v>
      </c>
      <c r="F63" s="12" t="s">
        <v>30</v>
      </c>
      <c r="G63" s="13">
        <v>20386003</v>
      </c>
      <c r="H63" s="12" t="s">
        <v>362</v>
      </c>
      <c r="I63" s="13">
        <v>1</v>
      </c>
      <c r="J63" s="14">
        <v>27.5</v>
      </c>
      <c r="K63" s="14">
        <v>27.5</v>
      </c>
    </row>
    <row r="64" spans="4:11">
      <c r="D64" s="11">
        <v>46087</v>
      </c>
      <c r="E64" s="12">
        <v>1582637</v>
      </c>
      <c r="F64" s="12" t="s">
        <v>116</v>
      </c>
      <c r="G64" s="13">
        <v>20386004</v>
      </c>
      <c r="H64" s="12" t="s">
        <v>367</v>
      </c>
      <c r="I64" s="13">
        <v>1</v>
      </c>
      <c r="J64" s="14">
        <v>110</v>
      </c>
      <c r="K64" s="14">
        <v>110</v>
      </c>
    </row>
    <row r="65" spans="4:11">
      <c r="D65" s="11">
        <v>46087</v>
      </c>
      <c r="E65" s="12">
        <v>1582692</v>
      </c>
      <c r="F65" s="12" t="s">
        <v>20</v>
      </c>
      <c r="G65" s="13">
        <v>20388472</v>
      </c>
      <c r="H65" s="12" t="s">
        <v>368</v>
      </c>
      <c r="I65" s="13">
        <v>1</v>
      </c>
      <c r="J65" s="14">
        <v>55</v>
      </c>
      <c r="K65" s="14">
        <v>55</v>
      </c>
    </row>
    <row r="66" spans="4:11">
      <c r="D66" s="11">
        <v>46087</v>
      </c>
      <c r="E66" s="12">
        <v>1582692</v>
      </c>
      <c r="F66" s="12" t="s">
        <v>20</v>
      </c>
      <c r="G66" s="13">
        <v>20322724</v>
      </c>
      <c r="H66" s="12" t="s">
        <v>326</v>
      </c>
      <c r="I66" s="13">
        <v>1</v>
      </c>
      <c r="J66" s="14">
        <v>33</v>
      </c>
      <c r="K66" s="14">
        <v>33</v>
      </c>
    </row>
    <row r="67" spans="4:11">
      <c r="D67" s="11">
        <v>46087</v>
      </c>
      <c r="E67" s="12">
        <v>1582708</v>
      </c>
      <c r="F67" s="12" t="s">
        <v>116</v>
      </c>
      <c r="G67" s="13">
        <v>20386006</v>
      </c>
      <c r="H67" s="12" t="s">
        <v>363</v>
      </c>
      <c r="I67" s="13">
        <v>1</v>
      </c>
      <c r="J67" s="14">
        <v>66</v>
      </c>
      <c r="K67" s="14">
        <v>66</v>
      </c>
    </row>
    <row r="68" ht="0.05" customHeight="1"/>
  </sheetData>
  <autoFilter xmlns:etc="http://www.wps.cn/officeDocument/2017/etCustomData" ref="A7:K67" etc:filterBottomFollowUsedRange="0">
    <extLst/>
  </autoFilter>
  <mergeCells count="5">
    <mergeCell ref="D8:H8"/>
    <mergeCell ref="C7:C67"/>
    <mergeCell ref="B4:H5"/>
    <mergeCell ref="A7:B67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&amp;"-,Regular"2026年3月9日 8:21 
&amp;"-,Bold"&amp;10 黑龙江省铂康医疗灭菌有限公司 &amp;R&amp;"Droid Sans Fallback"&amp;9第&amp;P页，共&amp;N页 </oddFooter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1"/>
  </sheetPr>
  <dimension ref="A1:K44"/>
  <sheetViews>
    <sheetView showGridLines="0" view="pageBreakPreview" zoomScaleNormal="100" workbookViewId="0">
      <pane ySplit="6" topLeftCell="A16" activePane="bottomLeft" state="frozen"/>
      <selection/>
      <selection pane="bottomLeft" activeCell="D28" sqref="D2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374</v>
      </c>
      <c r="E8" s="8" t="s">
        <v>2</v>
      </c>
      <c r="F8" s="8" t="s">
        <v>2</v>
      </c>
      <c r="G8" s="8" t="s">
        <v>2</v>
      </c>
      <c r="H8" s="8" t="s">
        <v>2</v>
      </c>
      <c r="I8" s="9">
        <v>166</v>
      </c>
      <c r="J8" s="10"/>
      <c r="K8" s="10">
        <v>4650</v>
      </c>
    </row>
    <row r="9" spans="1:11">
      <c r="D9" s="11">
        <v>46062</v>
      </c>
      <c r="E9" s="12">
        <v>1577333</v>
      </c>
      <c r="F9" s="12" t="s">
        <v>30</v>
      </c>
      <c r="G9" s="13">
        <v>20321092</v>
      </c>
      <c r="H9" s="12" t="s">
        <v>320</v>
      </c>
      <c r="I9" s="13">
        <v>6</v>
      </c>
      <c r="J9" s="14">
        <v>44</v>
      </c>
      <c r="K9" s="14">
        <v>264</v>
      </c>
    </row>
    <row r="10" spans="1:11">
      <c r="D10" s="11">
        <v>46063</v>
      </c>
      <c r="E10" s="12">
        <v>1577681</v>
      </c>
      <c r="F10" s="12" t="s">
        <v>30</v>
      </c>
      <c r="G10" s="13">
        <v>20321092</v>
      </c>
      <c r="H10" s="12" t="s">
        <v>320</v>
      </c>
      <c r="I10" s="13">
        <v>5</v>
      </c>
      <c r="J10" s="14">
        <v>44</v>
      </c>
      <c r="K10" s="14">
        <v>220</v>
      </c>
    </row>
    <row r="11" spans="1:11">
      <c r="D11" s="11">
        <v>46064</v>
      </c>
      <c r="E11" s="12">
        <v>1578049</v>
      </c>
      <c r="F11" s="12" t="s">
        <v>30</v>
      </c>
      <c r="G11" s="13">
        <v>20321092</v>
      </c>
      <c r="H11" s="12" t="s">
        <v>320</v>
      </c>
      <c r="I11" s="13">
        <v>7</v>
      </c>
      <c r="J11" s="14">
        <v>44</v>
      </c>
      <c r="K11" s="14">
        <v>308</v>
      </c>
    </row>
    <row r="12" spans="1:11">
      <c r="D12" s="11">
        <v>46065</v>
      </c>
      <c r="E12" s="12">
        <v>1578255</v>
      </c>
      <c r="F12" s="12" t="s">
        <v>375</v>
      </c>
      <c r="G12" s="13">
        <v>20321778</v>
      </c>
      <c r="H12" s="12" t="s">
        <v>376</v>
      </c>
      <c r="I12" s="13">
        <v>40</v>
      </c>
      <c r="J12" s="14">
        <v>2.5</v>
      </c>
      <c r="K12" s="14">
        <v>100</v>
      </c>
    </row>
    <row r="13" spans="1:11">
      <c r="D13" s="11">
        <v>46065</v>
      </c>
      <c r="E13" s="12">
        <v>1578277</v>
      </c>
      <c r="F13" s="12" t="s">
        <v>13</v>
      </c>
      <c r="G13" s="13">
        <v>20388327</v>
      </c>
      <c r="H13" s="12" t="s">
        <v>377</v>
      </c>
      <c r="I13" s="13">
        <v>1</v>
      </c>
      <c r="J13" s="14">
        <v>126.5</v>
      </c>
      <c r="K13" s="14">
        <v>126.5</v>
      </c>
    </row>
    <row r="14" spans="1:11">
      <c r="D14" s="11">
        <v>46065</v>
      </c>
      <c r="E14" s="12">
        <v>1578277</v>
      </c>
      <c r="F14" s="12" t="s">
        <v>13</v>
      </c>
      <c r="G14" s="13">
        <v>20322538</v>
      </c>
      <c r="H14" s="12" t="s">
        <v>378</v>
      </c>
      <c r="I14" s="13">
        <v>1</v>
      </c>
      <c r="J14" s="14">
        <v>143</v>
      </c>
      <c r="K14" s="14">
        <v>143</v>
      </c>
    </row>
    <row r="15" spans="1:11">
      <c r="D15" s="21">
        <v>46066</v>
      </c>
      <c r="E15" s="22">
        <v>1578601</v>
      </c>
      <c r="F15" s="22" t="s">
        <v>30</v>
      </c>
      <c r="G15" s="23">
        <v>20321092</v>
      </c>
      <c r="H15" s="22" t="s">
        <v>320</v>
      </c>
      <c r="I15" s="23">
        <v>3</v>
      </c>
      <c r="J15" s="24">
        <v>44</v>
      </c>
      <c r="K15" s="24">
        <v>132</v>
      </c>
    </row>
    <row r="16" spans="1:11">
      <c r="D16" s="11">
        <v>46067</v>
      </c>
      <c r="E16" s="12">
        <v>1578892</v>
      </c>
      <c r="F16" s="12" t="s">
        <v>30</v>
      </c>
      <c r="G16" s="13">
        <v>20321092</v>
      </c>
      <c r="H16" s="12" t="s">
        <v>320</v>
      </c>
      <c r="I16" s="13">
        <v>3</v>
      </c>
      <c r="J16" s="14">
        <v>44</v>
      </c>
      <c r="K16" s="14">
        <v>132</v>
      </c>
    </row>
    <row r="17" spans="4:11">
      <c r="D17" s="11">
        <v>46068</v>
      </c>
      <c r="E17" s="12">
        <v>1579070</v>
      </c>
      <c r="F17" s="12" t="s">
        <v>30</v>
      </c>
      <c r="G17" s="13">
        <v>20321092</v>
      </c>
      <c r="H17" s="12" t="s">
        <v>320</v>
      </c>
      <c r="I17" s="13">
        <v>5</v>
      </c>
      <c r="J17" s="14">
        <v>44</v>
      </c>
      <c r="K17" s="14">
        <v>220</v>
      </c>
    </row>
    <row r="18" spans="4:11">
      <c r="D18" s="11">
        <v>46069</v>
      </c>
      <c r="E18" s="12">
        <v>1579111</v>
      </c>
      <c r="F18" s="12" t="s">
        <v>30</v>
      </c>
      <c r="G18" s="13">
        <v>20321092</v>
      </c>
      <c r="H18" s="12" t="s">
        <v>320</v>
      </c>
      <c r="I18" s="13">
        <v>1</v>
      </c>
      <c r="J18" s="14">
        <v>44</v>
      </c>
      <c r="K18" s="14">
        <v>44</v>
      </c>
    </row>
    <row r="19" spans="4:11">
      <c r="D19" s="11">
        <v>46070</v>
      </c>
      <c r="E19" s="12">
        <v>1579129</v>
      </c>
      <c r="F19" s="12" t="s">
        <v>30</v>
      </c>
      <c r="G19" s="13">
        <v>20321092</v>
      </c>
      <c r="H19" s="12" t="s">
        <v>320</v>
      </c>
      <c r="I19" s="13">
        <v>3</v>
      </c>
      <c r="J19" s="14">
        <v>44</v>
      </c>
      <c r="K19" s="14">
        <v>132</v>
      </c>
    </row>
    <row r="20" spans="4:11">
      <c r="D20" s="11">
        <v>46071</v>
      </c>
      <c r="E20" s="12">
        <v>1579165</v>
      </c>
      <c r="F20" s="12" t="s">
        <v>30</v>
      </c>
      <c r="G20" s="13">
        <v>20321092</v>
      </c>
      <c r="H20" s="12" t="s">
        <v>320</v>
      </c>
      <c r="I20" s="13">
        <v>2</v>
      </c>
      <c r="J20" s="14">
        <v>44</v>
      </c>
      <c r="K20" s="14">
        <v>88</v>
      </c>
    </row>
    <row r="21" spans="4:11">
      <c r="D21" s="21">
        <v>46072</v>
      </c>
      <c r="E21" s="22">
        <v>1579248</v>
      </c>
      <c r="F21" s="22" t="s">
        <v>30</v>
      </c>
      <c r="G21" s="23">
        <v>20321092</v>
      </c>
      <c r="H21" s="22" t="s">
        <v>320</v>
      </c>
      <c r="I21" s="23">
        <v>1</v>
      </c>
      <c r="J21" s="24">
        <v>44</v>
      </c>
      <c r="K21" s="24">
        <v>44</v>
      </c>
    </row>
    <row r="22" spans="4:11">
      <c r="D22" s="21">
        <v>46073</v>
      </c>
      <c r="E22" s="22">
        <v>1579297</v>
      </c>
      <c r="F22" s="22" t="s">
        <v>30</v>
      </c>
      <c r="G22" s="23">
        <v>20321092</v>
      </c>
      <c r="H22" s="22" t="s">
        <v>320</v>
      </c>
      <c r="I22" s="23">
        <v>1</v>
      </c>
      <c r="J22" s="24">
        <v>44</v>
      </c>
      <c r="K22" s="24">
        <v>44</v>
      </c>
    </row>
    <row r="23" spans="4:11">
      <c r="D23" s="11">
        <v>46074</v>
      </c>
      <c r="E23" s="12">
        <v>1579360</v>
      </c>
      <c r="F23" s="12" t="s">
        <v>30</v>
      </c>
      <c r="G23" s="13">
        <v>20321092</v>
      </c>
      <c r="H23" s="12" t="s">
        <v>320</v>
      </c>
      <c r="I23" s="13">
        <v>3</v>
      </c>
      <c r="J23" s="14">
        <v>44</v>
      </c>
      <c r="K23" s="14">
        <v>132</v>
      </c>
    </row>
    <row r="24" spans="4:11">
      <c r="D24" s="21">
        <v>46075</v>
      </c>
      <c r="E24" s="22">
        <v>1579440</v>
      </c>
      <c r="F24" s="22" t="s">
        <v>30</v>
      </c>
      <c r="G24" s="23">
        <v>20321092</v>
      </c>
      <c r="H24" s="22" t="s">
        <v>320</v>
      </c>
      <c r="I24" s="23">
        <v>4</v>
      </c>
      <c r="J24" s="24">
        <v>44</v>
      </c>
      <c r="K24" s="24">
        <v>176</v>
      </c>
    </row>
    <row r="25" spans="4:11">
      <c r="D25" s="11">
        <v>46076</v>
      </c>
      <c r="E25" s="12">
        <v>1579517</v>
      </c>
      <c r="F25" s="12" t="s">
        <v>30</v>
      </c>
      <c r="G25" s="13">
        <v>20321092</v>
      </c>
      <c r="H25" s="12" t="s">
        <v>320</v>
      </c>
      <c r="I25" s="13">
        <v>4</v>
      </c>
      <c r="J25" s="14">
        <v>44</v>
      </c>
      <c r="K25" s="14">
        <v>176</v>
      </c>
    </row>
    <row r="26" spans="4:11">
      <c r="D26" s="11">
        <v>46077</v>
      </c>
      <c r="E26" s="12">
        <v>1579625</v>
      </c>
      <c r="F26" s="12" t="s">
        <v>30</v>
      </c>
      <c r="G26" s="13">
        <v>20321092</v>
      </c>
      <c r="H26" s="12" t="s">
        <v>320</v>
      </c>
      <c r="I26" s="13">
        <v>4</v>
      </c>
      <c r="J26" s="14">
        <v>44</v>
      </c>
      <c r="K26" s="14">
        <v>176</v>
      </c>
    </row>
    <row r="27" spans="4:11">
      <c r="D27" s="11">
        <v>46078</v>
      </c>
      <c r="E27" s="12">
        <v>1579944</v>
      </c>
      <c r="F27" s="12" t="s">
        <v>30</v>
      </c>
      <c r="G27" s="13">
        <v>20321092</v>
      </c>
      <c r="H27" s="12" t="s">
        <v>320</v>
      </c>
      <c r="I27" s="13">
        <v>2</v>
      </c>
      <c r="J27" s="14">
        <v>44</v>
      </c>
      <c r="K27" s="14">
        <v>88</v>
      </c>
    </row>
    <row r="28" spans="4:11">
      <c r="D28" s="11">
        <v>46079</v>
      </c>
      <c r="E28" s="12">
        <v>1580284</v>
      </c>
      <c r="F28" s="12" t="s">
        <v>30</v>
      </c>
      <c r="G28" s="13">
        <v>20321092</v>
      </c>
      <c r="H28" s="12" t="s">
        <v>320</v>
      </c>
      <c r="I28" s="13">
        <v>2</v>
      </c>
      <c r="J28" s="14">
        <v>44</v>
      </c>
      <c r="K28" s="14">
        <v>88</v>
      </c>
    </row>
    <row r="29" ht="25.5" spans="4:11">
      <c r="D29" s="11">
        <v>46080</v>
      </c>
      <c r="E29" s="12">
        <v>1580646</v>
      </c>
      <c r="F29" s="12" t="s">
        <v>20</v>
      </c>
      <c r="G29" s="13">
        <v>20383341</v>
      </c>
      <c r="H29" s="12" t="s">
        <v>379</v>
      </c>
      <c r="I29" s="13">
        <v>1</v>
      </c>
      <c r="J29" s="14">
        <v>16.5</v>
      </c>
      <c r="K29" s="14">
        <v>16.5</v>
      </c>
    </row>
    <row r="30" spans="4:11">
      <c r="D30" s="11">
        <v>46080</v>
      </c>
      <c r="E30" s="12">
        <v>1580772</v>
      </c>
      <c r="F30" s="12" t="s">
        <v>375</v>
      </c>
      <c r="G30" s="13">
        <v>20321457</v>
      </c>
      <c r="H30" s="12" t="s">
        <v>380</v>
      </c>
      <c r="I30" s="13">
        <v>6</v>
      </c>
      <c r="J30" s="14">
        <v>2.5</v>
      </c>
      <c r="K30" s="14">
        <v>15</v>
      </c>
    </row>
    <row r="31" spans="4:11">
      <c r="D31" s="11">
        <v>46081</v>
      </c>
      <c r="E31" s="12">
        <v>1581000</v>
      </c>
      <c r="F31" s="12" t="s">
        <v>30</v>
      </c>
      <c r="G31" s="13">
        <v>20321092</v>
      </c>
      <c r="H31" s="12" t="s">
        <v>320</v>
      </c>
      <c r="I31" s="13">
        <v>7</v>
      </c>
      <c r="J31" s="14">
        <v>44</v>
      </c>
      <c r="K31" s="14">
        <v>308</v>
      </c>
    </row>
    <row r="32" spans="4:11">
      <c r="D32" s="11">
        <v>46082</v>
      </c>
      <c r="E32" s="12">
        <v>1581259</v>
      </c>
      <c r="F32" s="12" t="s">
        <v>30</v>
      </c>
      <c r="G32" s="13">
        <v>20321092</v>
      </c>
      <c r="H32" s="12" t="s">
        <v>320</v>
      </c>
      <c r="I32" s="13">
        <v>3</v>
      </c>
      <c r="J32" s="14">
        <v>44</v>
      </c>
      <c r="K32" s="14">
        <v>132</v>
      </c>
    </row>
    <row r="33" spans="4:11">
      <c r="D33" s="11">
        <v>46083</v>
      </c>
      <c r="E33" s="12">
        <v>1581311</v>
      </c>
      <c r="F33" s="12" t="s">
        <v>30</v>
      </c>
      <c r="G33" s="13">
        <v>20321092</v>
      </c>
      <c r="H33" s="12" t="s">
        <v>320</v>
      </c>
      <c r="I33" s="13">
        <v>9</v>
      </c>
      <c r="J33" s="14">
        <v>44</v>
      </c>
      <c r="K33" s="14">
        <v>396</v>
      </c>
    </row>
    <row r="34" spans="4:11">
      <c r="D34" s="21">
        <v>46084</v>
      </c>
      <c r="E34" s="22">
        <v>1581678</v>
      </c>
      <c r="F34" s="22" t="s">
        <v>30</v>
      </c>
      <c r="G34" s="23">
        <v>20321092</v>
      </c>
      <c r="H34" s="22" t="s">
        <v>320</v>
      </c>
      <c r="I34" s="23">
        <v>1</v>
      </c>
      <c r="J34" s="24">
        <v>44</v>
      </c>
      <c r="K34" s="24">
        <v>44</v>
      </c>
    </row>
    <row r="35" spans="4:11">
      <c r="D35" s="11">
        <v>46084</v>
      </c>
      <c r="E35" s="12">
        <v>1581678</v>
      </c>
      <c r="F35" s="12" t="s">
        <v>375</v>
      </c>
      <c r="G35" s="13">
        <v>20321778</v>
      </c>
      <c r="H35" s="12" t="s">
        <v>376</v>
      </c>
      <c r="I35" s="13">
        <v>1</v>
      </c>
      <c r="J35" s="14">
        <v>2.5</v>
      </c>
      <c r="K35" s="14">
        <v>2.5</v>
      </c>
    </row>
    <row r="36" spans="4:11">
      <c r="D36" s="11">
        <v>46085</v>
      </c>
      <c r="E36" s="12">
        <v>1581977</v>
      </c>
      <c r="F36" s="12" t="s">
        <v>30</v>
      </c>
      <c r="G36" s="13">
        <v>20321092</v>
      </c>
      <c r="H36" s="12" t="s">
        <v>320</v>
      </c>
      <c r="I36" s="13">
        <v>2</v>
      </c>
      <c r="J36" s="14">
        <v>44</v>
      </c>
      <c r="K36" s="14">
        <v>88</v>
      </c>
    </row>
    <row r="37" spans="4:11">
      <c r="D37" s="11">
        <v>46086</v>
      </c>
      <c r="E37" s="12">
        <v>1582285</v>
      </c>
      <c r="F37" s="12" t="s">
        <v>375</v>
      </c>
      <c r="G37" s="13">
        <v>20321778</v>
      </c>
      <c r="H37" s="12" t="s">
        <v>376</v>
      </c>
      <c r="I37" s="13">
        <v>20</v>
      </c>
      <c r="J37" s="14">
        <v>2.5</v>
      </c>
      <c r="K37" s="14">
        <v>50</v>
      </c>
    </row>
    <row r="38" spans="4:11">
      <c r="D38" s="11">
        <v>46086</v>
      </c>
      <c r="E38" s="12">
        <v>1582326</v>
      </c>
      <c r="F38" s="12" t="s">
        <v>30</v>
      </c>
      <c r="G38" s="13">
        <v>20321092</v>
      </c>
      <c r="H38" s="12" t="s">
        <v>320</v>
      </c>
      <c r="I38" s="13">
        <v>3</v>
      </c>
      <c r="J38" s="14">
        <v>44</v>
      </c>
      <c r="K38" s="14">
        <v>132</v>
      </c>
    </row>
    <row r="39" spans="4:11">
      <c r="D39" s="11">
        <v>46087</v>
      </c>
      <c r="E39" s="12">
        <v>1582647</v>
      </c>
      <c r="F39" s="12" t="s">
        <v>30</v>
      </c>
      <c r="G39" s="13">
        <v>20321092</v>
      </c>
      <c r="H39" s="12" t="s">
        <v>320</v>
      </c>
      <c r="I39" s="13">
        <v>3</v>
      </c>
      <c r="J39" s="14">
        <v>44</v>
      </c>
      <c r="K39" s="14">
        <v>132</v>
      </c>
    </row>
    <row r="40" spans="4:11">
      <c r="D40" s="21">
        <v>46087</v>
      </c>
      <c r="E40" s="22">
        <v>1582813</v>
      </c>
      <c r="F40" s="22" t="s">
        <v>16</v>
      </c>
      <c r="G40" s="23">
        <v>20351970</v>
      </c>
      <c r="H40" s="22" t="s">
        <v>381</v>
      </c>
      <c r="I40" s="23">
        <v>1</v>
      </c>
      <c r="J40" s="24">
        <v>16.5</v>
      </c>
      <c r="K40" s="24">
        <v>16.5</v>
      </c>
    </row>
    <row r="41" spans="4:11">
      <c r="D41" s="11">
        <v>46087</v>
      </c>
      <c r="E41" s="12">
        <v>1582813</v>
      </c>
      <c r="F41" s="12" t="s">
        <v>30</v>
      </c>
      <c r="G41" s="13">
        <v>20321092</v>
      </c>
      <c r="H41" s="12" t="s">
        <v>320</v>
      </c>
      <c r="I41" s="13">
        <v>2</v>
      </c>
      <c r="J41" s="14">
        <v>44</v>
      </c>
      <c r="K41" s="14">
        <v>88</v>
      </c>
    </row>
    <row r="42" spans="4:11">
      <c r="D42" s="11">
        <v>46088</v>
      </c>
      <c r="E42" s="12">
        <v>1583021</v>
      </c>
      <c r="F42" s="12" t="s">
        <v>30</v>
      </c>
      <c r="G42" s="13">
        <v>20321092</v>
      </c>
      <c r="H42" s="12" t="s">
        <v>320</v>
      </c>
      <c r="I42" s="13">
        <v>5</v>
      </c>
      <c r="J42" s="14">
        <v>44</v>
      </c>
      <c r="K42" s="14">
        <v>220</v>
      </c>
    </row>
    <row r="43" spans="4:11">
      <c r="D43" s="11">
        <v>46089</v>
      </c>
      <c r="E43" s="12">
        <v>1583091</v>
      </c>
      <c r="F43" s="12" t="s">
        <v>30</v>
      </c>
      <c r="G43" s="13">
        <v>20321092</v>
      </c>
      <c r="H43" s="12" t="s">
        <v>320</v>
      </c>
      <c r="I43" s="13">
        <v>4</v>
      </c>
      <c r="J43" s="14">
        <v>44</v>
      </c>
      <c r="K43" s="14">
        <v>176</v>
      </c>
    </row>
    <row r="44" ht="0.05" customHeight="1"/>
  </sheetData>
  <autoFilter xmlns:etc="http://www.wps.cn/officeDocument/2017/etCustomData" ref="A7:K43" etc:filterBottomFollowUsedRange="0">
    <extLst/>
  </autoFilter>
  <mergeCells count="5">
    <mergeCell ref="D8:H8"/>
    <mergeCell ref="C7:C43"/>
    <mergeCell ref="B4:H5"/>
    <mergeCell ref="A7:B43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&amp;"-,Regular"2026年3月9日 8:21 
&amp;"-,Bold"&amp;10 黑龙江省铂康医疗灭菌有限公司 &amp;R&amp;"Droid Sans Fallback"&amp;9第&amp;P页，共&amp;N页 </oddFooter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K22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19" t="s">
        <v>104</v>
      </c>
      <c r="E8" s="8"/>
      <c r="F8" s="8"/>
      <c r="G8" s="8"/>
      <c r="H8" s="8"/>
      <c r="I8" s="9">
        <f>I9</f>
        <v>1</v>
      </c>
      <c r="J8" s="10"/>
      <c r="K8" s="10">
        <f>K9</f>
        <v>16.5</v>
      </c>
    </row>
    <row r="9" customFormat="1" customHeight="1" spans="1:11">
      <c r="D9" s="11">
        <v>46087</v>
      </c>
      <c r="E9" s="12">
        <v>1582813</v>
      </c>
      <c r="F9" s="12" t="s">
        <v>16</v>
      </c>
      <c r="G9" s="13">
        <v>20351970</v>
      </c>
      <c r="H9" s="12" t="s">
        <v>381</v>
      </c>
      <c r="I9" s="13">
        <v>1</v>
      </c>
      <c r="J9" s="14">
        <v>16.5</v>
      </c>
      <c r="K9" s="14">
        <v>16.5</v>
      </c>
    </row>
    <row r="10" customFormat="1" customHeight="1"/>
    <row r="11" customFormat="1" customHeight="1"/>
    <row r="12" customFormat="1" customHeight="1"/>
    <row r="13" customFormat="1" customHeight="1"/>
    <row r="14" customFormat="1" customHeight="1"/>
    <row r="15" customFormat="1" customHeight="1"/>
    <row r="16" customFormat="1" customHeight="1"/>
    <row r="17" customFormat="1" customHeight="1"/>
    <row r="18" customFormat="1" customHeight="1"/>
    <row r="19" customFormat="1" customHeight="1"/>
    <row r="20" customFormat="1" customHeight="1"/>
    <row r="21" customFormat="1" customHeight="1"/>
    <row r="22" customFormat="1" customHeight="1"/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K22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19" t="s">
        <v>331</v>
      </c>
      <c r="E8" s="8"/>
      <c r="F8" s="8"/>
      <c r="G8" s="8"/>
      <c r="H8" s="8"/>
      <c r="I8" s="9">
        <f>I9</f>
        <v>20</v>
      </c>
      <c r="J8" s="10"/>
      <c r="K8" s="10">
        <f>K9</f>
        <v>50</v>
      </c>
    </row>
    <row r="9" customFormat="1" customHeight="1" spans="1:11">
      <c r="D9" s="11">
        <v>46065</v>
      </c>
      <c r="E9" s="12">
        <v>1578255</v>
      </c>
      <c r="F9" s="12" t="s">
        <v>375</v>
      </c>
      <c r="G9" s="13">
        <v>20321778</v>
      </c>
      <c r="H9" s="12" t="s">
        <v>376</v>
      </c>
      <c r="I9" s="13">
        <v>20</v>
      </c>
      <c r="J9" s="14">
        <v>2.5</v>
      </c>
      <c r="K9" s="14">
        <f>J9*I9</f>
        <v>50</v>
      </c>
    </row>
    <row r="10" customFormat="1" customHeight="1"/>
    <row r="11" customFormat="1" customHeight="1"/>
    <row r="12" customFormat="1" customHeight="1"/>
    <row r="13" customFormat="1" customHeight="1"/>
    <row r="14" customFormat="1" customHeight="1"/>
    <row r="15" customFormat="1" customHeight="1"/>
    <row r="16" customFormat="1" customHeight="1"/>
    <row r="17" customFormat="1" customHeight="1"/>
    <row r="18" customFormat="1" customHeight="1"/>
    <row r="19" customFormat="1" customHeight="1"/>
    <row r="20" customFormat="1" customHeight="1"/>
    <row r="21" customFormat="1" customHeight="1"/>
    <row r="22" customFormat="1" customHeight="1"/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K22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19" t="s">
        <v>382</v>
      </c>
      <c r="E8" s="8"/>
      <c r="F8" s="8"/>
      <c r="G8" s="8"/>
      <c r="H8" s="8"/>
      <c r="I8" s="9">
        <f>I9</f>
        <v>10</v>
      </c>
      <c r="J8" s="10"/>
      <c r="K8" s="10">
        <f>K9</f>
        <v>25</v>
      </c>
    </row>
    <row r="9" customFormat="1" customHeight="1" spans="1:11">
      <c r="D9" s="11">
        <v>46065</v>
      </c>
      <c r="E9" s="12">
        <v>1578255</v>
      </c>
      <c r="F9" s="12" t="s">
        <v>375</v>
      </c>
      <c r="G9" s="13">
        <v>20321778</v>
      </c>
      <c r="H9" s="12" t="s">
        <v>376</v>
      </c>
      <c r="I9" s="13">
        <v>10</v>
      </c>
      <c r="J9" s="14">
        <v>2.5</v>
      </c>
      <c r="K9" s="14">
        <f>J9*I9</f>
        <v>25</v>
      </c>
    </row>
    <row r="10" customFormat="1" customHeight="1"/>
    <row r="11" customFormat="1" customHeight="1"/>
    <row r="12" customFormat="1" customHeight="1"/>
    <row r="13" customFormat="1" customHeight="1"/>
    <row r="14" customFormat="1" customHeight="1"/>
    <row r="15" customFormat="1" customHeight="1"/>
    <row r="16" customFormat="1" customHeight="1"/>
    <row r="17" customFormat="1" customHeight="1"/>
    <row r="18" customFormat="1" customHeight="1"/>
    <row r="19" customFormat="1" customHeight="1"/>
    <row r="20" customFormat="1" customHeight="1"/>
    <row r="21" customFormat="1" customHeight="1"/>
    <row r="22" customFormat="1" customHeight="1"/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K22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19" t="s">
        <v>383</v>
      </c>
      <c r="E8" s="8"/>
      <c r="F8" s="8"/>
      <c r="G8" s="8"/>
      <c r="H8" s="8"/>
      <c r="I8" s="9">
        <f>I9</f>
        <v>10</v>
      </c>
      <c r="J8" s="10"/>
      <c r="K8" s="10">
        <f>K9</f>
        <v>25</v>
      </c>
    </row>
    <row r="9" customFormat="1" customHeight="1" spans="1:11">
      <c r="D9" s="11">
        <v>46065</v>
      </c>
      <c r="E9" s="12">
        <v>1578255</v>
      </c>
      <c r="F9" s="12" t="s">
        <v>375</v>
      </c>
      <c r="G9" s="13">
        <v>20321778</v>
      </c>
      <c r="H9" s="12" t="s">
        <v>376</v>
      </c>
      <c r="I9" s="13">
        <v>10</v>
      </c>
      <c r="J9" s="14">
        <v>2.5</v>
      </c>
      <c r="K9" s="14">
        <f>J9*I9</f>
        <v>25</v>
      </c>
    </row>
    <row r="10" customFormat="1" customHeight="1"/>
    <row r="11" customFormat="1" customHeight="1"/>
    <row r="12" customFormat="1" customHeight="1"/>
    <row r="13" customFormat="1" customHeight="1"/>
    <row r="14" customFormat="1" customHeight="1"/>
    <row r="15" customFormat="1" customHeight="1"/>
    <row r="16" customFormat="1" customHeight="1"/>
    <row r="17" customFormat="1" customHeight="1"/>
    <row r="18" customFormat="1" customHeight="1"/>
    <row r="19" customFormat="1" customHeight="1"/>
    <row r="20" customFormat="1" customHeight="1"/>
    <row r="21" customFormat="1" customHeight="1"/>
    <row r="22" customFormat="1" customHeight="1"/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K22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19" t="s">
        <v>384</v>
      </c>
      <c r="E8" s="8"/>
      <c r="F8" s="8"/>
      <c r="G8" s="8"/>
      <c r="H8" s="8"/>
      <c r="I8" s="9">
        <f>I9</f>
        <v>2</v>
      </c>
      <c r="J8" s="10"/>
      <c r="K8" s="10">
        <f>K9</f>
        <v>88</v>
      </c>
    </row>
    <row r="9" customFormat="1" customHeight="1" spans="1:11">
      <c r="D9" s="11">
        <v>46074</v>
      </c>
      <c r="E9" s="12">
        <v>1579360</v>
      </c>
      <c r="F9" s="12" t="s">
        <v>30</v>
      </c>
      <c r="G9" s="13">
        <v>20321092</v>
      </c>
      <c r="H9" s="12" t="s">
        <v>320</v>
      </c>
      <c r="I9" s="13">
        <v>2</v>
      </c>
      <c r="J9" s="14">
        <v>44</v>
      </c>
      <c r="K9" s="14">
        <f>J9*I9</f>
        <v>88</v>
      </c>
    </row>
    <row r="10" customFormat="1" customHeight="1"/>
    <row r="11" customFormat="1" customHeight="1"/>
    <row r="12" customFormat="1" customHeight="1"/>
    <row r="13" customFormat="1" customHeight="1"/>
    <row r="14" customFormat="1" customHeight="1"/>
    <row r="15" customFormat="1" customHeight="1"/>
    <row r="16" customFormat="1" customHeight="1"/>
    <row r="17" customFormat="1" customHeight="1"/>
    <row r="18" customFormat="1" customHeight="1"/>
    <row r="19" customFormat="1" customHeight="1"/>
    <row r="20" customFormat="1" customHeight="1"/>
    <row r="21" customFormat="1" customHeight="1"/>
    <row r="22" customFormat="1" customHeight="1"/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K29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19" t="s">
        <v>101</v>
      </c>
      <c r="E8" s="8"/>
      <c r="F8" s="8"/>
      <c r="G8" s="8"/>
      <c r="H8" s="8"/>
      <c r="I8" s="9">
        <f>SUM(I9:I29)</f>
        <v>84</v>
      </c>
      <c r="J8" s="10"/>
      <c r="K8" s="10">
        <f>SUM(K9:K29)</f>
        <v>3696</v>
      </c>
    </row>
    <row r="9" customFormat="1" customHeight="1" spans="1:11">
      <c r="D9" s="11">
        <v>46062</v>
      </c>
      <c r="E9" s="12">
        <v>1577333</v>
      </c>
      <c r="F9" s="12" t="s">
        <v>30</v>
      </c>
      <c r="G9" s="13">
        <v>20321092</v>
      </c>
      <c r="H9" s="12" t="s">
        <v>320</v>
      </c>
      <c r="I9" s="13">
        <v>6</v>
      </c>
      <c r="J9" s="14">
        <v>44</v>
      </c>
      <c r="K9" s="14">
        <f>J9*I9</f>
        <v>264</v>
      </c>
    </row>
    <row r="10" customFormat="1" customHeight="1" spans="1:11">
      <c r="D10" s="11">
        <v>46063</v>
      </c>
      <c r="E10" s="12">
        <v>1577681</v>
      </c>
      <c r="F10" s="12" t="s">
        <v>30</v>
      </c>
      <c r="G10" s="13">
        <v>20321092</v>
      </c>
      <c r="H10" s="12" t="s">
        <v>320</v>
      </c>
      <c r="I10" s="13">
        <v>5</v>
      </c>
      <c r="J10" s="14">
        <v>44</v>
      </c>
      <c r="K10" s="14">
        <f t="shared" ref="K10:K29" si="0">J10*I10</f>
        <v>220</v>
      </c>
    </row>
    <row r="11" customFormat="1" customHeight="1" spans="1:11">
      <c r="D11" s="11">
        <v>46064</v>
      </c>
      <c r="E11" s="12">
        <v>1578049</v>
      </c>
      <c r="F11" s="12" t="s">
        <v>30</v>
      </c>
      <c r="G11" s="13">
        <v>20321092</v>
      </c>
      <c r="H11" s="12" t="s">
        <v>320</v>
      </c>
      <c r="I11" s="13">
        <v>7</v>
      </c>
      <c r="J11" s="14">
        <v>44</v>
      </c>
      <c r="K11" s="14">
        <f t="shared" si="0"/>
        <v>308</v>
      </c>
    </row>
    <row r="12" customFormat="1" customHeight="1" spans="1:11">
      <c r="D12" s="11">
        <v>46067</v>
      </c>
      <c r="E12" s="12">
        <v>1578892</v>
      </c>
      <c r="F12" s="12" t="s">
        <v>30</v>
      </c>
      <c r="G12" s="13">
        <v>20321092</v>
      </c>
      <c r="H12" s="12" t="s">
        <v>320</v>
      </c>
      <c r="I12" s="13">
        <v>3</v>
      </c>
      <c r="J12" s="14">
        <v>44</v>
      </c>
      <c r="K12" s="14">
        <f t="shared" si="0"/>
        <v>132</v>
      </c>
    </row>
    <row r="13" customFormat="1" customHeight="1" spans="1:11">
      <c r="D13" s="11">
        <v>46068</v>
      </c>
      <c r="E13" s="12">
        <v>1579070</v>
      </c>
      <c r="F13" s="12" t="s">
        <v>30</v>
      </c>
      <c r="G13" s="13">
        <v>20321092</v>
      </c>
      <c r="H13" s="12" t="s">
        <v>320</v>
      </c>
      <c r="I13" s="13">
        <v>5</v>
      </c>
      <c r="J13" s="14">
        <v>44</v>
      </c>
      <c r="K13" s="14">
        <f t="shared" si="0"/>
        <v>220</v>
      </c>
    </row>
    <row r="14" customFormat="1" customHeight="1" spans="1:11">
      <c r="D14" s="11">
        <v>46069</v>
      </c>
      <c r="E14" s="12">
        <v>1579111</v>
      </c>
      <c r="F14" s="12" t="s">
        <v>30</v>
      </c>
      <c r="G14" s="13">
        <v>20321092</v>
      </c>
      <c r="H14" s="12" t="s">
        <v>320</v>
      </c>
      <c r="I14" s="13">
        <v>1</v>
      </c>
      <c r="J14" s="14">
        <v>44</v>
      </c>
      <c r="K14" s="14">
        <f t="shared" si="0"/>
        <v>44</v>
      </c>
    </row>
    <row r="15" customFormat="1" customHeight="1" spans="1:11">
      <c r="D15" s="11">
        <v>46070</v>
      </c>
      <c r="E15" s="12">
        <v>1579129</v>
      </c>
      <c r="F15" s="12" t="s">
        <v>30</v>
      </c>
      <c r="G15" s="13">
        <v>20321092</v>
      </c>
      <c r="H15" s="12" t="s">
        <v>320</v>
      </c>
      <c r="I15" s="13">
        <v>3</v>
      </c>
      <c r="J15" s="14">
        <v>44</v>
      </c>
      <c r="K15" s="14">
        <f t="shared" si="0"/>
        <v>132</v>
      </c>
    </row>
    <row r="16" customFormat="1" customHeight="1" spans="1:11">
      <c r="D16" s="11">
        <v>46071</v>
      </c>
      <c r="E16" s="12">
        <v>1579165</v>
      </c>
      <c r="F16" s="12" t="s">
        <v>30</v>
      </c>
      <c r="G16" s="13">
        <v>20321092</v>
      </c>
      <c r="H16" s="12" t="s">
        <v>320</v>
      </c>
      <c r="I16" s="13">
        <v>2</v>
      </c>
      <c r="J16" s="14">
        <v>44</v>
      </c>
      <c r="K16" s="14">
        <f t="shared" si="0"/>
        <v>88</v>
      </c>
    </row>
    <row r="17" customFormat="1" customHeight="1" spans="4:11">
      <c r="D17" s="11">
        <v>46076</v>
      </c>
      <c r="E17" s="12">
        <v>1579517</v>
      </c>
      <c r="F17" s="12" t="s">
        <v>30</v>
      </c>
      <c r="G17" s="13">
        <v>20321092</v>
      </c>
      <c r="H17" s="12" t="s">
        <v>320</v>
      </c>
      <c r="I17" s="13">
        <v>4</v>
      </c>
      <c r="J17" s="14">
        <v>44</v>
      </c>
      <c r="K17" s="14">
        <f t="shared" si="0"/>
        <v>176</v>
      </c>
    </row>
    <row r="18" customFormat="1" customHeight="1" spans="4:11">
      <c r="D18" s="11">
        <v>46077</v>
      </c>
      <c r="E18" s="12">
        <v>1579625</v>
      </c>
      <c r="F18" s="12" t="s">
        <v>30</v>
      </c>
      <c r="G18" s="13">
        <v>20321092</v>
      </c>
      <c r="H18" s="12" t="s">
        <v>320</v>
      </c>
      <c r="I18" s="13">
        <v>4</v>
      </c>
      <c r="J18" s="14">
        <v>44</v>
      </c>
      <c r="K18" s="14">
        <f t="shared" si="0"/>
        <v>176</v>
      </c>
    </row>
    <row r="19" customFormat="1" customHeight="1" spans="4:11">
      <c r="D19" s="11">
        <v>46078</v>
      </c>
      <c r="E19" s="12">
        <v>1579944</v>
      </c>
      <c r="F19" s="12" t="s">
        <v>30</v>
      </c>
      <c r="G19" s="13">
        <v>20321092</v>
      </c>
      <c r="H19" s="12" t="s">
        <v>320</v>
      </c>
      <c r="I19" s="13">
        <v>2</v>
      </c>
      <c r="J19" s="14">
        <v>44</v>
      </c>
      <c r="K19" s="14">
        <f t="shared" si="0"/>
        <v>88</v>
      </c>
    </row>
    <row r="20" customFormat="1" customHeight="1" spans="4:11">
      <c r="D20" s="11">
        <v>46079</v>
      </c>
      <c r="E20" s="12">
        <v>1580284</v>
      </c>
      <c r="F20" s="12" t="s">
        <v>30</v>
      </c>
      <c r="G20" s="13">
        <v>20321092</v>
      </c>
      <c r="H20" s="12" t="s">
        <v>320</v>
      </c>
      <c r="I20" s="13">
        <v>2</v>
      </c>
      <c r="J20" s="14">
        <v>44</v>
      </c>
      <c r="K20" s="14">
        <f t="shared" si="0"/>
        <v>88</v>
      </c>
    </row>
    <row r="21" customFormat="1" customHeight="1" spans="4:11">
      <c r="D21" s="11">
        <v>46081</v>
      </c>
      <c r="E21" s="12">
        <v>1581000</v>
      </c>
      <c r="F21" s="12" t="s">
        <v>30</v>
      </c>
      <c r="G21" s="13">
        <v>20321092</v>
      </c>
      <c r="H21" s="12" t="s">
        <v>320</v>
      </c>
      <c r="I21" s="13">
        <v>7</v>
      </c>
      <c r="J21" s="14">
        <v>44</v>
      </c>
      <c r="K21" s="14">
        <f t="shared" si="0"/>
        <v>308</v>
      </c>
    </row>
    <row r="22" customFormat="1" customHeight="1" spans="4:11">
      <c r="D22" s="11">
        <v>46082</v>
      </c>
      <c r="E22" s="12">
        <v>1581259</v>
      </c>
      <c r="F22" s="12" t="s">
        <v>30</v>
      </c>
      <c r="G22" s="13">
        <v>20321092</v>
      </c>
      <c r="H22" s="12" t="s">
        <v>320</v>
      </c>
      <c r="I22" s="13">
        <v>3</v>
      </c>
      <c r="J22" s="14">
        <v>44</v>
      </c>
      <c r="K22" s="14">
        <f t="shared" si="0"/>
        <v>132</v>
      </c>
    </row>
    <row r="23" spans="4:11">
      <c r="D23" s="11">
        <v>46083</v>
      </c>
      <c r="E23" s="12">
        <v>1581311</v>
      </c>
      <c r="F23" s="12" t="s">
        <v>30</v>
      </c>
      <c r="G23" s="13">
        <v>20321092</v>
      </c>
      <c r="H23" s="12" t="s">
        <v>320</v>
      </c>
      <c r="I23" s="13">
        <v>9</v>
      </c>
      <c r="J23" s="14">
        <v>44</v>
      </c>
      <c r="K23" s="14">
        <f t="shared" si="0"/>
        <v>396</v>
      </c>
    </row>
    <row r="24" spans="4:11">
      <c r="D24" s="11">
        <v>46085</v>
      </c>
      <c r="E24" s="12">
        <v>1581977</v>
      </c>
      <c r="F24" s="12" t="s">
        <v>30</v>
      </c>
      <c r="G24" s="13">
        <v>20321092</v>
      </c>
      <c r="H24" s="12" t="s">
        <v>320</v>
      </c>
      <c r="I24" s="13">
        <v>2</v>
      </c>
      <c r="J24" s="14">
        <v>44</v>
      </c>
      <c r="K24" s="14">
        <f t="shared" si="0"/>
        <v>88</v>
      </c>
    </row>
    <row r="25" spans="4:11">
      <c r="D25" s="11">
        <v>46086</v>
      </c>
      <c r="E25" s="12">
        <v>1582326</v>
      </c>
      <c r="F25" s="12" t="s">
        <v>30</v>
      </c>
      <c r="G25" s="13">
        <v>20321092</v>
      </c>
      <c r="H25" s="12" t="s">
        <v>320</v>
      </c>
      <c r="I25" s="13">
        <v>3</v>
      </c>
      <c r="J25" s="14">
        <v>44</v>
      </c>
      <c r="K25" s="14">
        <f t="shared" si="0"/>
        <v>132</v>
      </c>
    </row>
    <row r="26" spans="4:11">
      <c r="D26" s="11">
        <v>46087</v>
      </c>
      <c r="E26" s="12">
        <v>1582647</v>
      </c>
      <c r="F26" s="12" t="s">
        <v>30</v>
      </c>
      <c r="G26" s="13">
        <v>20321092</v>
      </c>
      <c r="H26" s="12" t="s">
        <v>320</v>
      </c>
      <c r="I26" s="13">
        <v>3</v>
      </c>
      <c r="J26" s="14">
        <v>44</v>
      </c>
      <c r="K26" s="14">
        <f t="shared" si="0"/>
        <v>132</v>
      </c>
    </row>
    <row r="27" spans="4:11">
      <c r="D27" s="11">
        <v>46087</v>
      </c>
      <c r="E27" s="12">
        <v>1582813</v>
      </c>
      <c r="F27" s="12" t="s">
        <v>30</v>
      </c>
      <c r="G27" s="13">
        <v>20321092</v>
      </c>
      <c r="H27" s="12" t="s">
        <v>320</v>
      </c>
      <c r="I27" s="13">
        <v>2</v>
      </c>
      <c r="J27" s="14">
        <v>44</v>
      </c>
      <c r="K27" s="14">
        <f t="shared" si="0"/>
        <v>88</v>
      </c>
    </row>
    <row r="28" spans="4:11">
      <c r="D28" s="11">
        <v>46088</v>
      </c>
      <c r="E28" s="12">
        <v>1583021</v>
      </c>
      <c r="F28" s="12" t="s">
        <v>30</v>
      </c>
      <c r="G28" s="13">
        <v>20321092</v>
      </c>
      <c r="H28" s="12" t="s">
        <v>320</v>
      </c>
      <c r="I28" s="13">
        <v>5</v>
      </c>
      <c r="J28" s="14">
        <v>44</v>
      </c>
      <c r="K28" s="14">
        <f t="shared" si="0"/>
        <v>220</v>
      </c>
    </row>
    <row r="29" spans="4:11">
      <c r="D29" s="11">
        <v>46089</v>
      </c>
      <c r="E29" s="12">
        <v>1583091</v>
      </c>
      <c r="F29" s="12" t="s">
        <v>30</v>
      </c>
      <c r="G29" s="13">
        <v>20321092</v>
      </c>
      <c r="H29" s="12" t="s">
        <v>320</v>
      </c>
      <c r="I29" s="13">
        <v>6</v>
      </c>
      <c r="J29" s="14">
        <v>44</v>
      </c>
      <c r="K29" s="14">
        <f t="shared" si="0"/>
        <v>264</v>
      </c>
    </row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K22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100</v>
      </c>
      <c r="E8" s="8"/>
      <c r="F8" s="8"/>
      <c r="G8" s="8"/>
      <c r="H8" s="8"/>
      <c r="I8" s="9">
        <f>I9</f>
        <v>1</v>
      </c>
      <c r="J8" s="10"/>
      <c r="K8" s="10">
        <f>K9</f>
        <v>2.5</v>
      </c>
    </row>
    <row r="9" customFormat="1" customHeight="1" spans="1:11">
      <c r="D9" s="11">
        <v>46079</v>
      </c>
      <c r="E9" s="12">
        <v>1543653</v>
      </c>
      <c r="F9" s="12" t="s">
        <v>375</v>
      </c>
      <c r="G9" s="13">
        <v>20322051</v>
      </c>
      <c r="H9" s="12" t="s">
        <v>385</v>
      </c>
      <c r="I9" s="13">
        <v>1</v>
      </c>
      <c r="J9" s="14">
        <v>2.5</v>
      </c>
      <c r="K9" s="14">
        <f>J9</f>
        <v>2.5</v>
      </c>
    </row>
    <row r="10" customFormat="1" customHeight="1"/>
    <row r="11" customFormat="1" customHeight="1"/>
    <row r="12" customFormat="1" customHeight="1"/>
    <row r="13" customFormat="1" customHeight="1"/>
    <row r="14" customFormat="1" customHeight="1"/>
    <row r="15" customFormat="1" customHeight="1"/>
    <row r="16" customFormat="1" customHeight="1"/>
    <row r="17" customFormat="1" customHeight="1"/>
    <row r="18" customFormat="1" customHeight="1"/>
    <row r="19" customFormat="1" customHeight="1"/>
    <row r="20" customFormat="1" customHeight="1"/>
    <row r="21" customFormat="1" customHeight="1"/>
    <row r="22" customFormat="1" customHeight="1"/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K22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19" t="s">
        <v>96</v>
      </c>
      <c r="E8" s="8"/>
      <c r="F8" s="8"/>
      <c r="G8" s="8"/>
      <c r="H8" s="8"/>
      <c r="I8" s="9">
        <f>I9</f>
        <v>1</v>
      </c>
      <c r="J8" s="10"/>
      <c r="K8" s="10">
        <f>K9</f>
        <v>44</v>
      </c>
    </row>
    <row r="9" customFormat="1" customHeight="1" spans="1:11">
      <c r="D9" s="11">
        <v>46072</v>
      </c>
      <c r="E9" s="12">
        <v>1579248</v>
      </c>
      <c r="F9" s="12" t="s">
        <v>30</v>
      </c>
      <c r="G9" s="13">
        <v>20321092</v>
      </c>
      <c r="H9" s="12" t="s">
        <v>320</v>
      </c>
      <c r="I9" s="13">
        <v>1</v>
      </c>
      <c r="J9" s="14">
        <v>44</v>
      </c>
      <c r="K9" s="14">
        <v>44</v>
      </c>
    </row>
    <row r="10" customFormat="1" customHeight="1"/>
    <row r="11" customHeight="1"/>
    <row r="12" customHeight="1"/>
    <row r="13" customHeight="1"/>
    <row r="14" customHeight="1"/>
    <row r="15" customHeight="1"/>
    <row r="16" customHeight="1"/>
    <row r="17" customHeight="1"/>
    <row r="18" customHeight="1"/>
    <row r="19" customHeight="1"/>
    <row r="20" customHeight="1"/>
    <row r="21" customHeight="1"/>
    <row r="22" customHeight="1"/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K22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19" t="s">
        <v>98</v>
      </c>
      <c r="E8" s="8"/>
      <c r="F8" s="8"/>
      <c r="G8" s="8"/>
      <c r="H8" s="8"/>
      <c r="I8" s="9">
        <f>I9</f>
        <v>1</v>
      </c>
      <c r="J8" s="10"/>
      <c r="K8" s="10">
        <f>K9</f>
        <v>44</v>
      </c>
    </row>
    <row r="9" customFormat="1" customHeight="1" spans="1:11">
      <c r="D9" s="11">
        <v>46073</v>
      </c>
      <c r="E9" s="12">
        <v>1579297</v>
      </c>
      <c r="F9" s="12" t="s">
        <v>30</v>
      </c>
      <c r="G9" s="13">
        <v>20321092</v>
      </c>
      <c r="H9" s="12" t="s">
        <v>320</v>
      </c>
      <c r="I9" s="13">
        <v>1</v>
      </c>
      <c r="J9" s="14">
        <v>44</v>
      </c>
      <c r="K9" s="14">
        <v>44</v>
      </c>
    </row>
    <row r="10" customFormat="1" customHeight="1"/>
    <row r="11" customFormat="1" customHeight="1"/>
    <row r="12" customFormat="1" customHeight="1"/>
    <row r="13" customFormat="1" customHeight="1"/>
    <row r="14" customFormat="1" customHeight="1"/>
    <row r="15" customFormat="1" customHeight="1"/>
    <row r="16" customFormat="1" customHeight="1"/>
    <row r="17" customFormat="1" customHeight="1"/>
    <row r="18" customFormat="1" customHeight="1"/>
    <row r="19" customFormat="1" customHeight="1"/>
    <row r="20" customFormat="1" customHeight="1"/>
    <row r="21" customFormat="1" customHeight="1"/>
    <row r="22" customFormat="1" customHeight="1"/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K22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19" t="s">
        <v>273</v>
      </c>
      <c r="E8" s="8"/>
      <c r="F8" s="8"/>
      <c r="G8" s="8"/>
      <c r="H8" s="8"/>
      <c r="I8" s="9">
        <f>I9</f>
        <v>1</v>
      </c>
      <c r="J8" s="10"/>
      <c r="K8" s="10">
        <f>K9</f>
        <v>44</v>
      </c>
    </row>
    <row r="9" customFormat="1" customHeight="1" spans="1:11">
      <c r="D9" s="11">
        <v>46084</v>
      </c>
      <c r="E9" s="12">
        <v>1581678</v>
      </c>
      <c r="F9" s="12" t="s">
        <v>30</v>
      </c>
      <c r="G9" s="13">
        <v>20321092</v>
      </c>
      <c r="H9" s="12" t="s">
        <v>320</v>
      </c>
      <c r="I9" s="13">
        <v>1</v>
      </c>
      <c r="J9" s="14">
        <v>44</v>
      </c>
      <c r="K9" s="14">
        <v>44</v>
      </c>
    </row>
    <row r="10" customFormat="1" customHeight="1"/>
    <row r="11" customFormat="1" customHeight="1"/>
    <row r="12" customFormat="1" customHeight="1"/>
    <row r="13" customFormat="1" customHeight="1"/>
    <row r="14" customFormat="1" customHeight="1"/>
    <row r="15" customFormat="1" customHeight="1"/>
    <row r="16" customFormat="1" customHeight="1"/>
    <row r="17" customFormat="1" customHeight="1"/>
    <row r="18" customFormat="1" customHeight="1"/>
    <row r="19" customFormat="1" customHeight="1"/>
    <row r="20" customFormat="1" customHeight="1"/>
    <row r="21" customFormat="1" customHeight="1"/>
    <row r="22" customFormat="1" customHeight="1"/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K22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19" t="s">
        <v>245</v>
      </c>
      <c r="E8" s="8"/>
      <c r="F8" s="8"/>
      <c r="G8" s="8"/>
      <c r="H8" s="8"/>
      <c r="I8" s="9">
        <f>I9</f>
        <v>1</v>
      </c>
      <c r="J8" s="10"/>
      <c r="K8" s="10">
        <f>K9</f>
        <v>44</v>
      </c>
    </row>
    <row r="9" customFormat="1" customHeight="1" spans="1:11">
      <c r="D9" s="11">
        <v>46066</v>
      </c>
      <c r="E9" s="12">
        <v>1578601</v>
      </c>
      <c r="F9" s="12" t="s">
        <v>30</v>
      </c>
      <c r="G9" s="13">
        <v>20321092</v>
      </c>
      <c r="H9" s="12" t="s">
        <v>320</v>
      </c>
      <c r="I9" s="13">
        <v>1</v>
      </c>
      <c r="J9" s="14">
        <v>44</v>
      </c>
      <c r="K9" s="14">
        <f>J9</f>
        <v>44</v>
      </c>
    </row>
    <row r="10" customFormat="1" customHeight="1"/>
    <row r="11" customFormat="1" customHeight="1"/>
    <row r="12" customFormat="1" customHeight="1"/>
    <row r="13" customFormat="1" customHeight="1"/>
    <row r="14" customFormat="1" customHeight="1"/>
    <row r="15" customFormat="1" customHeight="1"/>
    <row r="16" customFormat="1" customHeight="1"/>
    <row r="17" customFormat="1" customHeight="1"/>
    <row r="18" customFormat="1" customHeight="1"/>
    <row r="19" customFormat="1" customHeight="1"/>
    <row r="20" customFormat="1" customHeight="1"/>
    <row r="21" customFormat="1" customHeight="1"/>
    <row r="22" customFormat="1" customHeight="1"/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K22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19" t="s">
        <v>308</v>
      </c>
      <c r="E8" s="8"/>
      <c r="F8" s="8"/>
      <c r="G8" s="8"/>
      <c r="H8" s="8"/>
      <c r="I8" s="9">
        <f>I9</f>
        <v>2</v>
      </c>
      <c r="J8" s="10"/>
      <c r="K8" s="10">
        <f>K9</f>
        <v>88</v>
      </c>
    </row>
    <row r="9" customFormat="1" customHeight="1" spans="1:11">
      <c r="D9" s="11">
        <v>46066</v>
      </c>
      <c r="E9" s="12">
        <v>1578601</v>
      </c>
      <c r="F9" s="12" t="s">
        <v>30</v>
      </c>
      <c r="G9" s="13">
        <v>20321092</v>
      </c>
      <c r="H9" s="12" t="s">
        <v>320</v>
      </c>
      <c r="I9" s="13">
        <v>2</v>
      </c>
      <c r="J9" s="14">
        <v>44</v>
      </c>
      <c r="K9" s="14">
        <f>J9*I9</f>
        <v>88</v>
      </c>
    </row>
    <row r="10" customFormat="1" customHeight="1"/>
    <row r="11" customFormat="1" customHeight="1"/>
    <row r="12" customFormat="1" customHeight="1"/>
    <row r="13" customFormat="1" customHeight="1"/>
    <row r="14" customFormat="1" customHeight="1"/>
    <row r="15" customFormat="1" customHeight="1"/>
    <row r="16" customFormat="1" customHeight="1"/>
    <row r="17" customFormat="1" customHeight="1"/>
    <row r="18" customFormat="1" customHeight="1"/>
    <row r="19" customFormat="1" customHeight="1"/>
    <row r="20" customFormat="1" customHeight="1"/>
    <row r="21" customFormat="1" customHeight="1"/>
    <row r="22" customFormat="1" customHeight="1"/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K22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19" t="s">
        <v>386</v>
      </c>
      <c r="E8" s="8"/>
      <c r="F8" s="8"/>
      <c r="G8" s="8"/>
      <c r="H8" s="8"/>
      <c r="I8" s="9">
        <f>I9</f>
        <v>2</v>
      </c>
      <c r="J8" s="10"/>
      <c r="K8" s="10">
        <f>K9</f>
        <v>88</v>
      </c>
    </row>
    <row r="9" customFormat="1" customHeight="1" spans="1:11">
      <c r="D9" s="11">
        <v>46075</v>
      </c>
      <c r="E9" s="12">
        <v>1579440</v>
      </c>
      <c r="F9" s="12" t="s">
        <v>30</v>
      </c>
      <c r="G9" s="13">
        <v>20321092</v>
      </c>
      <c r="H9" s="12" t="s">
        <v>320</v>
      </c>
      <c r="I9" s="13">
        <v>2</v>
      </c>
      <c r="J9" s="14">
        <v>44</v>
      </c>
      <c r="K9" s="14">
        <f>I9*J9</f>
        <v>88</v>
      </c>
    </row>
    <row r="10" customFormat="1" customHeight="1"/>
    <row r="11" customFormat="1" customHeight="1"/>
    <row r="12" customFormat="1" customHeight="1"/>
    <row r="13" customFormat="1" customHeight="1"/>
    <row r="14" customFormat="1" customHeight="1"/>
    <row r="15" customFormat="1" customHeight="1"/>
    <row r="16" customFormat="1" customHeight="1"/>
    <row r="17" customFormat="1" customHeight="1"/>
    <row r="18" customFormat="1" customHeight="1"/>
    <row r="19" customFormat="1" customHeight="1"/>
    <row r="20" customFormat="1" customHeight="1"/>
    <row r="21" customFormat="1" customHeight="1"/>
    <row r="22" customFormat="1" customHeight="1"/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K22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19" t="s">
        <v>387</v>
      </c>
      <c r="E8" s="8"/>
      <c r="F8" s="8"/>
      <c r="G8" s="8"/>
      <c r="H8" s="8"/>
      <c r="I8" s="9">
        <f>I9</f>
        <v>1</v>
      </c>
      <c r="J8" s="10"/>
      <c r="K8" s="10">
        <f>K9</f>
        <v>44</v>
      </c>
    </row>
    <row r="9" customFormat="1" customHeight="1" spans="1:11">
      <c r="D9" s="11">
        <v>46075</v>
      </c>
      <c r="E9" s="12">
        <v>1579440</v>
      </c>
      <c r="F9" s="12" t="s">
        <v>30</v>
      </c>
      <c r="G9" s="13">
        <v>20321092</v>
      </c>
      <c r="H9" s="12" t="s">
        <v>320</v>
      </c>
      <c r="I9" s="13">
        <v>1</v>
      </c>
      <c r="J9" s="14">
        <v>44</v>
      </c>
      <c r="K9" s="14">
        <f>J9*I9</f>
        <v>44</v>
      </c>
    </row>
    <row r="10" customFormat="1" customHeight="1"/>
    <row r="11" customFormat="1" customHeight="1"/>
    <row r="12" customFormat="1" customHeight="1"/>
    <row r="13" customFormat="1" customHeight="1"/>
    <row r="14" customFormat="1" customHeight="1"/>
    <row r="15" customFormat="1" customHeight="1"/>
    <row r="16" customFormat="1" customHeight="1"/>
    <row r="17" customFormat="1" customHeight="1"/>
    <row r="18" customFormat="1" customHeight="1"/>
    <row r="19" customFormat="1" customHeight="1"/>
    <row r="20" customFormat="1" customHeight="1"/>
    <row r="21" customFormat="1" customHeight="1"/>
    <row r="22" customFormat="1" customHeight="1"/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A1" sqref="$A1:$XFD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241</v>
      </c>
      <c r="E8" s="8" t="s">
        <v>2</v>
      </c>
      <c r="F8" s="8" t="s">
        <v>2</v>
      </c>
      <c r="G8" s="8" t="s">
        <v>2</v>
      </c>
      <c r="H8" s="8" t="s">
        <v>2</v>
      </c>
      <c r="I8" s="9">
        <v>1</v>
      </c>
      <c r="J8" s="10"/>
      <c r="K8" s="10">
        <v>44</v>
      </c>
    </row>
    <row r="9" spans="1:11">
      <c r="D9" s="11">
        <v>46072</v>
      </c>
      <c r="E9" s="12">
        <v>1579247</v>
      </c>
      <c r="F9" s="12" t="s">
        <v>30</v>
      </c>
      <c r="G9" s="13">
        <v>20321092</v>
      </c>
      <c r="H9" s="12" t="s">
        <v>320</v>
      </c>
      <c r="I9" s="13">
        <v>1</v>
      </c>
      <c r="J9" s="14">
        <v>44</v>
      </c>
      <c r="K9" s="14">
        <v>44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&amp;"-,Regular"2026年3月9日 8:21 
&amp;"-,Bold"&amp;10 黑龙江省铂康医疗灭菌有限公司 &amp;R&amp;"Droid Sans Fallback"&amp;9第&amp;P页，共&amp;N页 </oddFooter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theme="1"/>
  </sheetPr>
  <dimension ref="A1:K59"/>
  <sheetViews>
    <sheetView showGridLines="0" view="pageBreakPreview" zoomScaleNormal="100" workbookViewId="0">
      <pane ySplit="6" topLeftCell="A12" activePane="bottomLeft" state="frozen"/>
      <selection/>
      <selection pane="bottomLeft" activeCell="D9" sqref="D9:K5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388</v>
      </c>
      <c r="E8" s="8" t="s">
        <v>2</v>
      </c>
      <c r="F8" s="8" t="s">
        <v>2</v>
      </c>
      <c r="G8" s="8" t="s">
        <v>2</v>
      </c>
      <c r="H8" s="8" t="s">
        <v>2</v>
      </c>
      <c r="I8" s="9">
        <v>56</v>
      </c>
      <c r="J8" s="10"/>
      <c r="K8" s="10">
        <v>1805.5</v>
      </c>
    </row>
    <row r="9" spans="1:11">
      <c r="D9" s="11">
        <v>46062</v>
      </c>
      <c r="E9" s="12">
        <v>1577233</v>
      </c>
      <c r="F9" s="12" t="s">
        <v>16</v>
      </c>
      <c r="G9" s="13">
        <v>20347680</v>
      </c>
      <c r="H9" s="12" t="s">
        <v>389</v>
      </c>
      <c r="I9" s="13">
        <v>4</v>
      </c>
      <c r="J9" s="14">
        <v>8</v>
      </c>
      <c r="K9" s="14">
        <v>32</v>
      </c>
    </row>
    <row r="10" hidden="1" spans="1:11">
      <c r="D10" s="11">
        <v>46063</v>
      </c>
      <c r="E10" s="12">
        <v>1577601</v>
      </c>
      <c r="F10" s="12" t="s">
        <v>30</v>
      </c>
      <c r="G10" s="13">
        <v>20321603</v>
      </c>
      <c r="H10" s="12" t="s">
        <v>390</v>
      </c>
      <c r="I10" s="13">
        <v>1</v>
      </c>
      <c r="J10" s="14">
        <v>55</v>
      </c>
      <c r="K10" s="14">
        <v>55</v>
      </c>
    </row>
    <row r="11" spans="1:11">
      <c r="D11" s="11">
        <v>46065</v>
      </c>
      <c r="E11" s="12">
        <v>1578375</v>
      </c>
      <c r="F11" s="12" t="s">
        <v>13</v>
      </c>
      <c r="G11" s="13">
        <v>20351339</v>
      </c>
      <c r="H11" s="12" t="s">
        <v>391</v>
      </c>
      <c r="I11" s="13">
        <v>1</v>
      </c>
      <c r="J11" s="14">
        <v>55</v>
      </c>
      <c r="K11" s="14">
        <v>55</v>
      </c>
    </row>
    <row r="12" spans="1:11">
      <c r="D12" s="11">
        <v>46066</v>
      </c>
      <c r="E12" s="12">
        <v>1578563</v>
      </c>
      <c r="F12" s="12" t="s">
        <v>13</v>
      </c>
      <c r="G12" s="13">
        <v>20373632</v>
      </c>
      <c r="H12" s="12" t="s">
        <v>392</v>
      </c>
      <c r="I12" s="13">
        <v>1</v>
      </c>
      <c r="J12" s="14">
        <v>38.5</v>
      </c>
      <c r="K12" s="14">
        <v>38.5</v>
      </c>
    </row>
    <row r="13" spans="1:11">
      <c r="D13" s="11">
        <v>46066</v>
      </c>
      <c r="E13" s="12">
        <v>1578563</v>
      </c>
      <c r="F13" s="12" t="s">
        <v>16</v>
      </c>
      <c r="G13" s="13">
        <v>20363970</v>
      </c>
      <c r="H13" s="12" t="s">
        <v>393</v>
      </c>
      <c r="I13" s="13">
        <v>1</v>
      </c>
      <c r="J13" s="14">
        <v>8</v>
      </c>
      <c r="K13" s="14">
        <v>8</v>
      </c>
    </row>
    <row r="14" spans="1:11">
      <c r="D14" s="11">
        <v>46067</v>
      </c>
      <c r="E14" s="12">
        <v>1578968</v>
      </c>
      <c r="F14" s="12" t="s">
        <v>16</v>
      </c>
      <c r="G14" s="13">
        <v>20363970</v>
      </c>
      <c r="H14" s="12" t="s">
        <v>393</v>
      </c>
      <c r="I14" s="13">
        <v>1</v>
      </c>
      <c r="J14" s="14">
        <v>8</v>
      </c>
      <c r="K14" s="14">
        <v>8</v>
      </c>
    </row>
    <row r="15" hidden="1" spans="1:11">
      <c r="D15" s="11">
        <v>46069</v>
      </c>
      <c r="E15" s="12">
        <v>1579108</v>
      </c>
      <c r="F15" s="12" t="s">
        <v>30</v>
      </c>
      <c r="G15" s="13">
        <v>20365280</v>
      </c>
      <c r="H15" s="12" t="s">
        <v>394</v>
      </c>
      <c r="I15" s="13">
        <v>1</v>
      </c>
      <c r="J15" s="14">
        <v>33</v>
      </c>
      <c r="K15" s="14">
        <v>33</v>
      </c>
    </row>
    <row r="16" spans="1:11">
      <c r="D16" s="11">
        <v>46070</v>
      </c>
      <c r="E16" s="12">
        <v>1579127</v>
      </c>
      <c r="F16" s="12" t="s">
        <v>13</v>
      </c>
      <c r="G16" s="13">
        <v>20373632</v>
      </c>
      <c r="H16" s="12" t="s">
        <v>392</v>
      </c>
      <c r="I16" s="13">
        <v>1</v>
      </c>
      <c r="J16" s="14">
        <v>38.5</v>
      </c>
      <c r="K16" s="14">
        <v>38.5</v>
      </c>
    </row>
    <row r="17" spans="4:11">
      <c r="D17" s="11">
        <v>46070</v>
      </c>
      <c r="E17" s="12">
        <v>1579127</v>
      </c>
      <c r="F17" s="12" t="s">
        <v>13</v>
      </c>
      <c r="G17" s="13">
        <v>20343695</v>
      </c>
      <c r="H17" s="12" t="s">
        <v>395</v>
      </c>
      <c r="I17" s="13">
        <v>1</v>
      </c>
      <c r="J17" s="14">
        <v>38.5</v>
      </c>
      <c r="K17" s="14">
        <v>38.5</v>
      </c>
    </row>
    <row r="18" spans="4:11">
      <c r="D18" s="11">
        <v>46070</v>
      </c>
      <c r="E18" s="12">
        <v>1579127</v>
      </c>
      <c r="F18" s="12" t="s">
        <v>16</v>
      </c>
      <c r="G18" s="13">
        <v>20346971</v>
      </c>
      <c r="H18" s="12" t="s">
        <v>396</v>
      </c>
      <c r="I18" s="13">
        <v>2</v>
      </c>
      <c r="J18" s="14">
        <v>11</v>
      </c>
      <c r="K18" s="14">
        <v>22</v>
      </c>
    </row>
    <row r="19" spans="4:11">
      <c r="D19" s="11">
        <v>46070</v>
      </c>
      <c r="E19" s="12">
        <v>1579127</v>
      </c>
      <c r="F19" s="12" t="s">
        <v>16</v>
      </c>
      <c r="G19" s="13">
        <v>20363970</v>
      </c>
      <c r="H19" s="12" t="s">
        <v>393</v>
      </c>
      <c r="I19" s="13">
        <v>1</v>
      </c>
      <c r="J19" s="14">
        <v>8</v>
      </c>
      <c r="K19" s="14">
        <v>8</v>
      </c>
    </row>
    <row r="20" spans="4:11">
      <c r="D20" s="11">
        <v>46070</v>
      </c>
      <c r="E20" s="12">
        <v>1579127</v>
      </c>
      <c r="F20" s="12" t="s">
        <v>30</v>
      </c>
      <c r="G20" s="13">
        <v>20365949</v>
      </c>
      <c r="H20" s="12" t="s">
        <v>397</v>
      </c>
      <c r="I20" s="13">
        <v>1</v>
      </c>
      <c r="J20" s="14">
        <v>38.5</v>
      </c>
      <c r="K20" s="14">
        <v>38.5</v>
      </c>
    </row>
    <row r="21" spans="4:11">
      <c r="D21" s="11">
        <v>46070</v>
      </c>
      <c r="E21" s="12">
        <v>1579127</v>
      </c>
      <c r="F21" s="12" t="s">
        <v>30</v>
      </c>
      <c r="G21" s="13">
        <v>20385138</v>
      </c>
      <c r="H21" s="12" t="s">
        <v>398</v>
      </c>
      <c r="I21" s="13">
        <v>1</v>
      </c>
      <c r="J21" s="14">
        <v>44</v>
      </c>
      <c r="K21" s="14">
        <v>44</v>
      </c>
    </row>
    <row r="22" spans="4:11">
      <c r="D22" s="11">
        <v>46074</v>
      </c>
      <c r="E22" s="12">
        <v>1579364</v>
      </c>
      <c r="F22" s="12" t="s">
        <v>30</v>
      </c>
      <c r="G22" s="13">
        <v>20402953</v>
      </c>
      <c r="H22" s="12" t="s">
        <v>399</v>
      </c>
      <c r="I22" s="13">
        <v>1</v>
      </c>
      <c r="J22" s="14">
        <v>33</v>
      </c>
      <c r="K22" s="14">
        <v>33</v>
      </c>
    </row>
    <row r="23" spans="4:11">
      <c r="D23" s="11">
        <v>46078</v>
      </c>
      <c r="E23" s="12">
        <v>1580037</v>
      </c>
      <c r="F23" s="12" t="s">
        <v>16</v>
      </c>
      <c r="G23" s="13">
        <v>20363970</v>
      </c>
      <c r="H23" s="12" t="s">
        <v>393</v>
      </c>
      <c r="I23" s="13">
        <v>1</v>
      </c>
      <c r="J23" s="14">
        <v>8</v>
      </c>
      <c r="K23" s="14">
        <v>8</v>
      </c>
    </row>
    <row r="24" hidden="1" spans="4:11">
      <c r="D24" s="11">
        <v>46078</v>
      </c>
      <c r="E24" s="12">
        <v>1580069</v>
      </c>
      <c r="F24" s="12" t="s">
        <v>30</v>
      </c>
      <c r="G24" s="13">
        <v>20321660</v>
      </c>
      <c r="H24" s="12" t="s">
        <v>400</v>
      </c>
      <c r="I24" s="13">
        <v>1</v>
      </c>
      <c r="J24" s="14">
        <v>33</v>
      </c>
      <c r="K24" s="14">
        <v>33</v>
      </c>
    </row>
    <row r="25" hidden="1" spans="4:11">
      <c r="D25" s="11">
        <v>46079</v>
      </c>
      <c r="E25" s="12">
        <v>1580233</v>
      </c>
      <c r="F25" s="12" t="s">
        <v>30</v>
      </c>
      <c r="G25" s="13">
        <v>20321464</v>
      </c>
      <c r="H25" s="12" t="s">
        <v>401</v>
      </c>
      <c r="I25" s="13">
        <v>1</v>
      </c>
      <c r="J25" s="14">
        <v>38.5</v>
      </c>
      <c r="K25" s="14">
        <v>38.5</v>
      </c>
    </row>
    <row r="26" hidden="1" spans="4:11">
      <c r="D26" s="11">
        <v>46081</v>
      </c>
      <c r="E26" s="12">
        <v>1580989</v>
      </c>
      <c r="F26" s="12" t="s">
        <v>30</v>
      </c>
      <c r="G26" s="13">
        <v>20321603</v>
      </c>
      <c r="H26" s="12" t="s">
        <v>390</v>
      </c>
      <c r="I26" s="13">
        <v>1</v>
      </c>
      <c r="J26" s="14">
        <v>55</v>
      </c>
      <c r="K26" s="14">
        <v>55</v>
      </c>
    </row>
    <row r="27" spans="4:11">
      <c r="D27" s="11">
        <v>46081</v>
      </c>
      <c r="E27" s="12">
        <v>1580989</v>
      </c>
      <c r="F27" s="12" t="s">
        <v>30</v>
      </c>
      <c r="G27" s="13">
        <v>20321693</v>
      </c>
      <c r="H27" s="12" t="s">
        <v>402</v>
      </c>
      <c r="I27" s="13">
        <v>1</v>
      </c>
      <c r="J27" s="14">
        <v>71.5</v>
      </c>
      <c r="K27" s="14">
        <v>71.5</v>
      </c>
    </row>
    <row r="28" spans="4:11">
      <c r="D28" s="11">
        <v>46082</v>
      </c>
      <c r="E28" s="12">
        <v>1581252</v>
      </c>
      <c r="F28" s="12" t="s">
        <v>13</v>
      </c>
      <c r="G28" s="13">
        <v>20343695</v>
      </c>
      <c r="H28" s="12" t="s">
        <v>395</v>
      </c>
      <c r="I28" s="13">
        <v>1</v>
      </c>
      <c r="J28" s="14">
        <v>38.5</v>
      </c>
      <c r="K28" s="14">
        <v>38.5</v>
      </c>
    </row>
    <row r="29" spans="4:11">
      <c r="D29" s="11">
        <v>46082</v>
      </c>
      <c r="E29" s="12">
        <v>1581252</v>
      </c>
      <c r="F29" s="12" t="s">
        <v>16</v>
      </c>
      <c r="G29" s="13">
        <v>20346971</v>
      </c>
      <c r="H29" s="12" t="s">
        <v>396</v>
      </c>
      <c r="I29" s="13">
        <v>2</v>
      </c>
      <c r="J29" s="14">
        <v>11</v>
      </c>
      <c r="K29" s="14">
        <v>22</v>
      </c>
    </row>
    <row r="30" spans="4:11">
      <c r="D30" s="11">
        <v>46082</v>
      </c>
      <c r="E30" s="12">
        <v>1581252</v>
      </c>
      <c r="F30" s="12" t="s">
        <v>30</v>
      </c>
      <c r="G30" s="13">
        <v>20365949</v>
      </c>
      <c r="H30" s="12" t="s">
        <v>397</v>
      </c>
      <c r="I30" s="13">
        <v>1</v>
      </c>
      <c r="J30" s="14">
        <v>38.5</v>
      </c>
      <c r="K30" s="14">
        <v>38.5</v>
      </c>
    </row>
    <row r="31" spans="4:11">
      <c r="D31" s="11">
        <v>46084</v>
      </c>
      <c r="E31" s="12">
        <v>1581679</v>
      </c>
      <c r="F31" s="12" t="s">
        <v>13</v>
      </c>
      <c r="G31" s="13">
        <v>20343695</v>
      </c>
      <c r="H31" s="12" t="s">
        <v>395</v>
      </c>
      <c r="I31" s="13">
        <v>1</v>
      </c>
      <c r="J31" s="14">
        <v>38.5</v>
      </c>
      <c r="K31" s="14">
        <v>38.5</v>
      </c>
    </row>
    <row r="32" spans="4:11">
      <c r="D32" s="11">
        <v>46084</v>
      </c>
      <c r="E32" s="12">
        <v>1581679</v>
      </c>
      <c r="F32" s="12" t="s">
        <v>16</v>
      </c>
      <c r="G32" s="13">
        <v>20363970</v>
      </c>
      <c r="H32" s="12" t="s">
        <v>393</v>
      </c>
      <c r="I32" s="13">
        <v>1</v>
      </c>
      <c r="J32" s="14">
        <v>8</v>
      </c>
      <c r="K32" s="14">
        <v>8</v>
      </c>
    </row>
    <row r="33" spans="4:11">
      <c r="D33" s="11">
        <v>46084</v>
      </c>
      <c r="E33" s="12">
        <v>1581679</v>
      </c>
      <c r="F33" s="12" t="s">
        <v>16</v>
      </c>
      <c r="G33" s="13">
        <v>20363972</v>
      </c>
      <c r="H33" s="12" t="s">
        <v>403</v>
      </c>
      <c r="I33" s="13">
        <v>1</v>
      </c>
      <c r="J33" s="14">
        <v>8</v>
      </c>
      <c r="K33" s="14">
        <v>8</v>
      </c>
    </row>
    <row r="34" spans="4:11">
      <c r="D34" s="11">
        <v>46084</v>
      </c>
      <c r="E34" s="12">
        <v>1581679</v>
      </c>
      <c r="F34" s="12" t="s">
        <v>30</v>
      </c>
      <c r="G34" s="13">
        <v>20321693</v>
      </c>
      <c r="H34" s="12" t="s">
        <v>402</v>
      </c>
      <c r="I34" s="13">
        <v>1</v>
      </c>
      <c r="J34" s="14">
        <v>71.5</v>
      </c>
      <c r="K34" s="14">
        <v>71.5</v>
      </c>
    </row>
    <row r="35" spans="4:11">
      <c r="D35" s="11">
        <v>46084</v>
      </c>
      <c r="E35" s="12">
        <v>1581782</v>
      </c>
      <c r="F35" s="12" t="s">
        <v>16</v>
      </c>
      <c r="G35" s="13">
        <v>20346971</v>
      </c>
      <c r="H35" s="12" t="s">
        <v>396</v>
      </c>
      <c r="I35" s="13">
        <v>1</v>
      </c>
      <c r="J35" s="14">
        <v>11</v>
      </c>
      <c r="K35" s="14">
        <v>11</v>
      </c>
    </row>
    <row r="36" spans="4:11">
      <c r="D36" s="11">
        <v>46084</v>
      </c>
      <c r="E36" s="12">
        <v>1581782</v>
      </c>
      <c r="F36" s="12" t="s">
        <v>16</v>
      </c>
      <c r="G36" s="13">
        <v>20363970</v>
      </c>
      <c r="H36" s="12" t="s">
        <v>393</v>
      </c>
      <c r="I36" s="13">
        <v>1</v>
      </c>
      <c r="J36" s="14">
        <v>8</v>
      </c>
      <c r="K36" s="14">
        <v>8</v>
      </c>
    </row>
    <row r="37" spans="4:11">
      <c r="D37" s="11">
        <v>46084</v>
      </c>
      <c r="E37" s="12">
        <v>1581782</v>
      </c>
      <c r="F37" s="12" t="s">
        <v>16</v>
      </c>
      <c r="G37" s="13">
        <v>20353642</v>
      </c>
      <c r="H37" s="12" t="s">
        <v>404</v>
      </c>
      <c r="I37" s="13">
        <v>1</v>
      </c>
      <c r="J37" s="14">
        <v>8</v>
      </c>
      <c r="K37" s="14">
        <v>8</v>
      </c>
    </row>
    <row r="38" hidden="1" spans="4:11">
      <c r="D38" s="11">
        <v>46085</v>
      </c>
      <c r="E38" s="12">
        <v>1581978</v>
      </c>
      <c r="F38" s="12" t="s">
        <v>30</v>
      </c>
      <c r="G38" s="13">
        <v>20321464</v>
      </c>
      <c r="H38" s="12" t="s">
        <v>401</v>
      </c>
      <c r="I38" s="13">
        <v>1</v>
      </c>
      <c r="J38" s="14">
        <v>38.5</v>
      </c>
      <c r="K38" s="14">
        <v>38.5</v>
      </c>
    </row>
    <row r="39" ht="24.75" spans="4:11">
      <c r="D39" s="11">
        <v>46085</v>
      </c>
      <c r="E39" s="12">
        <v>1581978</v>
      </c>
      <c r="F39" s="12" t="s">
        <v>30</v>
      </c>
      <c r="G39" s="13">
        <v>20321694</v>
      </c>
      <c r="H39" s="12" t="s">
        <v>405</v>
      </c>
      <c r="I39" s="13">
        <v>1</v>
      </c>
      <c r="J39" s="14">
        <v>49.5</v>
      </c>
      <c r="K39" s="14">
        <v>49.5</v>
      </c>
    </row>
    <row r="40" ht="25.5" hidden="1" spans="4:11">
      <c r="D40" s="11">
        <v>46085</v>
      </c>
      <c r="E40" s="12">
        <v>1582090</v>
      </c>
      <c r="F40" s="12" t="s">
        <v>30</v>
      </c>
      <c r="G40" s="13">
        <v>20401438</v>
      </c>
      <c r="H40" s="12" t="s">
        <v>406</v>
      </c>
      <c r="I40" s="13">
        <v>1</v>
      </c>
      <c r="J40" s="14">
        <v>231</v>
      </c>
      <c r="K40" s="14">
        <v>231</v>
      </c>
    </row>
    <row r="41" hidden="1" spans="4:11">
      <c r="D41" s="11">
        <v>46085</v>
      </c>
      <c r="E41" s="12">
        <v>1582090</v>
      </c>
      <c r="F41" s="12" t="s">
        <v>30</v>
      </c>
      <c r="G41" s="13">
        <v>20321603</v>
      </c>
      <c r="H41" s="12" t="s">
        <v>390</v>
      </c>
      <c r="I41" s="13">
        <v>1</v>
      </c>
      <c r="J41" s="14">
        <v>55</v>
      </c>
      <c r="K41" s="14">
        <v>55</v>
      </c>
    </row>
    <row r="42" spans="4:11">
      <c r="D42" s="11">
        <v>46085</v>
      </c>
      <c r="E42" s="12">
        <v>1582113</v>
      </c>
      <c r="F42" s="12" t="s">
        <v>16</v>
      </c>
      <c r="G42" s="13">
        <v>20353642</v>
      </c>
      <c r="H42" s="12" t="s">
        <v>404</v>
      </c>
      <c r="I42" s="13">
        <v>1</v>
      </c>
      <c r="J42" s="14">
        <v>8</v>
      </c>
      <c r="K42" s="14">
        <v>8</v>
      </c>
    </row>
    <row r="43" spans="4:11">
      <c r="D43" s="11">
        <v>46086</v>
      </c>
      <c r="E43" s="12">
        <v>1582287</v>
      </c>
      <c r="F43" s="12" t="s">
        <v>13</v>
      </c>
      <c r="G43" s="13">
        <v>20343695</v>
      </c>
      <c r="H43" s="12" t="s">
        <v>395</v>
      </c>
      <c r="I43" s="13">
        <v>1</v>
      </c>
      <c r="J43" s="14">
        <v>38.5</v>
      </c>
      <c r="K43" s="14">
        <v>38.5</v>
      </c>
    </row>
    <row r="44" hidden="1" spans="4:11">
      <c r="D44" s="11">
        <v>46086</v>
      </c>
      <c r="E44" s="12">
        <v>1582287</v>
      </c>
      <c r="F44" s="12" t="s">
        <v>30</v>
      </c>
      <c r="G44" s="13">
        <v>20321660</v>
      </c>
      <c r="H44" s="12" t="s">
        <v>400</v>
      </c>
      <c r="I44" s="13">
        <v>1</v>
      </c>
      <c r="J44" s="14">
        <v>33</v>
      </c>
      <c r="K44" s="14">
        <v>33</v>
      </c>
    </row>
    <row r="45" spans="4:11">
      <c r="D45" s="11">
        <v>46086</v>
      </c>
      <c r="E45" s="12">
        <v>1582287</v>
      </c>
      <c r="F45" s="12" t="s">
        <v>30</v>
      </c>
      <c r="G45" s="13">
        <v>20365949</v>
      </c>
      <c r="H45" s="12" t="s">
        <v>397</v>
      </c>
      <c r="I45" s="13">
        <v>1</v>
      </c>
      <c r="J45" s="14">
        <v>38.5</v>
      </c>
      <c r="K45" s="14">
        <v>38.5</v>
      </c>
    </row>
    <row r="46" spans="4:11">
      <c r="D46" s="11">
        <v>46086</v>
      </c>
      <c r="E46" s="12">
        <v>1582287</v>
      </c>
      <c r="F46" s="12" t="s">
        <v>30</v>
      </c>
      <c r="G46" s="13">
        <v>20385138</v>
      </c>
      <c r="H46" s="12" t="s">
        <v>398</v>
      </c>
      <c r="I46" s="13">
        <v>1</v>
      </c>
      <c r="J46" s="14">
        <v>44</v>
      </c>
      <c r="K46" s="14">
        <v>44</v>
      </c>
    </row>
    <row r="47" spans="4:11">
      <c r="D47" s="11">
        <v>46086</v>
      </c>
      <c r="E47" s="12">
        <v>1582291</v>
      </c>
      <c r="F47" s="12" t="s">
        <v>16</v>
      </c>
      <c r="G47" s="13">
        <v>20363970</v>
      </c>
      <c r="H47" s="12" t="s">
        <v>393</v>
      </c>
      <c r="I47" s="13">
        <v>2</v>
      </c>
      <c r="J47" s="14">
        <v>8</v>
      </c>
      <c r="K47" s="14">
        <v>16</v>
      </c>
    </row>
    <row r="48" spans="4:11">
      <c r="D48" s="11">
        <v>46086</v>
      </c>
      <c r="E48" s="12">
        <v>1582291</v>
      </c>
      <c r="F48" s="12" t="s">
        <v>16</v>
      </c>
      <c r="G48" s="13">
        <v>20347680</v>
      </c>
      <c r="H48" s="12" t="s">
        <v>389</v>
      </c>
      <c r="I48" s="13">
        <v>1</v>
      </c>
      <c r="J48" s="14">
        <v>8</v>
      </c>
      <c r="K48" s="14">
        <v>8</v>
      </c>
    </row>
    <row r="49" spans="4:11">
      <c r="D49" s="11">
        <v>46086</v>
      </c>
      <c r="E49" s="12">
        <v>1582460</v>
      </c>
      <c r="F49" s="12" t="s">
        <v>16</v>
      </c>
      <c r="G49" s="13">
        <v>20346971</v>
      </c>
      <c r="H49" s="12" t="s">
        <v>396</v>
      </c>
      <c r="I49" s="13">
        <v>1</v>
      </c>
      <c r="J49" s="14">
        <v>11</v>
      </c>
      <c r="K49" s="14">
        <v>11</v>
      </c>
    </row>
    <row r="50" spans="4:11">
      <c r="D50" s="11">
        <v>46087</v>
      </c>
      <c r="E50" s="12">
        <v>1582634</v>
      </c>
      <c r="F50" s="12" t="s">
        <v>13</v>
      </c>
      <c r="G50" s="13">
        <v>20373632</v>
      </c>
      <c r="H50" s="12" t="s">
        <v>392</v>
      </c>
      <c r="I50" s="13">
        <v>1</v>
      </c>
      <c r="J50" s="14">
        <v>38.5</v>
      </c>
      <c r="K50" s="14">
        <v>38.5</v>
      </c>
    </row>
    <row r="51" hidden="1" spans="4:11">
      <c r="D51" s="11">
        <v>46087</v>
      </c>
      <c r="E51" s="12">
        <v>1582634</v>
      </c>
      <c r="F51" s="12" t="s">
        <v>30</v>
      </c>
      <c r="G51" s="13">
        <v>20321603</v>
      </c>
      <c r="H51" s="12" t="s">
        <v>390</v>
      </c>
      <c r="I51" s="13">
        <v>1</v>
      </c>
      <c r="J51" s="14">
        <v>55</v>
      </c>
      <c r="K51" s="14">
        <v>55</v>
      </c>
    </row>
    <row r="52" hidden="1" spans="4:11">
      <c r="D52" s="11">
        <v>46087</v>
      </c>
      <c r="E52" s="12">
        <v>1582795</v>
      </c>
      <c r="F52" s="12" t="s">
        <v>30</v>
      </c>
      <c r="G52" s="13">
        <v>20321893</v>
      </c>
      <c r="H52" s="12" t="s">
        <v>407</v>
      </c>
      <c r="I52" s="13">
        <v>1</v>
      </c>
      <c r="J52" s="14">
        <v>33</v>
      </c>
      <c r="K52" s="14">
        <v>33</v>
      </c>
    </row>
    <row r="53" hidden="1" spans="4:11">
      <c r="D53" s="11">
        <v>46087</v>
      </c>
      <c r="E53" s="12">
        <v>1582795</v>
      </c>
      <c r="F53" s="12" t="s">
        <v>30</v>
      </c>
      <c r="G53" s="13">
        <v>20365280</v>
      </c>
      <c r="H53" s="12" t="s">
        <v>394</v>
      </c>
      <c r="I53" s="13">
        <v>1</v>
      </c>
      <c r="J53" s="14">
        <v>33</v>
      </c>
      <c r="K53" s="14">
        <v>33</v>
      </c>
    </row>
    <row r="54" spans="4:11">
      <c r="D54" s="11">
        <v>46088</v>
      </c>
      <c r="E54" s="12">
        <v>1583018</v>
      </c>
      <c r="F54" s="12" t="s">
        <v>16</v>
      </c>
      <c r="G54" s="13">
        <v>20346971</v>
      </c>
      <c r="H54" s="12" t="s">
        <v>396</v>
      </c>
      <c r="I54" s="13">
        <v>1</v>
      </c>
      <c r="J54" s="14">
        <v>11</v>
      </c>
      <c r="K54" s="14">
        <v>11</v>
      </c>
    </row>
    <row r="55" spans="4:11">
      <c r="D55" s="11">
        <v>46088</v>
      </c>
      <c r="E55" s="12">
        <v>1583018</v>
      </c>
      <c r="F55" s="12" t="s">
        <v>30</v>
      </c>
      <c r="G55" s="13">
        <v>20365949</v>
      </c>
      <c r="H55" s="12" t="s">
        <v>397</v>
      </c>
      <c r="I55" s="13">
        <v>1</v>
      </c>
      <c r="J55" s="14">
        <v>38.5</v>
      </c>
      <c r="K55" s="14">
        <v>38.5</v>
      </c>
    </row>
    <row r="56" spans="4:11">
      <c r="D56" s="11">
        <v>46088</v>
      </c>
      <c r="E56" s="12">
        <v>1583018</v>
      </c>
      <c r="F56" s="12" t="s">
        <v>30</v>
      </c>
      <c r="G56" s="13">
        <v>20385138</v>
      </c>
      <c r="H56" s="12" t="s">
        <v>398</v>
      </c>
      <c r="I56" s="13">
        <v>1</v>
      </c>
      <c r="J56" s="14">
        <v>44</v>
      </c>
      <c r="K56" s="14">
        <v>44</v>
      </c>
    </row>
    <row r="57" spans="4:11">
      <c r="D57" s="11">
        <v>46089</v>
      </c>
      <c r="E57" s="12">
        <v>1583084</v>
      </c>
      <c r="F57" s="12" t="s">
        <v>13</v>
      </c>
      <c r="G57" s="13">
        <v>20373632</v>
      </c>
      <c r="H57" s="12" t="s">
        <v>392</v>
      </c>
      <c r="I57" s="13">
        <v>1</v>
      </c>
      <c r="J57" s="14">
        <v>38.5</v>
      </c>
      <c r="K57" s="14">
        <v>38.5</v>
      </c>
    </row>
    <row r="58" hidden="1" spans="4:11">
      <c r="D58" s="11">
        <v>46089</v>
      </c>
      <c r="E58" s="12">
        <v>1583084</v>
      </c>
      <c r="F58" s="12" t="s">
        <v>30</v>
      </c>
      <c r="G58" s="13">
        <v>20365280</v>
      </c>
      <c r="H58" s="12" t="s">
        <v>394</v>
      </c>
      <c r="I58" s="13">
        <v>1</v>
      </c>
      <c r="J58" s="14">
        <v>33</v>
      </c>
      <c r="K58" s="14">
        <v>33</v>
      </c>
    </row>
    <row r="59" ht="0.05" customHeight="1"/>
  </sheetData>
  <autoFilter xmlns:etc="http://www.wps.cn/officeDocument/2017/etCustomData" ref="A7:K58" etc:filterBottomFollowUsedRange="0">
    <filterColumn colId="7">
      <filters>
        <filter val="骨一（一）姜龙止血钳-1/z1020"/>
        <filter val="骨一（一）姜龙凿子-1件/z7530"/>
        <filter val="骨一（一）姜龙血管夹-1/Z7520"/>
        <filter val="骨一（一）向首阳显微器械-5"/>
        <filter val="骨一（一）姜龙剪刀-1/z1026"/>
        <filter val="骨一（一）徐强显微器械-6件"/>
        <filter val="骨一（一）薛岩显微器械-9件"/>
        <filter val="骨一（一）鲁一村显微器械-6件"/>
        <filter val="骨一（一）鲁一村显微器械-7件"/>
        <filter val="骨一（一）徐强显微器械6件"/>
        <filter val="骨一（一）王仲博手科显微器械-8件"/>
        <filter val="骨一（一）姜龙甲沟钳-1/Z1526"/>
        <filter val="骨一（一）薛岩显微器械-12件"/>
        <filter val="骨科（送二手）"/>
      </filters>
    </filterColumn>
    <extLst/>
  </autoFilter>
  <mergeCells count="5">
    <mergeCell ref="D8:H8"/>
    <mergeCell ref="C7:C58"/>
    <mergeCell ref="B4:H5"/>
    <mergeCell ref="A7:B58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&amp;"-,Regular"2026年3月9日 8:21 
&amp;"-,Bold"&amp;10 黑龙江省铂康医疗灭菌有限公司 &amp;R&amp;"Droid Sans Fallback"&amp;9第&amp;P页，共&amp;N页 </oddFooter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1"/>
  </sheetPr>
  <dimension ref="A1:K47"/>
  <sheetViews>
    <sheetView showGridLines="0" view="pageBreakPreview" zoomScaleNormal="100" workbookViewId="0">
      <pane ySplit="6" topLeftCell="A7" activePane="bottomLeft" state="frozen"/>
      <selection/>
      <selection pane="bottomLeft" activeCell="S27" sqref="S2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408</v>
      </c>
      <c r="E8" s="8" t="s">
        <v>2</v>
      </c>
      <c r="F8" s="8" t="s">
        <v>2</v>
      </c>
      <c r="G8" s="8" t="s">
        <v>2</v>
      </c>
      <c r="H8" s="8" t="s">
        <v>2</v>
      </c>
      <c r="I8" s="9">
        <v>38</v>
      </c>
      <c r="J8" s="10"/>
      <c r="K8" s="10">
        <f>SUM(K9:K46)</f>
        <v>4206</v>
      </c>
    </row>
    <row r="9" spans="1:11">
      <c r="D9" s="21">
        <v>46062</v>
      </c>
      <c r="E9" s="22">
        <v>1577344</v>
      </c>
      <c r="F9" s="22" t="s">
        <v>116</v>
      </c>
      <c r="G9" s="23">
        <v>20388394</v>
      </c>
      <c r="H9" s="22" t="s">
        <v>409</v>
      </c>
      <c r="I9" s="23">
        <v>1</v>
      </c>
      <c r="J9" s="24">
        <v>44</v>
      </c>
      <c r="K9" s="24">
        <f t="shared" ref="K9:K47" si="0">J9*I9</f>
        <v>44</v>
      </c>
    </row>
    <row r="10" spans="1:11">
      <c r="D10" s="21">
        <v>46062</v>
      </c>
      <c r="E10" s="22">
        <v>1577410</v>
      </c>
      <c r="F10" s="22" t="s">
        <v>13</v>
      </c>
      <c r="G10" s="23">
        <v>20401541</v>
      </c>
      <c r="H10" s="22" t="s">
        <v>410</v>
      </c>
      <c r="I10" s="23">
        <v>1</v>
      </c>
      <c r="J10" s="24">
        <v>176</v>
      </c>
      <c r="K10" s="24">
        <f t="shared" si="0"/>
        <v>176</v>
      </c>
    </row>
    <row r="11" ht="25.5" spans="1:11">
      <c r="D11" s="21">
        <v>46064</v>
      </c>
      <c r="E11" s="22">
        <v>1577996</v>
      </c>
      <c r="F11" s="22" t="s">
        <v>16</v>
      </c>
      <c r="G11" s="23">
        <v>20407232</v>
      </c>
      <c r="H11" s="22" t="s">
        <v>411</v>
      </c>
      <c r="I11" s="23">
        <v>1</v>
      </c>
      <c r="J11" s="24">
        <v>10.5</v>
      </c>
      <c r="K11" s="24">
        <f t="shared" si="0"/>
        <v>10.5</v>
      </c>
    </row>
    <row r="12" ht="25.5" spans="1:11">
      <c r="D12" s="21">
        <v>46064</v>
      </c>
      <c r="E12" s="22">
        <v>1578050</v>
      </c>
      <c r="F12" s="22" t="s">
        <v>116</v>
      </c>
      <c r="G12" s="23">
        <v>20393668</v>
      </c>
      <c r="H12" s="22" t="s">
        <v>412</v>
      </c>
      <c r="I12" s="23">
        <v>1</v>
      </c>
      <c r="J12" s="24">
        <v>66</v>
      </c>
      <c r="K12" s="24">
        <f t="shared" si="0"/>
        <v>66</v>
      </c>
    </row>
    <row r="13" ht="25.5" spans="1:11">
      <c r="D13" s="21">
        <v>46064</v>
      </c>
      <c r="E13" s="22">
        <v>1578060</v>
      </c>
      <c r="F13" s="22" t="s">
        <v>13</v>
      </c>
      <c r="G13" s="23">
        <v>20389654</v>
      </c>
      <c r="H13" s="22" t="s">
        <v>413</v>
      </c>
      <c r="I13" s="23">
        <v>1</v>
      </c>
      <c r="J13" s="24">
        <v>203.5</v>
      </c>
      <c r="K13" s="24">
        <f t="shared" si="0"/>
        <v>203.5</v>
      </c>
    </row>
    <row r="14" spans="1:11">
      <c r="D14" s="21">
        <v>46064</v>
      </c>
      <c r="E14" s="22">
        <v>1578060</v>
      </c>
      <c r="F14" s="22" t="s">
        <v>16</v>
      </c>
      <c r="G14" s="23">
        <v>20411447</v>
      </c>
      <c r="H14" s="22" t="s">
        <v>414</v>
      </c>
      <c r="I14" s="23">
        <v>1</v>
      </c>
      <c r="J14" s="24">
        <v>8</v>
      </c>
      <c r="K14" s="24">
        <f t="shared" si="0"/>
        <v>8</v>
      </c>
    </row>
    <row r="15" spans="1:11">
      <c r="D15" s="21">
        <v>46065</v>
      </c>
      <c r="E15" s="22">
        <v>1578227</v>
      </c>
      <c r="F15" s="22" t="s">
        <v>13</v>
      </c>
      <c r="G15" s="23">
        <v>20401541</v>
      </c>
      <c r="H15" s="22" t="s">
        <v>410</v>
      </c>
      <c r="I15" s="23">
        <v>1</v>
      </c>
      <c r="J15" s="24">
        <v>176</v>
      </c>
      <c r="K15" s="24">
        <f t="shared" si="0"/>
        <v>176</v>
      </c>
    </row>
    <row r="16" ht="25.5" spans="1:11">
      <c r="D16" s="21">
        <v>46065</v>
      </c>
      <c r="E16" s="22">
        <v>1578227</v>
      </c>
      <c r="F16" s="22" t="s">
        <v>16</v>
      </c>
      <c r="G16" s="23">
        <v>20407232</v>
      </c>
      <c r="H16" s="22" t="s">
        <v>411</v>
      </c>
      <c r="I16" s="23">
        <v>1</v>
      </c>
      <c r="J16" s="24">
        <v>10.5</v>
      </c>
      <c r="K16" s="24">
        <f t="shared" si="0"/>
        <v>10.5</v>
      </c>
    </row>
    <row r="17" spans="4:11">
      <c r="D17" s="21">
        <v>46065</v>
      </c>
      <c r="E17" s="22">
        <v>1578232</v>
      </c>
      <c r="F17" s="22" t="s">
        <v>116</v>
      </c>
      <c r="G17" s="23">
        <v>20388394</v>
      </c>
      <c r="H17" s="22" t="s">
        <v>409</v>
      </c>
      <c r="I17" s="23">
        <v>1</v>
      </c>
      <c r="J17" s="24">
        <v>44</v>
      </c>
      <c r="K17" s="24">
        <f t="shared" si="0"/>
        <v>44</v>
      </c>
    </row>
    <row r="18" spans="4:11">
      <c r="D18" s="21">
        <v>46065</v>
      </c>
      <c r="E18" s="22">
        <v>1578373</v>
      </c>
      <c r="F18" s="22" t="s">
        <v>39</v>
      </c>
      <c r="G18" s="23">
        <v>20389654</v>
      </c>
      <c r="H18" s="22" t="s">
        <v>415</v>
      </c>
      <c r="I18" s="23">
        <v>1</v>
      </c>
      <c r="J18" s="24">
        <v>198</v>
      </c>
      <c r="K18" s="24">
        <f t="shared" si="0"/>
        <v>198</v>
      </c>
    </row>
    <row r="19" spans="4:11">
      <c r="D19" s="21">
        <v>46067</v>
      </c>
      <c r="E19" s="22">
        <v>1578972</v>
      </c>
      <c r="F19" s="22" t="s">
        <v>116</v>
      </c>
      <c r="G19" s="23">
        <v>20388394</v>
      </c>
      <c r="H19" s="22" t="s">
        <v>409</v>
      </c>
      <c r="I19" s="23">
        <v>1</v>
      </c>
      <c r="J19" s="24">
        <v>44</v>
      </c>
      <c r="K19" s="24">
        <f t="shared" si="0"/>
        <v>44</v>
      </c>
    </row>
    <row r="20" spans="4:11">
      <c r="D20" s="21">
        <v>46067</v>
      </c>
      <c r="E20" s="22">
        <v>1578975</v>
      </c>
      <c r="F20" s="22" t="s">
        <v>13</v>
      </c>
      <c r="G20" s="23">
        <v>20401541</v>
      </c>
      <c r="H20" s="22" t="s">
        <v>410</v>
      </c>
      <c r="I20" s="23">
        <v>1</v>
      </c>
      <c r="J20" s="24">
        <v>176</v>
      </c>
      <c r="K20" s="24">
        <f t="shared" si="0"/>
        <v>176</v>
      </c>
    </row>
    <row r="21" spans="4:11">
      <c r="D21" s="21">
        <v>46078</v>
      </c>
      <c r="E21" s="22">
        <v>1580070</v>
      </c>
      <c r="F21" s="22" t="s">
        <v>39</v>
      </c>
      <c r="G21" s="23">
        <v>20389654</v>
      </c>
      <c r="H21" s="22" t="s">
        <v>415</v>
      </c>
      <c r="I21" s="23">
        <v>1</v>
      </c>
      <c r="J21" s="24">
        <v>198</v>
      </c>
      <c r="K21" s="24">
        <f t="shared" si="0"/>
        <v>198</v>
      </c>
    </row>
    <row r="22" ht="25.5" spans="4:11">
      <c r="D22" s="21">
        <v>46078</v>
      </c>
      <c r="E22" s="22">
        <v>1580070</v>
      </c>
      <c r="F22" s="22" t="s">
        <v>16</v>
      </c>
      <c r="G22" s="23">
        <v>20407232</v>
      </c>
      <c r="H22" s="22" t="s">
        <v>411</v>
      </c>
      <c r="I22" s="23">
        <v>1</v>
      </c>
      <c r="J22" s="24">
        <v>10.5</v>
      </c>
      <c r="K22" s="24">
        <f t="shared" si="0"/>
        <v>10.5</v>
      </c>
    </row>
    <row r="23" ht="25.5" spans="4:11">
      <c r="D23" s="21">
        <v>46078</v>
      </c>
      <c r="E23" s="22">
        <v>1580070</v>
      </c>
      <c r="F23" s="22" t="s">
        <v>116</v>
      </c>
      <c r="G23" s="23">
        <v>20393668</v>
      </c>
      <c r="H23" s="22" t="s">
        <v>412</v>
      </c>
      <c r="I23" s="23">
        <v>1</v>
      </c>
      <c r="J23" s="24">
        <v>66</v>
      </c>
      <c r="K23" s="24">
        <f t="shared" si="0"/>
        <v>66</v>
      </c>
    </row>
    <row r="24" ht="25.5" spans="4:11">
      <c r="D24" s="21">
        <v>46080</v>
      </c>
      <c r="E24" s="22">
        <v>1580610</v>
      </c>
      <c r="F24" s="22" t="s">
        <v>30</v>
      </c>
      <c r="G24" s="23">
        <v>20399548</v>
      </c>
      <c r="H24" s="22" t="s">
        <v>416</v>
      </c>
      <c r="I24" s="23">
        <v>1</v>
      </c>
      <c r="J24" s="24">
        <v>291.5</v>
      </c>
      <c r="K24" s="24">
        <f t="shared" si="0"/>
        <v>291.5</v>
      </c>
    </row>
    <row r="25" ht="25.5" spans="4:11">
      <c r="D25" s="21">
        <v>46080</v>
      </c>
      <c r="E25" s="22">
        <v>1580746</v>
      </c>
      <c r="F25" s="22" t="s">
        <v>16</v>
      </c>
      <c r="G25" s="23">
        <v>20407232</v>
      </c>
      <c r="H25" s="22" t="s">
        <v>411</v>
      </c>
      <c r="I25" s="23">
        <v>1</v>
      </c>
      <c r="J25" s="24">
        <v>10.5</v>
      </c>
      <c r="K25" s="24">
        <f t="shared" si="0"/>
        <v>10.5</v>
      </c>
    </row>
    <row r="26" spans="4:11">
      <c r="D26" s="21">
        <v>46080</v>
      </c>
      <c r="E26" s="22">
        <v>1580767</v>
      </c>
      <c r="F26" s="22" t="s">
        <v>39</v>
      </c>
      <c r="G26" s="23">
        <v>20389654</v>
      </c>
      <c r="H26" s="22" t="s">
        <v>415</v>
      </c>
      <c r="I26" s="23">
        <v>1</v>
      </c>
      <c r="J26" s="24">
        <v>198</v>
      </c>
      <c r="K26" s="24">
        <f t="shared" si="0"/>
        <v>198</v>
      </c>
    </row>
    <row r="27" ht="25.5" spans="4:11">
      <c r="D27" s="21">
        <v>46080</v>
      </c>
      <c r="E27" s="22">
        <v>1580773</v>
      </c>
      <c r="F27" s="22" t="s">
        <v>116</v>
      </c>
      <c r="G27" s="23">
        <v>20393668</v>
      </c>
      <c r="H27" s="22" t="s">
        <v>412</v>
      </c>
      <c r="I27" s="23">
        <v>1</v>
      </c>
      <c r="J27" s="24">
        <v>66</v>
      </c>
      <c r="K27" s="24">
        <f t="shared" si="0"/>
        <v>66</v>
      </c>
    </row>
    <row r="28" ht="25.5" spans="4:11">
      <c r="D28" s="21">
        <v>46081</v>
      </c>
      <c r="E28" s="22">
        <v>1581102</v>
      </c>
      <c r="F28" s="22" t="s">
        <v>30</v>
      </c>
      <c r="G28" s="23">
        <v>20399548</v>
      </c>
      <c r="H28" s="22" t="s">
        <v>416</v>
      </c>
      <c r="I28" s="23">
        <v>1</v>
      </c>
      <c r="J28" s="24">
        <v>291.5</v>
      </c>
      <c r="K28" s="24">
        <f t="shared" si="0"/>
        <v>291.5</v>
      </c>
    </row>
    <row r="29" spans="4:11">
      <c r="D29" s="21">
        <v>46082</v>
      </c>
      <c r="E29" s="22">
        <v>1581250</v>
      </c>
      <c r="F29" s="22" t="s">
        <v>13</v>
      </c>
      <c r="G29" s="23">
        <v>20401541</v>
      </c>
      <c r="H29" s="22" t="s">
        <v>410</v>
      </c>
      <c r="I29" s="23">
        <v>1</v>
      </c>
      <c r="J29" s="24">
        <v>176</v>
      </c>
      <c r="K29" s="24">
        <f t="shared" si="0"/>
        <v>176</v>
      </c>
    </row>
    <row r="30" spans="4:11">
      <c r="D30" s="21">
        <v>46082</v>
      </c>
      <c r="E30" s="22">
        <v>1581250</v>
      </c>
      <c r="F30" s="22" t="s">
        <v>116</v>
      </c>
      <c r="G30" s="23">
        <v>20388394</v>
      </c>
      <c r="H30" s="22" t="s">
        <v>409</v>
      </c>
      <c r="I30" s="23">
        <v>1</v>
      </c>
      <c r="J30" s="24">
        <v>44</v>
      </c>
      <c r="K30" s="24">
        <f t="shared" si="0"/>
        <v>44</v>
      </c>
    </row>
    <row r="31" ht="25.5" spans="4:11">
      <c r="D31" s="21">
        <v>46084</v>
      </c>
      <c r="E31" s="22">
        <v>1581708</v>
      </c>
      <c r="F31" s="22" t="s">
        <v>39</v>
      </c>
      <c r="G31" s="23">
        <v>20414368</v>
      </c>
      <c r="H31" s="22" t="s">
        <v>417</v>
      </c>
      <c r="I31" s="23">
        <v>1</v>
      </c>
      <c r="J31" s="24">
        <v>291.5</v>
      </c>
      <c r="K31" s="24">
        <f t="shared" si="0"/>
        <v>291.5</v>
      </c>
    </row>
    <row r="32" spans="4:11">
      <c r="D32" s="21">
        <v>46084</v>
      </c>
      <c r="E32" s="22">
        <v>1581801</v>
      </c>
      <c r="F32" s="22" t="s">
        <v>39</v>
      </c>
      <c r="G32" s="23">
        <v>20389654</v>
      </c>
      <c r="H32" s="22" t="s">
        <v>415</v>
      </c>
      <c r="I32" s="23">
        <v>1</v>
      </c>
      <c r="J32" s="24">
        <v>198</v>
      </c>
      <c r="K32" s="24">
        <f t="shared" si="0"/>
        <v>198</v>
      </c>
    </row>
    <row r="33" ht="25.5" spans="4:11">
      <c r="D33" s="21">
        <v>46084</v>
      </c>
      <c r="E33" s="22">
        <v>1581801</v>
      </c>
      <c r="F33" s="22" t="s">
        <v>16</v>
      </c>
      <c r="G33" s="23">
        <v>20407232</v>
      </c>
      <c r="H33" s="22" t="s">
        <v>411</v>
      </c>
      <c r="I33" s="23">
        <v>1</v>
      </c>
      <c r="J33" s="24">
        <v>10.5</v>
      </c>
      <c r="K33" s="24">
        <f t="shared" si="0"/>
        <v>10.5</v>
      </c>
    </row>
    <row r="34" ht="25.5" spans="4:11">
      <c r="D34" s="21">
        <v>46084</v>
      </c>
      <c r="E34" s="22">
        <v>1581801</v>
      </c>
      <c r="F34" s="22" t="s">
        <v>116</v>
      </c>
      <c r="G34" s="23">
        <v>20393668</v>
      </c>
      <c r="H34" s="22" t="s">
        <v>412</v>
      </c>
      <c r="I34" s="23">
        <v>1</v>
      </c>
      <c r="J34" s="24">
        <v>66</v>
      </c>
      <c r="K34" s="24">
        <f t="shared" si="0"/>
        <v>66</v>
      </c>
    </row>
    <row r="35" ht="25.5" spans="4:11">
      <c r="D35" s="21">
        <v>46085</v>
      </c>
      <c r="E35" s="22">
        <v>1581939</v>
      </c>
      <c r="F35" s="22" t="s">
        <v>16</v>
      </c>
      <c r="G35" s="23">
        <v>20403084</v>
      </c>
      <c r="H35" s="22" t="s">
        <v>418</v>
      </c>
      <c r="I35" s="23">
        <v>1</v>
      </c>
      <c r="J35" s="24">
        <v>8</v>
      </c>
      <c r="K35" s="24">
        <f t="shared" si="0"/>
        <v>8</v>
      </c>
    </row>
    <row r="36" ht="25.5" spans="4:11">
      <c r="D36" s="21">
        <v>46085</v>
      </c>
      <c r="E36" s="22">
        <v>1582055</v>
      </c>
      <c r="F36" s="22" t="s">
        <v>116</v>
      </c>
      <c r="G36" s="23">
        <v>20393668</v>
      </c>
      <c r="H36" s="22" t="s">
        <v>412</v>
      </c>
      <c r="I36" s="23">
        <v>1</v>
      </c>
      <c r="J36" s="24">
        <v>66</v>
      </c>
      <c r="K36" s="24">
        <f t="shared" si="0"/>
        <v>66</v>
      </c>
    </row>
    <row r="37" ht="25.5" spans="4:11">
      <c r="D37" s="21">
        <v>46085</v>
      </c>
      <c r="E37" s="22">
        <v>1582087</v>
      </c>
      <c r="F37" s="22" t="s">
        <v>39</v>
      </c>
      <c r="G37" s="23">
        <v>20414368</v>
      </c>
      <c r="H37" s="22" t="s">
        <v>417</v>
      </c>
      <c r="I37" s="23">
        <v>1</v>
      </c>
      <c r="J37" s="24">
        <v>291.5</v>
      </c>
      <c r="K37" s="24">
        <f t="shared" si="0"/>
        <v>291.5</v>
      </c>
    </row>
    <row r="38" ht="25.5" spans="4:11">
      <c r="D38" s="21">
        <v>46085</v>
      </c>
      <c r="E38" s="22">
        <v>1582087</v>
      </c>
      <c r="F38" s="22" t="s">
        <v>16</v>
      </c>
      <c r="G38" s="23">
        <v>20407232</v>
      </c>
      <c r="H38" s="22" t="s">
        <v>411</v>
      </c>
      <c r="I38" s="23">
        <v>1</v>
      </c>
      <c r="J38" s="24">
        <v>10.5</v>
      </c>
      <c r="K38" s="24">
        <f t="shared" si="0"/>
        <v>10.5</v>
      </c>
    </row>
    <row r="39" spans="4:11">
      <c r="D39" s="21">
        <v>46085</v>
      </c>
      <c r="E39" s="22">
        <v>1582110</v>
      </c>
      <c r="F39" s="22" t="s">
        <v>39</v>
      </c>
      <c r="G39" s="23">
        <v>20389654</v>
      </c>
      <c r="H39" s="22" t="s">
        <v>415</v>
      </c>
      <c r="I39" s="23">
        <v>1</v>
      </c>
      <c r="J39" s="24">
        <v>198</v>
      </c>
      <c r="K39" s="24">
        <f t="shared" si="0"/>
        <v>198</v>
      </c>
    </row>
    <row r="40" spans="4:11">
      <c r="D40" s="21">
        <v>46087</v>
      </c>
      <c r="E40" s="22">
        <v>1582809</v>
      </c>
      <c r="F40" s="22" t="s">
        <v>39</v>
      </c>
      <c r="G40" s="23">
        <v>20389654</v>
      </c>
      <c r="H40" s="22" t="s">
        <v>415</v>
      </c>
      <c r="I40" s="23">
        <v>1</v>
      </c>
      <c r="J40" s="24">
        <v>198</v>
      </c>
      <c r="K40" s="24">
        <f t="shared" si="0"/>
        <v>198</v>
      </c>
    </row>
    <row r="41" ht="25.5" spans="4:11">
      <c r="D41" s="21">
        <v>46087</v>
      </c>
      <c r="E41" s="22">
        <v>1582809</v>
      </c>
      <c r="F41" s="22" t="s">
        <v>16</v>
      </c>
      <c r="G41" s="23">
        <v>20410293</v>
      </c>
      <c r="H41" s="22" t="s">
        <v>419</v>
      </c>
      <c r="I41" s="23">
        <v>1</v>
      </c>
      <c r="J41" s="25">
        <v>55</v>
      </c>
      <c r="K41" s="24">
        <f t="shared" si="0"/>
        <v>55</v>
      </c>
    </row>
    <row r="42" ht="25.5" spans="4:11">
      <c r="D42" s="21">
        <v>46087</v>
      </c>
      <c r="E42" s="22">
        <v>1582809</v>
      </c>
      <c r="F42" s="22" t="s">
        <v>16</v>
      </c>
      <c r="G42" s="23">
        <v>20407232</v>
      </c>
      <c r="H42" s="22" t="s">
        <v>411</v>
      </c>
      <c r="I42" s="23">
        <v>1</v>
      </c>
      <c r="J42" s="24">
        <v>10.5</v>
      </c>
      <c r="K42" s="24">
        <f t="shared" si="0"/>
        <v>10.5</v>
      </c>
    </row>
    <row r="43" ht="25.5" spans="4:11">
      <c r="D43" s="21">
        <v>46087</v>
      </c>
      <c r="E43" s="22">
        <v>1582809</v>
      </c>
      <c r="F43" s="22" t="s">
        <v>116</v>
      </c>
      <c r="G43" s="23">
        <v>20393668</v>
      </c>
      <c r="H43" s="22" t="s">
        <v>412</v>
      </c>
      <c r="I43" s="23">
        <v>1</v>
      </c>
      <c r="J43" s="24">
        <v>66</v>
      </c>
      <c r="K43" s="24">
        <f t="shared" si="0"/>
        <v>66</v>
      </c>
    </row>
    <row r="44" spans="4:11">
      <c r="D44" s="21">
        <v>46088</v>
      </c>
      <c r="E44" s="22">
        <v>1583013</v>
      </c>
      <c r="F44" s="22" t="s">
        <v>13</v>
      </c>
      <c r="G44" s="23">
        <v>20401541</v>
      </c>
      <c r="H44" s="22" t="s">
        <v>410</v>
      </c>
      <c r="I44" s="23">
        <v>1</v>
      </c>
      <c r="J44" s="24">
        <v>176</v>
      </c>
      <c r="K44" s="24">
        <f t="shared" si="0"/>
        <v>176</v>
      </c>
    </row>
    <row r="45" spans="4:11">
      <c r="D45" s="21">
        <v>46088</v>
      </c>
      <c r="E45" s="22">
        <v>1583013</v>
      </c>
      <c r="F45" s="22" t="s">
        <v>16</v>
      </c>
      <c r="G45" s="23">
        <v>20411447</v>
      </c>
      <c r="H45" s="22" t="s">
        <v>414</v>
      </c>
      <c r="I45" s="23">
        <v>1</v>
      </c>
      <c r="J45" s="24">
        <v>8</v>
      </c>
      <c r="K45" s="24">
        <f t="shared" si="0"/>
        <v>8</v>
      </c>
    </row>
    <row r="46" spans="4:11">
      <c r="D46" s="21">
        <v>46088</v>
      </c>
      <c r="E46" s="22">
        <v>1583013</v>
      </c>
      <c r="F46" s="22" t="s">
        <v>116</v>
      </c>
      <c r="G46" s="23">
        <v>20388394</v>
      </c>
      <c r="H46" s="22" t="s">
        <v>409</v>
      </c>
      <c r="I46" s="23">
        <v>1</v>
      </c>
      <c r="J46" s="24">
        <v>44</v>
      </c>
      <c r="K46" s="24">
        <f t="shared" si="0"/>
        <v>44</v>
      </c>
    </row>
    <row r="47" ht="0.05" customHeight="1" spans="4:11">
      <c r="K47" s="14">
        <f t="shared" si="0"/>
        <v>0</v>
      </c>
    </row>
  </sheetData>
  <autoFilter xmlns:etc="http://www.wps.cn/officeDocument/2017/etCustomData" ref="A7:K47" etc:filterBottomFollowUsedRange="0">
    <extLst/>
  </autoFilter>
  <mergeCells count="5">
    <mergeCell ref="D8:H8"/>
    <mergeCell ref="C7:C46"/>
    <mergeCell ref="B4:H5"/>
    <mergeCell ref="A7:B46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&amp;"-,Regular"2026年3月9日 8:21 
&amp;"-,Bold"&amp;10 黑龙江省铂康医疗灭菌有限公司 &amp;R&amp;"Droid Sans Fallback"&amp;9第&amp;P页，共&amp;N页 </oddFooter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K21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19" t="s">
        <v>97</v>
      </c>
      <c r="E8" s="8"/>
      <c r="F8" s="8"/>
      <c r="G8" s="8"/>
      <c r="H8" s="8"/>
      <c r="I8" s="9">
        <f>SUM(I9:I21)</f>
        <v>13</v>
      </c>
      <c r="J8" s="10"/>
      <c r="K8" s="10">
        <f>SUM(K9:K21)</f>
        <v>726</v>
      </c>
    </row>
    <row r="9" customFormat="1" customHeight="1" spans="1:11">
      <c r="D9" s="11">
        <v>46063</v>
      </c>
      <c r="E9" s="12">
        <v>1577601</v>
      </c>
      <c r="F9" s="12" t="s">
        <v>30</v>
      </c>
      <c r="G9" s="13">
        <v>20321603</v>
      </c>
      <c r="H9" s="12" t="s">
        <v>390</v>
      </c>
      <c r="I9" s="13">
        <v>1</v>
      </c>
      <c r="J9" s="14">
        <v>55</v>
      </c>
      <c r="K9" s="14">
        <v>55</v>
      </c>
    </row>
    <row r="10" customFormat="1" customHeight="1" spans="1:11">
      <c r="D10" s="11">
        <v>46069</v>
      </c>
      <c r="E10" s="12">
        <v>1579108</v>
      </c>
      <c r="F10" s="12" t="s">
        <v>30</v>
      </c>
      <c r="G10" s="13">
        <v>20365280</v>
      </c>
      <c r="H10" s="12" t="s">
        <v>394</v>
      </c>
      <c r="I10" s="13">
        <v>1</v>
      </c>
      <c r="J10" s="14">
        <v>33</v>
      </c>
      <c r="K10" s="14">
        <v>33</v>
      </c>
    </row>
    <row r="11" customHeight="1" spans="1:11">
      <c r="D11" s="11">
        <v>46078</v>
      </c>
      <c r="E11" s="12">
        <v>1580069</v>
      </c>
      <c r="F11" s="12" t="s">
        <v>30</v>
      </c>
      <c r="G11" s="13">
        <v>20321660</v>
      </c>
      <c r="H11" s="12" t="s">
        <v>400</v>
      </c>
      <c r="I11" s="13">
        <v>1</v>
      </c>
      <c r="J11" s="14">
        <v>33</v>
      </c>
      <c r="K11" s="14">
        <v>33</v>
      </c>
    </row>
    <row r="12" customHeight="1" spans="1:11">
      <c r="D12" s="11">
        <v>46079</v>
      </c>
      <c r="E12" s="12">
        <v>1580233</v>
      </c>
      <c r="F12" s="12" t="s">
        <v>30</v>
      </c>
      <c r="G12" s="13">
        <v>20321464</v>
      </c>
      <c r="H12" s="12" t="s">
        <v>401</v>
      </c>
      <c r="I12" s="13">
        <v>1</v>
      </c>
      <c r="J12" s="14">
        <v>38.5</v>
      </c>
      <c r="K12" s="14">
        <v>38.5</v>
      </c>
    </row>
    <row r="13" customHeight="1" spans="1:11">
      <c r="D13" s="11">
        <v>46081</v>
      </c>
      <c r="E13" s="12">
        <v>1580989</v>
      </c>
      <c r="F13" s="12" t="s">
        <v>30</v>
      </c>
      <c r="G13" s="13">
        <v>20321603</v>
      </c>
      <c r="H13" s="12" t="s">
        <v>390</v>
      </c>
      <c r="I13" s="13">
        <v>1</v>
      </c>
      <c r="J13" s="14">
        <v>55</v>
      </c>
      <c r="K13" s="14">
        <v>55</v>
      </c>
    </row>
    <row r="14" customHeight="1" spans="1:11">
      <c r="D14" s="11">
        <v>46085</v>
      </c>
      <c r="E14" s="12">
        <v>1581978</v>
      </c>
      <c r="F14" s="12" t="s">
        <v>30</v>
      </c>
      <c r="G14" s="13">
        <v>20321464</v>
      </c>
      <c r="H14" s="12" t="s">
        <v>401</v>
      </c>
      <c r="I14" s="13">
        <v>1</v>
      </c>
      <c r="J14" s="14">
        <v>38.5</v>
      </c>
      <c r="K14" s="14">
        <v>38.5</v>
      </c>
    </row>
    <row r="15" ht="25.5" spans="1:11">
      <c r="D15" s="11">
        <v>46085</v>
      </c>
      <c r="E15" s="12">
        <v>1582090</v>
      </c>
      <c r="F15" s="12" t="s">
        <v>30</v>
      </c>
      <c r="G15" s="13">
        <v>20401438</v>
      </c>
      <c r="H15" s="12" t="s">
        <v>406</v>
      </c>
      <c r="I15" s="13">
        <v>1</v>
      </c>
      <c r="J15" s="14">
        <v>231</v>
      </c>
      <c r="K15" s="14">
        <v>231</v>
      </c>
    </row>
    <row r="16" spans="1:11">
      <c r="D16" s="11">
        <v>46085</v>
      </c>
      <c r="E16" s="12">
        <v>1582090</v>
      </c>
      <c r="F16" s="12" t="s">
        <v>30</v>
      </c>
      <c r="G16" s="13">
        <v>20321603</v>
      </c>
      <c r="H16" s="12" t="s">
        <v>390</v>
      </c>
      <c r="I16" s="13">
        <v>1</v>
      </c>
      <c r="J16" s="14">
        <v>55</v>
      </c>
      <c r="K16" s="14">
        <v>55</v>
      </c>
    </row>
    <row r="17" spans="4:11">
      <c r="D17" s="11">
        <v>46086</v>
      </c>
      <c r="E17" s="12">
        <v>1582287</v>
      </c>
      <c r="F17" s="12" t="s">
        <v>30</v>
      </c>
      <c r="G17" s="13">
        <v>20321660</v>
      </c>
      <c r="H17" s="12" t="s">
        <v>400</v>
      </c>
      <c r="I17" s="13">
        <v>1</v>
      </c>
      <c r="J17" s="14">
        <v>33</v>
      </c>
      <c r="K17" s="14">
        <v>33</v>
      </c>
    </row>
    <row r="18" spans="4:11">
      <c r="D18" s="11">
        <v>46087</v>
      </c>
      <c r="E18" s="12">
        <v>1582634</v>
      </c>
      <c r="F18" s="12" t="s">
        <v>30</v>
      </c>
      <c r="G18" s="13">
        <v>20321603</v>
      </c>
      <c r="H18" s="12" t="s">
        <v>390</v>
      </c>
      <c r="I18" s="13">
        <v>1</v>
      </c>
      <c r="J18" s="14">
        <v>55</v>
      </c>
      <c r="K18" s="14">
        <v>55</v>
      </c>
    </row>
    <row r="19" spans="4:11">
      <c r="D19" s="11">
        <v>46087</v>
      </c>
      <c r="E19" s="12">
        <v>1582795</v>
      </c>
      <c r="F19" s="12" t="s">
        <v>30</v>
      </c>
      <c r="G19" s="13">
        <v>20321893</v>
      </c>
      <c r="H19" s="12" t="s">
        <v>407</v>
      </c>
      <c r="I19" s="13">
        <v>1</v>
      </c>
      <c r="J19" s="14">
        <v>33</v>
      </c>
      <c r="K19" s="14">
        <v>33</v>
      </c>
    </row>
    <row r="20" spans="4:11">
      <c r="D20" s="11">
        <v>46087</v>
      </c>
      <c r="E20" s="12">
        <v>1582795</v>
      </c>
      <c r="F20" s="12" t="s">
        <v>30</v>
      </c>
      <c r="G20" s="13">
        <v>20365280</v>
      </c>
      <c r="H20" s="12" t="s">
        <v>394</v>
      </c>
      <c r="I20" s="13">
        <v>1</v>
      </c>
      <c r="J20" s="14">
        <v>33</v>
      </c>
      <c r="K20" s="14">
        <v>33</v>
      </c>
    </row>
    <row r="21" spans="4:11">
      <c r="D21" s="11">
        <v>46089</v>
      </c>
      <c r="E21" s="12">
        <v>1583084</v>
      </c>
      <c r="F21" s="12" t="s">
        <v>30</v>
      </c>
      <c r="G21" s="13">
        <v>20365280</v>
      </c>
      <c r="H21" s="12" t="s">
        <v>394</v>
      </c>
      <c r="I21" s="13">
        <v>1</v>
      </c>
      <c r="J21" s="14">
        <v>33</v>
      </c>
      <c r="K21" s="14">
        <v>33</v>
      </c>
    </row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K46"/>
  <sheetViews>
    <sheetView view="pageBreakPreview" zoomScaleNormal="100" workbookViewId="0">
      <selection activeCell="D46" sqref="D46:K4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19" t="s">
        <v>96</v>
      </c>
      <c r="E8" s="8"/>
      <c r="F8" s="8"/>
      <c r="G8" s="8"/>
      <c r="H8" s="8"/>
      <c r="I8" s="9">
        <f>SUM(I9:I45)</f>
        <v>43</v>
      </c>
      <c r="J8" s="10"/>
      <c r="K8" s="10">
        <f>SUM(K9:K45)</f>
        <v>1079.5</v>
      </c>
    </row>
    <row r="9" customFormat="1" customHeight="1" spans="1:11">
      <c r="D9" s="11">
        <v>46062</v>
      </c>
      <c r="E9" s="12">
        <v>1577233</v>
      </c>
      <c r="F9" s="12" t="s">
        <v>16</v>
      </c>
      <c r="G9" s="13">
        <v>20347680</v>
      </c>
      <c r="H9" s="12" t="s">
        <v>389</v>
      </c>
      <c r="I9" s="13">
        <v>4</v>
      </c>
      <c r="J9" s="14">
        <v>8</v>
      </c>
      <c r="K9" s="14">
        <v>32</v>
      </c>
    </row>
    <row r="10" customFormat="1" customHeight="1" spans="1:11">
      <c r="D10" s="11">
        <v>46065</v>
      </c>
      <c r="E10" s="12">
        <v>1578375</v>
      </c>
      <c r="F10" s="12" t="s">
        <v>13</v>
      </c>
      <c r="G10" s="13">
        <v>20351339</v>
      </c>
      <c r="H10" s="12" t="s">
        <v>391</v>
      </c>
      <c r="I10" s="13">
        <v>1</v>
      </c>
      <c r="J10" s="14">
        <v>55</v>
      </c>
      <c r="K10" s="14">
        <v>55</v>
      </c>
    </row>
    <row r="11" customFormat="1" customHeight="1" spans="1:11">
      <c r="D11" s="11">
        <v>46066</v>
      </c>
      <c r="E11" s="12">
        <v>1578563</v>
      </c>
      <c r="F11" s="12" t="s">
        <v>13</v>
      </c>
      <c r="G11" s="13">
        <v>20373632</v>
      </c>
      <c r="H11" s="12" t="s">
        <v>392</v>
      </c>
      <c r="I11" s="13">
        <v>1</v>
      </c>
      <c r="J11" s="14">
        <v>38.5</v>
      </c>
      <c r="K11" s="14">
        <v>38.5</v>
      </c>
    </row>
    <row r="12" customFormat="1" customHeight="1" spans="1:11">
      <c r="D12" s="11">
        <v>46066</v>
      </c>
      <c r="E12" s="12">
        <v>1578563</v>
      </c>
      <c r="F12" s="12" t="s">
        <v>16</v>
      </c>
      <c r="G12" s="13">
        <v>20363970</v>
      </c>
      <c r="H12" s="12" t="s">
        <v>393</v>
      </c>
      <c r="I12" s="13">
        <v>1</v>
      </c>
      <c r="J12" s="14">
        <v>8</v>
      </c>
      <c r="K12" s="14">
        <v>8</v>
      </c>
    </row>
    <row r="13" customFormat="1" customHeight="1" spans="1:11">
      <c r="D13" s="11">
        <v>46067</v>
      </c>
      <c r="E13" s="12">
        <v>1578968</v>
      </c>
      <c r="F13" s="12" t="s">
        <v>16</v>
      </c>
      <c r="G13" s="13">
        <v>20363970</v>
      </c>
      <c r="H13" s="12" t="s">
        <v>393</v>
      </c>
      <c r="I13" s="13">
        <v>1</v>
      </c>
      <c r="J13" s="14">
        <v>8</v>
      </c>
      <c r="K13" s="14">
        <v>8</v>
      </c>
    </row>
    <row r="14" customFormat="1" customHeight="1" spans="1:11">
      <c r="D14" s="11">
        <v>46070</v>
      </c>
      <c r="E14" s="12">
        <v>1579127</v>
      </c>
      <c r="F14" s="12" t="s">
        <v>13</v>
      </c>
      <c r="G14" s="13">
        <v>20373632</v>
      </c>
      <c r="H14" s="12" t="s">
        <v>392</v>
      </c>
      <c r="I14" s="13">
        <v>1</v>
      </c>
      <c r="J14" s="14">
        <v>38.5</v>
      </c>
      <c r="K14" s="14">
        <v>38.5</v>
      </c>
    </row>
    <row r="15" customFormat="1" spans="1:11">
      <c r="D15" s="11">
        <v>46070</v>
      </c>
      <c r="E15" s="12">
        <v>1579127</v>
      </c>
      <c r="F15" s="12" t="s">
        <v>13</v>
      </c>
      <c r="G15" s="13">
        <v>20343695</v>
      </c>
      <c r="H15" s="12" t="s">
        <v>395</v>
      </c>
      <c r="I15" s="13">
        <v>1</v>
      </c>
      <c r="J15" s="14">
        <v>38.5</v>
      </c>
      <c r="K15" s="14">
        <v>38.5</v>
      </c>
    </row>
    <row r="16" customFormat="1" spans="1:11">
      <c r="D16" s="11">
        <v>46070</v>
      </c>
      <c r="E16" s="12">
        <v>1579127</v>
      </c>
      <c r="F16" s="12" t="s">
        <v>16</v>
      </c>
      <c r="G16" s="13">
        <v>20346971</v>
      </c>
      <c r="H16" s="12" t="s">
        <v>396</v>
      </c>
      <c r="I16" s="13">
        <v>2</v>
      </c>
      <c r="J16" s="14">
        <v>11</v>
      </c>
      <c r="K16" s="14">
        <v>22</v>
      </c>
    </row>
    <row r="17" customFormat="1" spans="4:11">
      <c r="D17" s="11">
        <v>46070</v>
      </c>
      <c r="E17" s="12">
        <v>1579127</v>
      </c>
      <c r="F17" s="12" t="s">
        <v>16</v>
      </c>
      <c r="G17" s="13">
        <v>20363970</v>
      </c>
      <c r="H17" s="12" t="s">
        <v>393</v>
      </c>
      <c r="I17" s="13">
        <v>1</v>
      </c>
      <c r="J17" s="14">
        <v>8</v>
      </c>
      <c r="K17" s="14">
        <v>8</v>
      </c>
    </row>
    <row r="18" customFormat="1" spans="4:11">
      <c r="D18" s="11">
        <v>46070</v>
      </c>
      <c r="E18" s="12">
        <v>1579127</v>
      </c>
      <c r="F18" s="12" t="s">
        <v>30</v>
      </c>
      <c r="G18" s="13">
        <v>20365949</v>
      </c>
      <c r="H18" s="12" t="s">
        <v>397</v>
      </c>
      <c r="I18" s="13">
        <v>1</v>
      </c>
      <c r="J18" s="14">
        <v>38.5</v>
      </c>
      <c r="K18" s="14">
        <v>38.5</v>
      </c>
    </row>
    <row r="19" customFormat="1" spans="4:11">
      <c r="D19" s="11">
        <v>46070</v>
      </c>
      <c r="E19" s="12">
        <v>1579127</v>
      </c>
      <c r="F19" s="12" t="s">
        <v>30</v>
      </c>
      <c r="G19" s="13">
        <v>20385138</v>
      </c>
      <c r="H19" s="12" t="s">
        <v>398</v>
      </c>
      <c r="I19" s="13">
        <v>1</v>
      </c>
      <c r="J19" s="14">
        <v>44</v>
      </c>
      <c r="K19" s="14">
        <v>44</v>
      </c>
    </row>
    <row r="20" customFormat="1" spans="4:11">
      <c r="D20" s="11">
        <v>46074</v>
      </c>
      <c r="E20" s="12">
        <v>1579364</v>
      </c>
      <c r="F20" s="12" t="s">
        <v>30</v>
      </c>
      <c r="G20" s="13">
        <v>20402953</v>
      </c>
      <c r="H20" s="12" t="s">
        <v>399</v>
      </c>
      <c r="I20" s="13">
        <v>1</v>
      </c>
      <c r="J20" s="14">
        <v>33</v>
      </c>
      <c r="K20" s="14">
        <v>33</v>
      </c>
    </row>
    <row r="21" customFormat="1" spans="4:11">
      <c r="D21" s="11">
        <v>46078</v>
      </c>
      <c r="E21" s="12">
        <v>1580037</v>
      </c>
      <c r="F21" s="12" t="s">
        <v>16</v>
      </c>
      <c r="G21" s="13">
        <v>20363970</v>
      </c>
      <c r="H21" s="12" t="s">
        <v>393</v>
      </c>
      <c r="I21" s="13">
        <v>1</v>
      </c>
      <c r="J21" s="14">
        <v>8</v>
      </c>
      <c r="K21" s="14">
        <v>8</v>
      </c>
    </row>
    <row r="22" spans="4:11">
      <c r="D22" s="11">
        <v>46081</v>
      </c>
      <c r="E22" s="12">
        <v>1580989</v>
      </c>
      <c r="F22" s="12" t="s">
        <v>30</v>
      </c>
      <c r="G22" s="13">
        <v>20321693</v>
      </c>
      <c r="H22" s="12" t="s">
        <v>402</v>
      </c>
      <c r="I22" s="13">
        <v>1</v>
      </c>
      <c r="J22" s="14">
        <v>71.5</v>
      </c>
      <c r="K22" s="14">
        <v>71.5</v>
      </c>
    </row>
    <row r="23" spans="4:11">
      <c r="D23" s="11">
        <v>46082</v>
      </c>
      <c r="E23" s="12">
        <v>1581252</v>
      </c>
      <c r="F23" s="12" t="s">
        <v>13</v>
      </c>
      <c r="G23" s="13">
        <v>20343695</v>
      </c>
      <c r="H23" s="12" t="s">
        <v>395</v>
      </c>
      <c r="I23" s="13">
        <v>1</v>
      </c>
      <c r="J23" s="14">
        <v>38.5</v>
      </c>
      <c r="K23" s="14">
        <v>38.5</v>
      </c>
    </row>
    <row r="24" spans="4:11">
      <c r="D24" s="11">
        <v>46082</v>
      </c>
      <c r="E24" s="12">
        <v>1581252</v>
      </c>
      <c r="F24" s="12" t="s">
        <v>16</v>
      </c>
      <c r="G24" s="13">
        <v>20346971</v>
      </c>
      <c r="H24" s="12" t="s">
        <v>396</v>
      </c>
      <c r="I24" s="13">
        <v>2</v>
      </c>
      <c r="J24" s="14">
        <v>11</v>
      </c>
      <c r="K24" s="14">
        <v>22</v>
      </c>
    </row>
    <row r="25" spans="4:11">
      <c r="D25" s="11">
        <v>46082</v>
      </c>
      <c r="E25" s="12">
        <v>1581252</v>
      </c>
      <c r="F25" s="12" t="s">
        <v>30</v>
      </c>
      <c r="G25" s="13">
        <v>20365949</v>
      </c>
      <c r="H25" s="12" t="s">
        <v>397</v>
      </c>
      <c r="I25" s="13">
        <v>1</v>
      </c>
      <c r="J25" s="14">
        <v>38.5</v>
      </c>
      <c r="K25" s="14">
        <v>38.5</v>
      </c>
    </row>
    <row r="26" spans="4:11">
      <c r="D26" s="11">
        <v>46084</v>
      </c>
      <c r="E26" s="12">
        <v>1581679</v>
      </c>
      <c r="F26" s="12" t="s">
        <v>13</v>
      </c>
      <c r="G26" s="13">
        <v>20343695</v>
      </c>
      <c r="H26" s="12" t="s">
        <v>395</v>
      </c>
      <c r="I26" s="13">
        <v>1</v>
      </c>
      <c r="J26" s="14">
        <v>38.5</v>
      </c>
      <c r="K26" s="14">
        <v>38.5</v>
      </c>
    </row>
    <row r="27" spans="4:11">
      <c r="D27" s="11">
        <v>46084</v>
      </c>
      <c r="E27" s="12">
        <v>1581679</v>
      </c>
      <c r="F27" s="12" t="s">
        <v>16</v>
      </c>
      <c r="G27" s="13">
        <v>20363970</v>
      </c>
      <c r="H27" s="12" t="s">
        <v>393</v>
      </c>
      <c r="I27" s="13">
        <v>1</v>
      </c>
      <c r="J27" s="14">
        <v>8</v>
      </c>
      <c r="K27" s="14">
        <v>8</v>
      </c>
    </row>
    <row r="28" spans="4:11">
      <c r="D28" s="11">
        <v>46084</v>
      </c>
      <c r="E28" s="12">
        <v>1581679</v>
      </c>
      <c r="F28" s="12" t="s">
        <v>16</v>
      </c>
      <c r="G28" s="13">
        <v>20363972</v>
      </c>
      <c r="H28" s="12" t="s">
        <v>403</v>
      </c>
      <c r="I28" s="13">
        <v>1</v>
      </c>
      <c r="J28" s="14">
        <v>8</v>
      </c>
      <c r="K28" s="14">
        <v>8</v>
      </c>
    </row>
    <row r="29" spans="4:11">
      <c r="D29" s="11">
        <v>46084</v>
      </c>
      <c r="E29" s="12">
        <v>1581679</v>
      </c>
      <c r="F29" s="12" t="s">
        <v>30</v>
      </c>
      <c r="G29" s="13">
        <v>20321693</v>
      </c>
      <c r="H29" s="12" t="s">
        <v>402</v>
      </c>
      <c r="I29" s="13">
        <v>1</v>
      </c>
      <c r="J29" s="14">
        <v>71.5</v>
      </c>
      <c r="K29" s="14">
        <v>71.5</v>
      </c>
    </row>
    <row r="30" spans="4:11">
      <c r="D30" s="11">
        <v>46084</v>
      </c>
      <c r="E30" s="12">
        <v>1581782</v>
      </c>
      <c r="F30" s="12" t="s">
        <v>16</v>
      </c>
      <c r="G30" s="13">
        <v>20346971</v>
      </c>
      <c r="H30" s="12" t="s">
        <v>396</v>
      </c>
      <c r="I30" s="13">
        <v>1</v>
      </c>
      <c r="J30" s="14">
        <v>11</v>
      </c>
      <c r="K30" s="14">
        <v>11</v>
      </c>
    </row>
    <row r="31" spans="4:11">
      <c r="D31" s="11">
        <v>46084</v>
      </c>
      <c r="E31" s="12">
        <v>1581782</v>
      </c>
      <c r="F31" s="12" t="s">
        <v>16</v>
      </c>
      <c r="G31" s="13">
        <v>20363970</v>
      </c>
      <c r="H31" s="12" t="s">
        <v>393</v>
      </c>
      <c r="I31" s="13">
        <v>1</v>
      </c>
      <c r="J31" s="14">
        <v>8</v>
      </c>
      <c r="K31" s="14">
        <v>8</v>
      </c>
    </row>
    <row r="32" spans="4:11">
      <c r="D32" s="11">
        <v>46084</v>
      </c>
      <c r="E32" s="12">
        <v>1581782</v>
      </c>
      <c r="F32" s="12" t="s">
        <v>16</v>
      </c>
      <c r="G32" s="13">
        <v>20353642</v>
      </c>
      <c r="H32" s="12" t="s">
        <v>404</v>
      </c>
      <c r="I32" s="13">
        <v>1</v>
      </c>
      <c r="J32" s="14">
        <v>8</v>
      </c>
      <c r="K32" s="14">
        <v>8</v>
      </c>
    </row>
    <row r="33" ht="24.75" spans="4:11">
      <c r="D33" s="11">
        <v>46085</v>
      </c>
      <c r="E33" s="12">
        <v>1581978</v>
      </c>
      <c r="F33" s="12" t="s">
        <v>30</v>
      </c>
      <c r="G33" s="13">
        <v>20321694</v>
      </c>
      <c r="H33" s="12" t="s">
        <v>405</v>
      </c>
      <c r="I33" s="13">
        <v>1</v>
      </c>
      <c r="J33" s="14">
        <v>49.5</v>
      </c>
      <c r="K33" s="14">
        <v>49.5</v>
      </c>
    </row>
    <row r="34" spans="4:11">
      <c r="D34" s="11">
        <v>46085</v>
      </c>
      <c r="E34" s="12">
        <v>1582113</v>
      </c>
      <c r="F34" s="12" t="s">
        <v>16</v>
      </c>
      <c r="G34" s="13">
        <v>20353642</v>
      </c>
      <c r="H34" s="12" t="s">
        <v>404</v>
      </c>
      <c r="I34" s="13">
        <v>1</v>
      </c>
      <c r="J34" s="14">
        <v>8</v>
      </c>
      <c r="K34" s="14">
        <v>8</v>
      </c>
    </row>
    <row r="35" spans="4:11">
      <c r="D35" s="11">
        <v>46086</v>
      </c>
      <c r="E35" s="12">
        <v>1582287</v>
      </c>
      <c r="F35" s="12" t="s">
        <v>13</v>
      </c>
      <c r="G35" s="13">
        <v>20343695</v>
      </c>
      <c r="H35" s="12" t="s">
        <v>395</v>
      </c>
      <c r="I35" s="13">
        <v>1</v>
      </c>
      <c r="J35" s="14">
        <v>38.5</v>
      </c>
      <c r="K35" s="14">
        <v>38.5</v>
      </c>
    </row>
    <row r="36" spans="4:11">
      <c r="D36" s="11">
        <v>46086</v>
      </c>
      <c r="E36" s="12">
        <v>1582287</v>
      </c>
      <c r="F36" s="12" t="s">
        <v>30</v>
      </c>
      <c r="G36" s="13">
        <v>20365949</v>
      </c>
      <c r="H36" s="12" t="s">
        <v>397</v>
      </c>
      <c r="I36" s="13">
        <v>1</v>
      </c>
      <c r="J36" s="14">
        <v>38.5</v>
      </c>
      <c r="K36" s="14">
        <v>38.5</v>
      </c>
    </row>
    <row r="37" spans="4:11">
      <c r="D37" s="11">
        <v>46086</v>
      </c>
      <c r="E37" s="12">
        <v>1582287</v>
      </c>
      <c r="F37" s="12" t="s">
        <v>30</v>
      </c>
      <c r="G37" s="13">
        <v>20385138</v>
      </c>
      <c r="H37" s="12" t="s">
        <v>398</v>
      </c>
      <c r="I37" s="13">
        <v>1</v>
      </c>
      <c r="J37" s="14">
        <v>44</v>
      </c>
      <c r="K37" s="14">
        <v>44</v>
      </c>
    </row>
    <row r="38" spans="4:11">
      <c r="D38" s="11">
        <v>46086</v>
      </c>
      <c r="E38" s="12">
        <v>1582291</v>
      </c>
      <c r="F38" s="12" t="s">
        <v>16</v>
      </c>
      <c r="G38" s="13">
        <v>20363970</v>
      </c>
      <c r="H38" s="12" t="s">
        <v>393</v>
      </c>
      <c r="I38" s="13">
        <v>2</v>
      </c>
      <c r="J38" s="14">
        <v>8</v>
      </c>
      <c r="K38" s="14">
        <v>16</v>
      </c>
    </row>
    <row r="39" spans="4:11">
      <c r="D39" s="11">
        <v>46086</v>
      </c>
      <c r="E39" s="12">
        <v>1582291</v>
      </c>
      <c r="F39" s="12" t="s">
        <v>16</v>
      </c>
      <c r="G39" s="13">
        <v>20347680</v>
      </c>
      <c r="H39" s="12" t="s">
        <v>389</v>
      </c>
      <c r="I39" s="13">
        <v>1</v>
      </c>
      <c r="J39" s="14">
        <v>8</v>
      </c>
      <c r="K39" s="14">
        <v>8</v>
      </c>
    </row>
    <row r="40" spans="4:11">
      <c r="D40" s="11">
        <v>46086</v>
      </c>
      <c r="E40" s="12">
        <v>1582460</v>
      </c>
      <c r="F40" s="12" t="s">
        <v>16</v>
      </c>
      <c r="G40" s="13">
        <v>20346971</v>
      </c>
      <c r="H40" s="12" t="s">
        <v>396</v>
      </c>
      <c r="I40" s="13">
        <v>1</v>
      </c>
      <c r="J40" s="14">
        <v>11</v>
      </c>
      <c r="K40" s="14">
        <v>11</v>
      </c>
    </row>
    <row r="41" spans="4:11">
      <c r="D41" s="11">
        <v>46087</v>
      </c>
      <c r="E41" s="12">
        <v>1582634</v>
      </c>
      <c r="F41" s="12" t="s">
        <v>13</v>
      </c>
      <c r="G41" s="13">
        <v>20373632</v>
      </c>
      <c r="H41" s="12" t="s">
        <v>392</v>
      </c>
      <c r="I41" s="13">
        <v>1</v>
      </c>
      <c r="J41" s="14">
        <v>38.5</v>
      </c>
      <c r="K41" s="14">
        <v>38.5</v>
      </c>
    </row>
    <row r="42" spans="4:11">
      <c r="D42" s="11">
        <v>46088</v>
      </c>
      <c r="E42" s="12">
        <v>1583018</v>
      </c>
      <c r="F42" s="12" t="s">
        <v>16</v>
      </c>
      <c r="G42" s="13">
        <v>20346971</v>
      </c>
      <c r="H42" s="12" t="s">
        <v>396</v>
      </c>
      <c r="I42" s="13">
        <v>1</v>
      </c>
      <c r="J42" s="14">
        <v>11</v>
      </c>
      <c r="K42" s="14">
        <v>11</v>
      </c>
    </row>
    <row r="43" spans="4:11">
      <c r="D43" s="11">
        <v>46088</v>
      </c>
      <c r="E43" s="12">
        <v>1583018</v>
      </c>
      <c r="F43" s="12" t="s">
        <v>30</v>
      </c>
      <c r="G43" s="13">
        <v>20365949</v>
      </c>
      <c r="H43" s="12" t="s">
        <v>397</v>
      </c>
      <c r="I43" s="13">
        <v>1</v>
      </c>
      <c r="J43" s="14">
        <v>38.5</v>
      </c>
      <c r="K43" s="14">
        <v>38.5</v>
      </c>
    </row>
    <row r="44" spans="4:11">
      <c r="D44" s="11">
        <v>46088</v>
      </c>
      <c r="E44" s="12">
        <v>1583018</v>
      </c>
      <c r="F44" s="12" t="s">
        <v>30</v>
      </c>
      <c r="G44" s="13">
        <v>20385138</v>
      </c>
      <c r="H44" s="12" t="s">
        <v>398</v>
      </c>
      <c r="I44" s="13">
        <v>1</v>
      </c>
      <c r="J44" s="14">
        <v>44</v>
      </c>
      <c r="K44" s="14">
        <v>44</v>
      </c>
    </row>
    <row r="45" spans="4:11">
      <c r="D45" s="11">
        <v>46089</v>
      </c>
      <c r="E45" s="12">
        <v>1583084</v>
      </c>
      <c r="F45" s="12" t="s">
        <v>13</v>
      </c>
      <c r="G45" s="13">
        <v>20373632</v>
      </c>
      <c r="H45" s="12" t="s">
        <v>392</v>
      </c>
      <c r="I45" s="13">
        <v>1</v>
      </c>
      <c r="J45" s="14">
        <v>38.5</v>
      </c>
      <c r="K45" s="14">
        <v>38.5</v>
      </c>
    </row>
    <row r="46" ht="25.5" spans="4:11">
      <c r="D46" s="11">
        <v>46085</v>
      </c>
      <c r="E46" s="12">
        <v>1581939</v>
      </c>
      <c r="F46" s="12" t="s">
        <v>16</v>
      </c>
      <c r="G46" s="13">
        <v>20403084</v>
      </c>
      <c r="H46" s="12" t="s">
        <v>418</v>
      </c>
      <c r="I46" s="13">
        <v>1</v>
      </c>
      <c r="J46" s="14">
        <v>8</v>
      </c>
      <c r="K46" s="14">
        <f>J46*I46</f>
        <v>8</v>
      </c>
    </row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K10"/>
  <sheetViews>
    <sheetView view="pageBreakPreview" zoomScaleNormal="100" workbookViewId="0">
      <selection activeCell="L17" sqref="L1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19" t="s">
        <v>244</v>
      </c>
      <c r="E8" s="8"/>
      <c r="F8" s="8"/>
      <c r="G8" s="8"/>
      <c r="H8" s="8"/>
      <c r="I8" s="9">
        <f>SUM(I9:I10)</f>
        <v>2</v>
      </c>
      <c r="J8" s="10"/>
      <c r="K8" s="10">
        <f>SUM(K9:K10)</f>
        <v>583</v>
      </c>
    </row>
    <row r="9" customFormat="1" customHeight="1" spans="1:11">
      <c r="D9" s="11">
        <v>46084</v>
      </c>
      <c r="E9" s="12">
        <v>1581708</v>
      </c>
      <c r="F9" s="12" t="s">
        <v>39</v>
      </c>
      <c r="G9" s="13">
        <v>20414368</v>
      </c>
      <c r="H9" s="12" t="s">
        <v>417</v>
      </c>
      <c r="I9" s="13">
        <v>1</v>
      </c>
      <c r="J9" s="14">
        <v>291.5</v>
      </c>
      <c r="K9" s="14">
        <v>291.5</v>
      </c>
    </row>
    <row r="10" customFormat="1" customHeight="1" spans="1:11">
      <c r="D10" s="11">
        <v>46085</v>
      </c>
      <c r="E10" s="12">
        <v>1582087</v>
      </c>
      <c r="F10" s="12" t="s">
        <v>39</v>
      </c>
      <c r="G10" s="13">
        <v>20414368</v>
      </c>
      <c r="H10" s="12" t="s">
        <v>417</v>
      </c>
      <c r="I10" s="13">
        <v>1</v>
      </c>
      <c r="J10" s="14">
        <v>291.5</v>
      </c>
      <c r="K10" s="14">
        <v>291.5</v>
      </c>
    </row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K10"/>
  <sheetViews>
    <sheetView view="pageBreakPreview" zoomScaleNormal="100" workbookViewId="0">
      <selection activeCell="J30" sqref="J3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19" t="s">
        <v>245</v>
      </c>
      <c r="E8" s="8"/>
      <c r="F8" s="8"/>
      <c r="G8" s="8"/>
      <c r="H8" s="8"/>
      <c r="I8" s="9">
        <f>SUM(I9:I10)</f>
        <v>2</v>
      </c>
      <c r="J8" s="10"/>
      <c r="K8" s="10">
        <f>SUM(K9:K10)</f>
        <v>583</v>
      </c>
    </row>
    <row r="9" customFormat="1" customHeight="1" spans="1:11">
      <c r="D9" s="11">
        <v>46080</v>
      </c>
      <c r="E9" s="12">
        <v>1580610</v>
      </c>
      <c r="F9" s="12" t="s">
        <v>30</v>
      </c>
      <c r="G9" s="13">
        <v>20399548</v>
      </c>
      <c r="H9" s="12" t="s">
        <v>416</v>
      </c>
      <c r="I9" s="13">
        <v>1</v>
      </c>
      <c r="J9" s="14">
        <v>291.5</v>
      </c>
      <c r="K9" s="14">
        <v>291.5</v>
      </c>
    </row>
    <row r="10" customFormat="1" customHeight="1" spans="1:11">
      <c r="D10" s="11">
        <v>46081</v>
      </c>
      <c r="E10" s="12">
        <v>1581102</v>
      </c>
      <c r="F10" s="12" t="s">
        <v>30</v>
      </c>
      <c r="G10" s="13">
        <v>20399548</v>
      </c>
      <c r="H10" s="12" t="s">
        <v>416</v>
      </c>
      <c r="I10" s="13">
        <v>1</v>
      </c>
      <c r="J10" s="14">
        <v>291.5</v>
      </c>
      <c r="K10" s="14">
        <v>291.5</v>
      </c>
    </row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K9"/>
  <sheetViews>
    <sheetView view="pageBreakPreview" zoomScaleNormal="100" workbookViewId="0">
      <selection activeCell="O44" sqref="O4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19" t="s">
        <v>242</v>
      </c>
      <c r="E8" s="8"/>
      <c r="F8" s="8"/>
      <c r="G8" s="8"/>
      <c r="H8" s="8"/>
      <c r="I8" s="9">
        <f>SUM(I9:I9)</f>
        <v>1</v>
      </c>
      <c r="J8" s="10"/>
      <c r="K8" s="10">
        <f>SUM(K9:K9)</f>
        <v>55</v>
      </c>
    </row>
    <row r="9" customFormat="1" customHeight="1" spans="1:11">
      <c r="D9" s="11">
        <v>46087</v>
      </c>
      <c r="E9" s="12">
        <v>1582809</v>
      </c>
      <c r="F9" s="12" t="s">
        <v>16</v>
      </c>
      <c r="G9" s="13">
        <v>20410293</v>
      </c>
      <c r="H9" s="12" t="s">
        <v>419</v>
      </c>
      <c r="I9" s="13">
        <v>1</v>
      </c>
      <c r="J9" s="20">
        <v>55</v>
      </c>
      <c r="K9" s="14">
        <f>J9*I9</f>
        <v>55</v>
      </c>
    </row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K40"/>
  <sheetViews>
    <sheetView view="pageBreakPreview" zoomScaleNormal="100" workbookViewId="0">
      <selection activeCell="L1" sqref="L$1:M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19" t="s">
        <v>252</v>
      </c>
      <c r="E8" s="8"/>
      <c r="F8" s="8"/>
      <c r="G8" s="8"/>
      <c r="H8" s="8"/>
      <c r="I8" s="9">
        <f>SUM(I9:I40)</f>
        <v>32</v>
      </c>
      <c r="J8" s="10"/>
      <c r="K8" s="10">
        <f>SUM(K9:K40)</f>
        <v>2977</v>
      </c>
    </row>
    <row r="9" customFormat="1" customHeight="1" spans="1:11">
      <c r="D9" s="11">
        <v>46062</v>
      </c>
      <c r="E9" s="12">
        <v>1577344</v>
      </c>
      <c r="F9" s="12" t="s">
        <v>116</v>
      </c>
      <c r="G9" s="13">
        <v>20388394</v>
      </c>
      <c r="H9" s="12" t="s">
        <v>409</v>
      </c>
      <c r="I9" s="13">
        <v>1</v>
      </c>
      <c r="J9" s="14">
        <v>44</v>
      </c>
      <c r="K9" s="14">
        <v>44</v>
      </c>
    </row>
    <row r="10" customFormat="1" customHeight="1" spans="1:11">
      <c r="D10" s="11">
        <v>46062</v>
      </c>
      <c r="E10" s="12">
        <v>1577410</v>
      </c>
      <c r="F10" s="12" t="s">
        <v>13</v>
      </c>
      <c r="G10" s="13">
        <v>20401541</v>
      </c>
      <c r="H10" s="12" t="s">
        <v>410</v>
      </c>
      <c r="I10" s="13">
        <v>1</v>
      </c>
      <c r="J10" s="14">
        <v>176</v>
      </c>
      <c r="K10" s="14">
        <v>176</v>
      </c>
    </row>
    <row r="11" customFormat="1" customHeight="1" spans="1:11">
      <c r="D11" s="11">
        <v>46064</v>
      </c>
      <c r="E11" s="12">
        <v>1577996</v>
      </c>
      <c r="F11" s="12" t="s">
        <v>16</v>
      </c>
      <c r="G11" s="13">
        <v>20407232</v>
      </c>
      <c r="H11" s="12" t="s">
        <v>411</v>
      </c>
      <c r="I11" s="13">
        <v>1</v>
      </c>
      <c r="J11" s="14">
        <v>10.5</v>
      </c>
      <c r="K11" s="14">
        <v>10.5</v>
      </c>
    </row>
    <row r="12" customFormat="1" customHeight="1" spans="1:11">
      <c r="D12" s="11">
        <v>46064</v>
      </c>
      <c r="E12" s="12">
        <v>1578050</v>
      </c>
      <c r="F12" s="12" t="s">
        <v>116</v>
      </c>
      <c r="G12" s="13">
        <v>20393668</v>
      </c>
      <c r="H12" s="12" t="s">
        <v>412</v>
      </c>
      <c r="I12" s="13">
        <v>1</v>
      </c>
      <c r="J12" s="14">
        <v>66</v>
      </c>
      <c r="K12" s="14">
        <v>66</v>
      </c>
    </row>
    <row r="13" customFormat="1" customHeight="1" spans="1:11">
      <c r="D13" s="11">
        <v>46064</v>
      </c>
      <c r="E13" s="12">
        <v>1578060</v>
      </c>
      <c r="F13" s="12" t="s">
        <v>13</v>
      </c>
      <c r="G13" s="13">
        <v>20389654</v>
      </c>
      <c r="H13" s="12" t="s">
        <v>413</v>
      </c>
      <c r="I13" s="13">
        <v>1</v>
      </c>
      <c r="J13" s="14">
        <v>203.5</v>
      </c>
      <c r="K13" s="14">
        <v>203.5</v>
      </c>
    </row>
    <row r="14" customFormat="1" customHeight="1" spans="1:11">
      <c r="D14" s="11">
        <v>46064</v>
      </c>
      <c r="E14" s="12">
        <v>1578060</v>
      </c>
      <c r="F14" s="12" t="s">
        <v>16</v>
      </c>
      <c r="G14" s="13">
        <v>20411447</v>
      </c>
      <c r="H14" s="12" t="s">
        <v>414</v>
      </c>
      <c r="I14" s="13">
        <v>1</v>
      </c>
      <c r="J14" s="14">
        <v>8</v>
      </c>
      <c r="K14" s="14">
        <v>8</v>
      </c>
    </row>
    <row r="15" customFormat="1" spans="1:11">
      <c r="D15" s="11">
        <v>46065</v>
      </c>
      <c r="E15" s="12">
        <v>1578227</v>
      </c>
      <c r="F15" s="12" t="s">
        <v>13</v>
      </c>
      <c r="G15" s="13">
        <v>20401541</v>
      </c>
      <c r="H15" s="12" t="s">
        <v>410</v>
      </c>
      <c r="I15" s="13">
        <v>1</v>
      </c>
      <c r="J15" s="14">
        <v>176</v>
      </c>
      <c r="K15" s="14">
        <v>176</v>
      </c>
    </row>
    <row r="16" customFormat="1" ht="25.5" spans="1:11">
      <c r="D16" s="11">
        <v>46065</v>
      </c>
      <c r="E16" s="12">
        <v>1578227</v>
      </c>
      <c r="F16" s="12" t="s">
        <v>16</v>
      </c>
      <c r="G16" s="13">
        <v>20407232</v>
      </c>
      <c r="H16" s="12" t="s">
        <v>411</v>
      </c>
      <c r="I16" s="13">
        <v>1</v>
      </c>
      <c r="J16" s="14">
        <v>10.5</v>
      </c>
      <c r="K16" s="14">
        <v>10.5</v>
      </c>
    </row>
    <row r="17" customFormat="1" spans="4:11">
      <c r="D17" s="11">
        <v>46065</v>
      </c>
      <c r="E17" s="12">
        <v>1578232</v>
      </c>
      <c r="F17" s="12" t="s">
        <v>116</v>
      </c>
      <c r="G17" s="13">
        <v>20388394</v>
      </c>
      <c r="H17" s="12" t="s">
        <v>409</v>
      </c>
      <c r="I17" s="13">
        <v>1</v>
      </c>
      <c r="J17" s="14">
        <v>44</v>
      </c>
      <c r="K17" s="14">
        <v>44</v>
      </c>
    </row>
    <row r="18" customFormat="1" spans="4:11">
      <c r="D18" s="11">
        <v>46065</v>
      </c>
      <c r="E18" s="12">
        <v>1578373</v>
      </c>
      <c r="F18" s="12" t="s">
        <v>39</v>
      </c>
      <c r="G18" s="13">
        <v>20389654</v>
      </c>
      <c r="H18" s="12" t="s">
        <v>415</v>
      </c>
      <c r="I18" s="13">
        <v>1</v>
      </c>
      <c r="J18" s="14">
        <v>198</v>
      </c>
      <c r="K18" s="14">
        <v>198</v>
      </c>
    </row>
    <row r="19" customFormat="1" spans="4:11">
      <c r="D19" s="11">
        <v>46067</v>
      </c>
      <c r="E19" s="12">
        <v>1578972</v>
      </c>
      <c r="F19" s="12" t="s">
        <v>116</v>
      </c>
      <c r="G19" s="13">
        <v>20388394</v>
      </c>
      <c r="H19" s="12" t="s">
        <v>409</v>
      </c>
      <c r="I19" s="13">
        <v>1</v>
      </c>
      <c r="J19" s="14">
        <v>44</v>
      </c>
      <c r="K19" s="14">
        <v>44</v>
      </c>
    </row>
    <row r="20" customFormat="1" spans="4:11">
      <c r="D20" s="11">
        <v>46067</v>
      </c>
      <c r="E20" s="12">
        <v>1578975</v>
      </c>
      <c r="F20" s="12" t="s">
        <v>13</v>
      </c>
      <c r="G20" s="13">
        <v>20401541</v>
      </c>
      <c r="H20" s="12" t="s">
        <v>410</v>
      </c>
      <c r="I20" s="13">
        <v>1</v>
      </c>
      <c r="J20" s="14">
        <v>176</v>
      </c>
      <c r="K20" s="14">
        <v>176</v>
      </c>
    </row>
    <row r="21" customFormat="1" spans="4:11">
      <c r="D21" s="11">
        <v>46078</v>
      </c>
      <c r="E21" s="12">
        <v>1580070</v>
      </c>
      <c r="F21" s="12" t="s">
        <v>39</v>
      </c>
      <c r="G21" s="13">
        <v>20389654</v>
      </c>
      <c r="H21" s="12" t="s">
        <v>415</v>
      </c>
      <c r="I21" s="13">
        <v>1</v>
      </c>
      <c r="J21" s="14">
        <v>198</v>
      </c>
      <c r="K21" s="14">
        <v>198</v>
      </c>
    </row>
    <row r="22" ht="25.5" spans="4:11">
      <c r="D22" s="11">
        <v>46078</v>
      </c>
      <c r="E22" s="12">
        <v>1580070</v>
      </c>
      <c r="F22" s="12" t="s">
        <v>16</v>
      </c>
      <c r="G22" s="13">
        <v>20407232</v>
      </c>
      <c r="H22" s="12" t="s">
        <v>411</v>
      </c>
      <c r="I22" s="13">
        <v>1</v>
      </c>
      <c r="J22" s="14">
        <v>10.5</v>
      </c>
      <c r="K22" s="14">
        <v>10.5</v>
      </c>
    </row>
    <row r="23" ht="25.5" spans="4:11">
      <c r="D23" s="11">
        <v>46078</v>
      </c>
      <c r="E23" s="12">
        <v>1580070</v>
      </c>
      <c r="F23" s="12" t="s">
        <v>116</v>
      </c>
      <c r="G23" s="13">
        <v>20393668</v>
      </c>
      <c r="H23" s="12" t="s">
        <v>412</v>
      </c>
      <c r="I23" s="13">
        <v>1</v>
      </c>
      <c r="J23" s="14">
        <v>66</v>
      </c>
      <c r="K23" s="14">
        <v>66</v>
      </c>
    </row>
    <row r="24" ht="25.5" spans="4:11">
      <c r="D24" s="11">
        <v>46080</v>
      </c>
      <c r="E24" s="12">
        <v>1580746</v>
      </c>
      <c r="F24" s="12" t="s">
        <v>16</v>
      </c>
      <c r="G24" s="13">
        <v>20407232</v>
      </c>
      <c r="H24" s="12" t="s">
        <v>411</v>
      </c>
      <c r="I24" s="13">
        <v>1</v>
      </c>
      <c r="J24" s="14">
        <v>10.5</v>
      </c>
      <c r="K24" s="14">
        <v>10.5</v>
      </c>
    </row>
    <row r="25" spans="4:11">
      <c r="D25" s="11">
        <v>46080</v>
      </c>
      <c r="E25" s="12">
        <v>1580767</v>
      </c>
      <c r="F25" s="12" t="s">
        <v>39</v>
      </c>
      <c r="G25" s="13">
        <v>20389654</v>
      </c>
      <c r="H25" s="12" t="s">
        <v>415</v>
      </c>
      <c r="I25" s="13">
        <v>1</v>
      </c>
      <c r="J25" s="14">
        <v>198</v>
      </c>
      <c r="K25" s="14">
        <v>198</v>
      </c>
    </row>
    <row r="26" ht="25.5" spans="4:11">
      <c r="D26" s="11">
        <v>46080</v>
      </c>
      <c r="E26" s="12">
        <v>1580773</v>
      </c>
      <c r="F26" s="12" t="s">
        <v>116</v>
      </c>
      <c r="G26" s="13">
        <v>20393668</v>
      </c>
      <c r="H26" s="12" t="s">
        <v>412</v>
      </c>
      <c r="I26" s="13">
        <v>1</v>
      </c>
      <c r="J26" s="14">
        <v>66</v>
      </c>
      <c r="K26" s="14">
        <v>66</v>
      </c>
    </row>
    <row r="27" spans="4:11">
      <c r="D27" s="11">
        <v>46082</v>
      </c>
      <c r="E27" s="12">
        <v>1581250</v>
      </c>
      <c r="F27" s="12" t="s">
        <v>13</v>
      </c>
      <c r="G27" s="13">
        <v>20401541</v>
      </c>
      <c r="H27" s="12" t="s">
        <v>410</v>
      </c>
      <c r="I27" s="13">
        <v>1</v>
      </c>
      <c r="J27" s="14">
        <v>176</v>
      </c>
      <c r="K27" s="14">
        <v>176</v>
      </c>
    </row>
    <row r="28" spans="4:11">
      <c r="D28" s="11">
        <v>46082</v>
      </c>
      <c r="E28" s="12">
        <v>1581250</v>
      </c>
      <c r="F28" s="12" t="s">
        <v>116</v>
      </c>
      <c r="G28" s="13">
        <v>20388394</v>
      </c>
      <c r="H28" s="12" t="s">
        <v>409</v>
      </c>
      <c r="I28" s="13">
        <v>1</v>
      </c>
      <c r="J28" s="14">
        <v>44</v>
      </c>
      <c r="K28" s="14">
        <v>44</v>
      </c>
    </row>
    <row r="29" spans="4:11">
      <c r="D29" s="11">
        <v>46084</v>
      </c>
      <c r="E29" s="12">
        <v>1581801</v>
      </c>
      <c r="F29" s="12" t="s">
        <v>39</v>
      </c>
      <c r="G29" s="13">
        <v>20389654</v>
      </c>
      <c r="H29" s="12" t="s">
        <v>415</v>
      </c>
      <c r="I29" s="13">
        <v>1</v>
      </c>
      <c r="J29" s="14">
        <v>198</v>
      </c>
      <c r="K29" s="14">
        <v>198</v>
      </c>
    </row>
    <row r="30" ht="25.5" spans="4:11">
      <c r="D30" s="11">
        <v>46084</v>
      </c>
      <c r="E30" s="12">
        <v>1581801</v>
      </c>
      <c r="F30" s="12" t="s">
        <v>16</v>
      </c>
      <c r="G30" s="13">
        <v>20407232</v>
      </c>
      <c r="H30" s="12" t="s">
        <v>411</v>
      </c>
      <c r="I30" s="13">
        <v>1</v>
      </c>
      <c r="J30" s="14">
        <v>10.5</v>
      </c>
      <c r="K30" s="14">
        <v>10.5</v>
      </c>
    </row>
    <row r="31" ht="25.5" spans="4:11">
      <c r="D31" s="11">
        <v>46084</v>
      </c>
      <c r="E31" s="12">
        <v>1581801</v>
      </c>
      <c r="F31" s="12" t="s">
        <v>116</v>
      </c>
      <c r="G31" s="13">
        <v>20393668</v>
      </c>
      <c r="H31" s="12" t="s">
        <v>412</v>
      </c>
      <c r="I31" s="13">
        <v>1</v>
      </c>
      <c r="J31" s="14">
        <v>66</v>
      </c>
      <c r="K31" s="14">
        <v>66</v>
      </c>
    </row>
    <row r="32" ht="25.5" spans="4:11">
      <c r="D32" s="11">
        <v>46085</v>
      </c>
      <c r="E32" s="12">
        <v>1582055</v>
      </c>
      <c r="F32" s="12" t="s">
        <v>116</v>
      </c>
      <c r="G32" s="13">
        <v>20393668</v>
      </c>
      <c r="H32" s="12" t="s">
        <v>412</v>
      </c>
      <c r="I32" s="13">
        <v>1</v>
      </c>
      <c r="J32" s="14">
        <v>66</v>
      </c>
      <c r="K32" s="14">
        <v>66</v>
      </c>
    </row>
    <row r="33" ht="25.5" spans="4:11">
      <c r="D33" s="11">
        <v>46085</v>
      </c>
      <c r="E33" s="12">
        <v>1582087</v>
      </c>
      <c r="F33" s="12" t="s">
        <v>16</v>
      </c>
      <c r="G33" s="13">
        <v>20407232</v>
      </c>
      <c r="H33" s="12" t="s">
        <v>411</v>
      </c>
      <c r="I33" s="13">
        <v>1</v>
      </c>
      <c r="J33" s="14">
        <v>10.5</v>
      </c>
      <c r="K33" s="14">
        <v>10.5</v>
      </c>
    </row>
    <row r="34" spans="4:11">
      <c r="D34" s="11">
        <v>46085</v>
      </c>
      <c r="E34" s="12">
        <v>1582110</v>
      </c>
      <c r="F34" s="12" t="s">
        <v>39</v>
      </c>
      <c r="G34" s="13">
        <v>20389654</v>
      </c>
      <c r="H34" s="12" t="s">
        <v>415</v>
      </c>
      <c r="I34" s="13">
        <v>1</v>
      </c>
      <c r="J34" s="14">
        <v>198</v>
      </c>
      <c r="K34" s="14">
        <v>198</v>
      </c>
    </row>
    <row r="35" spans="4:11">
      <c r="D35" s="11">
        <v>46087</v>
      </c>
      <c r="E35" s="12">
        <v>1582809</v>
      </c>
      <c r="F35" s="12" t="s">
        <v>39</v>
      </c>
      <c r="G35" s="13">
        <v>20389654</v>
      </c>
      <c r="H35" s="12" t="s">
        <v>415</v>
      </c>
      <c r="I35" s="13">
        <v>1</v>
      </c>
      <c r="J35" s="14">
        <v>198</v>
      </c>
      <c r="K35" s="14">
        <v>198</v>
      </c>
    </row>
    <row r="36" ht="25.5" spans="4:11">
      <c r="D36" s="11">
        <v>46087</v>
      </c>
      <c r="E36" s="12">
        <v>1582809</v>
      </c>
      <c r="F36" s="12" t="s">
        <v>16</v>
      </c>
      <c r="G36" s="13">
        <v>20407232</v>
      </c>
      <c r="H36" s="12" t="s">
        <v>411</v>
      </c>
      <c r="I36" s="13">
        <v>1</v>
      </c>
      <c r="J36" s="14">
        <v>10.5</v>
      </c>
      <c r="K36" s="14">
        <v>10.5</v>
      </c>
    </row>
    <row r="37" ht="25.5" spans="4:11">
      <c r="D37" s="11">
        <v>46087</v>
      </c>
      <c r="E37" s="12">
        <v>1582809</v>
      </c>
      <c r="F37" s="12" t="s">
        <v>116</v>
      </c>
      <c r="G37" s="13">
        <v>20393668</v>
      </c>
      <c r="H37" s="12" t="s">
        <v>412</v>
      </c>
      <c r="I37" s="13">
        <v>1</v>
      </c>
      <c r="J37" s="14">
        <v>66</v>
      </c>
      <c r="K37" s="14">
        <v>66</v>
      </c>
    </row>
    <row r="38" spans="4:11">
      <c r="D38" s="11">
        <v>46088</v>
      </c>
      <c r="E38" s="12">
        <v>1583013</v>
      </c>
      <c r="F38" s="12" t="s">
        <v>13</v>
      </c>
      <c r="G38" s="13">
        <v>20401541</v>
      </c>
      <c r="H38" s="12" t="s">
        <v>410</v>
      </c>
      <c r="I38" s="13">
        <v>1</v>
      </c>
      <c r="J38" s="14">
        <v>176</v>
      </c>
      <c r="K38" s="14">
        <v>176</v>
      </c>
    </row>
    <row r="39" spans="4:11">
      <c r="D39" s="11">
        <v>46088</v>
      </c>
      <c r="E39" s="12">
        <v>1583013</v>
      </c>
      <c r="F39" s="12" t="s">
        <v>16</v>
      </c>
      <c r="G39" s="13">
        <v>20411447</v>
      </c>
      <c r="H39" s="12" t="s">
        <v>414</v>
      </c>
      <c r="I39" s="13">
        <v>1</v>
      </c>
      <c r="J39" s="14">
        <v>8</v>
      </c>
      <c r="K39" s="14">
        <v>8</v>
      </c>
    </row>
    <row r="40" spans="4:11">
      <c r="D40" s="11">
        <v>46088</v>
      </c>
      <c r="E40" s="12">
        <v>1583013</v>
      </c>
      <c r="F40" s="12" t="s">
        <v>116</v>
      </c>
      <c r="G40" s="13">
        <v>20388394</v>
      </c>
      <c r="H40" s="12" t="s">
        <v>409</v>
      </c>
      <c r="I40" s="13">
        <v>1</v>
      </c>
      <c r="J40" s="14">
        <v>44</v>
      </c>
      <c r="K40" s="14">
        <v>44</v>
      </c>
    </row>
  </sheetData>
  <autoFilter xmlns:etc="http://www.wps.cn/officeDocument/2017/etCustomData" ref="A8:K40" etc:filterBottomFollowUsedRange="0">
    <extLst/>
  </autoFilter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242</v>
      </c>
      <c r="E8" s="8" t="s">
        <v>2</v>
      </c>
      <c r="F8" s="8" t="s">
        <v>2</v>
      </c>
      <c r="G8" s="8" t="s">
        <v>2</v>
      </c>
      <c r="H8" s="8" t="s">
        <v>2</v>
      </c>
      <c r="I8" s="9">
        <v>2</v>
      </c>
      <c r="J8" s="10"/>
      <c r="K8" s="10">
        <v>88</v>
      </c>
    </row>
    <row r="9" spans="1:11">
      <c r="D9" s="11">
        <v>46064</v>
      </c>
      <c r="E9" s="12">
        <v>1577954</v>
      </c>
      <c r="F9" s="12" t="s">
        <v>30</v>
      </c>
      <c r="G9" s="13">
        <v>20321092</v>
      </c>
      <c r="H9" s="12" t="s">
        <v>320</v>
      </c>
      <c r="I9" s="13">
        <v>1</v>
      </c>
      <c r="J9" s="14">
        <v>44</v>
      </c>
      <c r="K9" s="14">
        <v>44</v>
      </c>
    </row>
    <row r="10" spans="1:11">
      <c r="D10" s="11">
        <v>46080</v>
      </c>
      <c r="E10" s="12">
        <v>1580698</v>
      </c>
      <c r="F10" s="12" t="s">
        <v>30</v>
      </c>
      <c r="G10" s="13">
        <v>20321092</v>
      </c>
      <c r="H10" s="12" t="s">
        <v>320</v>
      </c>
      <c r="I10" s="13">
        <v>1</v>
      </c>
      <c r="J10" s="14">
        <v>44</v>
      </c>
      <c r="K10" s="14">
        <v>44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&amp;"-,Regular"2026年3月9日 8:21 
&amp;"-,Bold"&amp;10 黑龙江省铂康医疗灭菌有限公司 &amp;R&amp;"Droid Sans Fallback"&amp;9第&amp;P页，共&amp;N页 </oddFooter>
  </headerFooter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420</v>
      </c>
      <c r="E8" s="8" t="s">
        <v>2</v>
      </c>
      <c r="F8" s="8" t="s">
        <v>2</v>
      </c>
      <c r="G8" s="8" t="s">
        <v>2</v>
      </c>
      <c r="H8" s="8" t="s">
        <v>2</v>
      </c>
      <c r="I8" s="9">
        <v>2</v>
      </c>
      <c r="J8" s="10"/>
      <c r="K8" s="10">
        <v>88</v>
      </c>
    </row>
    <row r="9" spans="1:11">
      <c r="D9" s="11">
        <v>46064</v>
      </c>
      <c r="E9" s="12">
        <v>1577953</v>
      </c>
      <c r="F9" s="12" t="s">
        <v>30</v>
      </c>
      <c r="G9" s="13">
        <v>20321092</v>
      </c>
      <c r="H9" s="12" t="s">
        <v>320</v>
      </c>
      <c r="I9" s="13">
        <v>1</v>
      </c>
      <c r="J9" s="14">
        <v>44</v>
      </c>
      <c r="K9" s="14">
        <v>44</v>
      </c>
    </row>
    <row r="10" spans="1:11">
      <c r="D10" s="11">
        <v>46087</v>
      </c>
      <c r="E10" s="12">
        <v>1582638</v>
      </c>
      <c r="F10" s="12" t="s">
        <v>30</v>
      </c>
      <c r="G10" s="13">
        <v>20321092</v>
      </c>
      <c r="H10" s="12" t="s">
        <v>320</v>
      </c>
      <c r="I10" s="13">
        <v>1</v>
      </c>
      <c r="J10" s="14">
        <v>44</v>
      </c>
      <c r="K10" s="14">
        <v>44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&amp;"-,Regular"2026年3月9日 8:21 
&amp;"-,Bold"&amp;10 黑龙江省铂康医疗灭菌有限公司 &amp;R&amp;"Droid Sans Fallback"&amp;9第&amp;P页，共&amp;N页 </oddFooter>
  </headerFooter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252</v>
      </c>
      <c r="E8" s="8" t="s">
        <v>2</v>
      </c>
      <c r="F8" s="8" t="s">
        <v>2</v>
      </c>
      <c r="G8" s="8" t="s">
        <v>2</v>
      </c>
      <c r="H8" s="8" t="s">
        <v>2</v>
      </c>
      <c r="I8" s="9">
        <v>5</v>
      </c>
      <c r="J8" s="10"/>
      <c r="K8" s="10">
        <v>192.5</v>
      </c>
    </row>
    <row r="9" spans="1:11">
      <c r="D9" s="11">
        <v>46062</v>
      </c>
      <c r="E9" s="12">
        <v>1577298</v>
      </c>
      <c r="F9" s="12" t="s">
        <v>30</v>
      </c>
      <c r="G9" s="13">
        <v>20321092</v>
      </c>
      <c r="H9" s="12" t="s">
        <v>320</v>
      </c>
      <c r="I9" s="13">
        <v>1</v>
      </c>
      <c r="J9" s="14">
        <v>44</v>
      </c>
      <c r="K9" s="14">
        <v>44</v>
      </c>
    </row>
    <row r="10" spans="1:11">
      <c r="D10" s="11">
        <v>46064</v>
      </c>
      <c r="E10" s="12">
        <v>1578006</v>
      </c>
      <c r="F10" s="12" t="s">
        <v>20</v>
      </c>
      <c r="G10" s="13">
        <v>20321706</v>
      </c>
      <c r="H10" s="12" t="s">
        <v>421</v>
      </c>
      <c r="I10" s="13">
        <v>1</v>
      </c>
      <c r="J10" s="14">
        <v>16.5</v>
      </c>
      <c r="K10" s="14">
        <v>16.5</v>
      </c>
    </row>
    <row r="11" spans="1:11">
      <c r="D11" s="11">
        <v>46084</v>
      </c>
      <c r="E11" s="12">
        <v>1581706</v>
      </c>
      <c r="F11" s="12" t="s">
        <v>30</v>
      </c>
      <c r="G11" s="13">
        <v>20321092</v>
      </c>
      <c r="H11" s="12" t="s">
        <v>320</v>
      </c>
      <c r="I11" s="13">
        <v>1</v>
      </c>
      <c r="J11" s="14">
        <v>44</v>
      </c>
      <c r="K11" s="14">
        <v>44</v>
      </c>
    </row>
    <row r="12" spans="1:11">
      <c r="D12" s="11">
        <v>46085</v>
      </c>
      <c r="E12" s="12">
        <v>1582018</v>
      </c>
      <c r="F12" s="12" t="s">
        <v>30</v>
      </c>
      <c r="G12" s="13">
        <v>20321092</v>
      </c>
      <c r="H12" s="12" t="s">
        <v>320</v>
      </c>
      <c r="I12" s="13">
        <v>1</v>
      </c>
      <c r="J12" s="14">
        <v>44</v>
      </c>
      <c r="K12" s="14">
        <v>44</v>
      </c>
    </row>
    <row r="13" spans="1:11">
      <c r="D13" s="11">
        <v>46087</v>
      </c>
      <c r="E13" s="12">
        <v>1582811</v>
      </c>
      <c r="F13" s="12" t="s">
        <v>30</v>
      </c>
      <c r="G13" s="13">
        <v>20321092</v>
      </c>
      <c r="H13" s="12" t="s">
        <v>320</v>
      </c>
      <c r="I13" s="13">
        <v>1</v>
      </c>
      <c r="J13" s="14">
        <v>44</v>
      </c>
      <c r="K13" s="14">
        <v>44</v>
      </c>
    </row>
  </sheetData>
  <mergeCells count="5">
    <mergeCell ref="D8:H8"/>
    <mergeCell ref="C7:C13"/>
    <mergeCell ref="B4:H5"/>
    <mergeCell ref="A7:B13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&amp;"-,Regular"2026年3月9日 8:21 
&amp;"-,Bold"&amp;10 黑龙江省铂康医疗灭菌有限公司 &amp;R&amp;"Droid Sans Fallback"&amp;9第&amp;P页，共&amp;N页 </oddFooter>
  </headerFooter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3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99</v>
      </c>
      <c r="E8" s="8" t="s">
        <v>2</v>
      </c>
      <c r="F8" s="8" t="s">
        <v>2</v>
      </c>
      <c r="G8" s="8" t="s">
        <v>2</v>
      </c>
      <c r="H8" s="8" t="s">
        <v>2</v>
      </c>
      <c r="I8" s="9">
        <v>2</v>
      </c>
      <c r="J8" s="10"/>
      <c r="K8" s="10">
        <v>88</v>
      </c>
    </row>
    <row r="9" spans="1:11">
      <c r="D9" s="11">
        <v>46065</v>
      </c>
      <c r="E9" s="12">
        <v>1578272</v>
      </c>
      <c r="F9" s="12" t="s">
        <v>30</v>
      </c>
      <c r="G9" s="13">
        <v>20321092</v>
      </c>
      <c r="H9" s="12" t="s">
        <v>320</v>
      </c>
      <c r="I9" s="13">
        <v>1</v>
      </c>
      <c r="J9" s="14">
        <v>44</v>
      </c>
      <c r="K9" s="14">
        <v>44</v>
      </c>
    </row>
    <row r="10" spans="1:11">
      <c r="D10" s="11">
        <v>46077</v>
      </c>
      <c r="E10" s="12">
        <v>1579692</v>
      </c>
      <c r="F10" s="12" t="s">
        <v>30</v>
      </c>
      <c r="G10" s="13">
        <v>20321092</v>
      </c>
      <c r="H10" s="12" t="s">
        <v>320</v>
      </c>
      <c r="I10" s="13">
        <v>1</v>
      </c>
      <c r="J10" s="14">
        <v>44</v>
      </c>
      <c r="K10" s="14">
        <v>44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&amp;"-,Regular"2026年3月9日 8:21 
&amp;"-,Bold"&amp;10 黑龙江省铂康医疗灭菌有限公司 &amp;R&amp;"Droid Sans Fallback"&amp;9第&amp;P页，共&amp;N页 </oddFooter>
  </headerFooter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B4" sqref="B4:H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422</v>
      </c>
      <c r="E8" s="8" t="s">
        <v>2</v>
      </c>
      <c r="F8" s="8" t="s">
        <v>2</v>
      </c>
      <c r="G8" s="8" t="s">
        <v>2</v>
      </c>
      <c r="H8" s="8" t="s">
        <v>2</v>
      </c>
      <c r="I8" s="9">
        <v>1</v>
      </c>
      <c r="J8" s="10"/>
      <c r="K8" s="10">
        <v>55</v>
      </c>
    </row>
    <row r="9" spans="1:11">
      <c r="D9" s="11">
        <v>46078</v>
      </c>
      <c r="E9" s="12">
        <v>1580038</v>
      </c>
      <c r="F9" s="12" t="s">
        <v>30</v>
      </c>
      <c r="G9" s="13">
        <v>20321164</v>
      </c>
      <c r="H9" s="12" t="s">
        <v>36</v>
      </c>
      <c r="I9" s="13">
        <v>1</v>
      </c>
      <c r="J9" s="14">
        <v>55</v>
      </c>
      <c r="K9" s="14">
        <v>55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&amp;"-,Regular"2026年3月9日 8:21 
&amp;"-,Bold"&amp;10 黑龙江省铂康医疗灭菌有限公司 &amp;R&amp;"Droid Sans Fallback"&amp;9第&amp;P页，共&amp;N页 </oddFooter>
  </headerFooter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96</v>
      </c>
      <c r="E8" s="8" t="s">
        <v>2</v>
      </c>
      <c r="F8" s="8" t="s">
        <v>2</v>
      </c>
      <c r="G8" s="8" t="s">
        <v>2</v>
      </c>
      <c r="H8" s="8" t="s">
        <v>2</v>
      </c>
      <c r="I8" s="9">
        <v>2</v>
      </c>
      <c r="J8" s="10"/>
      <c r="K8" s="10">
        <v>88</v>
      </c>
    </row>
    <row r="9" spans="1:11">
      <c r="D9" s="11">
        <v>46062</v>
      </c>
      <c r="E9" s="12">
        <v>1577413</v>
      </c>
      <c r="F9" s="12" t="s">
        <v>13</v>
      </c>
      <c r="G9" s="13">
        <v>20377510</v>
      </c>
      <c r="H9" s="12" t="s">
        <v>320</v>
      </c>
      <c r="I9" s="13">
        <v>1</v>
      </c>
      <c r="J9" s="14">
        <v>44</v>
      </c>
      <c r="K9" s="14">
        <v>44</v>
      </c>
    </row>
    <row r="10" spans="1:11">
      <c r="D10" s="11">
        <v>46077</v>
      </c>
      <c r="E10" s="12">
        <v>1579648</v>
      </c>
      <c r="F10" s="12" t="s">
        <v>13</v>
      </c>
      <c r="G10" s="13">
        <v>20377510</v>
      </c>
      <c r="H10" s="12" t="s">
        <v>320</v>
      </c>
      <c r="I10" s="13">
        <v>1</v>
      </c>
      <c r="J10" s="14">
        <v>44</v>
      </c>
      <c r="K10" s="14">
        <v>44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&amp;"-,Regular"2026年3月9日 8:21 
&amp;"-,Bold"&amp;10 黑龙江省铂康医疗灭菌有限公司 &amp;R&amp;"Droid Sans Fallback"&amp;9第&amp;P页，共&amp;N页 </oddFooter>
  </headerFooter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"/>
  <sheetViews>
    <sheetView showGridLines="0" view="pageBreakPreview" zoomScaleNormal="100" workbookViewId="0">
      <pane ySplit="6" topLeftCell="A7" activePane="bottomLeft" state="frozen"/>
      <selection/>
      <selection pane="bottomLeft" activeCell="Q10" sqref="Q1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101</v>
      </c>
      <c r="E8" s="8" t="s">
        <v>2</v>
      </c>
      <c r="F8" s="8" t="s">
        <v>2</v>
      </c>
      <c r="G8" s="8" t="s">
        <v>2</v>
      </c>
      <c r="H8" s="8" t="s">
        <v>2</v>
      </c>
      <c r="I8" s="9">
        <v>24</v>
      </c>
      <c r="J8" s="10"/>
      <c r="K8" s="10">
        <v>528.5</v>
      </c>
    </row>
    <row r="9" spans="1:11">
      <c r="D9" s="11">
        <v>46063</v>
      </c>
      <c r="E9" s="12">
        <v>1577671</v>
      </c>
      <c r="F9" s="12" t="s">
        <v>20</v>
      </c>
      <c r="G9" s="13">
        <v>20321506</v>
      </c>
      <c r="H9" s="12" t="s">
        <v>423</v>
      </c>
      <c r="I9" s="13">
        <v>2</v>
      </c>
      <c r="J9" s="14">
        <v>22</v>
      </c>
      <c r="K9" s="14">
        <v>44</v>
      </c>
    </row>
    <row r="10" spans="1:11">
      <c r="D10" s="11">
        <v>46063</v>
      </c>
      <c r="E10" s="12">
        <v>1577738</v>
      </c>
      <c r="F10" s="12" t="s">
        <v>16</v>
      </c>
      <c r="G10" s="13">
        <v>20318093</v>
      </c>
      <c r="H10" s="12" t="s">
        <v>424</v>
      </c>
      <c r="I10" s="13">
        <v>1</v>
      </c>
      <c r="J10" s="14">
        <v>16.5</v>
      </c>
      <c r="K10" s="14">
        <v>16.5</v>
      </c>
    </row>
    <row r="11" spans="1:11">
      <c r="D11" s="11">
        <v>46064</v>
      </c>
      <c r="E11" s="12">
        <v>1577948</v>
      </c>
      <c r="F11" s="12" t="s">
        <v>20</v>
      </c>
      <c r="G11" s="13">
        <v>20321506</v>
      </c>
      <c r="H11" s="12" t="s">
        <v>423</v>
      </c>
      <c r="I11" s="13">
        <v>1</v>
      </c>
      <c r="J11" s="14">
        <v>22</v>
      </c>
      <c r="K11" s="14">
        <v>22</v>
      </c>
    </row>
    <row r="12" spans="1:11">
      <c r="D12" s="11">
        <v>46064</v>
      </c>
      <c r="E12" s="12">
        <v>1578193</v>
      </c>
      <c r="F12" s="12" t="s">
        <v>321</v>
      </c>
      <c r="G12" s="13">
        <v>20387365</v>
      </c>
      <c r="H12" s="12" t="s">
        <v>425</v>
      </c>
      <c r="I12" s="13">
        <v>1</v>
      </c>
      <c r="J12" s="14">
        <v>28</v>
      </c>
      <c r="K12" s="14">
        <v>28</v>
      </c>
    </row>
    <row r="13" spans="1:11">
      <c r="D13" s="11">
        <v>46065</v>
      </c>
      <c r="E13" s="12">
        <v>1578273</v>
      </c>
      <c r="F13" s="12" t="s">
        <v>20</v>
      </c>
      <c r="G13" s="13">
        <v>20321506</v>
      </c>
      <c r="H13" s="12" t="s">
        <v>423</v>
      </c>
      <c r="I13" s="13">
        <v>1</v>
      </c>
      <c r="J13" s="14">
        <v>22</v>
      </c>
      <c r="K13" s="14">
        <v>22</v>
      </c>
    </row>
    <row r="14" spans="1:11">
      <c r="D14" s="11">
        <v>46066</v>
      </c>
      <c r="E14" s="12">
        <v>1578602</v>
      </c>
      <c r="F14" s="12" t="s">
        <v>20</v>
      </c>
      <c r="G14" s="13">
        <v>20321506</v>
      </c>
      <c r="H14" s="12" t="s">
        <v>423</v>
      </c>
      <c r="I14" s="13">
        <v>1</v>
      </c>
      <c r="J14" s="14">
        <v>22</v>
      </c>
      <c r="K14" s="14">
        <v>22</v>
      </c>
    </row>
    <row r="15" spans="1:11">
      <c r="D15" s="11">
        <v>46067</v>
      </c>
      <c r="E15" s="12">
        <v>1578836</v>
      </c>
      <c r="F15" s="12" t="s">
        <v>20</v>
      </c>
      <c r="G15" s="13">
        <v>20321506</v>
      </c>
      <c r="H15" s="12" t="s">
        <v>423</v>
      </c>
      <c r="I15" s="13">
        <v>1</v>
      </c>
      <c r="J15" s="14">
        <v>22</v>
      </c>
      <c r="K15" s="14">
        <v>22</v>
      </c>
    </row>
    <row r="16" spans="1:11">
      <c r="D16" s="11">
        <v>46068</v>
      </c>
      <c r="E16" s="12">
        <v>1579071</v>
      </c>
      <c r="F16" s="12" t="s">
        <v>20</v>
      </c>
      <c r="G16" s="13">
        <v>20321506</v>
      </c>
      <c r="H16" s="12" t="s">
        <v>423</v>
      </c>
      <c r="I16" s="13">
        <v>1</v>
      </c>
      <c r="J16" s="14">
        <v>22</v>
      </c>
      <c r="K16" s="14">
        <v>22</v>
      </c>
    </row>
    <row r="17" spans="4:11">
      <c r="D17" s="11">
        <v>46069</v>
      </c>
      <c r="E17" s="12">
        <v>1579107</v>
      </c>
      <c r="F17" s="12" t="s">
        <v>20</v>
      </c>
      <c r="G17" s="13">
        <v>20321506</v>
      </c>
      <c r="H17" s="12" t="s">
        <v>423</v>
      </c>
      <c r="I17" s="13">
        <v>1</v>
      </c>
      <c r="J17" s="14">
        <v>22</v>
      </c>
      <c r="K17" s="14">
        <v>22</v>
      </c>
    </row>
    <row r="18" spans="4:11">
      <c r="D18" s="11">
        <v>46071</v>
      </c>
      <c r="E18" s="12">
        <v>1579166</v>
      </c>
      <c r="F18" s="12" t="s">
        <v>20</v>
      </c>
      <c r="G18" s="13">
        <v>20321506</v>
      </c>
      <c r="H18" s="12" t="s">
        <v>423</v>
      </c>
      <c r="I18" s="13">
        <v>1</v>
      </c>
      <c r="J18" s="14">
        <v>22</v>
      </c>
      <c r="K18" s="14">
        <v>22</v>
      </c>
    </row>
    <row r="19" spans="4:11">
      <c r="D19" s="11">
        <v>46072</v>
      </c>
      <c r="E19" s="12">
        <v>1579249</v>
      </c>
      <c r="F19" s="12" t="s">
        <v>20</v>
      </c>
      <c r="G19" s="13">
        <v>20321506</v>
      </c>
      <c r="H19" s="12" t="s">
        <v>423</v>
      </c>
      <c r="I19" s="13">
        <v>1</v>
      </c>
      <c r="J19" s="14">
        <v>22</v>
      </c>
      <c r="K19" s="14">
        <v>22</v>
      </c>
    </row>
    <row r="20" spans="4:11">
      <c r="D20" s="11">
        <v>46073</v>
      </c>
      <c r="E20" s="12">
        <v>1579298</v>
      </c>
      <c r="F20" s="12" t="s">
        <v>20</v>
      </c>
      <c r="G20" s="13">
        <v>20321506</v>
      </c>
      <c r="H20" s="12" t="s">
        <v>423</v>
      </c>
      <c r="I20" s="13">
        <v>1</v>
      </c>
      <c r="J20" s="14">
        <v>22</v>
      </c>
      <c r="K20" s="14">
        <v>22</v>
      </c>
    </row>
    <row r="21" spans="4:11">
      <c r="D21" s="11">
        <v>46074</v>
      </c>
      <c r="E21" s="12">
        <v>1579359</v>
      </c>
      <c r="F21" s="12" t="s">
        <v>20</v>
      </c>
      <c r="G21" s="13">
        <v>20321506</v>
      </c>
      <c r="H21" s="12" t="s">
        <v>423</v>
      </c>
      <c r="I21" s="13">
        <v>1</v>
      </c>
      <c r="J21" s="14">
        <v>22</v>
      </c>
      <c r="K21" s="14">
        <v>22</v>
      </c>
    </row>
    <row r="22" spans="4:11">
      <c r="D22" s="11">
        <v>46075</v>
      </c>
      <c r="E22" s="12">
        <v>1579427</v>
      </c>
      <c r="F22" s="12" t="s">
        <v>20</v>
      </c>
      <c r="G22" s="13">
        <v>20321506</v>
      </c>
      <c r="H22" s="12" t="s">
        <v>423</v>
      </c>
      <c r="I22" s="13">
        <v>1</v>
      </c>
      <c r="J22" s="14">
        <v>22</v>
      </c>
      <c r="K22" s="14">
        <v>22</v>
      </c>
    </row>
    <row r="23" spans="4:11">
      <c r="D23" s="11">
        <v>46076</v>
      </c>
      <c r="E23" s="12">
        <v>1579516</v>
      </c>
      <c r="F23" s="12" t="s">
        <v>20</v>
      </c>
      <c r="G23" s="13">
        <v>20321506</v>
      </c>
      <c r="H23" s="12" t="s">
        <v>423</v>
      </c>
      <c r="I23" s="13">
        <v>1</v>
      </c>
      <c r="J23" s="14">
        <v>22</v>
      </c>
      <c r="K23" s="14">
        <v>22</v>
      </c>
    </row>
    <row r="24" spans="4:11">
      <c r="D24" s="11">
        <v>46077</v>
      </c>
      <c r="E24" s="12">
        <v>1579626</v>
      </c>
      <c r="F24" s="12" t="s">
        <v>20</v>
      </c>
      <c r="G24" s="13">
        <v>20321506</v>
      </c>
      <c r="H24" s="12" t="s">
        <v>423</v>
      </c>
      <c r="I24" s="13">
        <v>1</v>
      </c>
      <c r="J24" s="14">
        <v>22</v>
      </c>
      <c r="K24" s="14">
        <v>22</v>
      </c>
    </row>
    <row r="25" spans="4:11">
      <c r="D25" s="11">
        <v>46079</v>
      </c>
      <c r="E25" s="12">
        <v>1580235</v>
      </c>
      <c r="F25" s="12" t="s">
        <v>20</v>
      </c>
      <c r="G25" s="13">
        <v>20321506</v>
      </c>
      <c r="H25" s="12" t="s">
        <v>423</v>
      </c>
      <c r="I25" s="13">
        <v>1</v>
      </c>
      <c r="J25" s="14">
        <v>22</v>
      </c>
      <c r="K25" s="14">
        <v>22</v>
      </c>
    </row>
    <row r="26" spans="4:11">
      <c r="D26" s="11">
        <v>46080</v>
      </c>
      <c r="E26" s="12">
        <v>1580647</v>
      </c>
      <c r="F26" s="12" t="s">
        <v>20</v>
      </c>
      <c r="G26" s="13">
        <v>20321506</v>
      </c>
      <c r="H26" s="12" t="s">
        <v>423</v>
      </c>
      <c r="I26" s="13">
        <v>1</v>
      </c>
      <c r="J26" s="14">
        <v>22</v>
      </c>
      <c r="K26" s="14">
        <v>22</v>
      </c>
    </row>
    <row r="27" spans="4:11">
      <c r="D27" s="11">
        <v>46081</v>
      </c>
      <c r="E27" s="12">
        <v>1581001</v>
      </c>
      <c r="F27" s="12" t="s">
        <v>20</v>
      </c>
      <c r="G27" s="13">
        <v>20321506</v>
      </c>
      <c r="H27" s="12" t="s">
        <v>423</v>
      </c>
      <c r="I27" s="13">
        <v>1</v>
      </c>
      <c r="J27" s="14">
        <v>22</v>
      </c>
      <c r="K27" s="14">
        <v>22</v>
      </c>
    </row>
    <row r="28" spans="4:11">
      <c r="D28" s="11">
        <v>46083</v>
      </c>
      <c r="E28" s="12">
        <v>1581310</v>
      </c>
      <c r="F28" s="12" t="s">
        <v>20</v>
      </c>
      <c r="G28" s="13">
        <v>20321506</v>
      </c>
      <c r="H28" s="12" t="s">
        <v>423</v>
      </c>
      <c r="I28" s="13">
        <v>1</v>
      </c>
      <c r="J28" s="14">
        <v>22</v>
      </c>
      <c r="K28" s="14">
        <v>22</v>
      </c>
    </row>
    <row r="29" spans="4:11">
      <c r="D29" s="11">
        <v>46085</v>
      </c>
      <c r="E29" s="12">
        <v>1581974</v>
      </c>
      <c r="F29" s="12" t="s">
        <v>20</v>
      </c>
      <c r="G29" s="13">
        <v>20321506</v>
      </c>
      <c r="H29" s="12" t="s">
        <v>423</v>
      </c>
      <c r="I29" s="13">
        <v>1</v>
      </c>
      <c r="J29" s="14">
        <v>22</v>
      </c>
      <c r="K29" s="14">
        <v>22</v>
      </c>
    </row>
    <row r="30" spans="4:11">
      <c r="D30" s="11">
        <v>46088</v>
      </c>
      <c r="E30" s="12">
        <v>1583019</v>
      </c>
      <c r="F30" s="12" t="s">
        <v>20</v>
      </c>
      <c r="G30" s="13">
        <v>20321506</v>
      </c>
      <c r="H30" s="12" t="s">
        <v>423</v>
      </c>
      <c r="I30" s="13">
        <v>1</v>
      </c>
      <c r="J30" s="14">
        <v>22</v>
      </c>
      <c r="K30" s="14">
        <v>22</v>
      </c>
    </row>
    <row r="31" spans="4:11">
      <c r="D31" s="11">
        <v>46089</v>
      </c>
      <c r="E31" s="12">
        <v>1583087</v>
      </c>
      <c r="F31" s="12" t="s">
        <v>20</v>
      </c>
      <c r="G31" s="13">
        <v>20321506</v>
      </c>
      <c r="H31" s="12" t="s">
        <v>423</v>
      </c>
      <c r="I31" s="13">
        <v>1</v>
      </c>
      <c r="J31" s="14">
        <v>22</v>
      </c>
      <c r="K31" s="14">
        <v>22</v>
      </c>
    </row>
  </sheetData>
  <mergeCells count="5">
    <mergeCell ref="D8:H8"/>
    <mergeCell ref="C7:C31"/>
    <mergeCell ref="B4:H5"/>
    <mergeCell ref="A7:B3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&amp;"-,Regular"2026年3月9日 8:21 
&amp;"-,Bold"&amp;10 黑龙江省铂康医疗灭菌有限公司 &amp;R&amp;"Droid Sans Fallback"&amp;9第&amp;P页，共&amp;N页 </oddFooter>
  </headerFooter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09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382</v>
      </c>
      <c r="E8" s="8" t="s">
        <v>2</v>
      </c>
      <c r="F8" s="8" t="s">
        <v>2</v>
      </c>
      <c r="G8" s="8" t="s">
        <v>2</v>
      </c>
      <c r="H8" s="8" t="s">
        <v>2</v>
      </c>
      <c r="I8" s="9">
        <v>634</v>
      </c>
      <c r="J8" s="10"/>
      <c r="K8" s="10">
        <v>7164.5</v>
      </c>
    </row>
    <row r="9" spans="1:11">
      <c r="D9" s="11">
        <v>46062</v>
      </c>
      <c r="E9" s="12">
        <v>1577302</v>
      </c>
      <c r="F9" s="12" t="s">
        <v>16</v>
      </c>
      <c r="G9" s="13">
        <v>20320803</v>
      </c>
      <c r="H9" s="12" t="s">
        <v>426</v>
      </c>
      <c r="I9" s="13">
        <v>3</v>
      </c>
      <c r="J9" s="14">
        <v>8</v>
      </c>
      <c r="K9" s="14">
        <v>24</v>
      </c>
    </row>
    <row r="10" spans="1:11">
      <c r="D10" s="11">
        <v>46062</v>
      </c>
      <c r="E10" s="12">
        <v>1577302</v>
      </c>
      <c r="F10" s="12" t="s">
        <v>16</v>
      </c>
      <c r="G10" s="13">
        <v>20320822</v>
      </c>
      <c r="H10" s="12" t="s">
        <v>427</v>
      </c>
      <c r="I10" s="13">
        <v>1</v>
      </c>
      <c r="J10" s="14">
        <v>8</v>
      </c>
      <c r="K10" s="14">
        <v>8</v>
      </c>
    </row>
    <row r="11" spans="1:11">
      <c r="D11" s="11">
        <v>46062</v>
      </c>
      <c r="E11" s="12">
        <v>1577302</v>
      </c>
      <c r="F11" s="12" t="s">
        <v>16</v>
      </c>
      <c r="G11" s="13">
        <v>20322465</v>
      </c>
      <c r="H11" s="12" t="s">
        <v>428</v>
      </c>
      <c r="I11" s="13">
        <v>1</v>
      </c>
      <c r="J11" s="14">
        <v>13.5</v>
      </c>
      <c r="K11" s="14">
        <v>13.5</v>
      </c>
    </row>
    <row r="12" spans="1:11">
      <c r="D12" s="11">
        <v>46062</v>
      </c>
      <c r="E12" s="12">
        <v>1577302</v>
      </c>
      <c r="F12" s="12" t="s">
        <v>16</v>
      </c>
      <c r="G12" s="13">
        <v>20321808</v>
      </c>
      <c r="H12" s="12" t="s">
        <v>429</v>
      </c>
      <c r="I12" s="13">
        <v>3</v>
      </c>
      <c r="J12" s="14">
        <v>22</v>
      </c>
      <c r="K12" s="14">
        <v>66</v>
      </c>
    </row>
    <row r="13" spans="1:11">
      <c r="D13" s="11">
        <v>46062</v>
      </c>
      <c r="E13" s="12">
        <v>1577302</v>
      </c>
      <c r="F13" s="12" t="s">
        <v>16</v>
      </c>
      <c r="G13" s="13">
        <v>20322464</v>
      </c>
      <c r="H13" s="12" t="s">
        <v>430</v>
      </c>
      <c r="I13" s="13">
        <v>1</v>
      </c>
      <c r="J13" s="14">
        <v>13.5</v>
      </c>
      <c r="K13" s="14">
        <v>13.5</v>
      </c>
    </row>
    <row r="14" spans="1:11">
      <c r="D14" s="11">
        <v>46063</v>
      </c>
      <c r="E14" s="12">
        <v>1577672</v>
      </c>
      <c r="F14" s="12" t="s">
        <v>16</v>
      </c>
      <c r="G14" s="13">
        <v>20320869</v>
      </c>
      <c r="H14" s="12" t="s">
        <v>431</v>
      </c>
      <c r="I14" s="13">
        <v>2</v>
      </c>
      <c r="J14" s="14">
        <v>11</v>
      </c>
      <c r="K14" s="14">
        <v>22</v>
      </c>
    </row>
    <row r="15" spans="1:11">
      <c r="D15" s="11">
        <v>46063</v>
      </c>
      <c r="E15" s="12">
        <v>1577672</v>
      </c>
      <c r="F15" s="12" t="s">
        <v>16</v>
      </c>
      <c r="G15" s="13">
        <v>20320874</v>
      </c>
      <c r="H15" s="12" t="s">
        <v>432</v>
      </c>
      <c r="I15" s="13">
        <v>3</v>
      </c>
      <c r="J15" s="14">
        <v>8</v>
      </c>
      <c r="K15" s="14">
        <v>24</v>
      </c>
    </row>
    <row r="16" spans="1:11">
      <c r="D16" s="11">
        <v>46063</v>
      </c>
      <c r="E16" s="12">
        <v>1577672</v>
      </c>
      <c r="F16" s="12" t="s">
        <v>16</v>
      </c>
      <c r="G16" s="13">
        <v>20371135</v>
      </c>
      <c r="H16" s="12" t="s">
        <v>433</v>
      </c>
      <c r="I16" s="13">
        <v>1</v>
      </c>
      <c r="J16" s="14">
        <v>27.5</v>
      </c>
      <c r="K16" s="14">
        <v>27.5</v>
      </c>
    </row>
    <row r="17" spans="4:11">
      <c r="D17" s="11">
        <v>46063</v>
      </c>
      <c r="E17" s="12">
        <v>1577672</v>
      </c>
      <c r="F17" s="12" t="s">
        <v>16</v>
      </c>
      <c r="G17" s="13">
        <v>20320863</v>
      </c>
      <c r="H17" s="12" t="s">
        <v>434</v>
      </c>
      <c r="I17" s="13">
        <v>2</v>
      </c>
      <c r="J17" s="14">
        <v>8</v>
      </c>
      <c r="K17" s="14">
        <v>16</v>
      </c>
    </row>
    <row r="18" spans="4:11">
      <c r="D18" s="11">
        <v>46063</v>
      </c>
      <c r="E18" s="12">
        <v>1577672</v>
      </c>
      <c r="F18" s="12" t="s">
        <v>16</v>
      </c>
      <c r="G18" s="13">
        <v>20322466</v>
      </c>
      <c r="H18" s="12" t="s">
        <v>435</v>
      </c>
      <c r="I18" s="13">
        <v>1</v>
      </c>
      <c r="J18" s="14">
        <v>13.5</v>
      </c>
      <c r="K18" s="14">
        <v>13.5</v>
      </c>
    </row>
    <row r="19" spans="4:11">
      <c r="D19" s="11">
        <v>46063</v>
      </c>
      <c r="E19" s="12">
        <v>1577672</v>
      </c>
      <c r="F19" s="12" t="s">
        <v>16</v>
      </c>
      <c r="G19" s="13">
        <v>20320806</v>
      </c>
      <c r="H19" s="12" t="s">
        <v>436</v>
      </c>
      <c r="I19" s="13">
        <v>2</v>
      </c>
      <c r="J19" s="14">
        <v>8</v>
      </c>
      <c r="K19" s="14">
        <v>16</v>
      </c>
    </row>
    <row r="20" spans="4:11">
      <c r="D20" s="11">
        <v>46063</v>
      </c>
      <c r="E20" s="12">
        <v>1577672</v>
      </c>
      <c r="F20" s="12" t="s">
        <v>16</v>
      </c>
      <c r="G20" s="13">
        <v>20320817</v>
      </c>
      <c r="H20" s="12" t="s">
        <v>437</v>
      </c>
      <c r="I20" s="13">
        <v>3</v>
      </c>
      <c r="J20" s="14">
        <v>8</v>
      </c>
      <c r="K20" s="14">
        <v>24</v>
      </c>
    </row>
    <row r="21" spans="4:11">
      <c r="D21" s="11">
        <v>46063</v>
      </c>
      <c r="E21" s="12">
        <v>1577672</v>
      </c>
      <c r="F21" s="12" t="s">
        <v>16</v>
      </c>
      <c r="G21" s="13">
        <v>20320803</v>
      </c>
      <c r="H21" s="12" t="s">
        <v>426</v>
      </c>
      <c r="I21" s="13">
        <v>14</v>
      </c>
      <c r="J21" s="14">
        <v>8</v>
      </c>
      <c r="K21" s="14">
        <v>112</v>
      </c>
    </row>
    <row r="22" spans="4:11">
      <c r="D22" s="11">
        <v>46063</v>
      </c>
      <c r="E22" s="12">
        <v>1577672</v>
      </c>
      <c r="F22" s="12" t="s">
        <v>16</v>
      </c>
      <c r="G22" s="13">
        <v>20320822</v>
      </c>
      <c r="H22" s="12" t="s">
        <v>427</v>
      </c>
      <c r="I22" s="13">
        <v>3</v>
      </c>
      <c r="J22" s="14">
        <v>8</v>
      </c>
      <c r="K22" s="14">
        <v>24</v>
      </c>
    </row>
    <row r="23" spans="4:11">
      <c r="D23" s="11">
        <v>46063</v>
      </c>
      <c r="E23" s="12">
        <v>1577672</v>
      </c>
      <c r="F23" s="12" t="s">
        <v>16</v>
      </c>
      <c r="G23" s="13">
        <v>20322465</v>
      </c>
      <c r="H23" s="12" t="s">
        <v>428</v>
      </c>
      <c r="I23" s="13">
        <v>2</v>
      </c>
      <c r="J23" s="14">
        <v>13.5</v>
      </c>
      <c r="K23" s="14">
        <v>27</v>
      </c>
    </row>
    <row r="24" spans="4:11">
      <c r="D24" s="11">
        <v>46063</v>
      </c>
      <c r="E24" s="12">
        <v>1577672</v>
      </c>
      <c r="F24" s="12" t="s">
        <v>16</v>
      </c>
      <c r="G24" s="13">
        <v>20322464</v>
      </c>
      <c r="H24" s="12" t="s">
        <v>430</v>
      </c>
      <c r="I24" s="13">
        <v>1</v>
      </c>
      <c r="J24" s="14">
        <v>13.5</v>
      </c>
      <c r="K24" s="14">
        <v>13.5</v>
      </c>
    </row>
    <row r="25" spans="4:11">
      <c r="D25" s="11">
        <v>46063</v>
      </c>
      <c r="E25" s="12">
        <v>1577672</v>
      </c>
      <c r="F25" s="12" t="s">
        <v>16</v>
      </c>
      <c r="G25" s="13">
        <v>20320816</v>
      </c>
      <c r="H25" s="12" t="s">
        <v>438</v>
      </c>
      <c r="I25" s="13">
        <v>3</v>
      </c>
      <c r="J25" s="14">
        <v>8</v>
      </c>
      <c r="K25" s="14">
        <v>24</v>
      </c>
    </row>
    <row r="26" spans="4:11">
      <c r="D26" s="11">
        <v>46063</v>
      </c>
      <c r="E26" s="12">
        <v>1577672</v>
      </c>
      <c r="F26" s="12" t="s">
        <v>16</v>
      </c>
      <c r="G26" s="13">
        <v>20322748</v>
      </c>
      <c r="H26" s="12" t="s">
        <v>439</v>
      </c>
      <c r="I26" s="13">
        <v>3</v>
      </c>
      <c r="J26" s="14">
        <v>8</v>
      </c>
      <c r="K26" s="14">
        <v>24</v>
      </c>
    </row>
    <row r="27" spans="4:11">
      <c r="D27" s="11">
        <v>46063</v>
      </c>
      <c r="E27" s="12">
        <v>1577672</v>
      </c>
      <c r="F27" s="12" t="s">
        <v>16</v>
      </c>
      <c r="G27" s="13">
        <v>20322752</v>
      </c>
      <c r="H27" s="12" t="s">
        <v>440</v>
      </c>
      <c r="I27" s="13">
        <v>2</v>
      </c>
      <c r="J27" s="14">
        <v>13.5</v>
      </c>
      <c r="K27" s="14">
        <v>27</v>
      </c>
    </row>
    <row r="28" spans="4:11">
      <c r="D28" s="11">
        <v>46063</v>
      </c>
      <c r="E28" s="12">
        <v>1577672</v>
      </c>
      <c r="F28" s="12" t="s">
        <v>16</v>
      </c>
      <c r="G28" s="13">
        <v>20322463</v>
      </c>
      <c r="H28" s="12" t="s">
        <v>441</v>
      </c>
      <c r="I28" s="13">
        <v>1</v>
      </c>
      <c r="J28" s="14">
        <v>16.5</v>
      </c>
      <c r="K28" s="14">
        <v>16.5</v>
      </c>
    </row>
    <row r="29" spans="4:11">
      <c r="D29" s="11">
        <v>46063</v>
      </c>
      <c r="E29" s="12">
        <v>1577672</v>
      </c>
      <c r="F29" s="12" t="s">
        <v>20</v>
      </c>
      <c r="G29" s="13">
        <v>20321379</v>
      </c>
      <c r="H29" s="12" t="s">
        <v>442</v>
      </c>
      <c r="I29" s="13">
        <v>1</v>
      </c>
      <c r="J29" s="14">
        <v>16.5</v>
      </c>
      <c r="K29" s="14">
        <v>16.5</v>
      </c>
    </row>
    <row r="30" spans="4:11">
      <c r="D30" s="11">
        <v>46063</v>
      </c>
      <c r="E30" s="12">
        <v>1577672</v>
      </c>
      <c r="F30" s="12" t="s">
        <v>20</v>
      </c>
      <c r="G30" s="13">
        <v>20356826</v>
      </c>
      <c r="H30" s="12" t="s">
        <v>443</v>
      </c>
      <c r="I30" s="13">
        <v>1</v>
      </c>
      <c r="J30" s="14">
        <v>16.5</v>
      </c>
      <c r="K30" s="14">
        <v>16.5</v>
      </c>
    </row>
    <row r="31" spans="4:11">
      <c r="D31" s="11">
        <v>46063</v>
      </c>
      <c r="E31" s="12">
        <v>1577672</v>
      </c>
      <c r="F31" s="12" t="s">
        <v>20</v>
      </c>
      <c r="G31" s="13">
        <v>20320872</v>
      </c>
      <c r="H31" s="12" t="s">
        <v>444</v>
      </c>
      <c r="I31" s="13">
        <v>2</v>
      </c>
      <c r="J31" s="14">
        <v>33</v>
      </c>
      <c r="K31" s="14">
        <v>66</v>
      </c>
    </row>
    <row r="32" spans="4:11">
      <c r="D32" s="11">
        <v>46064</v>
      </c>
      <c r="E32" s="12">
        <v>1577945</v>
      </c>
      <c r="F32" s="12" t="s">
        <v>16</v>
      </c>
      <c r="G32" s="13">
        <v>20320869</v>
      </c>
      <c r="H32" s="12" t="s">
        <v>431</v>
      </c>
      <c r="I32" s="13">
        <v>3</v>
      </c>
      <c r="J32" s="14">
        <v>11</v>
      </c>
      <c r="K32" s="14">
        <v>33</v>
      </c>
    </row>
    <row r="33" spans="4:11">
      <c r="D33" s="11">
        <v>46064</v>
      </c>
      <c r="E33" s="12">
        <v>1577945</v>
      </c>
      <c r="F33" s="12" t="s">
        <v>16</v>
      </c>
      <c r="G33" s="13">
        <v>20320866</v>
      </c>
      <c r="H33" s="12" t="s">
        <v>445</v>
      </c>
      <c r="I33" s="13">
        <v>3</v>
      </c>
      <c r="J33" s="14">
        <v>16.5</v>
      </c>
      <c r="K33" s="14">
        <v>49.5</v>
      </c>
    </row>
    <row r="34" spans="4:11">
      <c r="D34" s="11">
        <v>46064</v>
      </c>
      <c r="E34" s="12">
        <v>1577945</v>
      </c>
      <c r="F34" s="12" t="s">
        <v>16</v>
      </c>
      <c r="G34" s="13">
        <v>20320874</v>
      </c>
      <c r="H34" s="12" t="s">
        <v>432</v>
      </c>
      <c r="I34" s="13">
        <v>3</v>
      </c>
      <c r="J34" s="14">
        <v>8</v>
      </c>
      <c r="K34" s="14">
        <v>24</v>
      </c>
    </row>
    <row r="35" spans="4:11">
      <c r="D35" s="11">
        <v>46064</v>
      </c>
      <c r="E35" s="12">
        <v>1577945</v>
      </c>
      <c r="F35" s="12" t="s">
        <v>16</v>
      </c>
      <c r="G35" s="13">
        <v>20322466</v>
      </c>
      <c r="H35" s="12" t="s">
        <v>435</v>
      </c>
      <c r="I35" s="13">
        <v>2</v>
      </c>
      <c r="J35" s="14">
        <v>13.5</v>
      </c>
      <c r="K35" s="14">
        <v>27</v>
      </c>
    </row>
    <row r="36" spans="4:11">
      <c r="D36" s="11">
        <v>46064</v>
      </c>
      <c r="E36" s="12">
        <v>1577945</v>
      </c>
      <c r="F36" s="12" t="s">
        <v>16</v>
      </c>
      <c r="G36" s="13">
        <v>20363641</v>
      </c>
      <c r="H36" s="12" t="s">
        <v>446</v>
      </c>
      <c r="I36" s="13">
        <v>1</v>
      </c>
      <c r="J36" s="14">
        <v>13.5</v>
      </c>
      <c r="K36" s="14">
        <v>13.5</v>
      </c>
    </row>
    <row r="37" spans="4:11">
      <c r="D37" s="11">
        <v>46064</v>
      </c>
      <c r="E37" s="12">
        <v>1577945</v>
      </c>
      <c r="F37" s="12" t="s">
        <v>16</v>
      </c>
      <c r="G37" s="13">
        <v>20320806</v>
      </c>
      <c r="H37" s="12" t="s">
        <v>436</v>
      </c>
      <c r="I37" s="13">
        <v>2</v>
      </c>
      <c r="J37" s="14">
        <v>8</v>
      </c>
      <c r="K37" s="14">
        <v>16</v>
      </c>
    </row>
    <row r="38" spans="4:11">
      <c r="D38" s="11">
        <v>46064</v>
      </c>
      <c r="E38" s="12">
        <v>1577945</v>
      </c>
      <c r="F38" s="12" t="s">
        <v>16</v>
      </c>
      <c r="G38" s="13">
        <v>20320803</v>
      </c>
      <c r="H38" s="12" t="s">
        <v>426</v>
      </c>
      <c r="I38" s="13">
        <v>9</v>
      </c>
      <c r="J38" s="14">
        <v>8</v>
      </c>
      <c r="K38" s="14">
        <v>72</v>
      </c>
    </row>
    <row r="39" spans="4:11">
      <c r="D39" s="11">
        <v>46064</v>
      </c>
      <c r="E39" s="12">
        <v>1577945</v>
      </c>
      <c r="F39" s="12" t="s">
        <v>16</v>
      </c>
      <c r="G39" s="13">
        <v>20320822</v>
      </c>
      <c r="H39" s="12" t="s">
        <v>427</v>
      </c>
      <c r="I39" s="13">
        <v>2</v>
      </c>
      <c r="J39" s="14">
        <v>8</v>
      </c>
      <c r="K39" s="14">
        <v>16</v>
      </c>
    </row>
    <row r="40" spans="4:11">
      <c r="D40" s="11">
        <v>46064</v>
      </c>
      <c r="E40" s="12">
        <v>1577945</v>
      </c>
      <c r="F40" s="12" t="s">
        <v>16</v>
      </c>
      <c r="G40" s="13">
        <v>20322465</v>
      </c>
      <c r="H40" s="12" t="s">
        <v>428</v>
      </c>
      <c r="I40" s="13">
        <v>1</v>
      </c>
      <c r="J40" s="14">
        <v>13.5</v>
      </c>
      <c r="K40" s="14">
        <v>13.5</v>
      </c>
    </row>
    <row r="41" spans="4:11">
      <c r="D41" s="11">
        <v>46064</v>
      </c>
      <c r="E41" s="12">
        <v>1577945</v>
      </c>
      <c r="F41" s="12" t="s">
        <v>16</v>
      </c>
      <c r="G41" s="13">
        <v>20321808</v>
      </c>
      <c r="H41" s="12" t="s">
        <v>429</v>
      </c>
      <c r="I41" s="13">
        <v>1</v>
      </c>
      <c r="J41" s="14">
        <v>22</v>
      </c>
      <c r="K41" s="14">
        <v>22</v>
      </c>
    </row>
    <row r="42" spans="4:11">
      <c r="D42" s="11">
        <v>46064</v>
      </c>
      <c r="E42" s="12">
        <v>1577945</v>
      </c>
      <c r="F42" s="12" t="s">
        <v>16</v>
      </c>
      <c r="G42" s="13">
        <v>20322464</v>
      </c>
      <c r="H42" s="12" t="s">
        <v>430</v>
      </c>
      <c r="I42" s="13">
        <v>2</v>
      </c>
      <c r="J42" s="14">
        <v>13.5</v>
      </c>
      <c r="K42" s="14">
        <v>27</v>
      </c>
    </row>
    <row r="43" spans="4:11">
      <c r="D43" s="11">
        <v>46064</v>
      </c>
      <c r="E43" s="12">
        <v>1577945</v>
      </c>
      <c r="F43" s="12" t="s">
        <v>16</v>
      </c>
      <c r="G43" s="13">
        <v>20320816</v>
      </c>
      <c r="H43" s="12" t="s">
        <v>438</v>
      </c>
      <c r="I43" s="13">
        <v>3</v>
      </c>
      <c r="J43" s="14">
        <v>8</v>
      </c>
      <c r="K43" s="14">
        <v>24</v>
      </c>
    </row>
    <row r="44" spans="4:11">
      <c r="D44" s="11">
        <v>46064</v>
      </c>
      <c r="E44" s="12">
        <v>1577945</v>
      </c>
      <c r="F44" s="12" t="s">
        <v>16</v>
      </c>
      <c r="G44" s="13">
        <v>20322748</v>
      </c>
      <c r="H44" s="12" t="s">
        <v>439</v>
      </c>
      <c r="I44" s="13">
        <v>1</v>
      </c>
      <c r="J44" s="14">
        <v>8</v>
      </c>
      <c r="K44" s="14">
        <v>8</v>
      </c>
    </row>
    <row r="45" spans="4:11">
      <c r="D45" s="11">
        <v>46064</v>
      </c>
      <c r="E45" s="12">
        <v>1577945</v>
      </c>
      <c r="F45" s="12" t="s">
        <v>16</v>
      </c>
      <c r="G45" s="13">
        <v>20322751</v>
      </c>
      <c r="H45" s="12" t="s">
        <v>447</v>
      </c>
      <c r="I45" s="13">
        <v>1</v>
      </c>
      <c r="J45" s="14">
        <v>8</v>
      </c>
      <c r="K45" s="14">
        <v>8</v>
      </c>
    </row>
    <row r="46" spans="4:11">
      <c r="D46" s="11">
        <v>46064</v>
      </c>
      <c r="E46" s="12">
        <v>1577945</v>
      </c>
      <c r="F46" s="12" t="s">
        <v>16</v>
      </c>
      <c r="G46" s="13">
        <v>20322752</v>
      </c>
      <c r="H46" s="12" t="s">
        <v>440</v>
      </c>
      <c r="I46" s="13">
        <v>1</v>
      </c>
      <c r="J46" s="14">
        <v>13.5</v>
      </c>
      <c r="K46" s="14">
        <v>13.5</v>
      </c>
    </row>
    <row r="47" spans="4:11">
      <c r="D47" s="11">
        <v>46064</v>
      </c>
      <c r="E47" s="12">
        <v>1577945</v>
      </c>
      <c r="F47" s="12" t="s">
        <v>16</v>
      </c>
      <c r="G47" s="13">
        <v>20322463</v>
      </c>
      <c r="H47" s="12" t="s">
        <v>441</v>
      </c>
      <c r="I47" s="13">
        <v>1</v>
      </c>
      <c r="J47" s="14">
        <v>16.5</v>
      </c>
      <c r="K47" s="14">
        <v>16.5</v>
      </c>
    </row>
    <row r="48" spans="4:11">
      <c r="D48" s="11">
        <v>46064</v>
      </c>
      <c r="E48" s="12">
        <v>1577945</v>
      </c>
      <c r="F48" s="12" t="s">
        <v>20</v>
      </c>
      <c r="G48" s="13">
        <v>20321379</v>
      </c>
      <c r="H48" s="12" t="s">
        <v>442</v>
      </c>
      <c r="I48" s="13">
        <v>1</v>
      </c>
      <c r="J48" s="14">
        <v>16.5</v>
      </c>
      <c r="K48" s="14">
        <v>16.5</v>
      </c>
    </row>
    <row r="49" spans="4:11">
      <c r="D49" s="11">
        <v>46064</v>
      </c>
      <c r="E49" s="12">
        <v>1577945</v>
      </c>
      <c r="F49" s="12" t="s">
        <v>20</v>
      </c>
      <c r="G49" s="13">
        <v>20356826</v>
      </c>
      <c r="H49" s="12" t="s">
        <v>443</v>
      </c>
      <c r="I49" s="13">
        <v>1</v>
      </c>
      <c r="J49" s="14">
        <v>16.5</v>
      </c>
      <c r="K49" s="14">
        <v>16.5</v>
      </c>
    </row>
    <row r="50" spans="4:11">
      <c r="D50" s="11">
        <v>46064</v>
      </c>
      <c r="E50" s="12">
        <v>1577945</v>
      </c>
      <c r="F50" s="12" t="s">
        <v>20</v>
      </c>
      <c r="G50" s="13">
        <v>20320872</v>
      </c>
      <c r="H50" s="12" t="s">
        <v>444</v>
      </c>
      <c r="I50" s="13">
        <v>1</v>
      </c>
      <c r="J50" s="14">
        <v>33</v>
      </c>
      <c r="K50" s="14">
        <v>33</v>
      </c>
    </row>
    <row r="51" spans="4:11">
      <c r="D51" s="11">
        <v>46065</v>
      </c>
      <c r="E51" s="12">
        <v>1578278</v>
      </c>
      <c r="F51" s="12" t="s">
        <v>16</v>
      </c>
      <c r="G51" s="13">
        <v>20320875</v>
      </c>
      <c r="H51" s="12" t="s">
        <v>448</v>
      </c>
      <c r="I51" s="13">
        <v>1</v>
      </c>
      <c r="J51" s="14">
        <v>16.5</v>
      </c>
      <c r="K51" s="14">
        <v>16.5</v>
      </c>
    </row>
    <row r="52" spans="4:11">
      <c r="D52" s="11">
        <v>46065</v>
      </c>
      <c r="E52" s="12">
        <v>1578278</v>
      </c>
      <c r="F52" s="12" t="s">
        <v>16</v>
      </c>
      <c r="G52" s="13">
        <v>20320869</v>
      </c>
      <c r="H52" s="12" t="s">
        <v>431</v>
      </c>
      <c r="I52" s="13">
        <v>4</v>
      </c>
      <c r="J52" s="14">
        <v>11</v>
      </c>
      <c r="K52" s="14">
        <v>44</v>
      </c>
    </row>
    <row r="53" spans="4:11">
      <c r="D53" s="11">
        <v>46065</v>
      </c>
      <c r="E53" s="12">
        <v>1578278</v>
      </c>
      <c r="F53" s="12" t="s">
        <v>16</v>
      </c>
      <c r="G53" s="13">
        <v>20320874</v>
      </c>
      <c r="H53" s="12" t="s">
        <v>432</v>
      </c>
      <c r="I53" s="13">
        <v>3</v>
      </c>
      <c r="J53" s="14">
        <v>8</v>
      </c>
      <c r="K53" s="14">
        <v>24</v>
      </c>
    </row>
    <row r="54" spans="4:11">
      <c r="D54" s="11">
        <v>46065</v>
      </c>
      <c r="E54" s="12">
        <v>1578278</v>
      </c>
      <c r="F54" s="12" t="s">
        <v>16</v>
      </c>
      <c r="G54" s="13">
        <v>20320863</v>
      </c>
      <c r="H54" s="12" t="s">
        <v>434</v>
      </c>
      <c r="I54" s="13">
        <v>2</v>
      </c>
      <c r="J54" s="14">
        <v>8</v>
      </c>
      <c r="K54" s="14">
        <v>16</v>
      </c>
    </row>
    <row r="55" spans="4:11">
      <c r="D55" s="11">
        <v>46065</v>
      </c>
      <c r="E55" s="12">
        <v>1578278</v>
      </c>
      <c r="F55" s="12" t="s">
        <v>16</v>
      </c>
      <c r="G55" s="13">
        <v>20322466</v>
      </c>
      <c r="H55" s="12" t="s">
        <v>435</v>
      </c>
      <c r="I55" s="13">
        <v>1</v>
      </c>
      <c r="J55" s="14">
        <v>13.5</v>
      </c>
      <c r="K55" s="14">
        <v>13.5</v>
      </c>
    </row>
    <row r="56" spans="4:11">
      <c r="D56" s="11">
        <v>46065</v>
      </c>
      <c r="E56" s="12">
        <v>1578278</v>
      </c>
      <c r="F56" s="12" t="s">
        <v>16</v>
      </c>
      <c r="G56" s="13">
        <v>20363641</v>
      </c>
      <c r="H56" s="12" t="s">
        <v>446</v>
      </c>
      <c r="I56" s="13">
        <v>1</v>
      </c>
      <c r="J56" s="14">
        <v>13.5</v>
      </c>
      <c r="K56" s="14">
        <v>13.5</v>
      </c>
    </row>
    <row r="57" spans="4:11">
      <c r="D57" s="11">
        <v>46065</v>
      </c>
      <c r="E57" s="12">
        <v>1578278</v>
      </c>
      <c r="F57" s="12" t="s">
        <v>16</v>
      </c>
      <c r="G57" s="13">
        <v>20320806</v>
      </c>
      <c r="H57" s="12" t="s">
        <v>436</v>
      </c>
      <c r="I57" s="13">
        <v>3</v>
      </c>
      <c r="J57" s="14">
        <v>8</v>
      </c>
      <c r="K57" s="14">
        <v>24</v>
      </c>
    </row>
    <row r="58" spans="4:11">
      <c r="D58" s="11">
        <v>46065</v>
      </c>
      <c r="E58" s="12">
        <v>1578278</v>
      </c>
      <c r="F58" s="12" t="s">
        <v>16</v>
      </c>
      <c r="G58" s="13">
        <v>20320817</v>
      </c>
      <c r="H58" s="12" t="s">
        <v>437</v>
      </c>
      <c r="I58" s="13">
        <v>3</v>
      </c>
      <c r="J58" s="14">
        <v>8</v>
      </c>
      <c r="K58" s="14">
        <v>24</v>
      </c>
    </row>
    <row r="59" spans="4:11">
      <c r="D59" s="11">
        <v>46065</v>
      </c>
      <c r="E59" s="12">
        <v>1578278</v>
      </c>
      <c r="F59" s="12" t="s">
        <v>16</v>
      </c>
      <c r="G59" s="13">
        <v>20320803</v>
      </c>
      <c r="H59" s="12" t="s">
        <v>426</v>
      </c>
      <c r="I59" s="13">
        <v>9</v>
      </c>
      <c r="J59" s="14">
        <v>8</v>
      </c>
      <c r="K59" s="14">
        <v>72</v>
      </c>
    </row>
    <row r="60" spans="4:11">
      <c r="D60" s="11">
        <v>46065</v>
      </c>
      <c r="E60" s="12">
        <v>1578278</v>
      </c>
      <c r="F60" s="12" t="s">
        <v>16</v>
      </c>
      <c r="G60" s="13">
        <v>20320822</v>
      </c>
      <c r="H60" s="12" t="s">
        <v>427</v>
      </c>
      <c r="I60" s="13">
        <v>2</v>
      </c>
      <c r="J60" s="14">
        <v>8</v>
      </c>
      <c r="K60" s="14">
        <v>16</v>
      </c>
    </row>
    <row r="61" spans="4:11">
      <c r="D61" s="11">
        <v>46065</v>
      </c>
      <c r="E61" s="12">
        <v>1578278</v>
      </c>
      <c r="F61" s="12" t="s">
        <v>16</v>
      </c>
      <c r="G61" s="13">
        <v>20321808</v>
      </c>
      <c r="H61" s="12" t="s">
        <v>429</v>
      </c>
      <c r="I61" s="13">
        <v>3</v>
      </c>
      <c r="J61" s="14">
        <v>22</v>
      </c>
      <c r="K61" s="14">
        <v>66</v>
      </c>
    </row>
    <row r="62" spans="4:11">
      <c r="D62" s="11">
        <v>46065</v>
      </c>
      <c r="E62" s="12">
        <v>1578278</v>
      </c>
      <c r="F62" s="12" t="s">
        <v>16</v>
      </c>
      <c r="G62" s="13">
        <v>20322464</v>
      </c>
      <c r="H62" s="12" t="s">
        <v>430</v>
      </c>
      <c r="I62" s="13">
        <v>1</v>
      </c>
      <c r="J62" s="14">
        <v>13.5</v>
      </c>
      <c r="K62" s="14">
        <v>13.5</v>
      </c>
    </row>
    <row r="63" spans="4:11">
      <c r="D63" s="11">
        <v>46065</v>
      </c>
      <c r="E63" s="12">
        <v>1578278</v>
      </c>
      <c r="F63" s="12" t="s">
        <v>16</v>
      </c>
      <c r="G63" s="13">
        <v>20320816</v>
      </c>
      <c r="H63" s="12" t="s">
        <v>438</v>
      </c>
      <c r="I63" s="13">
        <v>2</v>
      </c>
      <c r="J63" s="14">
        <v>8</v>
      </c>
      <c r="K63" s="14">
        <v>16</v>
      </c>
    </row>
    <row r="64" spans="4:11">
      <c r="D64" s="11">
        <v>46065</v>
      </c>
      <c r="E64" s="12">
        <v>1578278</v>
      </c>
      <c r="F64" s="12" t="s">
        <v>16</v>
      </c>
      <c r="G64" s="13">
        <v>20322751</v>
      </c>
      <c r="H64" s="12" t="s">
        <v>447</v>
      </c>
      <c r="I64" s="13">
        <v>1</v>
      </c>
      <c r="J64" s="14">
        <v>8</v>
      </c>
      <c r="K64" s="14">
        <v>8</v>
      </c>
    </row>
    <row r="65" spans="4:11">
      <c r="D65" s="11">
        <v>46065</v>
      </c>
      <c r="E65" s="12">
        <v>1578278</v>
      </c>
      <c r="F65" s="12" t="s">
        <v>16</v>
      </c>
      <c r="G65" s="13">
        <v>20322463</v>
      </c>
      <c r="H65" s="12" t="s">
        <v>441</v>
      </c>
      <c r="I65" s="13">
        <v>1</v>
      </c>
      <c r="J65" s="14">
        <v>16.5</v>
      </c>
      <c r="K65" s="14">
        <v>16.5</v>
      </c>
    </row>
    <row r="66" spans="4:11">
      <c r="D66" s="11">
        <v>46065</v>
      </c>
      <c r="E66" s="12">
        <v>1578278</v>
      </c>
      <c r="F66" s="12" t="s">
        <v>20</v>
      </c>
      <c r="G66" s="13">
        <v>20321379</v>
      </c>
      <c r="H66" s="12" t="s">
        <v>442</v>
      </c>
      <c r="I66" s="13">
        <v>2</v>
      </c>
      <c r="J66" s="14">
        <v>16.5</v>
      </c>
      <c r="K66" s="14">
        <v>33</v>
      </c>
    </row>
    <row r="67" spans="4:11">
      <c r="D67" s="11">
        <v>46065</v>
      </c>
      <c r="E67" s="12">
        <v>1578278</v>
      </c>
      <c r="F67" s="12" t="s">
        <v>20</v>
      </c>
      <c r="G67" s="13">
        <v>20388046</v>
      </c>
      <c r="H67" s="12" t="s">
        <v>449</v>
      </c>
      <c r="I67" s="13">
        <v>1</v>
      </c>
      <c r="J67" s="14">
        <v>22</v>
      </c>
      <c r="K67" s="14">
        <v>22</v>
      </c>
    </row>
    <row r="68" spans="4:11">
      <c r="D68" s="11">
        <v>46066</v>
      </c>
      <c r="E68" s="12">
        <v>1578603</v>
      </c>
      <c r="F68" s="12" t="s">
        <v>16</v>
      </c>
      <c r="G68" s="13">
        <v>20320875</v>
      </c>
      <c r="H68" s="12" t="s">
        <v>448</v>
      </c>
      <c r="I68" s="13">
        <v>1</v>
      </c>
      <c r="J68" s="14">
        <v>16.5</v>
      </c>
      <c r="K68" s="14">
        <v>16.5</v>
      </c>
    </row>
    <row r="69" spans="4:11">
      <c r="D69" s="11">
        <v>46066</v>
      </c>
      <c r="E69" s="12">
        <v>1578603</v>
      </c>
      <c r="F69" s="12" t="s">
        <v>16</v>
      </c>
      <c r="G69" s="13">
        <v>20320869</v>
      </c>
      <c r="H69" s="12" t="s">
        <v>431</v>
      </c>
      <c r="I69" s="13">
        <v>2</v>
      </c>
      <c r="J69" s="14">
        <v>11</v>
      </c>
      <c r="K69" s="14">
        <v>22</v>
      </c>
    </row>
    <row r="70" spans="4:11">
      <c r="D70" s="11">
        <v>46066</v>
      </c>
      <c r="E70" s="12">
        <v>1578603</v>
      </c>
      <c r="F70" s="12" t="s">
        <v>16</v>
      </c>
      <c r="G70" s="13">
        <v>20320874</v>
      </c>
      <c r="H70" s="12" t="s">
        <v>432</v>
      </c>
      <c r="I70" s="13">
        <v>3</v>
      </c>
      <c r="J70" s="14">
        <v>8</v>
      </c>
      <c r="K70" s="14">
        <v>24</v>
      </c>
    </row>
    <row r="71" spans="4:11">
      <c r="D71" s="11">
        <v>46066</v>
      </c>
      <c r="E71" s="12">
        <v>1578603</v>
      </c>
      <c r="F71" s="12" t="s">
        <v>16</v>
      </c>
      <c r="G71" s="13">
        <v>20320863</v>
      </c>
      <c r="H71" s="12" t="s">
        <v>434</v>
      </c>
      <c r="I71" s="13">
        <v>3</v>
      </c>
      <c r="J71" s="14">
        <v>8</v>
      </c>
      <c r="K71" s="14">
        <v>24</v>
      </c>
    </row>
    <row r="72" spans="4:11">
      <c r="D72" s="11">
        <v>46066</v>
      </c>
      <c r="E72" s="12">
        <v>1578603</v>
      </c>
      <c r="F72" s="12" t="s">
        <v>16</v>
      </c>
      <c r="G72" s="13">
        <v>20322466</v>
      </c>
      <c r="H72" s="12" t="s">
        <v>435</v>
      </c>
      <c r="I72" s="13">
        <v>3</v>
      </c>
      <c r="J72" s="14">
        <v>13.5</v>
      </c>
      <c r="K72" s="14">
        <v>40.5</v>
      </c>
    </row>
    <row r="73" spans="4:11">
      <c r="D73" s="11">
        <v>46066</v>
      </c>
      <c r="E73" s="12">
        <v>1578603</v>
      </c>
      <c r="F73" s="12" t="s">
        <v>16</v>
      </c>
      <c r="G73" s="13">
        <v>20363641</v>
      </c>
      <c r="H73" s="12" t="s">
        <v>446</v>
      </c>
      <c r="I73" s="13">
        <v>1</v>
      </c>
      <c r="J73" s="14">
        <v>13.5</v>
      </c>
      <c r="K73" s="14">
        <v>13.5</v>
      </c>
    </row>
    <row r="74" spans="4:11">
      <c r="D74" s="11">
        <v>46066</v>
      </c>
      <c r="E74" s="12">
        <v>1578603</v>
      </c>
      <c r="F74" s="12" t="s">
        <v>16</v>
      </c>
      <c r="G74" s="13">
        <v>20320806</v>
      </c>
      <c r="H74" s="12" t="s">
        <v>436</v>
      </c>
      <c r="I74" s="13">
        <v>7</v>
      </c>
      <c r="J74" s="14">
        <v>8</v>
      </c>
      <c r="K74" s="14">
        <v>56</v>
      </c>
    </row>
    <row r="75" spans="4:11">
      <c r="D75" s="11">
        <v>46066</v>
      </c>
      <c r="E75" s="12">
        <v>1578603</v>
      </c>
      <c r="F75" s="12" t="s">
        <v>16</v>
      </c>
      <c r="G75" s="13">
        <v>20320803</v>
      </c>
      <c r="H75" s="12" t="s">
        <v>426</v>
      </c>
      <c r="I75" s="13">
        <v>11</v>
      </c>
      <c r="J75" s="14">
        <v>8</v>
      </c>
      <c r="K75" s="14">
        <v>88</v>
      </c>
    </row>
    <row r="76" spans="4:11">
      <c r="D76" s="11">
        <v>46066</v>
      </c>
      <c r="E76" s="12">
        <v>1578603</v>
      </c>
      <c r="F76" s="12" t="s">
        <v>16</v>
      </c>
      <c r="G76" s="13">
        <v>20322465</v>
      </c>
      <c r="H76" s="12" t="s">
        <v>428</v>
      </c>
      <c r="I76" s="13">
        <v>1</v>
      </c>
      <c r="J76" s="14">
        <v>13.5</v>
      </c>
      <c r="K76" s="14">
        <v>13.5</v>
      </c>
    </row>
    <row r="77" spans="4:11">
      <c r="D77" s="11">
        <v>46066</v>
      </c>
      <c r="E77" s="12">
        <v>1578603</v>
      </c>
      <c r="F77" s="12" t="s">
        <v>16</v>
      </c>
      <c r="G77" s="13">
        <v>20404592</v>
      </c>
      <c r="H77" s="12" t="s">
        <v>450</v>
      </c>
      <c r="I77" s="13">
        <v>2</v>
      </c>
      <c r="J77" s="14">
        <v>16.5</v>
      </c>
      <c r="K77" s="14">
        <v>33</v>
      </c>
    </row>
    <row r="78" spans="4:11">
      <c r="D78" s="11">
        <v>46066</v>
      </c>
      <c r="E78" s="12">
        <v>1578603</v>
      </c>
      <c r="F78" s="12" t="s">
        <v>16</v>
      </c>
      <c r="G78" s="13">
        <v>20322464</v>
      </c>
      <c r="H78" s="12" t="s">
        <v>430</v>
      </c>
      <c r="I78" s="13">
        <v>2</v>
      </c>
      <c r="J78" s="14">
        <v>13.5</v>
      </c>
      <c r="K78" s="14">
        <v>27</v>
      </c>
    </row>
    <row r="79" spans="4:11">
      <c r="D79" s="11">
        <v>46066</v>
      </c>
      <c r="E79" s="12">
        <v>1578603</v>
      </c>
      <c r="F79" s="12" t="s">
        <v>16</v>
      </c>
      <c r="G79" s="13">
        <v>20320816</v>
      </c>
      <c r="H79" s="12" t="s">
        <v>438</v>
      </c>
      <c r="I79" s="13">
        <v>2</v>
      </c>
      <c r="J79" s="14">
        <v>8</v>
      </c>
      <c r="K79" s="14">
        <v>16</v>
      </c>
    </row>
    <row r="80" spans="4:11">
      <c r="D80" s="11">
        <v>46066</v>
      </c>
      <c r="E80" s="12">
        <v>1578603</v>
      </c>
      <c r="F80" s="12" t="s">
        <v>16</v>
      </c>
      <c r="G80" s="13">
        <v>20322751</v>
      </c>
      <c r="H80" s="12" t="s">
        <v>447</v>
      </c>
      <c r="I80" s="13">
        <v>1</v>
      </c>
      <c r="J80" s="14">
        <v>8</v>
      </c>
      <c r="K80" s="14">
        <v>8</v>
      </c>
    </row>
    <row r="81" spans="4:11">
      <c r="D81" s="11">
        <v>46066</v>
      </c>
      <c r="E81" s="12">
        <v>1578603</v>
      </c>
      <c r="F81" s="12" t="s">
        <v>16</v>
      </c>
      <c r="G81" s="13">
        <v>20322752</v>
      </c>
      <c r="H81" s="12" t="s">
        <v>440</v>
      </c>
      <c r="I81" s="13">
        <v>2</v>
      </c>
      <c r="J81" s="14">
        <v>13.5</v>
      </c>
      <c r="K81" s="14">
        <v>27</v>
      </c>
    </row>
    <row r="82" spans="4:11">
      <c r="D82" s="11">
        <v>46066</v>
      </c>
      <c r="E82" s="12">
        <v>1578603</v>
      </c>
      <c r="F82" s="12" t="s">
        <v>16</v>
      </c>
      <c r="G82" s="13">
        <v>20322463</v>
      </c>
      <c r="H82" s="12" t="s">
        <v>441</v>
      </c>
      <c r="I82" s="13">
        <v>3</v>
      </c>
      <c r="J82" s="14">
        <v>16.5</v>
      </c>
      <c r="K82" s="14">
        <v>49.5</v>
      </c>
    </row>
    <row r="83" spans="4:11">
      <c r="D83" s="11">
        <v>46066</v>
      </c>
      <c r="E83" s="12">
        <v>1578603</v>
      </c>
      <c r="F83" s="12" t="s">
        <v>20</v>
      </c>
      <c r="G83" s="13">
        <v>20321379</v>
      </c>
      <c r="H83" s="12" t="s">
        <v>442</v>
      </c>
      <c r="I83" s="13">
        <v>1</v>
      </c>
      <c r="J83" s="14">
        <v>16.5</v>
      </c>
      <c r="K83" s="14">
        <v>16.5</v>
      </c>
    </row>
    <row r="84" spans="4:11">
      <c r="D84" s="11">
        <v>46066</v>
      </c>
      <c r="E84" s="12">
        <v>1578603</v>
      </c>
      <c r="F84" s="12" t="s">
        <v>20</v>
      </c>
      <c r="G84" s="13">
        <v>20356826</v>
      </c>
      <c r="H84" s="12" t="s">
        <v>443</v>
      </c>
      <c r="I84" s="13">
        <v>1</v>
      </c>
      <c r="J84" s="14">
        <v>16.5</v>
      </c>
      <c r="K84" s="14">
        <v>16.5</v>
      </c>
    </row>
    <row r="85" spans="4:11">
      <c r="D85" s="11">
        <v>46066</v>
      </c>
      <c r="E85" s="12">
        <v>1578603</v>
      </c>
      <c r="F85" s="12" t="s">
        <v>20</v>
      </c>
      <c r="G85" s="13">
        <v>20318104</v>
      </c>
      <c r="H85" s="12" t="s">
        <v>451</v>
      </c>
      <c r="I85" s="13">
        <v>3</v>
      </c>
      <c r="J85" s="14">
        <v>16.5</v>
      </c>
      <c r="K85" s="14">
        <v>49.5</v>
      </c>
    </row>
    <row r="86" spans="4:11">
      <c r="D86" s="11">
        <v>46067</v>
      </c>
      <c r="E86" s="12">
        <v>1578889</v>
      </c>
      <c r="F86" s="12" t="s">
        <v>16</v>
      </c>
      <c r="G86" s="13">
        <v>20320875</v>
      </c>
      <c r="H86" s="12" t="s">
        <v>448</v>
      </c>
      <c r="I86" s="13">
        <v>1</v>
      </c>
      <c r="J86" s="14">
        <v>16.5</v>
      </c>
      <c r="K86" s="14">
        <v>16.5</v>
      </c>
    </row>
    <row r="87" spans="4:11">
      <c r="D87" s="11">
        <v>46067</v>
      </c>
      <c r="E87" s="12">
        <v>1578889</v>
      </c>
      <c r="F87" s="12" t="s">
        <v>16</v>
      </c>
      <c r="G87" s="13">
        <v>20320869</v>
      </c>
      <c r="H87" s="12" t="s">
        <v>431</v>
      </c>
      <c r="I87" s="13">
        <v>2</v>
      </c>
      <c r="J87" s="14">
        <v>11</v>
      </c>
      <c r="K87" s="14">
        <v>22</v>
      </c>
    </row>
    <row r="88" spans="4:11">
      <c r="D88" s="11">
        <v>46067</v>
      </c>
      <c r="E88" s="12">
        <v>1578889</v>
      </c>
      <c r="F88" s="12" t="s">
        <v>16</v>
      </c>
      <c r="G88" s="13">
        <v>20320874</v>
      </c>
      <c r="H88" s="12" t="s">
        <v>432</v>
      </c>
      <c r="I88" s="13">
        <v>1</v>
      </c>
      <c r="J88" s="14">
        <v>8</v>
      </c>
      <c r="K88" s="14">
        <v>8</v>
      </c>
    </row>
    <row r="89" spans="4:11">
      <c r="D89" s="11">
        <v>46067</v>
      </c>
      <c r="E89" s="12">
        <v>1578889</v>
      </c>
      <c r="F89" s="12" t="s">
        <v>16</v>
      </c>
      <c r="G89" s="13">
        <v>20320806</v>
      </c>
      <c r="H89" s="12" t="s">
        <v>436</v>
      </c>
      <c r="I89" s="13">
        <v>1</v>
      </c>
      <c r="J89" s="14">
        <v>8</v>
      </c>
      <c r="K89" s="14">
        <v>8</v>
      </c>
    </row>
    <row r="90" spans="4:11">
      <c r="D90" s="11">
        <v>46067</v>
      </c>
      <c r="E90" s="12">
        <v>1578889</v>
      </c>
      <c r="F90" s="12" t="s">
        <v>16</v>
      </c>
      <c r="G90" s="13">
        <v>20320817</v>
      </c>
      <c r="H90" s="12" t="s">
        <v>437</v>
      </c>
      <c r="I90" s="13">
        <v>3</v>
      </c>
      <c r="J90" s="14">
        <v>8</v>
      </c>
      <c r="K90" s="14">
        <v>24</v>
      </c>
    </row>
    <row r="91" spans="4:11">
      <c r="D91" s="11">
        <v>46067</v>
      </c>
      <c r="E91" s="12">
        <v>1578889</v>
      </c>
      <c r="F91" s="12" t="s">
        <v>16</v>
      </c>
      <c r="G91" s="13">
        <v>20320803</v>
      </c>
      <c r="H91" s="12" t="s">
        <v>426</v>
      </c>
      <c r="I91" s="13">
        <v>4</v>
      </c>
      <c r="J91" s="14">
        <v>8</v>
      </c>
      <c r="K91" s="14">
        <v>32</v>
      </c>
    </row>
    <row r="92" spans="4:11">
      <c r="D92" s="11">
        <v>46067</v>
      </c>
      <c r="E92" s="12">
        <v>1578889</v>
      </c>
      <c r="F92" s="12" t="s">
        <v>16</v>
      </c>
      <c r="G92" s="13">
        <v>20322464</v>
      </c>
      <c r="H92" s="12" t="s">
        <v>430</v>
      </c>
      <c r="I92" s="13">
        <v>1</v>
      </c>
      <c r="J92" s="14">
        <v>13.5</v>
      </c>
      <c r="K92" s="14">
        <v>13.5</v>
      </c>
    </row>
    <row r="93" spans="4:11">
      <c r="D93" s="11">
        <v>46067</v>
      </c>
      <c r="E93" s="12">
        <v>1578889</v>
      </c>
      <c r="F93" s="12" t="s">
        <v>16</v>
      </c>
      <c r="G93" s="13">
        <v>20322751</v>
      </c>
      <c r="H93" s="12" t="s">
        <v>447</v>
      </c>
      <c r="I93" s="13">
        <v>1</v>
      </c>
      <c r="J93" s="14">
        <v>8</v>
      </c>
      <c r="K93" s="14">
        <v>8</v>
      </c>
    </row>
    <row r="94" spans="4:11">
      <c r="D94" s="11">
        <v>46067</v>
      </c>
      <c r="E94" s="12">
        <v>1578889</v>
      </c>
      <c r="F94" s="12" t="s">
        <v>20</v>
      </c>
      <c r="G94" s="13">
        <v>20321379</v>
      </c>
      <c r="H94" s="12" t="s">
        <v>442</v>
      </c>
      <c r="I94" s="13">
        <v>2</v>
      </c>
      <c r="J94" s="14">
        <v>16.5</v>
      </c>
      <c r="K94" s="14">
        <v>33</v>
      </c>
    </row>
    <row r="95" spans="4:11">
      <c r="D95" s="11">
        <v>46067</v>
      </c>
      <c r="E95" s="12">
        <v>1578889</v>
      </c>
      <c r="F95" s="12" t="s">
        <v>20</v>
      </c>
      <c r="G95" s="13">
        <v>20318104</v>
      </c>
      <c r="H95" s="12" t="s">
        <v>451</v>
      </c>
      <c r="I95" s="13">
        <v>2</v>
      </c>
      <c r="J95" s="14">
        <v>16.5</v>
      </c>
      <c r="K95" s="14">
        <v>33</v>
      </c>
    </row>
    <row r="96" spans="4:11">
      <c r="D96" s="11">
        <v>46070</v>
      </c>
      <c r="E96" s="12">
        <v>1579130</v>
      </c>
      <c r="F96" s="12" t="s">
        <v>16</v>
      </c>
      <c r="G96" s="13">
        <v>20320874</v>
      </c>
      <c r="H96" s="12" t="s">
        <v>432</v>
      </c>
      <c r="I96" s="13">
        <v>1</v>
      </c>
      <c r="J96" s="14">
        <v>8</v>
      </c>
      <c r="K96" s="14">
        <v>8</v>
      </c>
    </row>
    <row r="97" spans="4:11">
      <c r="D97" s="11">
        <v>46070</v>
      </c>
      <c r="E97" s="12">
        <v>1579130</v>
      </c>
      <c r="F97" s="12" t="s">
        <v>16</v>
      </c>
      <c r="G97" s="13">
        <v>20320863</v>
      </c>
      <c r="H97" s="12" t="s">
        <v>434</v>
      </c>
      <c r="I97" s="13">
        <v>1</v>
      </c>
      <c r="J97" s="14">
        <v>8</v>
      </c>
      <c r="K97" s="14">
        <v>8</v>
      </c>
    </row>
    <row r="98" spans="4:11">
      <c r="D98" s="11">
        <v>46070</v>
      </c>
      <c r="E98" s="12">
        <v>1579130</v>
      </c>
      <c r="F98" s="12" t="s">
        <v>16</v>
      </c>
      <c r="G98" s="13">
        <v>20320803</v>
      </c>
      <c r="H98" s="12" t="s">
        <v>426</v>
      </c>
      <c r="I98" s="13">
        <v>5</v>
      </c>
      <c r="J98" s="14">
        <v>8</v>
      </c>
      <c r="K98" s="14">
        <v>40</v>
      </c>
    </row>
    <row r="99" spans="4:11">
      <c r="D99" s="11">
        <v>46070</v>
      </c>
      <c r="E99" s="12">
        <v>1579130</v>
      </c>
      <c r="F99" s="12" t="s">
        <v>16</v>
      </c>
      <c r="G99" s="13">
        <v>20320822</v>
      </c>
      <c r="H99" s="12" t="s">
        <v>427</v>
      </c>
      <c r="I99" s="13">
        <v>1</v>
      </c>
      <c r="J99" s="14">
        <v>8</v>
      </c>
      <c r="K99" s="14">
        <v>8</v>
      </c>
    </row>
    <row r="100" spans="4:11">
      <c r="D100" s="11">
        <v>46070</v>
      </c>
      <c r="E100" s="12">
        <v>1579130</v>
      </c>
      <c r="F100" s="12" t="s">
        <v>16</v>
      </c>
      <c r="G100" s="13">
        <v>20322465</v>
      </c>
      <c r="H100" s="12" t="s">
        <v>428</v>
      </c>
      <c r="I100" s="13">
        <v>1</v>
      </c>
      <c r="J100" s="14">
        <v>13.5</v>
      </c>
      <c r="K100" s="14">
        <v>13.5</v>
      </c>
    </row>
    <row r="101" spans="4:11">
      <c r="D101" s="11">
        <v>46070</v>
      </c>
      <c r="E101" s="12">
        <v>1579130</v>
      </c>
      <c r="F101" s="12" t="s">
        <v>16</v>
      </c>
      <c r="G101" s="13">
        <v>20322464</v>
      </c>
      <c r="H101" s="12" t="s">
        <v>430</v>
      </c>
      <c r="I101" s="13">
        <v>1</v>
      </c>
      <c r="J101" s="14">
        <v>13.5</v>
      </c>
      <c r="K101" s="14">
        <v>13.5</v>
      </c>
    </row>
    <row r="102" spans="4:11">
      <c r="D102" s="11">
        <v>46070</v>
      </c>
      <c r="E102" s="12">
        <v>1579130</v>
      </c>
      <c r="F102" s="12" t="s">
        <v>16</v>
      </c>
      <c r="G102" s="13">
        <v>20322748</v>
      </c>
      <c r="H102" s="12" t="s">
        <v>439</v>
      </c>
      <c r="I102" s="13">
        <v>3</v>
      </c>
      <c r="J102" s="14">
        <v>8</v>
      </c>
      <c r="K102" s="14">
        <v>24</v>
      </c>
    </row>
    <row r="103" spans="4:11">
      <c r="D103" s="11">
        <v>46070</v>
      </c>
      <c r="E103" s="12">
        <v>1579130</v>
      </c>
      <c r="F103" s="12" t="s">
        <v>20</v>
      </c>
      <c r="G103" s="13">
        <v>20334408</v>
      </c>
      <c r="H103" s="12" t="s">
        <v>452</v>
      </c>
      <c r="I103" s="13">
        <v>1</v>
      </c>
      <c r="J103" s="14">
        <v>16.5</v>
      </c>
      <c r="K103" s="14">
        <v>16.5</v>
      </c>
    </row>
    <row r="104" spans="4:11">
      <c r="D104" s="11">
        <v>46070</v>
      </c>
      <c r="E104" s="12">
        <v>1579130</v>
      </c>
      <c r="F104" s="12" t="s">
        <v>20</v>
      </c>
      <c r="G104" s="13">
        <v>20318104</v>
      </c>
      <c r="H104" s="12" t="s">
        <v>451</v>
      </c>
      <c r="I104" s="13">
        <v>1</v>
      </c>
      <c r="J104" s="14">
        <v>16.5</v>
      </c>
      <c r="K104" s="14">
        <v>16.5</v>
      </c>
    </row>
    <row r="105" spans="4:11">
      <c r="D105" s="11">
        <v>46073</v>
      </c>
      <c r="E105" s="12">
        <v>1579299</v>
      </c>
      <c r="F105" s="12" t="s">
        <v>16</v>
      </c>
      <c r="G105" s="13">
        <v>20371135</v>
      </c>
      <c r="H105" s="12" t="s">
        <v>433</v>
      </c>
      <c r="I105" s="13">
        <v>1</v>
      </c>
      <c r="J105" s="14">
        <v>27.5</v>
      </c>
      <c r="K105" s="14">
        <v>27.5</v>
      </c>
    </row>
    <row r="106" spans="4:11">
      <c r="D106" s="11">
        <v>46073</v>
      </c>
      <c r="E106" s="12">
        <v>1579299</v>
      </c>
      <c r="F106" s="12" t="s">
        <v>16</v>
      </c>
      <c r="G106" s="13">
        <v>20320863</v>
      </c>
      <c r="H106" s="12" t="s">
        <v>434</v>
      </c>
      <c r="I106" s="13">
        <v>1</v>
      </c>
      <c r="J106" s="14">
        <v>8</v>
      </c>
      <c r="K106" s="14">
        <v>8</v>
      </c>
    </row>
    <row r="107" spans="4:11">
      <c r="D107" s="11">
        <v>46073</v>
      </c>
      <c r="E107" s="12">
        <v>1579299</v>
      </c>
      <c r="F107" s="12" t="s">
        <v>16</v>
      </c>
      <c r="G107" s="13">
        <v>20320803</v>
      </c>
      <c r="H107" s="12" t="s">
        <v>426</v>
      </c>
      <c r="I107" s="13">
        <v>5</v>
      </c>
      <c r="J107" s="14">
        <v>8</v>
      </c>
      <c r="K107" s="14">
        <v>40</v>
      </c>
    </row>
    <row r="108" spans="4:11">
      <c r="D108" s="11">
        <v>46073</v>
      </c>
      <c r="E108" s="12">
        <v>1579299</v>
      </c>
      <c r="F108" s="12" t="s">
        <v>16</v>
      </c>
      <c r="G108" s="13">
        <v>20322748</v>
      </c>
      <c r="H108" s="12" t="s">
        <v>439</v>
      </c>
      <c r="I108" s="13">
        <v>1</v>
      </c>
      <c r="J108" s="14">
        <v>8</v>
      </c>
      <c r="K108" s="14">
        <v>8</v>
      </c>
    </row>
    <row r="109" spans="4:11">
      <c r="D109" s="11">
        <v>46073</v>
      </c>
      <c r="E109" s="12">
        <v>1579299</v>
      </c>
      <c r="F109" s="12" t="s">
        <v>16</v>
      </c>
      <c r="G109" s="13">
        <v>20322752</v>
      </c>
      <c r="H109" s="12" t="s">
        <v>440</v>
      </c>
      <c r="I109" s="13">
        <v>1</v>
      </c>
      <c r="J109" s="14">
        <v>13.5</v>
      </c>
      <c r="K109" s="14">
        <v>13.5</v>
      </c>
    </row>
    <row r="110" spans="4:11">
      <c r="D110" s="11">
        <v>46073</v>
      </c>
      <c r="E110" s="12">
        <v>1579299</v>
      </c>
      <c r="F110" s="12" t="s">
        <v>20</v>
      </c>
      <c r="G110" s="13">
        <v>20356826</v>
      </c>
      <c r="H110" s="12" t="s">
        <v>443</v>
      </c>
      <c r="I110" s="13">
        <v>1</v>
      </c>
      <c r="J110" s="14">
        <v>16.5</v>
      </c>
      <c r="K110" s="14">
        <v>16.5</v>
      </c>
    </row>
    <row r="111" spans="4:11">
      <c r="D111" s="11">
        <v>46073</v>
      </c>
      <c r="E111" s="12">
        <v>1579299</v>
      </c>
      <c r="F111" s="12" t="s">
        <v>20</v>
      </c>
      <c r="G111" s="13">
        <v>20318104</v>
      </c>
      <c r="H111" s="12" t="s">
        <v>451</v>
      </c>
      <c r="I111" s="13">
        <v>1</v>
      </c>
      <c r="J111" s="14">
        <v>16.5</v>
      </c>
      <c r="K111" s="14">
        <v>16.5</v>
      </c>
    </row>
    <row r="112" spans="4:11">
      <c r="D112" s="11">
        <v>46074</v>
      </c>
      <c r="E112" s="12">
        <v>1579362</v>
      </c>
      <c r="F112" s="12" t="s">
        <v>16</v>
      </c>
      <c r="G112" s="13">
        <v>20320875</v>
      </c>
      <c r="H112" s="12" t="s">
        <v>448</v>
      </c>
      <c r="I112" s="13">
        <v>1</v>
      </c>
      <c r="J112" s="14">
        <v>16.5</v>
      </c>
      <c r="K112" s="14">
        <v>16.5</v>
      </c>
    </row>
    <row r="113" spans="4:11">
      <c r="D113" s="11">
        <v>46074</v>
      </c>
      <c r="E113" s="12">
        <v>1579362</v>
      </c>
      <c r="F113" s="12" t="s">
        <v>16</v>
      </c>
      <c r="G113" s="13">
        <v>20320874</v>
      </c>
      <c r="H113" s="12" t="s">
        <v>432</v>
      </c>
      <c r="I113" s="13">
        <v>1</v>
      </c>
      <c r="J113" s="14">
        <v>8</v>
      </c>
      <c r="K113" s="14">
        <v>8</v>
      </c>
    </row>
    <row r="114" spans="4:11">
      <c r="D114" s="11">
        <v>46074</v>
      </c>
      <c r="E114" s="12">
        <v>1579362</v>
      </c>
      <c r="F114" s="12" t="s">
        <v>16</v>
      </c>
      <c r="G114" s="13">
        <v>20320863</v>
      </c>
      <c r="H114" s="12" t="s">
        <v>434</v>
      </c>
      <c r="I114" s="13">
        <v>2</v>
      </c>
      <c r="J114" s="14">
        <v>8</v>
      </c>
      <c r="K114" s="14">
        <v>16</v>
      </c>
    </row>
    <row r="115" spans="4:11">
      <c r="D115" s="11">
        <v>46074</v>
      </c>
      <c r="E115" s="12">
        <v>1579362</v>
      </c>
      <c r="F115" s="12" t="s">
        <v>16</v>
      </c>
      <c r="G115" s="13">
        <v>20320817</v>
      </c>
      <c r="H115" s="12" t="s">
        <v>437</v>
      </c>
      <c r="I115" s="13">
        <v>1</v>
      </c>
      <c r="J115" s="14">
        <v>8</v>
      </c>
      <c r="K115" s="14">
        <v>8</v>
      </c>
    </row>
    <row r="116" spans="4:11">
      <c r="D116" s="11">
        <v>46074</v>
      </c>
      <c r="E116" s="12">
        <v>1579362</v>
      </c>
      <c r="F116" s="12" t="s">
        <v>16</v>
      </c>
      <c r="G116" s="13">
        <v>20321808</v>
      </c>
      <c r="H116" s="12" t="s">
        <v>429</v>
      </c>
      <c r="I116" s="13">
        <v>1</v>
      </c>
      <c r="J116" s="14">
        <v>22</v>
      </c>
      <c r="K116" s="14">
        <v>22</v>
      </c>
    </row>
    <row r="117" spans="4:11">
      <c r="D117" s="11">
        <v>46074</v>
      </c>
      <c r="E117" s="12">
        <v>1579362</v>
      </c>
      <c r="F117" s="12" t="s">
        <v>16</v>
      </c>
      <c r="G117" s="13">
        <v>20322748</v>
      </c>
      <c r="H117" s="12" t="s">
        <v>439</v>
      </c>
      <c r="I117" s="13">
        <v>1</v>
      </c>
      <c r="J117" s="14">
        <v>8</v>
      </c>
      <c r="K117" s="14">
        <v>8</v>
      </c>
    </row>
    <row r="118" spans="4:11">
      <c r="D118" s="11">
        <v>46074</v>
      </c>
      <c r="E118" s="12">
        <v>1579362</v>
      </c>
      <c r="F118" s="12" t="s">
        <v>20</v>
      </c>
      <c r="G118" s="13">
        <v>20356826</v>
      </c>
      <c r="H118" s="12" t="s">
        <v>443</v>
      </c>
      <c r="I118" s="13">
        <v>1</v>
      </c>
      <c r="J118" s="14">
        <v>16.5</v>
      </c>
      <c r="K118" s="14">
        <v>16.5</v>
      </c>
    </row>
    <row r="119" spans="4:11">
      <c r="D119" s="11">
        <v>46074</v>
      </c>
      <c r="E119" s="12">
        <v>1579362</v>
      </c>
      <c r="F119" s="12" t="s">
        <v>20</v>
      </c>
      <c r="G119" s="13">
        <v>20318104</v>
      </c>
      <c r="H119" s="12" t="s">
        <v>451</v>
      </c>
      <c r="I119" s="13">
        <v>1</v>
      </c>
      <c r="J119" s="14">
        <v>16.5</v>
      </c>
      <c r="K119" s="14">
        <v>16.5</v>
      </c>
    </row>
    <row r="120" spans="4:11">
      <c r="D120" s="11">
        <v>46076</v>
      </c>
      <c r="E120" s="12">
        <v>1579526</v>
      </c>
      <c r="F120" s="12" t="s">
        <v>16</v>
      </c>
      <c r="G120" s="13">
        <v>20320869</v>
      </c>
      <c r="H120" s="12" t="s">
        <v>431</v>
      </c>
      <c r="I120" s="13">
        <v>3</v>
      </c>
      <c r="J120" s="14">
        <v>11</v>
      </c>
      <c r="K120" s="14">
        <v>33</v>
      </c>
    </row>
    <row r="121" spans="4:11">
      <c r="D121" s="11">
        <v>46076</v>
      </c>
      <c r="E121" s="12">
        <v>1579526</v>
      </c>
      <c r="F121" s="12" t="s">
        <v>16</v>
      </c>
      <c r="G121" s="13">
        <v>20320874</v>
      </c>
      <c r="H121" s="12" t="s">
        <v>432</v>
      </c>
      <c r="I121" s="13">
        <v>3</v>
      </c>
      <c r="J121" s="14">
        <v>8</v>
      </c>
      <c r="K121" s="14">
        <v>24</v>
      </c>
    </row>
    <row r="122" spans="4:11">
      <c r="D122" s="11">
        <v>46076</v>
      </c>
      <c r="E122" s="12">
        <v>1579526</v>
      </c>
      <c r="F122" s="12" t="s">
        <v>16</v>
      </c>
      <c r="G122" s="13">
        <v>20322466</v>
      </c>
      <c r="H122" s="12" t="s">
        <v>435</v>
      </c>
      <c r="I122" s="13">
        <v>1</v>
      </c>
      <c r="J122" s="14">
        <v>13.5</v>
      </c>
      <c r="K122" s="14">
        <v>13.5</v>
      </c>
    </row>
    <row r="123" spans="4:11">
      <c r="D123" s="11">
        <v>46076</v>
      </c>
      <c r="E123" s="12">
        <v>1579526</v>
      </c>
      <c r="F123" s="12" t="s">
        <v>16</v>
      </c>
      <c r="G123" s="13">
        <v>20320806</v>
      </c>
      <c r="H123" s="12" t="s">
        <v>436</v>
      </c>
      <c r="I123" s="13">
        <v>2</v>
      </c>
      <c r="J123" s="14">
        <v>8</v>
      </c>
      <c r="K123" s="14">
        <v>16</v>
      </c>
    </row>
    <row r="124" spans="4:11">
      <c r="D124" s="11">
        <v>46076</v>
      </c>
      <c r="E124" s="12">
        <v>1579526</v>
      </c>
      <c r="F124" s="12" t="s">
        <v>16</v>
      </c>
      <c r="G124" s="13">
        <v>20320803</v>
      </c>
      <c r="H124" s="12" t="s">
        <v>426</v>
      </c>
      <c r="I124" s="13">
        <v>10</v>
      </c>
      <c r="J124" s="14">
        <v>8</v>
      </c>
      <c r="K124" s="14">
        <v>80</v>
      </c>
    </row>
    <row r="125" spans="4:11">
      <c r="D125" s="11">
        <v>46076</v>
      </c>
      <c r="E125" s="12">
        <v>1579526</v>
      </c>
      <c r="F125" s="12" t="s">
        <v>16</v>
      </c>
      <c r="G125" s="13">
        <v>20320822</v>
      </c>
      <c r="H125" s="12" t="s">
        <v>427</v>
      </c>
      <c r="I125" s="13">
        <v>2</v>
      </c>
      <c r="J125" s="14">
        <v>8</v>
      </c>
      <c r="K125" s="14">
        <v>16</v>
      </c>
    </row>
    <row r="126" spans="4:11">
      <c r="D126" s="11">
        <v>46076</v>
      </c>
      <c r="E126" s="12">
        <v>1579526</v>
      </c>
      <c r="F126" s="12" t="s">
        <v>16</v>
      </c>
      <c r="G126" s="13">
        <v>20322465</v>
      </c>
      <c r="H126" s="12" t="s">
        <v>428</v>
      </c>
      <c r="I126" s="13">
        <v>1</v>
      </c>
      <c r="J126" s="14">
        <v>13.5</v>
      </c>
      <c r="K126" s="14">
        <v>13.5</v>
      </c>
    </row>
    <row r="127" spans="4:11">
      <c r="D127" s="11">
        <v>46076</v>
      </c>
      <c r="E127" s="12">
        <v>1579526</v>
      </c>
      <c r="F127" s="12" t="s">
        <v>16</v>
      </c>
      <c r="G127" s="13">
        <v>20322464</v>
      </c>
      <c r="H127" s="12" t="s">
        <v>430</v>
      </c>
      <c r="I127" s="13">
        <v>2</v>
      </c>
      <c r="J127" s="14">
        <v>13.5</v>
      </c>
      <c r="K127" s="14">
        <v>27</v>
      </c>
    </row>
    <row r="128" spans="4:11">
      <c r="D128" s="11">
        <v>46076</v>
      </c>
      <c r="E128" s="12">
        <v>1579526</v>
      </c>
      <c r="F128" s="12" t="s">
        <v>16</v>
      </c>
      <c r="G128" s="13">
        <v>20322751</v>
      </c>
      <c r="H128" s="12" t="s">
        <v>447</v>
      </c>
      <c r="I128" s="13">
        <v>1</v>
      </c>
      <c r="J128" s="14">
        <v>8</v>
      </c>
      <c r="K128" s="14">
        <v>8</v>
      </c>
    </row>
    <row r="129" spans="4:11">
      <c r="D129" s="11">
        <v>46076</v>
      </c>
      <c r="E129" s="12">
        <v>1579526</v>
      </c>
      <c r="F129" s="12" t="s">
        <v>16</v>
      </c>
      <c r="G129" s="13">
        <v>20322752</v>
      </c>
      <c r="H129" s="12" t="s">
        <v>440</v>
      </c>
      <c r="I129" s="13">
        <v>1</v>
      </c>
      <c r="J129" s="14">
        <v>13.5</v>
      </c>
      <c r="K129" s="14">
        <v>13.5</v>
      </c>
    </row>
    <row r="130" spans="4:11">
      <c r="D130" s="11">
        <v>46076</v>
      </c>
      <c r="E130" s="12">
        <v>1579526</v>
      </c>
      <c r="F130" s="12" t="s">
        <v>16</v>
      </c>
      <c r="G130" s="13">
        <v>20322463</v>
      </c>
      <c r="H130" s="12" t="s">
        <v>441</v>
      </c>
      <c r="I130" s="13">
        <v>1</v>
      </c>
      <c r="J130" s="14">
        <v>16.5</v>
      </c>
      <c r="K130" s="14">
        <v>16.5</v>
      </c>
    </row>
    <row r="131" spans="4:11">
      <c r="D131" s="11">
        <v>46076</v>
      </c>
      <c r="E131" s="12">
        <v>1579526</v>
      </c>
      <c r="F131" s="12" t="s">
        <v>20</v>
      </c>
      <c r="G131" s="13">
        <v>20318104</v>
      </c>
      <c r="H131" s="12" t="s">
        <v>451</v>
      </c>
      <c r="I131" s="13">
        <v>1</v>
      </c>
      <c r="J131" s="14">
        <v>16.5</v>
      </c>
      <c r="K131" s="14">
        <v>16.5</v>
      </c>
    </row>
    <row r="132" spans="4:11">
      <c r="D132" s="11">
        <v>46078</v>
      </c>
      <c r="E132" s="12">
        <v>1579966</v>
      </c>
      <c r="F132" s="12" t="s">
        <v>16</v>
      </c>
      <c r="G132" s="13">
        <v>20320866</v>
      </c>
      <c r="H132" s="12" t="s">
        <v>445</v>
      </c>
      <c r="I132" s="13">
        <v>5</v>
      </c>
      <c r="J132" s="14">
        <v>16.5</v>
      </c>
      <c r="K132" s="14">
        <v>82.5</v>
      </c>
    </row>
    <row r="133" spans="4:11">
      <c r="D133" s="11">
        <v>46078</v>
      </c>
      <c r="E133" s="12">
        <v>1579966</v>
      </c>
      <c r="F133" s="12" t="s">
        <v>16</v>
      </c>
      <c r="G133" s="13">
        <v>20320874</v>
      </c>
      <c r="H133" s="12" t="s">
        <v>432</v>
      </c>
      <c r="I133" s="13">
        <v>6</v>
      </c>
      <c r="J133" s="14">
        <v>8</v>
      </c>
      <c r="K133" s="14">
        <v>48</v>
      </c>
    </row>
    <row r="134" spans="4:11">
      <c r="D134" s="11">
        <v>46078</v>
      </c>
      <c r="E134" s="12">
        <v>1579966</v>
      </c>
      <c r="F134" s="12" t="s">
        <v>16</v>
      </c>
      <c r="G134" s="13">
        <v>20320863</v>
      </c>
      <c r="H134" s="12" t="s">
        <v>434</v>
      </c>
      <c r="I134" s="13">
        <v>1</v>
      </c>
      <c r="J134" s="14">
        <v>8</v>
      </c>
      <c r="K134" s="14">
        <v>8</v>
      </c>
    </row>
    <row r="135" spans="4:11">
      <c r="D135" s="11">
        <v>46078</v>
      </c>
      <c r="E135" s="12">
        <v>1579966</v>
      </c>
      <c r="F135" s="12" t="s">
        <v>16</v>
      </c>
      <c r="G135" s="13">
        <v>20322466</v>
      </c>
      <c r="H135" s="12" t="s">
        <v>435</v>
      </c>
      <c r="I135" s="13">
        <v>1</v>
      </c>
      <c r="J135" s="14">
        <v>13.5</v>
      </c>
      <c r="K135" s="14">
        <v>13.5</v>
      </c>
    </row>
    <row r="136" spans="4:11">
      <c r="D136" s="11">
        <v>46078</v>
      </c>
      <c r="E136" s="12">
        <v>1579966</v>
      </c>
      <c r="F136" s="12" t="s">
        <v>16</v>
      </c>
      <c r="G136" s="13">
        <v>20363641</v>
      </c>
      <c r="H136" s="12" t="s">
        <v>446</v>
      </c>
      <c r="I136" s="13">
        <v>1</v>
      </c>
      <c r="J136" s="14">
        <v>13.5</v>
      </c>
      <c r="K136" s="14">
        <v>13.5</v>
      </c>
    </row>
    <row r="137" spans="4:11">
      <c r="D137" s="11">
        <v>46078</v>
      </c>
      <c r="E137" s="12">
        <v>1579966</v>
      </c>
      <c r="F137" s="12" t="s">
        <v>16</v>
      </c>
      <c r="G137" s="13">
        <v>20320806</v>
      </c>
      <c r="H137" s="12" t="s">
        <v>436</v>
      </c>
      <c r="I137" s="13">
        <v>1</v>
      </c>
      <c r="J137" s="14">
        <v>8</v>
      </c>
      <c r="K137" s="14">
        <v>8</v>
      </c>
    </row>
    <row r="138" spans="4:11">
      <c r="D138" s="11">
        <v>46078</v>
      </c>
      <c r="E138" s="12">
        <v>1579966</v>
      </c>
      <c r="F138" s="12" t="s">
        <v>16</v>
      </c>
      <c r="G138" s="13">
        <v>20320817</v>
      </c>
      <c r="H138" s="12" t="s">
        <v>437</v>
      </c>
      <c r="I138" s="13">
        <v>1</v>
      </c>
      <c r="J138" s="14">
        <v>8</v>
      </c>
      <c r="K138" s="14">
        <v>8</v>
      </c>
    </row>
    <row r="139" spans="4:11">
      <c r="D139" s="11">
        <v>46078</v>
      </c>
      <c r="E139" s="12">
        <v>1579966</v>
      </c>
      <c r="F139" s="12" t="s">
        <v>16</v>
      </c>
      <c r="G139" s="13">
        <v>20320803</v>
      </c>
      <c r="H139" s="12" t="s">
        <v>426</v>
      </c>
      <c r="I139" s="13">
        <v>12</v>
      </c>
      <c r="J139" s="14">
        <v>8</v>
      </c>
      <c r="K139" s="14">
        <v>96</v>
      </c>
    </row>
    <row r="140" spans="4:11">
      <c r="D140" s="11">
        <v>46078</v>
      </c>
      <c r="E140" s="12">
        <v>1579966</v>
      </c>
      <c r="F140" s="12" t="s">
        <v>16</v>
      </c>
      <c r="G140" s="13">
        <v>20320822</v>
      </c>
      <c r="H140" s="12" t="s">
        <v>427</v>
      </c>
      <c r="I140" s="13">
        <v>1</v>
      </c>
      <c r="J140" s="14">
        <v>8</v>
      </c>
      <c r="K140" s="14">
        <v>8</v>
      </c>
    </row>
    <row r="141" spans="4:11">
      <c r="D141" s="11">
        <v>46078</v>
      </c>
      <c r="E141" s="12">
        <v>1579966</v>
      </c>
      <c r="F141" s="12" t="s">
        <v>16</v>
      </c>
      <c r="G141" s="13">
        <v>20321808</v>
      </c>
      <c r="H141" s="12" t="s">
        <v>429</v>
      </c>
      <c r="I141" s="13">
        <v>2</v>
      </c>
      <c r="J141" s="14">
        <v>22</v>
      </c>
      <c r="K141" s="14">
        <v>44</v>
      </c>
    </row>
    <row r="142" spans="4:11">
      <c r="D142" s="11">
        <v>46078</v>
      </c>
      <c r="E142" s="12">
        <v>1579966</v>
      </c>
      <c r="F142" s="12" t="s">
        <v>16</v>
      </c>
      <c r="G142" s="13">
        <v>20404592</v>
      </c>
      <c r="H142" s="12" t="s">
        <v>450</v>
      </c>
      <c r="I142" s="13">
        <v>1</v>
      </c>
      <c r="J142" s="14">
        <v>16.5</v>
      </c>
      <c r="K142" s="14">
        <v>16.5</v>
      </c>
    </row>
    <row r="143" spans="4:11">
      <c r="D143" s="11">
        <v>46078</v>
      </c>
      <c r="E143" s="12">
        <v>1579966</v>
      </c>
      <c r="F143" s="12" t="s">
        <v>16</v>
      </c>
      <c r="G143" s="13">
        <v>20320816</v>
      </c>
      <c r="H143" s="12" t="s">
        <v>438</v>
      </c>
      <c r="I143" s="13">
        <v>1</v>
      </c>
      <c r="J143" s="14">
        <v>8</v>
      </c>
      <c r="K143" s="14">
        <v>8</v>
      </c>
    </row>
    <row r="144" spans="4:11">
      <c r="D144" s="11">
        <v>46078</v>
      </c>
      <c r="E144" s="12">
        <v>1579966</v>
      </c>
      <c r="F144" s="12" t="s">
        <v>16</v>
      </c>
      <c r="G144" s="13">
        <v>20322748</v>
      </c>
      <c r="H144" s="12" t="s">
        <v>439</v>
      </c>
      <c r="I144" s="13">
        <v>1</v>
      </c>
      <c r="J144" s="14">
        <v>8</v>
      </c>
      <c r="K144" s="14">
        <v>8</v>
      </c>
    </row>
    <row r="145" spans="4:11">
      <c r="D145" s="11">
        <v>46078</v>
      </c>
      <c r="E145" s="12">
        <v>1579966</v>
      </c>
      <c r="F145" s="12" t="s">
        <v>16</v>
      </c>
      <c r="G145" s="13">
        <v>20322752</v>
      </c>
      <c r="H145" s="12" t="s">
        <v>440</v>
      </c>
      <c r="I145" s="13">
        <v>1</v>
      </c>
      <c r="J145" s="14">
        <v>13.5</v>
      </c>
      <c r="K145" s="14">
        <v>13.5</v>
      </c>
    </row>
    <row r="146" spans="4:11">
      <c r="D146" s="11">
        <v>46078</v>
      </c>
      <c r="E146" s="12">
        <v>1579966</v>
      </c>
      <c r="F146" s="12" t="s">
        <v>16</v>
      </c>
      <c r="G146" s="13">
        <v>20322463</v>
      </c>
      <c r="H146" s="12" t="s">
        <v>441</v>
      </c>
      <c r="I146" s="13">
        <v>1</v>
      </c>
      <c r="J146" s="14">
        <v>16.5</v>
      </c>
      <c r="K146" s="14">
        <v>16.5</v>
      </c>
    </row>
    <row r="147" spans="4:11">
      <c r="D147" s="11">
        <v>46078</v>
      </c>
      <c r="E147" s="12">
        <v>1579966</v>
      </c>
      <c r="F147" s="12" t="s">
        <v>20</v>
      </c>
      <c r="G147" s="13">
        <v>20321379</v>
      </c>
      <c r="H147" s="12" t="s">
        <v>442</v>
      </c>
      <c r="I147" s="13">
        <v>1</v>
      </c>
      <c r="J147" s="14">
        <v>16.5</v>
      </c>
      <c r="K147" s="14">
        <v>16.5</v>
      </c>
    </row>
    <row r="148" spans="4:11">
      <c r="D148" s="11">
        <v>46078</v>
      </c>
      <c r="E148" s="12">
        <v>1579966</v>
      </c>
      <c r="F148" s="12" t="s">
        <v>20</v>
      </c>
      <c r="G148" s="13">
        <v>20356826</v>
      </c>
      <c r="H148" s="12" t="s">
        <v>443</v>
      </c>
      <c r="I148" s="13">
        <v>1</v>
      </c>
      <c r="J148" s="14">
        <v>16.5</v>
      </c>
      <c r="K148" s="14">
        <v>16.5</v>
      </c>
    </row>
    <row r="149" spans="4:11">
      <c r="D149" s="11">
        <v>46078</v>
      </c>
      <c r="E149" s="12">
        <v>1579966</v>
      </c>
      <c r="F149" s="12" t="s">
        <v>20</v>
      </c>
      <c r="G149" s="13">
        <v>20388046</v>
      </c>
      <c r="H149" s="12" t="s">
        <v>449</v>
      </c>
      <c r="I149" s="13">
        <v>3</v>
      </c>
      <c r="J149" s="14">
        <v>22</v>
      </c>
      <c r="K149" s="14">
        <v>66</v>
      </c>
    </row>
    <row r="150" spans="4:11">
      <c r="D150" s="11">
        <v>46079</v>
      </c>
      <c r="E150" s="12">
        <v>1580285</v>
      </c>
      <c r="F150" s="12" t="s">
        <v>16</v>
      </c>
      <c r="G150" s="13">
        <v>20320869</v>
      </c>
      <c r="H150" s="12" t="s">
        <v>431</v>
      </c>
      <c r="I150" s="13">
        <v>2</v>
      </c>
      <c r="J150" s="14">
        <v>11</v>
      </c>
      <c r="K150" s="14">
        <v>22</v>
      </c>
    </row>
    <row r="151" spans="4:11">
      <c r="D151" s="11">
        <v>46079</v>
      </c>
      <c r="E151" s="12">
        <v>1580285</v>
      </c>
      <c r="F151" s="12" t="s">
        <v>16</v>
      </c>
      <c r="G151" s="13">
        <v>20320866</v>
      </c>
      <c r="H151" s="12" t="s">
        <v>445</v>
      </c>
      <c r="I151" s="13">
        <v>2</v>
      </c>
      <c r="J151" s="14">
        <v>16.5</v>
      </c>
      <c r="K151" s="14">
        <v>33</v>
      </c>
    </row>
    <row r="152" spans="4:11">
      <c r="D152" s="11">
        <v>46079</v>
      </c>
      <c r="E152" s="12">
        <v>1580285</v>
      </c>
      <c r="F152" s="12" t="s">
        <v>16</v>
      </c>
      <c r="G152" s="13">
        <v>20320874</v>
      </c>
      <c r="H152" s="12" t="s">
        <v>432</v>
      </c>
      <c r="I152" s="13">
        <v>3</v>
      </c>
      <c r="J152" s="14">
        <v>8</v>
      </c>
      <c r="K152" s="14">
        <v>24</v>
      </c>
    </row>
    <row r="153" spans="4:11">
      <c r="D153" s="11">
        <v>46079</v>
      </c>
      <c r="E153" s="12">
        <v>1580285</v>
      </c>
      <c r="F153" s="12" t="s">
        <v>16</v>
      </c>
      <c r="G153" s="13">
        <v>20371135</v>
      </c>
      <c r="H153" s="12" t="s">
        <v>433</v>
      </c>
      <c r="I153" s="13">
        <v>1</v>
      </c>
      <c r="J153" s="14">
        <v>27.5</v>
      </c>
      <c r="K153" s="14">
        <v>27.5</v>
      </c>
    </row>
    <row r="154" spans="4:11">
      <c r="D154" s="11">
        <v>46079</v>
      </c>
      <c r="E154" s="12">
        <v>1580285</v>
      </c>
      <c r="F154" s="12" t="s">
        <v>16</v>
      </c>
      <c r="G154" s="13">
        <v>20320863</v>
      </c>
      <c r="H154" s="12" t="s">
        <v>434</v>
      </c>
      <c r="I154" s="13">
        <v>1</v>
      </c>
      <c r="J154" s="14">
        <v>8</v>
      </c>
      <c r="K154" s="14">
        <v>8</v>
      </c>
    </row>
    <row r="155" spans="4:11">
      <c r="D155" s="11">
        <v>46079</v>
      </c>
      <c r="E155" s="12">
        <v>1580285</v>
      </c>
      <c r="F155" s="12" t="s">
        <v>16</v>
      </c>
      <c r="G155" s="13">
        <v>20322466</v>
      </c>
      <c r="H155" s="12" t="s">
        <v>435</v>
      </c>
      <c r="I155" s="13">
        <v>1</v>
      </c>
      <c r="J155" s="14">
        <v>13.5</v>
      </c>
      <c r="K155" s="14">
        <v>13.5</v>
      </c>
    </row>
    <row r="156" spans="4:11">
      <c r="D156" s="11">
        <v>46079</v>
      </c>
      <c r="E156" s="12">
        <v>1580285</v>
      </c>
      <c r="F156" s="12" t="s">
        <v>16</v>
      </c>
      <c r="G156" s="13">
        <v>20320806</v>
      </c>
      <c r="H156" s="12" t="s">
        <v>436</v>
      </c>
      <c r="I156" s="13">
        <v>2</v>
      </c>
      <c r="J156" s="14">
        <v>8</v>
      </c>
      <c r="K156" s="14">
        <v>16</v>
      </c>
    </row>
    <row r="157" spans="4:11">
      <c r="D157" s="11">
        <v>46079</v>
      </c>
      <c r="E157" s="12">
        <v>1580285</v>
      </c>
      <c r="F157" s="12" t="s">
        <v>16</v>
      </c>
      <c r="G157" s="13">
        <v>20320817</v>
      </c>
      <c r="H157" s="12" t="s">
        <v>437</v>
      </c>
      <c r="I157" s="13">
        <v>2</v>
      </c>
      <c r="J157" s="14">
        <v>8</v>
      </c>
      <c r="K157" s="14">
        <v>16</v>
      </c>
    </row>
    <row r="158" spans="4:11">
      <c r="D158" s="11">
        <v>46079</v>
      </c>
      <c r="E158" s="12">
        <v>1580285</v>
      </c>
      <c r="F158" s="12" t="s">
        <v>16</v>
      </c>
      <c r="G158" s="13">
        <v>20320803</v>
      </c>
      <c r="H158" s="12" t="s">
        <v>426</v>
      </c>
      <c r="I158" s="13">
        <v>10</v>
      </c>
      <c r="J158" s="14">
        <v>8</v>
      </c>
      <c r="K158" s="14">
        <v>80</v>
      </c>
    </row>
    <row r="159" spans="4:11">
      <c r="D159" s="11">
        <v>46079</v>
      </c>
      <c r="E159" s="12">
        <v>1580285</v>
      </c>
      <c r="F159" s="12" t="s">
        <v>16</v>
      </c>
      <c r="G159" s="13">
        <v>20320822</v>
      </c>
      <c r="H159" s="12" t="s">
        <v>427</v>
      </c>
      <c r="I159" s="13">
        <v>1</v>
      </c>
      <c r="J159" s="14">
        <v>8</v>
      </c>
      <c r="K159" s="14">
        <v>8</v>
      </c>
    </row>
    <row r="160" spans="4:11">
      <c r="D160" s="11">
        <v>46079</v>
      </c>
      <c r="E160" s="12">
        <v>1580285</v>
      </c>
      <c r="F160" s="12" t="s">
        <v>16</v>
      </c>
      <c r="G160" s="13">
        <v>20321808</v>
      </c>
      <c r="H160" s="12" t="s">
        <v>429</v>
      </c>
      <c r="I160" s="13">
        <v>2</v>
      </c>
      <c r="J160" s="14">
        <v>22</v>
      </c>
      <c r="K160" s="14">
        <v>44</v>
      </c>
    </row>
    <row r="161" spans="4:11">
      <c r="D161" s="11">
        <v>46079</v>
      </c>
      <c r="E161" s="12">
        <v>1580285</v>
      </c>
      <c r="F161" s="12" t="s">
        <v>16</v>
      </c>
      <c r="G161" s="13">
        <v>20322748</v>
      </c>
      <c r="H161" s="12" t="s">
        <v>439</v>
      </c>
      <c r="I161" s="13">
        <v>1</v>
      </c>
      <c r="J161" s="14">
        <v>8</v>
      </c>
      <c r="K161" s="14">
        <v>8</v>
      </c>
    </row>
    <row r="162" spans="4:11">
      <c r="D162" s="11">
        <v>46079</v>
      </c>
      <c r="E162" s="12">
        <v>1580285</v>
      </c>
      <c r="F162" s="12" t="s">
        <v>16</v>
      </c>
      <c r="G162" s="13">
        <v>20322751</v>
      </c>
      <c r="H162" s="12" t="s">
        <v>447</v>
      </c>
      <c r="I162" s="13">
        <v>1</v>
      </c>
      <c r="J162" s="14">
        <v>8</v>
      </c>
      <c r="K162" s="14">
        <v>8</v>
      </c>
    </row>
    <row r="163" spans="4:11">
      <c r="D163" s="11">
        <v>46079</v>
      </c>
      <c r="E163" s="12">
        <v>1580285</v>
      </c>
      <c r="F163" s="12" t="s">
        <v>16</v>
      </c>
      <c r="G163" s="13">
        <v>20322752</v>
      </c>
      <c r="H163" s="12" t="s">
        <v>440</v>
      </c>
      <c r="I163" s="13">
        <v>1</v>
      </c>
      <c r="J163" s="14">
        <v>13.5</v>
      </c>
      <c r="K163" s="14">
        <v>13.5</v>
      </c>
    </row>
    <row r="164" spans="4:11">
      <c r="D164" s="11">
        <v>46079</v>
      </c>
      <c r="E164" s="12">
        <v>1580285</v>
      </c>
      <c r="F164" s="12" t="s">
        <v>20</v>
      </c>
      <c r="G164" s="13">
        <v>20321379</v>
      </c>
      <c r="H164" s="12" t="s">
        <v>442</v>
      </c>
      <c r="I164" s="13">
        <v>2</v>
      </c>
      <c r="J164" s="14">
        <v>16.5</v>
      </c>
      <c r="K164" s="14">
        <v>33</v>
      </c>
    </row>
    <row r="165" spans="4:11">
      <c r="D165" s="11">
        <v>46079</v>
      </c>
      <c r="E165" s="12">
        <v>1580285</v>
      </c>
      <c r="F165" s="12" t="s">
        <v>20</v>
      </c>
      <c r="G165" s="13">
        <v>20388046</v>
      </c>
      <c r="H165" s="12" t="s">
        <v>449</v>
      </c>
      <c r="I165" s="13">
        <v>1</v>
      </c>
      <c r="J165" s="14">
        <v>22</v>
      </c>
      <c r="K165" s="14">
        <v>22</v>
      </c>
    </row>
    <row r="166" spans="4:11">
      <c r="D166" s="11">
        <v>46080</v>
      </c>
      <c r="E166" s="12">
        <v>1580648</v>
      </c>
      <c r="F166" s="12" t="s">
        <v>16</v>
      </c>
      <c r="G166" s="13">
        <v>20320869</v>
      </c>
      <c r="H166" s="12" t="s">
        <v>431</v>
      </c>
      <c r="I166" s="13">
        <v>3</v>
      </c>
      <c r="J166" s="14">
        <v>11</v>
      </c>
      <c r="K166" s="14">
        <v>33</v>
      </c>
    </row>
    <row r="167" spans="4:11">
      <c r="D167" s="11">
        <v>46080</v>
      </c>
      <c r="E167" s="12">
        <v>1580648</v>
      </c>
      <c r="F167" s="12" t="s">
        <v>16</v>
      </c>
      <c r="G167" s="13">
        <v>20320866</v>
      </c>
      <c r="H167" s="12" t="s">
        <v>445</v>
      </c>
      <c r="I167" s="13">
        <v>4</v>
      </c>
      <c r="J167" s="14">
        <v>16.5</v>
      </c>
      <c r="K167" s="14">
        <v>66</v>
      </c>
    </row>
    <row r="168" spans="4:11">
      <c r="D168" s="11">
        <v>46080</v>
      </c>
      <c r="E168" s="12">
        <v>1580648</v>
      </c>
      <c r="F168" s="12" t="s">
        <v>16</v>
      </c>
      <c r="G168" s="13">
        <v>20320874</v>
      </c>
      <c r="H168" s="12" t="s">
        <v>432</v>
      </c>
      <c r="I168" s="13">
        <v>3</v>
      </c>
      <c r="J168" s="14">
        <v>8</v>
      </c>
      <c r="K168" s="14">
        <v>24</v>
      </c>
    </row>
    <row r="169" spans="4:11">
      <c r="D169" s="11">
        <v>46080</v>
      </c>
      <c r="E169" s="12">
        <v>1580648</v>
      </c>
      <c r="F169" s="12" t="s">
        <v>16</v>
      </c>
      <c r="G169" s="13">
        <v>20322466</v>
      </c>
      <c r="H169" s="12" t="s">
        <v>435</v>
      </c>
      <c r="I169" s="13">
        <v>1</v>
      </c>
      <c r="J169" s="14">
        <v>13.5</v>
      </c>
      <c r="K169" s="14">
        <v>13.5</v>
      </c>
    </row>
    <row r="170" spans="4:11">
      <c r="D170" s="11">
        <v>46080</v>
      </c>
      <c r="E170" s="12">
        <v>1580648</v>
      </c>
      <c r="F170" s="12" t="s">
        <v>16</v>
      </c>
      <c r="G170" s="13">
        <v>20363641</v>
      </c>
      <c r="H170" s="12" t="s">
        <v>446</v>
      </c>
      <c r="I170" s="13">
        <v>1</v>
      </c>
      <c r="J170" s="14">
        <v>13.5</v>
      </c>
      <c r="K170" s="14">
        <v>13.5</v>
      </c>
    </row>
    <row r="171" spans="4:11">
      <c r="D171" s="11">
        <v>46080</v>
      </c>
      <c r="E171" s="12">
        <v>1580648</v>
      </c>
      <c r="F171" s="12" t="s">
        <v>16</v>
      </c>
      <c r="G171" s="13">
        <v>20320806</v>
      </c>
      <c r="H171" s="12" t="s">
        <v>436</v>
      </c>
      <c r="I171" s="13">
        <v>3</v>
      </c>
      <c r="J171" s="14">
        <v>8</v>
      </c>
      <c r="K171" s="14">
        <v>24</v>
      </c>
    </row>
    <row r="172" spans="4:11">
      <c r="D172" s="11">
        <v>46080</v>
      </c>
      <c r="E172" s="12">
        <v>1580648</v>
      </c>
      <c r="F172" s="12" t="s">
        <v>16</v>
      </c>
      <c r="G172" s="13">
        <v>20320817</v>
      </c>
      <c r="H172" s="12" t="s">
        <v>437</v>
      </c>
      <c r="I172" s="13">
        <v>1</v>
      </c>
      <c r="J172" s="14">
        <v>8</v>
      </c>
      <c r="K172" s="14">
        <v>8</v>
      </c>
    </row>
    <row r="173" spans="4:11">
      <c r="D173" s="11">
        <v>46080</v>
      </c>
      <c r="E173" s="12">
        <v>1580648</v>
      </c>
      <c r="F173" s="12" t="s">
        <v>16</v>
      </c>
      <c r="G173" s="13">
        <v>20320803</v>
      </c>
      <c r="H173" s="12" t="s">
        <v>426</v>
      </c>
      <c r="I173" s="13">
        <v>11</v>
      </c>
      <c r="J173" s="14">
        <v>8</v>
      </c>
      <c r="K173" s="14">
        <v>88</v>
      </c>
    </row>
    <row r="174" spans="4:11">
      <c r="D174" s="11">
        <v>46080</v>
      </c>
      <c r="E174" s="12">
        <v>1580648</v>
      </c>
      <c r="F174" s="12" t="s">
        <v>16</v>
      </c>
      <c r="G174" s="13">
        <v>20320822</v>
      </c>
      <c r="H174" s="12" t="s">
        <v>427</v>
      </c>
      <c r="I174" s="13">
        <v>2</v>
      </c>
      <c r="J174" s="14">
        <v>8</v>
      </c>
      <c r="K174" s="14">
        <v>16</v>
      </c>
    </row>
    <row r="175" spans="4:11">
      <c r="D175" s="11">
        <v>46080</v>
      </c>
      <c r="E175" s="12">
        <v>1580648</v>
      </c>
      <c r="F175" s="12" t="s">
        <v>16</v>
      </c>
      <c r="G175" s="13">
        <v>20322465</v>
      </c>
      <c r="H175" s="12" t="s">
        <v>428</v>
      </c>
      <c r="I175" s="13">
        <v>1</v>
      </c>
      <c r="J175" s="14">
        <v>13.5</v>
      </c>
      <c r="K175" s="14">
        <v>13.5</v>
      </c>
    </row>
    <row r="176" spans="4:11">
      <c r="D176" s="11">
        <v>46080</v>
      </c>
      <c r="E176" s="12">
        <v>1580648</v>
      </c>
      <c r="F176" s="12" t="s">
        <v>16</v>
      </c>
      <c r="G176" s="13">
        <v>20321808</v>
      </c>
      <c r="H176" s="12" t="s">
        <v>429</v>
      </c>
      <c r="I176" s="13">
        <v>2</v>
      </c>
      <c r="J176" s="14">
        <v>22</v>
      </c>
      <c r="K176" s="14">
        <v>44</v>
      </c>
    </row>
    <row r="177" spans="4:11">
      <c r="D177" s="11">
        <v>46080</v>
      </c>
      <c r="E177" s="12">
        <v>1580648</v>
      </c>
      <c r="F177" s="12" t="s">
        <v>16</v>
      </c>
      <c r="G177" s="13">
        <v>20322464</v>
      </c>
      <c r="H177" s="12" t="s">
        <v>430</v>
      </c>
      <c r="I177" s="13">
        <v>2</v>
      </c>
      <c r="J177" s="14">
        <v>13.5</v>
      </c>
      <c r="K177" s="14">
        <v>27</v>
      </c>
    </row>
    <row r="178" spans="4:11">
      <c r="D178" s="11">
        <v>46080</v>
      </c>
      <c r="E178" s="12">
        <v>1580648</v>
      </c>
      <c r="F178" s="12" t="s">
        <v>16</v>
      </c>
      <c r="G178" s="13">
        <v>20320816</v>
      </c>
      <c r="H178" s="12" t="s">
        <v>438</v>
      </c>
      <c r="I178" s="13">
        <v>2</v>
      </c>
      <c r="J178" s="14">
        <v>8</v>
      </c>
      <c r="K178" s="14">
        <v>16</v>
      </c>
    </row>
    <row r="179" spans="4:11">
      <c r="D179" s="11">
        <v>46080</v>
      </c>
      <c r="E179" s="12">
        <v>1580648</v>
      </c>
      <c r="F179" s="12" t="s">
        <v>16</v>
      </c>
      <c r="G179" s="13">
        <v>20322748</v>
      </c>
      <c r="H179" s="12" t="s">
        <v>439</v>
      </c>
      <c r="I179" s="13">
        <v>2</v>
      </c>
      <c r="J179" s="14">
        <v>8</v>
      </c>
      <c r="K179" s="14">
        <v>16</v>
      </c>
    </row>
    <row r="180" spans="4:11">
      <c r="D180" s="11">
        <v>46080</v>
      </c>
      <c r="E180" s="12">
        <v>1580648</v>
      </c>
      <c r="F180" s="12" t="s">
        <v>16</v>
      </c>
      <c r="G180" s="13">
        <v>20322751</v>
      </c>
      <c r="H180" s="12" t="s">
        <v>447</v>
      </c>
      <c r="I180" s="13">
        <v>1</v>
      </c>
      <c r="J180" s="14">
        <v>8</v>
      </c>
      <c r="K180" s="14">
        <v>8</v>
      </c>
    </row>
    <row r="181" spans="4:11">
      <c r="D181" s="11">
        <v>46080</v>
      </c>
      <c r="E181" s="12">
        <v>1580648</v>
      </c>
      <c r="F181" s="12" t="s">
        <v>16</v>
      </c>
      <c r="G181" s="13">
        <v>20322752</v>
      </c>
      <c r="H181" s="12" t="s">
        <v>440</v>
      </c>
      <c r="I181" s="13">
        <v>2</v>
      </c>
      <c r="J181" s="14">
        <v>13.5</v>
      </c>
      <c r="K181" s="14">
        <v>27</v>
      </c>
    </row>
    <row r="182" spans="4:11">
      <c r="D182" s="11">
        <v>46080</v>
      </c>
      <c r="E182" s="12">
        <v>1580648</v>
      </c>
      <c r="F182" s="12" t="s">
        <v>16</v>
      </c>
      <c r="G182" s="13">
        <v>20322463</v>
      </c>
      <c r="H182" s="12" t="s">
        <v>441</v>
      </c>
      <c r="I182" s="13">
        <v>2</v>
      </c>
      <c r="J182" s="14">
        <v>16.5</v>
      </c>
      <c r="K182" s="14">
        <v>33</v>
      </c>
    </row>
    <row r="183" spans="4:11">
      <c r="D183" s="11">
        <v>46080</v>
      </c>
      <c r="E183" s="12">
        <v>1580648</v>
      </c>
      <c r="F183" s="12" t="s">
        <v>20</v>
      </c>
      <c r="G183" s="13">
        <v>20321379</v>
      </c>
      <c r="H183" s="12" t="s">
        <v>442</v>
      </c>
      <c r="I183" s="13">
        <v>1</v>
      </c>
      <c r="J183" s="14">
        <v>16.5</v>
      </c>
      <c r="K183" s="14">
        <v>16.5</v>
      </c>
    </row>
    <row r="184" spans="4:11">
      <c r="D184" s="11">
        <v>46080</v>
      </c>
      <c r="E184" s="12">
        <v>1580648</v>
      </c>
      <c r="F184" s="12" t="s">
        <v>20</v>
      </c>
      <c r="G184" s="13">
        <v>20356826</v>
      </c>
      <c r="H184" s="12" t="s">
        <v>443</v>
      </c>
      <c r="I184" s="13">
        <v>1</v>
      </c>
      <c r="J184" s="14">
        <v>16.5</v>
      </c>
      <c r="K184" s="14">
        <v>16.5</v>
      </c>
    </row>
    <row r="185" spans="4:11">
      <c r="D185" s="11">
        <v>46080</v>
      </c>
      <c r="E185" s="12">
        <v>1580648</v>
      </c>
      <c r="F185" s="12" t="s">
        <v>20</v>
      </c>
      <c r="G185" s="13">
        <v>20320872</v>
      </c>
      <c r="H185" s="12" t="s">
        <v>444</v>
      </c>
      <c r="I185" s="13">
        <v>2</v>
      </c>
      <c r="J185" s="14">
        <v>33</v>
      </c>
      <c r="K185" s="14">
        <v>66</v>
      </c>
    </row>
    <row r="186" spans="4:11">
      <c r="D186" s="11">
        <v>46081</v>
      </c>
      <c r="E186" s="12">
        <v>1581002</v>
      </c>
      <c r="F186" s="12" t="s">
        <v>16</v>
      </c>
      <c r="G186" s="13">
        <v>20320866</v>
      </c>
      <c r="H186" s="12" t="s">
        <v>445</v>
      </c>
      <c r="I186" s="13">
        <v>1</v>
      </c>
      <c r="J186" s="14">
        <v>16.5</v>
      </c>
      <c r="K186" s="14">
        <v>16.5</v>
      </c>
    </row>
    <row r="187" spans="4:11">
      <c r="D187" s="11">
        <v>46081</v>
      </c>
      <c r="E187" s="12">
        <v>1581002</v>
      </c>
      <c r="F187" s="12" t="s">
        <v>16</v>
      </c>
      <c r="G187" s="13">
        <v>20320874</v>
      </c>
      <c r="H187" s="12" t="s">
        <v>432</v>
      </c>
      <c r="I187" s="13">
        <v>2</v>
      </c>
      <c r="J187" s="14">
        <v>8</v>
      </c>
      <c r="K187" s="14">
        <v>16</v>
      </c>
    </row>
    <row r="188" spans="4:11">
      <c r="D188" s="11">
        <v>46081</v>
      </c>
      <c r="E188" s="12">
        <v>1581002</v>
      </c>
      <c r="F188" s="12" t="s">
        <v>16</v>
      </c>
      <c r="G188" s="13">
        <v>20320863</v>
      </c>
      <c r="H188" s="12" t="s">
        <v>434</v>
      </c>
      <c r="I188" s="13">
        <v>1</v>
      </c>
      <c r="J188" s="14">
        <v>8</v>
      </c>
      <c r="K188" s="14">
        <v>8</v>
      </c>
    </row>
    <row r="189" spans="4:11">
      <c r="D189" s="11">
        <v>46081</v>
      </c>
      <c r="E189" s="12">
        <v>1581002</v>
      </c>
      <c r="F189" s="12" t="s">
        <v>16</v>
      </c>
      <c r="G189" s="13">
        <v>20363641</v>
      </c>
      <c r="H189" s="12" t="s">
        <v>446</v>
      </c>
      <c r="I189" s="13">
        <v>1</v>
      </c>
      <c r="J189" s="14">
        <v>13.5</v>
      </c>
      <c r="K189" s="14">
        <v>13.5</v>
      </c>
    </row>
    <row r="190" spans="4:11">
      <c r="D190" s="11">
        <v>46081</v>
      </c>
      <c r="E190" s="12">
        <v>1581002</v>
      </c>
      <c r="F190" s="12" t="s">
        <v>16</v>
      </c>
      <c r="G190" s="13">
        <v>20320806</v>
      </c>
      <c r="H190" s="12" t="s">
        <v>436</v>
      </c>
      <c r="I190" s="13">
        <v>1</v>
      </c>
      <c r="J190" s="14">
        <v>8</v>
      </c>
      <c r="K190" s="14">
        <v>8</v>
      </c>
    </row>
    <row r="191" spans="4:11">
      <c r="D191" s="11">
        <v>46081</v>
      </c>
      <c r="E191" s="12">
        <v>1581002</v>
      </c>
      <c r="F191" s="12" t="s">
        <v>16</v>
      </c>
      <c r="G191" s="13">
        <v>20320803</v>
      </c>
      <c r="H191" s="12" t="s">
        <v>426</v>
      </c>
      <c r="I191" s="13">
        <v>4</v>
      </c>
      <c r="J191" s="14">
        <v>8</v>
      </c>
      <c r="K191" s="14">
        <v>32</v>
      </c>
    </row>
    <row r="192" spans="4:11">
      <c r="D192" s="11">
        <v>46081</v>
      </c>
      <c r="E192" s="12">
        <v>1581002</v>
      </c>
      <c r="F192" s="12" t="s">
        <v>16</v>
      </c>
      <c r="G192" s="13">
        <v>20320822</v>
      </c>
      <c r="H192" s="12" t="s">
        <v>427</v>
      </c>
      <c r="I192" s="13">
        <v>1</v>
      </c>
      <c r="J192" s="14">
        <v>8</v>
      </c>
      <c r="K192" s="14">
        <v>8</v>
      </c>
    </row>
    <row r="193" spans="4:11">
      <c r="D193" s="11">
        <v>46081</v>
      </c>
      <c r="E193" s="12">
        <v>1581002</v>
      </c>
      <c r="F193" s="12" t="s">
        <v>16</v>
      </c>
      <c r="G193" s="13">
        <v>20322465</v>
      </c>
      <c r="H193" s="12" t="s">
        <v>428</v>
      </c>
      <c r="I193" s="13">
        <v>1</v>
      </c>
      <c r="J193" s="14">
        <v>13.5</v>
      </c>
      <c r="K193" s="14">
        <v>13.5</v>
      </c>
    </row>
    <row r="194" spans="4:11">
      <c r="D194" s="11">
        <v>46081</v>
      </c>
      <c r="E194" s="12">
        <v>1581002</v>
      </c>
      <c r="F194" s="12" t="s">
        <v>16</v>
      </c>
      <c r="G194" s="13">
        <v>20404592</v>
      </c>
      <c r="H194" s="12" t="s">
        <v>450</v>
      </c>
      <c r="I194" s="13">
        <v>1</v>
      </c>
      <c r="J194" s="14">
        <v>16.5</v>
      </c>
      <c r="K194" s="14">
        <v>16.5</v>
      </c>
    </row>
    <row r="195" spans="4:11">
      <c r="D195" s="11">
        <v>46081</v>
      </c>
      <c r="E195" s="12">
        <v>1581002</v>
      </c>
      <c r="F195" s="12" t="s">
        <v>16</v>
      </c>
      <c r="G195" s="13">
        <v>20322464</v>
      </c>
      <c r="H195" s="12" t="s">
        <v>430</v>
      </c>
      <c r="I195" s="13">
        <v>1</v>
      </c>
      <c r="J195" s="14">
        <v>13.5</v>
      </c>
      <c r="K195" s="14">
        <v>13.5</v>
      </c>
    </row>
    <row r="196" spans="4:11">
      <c r="D196" s="11">
        <v>46081</v>
      </c>
      <c r="E196" s="12">
        <v>1581002</v>
      </c>
      <c r="F196" s="12" t="s">
        <v>16</v>
      </c>
      <c r="G196" s="13">
        <v>20322748</v>
      </c>
      <c r="H196" s="12" t="s">
        <v>439</v>
      </c>
      <c r="I196" s="13">
        <v>1</v>
      </c>
      <c r="J196" s="14">
        <v>8</v>
      </c>
      <c r="K196" s="14">
        <v>8</v>
      </c>
    </row>
    <row r="197" spans="4:11">
      <c r="D197" s="11">
        <v>46081</v>
      </c>
      <c r="E197" s="12">
        <v>1581002</v>
      </c>
      <c r="F197" s="12" t="s">
        <v>16</v>
      </c>
      <c r="G197" s="13">
        <v>20322752</v>
      </c>
      <c r="H197" s="12" t="s">
        <v>440</v>
      </c>
      <c r="I197" s="13">
        <v>1</v>
      </c>
      <c r="J197" s="14">
        <v>13.5</v>
      </c>
      <c r="K197" s="14">
        <v>13.5</v>
      </c>
    </row>
    <row r="198" spans="4:11">
      <c r="D198" s="11">
        <v>46081</v>
      </c>
      <c r="E198" s="12">
        <v>1581002</v>
      </c>
      <c r="F198" s="12" t="s">
        <v>20</v>
      </c>
      <c r="G198" s="13">
        <v>20321379</v>
      </c>
      <c r="H198" s="12" t="s">
        <v>442</v>
      </c>
      <c r="I198" s="13">
        <v>2</v>
      </c>
      <c r="J198" s="14">
        <v>16.5</v>
      </c>
      <c r="K198" s="14">
        <v>33</v>
      </c>
    </row>
    <row r="199" spans="4:11">
      <c r="D199" s="11">
        <v>46081</v>
      </c>
      <c r="E199" s="12">
        <v>1581002</v>
      </c>
      <c r="F199" s="12" t="s">
        <v>20</v>
      </c>
      <c r="G199" s="13">
        <v>20388046</v>
      </c>
      <c r="H199" s="12" t="s">
        <v>449</v>
      </c>
      <c r="I199" s="13">
        <v>1</v>
      </c>
      <c r="J199" s="14">
        <v>22</v>
      </c>
      <c r="K199" s="14">
        <v>22</v>
      </c>
    </row>
    <row r="200" spans="4:11">
      <c r="D200" s="11">
        <v>46082</v>
      </c>
      <c r="E200" s="12">
        <v>1581260</v>
      </c>
      <c r="F200" s="12" t="s">
        <v>16</v>
      </c>
      <c r="G200" s="13">
        <v>20320875</v>
      </c>
      <c r="H200" s="12" t="s">
        <v>448</v>
      </c>
      <c r="I200" s="13">
        <v>1</v>
      </c>
      <c r="J200" s="14">
        <v>16.5</v>
      </c>
      <c r="K200" s="14">
        <v>16.5</v>
      </c>
    </row>
    <row r="201" spans="4:11">
      <c r="D201" s="11">
        <v>46082</v>
      </c>
      <c r="E201" s="12">
        <v>1581260</v>
      </c>
      <c r="F201" s="12" t="s">
        <v>16</v>
      </c>
      <c r="G201" s="13">
        <v>20320866</v>
      </c>
      <c r="H201" s="12" t="s">
        <v>445</v>
      </c>
      <c r="I201" s="13">
        <v>2</v>
      </c>
      <c r="J201" s="14">
        <v>16.5</v>
      </c>
      <c r="K201" s="14">
        <v>33</v>
      </c>
    </row>
    <row r="202" spans="4:11">
      <c r="D202" s="11">
        <v>46082</v>
      </c>
      <c r="E202" s="12">
        <v>1581260</v>
      </c>
      <c r="F202" s="12" t="s">
        <v>16</v>
      </c>
      <c r="G202" s="13">
        <v>20320874</v>
      </c>
      <c r="H202" s="12" t="s">
        <v>432</v>
      </c>
      <c r="I202" s="13">
        <v>1</v>
      </c>
      <c r="J202" s="14">
        <v>8</v>
      </c>
      <c r="K202" s="14">
        <v>8</v>
      </c>
    </row>
    <row r="203" spans="4:11">
      <c r="D203" s="11">
        <v>46082</v>
      </c>
      <c r="E203" s="12">
        <v>1581260</v>
      </c>
      <c r="F203" s="12" t="s">
        <v>16</v>
      </c>
      <c r="G203" s="13">
        <v>20322466</v>
      </c>
      <c r="H203" s="12" t="s">
        <v>435</v>
      </c>
      <c r="I203" s="13">
        <v>1</v>
      </c>
      <c r="J203" s="14">
        <v>13.5</v>
      </c>
      <c r="K203" s="14">
        <v>13.5</v>
      </c>
    </row>
    <row r="204" spans="4:11">
      <c r="D204" s="11">
        <v>46082</v>
      </c>
      <c r="E204" s="12">
        <v>1581260</v>
      </c>
      <c r="F204" s="12" t="s">
        <v>16</v>
      </c>
      <c r="G204" s="13">
        <v>20320806</v>
      </c>
      <c r="H204" s="12" t="s">
        <v>436</v>
      </c>
      <c r="I204" s="13">
        <v>1</v>
      </c>
      <c r="J204" s="14">
        <v>8</v>
      </c>
      <c r="K204" s="14">
        <v>8</v>
      </c>
    </row>
    <row r="205" spans="4:11">
      <c r="D205" s="11">
        <v>46082</v>
      </c>
      <c r="E205" s="12">
        <v>1581260</v>
      </c>
      <c r="F205" s="12" t="s">
        <v>16</v>
      </c>
      <c r="G205" s="13">
        <v>20320803</v>
      </c>
      <c r="H205" s="12" t="s">
        <v>426</v>
      </c>
      <c r="I205" s="13">
        <v>6</v>
      </c>
      <c r="J205" s="14">
        <v>8</v>
      </c>
      <c r="K205" s="14">
        <v>48</v>
      </c>
    </row>
    <row r="206" spans="4:11">
      <c r="D206" s="11">
        <v>46082</v>
      </c>
      <c r="E206" s="12">
        <v>1581260</v>
      </c>
      <c r="F206" s="12" t="s">
        <v>16</v>
      </c>
      <c r="G206" s="13">
        <v>20322464</v>
      </c>
      <c r="H206" s="12" t="s">
        <v>430</v>
      </c>
      <c r="I206" s="13">
        <v>1</v>
      </c>
      <c r="J206" s="14">
        <v>13.5</v>
      </c>
      <c r="K206" s="14">
        <v>13.5</v>
      </c>
    </row>
    <row r="207" spans="4:11">
      <c r="D207" s="11">
        <v>46082</v>
      </c>
      <c r="E207" s="12">
        <v>1581260</v>
      </c>
      <c r="F207" s="12" t="s">
        <v>16</v>
      </c>
      <c r="G207" s="13">
        <v>20322752</v>
      </c>
      <c r="H207" s="12" t="s">
        <v>440</v>
      </c>
      <c r="I207" s="13">
        <v>1</v>
      </c>
      <c r="J207" s="14">
        <v>13.5</v>
      </c>
      <c r="K207" s="14">
        <v>13.5</v>
      </c>
    </row>
    <row r="208" spans="4:11">
      <c r="D208" s="11">
        <v>46082</v>
      </c>
      <c r="E208" s="12">
        <v>1581260</v>
      </c>
      <c r="F208" s="12" t="s">
        <v>20</v>
      </c>
      <c r="G208" s="13">
        <v>20356826</v>
      </c>
      <c r="H208" s="12" t="s">
        <v>443</v>
      </c>
      <c r="I208" s="13">
        <v>1</v>
      </c>
      <c r="J208" s="14">
        <v>16.5</v>
      </c>
      <c r="K208" s="14">
        <v>16.5</v>
      </c>
    </row>
    <row r="209" spans="4:11">
      <c r="D209" s="11">
        <v>46082</v>
      </c>
      <c r="E209" s="12">
        <v>1581260</v>
      </c>
      <c r="F209" s="12" t="s">
        <v>20</v>
      </c>
      <c r="G209" s="13">
        <v>20318104</v>
      </c>
      <c r="H209" s="12" t="s">
        <v>451</v>
      </c>
      <c r="I209" s="13">
        <v>1</v>
      </c>
      <c r="J209" s="14">
        <v>16.5</v>
      </c>
      <c r="K209" s="14">
        <v>16.5</v>
      </c>
    </row>
    <row r="210" spans="4:11">
      <c r="D210" s="11">
        <v>46083</v>
      </c>
      <c r="E210" s="12">
        <v>1581366</v>
      </c>
      <c r="F210" s="12" t="s">
        <v>16</v>
      </c>
      <c r="G210" s="13">
        <v>20320874</v>
      </c>
      <c r="H210" s="12" t="s">
        <v>432</v>
      </c>
      <c r="I210" s="13">
        <v>1</v>
      </c>
      <c r="J210" s="14">
        <v>8</v>
      </c>
      <c r="K210" s="14">
        <v>8</v>
      </c>
    </row>
    <row r="211" spans="4:11">
      <c r="D211" s="11">
        <v>46083</v>
      </c>
      <c r="E211" s="12">
        <v>1581366</v>
      </c>
      <c r="F211" s="12" t="s">
        <v>16</v>
      </c>
      <c r="G211" s="13">
        <v>20371135</v>
      </c>
      <c r="H211" s="12" t="s">
        <v>433</v>
      </c>
      <c r="I211" s="13">
        <v>1</v>
      </c>
      <c r="J211" s="14">
        <v>27.5</v>
      </c>
      <c r="K211" s="14">
        <v>27.5</v>
      </c>
    </row>
    <row r="212" spans="4:11">
      <c r="D212" s="11">
        <v>46083</v>
      </c>
      <c r="E212" s="12">
        <v>1581366</v>
      </c>
      <c r="F212" s="12" t="s">
        <v>16</v>
      </c>
      <c r="G212" s="13">
        <v>20320803</v>
      </c>
      <c r="H212" s="12" t="s">
        <v>426</v>
      </c>
      <c r="I212" s="13">
        <v>2</v>
      </c>
      <c r="J212" s="14">
        <v>8</v>
      </c>
      <c r="K212" s="14">
        <v>16</v>
      </c>
    </row>
    <row r="213" spans="4:11">
      <c r="D213" s="11">
        <v>46083</v>
      </c>
      <c r="E213" s="12">
        <v>1581366</v>
      </c>
      <c r="F213" s="12" t="s">
        <v>16</v>
      </c>
      <c r="G213" s="13">
        <v>20320822</v>
      </c>
      <c r="H213" s="12" t="s">
        <v>427</v>
      </c>
      <c r="I213" s="13">
        <v>1</v>
      </c>
      <c r="J213" s="14">
        <v>8</v>
      </c>
      <c r="K213" s="14">
        <v>8</v>
      </c>
    </row>
    <row r="214" spans="4:11">
      <c r="D214" s="11">
        <v>46083</v>
      </c>
      <c r="E214" s="12">
        <v>1581366</v>
      </c>
      <c r="F214" s="12" t="s">
        <v>16</v>
      </c>
      <c r="G214" s="13">
        <v>20322464</v>
      </c>
      <c r="H214" s="12" t="s">
        <v>430</v>
      </c>
      <c r="I214" s="13">
        <v>1</v>
      </c>
      <c r="J214" s="14">
        <v>13.5</v>
      </c>
      <c r="K214" s="14">
        <v>13.5</v>
      </c>
    </row>
    <row r="215" spans="4:11">
      <c r="D215" s="11">
        <v>46083</v>
      </c>
      <c r="E215" s="12">
        <v>1581366</v>
      </c>
      <c r="F215" s="12" t="s">
        <v>16</v>
      </c>
      <c r="G215" s="13">
        <v>20320816</v>
      </c>
      <c r="H215" s="12" t="s">
        <v>438</v>
      </c>
      <c r="I215" s="13">
        <v>1</v>
      </c>
      <c r="J215" s="14">
        <v>8</v>
      </c>
      <c r="K215" s="14">
        <v>8</v>
      </c>
    </row>
    <row r="216" spans="4:11">
      <c r="D216" s="11">
        <v>46083</v>
      </c>
      <c r="E216" s="12">
        <v>1581366</v>
      </c>
      <c r="F216" s="12" t="s">
        <v>16</v>
      </c>
      <c r="G216" s="13">
        <v>20322748</v>
      </c>
      <c r="H216" s="12" t="s">
        <v>439</v>
      </c>
      <c r="I216" s="13">
        <v>1</v>
      </c>
      <c r="J216" s="14">
        <v>8</v>
      </c>
      <c r="K216" s="14">
        <v>8</v>
      </c>
    </row>
    <row r="217" spans="4:11">
      <c r="D217" s="11">
        <v>46083</v>
      </c>
      <c r="E217" s="12">
        <v>1581366</v>
      </c>
      <c r="F217" s="12" t="s">
        <v>16</v>
      </c>
      <c r="G217" s="13">
        <v>20322463</v>
      </c>
      <c r="H217" s="12" t="s">
        <v>441</v>
      </c>
      <c r="I217" s="13">
        <v>1</v>
      </c>
      <c r="J217" s="14">
        <v>16.5</v>
      </c>
      <c r="K217" s="14">
        <v>16.5</v>
      </c>
    </row>
    <row r="218" spans="4:11">
      <c r="D218" s="11">
        <v>46084</v>
      </c>
      <c r="E218" s="12">
        <v>1581680</v>
      </c>
      <c r="F218" s="12" t="s">
        <v>16</v>
      </c>
      <c r="G218" s="13">
        <v>20320869</v>
      </c>
      <c r="H218" s="12" t="s">
        <v>431</v>
      </c>
      <c r="I218" s="13">
        <v>3</v>
      </c>
      <c r="J218" s="14">
        <v>11</v>
      </c>
      <c r="K218" s="14">
        <v>33</v>
      </c>
    </row>
    <row r="219" spans="4:11">
      <c r="D219" s="11">
        <v>46084</v>
      </c>
      <c r="E219" s="12">
        <v>1581680</v>
      </c>
      <c r="F219" s="12" t="s">
        <v>16</v>
      </c>
      <c r="G219" s="13">
        <v>20320874</v>
      </c>
      <c r="H219" s="12" t="s">
        <v>432</v>
      </c>
      <c r="I219" s="13">
        <v>3</v>
      </c>
      <c r="J219" s="14">
        <v>8</v>
      </c>
      <c r="K219" s="14">
        <v>24</v>
      </c>
    </row>
    <row r="220" spans="4:11">
      <c r="D220" s="11">
        <v>46084</v>
      </c>
      <c r="E220" s="12">
        <v>1581680</v>
      </c>
      <c r="F220" s="12" t="s">
        <v>16</v>
      </c>
      <c r="G220" s="13">
        <v>20322466</v>
      </c>
      <c r="H220" s="12" t="s">
        <v>435</v>
      </c>
      <c r="I220" s="13">
        <v>2</v>
      </c>
      <c r="J220" s="14">
        <v>13.5</v>
      </c>
      <c r="K220" s="14">
        <v>27</v>
      </c>
    </row>
    <row r="221" spans="4:11">
      <c r="D221" s="11">
        <v>46084</v>
      </c>
      <c r="E221" s="12">
        <v>1581680</v>
      </c>
      <c r="F221" s="12" t="s">
        <v>16</v>
      </c>
      <c r="G221" s="13">
        <v>20363641</v>
      </c>
      <c r="H221" s="12" t="s">
        <v>446</v>
      </c>
      <c r="I221" s="13">
        <v>2</v>
      </c>
      <c r="J221" s="14">
        <v>13.5</v>
      </c>
      <c r="K221" s="14">
        <v>27</v>
      </c>
    </row>
    <row r="222" spans="4:11">
      <c r="D222" s="11">
        <v>46084</v>
      </c>
      <c r="E222" s="12">
        <v>1581680</v>
      </c>
      <c r="F222" s="12" t="s">
        <v>16</v>
      </c>
      <c r="G222" s="13">
        <v>20320806</v>
      </c>
      <c r="H222" s="12" t="s">
        <v>436</v>
      </c>
      <c r="I222" s="13">
        <v>2</v>
      </c>
      <c r="J222" s="14">
        <v>8</v>
      </c>
      <c r="K222" s="14">
        <v>16</v>
      </c>
    </row>
    <row r="223" spans="4:11">
      <c r="D223" s="11">
        <v>46084</v>
      </c>
      <c r="E223" s="12">
        <v>1581680</v>
      </c>
      <c r="F223" s="12" t="s">
        <v>16</v>
      </c>
      <c r="G223" s="13">
        <v>20320817</v>
      </c>
      <c r="H223" s="12" t="s">
        <v>437</v>
      </c>
      <c r="I223" s="13">
        <v>1</v>
      </c>
      <c r="J223" s="14">
        <v>8</v>
      </c>
      <c r="K223" s="14">
        <v>8</v>
      </c>
    </row>
    <row r="224" spans="4:11">
      <c r="D224" s="11">
        <v>46084</v>
      </c>
      <c r="E224" s="12">
        <v>1581680</v>
      </c>
      <c r="F224" s="12" t="s">
        <v>16</v>
      </c>
      <c r="G224" s="13">
        <v>20320803</v>
      </c>
      <c r="H224" s="12" t="s">
        <v>426</v>
      </c>
      <c r="I224" s="13">
        <v>14</v>
      </c>
      <c r="J224" s="14">
        <v>8</v>
      </c>
      <c r="K224" s="14">
        <v>112</v>
      </c>
    </row>
    <row r="225" spans="4:11">
      <c r="D225" s="11">
        <v>46084</v>
      </c>
      <c r="E225" s="12">
        <v>1581680</v>
      </c>
      <c r="F225" s="12" t="s">
        <v>16</v>
      </c>
      <c r="G225" s="13">
        <v>20320822</v>
      </c>
      <c r="H225" s="12" t="s">
        <v>427</v>
      </c>
      <c r="I225" s="13">
        <v>2</v>
      </c>
      <c r="J225" s="14">
        <v>8</v>
      </c>
      <c r="K225" s="14">
        <v>16</v>
      </c>
    </row>
    <row r="226" spans="4:11">
      <c r="D226" s="11">
        <v>46084</v>
      </c>
      <c r="E226" s="12">
        <v>1581680</v>
      </c>
      <c r="F226" s="12" t="s">
        <v>16</v>
      </c>
      <c r="G226" s="13">
        <v>20322465</v>
      </c>
      <c r="H226" s="12" t="s">
        <v>428</v>
      </c>
      <c r="I226" s="13">
        <v>1</v>
      </c>
      <c r="J226" s="14">
        <v>13.5</v>
      </c>
      <c r="K226" s="14">
        <v>13.5</v>
      </c>
    </row>
    <row r="227" spans="4:11">
      <c r="D227" s="11">
        <v>46084</v>
      </c>
      <c r="E227" s="12">
        <v>1581680</v>
      </c>
      <c r="F227" s="12" t="s">
        <v>16</v>
      </c>
      <c r="G227" s="13">
        <v>20320816</v>
      </c>
      <c r="H227" s="12" t="s">
        <v>438</v>
      </c>
      <c r="I227" s="13">
        <v>2</v>
      </c>
      <c r="J227" s="14">
        <v>8</v>
      </c>
      <c r="K227" s="14">
        <v>16</v>
      </c>
    </row>
    <row r="228" spans="4:11">
      <c r="D228" s="11">
        <v>46084</v>
      </c>
      <c r="E228" s="12">
        <v>1581680</v>
      </c>
      <c r="F228" s="12" t="s">
        <v>16</v>
      </c>
      <c r="G228" s="13">
        <v>20322748</v>
      </c>
      <c r="H228" s="12" t="s">
        <v>439</v>
      </c>
      <c r="I228" s="13">
        <v>2</v>
      </c>
      <c r="J228" s="14">
        <v>8</v>
      </c>
      <c r="K228" s="14">
        <v>16</v>
      </c>
    </row>
    <row r="229" spans="4:11">
      <c r="D229" s="11">
        <v>46084</v>
      </c>
      <c r="E229" s="12">
        <v>1581680</v>
      </c>
      <c r="F229" s="12" t="s">
        <v>16</v>
      </c>
      <c r="G229" s="13">
        <v>20322752</v>
      </c>
      <c r="H229" s="12" t="s">
        <v>440</v>
      </c>
      <c r="I229" s="13">
        <v>2</v>
      </c>
      <c r="J229" s="14">
        <v>13.5</v>
      </c>
      <c r="K229" s="14">
        <v>27</v>
      </c>
    </row>
    <row r="230" spans="4:11">
      <c r="D230" s="11">
        <v>46084</v>
      </c>
      <c r="E230" s="12">
        <v>1581680</v>
      </c>
      <c r="F230" s="12" t="s">
        <v>16</v>
      </c>
      <c r="G230" s="13">
        <v>20322463</v>
      </c>
      <c r="H230" s="12" t="s">
        <v>441</v>
      </c>
      <c r="I230" s="13">
        <v>1</v>
      </c>
      <c r="J230" s="14">
        <v>16.5</v>
      </c>
      <c r="K230" s="14">
        <v>16.5</v>
      </c>
    </row>
    <row r="231" spans="4:11">
      <c r="D231" s="11">
        <v>46084</v>
      </c>
      <c r="E231" s="12">
        <v>1581680</v>
      </c>
      <c r="F231" s="12" t="s">
        <v>20</v>
      </c>
      <c r="G231" s="13">
        <v>20321379</v>
      </c>
      <c r="H231" s="12" t="s">
        <v>442</v>
      </c>
      <c r="I231" s="13">
        <v>1</v>
      </c>
      <c r="J231" s="14">
        <v>16.5</v>
      </c>
      <c r="K231" s="14">
        <v>16.5</v>
      </c>
    </row>
    <row r="232" spans="4:11">
      <c r="D232" s="11">
        <v>46084</v>
      </c>
      <c r="E232" s="12">
        <v>1581680</v>
      </c>
      <c r="F232" s="12" t="s">
        <v>20</v>
      </c>
      <c r="G232" s="13">
        <v>20356826</v>
      </c>
      <c r="H232" s="12" t="s">
        <v>443</v>
      </c>
      <c r="I232" s="13">
        <v>1</v>
      </c>
      <c r="J232" s="14">
        <v>16.5</v>
      </c>
      <c r="K232" s="14">
        <v>16.5</v>
      </c>
    </row>
    <row r="233" spans="4:11">
      <c r="D233" s="11">
        <v>46084</v>
      </c>
      <c r="E233" s="12">
        <v>1581680</v>
      </c>
      <c r="F233" s="12" t="s">
        <v>20</v>
      </c>
      <c r="G233" s="13">
        <v>20320872</v>
      </c>
      <c r="H233" s="12" t="s">
        <v>444</v>
      </c>
      <c r="I233" s="13">
        <v>1</v>
      </c>
      <c r="J233" s="14">
        <v>33</v>
      </c>
      <c r="K233" s="14">
        <v>33</v>
      </c>
    </row>
    <row r="234" spans="4:11">
      <c r="D234" s="11">
        <v>46085</v>
      </c>
      <c r="E234" s="12">
        <v>1581973</v>
      </c>
      <c r="F234" s="12" t="s">
        <v>16</v>
      </c>
      <c r="G234" s="13">
        <v>20320869</v>
      </c>
      <c r="H234" s="12" t="s">
        <v>431</v>
      </c>
      <c r="I234" s="13">
        <v>2</v>
      </c>
      <c r="J234" s="14">
        <v>11</v>
      </c>
      <c r="K234" s="14">
        <v>22</v>
      </c>
    </row>
    <row r="235" spans="4:11">
      <c r="D235" s="11">
        <v>46085</v>
      </c>
      <c r="E235" s="12">
        <v>1581973</v>
      </c>
      <c r="F235" s="12" t="s">
        <v>16</v>
      </c>
      <c r="G235" s="13">
        <v>20320874</v>
      </c>
      <c r="H235" s="12" t="s">
        <v>432</v>
      </c>
      <c r="I235" s="13">
        <v>3</v>
      </c>
      <c r="J235" s="14">
        <v>8</v>
      </c>
      <c r="K235" s="14">
        <v>24</v>
      </c>
    </row>
    <row r="236" spans="4:11">
      <c r="D236" s="11">
        <v>46085</v>
      </c>
      <c r="E236" s="12">
        <v>1581973</v>
      </c>
      <c r="F236" s="12" t="s">
        <v>16</v>
      </c>
      <c r="G236" s="13">
        <v>20320863</v>
      </c>
      <c r="H236" s="12" t="s">
        <v>434</v>
      </c>
      <c r="I236" s="13">
        <v>1</v>
      </c>
      <c r="J236" s="14">
        <v>8</v>
      </c>
      <c r="K236" s="14">
        <v>8</v>
      </c>
    </row>
    <row r="237" spans="4:11">
      <c r="D237" s="11">
        <v>46085</v>
      </c>
      <c r="E237" s="12">
        <v>1581973</v>
      </c>
      <c r="F237" s="12" t="s">
        <v>16</v>
      </c>
      <c r="G237" s="13">
        <v>20322466</v>
      </c>
      <c r="H237" s="12" t="s">
        <v>435</v>
      </c>
      <c r="I237" s="13">
        <v>2</v>
      </c>
      <c r="J237" s="14">
        <v>13.5</v>
      </c>
      <c r="K237" s="14">
        <v>27</v>
      </c>
    </row>
    <row r="238" spans="4:11">
      <c r="D238" s="11">
        <v>46085</v>
      </c>
      <c r="E238" s="12">
        <v>1581973</v>
      </c>
      <c r="F238" s="12" t="s">
        <v>16</v>
      </c>
      <c r="G238" s="13">
        <v>20320806</v>
      </c>
      <c r="H238" s="12" t="s">
        <v>436</v>
      </c>
      <c r="I238" s="13">
        <v>2</v>
      </c>
      <c r="J238" s="14">
        <v>8</v>
      </c>
      <c r="K238" s="14">
        <v>16</v>
      </c>
    </row>
    <row r="239" spans="4:11">
      <c r="D239" s="11">
        <v>46085</v>
      </c>
      <c r="E239" s="12">
        <v>1581973</v>
      </c>
      <c r="F239" s="12" t="s">
        <v>16</v>
      </c>
      <c r="G239" s="13">
        <v>20320803</v>
      </c>
      <c r="H239" s="12" t="s">
        <v>426</v>
      </c>
      <c r="I239" s="13">
        <v>9</v>
      </c>
      <c r="J239" s="14">
        <v>8</v>
      </c>
      <c r="K239" s="14">
        <v>72</v>
      </c>
    </row>
    <row r="240" spans="4:11">
      <c r="D240" s="11">
        <v>46085</v>
      </c>
      <c r="E240" s="12">
        <v>1581973</v>
      </c>
      <c r="F240" s="12" t="s">
        <v>16</v>
      </c>
      <c r="G240" s="13">
        <v>20320822</v>
      </c>
      <c r="H240" s="12" t="s">
        <v>427</v>
      </c>
      <c r="I240" s="13">
        <v>1</v>
      </c>
      <c r="J240" s="14">
        <v>8</v>
      </c>
      <c r="K240" s="14">
        <v>8</v>
      </c>
    </row>
    <row r="241" spans="4:11">
      <c r="D241" s="11">
        <v>46085</v>
      </c>
      <c r="E241" s="12">
        <v>1581973</v>
      </c>
      <c r="F241" s="12" t="s">
        <v>16</v>
      </c>
      <c r="G241" s="13">
        <v>20322464</v>
      </c>
      <c r="H241" s="12" t="s">
        <v>430</v>
      </c>
      <c r="I241" s="13">
        <v>1</v>
      </c>
      <c r="J241" s="14">
        <v>13.5</v>
      </c>
      <c r="K241" s="14">
        <v>13.5</v>
      </c>
    </row>
    <row r="242" spans="4:11">
      <c r="D242" s="11">
        <v>46085</v>
      </c>
      <c r="E242" s="12">
        <v>1581973</v>
      </c>
      <c r="F242" s="12" t="s">
        <v>16</v>
      </c>
      <c r="G242" s="13">
        <v>20320816</v>
      </c>
      <c r="H242" s="12" t="s">
        <v>438</v>
      </c>
      <c r="I242" s="13">
        <v>1</v>
      </c>
      <c r="J242" s="14">
        <v>8</v>
      </c>
      <c r="K242" s="14">
        <v>8</v>
      </c>
    </row>
    <row r="243" spans="4:11">
      <c r="D243" s="11">
        <v>46085</v>
      </c>
      <c r="E243" s="12">
        <v>1581973</v>
      </c>
      <c r="F243" s="12" t="s">
        <v>16</v>
      </c>
      <c r="G243" s="13">
        <v>20322748</v>
      </c>
      <c r="H243" s="12" t="s">
        <v>439</v>
      </c>
      <c r="I243" s="13">
        <v>1</v>
      </c>
      <c r="J243" s="14">
        <v>8</v>
      </c>
      <c r="K243" s="14">
        <v>8</v>
      </c>
    </row>
    <row r="244" spans="4:11">
      <c r="D244" s="11">
        <v>46085</v>
      </c>
      <c r="E244" s="12">
        <v>1581973</v>
      </c>
      <c r="F244" s="12" t="s">
        <v>16</v>
      </c>
      <c r="G244" s="13">
        <v>20322751</v>
      </c>
      <c r="H244" s="12" t="s">
        <v>447</v>
      </c>
      <c r="I244" s="13">
        <v>1</v>
      </c>
      <c r="J244" s="14">
        <v>8</v>
      </c>
      <c r="K244" s="14">
        <v>8</v>
      </c>
    </row>
    <row r="245" spans="4:11">
      <c r="D245" s="11">
        <v>46085</v>
      </c>
      <c r="E245" s="12">
        <v>1581973</v>
      </c>
      <c r="F245" s="12" t="s">
        <v>16</v>
      </c>
      <c r="G245" s="13">
        <v>20322463</v>
      </c>
      <c r="H245" s="12" t="s">
        <v>441</v>
      </c>
      <c r="I245" s="13">
        <v>1</v>
      </c>
      <c r="J245" s="14">
        <v>16.5</v>
      </c>
      <c r="K245" s="14">
        <v>16.5</v>
      </c>
    </row>
    <row r="246" spans="4:11">
      <c r="D246" s="11">
        <v>46085</v>
      </c>
      <c r="E246" s="12">
        <v>1581973</v>
      </c>
      <c r="F246" s="12" t="s">
        <v>20</v>
      </c>
      <c r="G246" s="13">
        <v>20321379</v>
      </c>
      <c r="H246" s="12" t="s">
        <v>442</v>
      </c>
      <c r="I246" s="13">
        <v>1</v>
      </c>
      <c r="J246" s="14">
        <v>16.5</v>
      </c>
      <c r="K246" s="14">
        <v>16.5</v>
      </c>
    </row>
    <row r="247" spans="4:11">
      <c r="D247" s="11">
        <v>46085</v>
      </c>
      <c r="E247" s="12">
        <v>1581973</v>
      </c>
      <c r="F247" s="12" t="s">
        <v>20</v>
      </c>
      <c r="G247" s="13">
        <v>20356826</v>
      </c>
      <c r="H247" s="12" t="s">
        <v>443</v>
      </c>
      <c r="I247" s="13">
        <v>1</v>
      </c>
      <c r="J247" s="14">
        <v>16.5</v>
      </c>
      <c r="K247" s="14">
        <v>16.5</v>
      </c>
    </row>
    <row r="248" spans="4:11">
      <c r="D248" s="11">
        <v>46085</v>
      </c>
      <c r="E248" s="12">
        <v>1581973</v>
      </c>
      <c r="F248" s="12" t="s">
        <v>20</v>
      </c>
      <c r="G248" s="13">
        <v>20388046</v>
      </c>
      <c r="H248" s="12" t="s">
        <v>449</v>
      </c>
      <c r="I248" s="13">
        <v>3</v>
      </c>
      <c r="J248" s="14">
        <v>22</v>
      </c>
      <c r="K248" s="14">
        <v>66</v>
      </c>
    </row>
    <row r="249" spans="4:11">
      <c r="D249" s="11">
        <v>46086</v>
      </c>
      <c r="E249" s="12">
        <v>1582327</v>
      </c>
      <c r="F249" s="12" t="s">
        <v>16</v>
      </c>
      <c r="G249" s="13">
        <v>20320875</v>
      </c>
      <c r="H249" s="12" t="s">
        <v>448</v>
      </c>
      <c r="I249" s="13">
        <v>1</v>
      </c>
      <c r="J249" s="14">
        <v>16.5</v>
      </c>
      <c r="K249" s="14">
        <v>16.5</v>
      </c>
    </row>
    <row r="250" spans="4:11">
      <c r="D250" s="11">
        <v>46086</v>
      </c>
      <c r="E250" s="12">
        <v>1582327</v>
      </c>
      <c r="F250" s="12" t="s">
        <v>16</v>
      </c>
      <c r="G250" s="13">
        <v>20320866</v>
      </c>
      <c r="H250" s="12" t="s">
        <v>445</v>
      </c>
      <c r="I250" s="13">
        <v>2</v>
      </c>
      <c r="J250" s="14">
        <v>16.5</v>
      </c>
      <c r="K250" s="14">
        <v>33</v>
      </c>
    </row>
    <row r="251" spans="4:11">
      <c r="D251" s="11">
        <v>46086</v>
      </c>
      <c r="E251" s="12">
        <v>1582327</v>
      </c>
      <c r="F251" s="12" t="s">
        <v>16</v>
      </c>
      <c r="G251" s="13">
        <v>20320874</v>
      </c>
      <c r="H251" s="12" t="s">
        <v>432</v>
      </c>
      <c r="I251" s="13">
        <v>3</v>
      </c>
      <c r="J251" s="14">
        <v>8</v>
      </c>
      <c r="K251" s="14">
        <v>24</v>
      </c>
    </row>
    <row r="252" spans="4:11">
      <c r="D252" s="11">
        <v>46086</v>
      </c>
      <c r="E252" s="12">
        <v>1582327</v>
      </c>
      <c r="F252" s="12" t="s">
        <v>16</v>
      </c>
      <c r="G252" s="13">
        <v>20371135</v>
      </c>
      <c r="H252" s="12" t="s">
        <v>433</v>
      </c>
      <c r="I252" s="13">
        <v>1</v>
      </c>
      <c r="J252" s="14">
        <v>27.5</v>
      </c>
      <c r="K252" s="14">
        <v>27.5</v>
      </c>
    </row>
    <row r="253" spans="4:11">
      <c r="D253" s="11">
        <v>46086</v>
      </c>
      <c r="E253" s="12">
        <v>1582327</v>
      </c>
      <c r="F253" s="12" t="s">
        <v>16</v>
      </c>
      <c r="G253" s="13">
        <v>20320863</v>
      </c>
      <c r="H253" s="12" t="s">
        <v>434</v>
      </c>
      <c r="I253" s="13">
        <v>2</v>
      </c>
      <c r="J253" s="14">
        <v>8</v>
      </c>
      <c r="K253" s="14">
        <v>16</v>
      </c>
    </row>
    <row r="254" spans="4:11">
      <c r="D254" s="11">
        <v>46086</v>
      </c>
      <c r="E254" s="12">
        <v>1582327</v>
      </c>
      <c r="F254" s="12" t="s">
        <v>16</v>
      </c>
      <c r="G254" s="13">
        <v>20322466</v>
      </c>
      <c r="H254" s="12" t="s">
        <v>435</v>
      </c>
      <c r="I254" s="13">
        <v>2</v>
      </c>
      <c r="J254" s="14">
        <v>13.5</v>
      </c>
      <c r="K254" s="14">
        <v>27</v>
      </c>
    </row>
    <row r="255" spans="4:11">
      <c r="D255" s="11">
        <v>46086</v>
      </c>
      <c r="E255" s="12">
        <v>1582327</v>
      </c>
      <c r="F255" s="12" t="s">
        <v>16</v>
      </c>
      <c r="G255" s="13">
        <v>20363641</v>
      </c>
      <c r="H255" s="12" t="s">
        <v>446</v>
      </c>
      <c r="I255" s="13">
        <v>1</v>
      </c>
      <c r="J255" s="14">
        <v>13.5</v>
      </c>
      <c r="K255" s="14">
        <v>13.5</v>
      </c>
    </row>
    <row r="256" spans="4:11">
      <c r="D256" s="11">
        <v>46086</v>
      </c>
      <c r="E256" s="12">
        <v>1582327</v>
      </c>
      <c r="F256" s="12" t="s">
        <v>16</v>
      </c>
      <c r="G256" s="13">
        <v>20320806</v>
      </c>
      <c r="H256" s="12" t="s">
        <v>436</v>
      </c>
      <c r="I256" s="13">
        <v>4</v>
      </c>
      <c r="J256" s="14">
        <v>8</v>
      </c>
      <c r="K256" s="14">
        <v>32</v>
      </c>
    </row>
    <row r="257" spans="4:11">
      <c r="D257" s="11">
        <v>46086</v>
      </c>
      <c r="E257" s="12">
        <v>1582327</v>
      </c>
      <c r="F257" s="12" t="s">
        <v>16</v>
      </c>
      <c r="G257" s="13">
        <v>20320817</v>
      </c>
      <c r="H257" s="12" t="s">
        <v>437</v>
      </c>
      <c r="I257" s="13">
        <v>1</v>
      </c>
      <c r="J257" s="14">
        <v>8</v>
      </c>
      <c r="K257" s="14">
        <v>8</v>
      </c>
    </row>
    <row r="258" spans="4:11">
      <c r="D258" s="11">
        <v>46086</v>
      </c>
      <c r="E258" s="12">
        <v>1582327</v>
      </c>
      <c r="F258" s="12" t="s">
        <v>16</v>
      </c>
      <c r="G258" s="13">
        <v>20320803</v>
      </c>
      <c r="H258" s="12" t="s">
        <v>426</v>
      </c>
      <c r="I258" s="13">
        <v>6</v>
      </c>
      <c r="J258" s="14">
        <v>8</v>
      </c>
      <c r="K258" s="14">
        <v>48</v>
      </c>
    </row>
    <row r="259" spans="4:11">
      <c r="D259" s="11">
        <v>46086</v>
      </c>
      <c r="E259" s="12">
        <v>1582327</v>
      </c>
      <c r="F259" s="12" t="s">
        <v>16</v>
      </c>
      <c r="G259" s="13">
        <v>20320822</v>
      </c>
      <c r="H259" s="12" t="s">
        <v>427</v>
      </c>
      <c r="I259" s="13">
        <v>3</v>
      </c>
      <c r="J259" s="14">
        <v>8</v>
      </c>
      <c r="K259" s="14">
        <v>24</v>
      </c>
    </row>
    <row r="260" spans="4:11">
      <c r="D260" s="11">
        <v>46086</v>
      </c>
      <c r="E260" s="12">
        <v>1582327</v>
      </c>
      <c r="F260" s="12" t="s">
        <v>16</v>
      </c>
      <c r="G260" s="13">
        <v>20404592</v>
      </c>
      <c r="H260" s="12" t="s">
        <v>450</v>
      </c>
      <c r="I260" s="13">
        <v>1</v>
      </c>
      <c r="J260" s="14">
        <v>16.5</v>
      </c>
      <c r="K260" s="14">
        <v>16.5</v>
      </c>
    </row>
    <row r="261" spans="4:11">
      <c r="D261" s="11">
        <v>46086</v>
      </c>
      <c r="E261" s="12">
        <v>1582327</v>
      </c>
      <c r="F261" s="12" t="s">
        <v>16</v>
      </c>
      <c r="G261" s="13">
        <v>20322464</v>
      </c>
      <c r="H261" s="12" t="s">
        <v>430</v>
      </c>
      <c r="I261" s="13">
        <v>1</v>
      </c>
      <c r="J261" s="14">
        <v>13.5</v>
      </c>
      <c r="K261" s="14">
        <v>13.5</v>
      </c>
    </row>
    <row r="262" spans="4:11">
      <c r="D262" s="11">
        <v>46086</v>
      </c>
      <c r="E262" s="12">
        <v>1582327</v>
      </c>
      <c r="F262" s="12" t="s">
        <v>16</v>
      </c>
      <c r="G262" s="13">
        <v>20322748</v>
      </c>
      <c r="H262" s="12" t="s">
        <v>439</v>
      </c>
      <c r="I262" s="13">
        <v>2</v>
      </c>
      <c r="J262" s="14">
        <v>8</v>
      </c>
      <c r="K262" s="14">
        <v>16</v>
      </c>
    </row>
    <row r="263" spans="4:11">
      <c r="D263" s="11">
        <v>46086</v>
      </c>
      <c r="E263" s="12">
        <v>1582327</v>
      </c>
      <c r="F263" s="12" t="s">
        <v>16</v>
      </c>
      <c r="G263" s="13">
        <v>20322752</v>
      </c>
      <c r="H263" s="12" t="s">
        <v>440</v>
      </c>
      <c r="I263" s="13">
        <v>2</v>
      </c>
      <c r="J263" s="14">
        <v>13.5</v>
      </c>
      <c r="K263" s="14">
        <v>27</v>
      </c>
    </row>
    <row r="264" spans="4:11">
      <c r="D264" s="11">
        <v>46086</v>
      </c>
      <c r="E264" s="12">
        <v>1582327</v>
      </c>
      <c r="F264" s="12" t="s">
        <v>16</v>
      </c>
      <c r="G264" s="13">
        <v>20322463</v>
      </c>
      <c r="H264" s="12" t="s">
        <v>441</v>
      </c>
      <c r="I264" s="13">
        <v>1</v>
      </c>
      <c r="J264" s="14">
        <v>16.5</v>
      </c>
      <c r="K264" s="14">
        <v>16.5</v>
      </c>
    </row>
    <row r="265" spans="4:11">
      <c r="D265" s="11">
        <v>46086</v>
      </c>
      <c r="E265" s="12">
        <v>1582327</v>
      </c>
      <c r="F265" s="12" t="s">
        <v>20</v>
      </c>
      <c r="G265" s="13">
        <v>20321379</v>
      </c>
      <c r="H265" s="12" t="s">
        <v>442</v>
      </c>
      <c r="I265" s="13">
        <v>2</v>
      </c>
      <c r="J265" s="14">
        <v>16.5</v>
      </c>
      <c r="K265" s="14">
        <v>33</v>
      </c>
    </row>
    <row r="266" spans="4:11">
      <c r="D266" s="11">
        <v>46086</v>
      </c>
      <c r="E266" s="12">
        <v>1582327</v>
      </c>
      <c r="F266" s="12" t="s">
        <v>20</v>
      </c>
      <c r="G266" s="13">
        <v>20388046</v>
      </c>
      <c r="H266" s="12" t="s">
        <v>449</v>
      </c>
      <c r="I266" s="13">
        <v>1</v>
      </c>
      <c r="J266" s="14">
        <v>22</v>
      </c>
      <c r="K266" s="14">
        <v>22</v>
      </c>
    </row>
    <row r="267" spans="4:11">
      <c r="D267" s="11">
        <v>46087</v>
      </c>
      <c r="E267" s="12">
        <v>1582645</v>
      </c>
      <c r="F267" s="12" t="s">
        <v>16</v>
      </c>
      <c r="G267" s="13">
        <v>20320869</v>
      </c>
      <c r="H267" s="12" t="s">
        <v>431</v>
      </c>
      <c r="I267" s="13">
        <v>3</v>
      </c>
      <c r="J267" s="14">
        <v>11</v>
      </c>
      <c r="K267" s="14">
        <v>33</v>
      </c>
    </row>
    <row r="268" spans="4:11">
      <c r="D268" s="11">
        <v>46087</v>
      </c>
      <c r="E268" s="12">
        <v>1582645</v>
      </c>
      <c r="F268" s="12" t="s">
        <v>16</v>
      </c>
      <c r="G268" s="13">
        <v>20320866</v>
      </c>
      <c r="H268" s="12" t="s">
        <v>445</v>
      </c>
      <c r="I268" s="13">
        <v>2</v>
      </c>
      <c r="J268" s="14">
        <v>16.5</v>
      </c>
      <c r="K268" s="14">
        <v>33</v>
      </c>
    </row>
    <row r="269" spans="4:11">
      <c r="D269" s="11">
        <v>46087</v>
      </c>
      <c r="E269" s="12">
        <v>1582645</v>
      </c>
      <c r="F269" s="12" t="s">
        <v>16</v>
      </c>
      <c r="G269" s="13">
        <v>20320874</v>
      </c>
      <c r="H269" s="12" t="s">
        <v>432</v>
      </c>
      <c r="I269" s="13">
        <v>3</v>
      </c>
      <c r="J269" s="14">
        <v>8</v>
      </c>
      <c r="K269" s="14">
        <v>24</v>
      </c>
    </row>
    <row r="270" spans="4:11">
      <c r="D270" s="11">
        <v>46087</v>
      </c>
      <c r="E270" s="12">
        <v>1582645</v>
      </c>
      <c r="F270" s="12" t="s">
        <v>16</v>
      </c>
      <c r="G270" s="13">
        <v>20371135</v>
      </c>
      <c r="H270" s="12" t="s">
        <v>433</v>
      </c>
      <c r="I270" s="13">
        <v>1</v>
      </c>
      <c r="J270" s="14">
        <v>27.5</v>
      </c>
      <c r="K270" s="14">
        <v>27.5</v>
      </c>
    </row>
    <row r="271" spans="4:11">
      <c r="D271" s="11">
        <v>46087</v>
      </c>
      <c r="E271" s="12">
        <v>1582645</v>
      </c>
      <c r="F271" s="12" t="s">
        <v>16</v>
      </c>
      <c r="G271" s="13">
        <v>20320863</v>
      </c>
      <c r="H271" s="12" t="s">
        <v>434</v>
      </c>
      <c r="I271" s="13">
        <v>1</v>
      </c>
      <c r="J271" s="14">
        <v>8</v>
      </c>
      <c r="K271" s="14">
        <v>8</v>
      </c>
    </row>
    <row r="272" spans="4:11">
      <c r="D272" s="11">
        <v>46087</v>
      </c>
      <c r="E272" s="12">
        <v>1582645</v>
      </c>
      <c r="F272" s="12" t="s">
        <v>16</v>
      </c>
      <c r="G272" s="13">
        <v>20322466</v>
      </c>
      <c r="H272" s="12" t="s">
        <v>435</v>
      </c>
      <c r="I272" s="13">
        <v>3</v>
      </c>
      <c r="J272" s="14">
        <v>13.5</v>
      </c>
      <c r="K272" s="14">
        <v>40.5</v>
      </c>
    </row>
    <row r="273" spans="4:11">
      <c r="D273" s="11">
        <v>46087</v>
      </c>
      <c r="E273" s="12">
        <v>1582645</v>
      </c>
      <c r="F273" s="12" t="s">
        <v>16</v>
      </c>
      <c r="G273" s="13">
        <v>20363641</v>
      </c>
      <c r="H273" s="12" t="s">
        <v>446</v>
      </c>
      <c r="I273" s="13">
        <v>1</v>
      </c>
      <c r="J273" s="14">
        <v>13.5</v>
      </c>
      <c r="K273" s="14">
        <v>13.5</v>
      </c>
    </row>
    <row r="274" spans="4:11">
      <c r="D274" s="11">
        <v>46087</v>
      </c>
      <c r="E274" s="12">
        <v>1582645</v>
      </c>
      <c r="F274" s="12" t="s">
        <v>16</v>
      </c>
      <c r="G274" s="13">
        <v>20320806</v>
      </c>
      <c r="H274" s="12" t="s">
        <v>436</v>
      </c>
      <c r="I274" s="13">
        <v>3</v>
      </c>
      <c r="J274" s="14">
        <v>8</v>
      </c>
      <c r="K274" s="14">
        <v>24</v>
      </c>
    </row>
    <row r="275" spans="4:11">
      <c r="D275" s="11">
        <v>46087</v>
      </c>
      <c r="E275" s="12">
        <v>1582645</v>
      </c>
      <c r="F275" s="12" t="s">
        <v>16</v>
      </c>
      <c r="G275" s="13">
        <v>20320803</v>
      </c>
      <c r="H275" s="12" t="s">
        <v>426</v>
      </c>
      <c r="I275" s="13">
        <v>14</v>
      </c>
      <c r="J275" s="14">
        <v>8</v>
      </c>
      <c r="K275" s="14">
        <v>112</v>
      </c>
    </row>
    <row r="276" spans="4:11">
      <c r="D276" s="11">
        <v>46087</v>
      </c>
      <c r="E276" s="12">
        <v>1582645</v>
      </c>
      <c r="F276" s="12" t="s">
        <v>16</v>
      </c>
      <c r="G276" s="13">
        <v>20320822</v>
      </c>
      <c r="H276" s="12" t="s">
        <v>427</v>
      </c>
      <c r="I276" s="13">
        <v>3</v>
      </c>
      <c r="J276" s="14">
        <v>8</v>
      </c>
      <c r="K276" s="14">
        <v>24</v>
      </c>
    </row>
    <row r="277" spans="4:11">
      <c r="D277" s="11">
        <v>46087</v>
      </c>
      <c r="E277" s="12">
        <v>1582645</v>
      </c>
      <c r="F277" s="12" t="s">
        <v>16</v>
      </c>
      <c r="G277" s="13">
        <v>20322465</v>
      </c>
      <c r="H277" s="12" t="s">
        <v>428</v>
      </c>
      <c r="I277" s="13">
        <v>1</v>
      </c>
      <c r="J277" s="14">
        <v>13.5</v>
      </c>
      <c r="K277" s="14">
        <v>13.5</v>
      </c>
    </row>
    <row r="278" spans="4:11">
      <c r="D278" s="11">
        <v>46087</v>
      </c>
      <c r="E278" s="12">
        <v>1582645</v>
      </c>
      <c r="F278" s="12" t="s">
        <v>16</v>
      </c>
      <c r="G278" s="13">
        <v>20321808</v>
      </c>
      <c r="H278" s="12" t="s">
        <v>429</v>
      </c>
      <c r="I278" s="13">
        <v>1</v>
      </c>
      <c r="J278" s="14">
        <v>22</v>
      </c>
      <c r="K278" s="14">
        <v>22</v>
      </c>
    </row>
    <row r="279" spans="4:11">
      <c r="D279" s="11">
        <v>46087</v>
      </c>
      <c r="E279" s="12">
        <v>1582645</v>
      </c>
      <c r="F279" s="12" t="s">
        <v>16</v>
      </c>
      <c r="G279" s="13">
        <v>20322464</v>
      </c>
      <c r="H279" s="12" t="s">
        <v>430</v>
      </c>
      <c r="I279" s="13">
        <v>2</v>
      </c>
      <c r="J279" s="14">
        <v>13.5</v>
      </c>
      <c r="K279" s="14">
        <v>27</v>
      </c>
    </row>
    <row r="280" spans="4:11">
      <c r="D280" s="11">
        <v>46087</v>
      </c>
      <c r="E280" s="12">
        <v>1582645</v>
      </c>
      <c r="F280" s="12" t="s">
        <v>16</v>
      </c>
      <c r="G280" s="13">
        <v>20320816</v>
      </c>
      <c r="H280" s="12" t="s">
        <v>438</v>
      </c>
      <c r="I280" s="13">
        <v>1</v>
      </c>
      <c r="J280" s="14">
        <v>8</v>
      </c>
      <c r="K280" s="14">
        <v>8</v>
      </c>
    </row>
    <row r="281" spans="4:11">
      <c r="D281" s="11">
        <v>46087</v>
      </c>
      <c r="E281" s="12">
        <v>1582645</v>
      </c>
      <c r="F281" s="12" t="s">
        <v>16</v>
      </c>
      <c r="G281" s="13">
        <v>20322748</v>
      </c>
      <c r="H281" s="12" t="s">
        <v>439</v>
      </c>
      <c r="I281" s="13">
        <v>2</v>
      </c>
      <c r="J281" s="14">
        <v>8</v>
      </c>
      <c r="K281" s="14">
        <v>16</v>
      </c>
    </row>
    <row r="282" spans="4:11">
      <c r="D282" s="11">
        <v>46087</v>
      </c>
      <c r="E282" s="12">
        <v>1582645</v>
      </c>
      <c r="F282" s="12" t="s">
        <v>16</v>
      </c>
      <c r="G282" s="13">
        <v>20322751</v>
      </c>
      <c r="H282" s="12" t="s">
        <v>447</v>
      </c>
      <c r="I282" s="13">
        <v>2</v>
      </c>
      <c r="J282" s="14">
        <v>8</v>
      </c>
      <c r="K282" s="14">
        <v>16</v>
      </c>
    </row>
    <row r="283" spans="4:11">
      <c r="D283" s="11">
        <v>46087</v>
      </c>
      <c r="E283" s="12">
        <v>1582645</v>
      </c>
      <c r="F283" s="12" t="s">
        <v>16</v>
      </c>
      <c r="G283" s="13">
        <v>20322752</v>
      </c>
      <c r="H283" s="12" t="s">
        <v>440</v>
      </c>
      <c r="I283" s="13">
        <v>3</v>
      </c>
      <c r="J283" s="14">
        <v>13.5</v>
      </c>
      <c r="K283" s="14">
        <v>40.5</v>
      </c>
    </row>
    <row r="284" spans="4:11">
      <c r="D284" s="11">
        <v>46087</v>
      </c>
      <c r="E284" s="12">
        <v>1582645</v>
      </c>
      <c r="F284" s="12" t="s">
        <v>16</v>
      </c>
      <c r="G284" s="13">
        <v>20322463</v>
      </c>
      <c r="H284" s="12" t="s">
        <v>441</v>
      </c>
      <c r="I284" s="13">
        <v>1</v>
      </c>
      <c r="J284" s="14">
        <v>16.5</v>
      </c>
      <c r="K284" s="14">
        <v>16.5</v>
      </c>
    </row>
    <row r="285" spans="4:11">
      <c r="D285" s="11">
        <v>46087</v>
      </c>
      <c r="E285" s="12">
        <v>1582645</v>
      </c>
      <c r="F285" s="12" t="s">
        <v>20</v>
      </c>
      <c r="G285" s="13">
        <v>20321379</v>
      </c>
      <c r="H285" s="12" t="s">
        <v>442</v>
      </c>
      <c r="I285" s="13">
        <v>1</v>
      </c>
      <c r="J285" s="14">
        <v>16.5</v>
      </c>
      <c r="K285" s="14">
        <v>16.5</v>
      </c>
    </row>
    <row r="286" spans="4:11">
      <c r="D286" s="11">
        <v>46087</v>
      </c>
      <c r="E286" s="12">
        <v>1582645</v>
      </c>
      <c r="F286" s="12" t="s">
        <v>20</v>
      </c>
      <c r="G286" s="13">
        <v>20356826</v>
      </c>
      <c r="H286" s="12" t="s">
        <v>443</v>
      </c>
      <c r="I286" s="13">
        <v>1</v>
      </c>
      <c r="J286" s="14">
        <v>16.5</v>
      </c>
      <c r="K286" s="14">
        <v>16.5</v>
      </c>
    </row>
    <row r="287" spans="4:11">
      <c r="D287" s="11">
        <v>46087</v>
      </c>
      <c r="E287" s="12">
        <v>1582645</v>
      </c>
      <c r="F287" s="12" t="s">
        <v>20</v>
      </c>
      <c r="G287" s="13">
        <v>20320872</v>
      </c>
      <c r="H287" s="12" t="s">
        <v>444</v>
      </c>
      <c r="I287" s="13">
        <v>1</v>
      </c>
      <c r="J287" s="14">
        <v>33</v>
      </c>
      <c r="K287" s="14">
        <v>33</v>
      </c>
    </row>
    <row r="288" spans="4:11">
      <c r="D288" s="11">
        <v>46087</v>
      </c>
      <c r="E288" s="12">
        <v>1582769</v>
      </c>
      <c r="F288" s="12" t="s">
        <v>16</v>
      </c>
      <c r="G288" s="13">
        <v>20320874</v>
      </c>
      <c r="H288" s="12" t="s">
        <v>432</v>
      </c>
      <c r="I288" s="13">
        <v>1</v>
      </c>
      <c r="J288" s="14">
        <v>8</v>
      </c>
      <c r="K288" s="14">
        <v>8</v>
      </c>
    </row>
    <row r="289" spans="4:11">
      <c r="D289" s="11">
        <v>46089</v>
      </c>
      <c r="E289" s="12">
        <v>1583085</v>
      </c>
      <c r="F289" s="12" t="s">
        <v>16</v>
      </c>
      <c r="G289" s="13">
        <v>20320875</v>
      </c>
      <c r="H289" s="12" t="s">
        <v>448</v>
      </c>
      <c r="I289" s="13">
        <v>1</v>
      </c>
      <c r="J289" s="14">
        <v>16.5</v>
      </c>
      <c r="K289" s="14">
        <v>16.5</v>
      </c>
    </row>
    <row r="290" spans="4:11">
      <c r="D290" s="11">
        <v>46089</v>
      </c>
      <c r="E290" s="12">
        <v>1583085</v>
      </c>
      <c r="F290" s="12" t="s">
        <v>16</v>
      </c>
      <c r="G290" s="13">
        <v>20320866</v>
      </c>
      <c r="H290" s="12" t="s">
        <v>445</v>
      </c>
      <c r="I290" s="13">
        <v>2</v>
      </c>
      <c r="J290" s="14">
        <v>16.5</v>
      </c>
      <c r="K290" s="14">
        <v>33</v>
      </c>
    </row>
    <row r="291" spans="4:11">
      <c r="D291" s="11">
        <v>46089</v>
      </c>
      <c r="E291" s="12">
        <v>1583085</v>
      </c>
      <c r="F291" s="12" t="s">
        <v>16</v>
      </c>
      <c r="G291" s="13">
        <v>20375454</v>
      </c>
      <c r="H291" s="12" t="s">
        <v>453</v>
      </c>
      <c r="I291" s="13">
        <v>2</v>
      </c>
      <c r="J291" s="14">
        <v>8</v>
      </c>
      <c r="K291" s="14">
        <v>16</v>
      </c>
    </row>
    <row r="292" spans="4:11">
      <c r="D292" s="11">
        <v>46089</v>
      </c>
      <c r="E292" s="12">
        <v>1583085</v>
      </c>
      <c r="F292" s="12" t="s">
        <v>16</v>
      </c>
      <c r="G292" s="13">
        <v>20320863</v>
      </c>
      <c r="H292" s="12" t="s">
        <v>434</v>
      </c>
      <c r="I292" s="13">
        <v>1</v>
      </c>
      <c r="J292" s="14">
        <v>8</v>
      </c>
      <c r="K292" s="14">
        <v>8</v>
      </c>
    </row>
    <row r="293" spans="4:11">
      <c r="D293" s="11">
        <v>46089</v>
      </c>
      <c r="E293" s="12">
        <v>1583085</v>
      </c>
      <c r="F293" s="12" t="s">
        <v>16</v>
      </c>
      <c r="G293" s="13">
        <v>20322466</v>
      </c>
      <c r="H293" s="12" t="s">
        <v>435</v>
      </c>
      <c r="I293" s="13">
        <v>2</v>
      </c>
      <c r="J293" s="14">
        <v>13.5</v>
      </c>
      <c r="K293" s="14">
        <v>27</v>
      </c>
    </row>
    <row r="294" spans="4:11">
      <c r="D294" s="11">
        <v>46089</v>
      </c>
      <c r="E294" s="12">
        <v>1583085</v>
      </c>
      <c r="F294" s="12" t="s">
        <v>16</v>
      </c>
      <c r="G294" s="13">
        <v>20363641</v>
      </c>
      <c r="H294" s="12" t="s">
        <v>446</v>
      </c>
      <c r="I294" s="13">
        <v>4</v>
      </c>
      <c r="J294" s="14">
        <v>13.5</v>
      </c>
      <c r="K294" s="14">
        <v>54</v>
      </c>
    </row>
    <row r="295" spans="4:11">
      <c r="D295" s="11">
        <v>46089</v>
      </c>
      <c r="E295" s="12">
        <v>1583085</v>
      </c>
      <c r="F295" s="12" t="s">
        <v>16</v>
      </c>
      <c r="G295" s="13">
        <v>20320806</v>
      </c>
      <c r="H295" s="12" t="s">
        <v>436</v>
      </c>
      <c r="I295" s="13">
        <v>4</v>
      </c>
      <c r="J295" s="14">
        <v>8</v>
      </c>
      <c r="K295" s="14">
        <v>32</v>
      </c>
    </row>
    <row r="296" spans="4:11">
      <c r="D296" s="11">
        <v>46089</v>
      </c>
      <c r="E296" s="12">
        <v>1583085</v>
      </c>
      <c r="F296" s="12" t="s">
        <v>16</v>
      </c>
      <c r="G296" s="13">
        <v>20320817</v>
      </c>
      <c r="H296" s="12" t="s">
        <v>437</v>
      </c>
      <c r="I296" s="13">
        <v>2</v>
      </c>
      <c r="J296" s="14">
        <v>8</v>
      </c>
      <c r="K296" s="14">
        <v>16</v>
      </c>
    </row>
    <row r="297" spans="4:11">
      <c r="D297" s="11">
        <v>46089</v>
      </c>
      <c r="E297" s="12">
        <v>1583085</v>
      </c>
      <c r="F297" s="12" t="s">
        <v>16</v>
      </c>
      <c r="G297" s="13">
        <v>20320803</v>
      </c>
      <c r="H297" s="12" t="s">
        <v>426</v>
      </c>
      <c r="I297" s="13">
        <v>11</v>
      </c>
      <c r="J297" s="14">
        <v>8</v>
      </c>
      <c r="K297" s="14">
        <v>88</v>
      </c>
    </row>
    <row r="298" spans="4:11">
      <c r="D298" s="11">
        <v>46089</v>
      </c>
      <c r="E298" s="12">
        <v>1583085</v>
      </c>
      <c r="F298" s="12" t="s">
        <v>16</v>
      </c>
      <c r="G298" s="13">
        <v>20320822</v>
      </c>
      <c r="H298" s="12" t="s">
        <v>427</v>
      </c>
      <c r="I298" s="13">
        <v>3</v>
      </c>
      <c r="J298" s="14">
        <v>8</v>
      </c>
      <c r="K298" s="14">
        <v>24</v>
      </c>
    </row>
    <row r="299" spans="4:11">
      <c r="D299" s="11">
        <v>46089</v>
      </c>
      <c r="E299" s="12">
        <v>1583085</v>
      </c>
      <c r="F299" s="12" t="s">
        <v>16</v>
      </c>
      <c r="G299" s="13">
        <v>20322465</v>
      </c>
      <c r="H299" s="12" t="s">
        <v>428</v>
      </c>
      <c r="I299" s="13">
        <v>1</v>
      </c>
      <c r="J299" s="14">
        <v>13.5</v>
      </c>
      <c r="K299" s="14">
        <v>13.5</v>
      </c>
    </row>
    <row r="300" spans="4:11">
      <c r="D300" s="11">
        <v>46089</v>
      </c>
      <c r="E300" s="12">
        <v>1583085</v>
      </c>
      <c r="F300" s="12" t="s">
        <v>16</v>
      </c>
      <c r="G300" s="13">
        <v>20321808</v>
      </c>
      <c r="H300" s="12" t="s">
        <v>429</v>
      </c>
      <c r="I300" s="13">
        <v>2</v>
      </c>
      <c r="J300" s="14">
        <v>22</v>
      </c>
      <c r="K300" s="14">
        <v>44</v>
      </c>
    </row>
    <row r="301" spans="4:11">
      <c r="D301" s="11">
        <v>46089</v>
      </c>
      <c r="E301" s="12">
        <v>1583085</v>
      </c>
      <c r="F301" s="12" t="s">
        <v>16</v>
      </c>
      <c r="G301" s="13">
        <v>20322464</v>
      </c>
      <c r="H301" s="12" t="s">
        <v>430</v>
      </c>
      <c r="I301" s="13">
        <v>2</v>
      </c>
      <c r="J301" s="14">
        <v>13.5</v>
      </c>
      <c r="K301" s="14">
        <v>27</v>
      </c>
    </row>
    <row r="302" spans="4:11">
      <c r="D302" s="11">
        <v>46089</v>
      </c>
      <c r="E302" s="12">
        <v>1583085</v>
      </c>
      <c r="F302" s="12" t="s">
        <v>16</v>
      </c>
      <c r="G302" s="13">
        <v>20322748</v>
      </c>
      <c r="H302" s="12" t="s">
        <v>439</v>
      </c>
      <c r="I302" s="13">
        <v>3</v>
      </c>
      <c r="J302" s="14">
        <v>8</v>
      </c>
      <c r="K302" s="14">
        <v>24</v>
      </c>
    </row>
    <row r="303" spans="4:11">
      <c r="D303" s="11">
        <v>46089</v>
      </c>
      <c r="E303" s="12">
        <v>1583085</v>
      </c>
      <c r="F303" s="12" t="s">
        <v>16</v>
      </c>
      <c r="G303" s="13">
        <v>20322752</v>
      </c>
      <c r="H303" s="12" t="s">
        <v>440</v>
      </c>
      <c r="I303" s="13">
        <v>1</v>
      </c>
      <c r="J303" s="14">
        <v>13.5</v>
      </c>
      <c r="K303" s="14">
        <v>13.5</v>
      </c>
    </row>
    <row r="304" spans="4:11">
      <c r="D304" s="11">
        <v>46089</v>
      </c>
      <c r="E304" s="12">
        <v>1583085</v>
      </c>
      <c r="F304" s="12" t="s">
        <v>16</v>
      </c>
      <c r="G304" s="13">
        <v>20322463</v>
      </c>
      <c r="H304" s="12" t="s">
        <v>441</v>
      </c>
      <c r="I304" s="13">
        <v>1</v>
      </c>
      <c r="J304" s="14">
        <v>16.5</v>
      </c>
      <c r="K304" s="14">
        <v>16.5</v>
      </c>
    </row>
    <row r="305" spans="4:11">
      <c r="D305" s="11">
        <v>46089</v>
      </c>
      <c r="E305" s="12">
        <v>1583085</v>
      </c>
      <c r="F305" s="12" t="s">
        <v>20</v>
      </c>
      <c r="G305" s="13">
        <v>20321379</v>
      </c>
      <c r="H305" s="12" t="s">
        <v>442</v>
      </c>
      <c r="I305" s="13">
        <v>2</v>
      </c>
      <c r="J305" s="14">
        <v>16.5</v>
      </c>
      <c r="K305" s="14">
        <v>33</v>
      </c>
    </row>
    <row r="306" spans="4:11">
      <c r="D306" s="11">
        <v>46089</v>
      </c>
      <c r="E306" s="12">
        <v>1583085</v>
      </c>
      <c r="F306" s="12" t="s">
        <v>20</v>
      </c>
      <c r="G306" s="13">
        <v>20356826</v>
      </c>
      <c r="H306" s="12" t="s">
        <v>443</v>
      </c>
      <c r="I306" s="13">
        <v>1</v>
      </c>
      <c r="J306" s="14">
        <v>16.5</v>
      </c>
      <c r="K306" s="14">
        <v>16.5</v>
      </c>
    </row>
    <row r="307" spans="4:11">
      <c r="D307" s="11">
        <v>46089</v>
      </c>
      <c r="E307" s="12">
        <v>1583085</v>
      </c>
      <c r="F307" s="12" t="s">
        <v>20</v>
      </c>
      <c r="G307" s="13">
        <v>20320872</v>
      </c>
      <c r="H307" s="12" t="s">
        <v>444</v>
      </c>
      <c r="I307" s="13">
        <v>1</v>
      </c>
      <c r="J307" s="14">
        <v>33</v>
      </c>
      <c r="K307" s="14">
        <v>33</v>
      </c>
    </row>
    <row r="308" spans="4:11">
      <c r="D308" s="11">
        <v>46089</v>
      </c>
      <c r="E308" s="12">
        <v>1583092</v>
      </c>
      <c r="F308" s="12" t="s">
        <v>16</v>
      </c>
      <c r="G308" s="13">
        <v>20322465</v>
      </c>
      <c r="H308" s="12" t="s">
        <v>428</v>
      </c>
      <c r="I308" s="13">
        <v>1</v>
      </c>
      <c r="J308" s="14">
        <v>13.5</v>
      </c>
      <c r="K308" s="14">
        <v>13.5</v>
      </c>
    </row>
    <row r="309" ht="0.05" customHeight="1"/>
  </sheetData>
  <autoFilter xmlns:etc="http://www.wps.cn/officeDocument/2017/etCustomData" ref="A7:K308" etc:filterBottomFollowUsedRange="0">
    <extLst/>
  </autoFilter>
  <mergeCells count="5">
    <mergeCell ref="D8:H8"/>
    <mergeCell ref="C7:C308"/>
    <mergeCell ref="B4:H5"/>
    <mergeCell ref="A7:B308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&amp;"-,Regular"2026年3月9日 8:21 
&amp;"-,Bold"&amp;10 黑龙江省铂康医疗灭菌有限公司 &amp;R&amp;"Droid Sans Fallback"&amp;9第&amp;P页，共&amp;N页 </oddFooter>
  </headerFooter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8"/>
  <sheetViews>
    <sheetView showGridLines="0" view="pageBreakPreview" zoomScaleNormal="100" workbookViewId="0">
      <pane ySplit="6" topLeftCell="A7" activePane="bottomLeft" state="frozen"/>
      <selection/>
      <selection pane="bottomLeft" activeCell="O27" sqref="O2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383</v>
      </c>
      <c r="E8" s="8" t="s">
        <v>2</v>
      </c>
      <c r="F8" s="8" t="s">
        <v>2</v>
      </c>
      <c r="G8" s="8" t="s">
        <v>2</v>
      </c>
      <c r="H8" s="8" t="s">
        <v>2</v>
      </c>
      <c r="I8" s="9">
        <v>511</v>
      </c>
      <c r="J8" s="10"/>
      <c r="K8" s="10">
        <v>5755</v>
      </c>
    </row>
    <row r="9" spans="1:11">
      <c r="D9" s="11">
        <v>46062</v>
      </c>
      <c r="E9" s="12">
        <v>1577301</v>
      </c>
      <c r="F9" s="12" t="s">
        <v>16</v>
      </c>
      <c r="G9" s="13">
        <v>20320854</v>
      </c>
      <c r="H9" s="12" t="s">
        <v>454</v>
      </c>
      <c r="I9" s="13">
        <v>1</v>
      </c>
      <c r="J9" s="14">
        <v>8</v>
      </c>
      <c r="K9" s="14">
        <v>8</v>
      </c>
    </row>
    <row r="10" spans="1:11">
      <c r="D10" s="11">
        <v>46062</v>
      </c>
      <c r="E10" s="12">
        <v>1577301</v>
      </c>
      <c r="F10" s="12" t="s">
        <v>16</v>
      </c>
      <c r="G10" s="13">
        <v>20320804</v>
      </c>
      <c r="H10" s="12" t="s">
        <v>455</v>
      </c>
      <c r="I10" s="13">
        <v>1</v>
      </c>
      <c r="J10" s="14">
        <v>8</v>
      </c>
      <c r="K10" s="14">
        <v>8</v>
      </c>
    </row>
    <row r="11" spans="1:11">
      <c r="D11" s="11">
        <v>46062</v>
      </c>
      <c r="E11" s="12">
        <v>1577301</v>
      </c>
      <c r="F11" s="12" t="s">
        <v>16</v>
      </c>
      <c r="G11" s="13">
        <v>20320797</v>
      </c>
      <c r="H11" s="12" t="s">
        <v>456</v>
      </c>
      <c r="I11" s="13">
        <v>2</v>
      </c>
      <c r="J11" s="14">
        <v>8</v>
      </c>
      <c r="K11" s="14">
        <v>16</v>
      </c>
    </row>
    <row r="12" spans="1:11">
      <c r="D12" s="11">
        <v>46062</v>
      </c>
      <c r="E12" s="12">
        <v>1577301</v>
      </c>
      <c r="F12" s="12" t="s">
        <v>16</v>
      </c>
      <c r="G12" s="13">
        <v>20320796</v>
      </c>
      <c r="H12" s="12" t="s">
        <v>457</v>
      </c>
      <c r="I12" s="13">
        <v>1</v>
      </c>
      <c r="J12" s="14">
        <v>8</v>
      </c>
      <c r="K12" s="14">
        <v>8</v>
      </c>
    </row>
    <row r="13" spans="1:11">
      <c r="D13" s="11">
        <v>46062</v>
      </c>
      <c r="E13" s="12">
        <v>1577301</v>
      </c>
      <c r="F13" s="12" t="s">
        <v>16</v>
      </c>
      <c r="G13" s="13">
        <v>20320861</v>
      </c>
      <c r="H13" s="12" t="s">
        <v>458</v>
      </c>
      <c r="I13" s="13">
        <v>1</v>
      </c>
      <c r="J13" s="14">
        <v>8</v>
      </c>
      <c r="K13" s="14">
        <v>8</v>
      </c>
    </row>
    <row r="14" spans="1:11">
      <c r="D14" s="11">
        <v>46062</v>
      </c>
      <c r="E14" s="12">
        <v>1577301</v>
      </c>
      <c r="F14" s="12" t="s">
        <v>16</v>
      </c>
      <c r="G14" s="13">
        <v>20320855</v>
      </c>
      <c r="H14" s="12" t="s">
        <v>459</v>
      </c>
      <c r="I14" s="13">
        <v>1</v>
      </c>
      <c r="J14" s="14">
        <v>8</v>
      </c>
      <c r="K14" s="14">
        <v>8</v>
      </c>
    </row>
    <row r="15" spans="1:11">
      <c r="D15" s="11">
        <v>46062</v>
      </c>
      <c r="E15" s="12">
        <v>1577301</v>
      </c>
      <c r="F15" s="12" t="s">
        <v>16</v>
      </c>
      <c r="G15" s="13">
        <v>20320852</v>
      </c>
      <c r="H15" s="12" t="s">
        <v>460</v>
      </c>
      <c r="I15" s="13">
        <v>2</v>
      </c>
      <c r="J15" s="14">
        <v>8</v>
      </c>
      <c r="K15" s="14">
        <v>16</v>
      </c>
    </row>
    <row r="16" spans="1:11">
      <c r="D16" s="11">
        <v>46062</v>
      </c>
      <c r="E16" s="12">
        <v>1577301</v>
      </c>
      <c r="F16" s="12" t="s">
        <v>30</v>
      </c>
      <c r="G16" s="13">
        <v>20321465</v>
      </c>
      <c r="H16" s="12" t="s">
        <v>461</v>
      </c>
      <c r="I16" s="13">
        <v>1</v>
      </c>
      <c r="J16" s="14">
        <v>38.5</v>
      </c>
      <c r="K16" s="14">
        <v>38.5</v>
      </c>
    </row>
    <row r="17" spans="4:11">
      <c r="D17" s="11">
        <v>46062</v>
      </c>
      <c r="E17" s="12">
        <v>1577301</v>
      </c>
      <c r="F17" s="12" t="s">
        <v>375</v>
      </c>
      <c r="G17" s="13">
        <v>20321457</v>
      </c>
      <c r="H17" s="12" t="s">
        <v>380</v>
      </c>
      <c r="I17" s="13">
        <v>20</v>
      </c>
      <c r="J17" s="14">
        <v>2.5</v>
      </c>
      <c r="K17" s="14">
        <v>50</v>
      </c>
    </row>
    <row r="18" spans="4:11">
      <c r="D18" s="11">
        <v>46063</v>
      </c>
      <c r="E18" s="12">
        <v>1577669</v>
      </c>
      <c r="F18" s="12" t="s">
        <v>16</v>
      </c>
      <c r="G18" s="13">
        <v>20320854</v>
      </c>
      <c r="H18" s="12" t="s">
        <v>454</v>
      </c>
      <c r="I18" s="13">
        <v>2</v>
      </c>
      <c r="J18" s="14">
        <v>8</v>
      </c>
      <c r="K18" s="14">
        <v>16</v>
      </c>
    </row>
    <row r="19" spans="4:11">
      <c r="D19" s="11">
        <v>46063</v>
      </c>
      <c r="E19" s="12">
        <v>1577669</v>
      </c>
      <c r="F19" s="12" t="s">
        <v>16</v>
      </c>
      <c r="G19" s="13">
        <v>20320804</v>
      </c>
      <c r="H19" s="12" t="s">
        <v>455</v>
      </c>
      <c r="I19" s="13">
        <v>3</v>
      </c>
      <c r="J19" s="14">
        <v>8</v>
      </c>
      <c r="K19" s="14">
        <v>24</v>
      </c>
    </row>
    <row r="20" spans="4:11">
      <c r="D20" s="11">
        <v>46063</v>
      </c>
      <c r="E20" s="12">
        <v>1577669</v>
      </c>
      <c r="F20" s="12" t="s">
        <v>16</v>
      </c>
      <c r="G20" s="13">
        <v>20320797</v>
      </c>
      <c r="H20" s="12" t="s">
        <v>456</v>
      </c>
      <c r="I20" s="13">
        <v>6</v>
      </c>
      <c r="J20" s="14">
        <v>8</v>
      </c>
      <c r="K20" s="14">
        <v>48</v>
      </c>
    </row>
    <row r="21" spans="4:11">
      <c r="D21" s="11">
        <v>46063</v>
      </c>
      <c r="E21" s="12">
        <v>1577669</v>
      </c>
      <c r="F21" s="12" t="s">
        <v>16</v>
      </c>
      <c r="G21" s="13">
        <v>20318164</v>
      </c>
      <c r="H21" s="12" t="s">
        <v>74</v>
      </c>
      <c r="I21" s="13">
        <v>1</v>
      </c>
      <c r="J21" s="14">
        <v>8</v>
      </c>
      <c r="K21" s="14">
        <v>8</v>
      </c>
    </row>
    <row r="22" spans="4:11">
      <c r="D22" s="11">
        <v>46063</v>
      </c>
      <c r="E22" s="12">
        <v>1577669</v>
      </c>
      <c r="F22" s="12" t="s">
        <v>16</v>
      </c>
      <c r="G22" s="13">
        <v>20318136</v>
      </c>
      <c r="H22" s="12" t="s">
        <v>57</v>
      </c>
      <c r="I22" s="13">
        <v>1</v>
      </c>
      <c r="J22" s="14">
        <v>8</v>
      </c>
      <c r="K22" s="14">
        <v>8</v>
      </c>
    </row>
    <row r="23" spans="4:11">
      <c r="D23" s="11">
        <v>46063</v>
      </c>
      <c r="E23" s="12">
        <v>1577669</v>
      </c>
      <c r="F23" s="12" t="s">
        <v>16</v>
      </c>
      <c r="G23" s="13">
        <v>20320861</v>
      </c>
      <c r="H23" s="12" t="s">
        <v>458</v>
      </c>
      <c r="I23" s="13">
        <v>6</v>
      </c>
      <c r="J23" s="14">
        <v>8</v>
      </c>
      <c r="K23" s="14">
        <v>48</v>
      </c>
    </row>
    <row r="24" spans="4:11">
      <c r="D24" s="11">
        <v>46063</v>
      </c>
      <c r="E24" s="12">
        <v>1577669</v>
      </c>
      <c r="F24" s="12" t="s">
        <v>16</v>
      </c>
      <c r="G24" s="13">
        <v>20320788</v>
      </c>
      <c r="H24" s="12" t="s">
        <v>462</v>
      </c>
      <c r="I24" s="13">
        <v>1</v>
      </c>
      <c r="J24" s="14">
        <v>8</v>
      </c>
      <c r="K24" s="14">
        <v>8</v>
      </c>
    </row>
    <row r="25" spans="4:11">
      <c r="D25" s="11">
        <v>46063</v>
      </c>
      <c r="E25" s="12">
        <v>1577669</v>
      </c>
      <c r="F25" s="12" t="s">
        <v>16</v>
      </c>
      <c r="G25" s="13">
        <v>20320865</v>
      </c>
      <c r="H25" s="12" t="s">
        <v>463</v>
      </c>
      <c r="I25" s="13">
        <v>2</v>
      </c>
      <c r="J25" s="14">
        <v>8</v>
      </c>
      <c r="K25" s="14">
        <v>16</v>
      </c>
    </row>
    <row r="26" spans="4:11">
      <c r="D26" s="11">
        <v>46063</v>
      </c>
      <c r="E26" s="12">
        <v>1577669</v>
      </c>
      <c r="F26" s="12" t="s">
        <v>16</v>
      </c>
      <c r="G26" s="13">
        <v>20320784</v>
      </c>
      <c r="H26" s="12" t="s">
        <v>464</v>
      </c>
      <c r="I26" s="13">
        <v>6</v>
      </c>
      <c r="J26" s="14">
        <v>8</v>
      </c>
      <c r="K26" s="14">
        <v>48</v>
      </c>
    </row>
    <row r="27" spans="4:11">
      <c r="D27" s="11">
        <v>46063</v>
      </c>
      <c r="E27" s="12">
        <v>1577669</v>
      </c>
      <c r="F27" s="12" t="s">
        <v>16</v>
      </c>
      <c r="G27" s="13">
        <v>20320855</v>
      </c>
      <c r="H27" s="12" t="s">
        <v>459</v>
      </c>
      <c r="I27" s="13">
        <v>3</v>
      </c>
      <c r="J27" s="14">
        <v>8</v>
      </c>
      <c r="K27" s="14">
        <v>24</v>
      </c>
    </row>
    <row r="28" spans="4:11">
      <c r="D28" s="11">
        <v>46063</v>
      </c>
      <c r="E28" s="12">
        <v>1577669</v>
      </c>
      <c r="F28" s="12" t="s">
        <v>16</v>
      </c>
      <c r="G28" s="13">
        <v>20320852</v>
      </c>
      <c r="H28" s="12" t="s">
        <v>460</v>
      </c>
      <c r="I28" s="13">
        <v>2</v>
      </c>
      <c r="J28" s="14">
        <v>8</v>
      </c>
      <c r="K28" s="14">
        <v>16</v>
      </c>
    </row>
    <row r="29" spans="4:11">
      <c r="D29" s="11">
        <v>46063</v>
      </c>
      <c r="E29" s="12">
        <v>1577669</v>
      </c>
      <c r="F29" s="12" t="s">
        <v>20</v>
      </c>
      <c r="G29" s="13">
        <v>20320830</v>
      </c>
      <c r="H29" s="12" t="s">
        <v>465</v>
      </c>
      <c r="I29" s="13">
        <v>2</v>
      </c>
      <c r="J29" s="14">
        <v>16.5</v>
      </c>
      <c r="K29" s="14">
        <v>33</v>
      </c>
    </row>
    <row r="30" spans="4:11">
      <c r="D30" s="11">
        <v>46063</v>
      </c>
      <c r="E30" s="12">
        <v>1577669</v>
      </c>
      <c r="F30" s="12" t="s">
        <v>20</v>
      </c>
      <c r="G30" s="13">
        <v>20320827</v>
      </c>
      <c r="H30" s="12" t="s">
        <v>466</v>
      </c>
      <c r="I30" s="13">
        <v>1</v>
      </c>
      <c r="J30" s="14">
        <v>16.5</v>
      </c>
      <c r="K30" s="14">
        <v>16.5</v>
      </c>
    </row>
    <row r="31" spans="4:11">
      <c r="D31" s="11">
        <v>46064</v>
      </c>
      <c r="E31" s="12">
        <v>1577946</v>
      </c>
      <c r="F31" s="12" t="s">
        <v>16</v>
      </c>
      <c r="G31" s="13">
        <v>20320854</v>
      </c>
      <c r="H31" s="12" t="s">
        <v>454</v>
      </c>
      <c r="I31" s="13">
        <v>1</v>
      </c>
      <c r="J31" s="14">
        <v>8</v>
      </c>
      <c r="K31" s="14">
        <v>8</v>
      </c>
    </row>
    <row r="32" spans="4:11">
      <c r="D32" s="11">
        <v>46064</v>
      </c>
      <c r="E32" s="12">
        <v>1577946</v>
      </c>
      <c r="F32" s="12" t="s">
        <v>16</v>
      </c>
      <c r="G32" s="13">
        <v>20320804</v>
      </c>
      <c r="H32" s="12" t="s">
        <v>455</v>
      </c>
      <c r="I32" s="13">
        <v>2</v>
      </c>
      <c r="J32" s="14">
        <v>8</v>
      </c>
      <c r="K32" s="14">
        <v>16</v>
      </c>
    </row>
    <row r="33" spans="4:11">
      <c r="D33" s="11">
        <v>46064</v>
      </c>
      <c r="E33" s="12">
        <v>1577946</v>
      </c>
      <c r="F33" s="12" t="s">
        <v>16</v>
      </c>
      <c r="G33" s="13">
        <v>20320797</v>
      </c>
      <c r="H33" s="12" t="s">
        <v>456</v>
      </c>
      <c r="I33" s="13">
        <v>3</v>
      </c>
      <c r="J33" s="14">
        <v>8</v>
      </c>
      <c r="K33" s="14">
        <v>24</v>
      </c>
    </row>
    <row r="34" spans="4:11">
      <c r="D34" s="11">
        <v>46064</v>
      </c>
      <c r="E34" s="12">
        <v>1577946</v>
      </c>
      <c r="F34" s="12" t="s">
        <v>16</v>
      </c>
      <c r="G34" s="13">
        <v>20320790</v>
      </c>
      <c r="H34" s="12" t="s">
        <v>427</v>
      </c>
      <c r="I34" s="13">
        <v>3</v>
      </c>
      <c r="J34" s="14">
        <v>8</v>
      </c>
      <c r="K34" s="14">
        <v>24</v>
      </c>
    </row>
    <row r="35" spans="4:11">
      <c r="D35" s="11">
        <v>46064</v>
      </c>
      <c r="E35" s="12">
        <v>1577946</v>
      </c>
      <c r="F35" s="12" t="s">
        <v>16</v>
      </c>
      <c r="G35" s="13">
        <v>20320861</v>
      </c>
      <c r="H35" s="12" t="s">
        <v>458</v>
      </c>
      <c r="I35" s="13">
        <v>2</v>
      </c>
      <c r="J35" s="14">
        <v>8</v>
      </c>
      <c r="K35" s="14">
        <v>16</v>
      </c>
    </row>
    <row r="36" spans="4:11">
      <c r="D36" s="11">
        <v>46064</v>
      </c>
      <c r="E36" s="12">
        <v>1577946</v>
      </c>
      <c r="F36" s="12" t="s">
        <v>16</v>
      </c>
      <c r="G36" s="13">
        <v>20320788</v>
      </c>
      <c r="H36" s="12" t="s">
        <v>462</v>
      </c>
      <c r="I36" s="13">
        <v>1</v>
      </c>
      <c r="J36" s="14">
        <v>8</v>
      </c>
      <c r="K36" s="14">
        <v>8</v>
      </c>
    </row>
    <row r="37" spans="4:11">
      <c r="D37" s="11">
        <v>46064</v>
      </c>
      <c r="E37" s="12">
        <v>1577946</v>
      </c>
      <c r="F37" s="12" t="s">
        <v>16</v>
      </c>
      <c r="G37" s="13">
        <v>20320865</v>
      </c>
      <c r="H37" s="12" t="s">
        <v>463</v>
      </c>
      <c r="I37" s="13">
        <v>1</v>
      </c>
      <c r="J37" s="14">
        <v>8</v>
      </c>
      <c r="K37" s="14">
        <v>8</v>
      </c>
    </row>
    <row r="38" spans="4:11">
      <c r="D38" s="11">
        <v>46064</v>
      </c>
      <c r="E38" s="12">
        <v>1577946</v>
      </c>
      <c r="F38" s="12" t="s">
        <v>16</v>
      </c>
      <c r="G38" s="13">
        <v>20339142</v>
      </c>
      <c r="H38" s="12" t="s">
        <v>467</v>
      </c>
      <c r="I38" s="13">
        <v>1</v>
      </c>
      <c r="J38" s="14">
        <v>13.5</v>
      </c>
      <c r="K38" s="14">
        <v>13.5</v>
      </c>
    </row>
    <row r="39" spans="4:11">
      <c r="D39" s="11">
        <v>46064</v>
      </c>
      <c r="E39" s="12">
        <v>1577946</v>
      </c>
      <c r="F39" s="12" t="s">
        <v>16</v>
      </c>
      <c r="G39" s="13">
        <v>20320784</v>
      </c>
      <c r="H39" s="12" t="s">
        <v>464</v>
      </c>
      <c r="I39" s="13">
        <v>6</v>
      </c>
      <c r="J39" s="14">
        <v>8</v>
      </c>
      <c r="K39" s="14">
        <v>48</v>
      </c>
    </row>
    <row r="40" spans="4:11">
      <c r="D40" s="11">
        <v>46064</v>
      </c>
      <c r="E40" s="12">
        <v>1577946</v>
      </c>
      <c r="F40" s="12" t="s">
        <v>16</v>
      </c>
      <c r="G40" s="13">
        <v>20320855</v>
      </c>
      <c r="H40" s="12" t="s">
        <v>459</v>
      </c>
      <c r="I40" s="13">
        <v>7</v>
      </c>
      <c r="J40" s="14">
        <v>8</v>
      </c>
      <c r="K40" s="14">
        <v>56</v>
      </c>
    </row>
    <row r="41" spans="4:11">
      <c r="D41" s="11">
        <v>46064</v>
      </c>
      <c r="E41" s="12">
        <v>1577946</v>
      </c>
      <c r="F41" s="12" t="s">
        <v>16</v>
      </c>
      <c r="G41" s="13">
        <v>20320852</v>
      </c>
      <c r="H41" s="12" t="s">
        <v>460</v>
      </c>
      <c r="I41" s="13">
        <v>3</v>
      </c>
      <c r="J41" s="14">
        <v>8</v>
      </c>
      <c r="K41" s="14">
        <v>24</v>
      </c>
    </row>
    <row r="42" spans="4:11">
      <c r="D42" s="11">
        <v>46064</v>
      </c>
      <c r="E42" s="12">
        <v>1577946</v>
      </c>
      <c r="F42" s="12" t="s">
        <v>30</v>
      </c>
      <c r="G42" s="13">
        <v>20321386</v>
      </c>
      <c r="H42" s="12" t="s">
        <v>468</v>
      </c>
      <c r="I42" s="13">
        <v>1</v>
      </c>
      <c r="J42" s="14">
        <v>33</v>
      </c>
      <c r="K42" s="14">
        <v>33</v>
      </c>
    </row>
    <row r="43" spans="4:11">
      <c r="D43" s="11">
        <v>46064</v>
      </c>
      <c r="E43" s="12">
        <v>1577946</v>
      </c>
      <c r="F43" s="12" t="s">
        <v>30</v>
      </c>
      <c r="G43" s="13">
        <v>20321465</v>
      </c>
      <c r="H43" s="12" t="s">
        <v>461</v>
      </c>
      <c r="I43" s="13">
        <v>2</v>
      </c>
      <c r="J43" s="14">
        <v>38.5</v>
      </c>
      <c r="K43" s="14">
        <v>77</v>
      </c>
    </row>
    <row r="44" spans="4:11">
      <c r="D44" s="11">
        <v>46064</v>
      </c>
      <c r="E44" s="12">
        <v>1577946</v>
      </c>
      <c r="F44" s="12" t="s">
        <v>20</v>
      </c>
      <c r="G44" s="13">
        <v>20320830</v>
      </c>
      <c r="H44" s="12" t="s">
        <v>465</v>
      </c>
      <c r="I44" s="13">
        <v>2</v>
      </c>
      <c r="J44" s="14">
        <v>16.5</v>
      </c>
      <c r="K44" s="14">
        <v>33</v>
      </c>
    </row>
    <row r="45" spans="4:11">
      <c r="D45" s="11">
        <v>46064</v>
      </c>
      <c r="E45" s="12">
        <v>1577946</v>
      </c>
      <c r="F45" s="12" t="s">
        <v>20</v>
      </c>
      <c r="G45" s="13">
        <v>20320827</v>
      </c>
      <c r="H45" s="12" t="s">
        <v>466</v>
      </c>
      <c r="I45" s="13">
        <v>1</v>
      </c>
      <c r="J45" s="14">
        <v>16.5</v>
      </c>
      <c r="K45" s="14">
        <v>16.5</v>
      </c>
    </row>
    <row r="46" spans="4:11">
      <c r="D46" s="11">
        <v>46065</v>
      </c>
      <c r="E46" s="12">
        <v>1578279</v>
      </c>
      <c r="F46" s="12" t="s">
        <v>16</v>
      </c>
      <c r="G46" s="13">
        <v>20320854</v>
      </c>
      <c r="H46" s="12" t="s">
        <v>454</v>
      </c>
      <c r="I46" s="13">
        <v>1</v>
      </c>
      <c r="J46" s="14">
        <v>8</v>
      </c>
      <c r="K46" s="14">
        <v>8</v>
      </c>
    </row>
    <row r="47" spans="4:11">
      <c r="D47" s="11">
        <v>46065</v>
      </c>
      <c r="E47" s="12">
        <v>1578279</v>
      </c>
      <c r="F47" s="12" t="s">
        <v>16</v>
      </c>
      <c r="G47" s="13">
        <v>20320804</v>
      </c>
      <c r="H47" s="12" t="s">
        <v>455</v>
      </c>
      <c r="I47" s="13">
        <v>3</v>
      </c>
      <c r="J47" s="14">
        <v>8</v>
      </c>
      <c r="K47" s="14">
        <v>24</v>
      </c>
    </row>
    <row r="48" spans="4:11">
      <c r="D48" s="11">
        <v>46065</v>
      </c>
      <c r="E48" s="12">
        <v>1578279</v>
      </c>
      <c r="F48" s="12" t="s">
        <v>16</v>
      </c>
      <c r="G48" s="13">
        <v>20320797</v>
      </c>
      <c r="H48" s="12" t="s">
        <v>456</v>
      </c>
      <c r="I48" s="13">
        <v>2</v>
      </c>
      <c r="J48" s="14">
        <v>8</v>
      </c>
      <c r="K48" s="14">
        <v>16</v>
      </c>
    </row>
    <row r="49" spans="4:11">
      <c r="D49" s="11">
        <v>46065</v>
      </c>
      <c r="E49" s="12">
        <v>1578279</v>
      </c>
      <c r="F49" s="12" t="s">
        <v>16</v>
      </c>
      <c r="G49" s="13">
        <v>20320799</v>
      </c>
      <c r="H49" s="12" t="s">
        <v>469</v>
      </c>
      <c r="I49" s="13">
        <v>1</v>
      </c>
      <c r="J49" s="14">
        <v>8</v>
      </c>
      <c r="K49" s="14">
        <v>8</v>
      </c>
    </row>
    <row r="50" spans="4:11">
      <c r="D50" s="11">
        <v>46065</v>
      </c>
      <c r="E50" s="12">
        <v>1578279</v>
      </c>
      <c r="F50" s="12" t="s">
        <v>16</v>
      </c>
      <c r="G50" s="13">
        <v>20320796</v>
      </c>
      <c r="H50" s="12" t="s">
        <v>457</v>
      </c>
      <c r="I50" s="13">
        <v>1</v>
      </c>
      <c r="J50" s="14">
        <v>8</v>
      </c>
      <c r="K50" s="14">
        <v>8</v>
      </c>
    </row>
    <row r="51" spans="4:11">
      <c r="D51" s="11">
        <v>46065</v>
      </c>
      <c r="E51" s="12">
        <v>1578279</v>
      </c>
      <c r="F51" s="12" t="s">
        <v>16</v>
      </c>
      <c r="G51" s="13">
        <v>20320846</v>
      </c>
      <c r="H51" s="12" t="s">
        <v>470</v>
      </c>
      <c r="I51" s="13">
        <v>1</v>
      </c>
      <c r="J51" s="14">
        <v>8</v>
      </c>
      <c r="K51" s="14">
        <v>8</v>
      </c>
    </row>
    <row r="52" spans="4:11">
      <c r="D52" s="11">
        <v>46065</v>
      </c>
      <c r="E52" s="12">
        <v>1578279</v>
      </c>
      <c r="F52" s="12" t="s">
        <v>16</v>
      </c>
      <c r="G52" s="13">
        <v>20318136</v>
      </c>
      <c r="H52" s="12" t="s">
        <v>57</v>
      </c>
      <c r="I52" s="13">
        <v>1</v>
      </c>
      <c r="J52" s="14">
        <v>8</v>
      </c>
      <c r="K52" s="14">
        <v>8</v>
      </c>
    </row>
    <row r="53" spans="4:11">
      <c r="D53" s="11">
        <v>46065</v>
      </c>
      <c r="E53" s="12">
        <v>1578279</v>
      </c>
      <c r="F53" s="12" t="s">
        <v>16</v>
      </c>
      <c r="G53" s="13">
        <v>20320861</v>
      </c>
      <c r="H53" s="12" t="s">
        <v>458</v>
      </c>
      <c r="I53" s="13">
        <v>4</v>
      </c>
      <c r="J53" s="14">
        <v>8</v>
      </c>
      <c r="K53" s="14">
        <v>32</v>
      </c>
    </row>
    <row r="54" spans="4:11">
      <c r="D54" s="11">
        <v>46065</v>
      </c>
      <c r="E54" s="12">
        <v>1578279</v>
      </c>
      <c r="F54" s="12" t="s">
        <v>16</v>
      </c>
      <c r="G54" s="13">
        <v>20324255</v>
      </c>
      <c r="H54" s="12" t="s">
        <v>471</v>
      </c>
      <c r="I54" s="13">
        <v>2</v>
      </c>
      <c r="J54" s="14">
        <v>8</v>
      </c>
      <c r="K54" s="14">
        <v>16</v>
      </c>
    </row>
    <row r="55" spans="4:11">
      <c r="D55" s="11">
        <v>46065</v>
      </c>
      <c r="E55" s="12">
        <v>1578279</v>
      </c>
      <c r="F55" s="12" t="s">
        <v>16</v>
      </c>
      <c r="G55" s="13">
        <v>20320784</v>
      </c>
      <c r="H55" s="12" t="s">
        <v>464</v>
      </c>
      <c r="I55" s="13">
        <v>2</v>
      </c>
      <c r="J55" s="14">
        <v>8</v>
      </c>
      <c r="K55" s="14">
        <v>16</v>
      </c>
    </row>
    <row r="56" spans="4:11">
      <c r="D56" s="11">
        <v>46065</v>
      </c>
      <c r="E56" s="12">
        <v>1578279</v>
      </c>
      <c r="F56" s="12" t="s">
        <v>16</v>
      </c>
      <c r="G56" s="13">
        <v>20320855</v>
      </c>
      <c r="H56" s="12" t="s">
        <v>459</v>
      </c>
      <c r="I56" s="13">
        <v>1</v>
      </c>
      <c r="J56" s="14">
        <v>8</v>
      </c>
      <c r="K56" s="14">
        <v>8</v>
      </c>
    </row>
    <row r="57" spans="4:11">
      <c r="D57" s="11">
        <v>46065</v>
      </c>
      <c r="E57" s="12">
        <v>1578279</v>
      </c>
      <c r="F57" s="12" t="s">
        <v>30</v>
      </c>
      <c r="G57" s="13">
        <v>20321465</v>
      </c>
      <c r="H57" s="12" t="s">
        <v>461</v>
      </c>
      <c r="I57" s="13">
        <v>2</v>
      </c>
      <c r="J57" s="14">
        <v>38.5</v>
      </c>
      <c r="K57" s="14">
        <v>77</v>
      </c>
    </row>
    <row r="58" spans="4:11">
      <c r="D58" s="11">
        <v>46065</v>
      </c>
      <c r="E58" s="12">
        <v>1578279</v>
      </c>
      <c r="F58" s="12" t="s">
        <v>20</v>
      </c>
      <c r="G58" s="13">
        <v>20320830</v>
      </c>
      <c r="H58" s="12" t="s">
        <v>465</v>
      </c>
      <c r="I58" s="13">
        <v>1</v>
      </c>
      <c r="J58" s="14">
        <v>16.5</v>
      </c>
      <c r="K58" s="14">
        <v>16.5</v>
      </c>
    </row>
    <row r="59" spans="4:11">
      <c r="D59" s="11">
        <v>46065</v>
      </c>
      <c r="E59" s="12">
        <v>1578279</v>
      </c>
      <c r="F59" s="12" t="s">
        <v>20</v>
      </c>
      <c r="G59" s="13">
        <v>20320827</v>
      </c>
      <c r="H59" s="12" t="s">
        <v>466</v>
      </c>
      <c r="I59" s="13">
        <v>1</v>
      </c>
      <c r="J59" s="14">
        <v>16.5</v>
      </c>
      <c r="K59" s="14">
        <v>16.5</v>
      </c>
    </row>
    <row r="60" spans="4:11">
      <c r="D60" s="11">
        <v>46065</v>
      </c>
      <c r="E60" s="12">
        <v>1578279</v>
      </c>
      <c r="F60" s="12" t="s">
        <v>20</v>
      </c>
      <c r="G60" s="13">
        <v>20367456</v>
      </c>
      <c r="H60" s="12" t="s">
        <v>472</v>
      </c>
      <c r="I60" s="13">
        <v>1</v>
      </c>
      <c r="J60" s="14">
        <v>33</v>
      </c>
      <c r="K60" s="14">
        <v>33</v>
      </c>
    </row>
    <row r="61" spans="4:11">
      <c r="D61" s="11">
        <v>46066</v>
      </c>
      <c r="E61" s="12">
        <v>1578604</v>
      </c>
      <c r="F61" s="12" t="s">
        <v>16</v>
      </c>
      <c r="G61" s="13">
        <v>20320854</v>
      </c>
      <c r="H61" s="12" t="s">
        <v>454</v>
      </c>
      <c r="I61" s="13">
        <v>1</v>
      </c>
      <c r="J61" s="14">
        <v>8</v>
      </c>
      <c r="K61" s="14">
        <v>8</v>
      </c>
    </row>
    <row r="62" spans="4:11">
      <c r="D62" s="11">
        <v>46066</v>
      </c>
      <c r="E62" s="12">
        <v>1578604</v>
      </c>
      <c r="F62" s="12" t="s">
        <v>16</v>
      </c>
      <c r="G62" s="13">
        <v>20320804</v>
      </c>
      <c r="H62" s="12" t="s">
        <v>455</v>
      </c>
      <c r="I62" s="13">
        <v>2</v>
      </c>
      <c r="J62" s="14">
        <v>8</v>
      </c>
      <c r="K62" s="14">
        <v>16</v>
      </c>
    </row>
    <row r="63" spans="4:11">
      <c r="D63" s="11">
        <v>46066</v>
      </c>
      <c r="E63" s="12">
        <v>1578604</v>
      </c>
      <c r="F63" s="12" t="s">
        <v>16</v>
      </c>
      <c r="G63" s="13">
        <v>20320797</v>
      </c>
      <c r="H63" s="12" t="s">
        <v>456</v>
      </c>
      <c r="I63" s="13">
        <v>2</v>
      </c>
      <c r="J63" s="14">
        <v>8</v>
      </c>
      <c r="K63" s="14">
        <v>16</v>
      </c>
    </row>
    <row r="64" spans="4:11">
      <c r="D64" s="11">
        <v>46066</v>
      </c>
      <c r="E64" s="12">
        <v>1578604</v>
      </c>
      <c r="F64" s="12" t="s">
        <v>16</v>
      </c>
      <c r="G64" s="13">
        <v>20318164</v>
      </c>
      <c r="H64" s="12" t="s">
        <v>74</v>
      </c>
      <c r="I64" s="13">
        <v>1</v>
      </c>
      <c r="J64" s="14">
        <v>8</v>
      </c>
      <c r="K64" s="14">
        <v>8</v>
      </c>
    </row>
    <row r="65" spans="4:11">
      <c r="D65" s="11">
        <v>46066</v>
      </c>
      <c r="E65" s="12">
        <v>1578604</v>
      </c>
      <c r="F65" s="12" t="s">
        <v>16</v>
      </c>
      <c r="G65" s="13">
        <v>20405681</v>
      </c>
      <c r="H65" s="12" t="s">
        <v>473</v>
      </c>
      <c r="I65" s="13">
        <v>1</v>
      </c>
      <c r="J65" s="14">
        <v>8</v>
      </c>
      <c r="K65" s="14">
        <v>8</v>
      </c>
    </row>
    <row r="66" spans="4:11">
      <c r="D66" s="11">
        <v>46066</v>
      </c>
      <c r="E66" s="12">
        <v>1578604</v>
      </c>
      <c r="F66" s="12" t="s">
        <v>16</v>
      </c>
      <c r="G66" s="13">
        <v>20320790</v>
      </c>
      <c r="H66" s="12" t="s">
        <v>427</v>
      </c>
      <c r="I66" s="13">
        <v>1</v>
      </c>
      <c r="J66" s="14">
        <v>8</v>
      </c>
      <c r="K66" s="14">
        <v>8</v>
      </c>
    </row>
    <row r="67" spans="4:11">
      <c r="D67" s="11">
        <v>46066</v>
      </c>
      <c r="E67" s="12">
        <v>1578604</v>
      </c>
      <c r="F67" s="12" t="s">
        <v>16</v>
      </c>
      <c r="G67" s="13">
        <v>20320861</v>
      </c>
      <c r="H67" s="12" t="s">
        <v>458</v>
      </c>
      <c r="I67" s="13">
        <v>1</v>
      </c>
      <c r="J67" s="14">
        <v>8</v>
      </c>
      <c r="K67" s="14">
        <v>8</v>
      </c>
    </row>
    <row r="68" spans="4:11">
      <c r="D68" s="11">
        <v>46066</v>
      </c>
      <c r="E68" s="12">
        <v>1578604</v>
      </c>
      <c r="F68" s="12" t="s">
        <v>16</v>
      </c>
      <c r="G68" s="13">
        <v>20324255</v>
      </c>
      <c r="H68" s="12" t="s">
        <v>471</v>
      </c>
      <c r="I68" s="13">
        <v>1</v>
      </c>
      <c r="J68" s="14">
        <v>8</v>
      </c>
      <c r="K68" s="14">
        <v>8</v>
      </c>
    </row>
    <row r="69" spans="4:11">
      <c r="D69" s="11">
        <v>46066</v>
      </c>
      <c r="E69" s="12">
        <v>1578604</v>
      </c>
      <c r="F69" s="12" t="s">
        <v>16</v>
      </c>
      <c r="G69" s="13">
        <v>20320784</v>
      </c>
      <c r="H69" s="12" t="s">
        <v>464</v>
      </c>
      <c r="I69" s="13">
        <v>1</v>
      </c>
      <c r="J69" s="14">
        <v>8</v>
      </c>
      <c r="K69" s="14">
        <v>8</v>
      </c>
    </row>
    <row r="70" spans="4:11">
      <c r="D70" s="11">
        <v>46066</v>
      </c>
      <c r="E70" s="12">
        <v>1578604</v>
      </c>
      <c r="F70" s="12" t="s">
        <v>16</v>
      </c>
      <c r="G70" s="13">
        <v>20320855</v>
      </c>
      <c r="H70" s="12" t="s">
        <v>459</v>
      </c>
      <c r="I70" s="13">
        <v>1</v>
      </c>
      <c r="J70" s="14">
        <v>8</v>
      </c>
      <c r="K70" s="14">
        <v>8</v>
      </c>
    </row>
    <row r="71" spans="4:11">
      <c r="D71" s="11">
        <v>46066</v>
      </c>
      <c r="E71" s="12">
        <v>1578604</v>
      </c>
      <c r="F71" s="12" t="s">
        <v>16</v>
      </c>
      <c r="G71" s="13">
        <v>20320852</v>
      </c>
      <c r="H71" s="12" t="s">
        <v>460</v>
      </c>
      <c r="I71" s="13">
        <v>1</v>
      </c>
      <c r="J71" s="14">
        <v>8</v>
      </c>
      <c r="K71" s="14">
        <v>8</v>
      </c>
    </row>
    <row r="72" spans="4:11">
      <c r="D72" s="11">
        <v>46066</v>
      </c>
      <c r="E72" s="12">
        <v>1578604</v>
      </c>
      <c r="F72" s="12" t="s">
        <v>30</v>
      </c>
      <c r="G72" s="13">
        <v>20321465</v>
      </c>
      <c r="H72" s="12" t="s">
        <v>461</v>
      </c>
      <c r="I72" s="13">
        <v>1</v>
      </c>
      <c r="J72" s="14">
        <v>38.5</v>
      </c>
      <c r="K72" s="14">
        <v>38.5</v>
      </c>
    </row>
    <row r="73" spans="4:11">
      <c r="D73" s="11">
        <v>46066</v>
      </c>
      <c r="E73" s="12">
        <v>1578604</v>
      </c>
      <c r="F73" s="12" t="s">
        <v>20</v>
      </c>
      <c r="G73" s="13">
        <v>20320830</v>
      </c>
      <c r="H73" s="12" t="s">
        <v>465</v>
      </c>
      <c r="I73" s="13">
        <v>1</v>
      </c>
      <c r="J73" s="14">
        <v>16.5</v>
      </c>
      <c r="K73" s="14">
        <v>16.5</v>
      </c>
    </row>
    <row r="74" spans="4:11">
      <c r="D74" s="11">
        <v>46066</v>
      </c>
      <c r="E74" s="12">
        <v>1578604</v>
      </c>
      <c r="F74" s="12" t="s">
        <v>20</v>
      </c>
      <c r="G74" s="13">
        <v>20320827</v>
      </c>
      <c r="H74" s="12" t="s">
        <v>466</v>
      </c>
      <c r="I74" s="13">
        <v>1</v>
      </c>
      <c r="J74" s="14">
        <v>16.5</v>
      </c>
      <c r="K74" s="14">
        <v>16.5</v>
      </c>
    </row>
    <row r="75" spans="4:11">
      <c r="D75" s="11">
        <v>46067</v>
      </c>
      <c r="E75" s="12">
        <v>1578888</v>
      </c>
      <c r="F75" s="12" t="s">
        <v>16</v>
      </c>
      <c r="G75" s="13">
        <v>20320854</v>
      </c>
      <c r="H75" s="12" t="s">
        <v>454</v>
      </c>
      <c r="I75" s="13">
        <v>1</v>
      </c>
      <c r="J75" s="14">
        <v>8</v>
      </c>
      <c r="K75" s="14">
        <v>8</v>
      </c>
    </row>
    <row r="76" spans="4:11">
      <c r="D76" s="11">
        <v>46067</v>
      </c>
      <c r="E76" s="12">
        <v>1578888</v>
      </c>
      <c r="F76" s="12" t="s">
        <v>16</v>
      </c>
      <c r="G76" s="13">
        <v>20320797</v>
      </c>
      <c r="H76" s="12" t="s">
        <v>456</v>
      </c>
      <c r="I76" s="13">
        <v>2</v>
      </c>
      <c r="J76" s="14">
        <v>8</v>
      </c>
      <c r="K76" s="14">
        <v>16</v>
      </c>
    </row>
    <row r="77" spans="4:11">
      <c r="D77" s="11">
        <v>46067</v>
      </c>
      <c r="E77" s="12">
        <v>1578888</v>
      </c>
      <c r="F77" s="12" t="s">
        <v>16</v>
      </c>
      <c r="G77" s="13">
        <v>20320861</v>
      </c>
      <c r="H77" s="12" t="s">
        <v>458</v>
      </c>
      <c r="I77" s="13">
        <v>1</v>
      </c>
      <c r="J77" s="14">
        <v>8</v>
      </c>
      <c r="K77" s="14">
        <v>8</v>
      </c>
    </row>
    <row r="78" spans="4:11">
      <c r="D78" s="11">
        <v>46067</v>
      </c>
      <c r="E78" s="12">
        <v>1578888</v>
      </c>
      <c r="F78" s="12" t="s">
        <v>16</v>
      </c>
      <c r="G78" s="13">
        <v>20324255</v>
      </c>
      <c r="H78" s="12" t="s">
        <v>471</v>
      </c>
      <c r="I78" s="13">
        <v>1</v>
      </c>
      <c r="J78" s="14">
        <v>8</v>
      </c>
      <c r="K78" s="14">
        <v>8</v>
      </c>
    </row>
    <row r="79" spans="4:11">
      <c r="D79" s="11">
        <v>46067</v>
      </c>
      <c r="E79" s="12">
        <v>1578888</v>
      </c>
      <c r="F79" s="12" t="s">
        <v>16</v>
      </c>
      <c r="G79" s="13">
        <v>20320855</v>
      </c>
      <c r="H79" s="12" t="s">
        <v>459</v>
      </c>
      <c r="I79" s="13">
        <v>1</v>
      </c>
      <c r="J79" s="14">
        <v>8</v>
      </c>
      <c r="K79" s="14">
        <v>8</v>
      </c>
    </row>
    <row r="80" spans="4:11">
      <c r="D80" s="11">
        <v>46067</v>
      </c>
      <c r="E80" s="12">
        <v>1578888</v>
      </c>
      <c r="F80" s="12" t="s">
        <v>16</v>
      </c>
      <c r="G80" s="13">
        <v>20320852</v>
      </c>
      <c r="H80" s="12" t="s">
        <v>460</v>
      </c>
      <c r="I80" s="13">
        <v>1</v>
      </c>
      <c r="J80" s="14">
        <v>8</v>
      </c>
      <c r="K80" s="14">
        <v>8</v>
      </c>
    </row>
    <row r="81" spans="4:11">
      <c r="D81" s="11">
        <v>46067</v>
      </c>
      <c r="E81" s="12">
        <v>1578888</v>
      </c>
      <c r="F81" s="12" t="s">
        <v>30</v>
      </c>
      <c r="G81" s="13">
        <v>20321465</v>
      </c>
      <c r="H81" s="12" t="s">
        <v>461</v>
      </c>
      <c r="I81" s="13">
        <v>1</v>
      </c>
      <c r="J81" s="14">
        <v>38.5</v>
      </c>
      <c r="K81" s="14">
        <v>38.5</v>
      </c>
    </row>
    <row r="82" spans="4:11">
      <c r="D82" s="11">
        <v>46067</v>
      </c>
      <c r="E82" s="12">
        <v>1578888</v>
      </c>
      <c r="F82" s="12" t="s">
        <v>20</v>
      </c>
      <c r="G82" s="13">
        <v>20320830</v>
      </c>
      <c r="H82" s="12" t="s">
        <v>465</v>
      </c>
      <c r="I82" s="13">
        <v>1</v>
      </c>
      <c r="J82" s="14">
        <v>16.5</v>
      </c>
      <c r="K82" s="14">
        <v>16.5</v>
      </c>
    </row>
    <row r="83" spans="4:11">
      <c r="D83" s="11">
        <v>46067</v>
      </c>
      <c r="E83" s="12">
        <v>1578888</v>
      </c>
      <c r="F83" s="12" t="s">
        <v>20</v>
      </c>
      <c r="G83" s="13">
        <v>20320827</v>
      </c>
      <c r="H83" s="12" t="s">
        <v>466</v>
      </c>
      <c r="I83" s="13">
        <v>1</v>
      </c>
      <c r="J83" s="14">
        <v>16.5</v>
      </c>
      <c r="K83" s="14">
        <v>16.5</v>
      </c>
    </row>
    <row r="84" spans="4:11">
      <c r="D84" s="11">
        <v>46070</v>
      </c>
      <c r="E84" s="12">
        <v>1579133</v>
      </c>
      <c r="F84" s="12" t="s">
        <v>16</v>
      </c>
      <c r="G84" s="13">
        <v>20320804</v>
      </c>
      <c r="H84" s="12" t="s">
        <v>455</v>
      </c>
      <c r="I84" s="13">
        <v>1</v>
      </c>
      <c r="J84" s="14">
        <v>8</v>
      </c>
      <c r="K84" s="14">
        <v>8</v>
      </c>
    </row>
    <row r="85" spans="4:11">
      <c r="D85" s="11">
        <v>46070</v>
      </c>
      <c r="E85" s="12">
        <v>1579133</v>
      </c>
      <c r="F85" s="12" t="s">
        <v>16</v>
      </c>
      <c r="G85" s="13">
        <v>20320861</v>
      </c>
      <c r="H85" s="12" t="s">
        <v>458</v>
      </c>
      <c r="I85" s="13">
        <v>3</v>
      </c>
      <c r="J85" s="14">
        <v>8</v>
      </c>
      <c r="K85" s="14">
        <v>24</v>
      </c>
    </row>
    <row r="86" spans="4:11">
      <c r="D86" s="11">
        <v>46070</v>
      </c>
      <c r="E86" s="12">
        <v>1579133</v>
      </c>
      <c r="F86" s="12" t="s">
        <v>16</v>
      </c>
      <c r="G86" s="13">
        <v>20320845</v>
      </c>
      <c r="H86" s="12" t="s">
        <v>474</v>
      </c>
      <c r="I86" s="13">
        <v>1</v>
      </c>
      <c r="J86" s="14">
        <v>13.5</v>
      </c>
      <c r="K86" s="14">
        <v>13.5</v>
      </c>
    </row>
    <row r="87" spans="4:11">
      <c r="D87" s="11">
        <v>46070</v>
      </c>
      <c r="E87" s="12">
        <v>1579133</v>
      </c>
      <c r="F87" s="12" t="s">
        <v>16</v>
      </c>
      <c r="G87" s="13">
        <v>20320788</v>
      </c>
      <c r="H87" s="12" t="s">
        <v>462</v>
      </c>
      <c r="I87" s="13">
        <v>1</v>
      </c>
      <c r="J87" s="14">
        <v>8</v>
      </c>
      <c r="K87" s="14">
        <v>8</v>
      </c>
    </row>
    <row r="88" spans="4:11">
      <c r="D88" s="11">
        <v>46070</v>
      </c>
      <c r="E88" s="12">
        <v>1579133</v>
      </c>
      <c r="F88" s="12" t="s">
        <v>16</v>
      </c>
      <c r="G88" s="13">
        <v>20320784</v>
      </c>
      <c r="H88" s="12" t="s">
        <v>464</v>
      </c>
      <c r="I88" s="13">
        <v>3</v>
      </c>
      <c r="J88" s="14">
        <v>8</v>
      </c>
      <c r="K88" s="14">
        <v>24</v>
      </c>
    </row>
    <row r="89" spans="4:11">
      <c r="D89" s="11">
        <v>46070</v>
      </c>
      <c r="E89" s="12">
        <v>1579133</v>
      </c>
      <c r="F89" s="12" t="s">
        <v>16</v>
      </c>
      <c r="G89" s="13">
        <v>20320855</v>
      </c>
      <c r="H89" s="12" t="s">
        <v>459</v>
      </c>
      <c r="I89" s="13">
        <v>2</v>
      </c>
      <c r="J89" s="14">
        <v>8</v>
      </c>
      <c r="K89" s="14">
        <v>16</v>
      </c>
    </row>
    <row r="90" spans="4:11">
      <c r="D90" s="11">
        <v>46070</v>
      </c>
      <c r="E90" s="12">
        <v>1579133</v>
      </c>
      <c r="F90" s="12" t="s">
        <v>30</v>
      </c>
      <c r="G90" s="13">
        <v>20321465</v>
      </c>
      <c r="H90" s="12" t="s">
        <v>461</v>
      </c>
      <c r="I90" s="13">
        <v>2</v>
      </c>
      <c r="J90" s="14">
        <v>38.5</v>
      </c>
      <c r="K90" s="14">
        <v>77</v>
      </c>
    </row>
    <row r="91" spans="4:11">
      <c r="D91" s="11">
        <v>46073</v>
      </c>
      <c r="E91" s="12">
        <v>1579300</v>
      </c>
      <c r="F91" s="12" t="s">
        <v>16</v>
      </c>
      <c r="G91" s="13">
        <v>20320804</v>
      </c>
      <c r="H91" s="12" t="s">
        <v>455</v>
      </c>
      <c r="I91" s="13">
        <v>1</v>
      </c>
      <c r="J91" s="14">
        <v>8</v>
      </c>
      <c r="K91" s="14">
        <v>8</v>
      </c>
    </row>
    <row r="92" spans="4:11">
      <c r="D92" s="11">
        <v>46073</v>
      </c>
      <c r="E92" s="12">
        <v>1579300</v>
      </c>
      <c r="F92" s="12" t="s">
        <v>16</v>
      </c>
      <c r="G92" s="13">
        <v>20320797</v>
      </c>
      <c r="H92" s="12" t="s">
        <v>456</v>
      </c>
      <c r="I92" s="13">
        <v>1</v>
      </c>
      <c r="J92" s="14">
        <v>8</v>
      </c>
      <c r="K92" s="14">
        <v>8</v>
      </c>
    </row>
    <row r="93" spans="4:11">
      <c r="D93" s="11">
        <v>46073</v>
      </c>
      <c r="E93" s="12">
        <v>1579300</v>
      </c>
      <c r="F93" s="12" t="s">
        <v>16</v>
      </c>
      <c r="G93" s="13">
        <v>20318164</v>
      </c>
      <c r="H93" s="12" t="s">
        <v>74</v>
      </c>
      <c r="I93" s="13">
        <v>3</v>
      </c>
      <c r="J93" s="14">
        <v>8</v>
      </c>
      <c r="K93" s="14">
        <v>24</v>
      </c>
    </row>
    <row r="94" spans="4:11">
      <c r="D94" s="11">
        <v>46073</v>
      </c>
      <c r="E94" s="12">
        <v>1579300</v>
      </c>
      <c r="F94" s="12" t="s">
        <v>16</v>
      </c>
      <c r="G94" s="13">
        <v>20320861</v>
      </c>
      <c r="H94" s="12" t="s">
        <v>458</v>
      </c>
      <c r="I94" s="13">
        <v>1</v>
      </c>
      <c r="J94" s="14">
        <v>8</v>
      </c>
      <c r="K94" s="14">
        <v>8</v>
      </c>
    </row>
    <row r="95" spans="4:11">
      <c r="D95" s="11">
        <v>46073</v>
      </c>
      <c r="E95" s="12">
        <v>1579300</v>
      </c>
      <c r="F95" s="12" t="s">
        <v>16</v>
      </c>
      <c r="G95" s="13">
        <v>20320845</v>
      </c>
      <c r="H95" s="12" t="s">
        <v>474</v>
      </c>
      <c r="I95" s="13">
        <v>1</v>
      </c>
      <c r="J95" s="14">
        <v>13.5</v>
      </c>
      <c r="K95" s="14">
        <v>13.5</v>
      </c>
    </row>
    <row r="96" spans="4:11">
      <c r="D96" s="11">
        <v>46073</v>
      </c>
      <c r="E96" s="12">
        <v>1579300</v>
      </c>
      <c r="F96" s="12" t="s">
        <v>16</v>
      </c>
      <c r="G96" s="13">
        <v>20320784</v>
      </c>
      <c r="H96" s="12" t="s">
        <v>464</v>
      </c>
      <c r="I96" s="13">
        <v>2</v>
      </c>
      <c r="J96" s="14">
        <v>8</v>
      </c>
      <c r="K96" s="14">
        <v>16</v>
      </c>
    </row>
    <row r="97" spans="4:11">
      <c r="D97" s="11">
        <v>46073</v>
      </c>
      <c r="E97" s="12">
        <v>1579300</v>
      </c>
      <c r="F97" s="12" t="s">
        <v>16</v>
      </c>
      <c r="G97" s="13">
        <v>20320855</v>
      </c>
      <c r="H97" s="12" t="s">
        <v>459</v>
      </c>
      <c r="I97" s="13">
        <v>1</v>
      </c>
      <c r="J97" s="14">
        <v>8</v>
      </c>
      <c r="K97" s="14">
        <v>8</v>
      </c>
    </row>
    <row r="98" spans="4:11">
      <c r="D98" s="11">
        <v>46074</v>
      </c>
      <c r="E98" s="12">
        <v>1579363</v>
      </c>
      <c r="F98" s="12" t="s">
        <v>16</v>
      </c>
      <c r="G98" s="13">
        <v>20320804</v>
      </c>
      <c r="H98" s="12" t="s">
        <v>455</v>
      </c>
      <c r="I98" s="13">
        <v>1</v>
      </c>
      <c r="J98" s="14">
        <v>8</v>
      </c>
      <c r="K98" s="14">
        <v>8</v>
      </c>
    </row>
    <row r="99" spans="4:11">
      <c r="D99" s="11">
        <v>46074</v>
      </c>
      <c r="E99" s="12">
        <v>1579363</v>
      </c>
      <c r="F99" s="12" t="s">
        <v>16</v>
      </c>
      <c r="G99" s="13">
        <v>20324255</v>
      </c>
      <c r="H99" s="12" t="s">
        <v>471</v>
      </c>
      <c r="I99" s="13">
        <v>1</v>
      </c>
      <c r="J99" s="14">
        <v>8</v>
      </c>
      <c r="K99" s="14">
        <v>8</v>
      </c>
    </row>
    <row r="100" spans="4:11">
      <c r="D100" s="11">
        <v>46074</v>
      </c>
      <c r="E100" s="12">
        <v>1579363</v>
      </c>
      <c r="F100" s="12" t="s">
        <v>16</v>
      </c>
      <c r="G100" s="13">
        <v>20320784</v>
      </c>
      <c r="H100" s="12" t="s">
        <v>464</v>
      </c>
      <c r="I100" s="13">
        <v>1</v>
      </c>
      <c r="J100" s="14">
        <v>8</v>
      </c>
      <c r="K100" s="14">
        <v>8</v>
      </c>
    </row>
    <row r="101" spans="4:11">
      <c r="D101" s="11">
        <v>46074</v>
      </c>
      <c r="E101" s="12">
        <v>1579363</v>
      </c>
      <c r="F101" s="12" t="s">
        <v>16</v>
      </c>
      <c r="G101" s="13">
        <v>20320855</v>
      </c>
      <c r="H101" s="12" t="s">
        <v>459</v>
      </c>
      <c r="I101" s="13">
        <v>1</v>
      </c>
      <c r="J101" s="14">
        <v>8</v>
      </c>
      <c r="K101" s="14">
        <v>8</v>
      </c>
    </row>
    <row r="102" spans="4:11">
      <c r="D102" s="11">
        <v>46076</v>
      </c>
      <c r="E102" s="12">
        <v>1579527</v>
      </c>
      <c r="F102" s="12" t="s">
        <v>16</v>
      </c>
      <c r="G102" s="13">
        <v>20320854</v>
      </c>
      <c r="H102" s="12" t="s">
        <v>454</v>
      </c>
      <c r="I102" s="13">
        <v>1</v>
      </c>
      <c r="J102" s="14">
        <v>8</v>
      </c>
      <c r="K102" s="14">
        <v>8</v>
      </c>
    </row>
    <row r="103" spans="4:11">
      <c r="D103" s="11">
        <v>46076</v>
      </c>
      <c r="E103" s="12">
        <v>1579527</v>
      </c>
      <c r="F103" s="12" t="s">
        <v>16</v>
      </c>
      <c r="G103" s="13">
        <v>20320804</v>
      </c>
      <c r="H103" s="12" t="s">
        <v>455</v>
      </c>
      <c r="I103" s="13">
        <v>3</v>
      </c>
      <c r="J103" s="14">
        <v>8</v>
      </c>
      <c r="K103" s="14">
        <v>24</v>
      </c>
    </row>
    <row r="104" spans="4:11">
      <c r="D104" s="11">
        <v>46076</v>
      </c>
      <c r="E104" s="12">
        <v>1579527</v>
      </c>
      <c r="F104" s="12" t="s">
        <v>16</v>
      </c>
      <c r="G104" s="13">
        <v>20320797</v>
      </c>
      <c r="H104" s="12" t="s">
        <v>456</v>
      </c>
      <c r="I104" s="13">
        <v>5</v>
      </c>
      <c r="J104" s="14">
        <v>8</v>
      </c>
      <c r="K104" s="14">
        <v>40</v>
      </c>
    </row>
    <row r="105" spans="4:11">
      <c r="D105" s="11">
        <v>46076</v>
      </c>
      <c r="E105" s="12">
        <v>1579527</v>
      </c>
      <c r="F105" s="12" t="s">
        <v>16</v>
      </c>
      <c r="G105" s="13">
        <v>20320796</v>
      </c>
      <c r="H105" s="12" t="s">
        <v>457</v>
      </c>
      <c r="I105" s="13">
        <v>2</v>
      </c>
      <c r="J105" s="14">
        <v>8</v>
      </c>
      <c r="K105" s="14">
        <v>16</v>
      </c>
    </row>
    <row r="106" spans="4:11">
      <c r="D106" s="11">
        <v>46076</v>
      </c>
      <c r="E106" s="12">
        <v>1579527</v>
      </c>
      <c r="F106" s="12" t="s">
        <v>16</v>
      </c>
      <c r="G106" s="13">
        <v>20320861</v>
      </c>
      <c r="H106" s="12" t="s">
        <v>458</v>
      </c>
      <c r="I106" s="13">
        <v>5</v>
      </c>
      <c r="J106" s="14">
        <v>8</v>
      </c>
      <c r="K106" s="14">
        <v>40</v>
      </c>
    </row>
    <row r="107" spans="4:11">
      <c r="D107" s="11">
        <v>46076</v>
      </c>
      <c r="E107" s="12">
        <v>1579527</v>
      </c>
      <c r="F107" s="12" t="s">
        <v>16</v>
      </c>
      <c r="G107" s="13">
        <v>20320788</v>
      </c>
      <c r="H107" s="12" t="s">
        <v>462</v>
      </c>
      <c r="I107" s="13">
        <v>2</v>
      </c>
      <c r="J107" s="14">
        <v>8</v>
      </c>
      <c r="K107" s="14">
        <v>16</v>
      </c>
    </row>
    <row r="108" spans="4:11">
      <c r="D108" s="11">
        <v>46076</v>
      </c>
      <c r="E108" s="12">
        <v>1579527</v>
      </c>
      <c r="F108" s="12" t="s">
        <v>16</v>
      </c>
      <c r="G108" s="13">
        <v>20320784</v>
      </c>
      <c r="H108" s="12" t="s">
        <v>464</v>
      </c>
      <c r="I108" s="13">
        <v>1</v>
      </c>
      <c r="J108" s="14">
        <v>8</v>
      </c>
      <c r="K108" s="14">
        <v>8</v>
      </c>
    </row>
    <row r="109" spans="4:11">
      <c r="D109" s="11">
        <v>46076</v>
      </c>
      <c r="E109" s="12">
        <v>1579527</v>
      </c>
      <c r="F109" s="12" t="s">
        <v>16</v>
      </c>
      <c r="G109" s="13">
        <v>20320855</v>
      </c>
      <c r="H109" s="12" t="s">
        <v>459</v>
      </c>
      <c r="I109" s="13">
        <v>6</v>
      </c>
      <c r="J109" s="14">
        <v>8</v>
      </c>
      <c r="K109" s="14">
        <v>48</v>
      </c>
    </row>
    <row r="110" spans="4:11">
      <c r="D110" s="11">
        <v>46076</v>
      </c>
      <c r="E110" s="12">
        <v>1579527</v>
      </c>
      <c r="F110" s="12" t="s">
        <v>16</v>
      </c>
      <c r="G110" s="13">
        <v>20320852</v>
      </c>
      <c r="H110" s="12" t="s">
        <v>460</v>
      </c>
      <c r="I110" s="13">
        <v>1</v>
      </c>
      <c r="J110" s="14">
        <v>8</v>
      </c>
      <c r="K110" s="14">
        <v>8</v>
      </c>
    </row>
    <row r="111" spans="4:11">
      <c r="D111" s="11">
        <v>46076</v>
      </c>
      <c r="E111" s="12">
        <v>1579527</v>
      </c>
      <c r="F111" s="12" t="s">
        <v>30</v>
      </c>
      <c r="G111" s="13">
        <v>20321386</v>
      </c>
      <c r="H111" s="12" t="s">
        <v>468</v>
      </c>
      <c r="I111" s="13">
        <v>1</v>
      </c>
      <c r="J111" s="14">
        <v>33</v>
      </c>
      <c r="K111" s="14">
        <v>33</v>
      </c>
    </row>
    <row r="112" spans="4:11">
      <c r="D112" s="11">
        <v>46076</v>
      </c>
      <c r="E112" s="12">
        <v>1579527</v>
      </c>
      <c r="F112" s="12" t="s">
        <v>30</v>
      </c>
      <c r="G112" s="13">
        <v>20321465</v>
      </c>
      <c r="H112" s="12" t="s">
        <v>461</v>
      </c>
      <c r="I112" s="13">
        <v>2</v>
      </c>
      <c r="J112" s="14">
        <v>38.5</v>
      </c>
      <c r="K112" s="14">
        <v>77</v>
      </c>
    </row>
    <row r="113" spans="4:11">
      <c r="D113" s="11">
        <v>46076</v>
      </c>
      <c r="E113" s="12">
        <v>1579527</v>
      </c>
      <c r="F113" s="12" t="s">
        <v>20</v>
      </c>
      <c r="G113" s="13">
        <v>20320830</v>
      </c>
      <c r="H113" s="12" t="s">
        <v>465</v>
      </c>
      <c r="I113" s="13">
        <v>1</v>
      </c>
      <c r="J113" s="14">
        <v>16.5</v>
      </c>
      <c r="K113" s="14">
        <v>16.5</v>
      </c>
    </row>
    <row r="114" spans="4:11">
      <c r="D114" s="11">
        <v>46076</v>
      </c>
      <c r="E114" s="12">
        <v>1579527</v>
      </c>
      <c r="F114" s="12" t="s">
        <v>20</v>
      </c>
      <c r="G114" s="13">
        <v>20320827</v>
      </c>
      <c r="H114" s="12" t="s">
        <v>466</v>
      </c>
      <c r="I114" s="13">
        <v>1</v>
      </c>
      <c r="J114" s="14">
        <v>16.5</v>
      </c>
      <c r="K114" s="14">
        <v>16.5</v>
      </c>
    </row>
    <row r="115" spans="4:11">
      <c r="D115" s="11">
        <v>46077</v>
      </c>
      <c r="E115" s="12">
        <v>1579627</v>
      </c>
      <c r="F115" s="12" t="s">
        <v>16</v>
      </c>
      <c r="G115" s="13">
        <v>20320854</v>
      </c>
      <c r="H115" s="12" t="s">
        <v>454</v>
      </c>
      <c r="I115" s="13">
        <v>1</v>
      </c>
      <c r="J115" s="14">
        <v>8</v>
      </c>
      <c r="K115" s="14">
        <v>8</v>
      </c>
    </row>
    <row r="116" spans="4:11">
      <c r="D116" s="11">
        <v>46077</v>
      </c>
      <c r="E116" s="12">
        <v>1579627</v>
      </c>
      <c r="F116" s="12" t="s">
        <v>16</v>
      </c>
      <c r="G116" s="13">
        <v>20320797</v>
      </c>
      <c r="H116" s="12" t="s">
        <v>456</v>
      </c>
      <c r="I116" s="13">
        <v>2</v>
      </c>
      <c r="J116" s="14">
        <v>8</v>
      </c>
      <c r="K116" s="14">
        <v>16</v>
      </c>
    </row>
    <row r="117" spans="4:11">
      <c r="D117" s="11">
        <v>46077</v>
      </c>
      <c r="E117" s="12">
        <v>1579627</v>
      </c>
      <c r="F117" s="12" t="s">
        <v>16</v>
      </c>
      <c r="G117" s="13">
        <v>20320796</v>
      </c>
      <c r="H117" s="12" t="s">
        <v>457</v>
      </c>
      <c r="I117" s="13">
        <v>1</v>
      </c>
      <c r="J117" s="14">
        <v>8</v>
      </c>
      <c r="K117" s="14">
        <v>8</v>
      </c>
    </row>
    <row r="118" spans="4:11">
      <c r="D118" s="11">
        <v>46077</v>
      </c>
      <c r="E118" s="12">
        <v>1579627</v>
      </c>
      <c r="F118" s="12" t="s">
        <v>16</v>
      </c>
      <c r="G118" s="13">
        <v>20320861</v>
      </c>
      <c r="H118" s="12" t="s">
        <v>458</v>
      </c>
      <c r="I118" s="13">
        <v>1</v>
      </c>
      <c r="J118" s="14">
        <v>8</v>
      </c>
      <c r="K118" s="14">
        <v>8</v>
      </c>
    </row>
    <row r="119" spans="4:11">
      <c r="D119" s="11">
        <v>46077</v>
      </c>
      <c r="E119" s="12">
        <v>1579627</v>
      </c>
      <c r="F119" s="12" t="s">
        <v>16</v>
      </c>
      <c r="G119" s="13">
        <v>20320855</v>
      </c>
      <c r="H119" s="12" t="s">
        <v>459</v>
      </c>
      <c r="I119" s="13">
        <v>1</v>
      </c>
      <c r="J119" s="14">
        <v>8</v>
      </c>
      <c r="K119" s="14">
        <v>8</v>
      </c>
    </row>
    <row r="120" spans="4:11">
      <c r="D120" s="11">
        <v>46077</v>
      </c>
      <c r="E120" s="12">
        <v>1579627</v>
      </c>
      <c r="F120" s="12" t="s">
        <v>16</v>
      </c>
      <c r="G120" s="13">
        <v>20320852</v>
      </c>
      <c r="H120" s="12" t="s">
        <v>460</v>
      </c>
      <c r="I120" s="13">
        <v>1</v>
      </c>
      <c r="J120" s="14">
        <v>8</v>
      </c>
      <c r="K120" s="14">
        <v>8</v>
      </c>
    </row>
    <row r="121" spans="4:11">
      <c r="D121" s="11">
        <v>46077</v>
      </c>
      <c r="E121" s="12">
        <v>1579647</v>
      </c>
      <c r="F121" s="12" t="s">
        <v>30</v>
      </c>
      <c r="G121" s="13">
        <v>20321465</v>
      </c>
      <c r="H121" s="12" t="s">
        <v>461</v>
      </c>
      <c r="I121" s="13">
        <v>1</v>
      </c>
      <c r="J121" s="14">
        <v>38.5</v>
      </c>
      <c r="K121" s="14">
        <v>38.5</v>
      </c>
    </row>
    <row r="122" spans="4:11">
      <c r="D122" s="11">
        <v>46078</v>
      </c>
      <c r="E122" s="12">
        <v>1579967</v>
      </c>
      <c r="F122" s="12" t="s">
        <v>16</v>
      </c>
      <c r="G122" s="13">
        <v>20320854</v>
      </c>
      <c r="H122" s="12" t="s">
        <v>454</v>
      </c>
      <c r="I122" s="13">
        <v>1</v>
      </c>
      <c r="J122" s="14">
        <v>8</v>
      </c>
      <c r="K122" s="14">
        <v>8</v>
      </c>
    </row>
    <row r="123" spans="4:11">
      <c r="D123" s="11">
        <v>46078</v>
      </c>
      <c r="E123" s="12">
        <v>1579967</v>
      </c>
      <c r="F123" s="12" t="s">
        <v>16</v>
      </c>
      <c r="G123" s="13">
        <v>20320804</v>
      </c>
      <c r="H123" s="12" t="s">
        <v>455</v>
      </c>
      <c r="I123" s="13">
        <v>4</v>
      </c>
      <c r="J123" s="14">
        <v>8</v>
      </c>
      <c r="K123" s="14">
        <v>32</v>
      </c>
    </row>
    <row r="124" spans="4:11">
      <c r="D124" s="11">
        <v>46078</v>
      </c>
      <c r="E124" s="12">
        <v>1579967</v>
      </c>
      <c r="F124" s="12" t="s">
        <v>16</v>
      </c>
      <c r="G124" s="13">
        <v>20320797</v>
      </c>
      <c r="H124" s="12" t="s">
        <v>456</v>
      </c>
      <c r="I124" s="13">
        <v>4</v>
      </c>
      <c r="J124" s="14">
        <v>8</v>
      </c>
      <c r="K124" s="14">
        <v>32</v>
      </c>
    </row>
    <row r="125" spans="4:11">
      <c r="D125" s="11">
        <v>46078</v>
      </c>
      <c r="E125" s="12">
        <v>1579967</v>
      </c>
      <c r="F125" s="12" t="s">
        <v>16</v>
      </c>
      <c r="G125" s="13">
        <v>20318164</v>
      </c>
      <c r="H125" s="12" t="s">
        <v>74</v>
      </c>
      <c r="I125" s="13">
        <v>1</v>
      </c>
      <c r="J125" s="14">
        <v>8</v>
      </c>
      <c r="K125" s="14">
        <v>8</v>
      </c>
    </row>
    <row r="126" spans="4:11">
      <c r="D126" s="11">
        <v>46078</v>
      </c>
      <c r="E126" s="12">
        <v>1579967</v>
      </c>
      <c r="F126" s="12" t="s">
        <v>16</v>
      </c>
      <c r="G126" s="13">
        <v>20320790</v>
      </c>
      <c r="H126" s="12" t="s">
        <v>427</v>
      </c>
      <c r="I126" s="13">
        <v>1</v>
      </c>
      <c r="J126" s="14">
        <v>8</v>
      </c>
      <c r="K126" s="14">
        <v>8</v>
      </c>
    </row>
    <row r="127" spans="4:11">
      <c r="D127" s="11">
        <v>46078</v>
      </c>
      <c r="E127" s="12">
        <v>1579967</v>
      </c>
      <c r="F127" s="12" t="s">
        <v>16</v>
      </c>
      <c r="G127" s="13">
        <v>20320861</v>
      </c>
      <c r="H127" s="12" t="s">
        <v>458</v>
      </c>
      <c r="I127" s="13">
        <v>1</v>
      </c>
      <c r="J127" s="14">
        <v>8</v>
      </c>
      <c r="K127" s="14">
        <v>8</v>
      </c>
    </row>
    <row r="128" spans="4:11">
      <c r="D128" s="11">
        <v>46078</v>
      </c>
      <c r="E128" s="12">
        <v>1579967</v>
      </c>
      <c r="F128" s="12" t="s">
        <v>16</v>
      </c>
      <c r="G128" s="13">
        <v>20324255</v>
      </c>
      <c r="H128" s="12" t="s">
        <v>471</v>
      </c>
      <c r="I128" s="13">
        <v>1</v>
      </c>
      <c r="J128" s="14">
        <v>8</v>
      </c>
      <c r="K128" s="14">
        <v>8</v>
      </c>
    </row>
    <row r="129" spans="4:11">
      <c r="D129" s="11">
        <v>46078</v>
      </c>
      <c r="E129" s="12">
        <v>1579967</v>
      </c>
      <c r="F129" s="12" t="s">
        <v>16</v>
      </c>
      <c r="G129" s="13">
        <v>20320865</v>
      </c>
      <c r="H129" s="12" t="s">
        <v>463</v>
      </c>
      <c r="I129" s="13">
        <v>1</v>
      </c>
      <c r="J129" s="14">
        <v>8</v>
      </c>
      <c r="K129" s="14">
        <v>8</v>
      </c>
    </row>
    <row r="130" spans="4:11">
      <c r="D130" s="11">
        <v>46078</v>
      </c>
      <c r="E130" s="12">
        <v>1579967</v>
      </c>
      <c r="F130" s="12" t="s">
        <v>16</v>
      </c>
      <c r="G130" s="13">
        <v>20320784</v>
      </c>
      <c r="H130" s="12" t="s">
        <v>464</v>
      </c>
      <c r="I130" s="13">
        <v>1</v>
      </c>
      <c r="J130" s="14">
        <v>8</v>
      </c>
      <c r="K130" s="14">
        <v>8</v>
      </c>
    </row>
    <row r="131" spans="4:11">
      <c r="D131" s="11">
        <v>46078</v>
      </c>
      <c r="E131" s="12">
        <v>1579967</v>
      </c>
      <c r="F131" s="12" t="s">
        <v>16</v>
      </c>
      <c r="G131" s="13">
        <v>20320852</v>
      </c>
      <c r="H131" s="12" t="s">
        <v>460</v>
      </c>
      <c r="I131" s="13">
        <v>1</v>
      </c>
      <c r="J131" s="14">
        <v>8</v>
      </c>
      <c r="K131" s="14">
        <v>8</v>
      </c>
    </row>
    <row r="132" spans="4:11">
      <c r="D132" s="11">
        <v>46078</v>
      </c>
      <c r="E132" s="12">
        <v>1579967</v>
      </c>
      <c r="F132" s="12" t="s">
        <v>30</v>
      </c>
      <c r="G132" s="13">
        <v>20321386</v>
      </c>
      <c r="H132" s="12" t="s">
        <v>468</v>
      </c>
      <c r="I132" s="13">
        <v>1</v>
      </c>
      <c r="J132" s="14">
        <v>33</v>
      </c>
      <c r="K132" s="14">
        <v>33</v>
      </c>
    </row>
    <row r="133" spans="4:11">
      <c r="D133" s="11">
        <v>46078</v>
      </c>
      <c r="E133" s="12">
        <v>1579967</v>
      </c>
      <c r="F133" s="12" t="s">
        <v>30</v>
      </c>
      <c r="G133" s="13">
        <v>20321465</v>
      </c>
      <c r="H133" s="12" t="s">
        <v>461</v>
      </c>
      <c r="I133" s="13">
        <v>1</v>
      </c>
      <c r="J133" s="14">
        <v>38.5</v>
      </c>
      <c r="K133" s="14">
        <v>38.5</v>
      </c>
    </row>
    <row r="134" spans="4:11">
      <c r="D134" s="11">
        <v>46078</v>
      </c>
      <c r="E134" s="12">
        <v>1579967</v>
      </c>
      <c r="F134" s="12" t="s">
        <v>20</v>
      </c>
      <c r="G134" s="13">
        <v>20320830</v>
      </c>
      <c r="H134" s="12" t="s">
        <v>465</v>
      </c>
      <c r="I134" s="13">
        <v>2</v>
      </c>
      <c r="J134" s="14">
        <v>16.5</v>
      </c>
      <c r="K134" s="14">
        <v>33</v>
      </c>
    </row>
    <row r="135" spans="4:11">
      <c r="D135" s="11">
        <v>46078</v>
      </c>
      <c r="E135" s="12">
        <v>1579967</v>
      </c>
      <c r="F135" s="12" t="s">
        <v>20</v>
      </c>
      <c r="G135" s="13">
        <v>20320827</v>
      </c>
      <c r="H135" s="12" t="s">
        <v>466</v>
      </c>
      <c r="I135" s="13">
        <v>1</v>
      </c>
      <c r="J135" s="14">
        <v>16.5</v>
      </c>
      <c r="K135" s="14">
        <v>16.5</v>
      </c>
    </row>
    <row r="136" spans="4:11">
      <c r="D136" s="11">
        <v>46079</v>
      </c>
      <c r="E136" s="12">
        <v>1580286</v>
      </c>
      <c r="F136" s="12" t="s">
        <v>16</v>
      </c>
      <c r="G136" s="13">
        <v>20320804</v>
      </c>
      <c r="H136" s="12" t="s">
        <v>455</v>
      </c>
      <c r="I136" s="13">
        <v>8</v>
      </c>
      <c r="J136" s="14">
        <v>8</v>
      </c>
      <c r="K136" s="14">
        <v>64</v>
      </c>
    </row>
    <row r="137" spans="4:11">
      <c r="D137" s="11">
        <v>46079</v>
      </c>
      <c r="E137" s="12">
        <v>1580286</v>
      </c>
      <c r="F137" s="12" t="s">
        <v>16</v>
      </c>
      <c r="G137" s="13">
        <v>20320797</v>
      </c>
      <c r="H137" s="12" t="s">
        <v>456</v>
      </c>
      <c r="I137" s="13">
        <v>6</v>
      </c>
      <c r="J137" s="14">
        <v>8</v>
      </c>
      <c r="K137" s="14">
        <v>48</v>
      </c>
    </row>
    <row r="138" spans="4:11">
      <c r="D138" s="11">
        <v>46079</v>
      </c>
      <c r="E138" s="12">
        <v>1580286</v>
      </c>
      <c r="F138" s="12" t="s">
        <v>16</v>
      </c>
      <c r="G138" s="13">
        <v>20318136</v>
      </c>
      <c r="H138" s="12" t="s">
        <v>57</v>
      </c>
      <c r="I138" s="13">
        <v>1</v>
      </c>
      <c r="J138" s="14">
        <v>8</v>
      </c>
      <c r="K138" s="14">
        <v>8</v>
      </c>
    </row>
    <row r="139" spans="4:11">
      <c r="D139" s="11">
        <v>46079</v>
      </c>
      <c r="E139" s="12">
        <v>1580286</v>
      </c>
      <c r="F139" s="12" t="s">
        <v>16</v>
      </c>
      <c r="G139" s="13">
        <v>20320861</v>
      </c>
      <c r="H139" s="12" t="s">
        <v>458</v>
      </c>
      <c r="I139" s="13">
        <v>5</v>
      </c>
      <c r="J139" s="14">
        <v>8</v>
      </c>
      <c r="K139" s="14">
        <v>40</v>
      </c>
    </row>
    <row r="140" spans="4:11">
      <c r="D140" s="11">
        <v>46079</v>
      </c>
      <c r="E140" s="12">
        <v>1580286</v>
      </c>
      <c r="F140" s="12" t="s">
        <v>16</v>
      </c>
      <c r="G140" s="13">
        <v>20320788</v>
      </c>
      <c r="H140" s="12" t="s">
        <v>462</v>
      </c>
      <c r="I140" s="13">
        <v>1</v>
      </c>
      <c r="J140" s="14">
        <v>8</v>
      </c>
      <c r="K140" s="14">
        <v>8</v>
      </c>
    </row>
    <row r="141" spans="4:11">
      <c r="D141" s="11">
        <v>46079</v>
      </c>
      <c r="E141" s="12">
        <v>1580286</v>
      </c>
      <c r="F141" s="12" t="s">
        <v>16</v>
      </c>
      <c r="G141" s="13">
        <v>20320784</v>
      </c>
      <c r="H141" s="12" t="s">
        <v>464</v>
      </c>
      <c r="I141" s="13">
        <v>3</v>
      </c>
      <c r="J141" s="14">
        <v>8</v>
      </c>
      <c r="K141" s="14">
        <v>24</v>
      </c>
    </row>
    <row r="142" spans="4:11">
      <c r="D142" s="11">
        <v>46079</v>
      </c>
      <c r="E142" s="12">
        <v>1580286</v>
      </c>
      <c r="F142" s="12" t="s">
        <v>16</v>
      </c>
      <c r="G142" s="13">
        <v>20320855</v>
      </c>
      <c r="H142" s="12" t="s">
        <v>459</v>
      </c>
      <c r="I142" s="13">
        <v>8</v>
      </c>
      <c r="J142" s="14">
        <v>8</v>
      </c>
      <c r="K142" s="14">
        <v>64</v>
      </c>
    </row>
    <row r="143" spans="4:11">
      <c r="D143" s="11">
        <v>46079</v>
      </c>
      <c r="E143" s="12">
        <v>1580286</v>
      </c>
      <c r="F143" s="12" t="s">
        <v>30</v>
      </c>
      <c r="G143" s="13">
        <v>20321386</v>
      </c>
      <c r="H143" s="12" t="s">
        <v>468</v>
      </c>
      <c r="I143" s="13">
        <v>1</v>
      </c>
      <c r="J143" s="14">
        <v>33</v>
      </c>
      <c r="K143" s="14">
        <v>33</v>
      </c>
    </row>
    <row r="144" spans="4:11">
      <c r="D144" s="11">
        <v>46079</v>
      </c>
      <c r="E144" s="12">
        <v>1580286</v>
      </c>
      <c r="F144" s="12" t="s">
        <v>30</v>
      </c>
      <c r="G144" s="13">
        <v>20321465</v>
      </c>
      <c r="H144" s="12" t="s">
        <v>461</v>
      </c>
      <c r="I144" s="13">
        <v>1</v>
      </c>
      <c r="J144" s="14">
        <v>38.5</v>
      </c>
      <c r="K144" s="14">
        <v>38.5</v>
      </c>
    </row>
    <row r="145" spans="4:11">
      <c r="D145" s="11">
        <v>46079</v>
      </c>
      <c r="E145" s="12">
        <v>1580286</v>
      </c>
      <c r="F145" s="12" t="s">
        <v>20</v>
      </c>
      <c r="G145" s="13">
        <v>20320830</v>
      </c>
      <c r="H145" s="12" t="s">
        <v>465</v>
      </c>
      <c r="I145" s="13">
        <v>1</v>
      </c>
      <c r="J145" s="14">
        <v>16.5</v>
      </c>
      <c r="K145" s="14">
        <v>16.5</v>
      </c>
    </row>
    <row r="146" spans="4:11">
      <c r="D146" s="11">
        <v>46079</v>
      </c>
      <c r="E146" s="12">
        <v>1580286</v>
      </c>
      <c r="F146" s="12" t="s">
        <v>20</v>
      </c>
      <c r="G146" s="13">
        <v>20320827</v>
      </c>
      <c r="H146" s="12" t="s">
        <v>466</v>
      </c>
      <c r="I146" s="13">
        <v>1</v>
      </c>
      <c r="J146" s="14">
        <v>16.5</v>
      </c>
      <c r="K146" s="14">
        <v>16.5</v>
      </c>
    </row>
    <row r="147" spans="4:11">
      <c r="D147" s="11">
        <v>46080</v>
      </c>
      <c r="E147" s="12">
        <v>1580649</v>
      </c>
      <c r="F147" s="12" t="s">
        <v>16</v>
      </c>
      <c r="G147" s="13">
        <v>20320804</v>
      </c>
      <c r="H147" s="12" t="s">
        <v>455</v>
      </c>
      <c r="I147" s="13">
        <v>6</v>
      </c>
      <c r="J147" s="14">
        <v>8</v>
      </c>
      <c r="K147" s="14">
        <v>48</v>
      </c>
    </row>
    <row r="148" spans="4:11">
      <c r="D148" s="11">
        <v>46080</v>
      </c>
      <c r="E148" s="12">
        <v>1580649</v>
      </c>
      <c r="F148" s="12" t="s">
        <v>16</v>
      </c>
      <c r="G148" s="13">
        <v>20320797</v>
      </c>
      <c r="H148" s="12" t="s">
        <v>456</v>
      </c>
      <c r="I148" s="13">
        <v>3</v>
      </c>
      <c r="J148" s="14">
        <v>8</v>
      </c>
      <c r="K148" s="14">
        <v>24</v>
      </c>
    </row>
    <row r="149" spans="4:11">
      <c r="D149" s="11">
        <v>46080</v>
      </c>
      <c r="E149" s="12">
        <v>1580649</v>
      </c>
      <c r="F149" s="12" t="s">
        <v>16</v>
      </c>
      <c r="G149" s="13">
        <v>20320791</v>
      </c>
      <c r="H149" s="12" t="s">
        <v>475</v>
      </c>
      <c r="I149" s="13">
        <v>1</v>
      </c>
      <c r="J149" s="14">
        <v>8</v>
      </c>
      <c r="K149" s="14">
        <v>8</v>
      </c>
    </row>
    <row r="150" spans="4:11">
      <c r="D150" s="11">
        <v>46080</v>
      </c>
      <c r="E150" s="12">
        <v>1580649</v>
      </c>
      <c r="F150" s="12" t="s">
        <v>16</v>
      </c>
      <c r="G150" s="13">
        <v>20318164</v>
      </c>
      <c r="H150" s="12" t="s">
        <v>74</v>
      </c>
      <c r="I150" s="13">
        <v>2</v>
      </c>
      <c r="J150" s="14">
        <v>8</v>
      </c>
      <c r="K150" s="14">
        <v>16</v>
      </c>
    </row>
    <row r="151" spans="4:11">
      <c r="D151" s="11">
        <v>46080</v>
      </c>
      <c r="E151" s="12">
        <v>1580649</v>
      </c>
      <c r="F151" s="12" t="s">
        <v>16</v>
      </c>
      <c r="G151" s="13">
        <v>20320790</v>
      </c>
      <c r="H151" s="12" t="s">
        <v>427</v>
      </c>
      <c r="I151" s="13">
        <v>2</v>
      </c>
      <c r="J151" s="14">
        <v>8</v>
      </c>
      <c r="K151" s="14">
        <v>16</v>
      </c>
    </row>
    <row r="152" spans="4:11">
      <c r="D152" s="11">
        <v>46080</v>
      </c>
      <c r="E152" s="12">
        <v>1580649</v>
      </c>
      <c r="F152" s="12" t="s">
        <v>16</v>
      </c>
      <c r="G152" s="13">
        <v>20320861</v>
      </c>
      <c r="H152" s="12" t="s">
        <v>458</v>
      </c>
      <c r="I152" s="13">
        <v>2</v>
      </c>
      <c r="J152" s="14">
        <v>8</v>
      </c>
      <c r="K152" s="14">
        <v>16</v>
      </c>
    </row>
    <row r="153" spans="4:11">
      <c r="D153" s="11">
        <v>46080</v>
      </c>
      <c r="E153" s="12">
        <v>1580649</v>
      </c>
      <c r="F153" s="12" t="s">
        <v>16</v>
      </c>
      <c r="G153" s="13">
        <v>20320845</v>
      </c>
      <c r="H153" s="12" t="s">
        <v>474</v>
      </c>
      <c r="I153" s="13">
        <v>1</v>
      </c>
      <c r="J153" s="14">
        <v>13.5</v>
      </c>
      <c r="K153" s="14">
        <v>13.5</v>
      </c>
    </row>
    <row r="154" spans="4:11">
      <c r="D154" s="11">
        <v>46080</v>
      </c>
      <c r="E154" s="12">
        <v>1580649</v>
      </c>
      <c r="F154" s="12" t="s">
        <v>16</v>
      </c>
      <c r="G154" s="13">
        <v>20320865</v>
      </c>
      <c r="H154" s="12" t="s">
        <v>463</v>
      </c>
      <c r="I154" s="13">
        <v>1</v>
      </c>
      <c r="J154" s="14">
        <v>8</v>
      </c>
      <c r="K154" s="14">
        <v>8</v>
      </c>
    </row>
    <row r="155" spans="4:11">
      <c r="D155" s="11">
        <v>46080</v>
      </c>
      <c r="E155" s="12">
        <v>1580649</v>
      </c>
      <c r="F155" s="12" t="s">
        <v>16</v>
      </c>
      <c r="G155" s="13">
        <v>20339142</v>
      </c>
      <c r="H155" s="12" t="s">
        <v>467</v>
      </c>
      <c r="I155" s="13">
        <v>1</v>
      </c>
      <c r="J155" s="14">
        <v>13.5</v>
      </c>
      <c r="K155" s="14">
        <v>13.5</v>
      </c>
    </row>
    <row r="156" spans="4:11">
      <c r="D156" s="11">
        <v>46080</v>
      </c>
      <c r="E156" s="12">
        <v>1580649</v>
      </c>
      <c r="F156" s="12" t="s">
        <v>16</v>
      </c>
      <c r="G156" s="13">
        <v>20320784</v>
      </c>
      <c r="H156" s="12" t="s">
        <v>464</v>
      </c>
      <c r="I156" s="13">
        <v>2</v>
      </c>
      <c r="J156" s="14">
        <v>8</v>
      </c>
      <c r="K156" s="14">
        <v>16</v>
      </c>
    </row>
    <row r="157" spans="4:11">
      <c r="D157" s="11">
        <v>46080</v>
      </c>
      <c r="E157" s="12">
        <v>1580649</v>
      </c>
      <c r="F157" s="12" t="s">
        <v>30</v>
      </c>
      <c r="G157" s="13">
        <v>20321386</v>
      </c>
      <c r="H157" s="12" t="s">
        <v>468</v>
      </c>
      <c r="I157" s="13">
        <v>1</v>
      </c>
      <c r="J157" s="14">
        <v>33</v>
      </c>
      <c r="K157" s="14">
        <v>33</v>
      </c>
    </row>
    <row r="158" spans="4:11">
      <c r="D158" s="11">
        <v>46080</v>
      </c>
      <c r="E158" s="12">
        <v>1580649</v>
      </c>
      <c r="F158" s="12" t="s">
        <v>30</v>
      </c>
      <c r="G158" s="13">
        <v>20321465</v>
      </c>
      <c r="H158" s="12" t="s">
        <v>461</v>
      </c>
      <c r="I158" s="13">
        <v>2</v>
      </c>
      <c r="J158" s="14">
        <v>38.5</v>
      </c>
      <c r="K158" s="14">
        <v>77</v>
      </c>
    </row>
    <row r="159" spans="4:11">
      <c r="D159" s="11">
        <v>46080</v>
      </c>
      <c r="E159" s="12">
        <v>1580649</v>
      </c>
      <c r="F159" s="12" t="s">
        <v>20</v>
      </c>
      <c r="G159" s="13">
        <v>20320830</v>
      </c>
      <c r="H159" s="12" t="s">
        <v>465</v>
      </c>
      <c r="I159" s="13">
        <v>2</v>
      </c>
      <c r="J159" s="14">
        <v>16.5</v>
      </c>
      <c r="K159" s="14">
        <v>33</v>
      </c>
    </row>
    <row r="160" spans="4:11">
      <c r="D160" s="11">
        <v>46080</v>
      </c>
      <c r="E160" s="12">
        <v>1580649</v>
      </c>
      <c r="F160" s="12" t="s">
        <v>20</v>
      </c>
      <c r="G160" s="13">
        <v>20320827</v>
      </c>
      <c r="H160" s="12" t="s">
        <v>466</v>
      </c>
      <c r="I160" s="13">
        <v>1</v>
      </c>
      <c r="J160" s="14">
        <v>16.5</v>
      </c>
      <c r="K160" s="14">
        <v>16.5</v>
      </c>
    </row>
    <row r="161" spans="4:11">
      <c r="D161" s="11">
        <v>46081</v>
      </c>
      <c r="E161" s="12">
        <v>1581003</v>
      </c>
      <c r="F161" s="12" t="s">
        <v>16</v>
      </c>
      <c r="G161" s="13">
        <v>20320804</v>
      </c>
      <c r="H161" s="12" t="s">
        <v>455</v>
      </c>
      <c r="I161" s="13">
        <v>3</v>
      </c>
      <c r="J161" s="14">
        <v>8</v>
      </c>
      <c r="K161" s="14">
        <v>24</v>
      </c>
    </row>
    <row r="162" spans="4:11">
      <c r="D162" s="11">
        <v>46081</v>
      </c>
      <c r="E162" s="12">
        <v>1581003</v>
      </c>
      <c r="F162" s="12" t="s">
        <v>16</v>
      </c>
      <c r="G162" s="13">
        <v>20320797</v>
      </c>
      <c r="H162" s="12" t="s">
        <v>456</v>
      </c>
      <c r="I162" s="13">
        <v>6</v>
      </c>
      <c r="J162" s="14">
        <v>8</v>
      </c>
      <c r="K162" s="14">
        <v>48</v>
      </c>
    </row>
    <row r="163" spans="4:11">
      <c r="D163" s="11">
        <v>46081</v>
      </c>
      <c r="E163" s="12">
        <v>1581003</v>
      </c>
      <c r="F163" s="12" t="s">
        <v>16</v>
      </c>
      <c r="G163" s="13">
        <v>20320861</v>
      </c>
      <c r="H163" s="12" t="s">
        <v>458</v>
      </c>
      <c r="I163" s="13">
        <v>3</v>
      </c>
      <c r="J163" s="14">
        <v>8</v>
      </c>
      <c r="K163" s="14">
        <v>24</v>
      </c>
    </row>
    <row r="164" spans="4:11">
      <c r="D164" s="11">
        <v>46081</v>
      </c>
      <c r="E164" s="12">
        <v>1581003</v>
      </c>
      <c r="F164" s="12" t="s">
        <v>16</v>
      </c>
      <c r="G164" s="13">
        <v>20320788</v>
      </c>
      <c r="H164" s="12" t="s">
        <v>462</v>
      </c>
      <c r="I164" s="13">
        <v>2</v>
      </c>
      <c r="J164" s="14">
        <v>8</v>
      </c>
      <c r="K164" s="14">
        <v>16</v>
      </c>
    </row>
    <row r="165" spans="4:11">
      <c r="D165" s="11">
        <v>46081</v>
      </c>
      <c r="E165" s="12">
        <v>1581003</v>
      </c>
      <c r="F165" s="12" t="s">
        <v>16</v>
      </c>
      <c r="G165" s="13">
        <v>20374101</v>
      </c>
      <c r="H165" s="12" t="s">
        <v>476</v>
      </c>
      <c r="I165" s="13">
        <v>2</v>
      </c>
      <c r="J165" s="14">
        <v>8</v>
      </c>
      <c r="K165" s="14">
        <v>16</v>
      </c>
    </row>
    <row r="166" spans="4:11">
      <c r="D166" s="11">
        <v>46081</v>
      </c>
      <c r="E166" s="12">
        <v>1581003</v>
      </c>
      <c r="F166" s="12" t="s">
        <v>30</v>
      </c>
      <c r="G166" s="13">
        <v>20321465</v>
      </c>
      <c r="H166" s="12" t="s">
        <v>461</v>
      </c>
      <c r="I166" s="13">
        <v>1</v>
      </c>
      <c r="J166" s="14">
        <v>38.5</v>
      </c>
      <c r="K166" s="14">
        <v>38.5</v>
      </c>
    </row>
    <row r="167" spans="4:11">
      <c r="D167" s="11">
        <v>46081</v>
      </c>
      <c r="E167" s="12">
        <v>1581003</v>
      </c>
      <c r="F167" s="12" t="s">
        <v>20</v>
      </c>
      <c r="G167" s="13">
        <v>20320830</v>
      </c>
      <c r="H167" s="12" t="s">
        <v>465</v>
      </c>
      <c r="I167" s="13">
        <v>1</v>
      </c>
      <c r="J167" s="14">
        <v>16.5</v>
      </c>
      <c r="K167" s="14">
        <v>16.5</v>
      </c>
    </row>
    <row r="168" spans="4:11">
      <c r="D168" s="11">
        <v>46081</v>
      </c>
      <c r="E168" s="12">
        <v>1581003</v>
      </c>
      <c r="F168" s="12" t="s">
        <v>20</v>
      </c>
      <c r="G168" s="13">
        <v>20329144</v>
      </c>
      <c r="H168" s="12" t="s">
        <v>477</v>
      </c>
      <c r="I168" s="13">
        <v>1</v>
      </c>
      <c r="J168" s="14">
        <v>165</v>
      </c>
      <c r="K168" s="14">
        <v>165</v>
      </c>
    </row>
    <row r="169" ht="25.5" spans="4:11">
      <c r="D169" s="11">
        <v>46081</v>
      </c>
      <c r="E169" s="12">
        <v>1581003</v>
      </c>
      <c r="F169" s="12" t="s">
        <v>20</v>
      </c>
      <c r="G169" s="13">
        <v>20396187</v>
      </c>
      <c r="H169" s="12" t="s">
        <v>478</v>
      </c>
      <c r="I169" s="13">
        <v>1</v>
      </c>
      <c r="J169" s="14">
        <v>198</v>
      </c>
      <c r="K169" s="14">
        <v>198</v>
      </c>
    </row>
    <row r="170" spans="4:11">
      <c r="D170" s="11">
        <v>46081</v>
      </c>
      <c r="E170" s="12">
        <v>1581003</v>
      </c>
      <c r="F170" s="12" t="s">
        <v>20</v>
      </c>
      <c r="G170" s="13">
        <v>20320827</v>
      </c>
      <c r="H170" s="12" t="s">
        <v>466</v>
      </c>
      <c r="I170" s="13">
        <v>1</v>
      </c>
      <c r="J170" s="14">
        <v>16.5</v>
      </c>
      <c r="K170" s="14">
        <v>16.5</v>
      </c>
    </row>
    <row r="171" spans="4:11">
      <c r="D171" s="11">
        <v>46082</v>
      </c>
      <c r="E171" s="12">
        <v>1581261</v>
      </c>
      <c r="F171" s="12" t="s">
        <v>16</v>
      </c>
      <c r="G171" s="13">
        <v>20320854</v>
      </c>
      <c r="H171" s="12" t="s">
        <v>454</v>
      </c>
      <c r="I171" s="13">
        <v>1</v>
      </c>
      <c r="J171" s="14">
        <v>8</v>
      </c>
      <c r="K171" s="14">
        <v>8</v>
      </c>
    </row>
    <row r="172" spans="4:11">
      <c r="D172" s="11">
        <v>46082</v>
      </c>
      <c r="E172" s="12">
        <v>1581261</v>
      </c>
      <c r="F172" s="12" t="s">
        <v>16</v>
      </c>
      <c r="G172" s="13">
        <v>20320804</v>
      </c>
      <c r="H172" s="12" t="s">
        <v>455</v>
      </c>
      <c r="I172" s="13">
        <v>5</v>
      </c>
      <c r="J172" s="14">
        <v>8</v>
      </c>
      <c r="K172" s="14">
        <v>40</v>
      </c>
    </row>
    <row r="173" spans="4:11">
      <c r="D173" s="11">
        <v>46082</v>
      </c>
      <c r="E173" s="12">
        <v>1581261</v>
      </c>
      <c r="F173" s="12" t="s">
        <v>16</v>
      </c>
      <c r="G173" s="13">
        <v>20320797</v>
      </c>
      <c r="H173" s="12" t="s">
        <v>456</v>
      </c>
      <c r="I173" s="13">
        <v>5</v>
      </c>
      <c r="J173" s="14">
        <v>8</v>
      </c>
      <c r="K173" s="14">
        <v>40</v>
      </c>
    </row>
    <row r="174" spans="4:11">
      <c r="D174" s="11">
        <v>46082</v>
      </c>
      <c r="E174" s="12">
        <v>1581261</v>
      </c>
      <c r="F174" s="12" t="s">
        <v>16</v>
      </c>
      <c r="G174" s="13">
        <v>20318136</v>
      </c>
      <c r="H174" s="12" t="s">
        <v>57</v>
      </c>
      <c r="I174" s="13">
        <v>1</v>
      </c>
      <c r="J174" s="14">
        <v>8</v>
      </c>
      <c r="K174" s="14">
        <v>8</v>
      </c>
    </row>
    <row r="175" spans="4:11">
      <c r="D175" s="11">
        <v>46082</v>
      </c>
      <c r="E175" s="12">
        <v>1581261</v>
      </c>
      <c r="F175" s="12" t="s">
        <v>16</v>
      </c>
      <c r="G175" s="13">
        <v>20320790</v>
      </c>
      <c r="H175" s="12" t="s">
        <v>427</v>
      </c>
      <c r="I175" s="13">
        <v>1</v>
      </c>
      <c r="J175" s="14">
        <v>8</v>
      </c>
      <c r="K175" s="14">
        <v>8</v>
      </c>
    </row>
    <row r="176" spans="4:11">
      <c r="D176" s="11">
        <v>46082</v>
      </c>
      <c r="E176" s="12">
        <v>1581261</v>
      </c>
      <c r="F176" s="12" t="s">
        <v>16</v>
      </c>
      <c r="G176" s="13">
        <v>20320861</v>
      </c>
      <c r="H176" s="12" t="s">
        <v>458</v>
      </c>
      <c r="I176" s="13">
        <v>6</v>
      </c>
      <c r="J176" s="14">
        <v>8</v>
      </c>
      <c r="K176" s="14">
        <v>48</v>
      </c>
    </row>
    <row r="177" spans="4:11">
      <c r="D177" s="11">
        <v>46082</v>
      </c>
      <c r="E177" s="12">
        <v>1581261</v>
      </c>
      <c r="F177" s="12" t="s">
        <v>16</v>
      </c>
      <c r="G177" s="13">
        <v>20320788</v>
      </c>
      <c r="H177" s="12" t="s">
        <v>462</v>
      </c>
      <c r="I177" s="13">
        <v>2</v>
      </c>
      <c r="J177" s="14">
        <v>8</v>
      </c>
      <c r="K177" s="14">
        <v>16</v>
      </c>
    </row>
    <row r="178" spans="4:11">
      <c r="D178" s="11">
        <v>46082</v>
      </c>
      <c r="E178" s="12">
        <v>1581261</v>
      </c>
      <c r="F178" s="12" t="s">
        <v>16</v>
      </c>
      <c r="G178" s="13">
        <v>20320784</v>
      </c>
      <c r="H178" s="12" t="s">
        <v>464</v>
      </c>
      <c r="I178" s="13">
        <v>4</v>
      </c>
      <c r="J178" s="14">
        <v>8</v>
      </c>
      <c r="K178" s="14">
        <v>32</v>
      </c>
    </row>
    <row r="179" spans="4:11">
      <c r="D179" s="11">
        <v>46082</v>
      </c>
      <c r="E179" s="12">
        <v>1581261</v>
      </c>
      <c r="F179" s="12" t="s">
        <v>16</v>
      </c>
      <c r="G179" s="13">
        <v>20320855</v>
      </c>
      <c r="H179" s="12" t="s">
        <v>459</v>
      </c>
      <c r="I179" s="13">
        <v>3</v>
      </c>
      <c r="J179" s="14">
        <v>8</v>
      </c>
      <c r="K179" s="14">
        <v>24</v>
      </c>
    </row>
    <row r="180" spans="4:11">
      <c r="D180" s="11">
        <v>46082</v>
      </c>
      <c r="E180" s="12">
        <v>1581261</v>
      </c>
      <c r="F180" s="12" t="s">
        <v>16</v>
      </c>
      <c r="G180" s="13">
        <v>20320852</v>
      </c>
      <c r="H180" s="12" t="s">
        <v>460</v>
      </c>
      <c r="I180" s="13">
        <v>1</v>
      </c>
      <c r="J180" s="14">
        <v>8</v>
      </c>
      <c r="K180" s="14">
        <v>8</v>
      </c>
    </row>
    <row r="181" spans="4:11">
      <c r="D181" s="11">
        <v>46082</v>
      </c>
      <c r="E181" s="12">
        <v>1581261</v>
      </c>
      <c r="F181" s="12" t="s">
        <v>30</v>
      </c>
      <c r="G181" s="13">
        <v>20321465</v>
      </c>
      <c r="H181" s="12" t="s">
        <v>461</v>
      </c>
      <c r="I181" s="13">
        <v>1</v>
      </c>
      <c r="J181" s="14">
        <v>38.5</v>
      </c>
      <c r="K181" s="14">
        <v>38.5</v>
      </c>
    </row>
    <row r="182" spans="4:11">
      <c r="D182" s="11">
        <v>46082</v>
      </c>
      <c r="E182" s="12">
        <v>1581261</v>
      </c>
      <c r="F182" s="12" t="s">
        <v>20</v>
      </c>
      <c r="G182" s="13">
        <v>20320830</v>
      </c>
      <c r="H182" s="12" t="s">
        <v>465</v>
      </c>
      <c r="I182" s="13">
        <v>1</v>
      </c>
      <c r="J182" s="14">
        <v>16.5</v>
      </c>
      <c r="K182" s="14">
        <v>16.5</v>
      </c>
    </row>
    <row r="183" spans="4:11">
      <c r="D183" s="11">
        <v>46082</v>
      </c>
      <c r="E183" s="12">
        <v>1581261</v>
      </c>
      <c r="F183" s="12" t="s">
        <v>20</v>
      </c>
      <c r="G183" s="13">
        <v>20320827</v>
      </c>
      <c r="H183" s="12" t="s">
        <v>466</v>
      </c>
      <c r="I183" s="13">
        <v>1</v>
      </c>
      <c r="J183" s="14">
        <v>16.5</v>
      </c>
      <c r="K183" s="14">
        <v>16.5</v>
      </c>
    </row>
    <row r="184" spans="4:11">
      <c r="D184" s="11">
        <v>46083</v>
      </c>
      <c r="E184" s="12">
        <v>1581365</v>
      </c>
      <c r="F184" s="12" t="s">
        <v>16</v>
      </c>
      <c r="G184" s="13">
        <v>20320854</v>
      </c>
      <c r="H184" s="12" t="s">
        <v>454</v>
      </c>
      <c r="I184" s="13">
        <v>2</v>
      </c>
      <c r="J184" s="14">
        <v>8</v>
      </c>
      <c r="K184" s="14">
        <v>16</v>
      </c>
    </row>
    <row r="185" spans="4:11">
      <c r="D185" s="11">
        <v>46083</v>
      </c>
      <c r="E185" s="12">
        <v>1581365</v>
      </c>
      <c r="F185" s="12" t="s">
        <v>16</v>
      </c>
      <c r="G185" s="13">
        <v>20320804</v>
      </c>
      <c r="H185" s="12" t="s">
        <v>455</v>
      </c>
      <c r="I185" s="13">
        <v>2</v>
      </c>
      <c r="J185" s="14">
        <v>8</v>
      </c>
      <c r="K185" s="14">
        <v>16</v>
      </c>
    </row>
    <row r="186" spans="4:11">
      <c r="D186" s="11">
        <v>46083</v>
      </c>
      <c r="E186" s="12">
        <v>1581365</v>
      </c>
      <c r="F186" s="12" t="s">
        <v>16</v>
      </c>
      <c r="G186" s="13">
        <v>20320797</v>
      </c>
      <c r="H186" s="12" t="s">
        <v>456</v>
      </c>
      <c r="I186" s="13">
        <v>3</v>
      </c>
      <c r="J186" s="14">
        <v>8</v>
      </c>
      <c r="K186" s="14">
        <v>24</v>
      </c>
    </row>
    <row r="187" spans="4:11">
      <c r="D187" s="11">
        <v>46083</v>
      </c>
      <c r="E187" s="12">
        <v>1581365</v>
      </c>
      <c r="F187" s="12" t="s">
        <v>16</v>
      </c>
      <c r="G187" s="13">
        <v>20320796</v>
      </c>
      <c r="H187" s="12" t="s">
        <v>457</v>
      </c>
      <c r="I187" s="13">
        <v>1</v>
      </c>
      <c r="J187" s="14">
        <v>8</v>
      </c>
      <c r="K187" s="14">
        <v>8</v>
      </c>
    </row>
    <row r="188" spans="4:11">
      <c r="D188" s="11">
        <v>46083</v>
      </c>
      <c r="E188" s="12">
        <v>1581365</v>
      </c>
      <c r="F188" s="12" t="s">
        <v>16</v>
      </c>
      <c r="G188" s="13">
        <v>20320861</v>
      </c>
      <c r="H188" s="12" t="s">
        <v>458</v>
      </c>
      <c r="I188" s="13">
        <v>2</v>
      </c>
      <c r="J188" s="14">
        <v>8</v>
      </c>
      <c r="K188" s="14">
        <v>16</v>
      </c>
    </row>
    <row r="189" spans="4:11">
      <c r="D189" s="11">
        <v>46083</v>
      </c>
      <c r="E189" s="12">
        <v>1581365</v>
      </c>
      <c r="F189" s="12" t="s">
        <v>16</v>
      </c>
      <c r="G189" s="13">
        <v>20320784</v>
      </c>
      <c r="H189" s="12" t="s">
        <v>464</v>
      </c>
      <c r="I189" s="13">
        <v>1</v>
      </c>
      <c r="J189" s="14">
        <v>8</v>
      </c>
      <c r="K189" s="14">
        <v>8</v>
      </c>
    </row>
    <row r="190" spans="4:11">
      <c r="D190" s="11">
        <v>46083</v>
      </c>
      <c r="E190" s="12">
        <v>1581365</v>
      </c>
      <c r="F190" s="12" t="s">
        <v>16</v>
      </c>
      <c r="G190" s="13">
        <v>20320852</v>
      </c>
      <c r="H190" s="12" t="s">
        <v>460</v>
      </c>
      <c r="I190" s="13">
        <v>2</v>
      </c>
      <c r="J190" s="14">
        <v>8</v>
      </c>
      <c r="K190" s="14">
        <v>16</v>
      </c>
    </row>
    <row r="191" spans="4:11">
      <c r="D191" s="11">
        <v>46083</v>
      </c>
      <c r="E191" s="12">
        <v>1581365</v>
      </c>
      <c r="F191" s="12" t="s">
        <v>30</v>
      </c>
      <c r="G191" s="13">
        <v>20321465</v>
      </c>
      <c r="H191" s="12" t="s">
        <v>461</v>
      </c>
      <c r="I191" s="13">
        <v>2</v>
      </c>
      <c r="J191" s="14">
        <v>38.5</v>
      </c>
      <c r="K191" s="14">
        <v>77</v>
      </c>
    </row>
    <row r="192" spans="4:11">
      <c r="D192" s="11">
        <v>46084</v>
      </c>
      <c r="E192" s="12">
        <v>1581681</v>
      </c>
      <c r="F192" s="12" t="s">
        <v>16</v>
      </c>
      <c r="G192" s="13">
        <v>20320854</v>
      </c>
      <c r="H192" s="12" t="s">
        <v>454</v>
      </c>
      <c r="I192" s="13">
        <v>3</v>
      </c>
      <c r="J192" s="14">
        <v>8</v>
      </c>
      <c r="K192" s="14">
        <v>24</v>
      </c>
    </row>
    <row r="193" spans="4:11">
      <c r="D193" s="11">
        <v>46084</v>
      </c>
      <c r="E193" s="12">
        <v>1581681</v>
      </c>
      <c r="F193" s="12" t="s">
        <v>16</v>
      </c>
      <c r="G193" s="13">
        <v>20320804</v>
      </c>
      <c r="H193" s="12" t="s">
        <v>455</v>
      </c>
      <c r="I193" s="13">
        <v>5</v>
      </c>
      <c r="J193" s="14">
        <v>8</v>
      </c>
      <c r="K193" s="14">
        <v>40</v>
      </c>
    </row>
    <row r="194" spans="4:11">
      <c r="D194" s="11">
        <v>46084</v>
      </c>
      <c r="E194" s="12">
        <v>1581681</v>
      </c>
      <c r="F194" s="12" t="s">
        <v>16</v>
      </c>
      <c r="G194" s="13">
        <v>20320797</v>
      </c>
      <c r="H194" s="12" t="s">
        <v>456</v>
      </c>
      <c r="I194" s="13">
        <v>7</v>
      </c>
      <c r="J194" s="14">
        <v>8</v>
      </c>
      <c r="K194" s="14">
        <v>56</v>
      </c>
    </row>
    <row r="195" spans="4:11">
      <c r="D195" s="11">
        <v>46084</v>
      </c>
      <c r="E195" s="12">
        <v>1581681</v>
      </c>
      <c r="F195" s="12" t="s">
        <v>16</v>
      </c>
      <c r="G195" s="13">
        <v>20320796</v>
      </c>
      <c r="H195" s="12" t="s">
        <v>457</v>
      </c>
      <c r="I195" s="13">
        <v>2</v>
      </c>
      <c r="J195" s="14">
        <v>8</v>
      </c>
      <c r="K195" s="14">
        <v>16</v>
      </c>
    </row>
    <row r="196" spans="4:11">
      <c r="D196" s="11">
        <v>46084</v>
      </c>
      <c r="E196" s="12">
        <v>1581681</v>
      </c>
      <c r="F196" s="12" t="s">
        <v>16</v>
      </c>
      <c r="G196" s="13">
        <v>20320846</v>
      </c>
      <c r="H196" s="12" t="s">
        <v>470</v>
      </c>
      <c r="I196" s="13">
        <v>1</v>
      </c>
      <c r="J196" s="14">
        <v>8</v>
      </c>
      <c r="K196" s="14">
        <v>8</v>
      </c>
    </row>
    <row r="197" spans="4:11">
      <c r="D197" s="11">
        <v>46084</v>
      </c>
      <c r="E197" s="12">
        <v>1581681</v>
      </c>
      <c r="F197" s="12" t="s">
        <v>16</v>
      </c>
      <c r="G197" s="13">
        <v>20320861</v>
      </c>
      <c r="H197" s="12" t="s">
        <v>458</v>
      </c>
      <c r="I197" s="13">
        <v>8</v>
      </c>
      <c r="J197" s="14">
        <v>8</v>
      </c>
      <c r="K197" s="14">
        <v>64</v>
      </c>
    </row>
    <row r="198" spans="4:11">
      <c r="D198" s="11">
        <v>46084</v>
      </c>
      <c r="E198" s="12">
        <v>1581681</v>
      </c>
      <c r="F198" s="12" t="s">
        <v>16</v>
      </c>
      <c r="G198" s="13">
        <v>20320784</v>
      </c>
      <c r="H198" s="12" t="s">
        <v>464</v>
      </c>
      <c r="I198" s="13">
        <v>4</v>
      </c>
      <c r="J198" s="14">
        <v>8</v>
      </c>
      <c r="K198" s="14">
        <v>32</v>
      </c>
    </row>
    <row r="199" spans="4:11">
      <c r="D199" s="11">
        <v>46084</v>
      </c>
      <c r="E199" s="12">
        <v>1581681</v>
      </c>
      <c r="F199" s="12" t="s">
        <v>16</v>
      </c>
      <c r="G199" s="13">
        <v>20320855</v>
      </c>
      <c r="H199" s="12" t="s">
        <v>459</v>
      </c>
      <c r="I199" s="13">
        <v>2</v>
      </c>
      <c r="J199" s="14">
        <v>8</v>
      </c>
      <c r="K199" s="14">
        <v>16</v>
      </c>
    </row>
    <row r="200" spans="4:11">
      <c r="D200" s="11">
        <v>46084</v>
      </c>
      <c r="E200" s="12">
        <v>1581681</v>
      </c>
      <c r="F200" s="12" t="s">
        <v>16</v>
      </c>
      <c r="G200" s="13">
        <v>20320852</v>
      </c>
      <c r="H200" s="12" t="s">
        <v>460</v>
      </c>
      <c r="I200" s="13">
        <v>2</v>
      </c>
      <c r="J200" s="14">
        <v>8</v>
      </c>
      <c r="K200" s="14">
        <v>16</v>
      </c>
    </row>
    <row r="201" spans="4:11">
      <c r="D201" s="11">
        <v>46084</v>
      </c>
      <c r="E201" s="12">
        <v>1581681</v>
      </c>
      <c r="F201" s="12" t="s">
        <v>30</v>
      </c>
      <c r="G201" s="13">
        <v>20321465</v>
      </c>
      <c r="H201" s="12" t="s">
        <v>461</v>
      </c>
      <c r="I201" s="13">
        <v>3</v>
      </c>
      <c r="J201" s="14">
        <v>38.5</v>
      </c>
      <c r="K201" s="14">
        <v>115.5</v>
      </c>
    </row>
    <row r="202" spans="4:11">
      <c r="D202" s="11">
        <v>46084</v>
      </c>
      <c r="E202" s="12">
        <v>1581681</v>
      </c>
      <c r="F202" s="12" t="s">
        <v>20</v>
      </c>
      <c r="G202" s="13">
        <v>20320830</v>
      </c>
      <c r="H202" s="12" t="s">
        <v>465</v>
      </c>
      <c r="I202" s="13">
        <v>1</v>
      </c>
      <c r="J202" s="14">
        <v>16.5</v>
      </c>
      <c r="K202" s="14">
        <v>16.5</v>
      </c>
    </row>
    <row r="203" spans="4:11">
      <c r="D203" s="11">
        <v>46084</v>
      </c>
      <c r="E203" s="12">
        <v>1581681</v>
      </c>
      <c r="F203" s="12" t="s">
        <v>20</v>
      </c>
      <c r="G203" s="13">
        <v>20320827</v>
      </c>
      <c r="H203" s="12" t="s">
        <v>466</v>
      </c>
      <c r="I203" s="13">
        <v>1</v>
      </c>
      <c r="J203" s="14">
        <v>16.5</v>
      </c>
      <c r="K203" s="14">
        <v>16.5</v>
      </c>
    </row>
    <row r="204" spans="4:11">
      <c r="D204" s="11">
        <v>46085</v>
      </c>
      <c r="E204" s="12">
        <v>1581972</v>
      </c>
      <c r="F204" s="12" t="s">
        <v>16</v>
      </c>
      <c r="G204" s="13">
        <v>20320854</v>
      </c>
      <c r="H204" s="12" t="s">
        <v>454</v>
      </c>
      <c r="I204" s="13">
        <v>1</v>
      </c>
      <c r="J204" s="14">
        <v>8</v>
      </c>
      <c r="K204" s="14">
        <v>8</v>
      </c>
    </row>
    <row r="205" spans="4:11">
      <c r="D205" s="11">
        <v>46085</v>
      </c>
      <c r="E205" s="12">
        <v>1581972</v>
      </c>
      <c r="F205" s="12" t="s">
        <v>16</v>
      </c>
      <c r="G205" s="13">
        <v>20320804</v>
      </c>
      <c r="H205" s="12" t="s">
        <v>455</v>
      </c>
      <c r="I205" s="13">
        <v>1</v>
      </c>
      <c r="J205" s="14">
        <v>8</v>
      </c>
      <c r="K205" s="14">
        <v>8</v>
      </c>
    </row>
    <row r="206" spans="4:11">
      <c r="D206" s="11">
        <v>46085</v>
      </c>
      <c r="E206" s="12">
        <v>1581972</v>
      </c>
      <c r="F206" s="12" t="s">
        <v>16</v>
      </c>
      <c r="G206" s="13">
        <v>20320797</v>
      </c>
      <c r="H206" s="12" t="s">
        <v>456</v>
      </c>
      <c r="I206" s="13">
        <v>2</v>
      </c>
      <c r="J206" s="14">
        <v>8</v>
      </c>
      <c r="K206" s="14">
        <v>16</v>
      </c>
    </row>
    <row r="207" spans="4:11">
      <c r="D207" s="11">
        <v>46085</v>
      </c>
      <c r="E207" s="12">
        <v>1581972</v>
      </c>
      <c r="F207" s="12" t="s">
        <v>16</v>
      </c>
      <c r="G207" s="13">
        <v>20318164</v>
      </c>
      <c r="H207" s="12" t="s">
        <v>74</v>
      </c>
      <c r="I207" s="13">
        <v>1</v>
      </c>
      <c r="J207" s="14">
        <v>8</v>
      </c>
      <c r="K207" s="14">
        <v>8</v>
      </c>
    </row>
    <row r="208" spans="4:11">
      <c r="D208" s="11">
        <v>46085</v>
      </c>
      <c r="E208" s="12">
        <v>1581972</v>
      </c>
      <c r="F208" s="12" t="s">
        <v>16</v>
      </c>
      <c r="G208" s="13">
        <v>20324255</v>
      </c>
      <c r="H208" s="12" t="s">
        <v>471</v>
      </c>
      <c r="I208" s="13">
        <v>1</v>
      </c>
      <c r="J208" s="14">
        <v>8</v>
      </c>
      <c r="K208" s="14">
        <v>8</v>
      </c>
    </row>
    <row r="209" spans="4:11">
      <c r="D209" s="11">
        <v>46085</v>
      </c>
      <c r="E209" s="12">
        <v>1581972</v>
      </c>
      <c r="F209" s="12" t="s">
        <v>16</v>
      </c>
      <c r="G209" s="13">
        <v>20320865</v>
      </c>
      <c r="H209" s="12" t="s">
        <v>463</v>
      </c>
      <c r="I209" s="13">
        <v>1</v>
      </c>
      <c r="J209" s="14">
        <v>8</v>
      </c>
      <c r="K209" s="14">
        <v>8</v>
      </c>
    </row>
    <row r="210" spans="4:11">
      <c r="D210" s="11">
        <v>46085</v>
      </c>
      <c r="E210" s="12">
        <v>1581972</v>
      </c>
      <c r="F210" s="12" t="s">
        <v>16</v>
      </c>
      <c r="G210" s="13">
        <v>20320852</v>
      </c>
      <c r="H210" s="12" t="s">
        <v>460</v>
      </c>
      <c r="I210" s="13">
        <v>1</v>
      </c>
      <c r="J210" s="14">
        <v>8</v>
      </c>
      <c r="K210" s="14">
        <v>8</v>
      </c>
    </row>
    <row r="211" spans="4:11">
      <c r="D211" s="11">
        <v>46085</v>
      </c>
      <c r="E211" s="12">
        <v>1581972</v>
      </c>
      <c r="F211" s="12" t="s">
        <v>30</v>
      </c>
      <c r="G211" s="13">
        <v>20321386</v>
      </c>
      <c r="H211" s="12" t="s">
        <v>468</v>
      </c>
      <c r="I211" s="13">
        <v>1</v>
      </c>
      <c r="J211" s="14">
        <v>33</v>
      </c>
      <c r="K211" s="14">
        <v>33</v>
      </c>
    </row>
    <row r="212" spans="4:11">
      <c r="D212" s="11">
        <v>46085</v>
      </c>
      <c r="E212" s="12">
        <v>1581972</v>
      </c>
      <c r="F212" s="12" t="s">
        <v>30</v>
      </c>
      <c r="G212" s="13">
        <v>20321465</v>
      </c>
      <c r="H212" s="12" t="s">
        <v>461</v>
      </c>
      <c r="I212" s="13">
        <v>2</v>
      </c>
      <c r="J212" s="14">
        <v>38.5</v>
      </c>
      <c r="K212" s="14">
        <v>77</v>
      </c>
    </row>
    <row r="213" spans="4:11">
      <c r="D213" s="11">
        <v>46085</v>
      </c>
      <c r="E213" s="12">
        <v>1581972</v>
      </c>
      <c r="F213" s="12" t="s">
        <v>20</v>
      </c>
      <c r="G213" s="13">
        <v>20320830</v>
      </c>
      <c r="H213" s="12" t="s">
        <v>465</v>
      </c>
      <c r="I213" s="13">
        <v>2</v>
      </c>
      <c r="J213" s="14">
        <v>16.5</v>
      </c>
      <c r="K213" s="14">
        <v>33</v>
      </c>
    </row>
    <row r="214" spans="4:11">
      <c r="D214" s="11">
        <v>46085</v>
      </c>
      <c r="E214" s="12">
        <v>1581972</v>
      </c>
      <c r="F214" s="12" t="s">
        <v>20</v>
      </c>
      <c r="G214" s="13">
        <v>20320827</v>
      </c>
      <c r="H214" s="12" t="s">
        <v>466</v>
      </c>
      <c r="I214" s="13">
        <v>1</v>
      </c>
      <c r="J214" s="14">
        <v>16.5</v>
      </c>
      <c r="K214" s="14">
        <v>16.5</v>
      </c>
    </row>
    <row r="215" spans="4:11">
      <c r="D215" s="11">
        <v>46086</v>
      </c>
      <c r="E215" s="12">
        <v>1582328</v>
      </c>
      <c r="F215" s="12" t="s">
        <v>16</v>
      </c>
      <c r="G215" s="13">
        <v>20320854</v>
      </c>
      <c r="H215" s="12" t="s">
        <v>454</v>
      </c>
      <c r="I215" s="13">
        <v>2</v>
      </c>
      <c r="J215" s="14">
        <v>8</v>
      </c>
      <c r="K215" s="14">
        <v>16</v>
      </c>
    </row>
    <row r="216" spans="4:11">
      <c r="D216" s="11">
        <v>46086</v>
      </c>
      <c r="E216" s="12">
        <v>1582328</v>
      </c>
      <c r="F216" s="12" t="s">
        <v>16</v>
      </c>
      <c r="G216" s="13">
        <v>20320804</v>
      </c>
      <c r="H216" s="12" t="s">
        <v>455</v>
      </c>
      <c r="I216" s="13">
        <v>8</v>
      </c>
      <c r="J216" s="14">
        <v>8</v>
      </c>
      <c r="K216" s="14">
        <v>64</v>
      </c>
    </row>
    <row r="217" spans="4:11">
      <c r="D217" s="11">
        <v>46086</v>
      </c>
      <c r="E217" s="12">
        <v>1582328</v>
      </c>
      <c r="F217" s="12" t="s">
        <v>16</v>
      </c>
      <c r="G217" s="13">
        <v>20320797</v>
      </c>
      <c r="H217" s="12" t="s">
        <v>456</v>
      </c>
      <c r="I217" s="13">
        <v>6</v>
      </c>
      <c r="J217" s="14">
        <v>8</v>
      </c>
      <c r="K217" s="14">
        <v>48</v>
      </c>
    </row>
    <row r="218" spans="4:11">
      <c r="D218" s="11">
        <v>46086</v>
      </c>
      <c r="E218" s="12">
        <v>1582328</v>
      </c>
      <c r="F218" s="12" t="s">
        <v>16</v>
      </c>
      <c r="G218" s="13">
        <v>20318136</v>
      </c>
      <c r="H218" s="12" t="s">
        <v>57</v>
      </c>
      <c r="I218" s="13">
        <v>1</v>
      </c>
      <c r="J218" s="14">
        <v>8</v>
      </c>
      <c r="K218" s="14">
        <v>8</v>
      </c>
    </row>
    <row r="219" spans="4:11">
      <c r="D219" s="11">
        <v>46086</v>
      </c>
      <c r="E219" s="12">
        <v>1582328</v>
      </c>
      <c r="F219" s="12" t="s">
        <v>16</v>
      </c>
      <c r="G219" s="13">
        <v>20320790</v>
      </c>
      <c r="H219" s="12" t="s">
        <v>427</v>
      </c>
      <c r="I219" s="13">
        <v>3</v>
      </c>
      <c r="J219" s="14">
        <v>8</v>
      </c>
      <c r="K219" s="14">
        <v>24</v>
      </c>
    </row>
    <row r="220" spans="4:11">
      <c r="D220" s="11">
        <v>46086</v>
      </c>
      <c r="E220" s="12">
        <v>1582328</v>
      </c>
      <c r="F220" s="12" t="s">
        <v>16</v>
      </c>
      <c r="G220" s="13">
        <v>20320861</v>
      </c>
      <c r="H220" s="12" t="s">
        <v>458</v>
      </c>
      <c r="I220" s="13">
        <v>5</v>
      </c>
      <c r="J220" s="14">
        <v>8</v>
      </c>
      <c r="K220" s="14">
        <v>40</v>
      </c>
    </row>
    <row r="221" spans="4:11">
      <c r="D221" s="11">
        <v>46086</v>
      </c>
      <c r="E221" s="12">
        <v>1582328</v>
      </c>
      <c r="F221" s="12" t="s">
        <v>16</v>
      </c>
      <c r="G221" s="13">
        <v>20320788</v>
      </c>
      <c r="H221" s="12" t="s">
        <v>462</v>
      </c>
      <c r="I221" s="13">
        <v>2</v>
      </c>
      <c r="J221" s="14">
        <v>8</v>
      </c>
      <c r="K221" s="14">
        <v>16</v>
      </c>
    </row>
    <row r="222" spans="4:11">
      <c r="D222" s="11">
        <v>46086</v>
      </c>
      <c r="E222" s="12">
        <v>1582328</v>
      </c>
      <c r="F222" s="12" t="s">
        <v>16</v>
      </c>
      <c r="G222" s="13">
        <v>20320856</v>
      </c>
      <c r="H222" s="12" t="s">
        <v>479</v>
      </c>
      <c r="I222" s="13">
        <v>1</v>
      </c>
      <c r="J222" s="14">
        <v>11</v>
      </c>
      <c r="K222" s="14">
        <v>11</v>
      </c>
    </row>
    <row r="223" spans="4:11">
      <c r="D223" s="11">
        <v>46086</v>
      </c>
      <c r="E223" s="12">
        <v>1582328</v>
      </c>
      <c r="F223" s="12" t="s">
        <v>16</v>
      </c>
      <c r="G223" s="13">
        <v>20320865</v>
      </c>
      <c r="H223" s="12" t="s">
        <v>463</v>
      </c>
      <c r="I223" s="13">
        <v>2</v>
      </c>
      <c r="J223" s="14">
        <v>8</v>
      </c>
      <c r="K223" s="14">
        <v>16</v>
      </c>
    </row>
    <row r="224" spans="4:11">
      <c r="D224" s="11">
        <v>46086</v>
      </c>
      <c r="E224" s="12">
        <v>1582328</v>
      </c>
      <c r="F224" s="12" t="s">
        <v>16</v>
      </c>
      <c r="G224" s="13">
        <v>20320784</v>
      </c>
      <c r="H224" s="12" t="s">
        <v>464</v>
      </c>
      <c r="I224" s="13">
        <v>4</v>
      </c>
      <c r="J224" s="14">
        <v>8</v>
      </c>
      <c r="K224" s="14">
        <v>32</v>
      </c>
    </row>
    <row r="225" spans="4:11">
      <c r="D225" s="11">
        <v>46086</v>
      </c>
      <c r="E225" s="12">
        <v>1582328</v>
      </c>
      <c r="F225" s="12" t="s">
        <v>16</v>
      </c>
      <c r="G225" s="13">
        <v>20320855</v>
      </c>
      <c r="H225" s="12" t="s">
        <v>459</v>
      </c>
      <c r="I225" s="13">
        <v>1</v>
      </c>
      <c r="J225" s="14">
        <v>8</v>
      </c>
      <c r="K225" s="14">
        <v>8</v>
      </c>
    </row>
    <row r="226" spans="4:11">
      <c r="D226" s="11">
        <v>46086</v>
      </c>
      <c r="E226" s="12">
        <v>1582328</v>
      </c>
      <c r="F226" s="12" t="s">
        <v>16</v>
      </c>
      <c r="G226" s="13">
        <v>20320852</v>
      </c>
      <c r="H226" s="12" t="s">
        <v>460</v>
      </c>
      <c r="I226" s="13">
        <v>1</v>
      </c>
      <c r="J226" s="14">
        <v>8</v>
      </c>
      <c r="K226" s="14">
        <v>8</v>
      </c>
    </row>
    <row r="227" spans="4:11">
      <c r="D227" s="11">
        <v>46086</v>
      </c>
      <c r="E227" s="12">
        <v>1582328</v>
      </c>
      <c r="F227" s="12" t="s">
        <v>30</v>
      </c>
      <c r="G227" s="13">
        <v>20321386</v>
      </c>
      <c r="H227" s="12" t="s">
        <v>468</v>
      </c>
      <c r="I227" s="13">
        <v>1</v>
      </c>
      <c r="J227" s="14">
        <v>33</v>
      </c>
      <c r="K227" s="14">
        <v>33</v>
      </c>
    </row>
    <row r="228" spans="4:11">
      <c r="D228" s="11">
        <v>46086</v>
      </c>
      <c r="E228" s="12">
        <v>1582328</v>
      </c>
      <c r="F228" s="12" t="s">
        <v>20</v>
      </c>
      <c r="G228" s="13">
        <v>20320830</v>
      </c>
      <c r="H228" s="12" t="s">
        <v>465</v>
      </c>
      <c r="I228" s="13">
        <v>1</v>
      </c>
      <c r="J228" s="14">
        <v>16.5</v>
      </c>
      <c r="K228" s="14">
        <v>16.5</v>
      </c>
    </row>
    <row r="229" spans="4:11">
      <c r="D229" s="11">
        <v>46086</v>
      </c>
      <c r="E229" s="12">
        <v>1582328</v>
      </c>
      <c r="F229" s="12" t="s">
        <v>20</v>
      </c>
      <c r="G229" s="13">
        <v>20320827</v>
      </c>
      <c r="H229" s="12" t="s">
        <v>466</v>
      </c>
      <c r="I229" s="13">
        <v>1</v>
      </c>
      <c r="J229" s="14">
        <v>16.5</v>
      </c>
      <c r="K229" s="14">
        <v>16.5</v>
      </c>
    </row>
    <row r="230" spans="4:11">
      <c r="D230" s="11">
        <v>46087</v>
      </c>
      <c r="E230" s="12">
        <v>1582644</v>
      </c>
      <c r="F230" s="12" t="s">
        <v>16</v>
      </c>
      <c r="G230" s="13">
        <v>20320804</v>
      </c>
      <c r="H230" s="12" t="s">
        <v>455</v>
      </c>
      <c r="I230" s="13">
        <v>5</v>
      </c>
      <c r="J230" s="14">
        <v>8</v>
      </c>
      <c r="K230" s="14">
        <v>40</v>
      </c>
    </row>
    <row r="231" spans="4:11">
      <c r="D231" s="11">
        <v>46087</v>
      </c>
      <c r="E231" s="12">
        <v>1582644</v>
      </c>
      <c r="F231" s="12" t="s">
        <v>16</v>
      </c>
      <c r="G231" s="13">
        <v>20320797</v>
      </c>
      <c r="H231" s="12" t="s">
        <v>456</v>
      </c>
      <c r="I231" s="13">
        <v>3</v>
      </c>
      <c r="J231" s="14">
        <v>8</v>
      </c>
      <c r="K231" s="14">
        <v>24</v>
      </c>
    </row>
    <row r="232" spans="4:11">
      <c r="D232" s="11">
        <v>46087</v>
      </c>
      <c r="E232" s="12">
        <v>1582644</v>
      </c>
      <c r="F232" s="12" t="s">
        <v>16</v>
      </c>
      <c r="G232" s="13">
        <v>20318164</v>
      </c>
      <c r="H232" s="12" t="s">
        <v>74</v>
      </c>
      <c r="I232" s="13">
        <v>2</v>
      </c>
      <c r="J232" s="14">
        <v>8</v>
      </c>
      <c r="K232" s="14">
        <v>16</v>
      </c>
    </row>
    <row r="233" spans="4:11">
      <c r="D233" s="11">
        <v>46087</v>
      </c>
      <c r="E233" s="12">
        <v>1582644</v>
      </c>
      <c r="F233" s="12" t="s">
        <v>16</v>
      </c>
      <c r="G233" s="13">
        <v>20320861</v>
      </c>
      <c r="H233" s="12" t="s">
        <v>458</v>
      </c>
      <c r="I233" s="13">
        <v>2</v>
      </c>
      <c r="J233" s="14">
        <v>8</v>
      </c>
      <c r="K233" s="14">
        <v>16</v>
      </c>
    </row>
    <row r="234" spans="4:11">
      <c r="D234" s="11">
        <v>46087</v>
      </c>
      <c r="E234" s="12">
        <v>1582644</v>
      </c>
      <c r="F234" s="12" t="s">
        <v>16</v>
      </c>
      <c r="G234" s="13">
        <v>20324255</v>
      </c>
      <c r="H234" s="12" t="s">
        <v>471</v>
      </c>
      <c r="I234" s="13">
        <v>2</v>
      </c>
      <c r="J234" s="14">
        <v>8</v>
      </c>
      <c r="K234" s="14">
        <v>16</v>
      </c>
    </row>
    <row r="235" spans="4:11">
      <c r="D235" s="11">
        <v>46087</v>
      </c>
      <c r="E235" s="12">
        <v>1582644</v>
      </c>
      <c r="F235" s="12" t="s">
        <v>16</v>
      </c>
      <c r="G235" s="13">
        <v>20320865</v>
      </c>
      <c r="H235" s="12" t="s">
        <v>463</v>
      </c>
      <c r="I235" s="13">
        <v>1</v>
      </c>
      <c r="J235" s="14">
        <v>8</v>
      </c>
      <c r="K235" s="14">
        <v>8</v>
      </c>
    </row>
    <row r="236" spans="4:11">
      <c r="D236" s="11">
        <v>46087</v>
      </c>
      <c r="E236" s="12">
        <v>1582644</v>
      </c>
      <c r="F236" s="12" t="s">
        <v>16</v>
      </c>
      <c r="G236" s="13">
        <v>20320784</v>
      </c>
      <c r="H236" s="12" t="s">
        <v>464</v>
      </c>
      <c r="I236" s="13">
        <v>4</v>
      </c>
      <c r="J236" s="14">
        <v>8</v>
      </c>
      <c r="K236" s="14">
        <v>32</v>
      </c>
    </row>
    <row r="237" spans="4:11">
      <c r="D237" s="11">
        <v>46087</v>
      </c>
      <c r="E237" s="12">
        <v>1582644</v>
      </c>
      <c r="F237" s="12" t="s">
        <v>16</v>
      </c>
      <c r="G237" s="13">
        <v>20320855</v>
      </c>
      <c r="H237" s="12" t="s">
        <v>459</v>
      </c>
      <c r="I237" s="13">
        <v>2</v>
      </c>
      <c r="J237" s="14">
        <v>8</v>
      </c>
      <c r="K237" s="14">
        <v>16</v>
      </c>
    </row>
    <row r="238" spans="4:11">
      <c r="D238" s="11">
        <v>46087</v>
      </c>
      <c r="E238" s="12">
        <v>1582644</v>
      </c>
      <c r="F238" s="12" t="s">
        <v>30</v>
      </c>
      <c r="G238" s="13">
        <v>20321465</v>
      </c>
      <c r="H238" s="12" t="s">
        <v>461</v>
      </c>
      <c r="I238" s="13">
        <v>1</v>
      </c>
      <c r="J238" s="14">
        <v>38.5</v>
      </c>
      <c r="K238" s="14">
        <v>38.5</v>
      </c>
    </row>
    <row r="239" spans="4:11">
      <c r="D239" s="11">
        <v>46087</v>
      </c>
      <c r="E239" s="12">
        <v>1582644</v>
      </c>
      <c r="F239" s="12" t="s">
        <v>20</v>
      </c>
      <c r="G239" s="13">
        <v>20320830</v>
      </c>
      <c r="H239" s="12" t="s">
        <v>465</v>
      </c>
      <c r="I239" s="13">
        <v>1</v>
      </c>
      <c r="J239" s="14">
        <v>16.5</v>
      </c>
      <c r="K239" s="14">
        <v>16.5</v>
      </c>
    </row>
    <row r="240" spans="4:11">
      <c r="D240" s="11">
        <v>46087</v>
      </c>
      <c r="E240" s="12">
        <v>1582644</v>
      </c>
      <c r="F240" s="12" t="s">
        <v>20</v>
      </c>
      <c r="G240" s="13">
        <v>20372949</v>
      </c>
      <c r="H240" s="12" t="s">
        <v>480</v>
      </c>
      <c r="I240" s="13">
        <v>1</v>
      </c>
      <c r="J240" s="14">
        <v>33</v>
      </c>
      <c r="K240" s="14">
        <v>33</v>
      </c>
    </row>
    <row r="241" spans="4:11">
      <c r="D241" s="11">
        <v>46087</v>
      </c>
      <c r="E241" s="12">
        <v>1582644</v>
      </c>
      <c r="F241" s="12" t="s">
        <v>20</v>
      </c>
      <c r="G241" s="13">
        <v>20320827</v>
      </c>
      <c r="H241" s="12" t="s">
        <v>466</v>
      </c>
      <c r="I241" s="13">
        <v>1</v>
      </c>
      <c r="J241" s="14">
        <v>16.5</v>
      </c>
      <c r="K241" s="14">
        <v>16.5</v>
      </c>
    </row>
    <row r="242" spans="4:11">
      <c r="D242" s="11">
        <v>46089</v>
      </c>
      <c r="E242" s="12">
        <v>1583086</v>
      </c>
      <c r="F242" s="12" t="s">
        <v>16</v>
      </c>
      <c r="G242" s="13">
        <v>20320854</v>
      </c>
      <c r="H242" s="12" t="s">
        <v>454</v>
      </c>
      <c r="I242" s="13">
        <v>1</v>
      </c>
      <c r="J242" s="14">
        <v>8</v>
      </c>
      <c r="K242" s="14">
        <v>8</v>
      </c>
    </row>
    <row r="243" spans="4:11">
      <c r="D243" s="11">
        <v>46089</v>
      </c>
      <c r="E243" s="12">
        <v>1583086</v>
      </c>
      <c r="F243" s="12" t="s">
        <v>16</v>
      </c>
      <c r="G243" s="13">
        <v>20320804</v>
      </c>
      <c r="H243" s="12" t="s">
        <v>455</v>
      </c>
      <c r="I243" s="13">
        <v>1</v>
      </c>
      <c r="J243" s="14">
        <v>8</v>
      </c>
      <c r="K243" s="14">
        <v>8</v>
      </c>
    </row>
    <row r="244" spans="4:11">
      <c r="D244" s="11">
        <v>46089</v>
      </c>
      <c r="E244" s="12">
        <v>1583086</v>
      </c>
      <c r="F244" s="12" t="s">
        <v>16</v>
      </c>
      <c r="G244" s="13">
        <v>20320797</v>
      </c>
      <c r="H244" s="12" t="s">
        <v>456</v>
      </c>
      <c r="I244" s="13">
        <v>4</v>
      </c>
      <c r="J244" s="14">
        <v>8</v>
      </c>
      <c r="K244" s="14">
        <v>32</v>
      </c>
    </row>
    <row r="245" spans="4:11">
      <c r="D245" s="11">
        <v>46089</v>
      </c>
      <c r="E245" s="12">
        <v>1583086</v>
      </c>
      <c r="F245" s="12" t="s">
        <v>16</v>
      </c>
      <c r="G245" s="13">
        <v>20318164</v>
      </c>
      <c r="H245" s="12" t="s">
        <v>74</v>
      </c>
      <c r="I245" s="13">
        <v>1</v>
      </c>
      <c r="J245" s="14">
        <v>8</v>
      </c>
      <c r="K245" s="14">
        <v>8</v>
      </c>
    </row>
    <row r="246" spans="4:11">
      <c r="D246" s="11">
        <v>46089</v>
      </c>
      <c r="E246" s="12">
        <v>1583086</v>
      </c>
      <c r="F246" s="12" t="s">
        <v>16</v>
      </c>
      <c r="G246" s="13">
        <v>20320790</v>
      </c>
      <c r="H246" s="12" t="s">
        <v>427</v>
      </c>
      <c r="I246" s="13">
        <v>1</v>
      </c>
      <c r="J246" s="14">
        <v>8</v>
      </c>
      <c r="K246" s="14">
        <v>8</v>
      </c>
    </row>
    <row r="247" spans="4:11">
      <c r="D247" s="11">
        <v>46089</v>
      </c>
      <c r="E247" s="12">
        <v>1583086</v>
      </c>
      <c r="F247" s="12" t="s">
        <v>16</v>
      </c>
      <c r="G247" s="13">
        <v>20320821</v>
      </c>
      <c r="H247" s="12" t="s">
        <v>481</v>
      </c>
      <c r="I247" s="13">
        <v>2</v>
      </c>
      <c r="J247" s="14">
        <v>11</v>
      </c>
      <c r="K247" s="14">
        <v>22</v>
      </c>
    </row>
    <row r="248" spans="4:11">
      <c r="D248" s="11">
        <v>46089</v>
      </c>
      <c r="E248" s="12">
        <v>1583086</v>
      </c>
      <c r="F248" s="12" t="s">
        <v>16</v>
      </c>
      <c r="G248" s="13">
        <v>20320845</v>
      </c>
      <c r="H248" s="12" t="s">
        <v>474</v>
      </c>
      <c r="I248" s="13">
        <v>1</v>
      </c>
      <c r="J248" s="14">
        <v>13.5</v>
      </c>
      <c r="K248" s="14">
        <v>13.5</v>
      </c>
    </row>
    <row r="249" spans="4:11">
      <c r="D249" s="11">
        <v>46089</v>
      </c>
      <c r="E249" s="12">
        <v>1583086</v>
      </c>
      <c r="F249" s="12" t="s">
        <v>16</v>
      </c>
      <c r="G249" s="13">
        <v>20320788</v>
      </c>
      <c r="H249" s="12" t="s">
        <v>462</v>
      </c>
      <c r="I249" s="13">
        <v>4</v>
      </c>
      <c r="J249" s="14">
        <v>8</v>
      </c>
      <c r="K249" s="14">
        <v>32</v>
      </c>
    </row>
    <row r="250" spans="4:11">
      <c r="D250" s="11">
        <v>46089</v>
      </c>
      <c r="E250" s="12">
        <v>1583086</v>
      </c>
      <c r="F250" s="12" t="s">
        <v>16</v>
      </c>
      <c r="G250" s="13">
        <v>20320865</v>
      </c>
      <c r="H250" s="12" t="s">
        <v>463</v>
      </c>
      <c r="I250" s="13">
        <v>1</v>
      </c>
      <c r="J250" s="14">
        <v>8</v>
      </c>
      <c r="K250" s="14">
        <v>8</v>
      </c>
    </row>
    <row r="251" spans="4:11">
      <c r="D251" s="11">
        <v>46089</v>
      </c>
      <c r="E251" s="12">
        <v>1583086</v>
      </c>
      <c r="F251" s="12" t="s">
        <v>16</v>
      </c>
      <c r="G251" s="13">
        <v>20320784</v>
      </c>
      <c r="H251" s="12" t="s">
        <v>464</v>
      </c>
      <c r="I251" s="13">
        <v>2</v>
      </c>
      <c r="J251" s="14">
        <v>8</v>
      </c>
      <c r="K251" s="14">
        <v>16</v>
      </c>
    </row>
    <row r="252" spans="4:11">
      <c r="D252" s="11">
        <v>46089</v>
      </c>
      <c r="E252" s="12">
        <v>1583086</v>
      </c>
      <c r="F252" s="12" t="s">
        <v>16</v>
      </c>
      <c r="G252" s="13">
        <v>20320855</v>
      </c>
      <c r="H252" s="12" t="s">
        <v>459</v>
      </c>
      <c r="I252" s="13">
        <v>1</v>
      </c>
      <c r="J252" s="14">
        <v>8</v>
      </c>
      <c r="K252" s="14">
        <v>8</v>
      </c>
    </row>
    <row r="253" spans="4:11">
      <c r="D253" s="11">
        <v>46089</v>
      </c>
      <c r="E253" s="12">
        <v>1583086</v>
      </c>
      <c r="F253" s="12" t="s">
        <v>16</v>
      </c>
      <c r="G253" s="13">
        <v>20320852</v>
      </c>
      <c r="H253" s="12" t="s">
        <v>460</v>
      </c>
      <c r="I253" s="13">
        <v>1</v>
      </c>
      <c r="J253" s="14">
        <v>8</v>
      </c>
      <c r="K253" s="14">
        <v>8</v>
      </c>
    </row>
    <row r="254" spans="4:11">
      <c r="D254" s="11">
        <v>46089</v>
      </c>
      <c r="E254" s="12">
        <v>1583086</v>
      </c>
      <c r="F254" s="12" t="s">
        <v>30</v>
      </c>
      <c r="G254" s="13">
        <v>20321386</v>
      </c>
      <c r="H254" s="12" t="s">
        <v>468</v>
      </c>
      <c r="I254" s="13">
        <v>1</v>
      </c>
      <c r="J254" s="14">
        <v>33</v>
      </c>
      <c r="K254" s="14">
        <v>33</v>
      </c>
    </row>
    <row r="255" spans="4:11">
      <c r="D255" s="11">
        <v>46089</v>
      </c>
      <c r="E255" s="12">
        <v>1583086</v>
      </c>
      <c r="F255" s="12" t="s">
        <v>30</v>
      </c>
      <c r="G255" s="13">
        <v>20321465</v>
      </c>
      <c r="H255" s="12" t="s">
        <v>461</v>
      </c>
      <c r="I255" s="13">
        <v>1</v>
      </c>
      <c r="J255" s="14">
        <v>38.5</v>
      </c>
      <c r="K255" s="14">
        <v>38.5</v>
      </c>
    </row>
    <row r="256" spans="4:11">
      <c r="D256" s="11">
        <v>46089</v>
      </c>
      <c r="E256" s="12">
        <v>1583086</v>
      </c>
      <c r="F256" s="12" t="s">
        <v>20</v>
      </c>
      <c r="G256" s="13">
        <v>20320830</v>
      </c>
      <c r="H256" s="12" t="s">
        <v>465</v>
      </c>
      <c r="I256" s="13">
        <v>1</v>
      </c>
      <c r="J256" s="14">
        <v>16.5</v>
      </c>
      <c r="K256" s="14">
        <v>16.5</v>
      </c>
    </row>
    <row r="257" spans="4:11">
      <c r="D257" s="11">
        <v>46089</v>
      </c>
      <c r="E257" s="12">
        <v>1583086</v>
      </c>
      <c r="F257" s="12" t="s">
        <v>20</v>
      </c>
      <c r="G257" s="13">
        <v>20320827</v>
      </c>
      <c r="H257" s="12" t="s">
        <v>466</v>
      </c>
      <c r="I257" s="13">
        <v>1</v>
      </c>
      <c r="J257" s="14">
        <v>16.5</v>
      </c>
      <c r="K257" s="14">
        <v>16.5</v>
      </c>
    </row>
    <row r="258" ht="0.05" customHeight="1"/>
  </sheetData>
  <autoFilter xmlns:etc="http://www.wps.cn/officeDocument/2017/etCustomData" ref="A7:K257" etc:filterBottomFollowUsedRange="0">
    <extLst/>
  </autoFilter>
  <mergeCells count="5">
    <mergeCell ref="D8:H8"/>
    <mergeCell ref="C7:C257"/>
    <mergeCell ref="B4:H5"/>
    <mergeCell ref="A7:B257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&amp;"-,Regular"2026年3月9日 8:21 
&amp;"-,Bold"&amp;10 黑龙江省铂康医疗灭菌有限公司 &amp;R&amp;"Droid Sans Fallback"&amp;9第&amp;P页，共&amp;N页 </oddFooter>
  </headerFooter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102</v>
      </c>
      <c r="E8" s="8" t="s">
        <v>2</v>
      </c>
      <c r="F8" s="8" t="s">
        <v>2</v>
      </c>
      <c r="G8" s="8" t="s">
        <v>2</v>
      </c>
      <c r="H8" s="8" t="s">
        <v>2</v>
      </c>
      <c r="I8" s="9">
        <v>14</v>
      </c>
      <c r="J8" s="10"/>
      <c r="K8" s="10">
        <v>294</v>
      </c>
    </row>
    <row r="9" spans="1:11">
      <c r="D9" s="11">
        <v>46064</v>
      </c>
      <c r="E9" s="12">
        <v>1577952</v>
      </c>
      <c r="F9" s="12" t="s">
        <v>20</v>
      </c>
      <c r="G9" s="13">
        <v>20323389</v>
      </c>
      <c r="H9" s="12" t="s">
        <v>482</v>
      </c>
      <c r="I9" s="13">
        <v>1</v>
      </c>
      <c r="J9" s="14">
        <v>22</v>
      </c>
      <c r="K9" s="14">
        <v>22</v>
      </c>
    </row>
    <row r="10" spans="1:11">
      <c r="D10" s="11">
        <v>46065</v>
      </c>
      <c r="E10" s="12">
        <v>1578280</v>
      </c>
      <c r="F10" s="12" t="s">
        <v>20</v>
      </c>
      <c r="G10" s="13">
        <v>20323389</v>
      </c>
      <c r="H10" s="12" t="s">
        <v>482</v>
      </c>
      <c r="I10" s="13">
        <v>1</v>
      </c>
      <c r="J10" s="14">
        <v>22</v>
      </c>
      <c r="K10" s="14">
        <v>22</v>
      </c>
    </row>
    <row r="11" spans="1:11">
      <c r="D11" s="11">
        <v>46066</v>
      </c>
      <c r="E11" s="12">
        <v>1578565</v>
      </c>
      <c r="F11" s="12" t="s">
        <v>16</v>
      </c>
      <c r="G11" s="13">
        <v>20318164</v>
      </c>
      <c r="H11" s="12" t="s">
        <v>74</v>
      </c>
      <c r="I11" s="13">
        <v>1</v>
      </c>
      <c r="J11" s="14">
        <v>8</v>
      </c>
      <c r="K11" s="14">
        <v>8</v>
      </c>
    </row>
    <row r="12" spans="1:11">
      <c r="D12" s="11">
        <v>46066</v>
      </c>
      <c r="E12" s="12">
        <v>1578565</v>
      </c>
      <c r="F12" s="12" t="s">
        <v>20</v>
      </c>
      <c r="G12" s="13">
        <v>20323389</v>
      </c>
      <c r="H12" s="12" t="s">
        <v>482</v>
      </c>
      <c r="I12" s="13">
        <v>1</v>
      </c>
      <c r="J12" s="14">
        <v>22</v>
      </c>
      <c r="K12" s="14">
        <v>22</v>
      </c>
    </row>
    <row r="13" spans="1:11">
      <c r="D13" s="11">
        <v>46068</v>
      </c>
      <c r="E13" s="12">
        <v>1579072</v>
      </c>
      <c r="F13" s="12" t="s">
        <v>20</v>
      </c>
      <c r="G13" s="13">
        <v>20323389</v>
      </c>
      <c r="H13" s="12" t="s">
        <v>482</v>
      </c>
      <c r="I13" s="13">
        <v>1</v>
      </c>
      <c r="J13" s="14">
        <v>22</v>
      </c>
      <c r="K13" s="14">
        <v>22</v>
      </c>
    </row>
    <row r="14" spans="1:11">
      <c r="D14" s="11">
        <v>46078</v>
      </c>
      <c r="E14" s="12">
        <v>1579968</v>
      </c>
      <c r="F14" s="12" t="s">
        <v>20</v>
      </c>
      <c r="G14" s="13">
        <v>20323389</v>
      </c>
      <c r="H14" s="12" t="s">
        <v>482</v>
      </c>
      <c r="I14" s="13">
        <v>1</v>
      </c>
      <c r="J14" s="14">
        <v>22</v>
      </c>
      <c r="K14" s="14">
        <v>22</v>
      </c>
    </row>
    <row r="15" spans="1:11">
      <c r="D15" s="11">
        <v>46079</v>
      </c>
      <c r="E15" s="12">
        <v>1580287</v>
      </c>
      <c r="F15" s="12" t="s">
        <v>20</v>
      </c>
      <c r="G15" s="13">
        <v>20323389</v>
      </c>
      <c r="H15" s="12" t="s">
        <v>482</v>
      </c>
      <c r="I15" s="13">
        <v>1</v>
      </c>
      <c r="J15" s="14">
        <v>22</v>
      </c>
      <c r="K15" s="14">
        <v>22</v>
      </c>
    </row>
    <row r="16" spans="1:11">
      <c r="D16" s="11">
        <v>46081</v>
      </c>
      <c r="E16" s="12">
        <v>1581004</v>
      </c>
      <c r="F16" s="12" t="s">
        <v>20</v>
      </c>
      <c r="G16" s="13">
        <v>20323389</v>
      </c>
      <c r="H16" s="12" t="s">
        <v>482</v>
      </c>
      <c r="I16" s="13">
        <v>1</v>
      </c>
      <c r="J16" s="14">
        <v>22</v>
      </c>
      <c r="K16" s="14">
        <v>22</v>
      </c>
    </row>
    <row r="17" spans="4:11">
      <c r="D17" s="11">
        <v>46082</v>
      </c>
      <c r="E17" s="12">
        <v>1581258</v>
      </c>
      <c r="F17" s="12" t="s">
        <v>20</v>
      </c>
      <c r="G17" s="13">
        <v>20323389</v>
      </c>
      <c r="H17" s="12" t="s">
        <v>482</v>
      </c>
      <c r="I17" s="13">
        <v>1</v>
      </c>
      <c r="J17" s="14">
        <v>22</v>
      </c>
      <c r="K17" s="14">
        <v>22</v>
      </c>
    </row>
    <row r="18" spans="4:11">
      <c r="D18" s="11">
        <v>46084</v>
      </c>
      <c r="E18" s="12">
        <v>1581682</v>
      </c>
      <c r="F18" s="12" t="s">
        <v>20</v>
      </c>
      <c r="G18" s="13">
        <v>20323389</v>
      </c>
      <c r="H18" s="12" t="s">
        <v>482</v>
      </c>
      <c r="I18" s="13">
        <v>1</v>
      </c>
      <c r="J18" s="14">
        <v>22</v>
      </c>
      <c r="K18" s="14">
        <v>22</v>
      </c>
    </row>
    <row r="19" spans="4:11">
      <c r="D19" s="11">
        <v>46085</v>
      </c>
      <c r="E19" s="12">
        <v>1581971</v>
      </c>
      <c r="F19" s="12" t="s">
        <v>20</v>
      </c>
      <c r="G19" s="13">
        <v>20323389</v>
      </c>
      <c r="H19" s="12" t="s">
        <v>482</v>
      </c>
      <c r="I19" s="13">
        <v>1</v>
      </c>
      <c r="J19" s="14">
        <v>22</v>
      </c>
      <c r="K19" s="14">
        <v>22</v>
      </c>
    </row>
    <row r="20" spans="4:11">
      <c r="D20" s="11">
        <v>46086</v>
      </c>
      <c r="E20" s="12">
        <v>1582329</v>
      </c>
      <c r="F20" s="12" t="s">
        <v>20</v>
      </c>
      <c r="G20" s="13">
        <v>20323389</v>
      </c>
      <c r="H20" s="12" t="s">
        <v>482</v>
      </c>
      <c r="I20" s="13">
        <v>1</v>
      </c>
      <c r="J20" s="14">
        <v>22</v>
      </c>
      <c r="K20" s="14">
        <v>22</v>
      </c>
    </row>
    <row r="21" spans="4:11">
      <c r="D21" s="11">
        <v>46088</v>
      </c>
      <c r="E21" s="12">
        <v>1583020</v>
      </c>
      <c r="F21" s="12" t="s">
        <v>20</v>
      </c>
      <c r="G21" s="13">
        <v>20323389</v>
      </c>
      <c r="H21" s="12" t="s">
        <v>482</v>
      </c>
      <c r="I21" s="13">
        <v>1</v>
      </c>
      <c r="J21" s="14">
        <v>22</v>
      </c>
      <c r="K21" s="14">
        <v>22</v>
      </c>
    </row>
    <row r="22" spans="4:11">
      <c r="D22" s="11">
        <v>46089</v>
      </c>
      <c r="E22" s="12">
        <v>1583088</v>
      </c>
      <c r="F22" s="12" t="s">
        <v>20</v>
      </c>
      <c r="G22" s="13">
        <v>20323389</v>
      </c>
      <c r="H22" s="12" t="s">
        <v>482</v>
      </c>
      <c r="I22" s="13">
        <v>1</v>
      </c>
      <c r="J22" s="14">
        <v>22</v>
      </c>
      <c r="K22" s="14">
        <v>22</v>
      </c>
    </row>
  </sheetData>
  <autoFilter xmlns:etc="http://www.wps.cn/officeDocument/2017/etCustomData" ref="A7:K22" etc:filterBottomFollowUsedRange="0">
    <extLst/>
  </autoFilter>
  <mergeCells count="5">
    <mergeCell ref="D8:H8"/>
    <mergeCell ref="C7:C22"/>
    <mergeCell ref="B4:H5"/>
    <mergeCell ref="A7:B2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&amp;"-,Regular"2026年3月9日 8:21 
&amp;"-,Bold"&amp;10 黑龙江省铂康医疗灭菌有限公司 &amp;R&amp;"Droid Sans Fallback"&amp;9第&amp;P页，共&amp;N页 </oddFooter>
  </headerFooter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9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483</v>
      </c>
      <c r="E8" s="8" t="s">
        <v>2</v>
      </c>
      <c r="F8" s="8" t="s">
        <v>2</v>
      </c>
      <c r="G8" s="8" t="s">
        <v>2</v>
      </c>
      <c r="H8" s="8" t="s">
        <v>2</v>
      </c>
      <c r="I8" s="9">
        <v>76</v>
      </c>
      <c r="J8" s="10"/>
      <c r="K8" s="10">
        <v>1036</v>
      </c>
    </row>
    <row r="9" spans="1:11">
      <c r="D9" s="11">
        <v>46062</v>
      </c>
      <c r="E9" s="12">
        <v>1577289</v>
      </c>
      <c r="F9" s="12" t="s">
        <v>16</v>
      </c>
      <c r="G9" s="13">
        <v>20361110</v>
      </c>
      <c r="H9" s="12" t="s">
        <v>484</v>
      </c>
      <c r="I9" s="13">
        <v>1</v>
      </c>
      <c r="J9" s="14">
        <v>8</v>
      </c>
      <c r="K9" s="14">
        <v>8</v>
      </c>
    </row>
    <row r="10" spans="1:11">
      <c r="D10" s="11">
        <v>46062</v>
      </c>
      <c r="E10" s="12">
        <v>1577289</v>
      </c>
      <c r="F10" s="12" t="s">
        <v>16</v>
      </c>
      <c r="G10" s="13">
        <v>20320788</v>
      </c>
      <c r="H10" s="12" t="s">
        <v>462</v>
      </c>
      <c r="I10" s="13">
        <v>1</v>
      </c>
      <c r="J10" s="14">
        <v>8</v>
      </c>
      <c r="K10" s="14">
        <v>8</v>
      </c>
    </row>
    <row r="11" spans="1:11">
      <c r="D11" s="11">
        <v>46062</v>
      </c>
      <c r="E11" s="12">
        <v>1577289</v>
      </c>
      <c r="F11" s="12" t="s">
        <v>16</v>
      </c>
      <c r="G11" s="13">
        <v>20361111</v>
      </c>
      <c r="H11" s="12" t="s">
        <v>485</v>
      </c>
      <c r="I11" s="13">
        <v>2</v>
      </c>
      <c r="J11" s="14">
        <v>8</v>
      </c>
      <c r="K11" s="14">
        <v>16</v>
      </c>
    </row>
    <row r="12" spans="1:11">
      <c r="D12" s="11">
        <v>46062</v>
      </c>
      <c r="E12" s="12">
        <v>1577289</v>
      </c>
      <c r="F12" s="12" t="s">
        <v>16</v>
      </c>
      <c r="G12" s="13">
        <v>20384339</v>
      </c>
      <c r="H12" s="12" t="s">
        <v>486</v>
      </c>
      <c r="I12" s="13">
        <v>2</v>
      </c>
      <c r="J12" s="14">
        <v>8</v>
      </c>
      <c r="K12" s="14">
        <v>16</v>
      </c>
    </row>
    <row r="13" spans="1:11">
      <c r="D13" s="11">
        <v>46062</v>
      </c>
      <c r="E13" s="12">
        <v>1577289</v>
      </c>
      <c r="F13" s="12" t="s">
        <v>20</v>
      </c>
      <c r="G13" s="13">
        <v>20323288</v>
      </c>
      <c r="H13" s="12" t="s">
        <v>487</v>
      </c>
      <c r="I13" s="13">
        <v>1</v>
      </c>
      <c r="J13" s="14">
        <v>22</v>
      </c>
      <c r="K13" s="14">
        <v>22</v>
      </c>
    </row>
    <row r="14" spans="1:11">
      <c r="D14" s="11">
        <v>46064</v>
      </c>
      <c r="E14" s="12">
        <v>1577947</v>
      </c>
      <c r="F14" s="12" t="s">
        <v>16</v>
      </c>
      <c r="G14" s="13">
        <v>20361111</v>
      </c>
      <c r="H14" s="12" t="s">
        <v>485</v>
      </c>
      <c r="I14" s="13">
        <v>2</v>
      </c>
      <c r="J14" s="14">
        <v>8</v>
      </c>
      <c r="K14" s="14">
        <v>16</v>
      </c>
    </row>
    <row r="15" spans="1:11">
      <c r="D15" s="11">
        <v>46065</v>
      </c>
      <c r="E15" s="12">
        <v>1578281</v>
      </c>
      <c r="F15" s="12" t="s">
        <v>16</v>
      </c>
      <c r="G15" s="13">
        <v>20320788</v>
      </c>
      <c r="H15" s="12" t="s">
        <v>462</v>
      </c>
      <c r="I15" s="13">
        <v>1</v>
      </c>
      <c r="J15" s="14">
        <v>8</v>
      </c>
      <c r="K15" s="14">
        <v>8</v>
      </c>
    </row>
    <row r="16" spans="1:11">
      <c r="D16" s="11">
        <v>46065</v>
      </c>
      <c r="E16" s="12">
        <v>1578281</v>
      </c>
      <c r="F16" s="12" t="s">
        <v>16</v>
      </c>
      <c r="G16" s="13">
        <v>20361111</v>
      </c>
      <c r="H16" s="12" t="s">
        <v>485</v>
      </c>
      <c r="I16" s="13">
        <v>1</v>
      </c>
      <c r="J16" s="14">
        <v>8</v>
      </c>
      <c r="K16" s="14">
        <v>8</v>
      </c>
    </row>
    <row r="17" spans="4:11">
      <c r="D17" s="11">
        <v>46065</v>
      </c>
      <c r="E17" s="12">
        <v>1578281</v>
      </c>
      <c r="F17" s="12" t="s">
        <v>16</v>
      </c>
      <c r="G17" s="13">
        <v>20384339</v>
      </c>
      <c r="H17" s="12" t="s">
        <v>486</v>
      </c>
      <c r="I17" s="13">
        <v>1</v>
      </c>
      <c r="J17" s="14">
        <v>8</v>
      </c>
      <c r="K17" s="14">
        <v>8</v>
      </c>
    </row>
    <row r="18" spans="4:11">
      <c r="D18" s="11">
        <v>46065</v>
      </c>
      <c r="E18" s="12">
        <v>1578281</v>
      </c>
      <c r="F18" s="12" t="s">
        <v>30</v>
      </c>
      <c r="G18" s="13">
        <v>20321557</v>
      </c>
      <c r="H18" s="12" t="s">
        <v>488</v>
      </c>
      <c r="I18" s="13">
        <v>1</v>
      </c>
      <c r="J18" s="14">
        <v>55</v>
      </c>
      <c r="K18" s="14">
        <v>55</v>
      </c>
    </row>
    <row r="19" spans="4:11">
      <c r="D19" s="11">
        <v>46065</v>
      </c>
      <c r="E19" s="12">
        <v>1578281</v>
      </c>
      <c r="F19" s="12" t="s">
        <v>20</v>
      </c>
      <c r="G19" s="13">
        <v>20321558</v>
      </c>
      <c r="H19" s="12" t="s">
        <v>489</v>
      </c>
      <c r="I19" s="13">
        <v>1</v>
      </c>
      <c r="J19" s="14">
        <v>16.5</v>
      </c>
      <c r="K19" s="14">
        <v>16.5</v>
      </c>
    </row>
    <row r="20" spans="4:11">
      <c r="D20" s="11">
        <v>46065</v>
      </c>
      <c r="E20" s="12">
        <v>1578285</v>
      </c>
      <c r="F20" s="12" t="s">
        <v>53</v>
      </c>
      <c r="G20" s="13">
        <v>20369732</v>
      </c>
      <c r="H20" s="12" t="s">
        <v>490</v>
      </c>
      <c r="I20" s="13">
        <v>1</v>
      </c>
      <c r="J20" s="14">
        <v>30</v>
      </c>
      <c r="K20" s="14">
        <v>30</v>
      </c>
    </row>
    <row r="21" spans="4:11">
      <c r="D21" s="11">
        <v>46066</v>
      </c>
      <c r="E21" s="12">
        <v>1578634</v>
      </c>
      <c r="F21" s="12" t="s">
        <v>16</v>
      </c>
      <c r="G21" s="13">
        <v>20383184</v>
      </c>
      <c r="H21" s="12" t="s">
        <v>491</v>
      </c>
      <c r="I21" s="13">
        <v>1</v>
      </c>
      <c r="J21" s="14">
        <v>8</v>
      </c>
      <c r="K21" s="14">
        <v>8</v>
      </c>
    </row>
    <row r="22" spans="4:11">
      <c r="D22" s="11">
        <v>46066</v>
      </c>
      <c r="E22" s="12">
        <v>1578634</v>
      </c>
      <c r="F22" s="12" t="s">
        <v>16</v>
      </c>
      <c r="G22" s="13">
        <v>20361110</v>
      </c>
      <c r="H22" s="12" t="s">
        <v>484</v>
      </c>
      <c r="I22" s="13">
        <v>1</v>
      </c>
      <c r="J22" s="14">
        <v>8</v>
      </c>
      <c r="K22" s="14">
        <v>8</v>
      </c>
    </row>
    <row r="23" spans="4:11">
      <c r="D23" s="11">
        <v>46066</v>
      </c>
      <c r="E23" s="12">
        <v>1578634</v>
      </c>
      <c r="F23" s="12" t="s">
        <v>16</v>
      </c>
      <c r="G23" s="13">
        <v>20366418</v>
      </c>
      <c r="H23" s="12" t="s">
        <v>492</v>
      </c>
      <c r="I23" s="13">
        <v>1</v>
      </c>
      <c r="J23" s="14">
        <v>27.5</v>
      </c>
      <c r="K23" s="14">
        <v>27.5</v>
      </c>
    </row>
    <row r="24" spans="4:11">
      <c r="D24" s="11">
        <v>46066</v>
      </c>
      <c r="E24" s="12">
        <v>1578634</v>
      </c>
      <c r="F24" s="12" t="s">
        <v>16</v>
      </c>
      <c r="G24" s="13">
        <v>20323842</v>
      </c>
      <c r="H24" s="12" t="s">
        <v>493</v>
      </c>
      <c r="I24" s="13">
        <v>6</v>
      </c>
      <c r="J24" s="14">
        <v>8</v>
      </c>
      <c r="K24" s="14">
        <v>48</v>
      </c>
    </row>
    <row r="25" spans="4:11">
      <c r="D25" s="11">
        <v>46066</v>
      </c>
      <c r="E25" s="12">
        <v>1578634</v>
      </c>
      <c r="F25" s="12" t="s">
        <v>16</v>
      </c>
      <c r="G25" s="13">
        <v>20320855</v>
      </c>
      <c r="H25" s="12" t="s">
        <v>459</v>
      </c>
      <c r="I25" s="13">
        <v>1</v>
      </c>
      <c r="J25" s="14">
        <v>8</v>
      </c>
      <c r="K25" s="14">
        <v>8</v>
      </c>
    </row>
    <row r="26" spans="4:11">
      <c r="D26" s="11">
        <v>46066</v>
      </c>
      <c r="E26" s="12">
        <v>1578634</v>
      </c>
      <c r="F26" s="12" t="s">
        <v>16</v>
      </c>
      <c r="G26" s="13">
        <v>20333568</v>
      </c>
      <c r="H26" s="12" t="s">
        <v>494</v>
      </c>
      <c r="I26" s="13">
        <v>1</v>
      </c>
      <c r="J26" s="14">
        <v>8</v>
      </c>
      <c r="K26" s="14">
        <v>8</v>
      </c>
    </row>
    <row r="27" spans="4:11">
      <c r="D27" s="11">
        <v>46066</v>
      </c>
      <c r="E27" s="12">
        <v>1578634</v>
      </c>
      <c r="F27" s="12" t="s">
        <v>16</v>
      </c>
      <c r="G27" s="13">
        <v>20331300</v>
      </c>
      <c r="H27" s="12" t="s">
        <v>495</v>
      </c>
      <c r="I27" s="13">
        <v>1</v>
      </c>
      <c r="J27" s="14">
        <v>8</v>
      </c>
      <c r="K27" s="14">
        <v>8</v>
      </c>
    </row>
    <row r="28" spans="4:11">
      <c r="D28" s="11">
        <v>46066</v>
      </c>
      <c r="E28" s="12">
        <v>1578634</v>
      </c>
      <c r="F28" s="12" t="s">
        <v>16</v>
      </c>
      <c r="G28" s="13">
        <v>20361111</v>
      </c>
      <c r="H28" s="12" t="s">
        <v>485</v>
      </c>
      <c r="I28" s="13">
        <v>1</v>
      </c>
      <c r="J28" s="14">
        <v>8</v>
      </c>
      <c r="K28" s="14">
        <v>8</v>
      </c>
    </row>
    <row r="29" spans="4:11">
      <c r="D29" s="11">
        <v>46078</v>
      </c>
      <c r="E29" s="12">
        <v>1579943</v>
      </c>
      <c r="F29" s="12" t="s">
        <v>16</v>
      </c>
      <c r="G29" s="13">
        <v>20323841</v>
      </c>
      <c r="H29" s="12" t="s">
        <v>496</v>
      </c>
      <c r="I29" s="13">
        <v>1</v>
      </c>
      <c r="J29" s="14">
        <v>8</v>
      </c>
      <c r="K29" s="14">
        <v>8</v>
      </c>
    </row>
    <row r="30" spans="4:11">
      <c r="D30" s="11">
        <v>46078</v>
      </c>
      <c r="E30" s="12">
        <v>1579943</v>
      </c>
      <c r="F30" s="12" t="s">
        <v>16</v>
      </c>
      <c r="G30" s="13">
        <v>20323840</v>
      </c>
      <c r="H30" s="12" t="s">
        <v>497</v>
      </c>
      <c r="I30" s="13">
        <v>3</v>
      </c>
      <c r="J30" s="14">
        <v>27.5</v>
      </c>
      <c r="K30" s="14">
        <v>82.5</v>
      </c>
    </row>
    <row r="31" spans="4:11">
      <c r="D31" s="11">
        <v>46078</v>
      </c>
      <c r="E31" s="12">
        <v>1579943</v>
      </c>
      <c r="F31" s="12" t="s">
        <v>16</v>
      </c>
      <c r="G31" s="13">
        <v>20333568</v>
      </c>
      <c r="H31" s="12" t="s">
        <v>494</v>
      </c>
      <c r="I31" s="13">
        <v>1</v>
      </c>
      <c r="J31" s="14">
        <v>8</v>
      </c>
      <c r="K31" s="14">
        <v>8</v>
      </c>
    </row>
    <row r="32" spans="4:11">
      <c r="D32" s="11">
        <v>46079</v>
      </c>
      <c r="E32" s="12">
        <v>1580288</v>
      </c>
      <c r="F32" s="12" t="s">
        <v>16</v>
      </c>
      <c r="G32" s="13">
        <v>20361110</v>
      </c>
      <c r="H32" s="12" t="s">
        <v>484</v>
      </c>
      <c r="I32" s="13">
        <v>1</v>
      </c>
      <c r="J32" s="14">
        <v>8</v>
      </c>
      <c r="K32" s="14">
        <v>8</v>
      </c>
    </row>
    <row r="33" spans="4:11">
      <c r="D33" s="11">
        <v>46079</v>
      </c>
      <c r="E33" s="12">
        <v>1580288</v>
      </c>
      <c r="F33" s="12" t="s">
        <v>16</v>
      </c>
      <c r="G33" s="13">
        <v>20361111</v>
      </c>
      <c r="H33" s="12" t="s">
        <v>485</v>
      </c>
      <c r="I33" s="13">
        <v>1</v>
      </c>
      <c r="J33" s="14">
        <v>8</v>
      </c>
      <c r="K33" s="14">
        <v>8</v>
      </c>
    </row>
    <row r="34" spans="4:11">
      <c r="D34" s="11">
        <v>46079</v>
      </c>
      <c r="E34" s="12">
        <v>1580288</v>
      </c>
      <c r="F34" s="12" t="s">
        <v>16</v>
      </c>
      <c r="G34" s="13">
        <v>20384339</v>
      </c>
      <c r="H34" s="12" t="s">
        <v>486</v>
      </c>
      <c r="I34" s="13">
        <v>2</v>
      </c>
      <c r="J34" s="14">
        <v>8</v>
      </c>
      <c r="K34" s="14">
        <v>16</v>
      </c>
    </row>
    <row r="35" spans="4:11">
      <c r="D35" s="11">
        <v>46080</v>
      </c>
      <c r="E35" s="12">
        <v>1580650</v>
      </c>
      <c r="F35" s="12" t="s">
        <v>16</v>
      </c>
      <c r="G35" s="13">
        <v>20389085</v>
      </c>
      <c r="H35" s="12" t="s">
        <v>498</v>
      </c>
      <c r="I35" s="13">
        <v>2</v>
      </c>
      <c r="J35" s="14">
        <v>8</v>
      </c>
      <c r="K35" s="14">
        <v>16</v>
      </c>
    </row>
    <row r="36" spans="4:11">
      <c r="D36" s="11">
        <v>46080</v>
      </c>
      <c r="E36" s="12">
        <v>1580650</v>
      </c>
      <c r="F36" s="12" t="s">
        <v>16</v>
      </c>
      <c r="G36" s="13">
        <v>20361110</v>
      </c>
      <c r="H36" s="12" t="s">
        <v>484</v>
      </c>
      <c r="I36" s="13">
        <v>2</v>
      </c>
      <c r="J36" s="14">
        <v>8</v>
      </c>
      <c r="K36" s="14">
        <v>16</v>
      </c>
    </row>
    <row r="37" spans="4:11">
      <c r="D37" s="11">
        <v>46080</v>
      </c>
      <c r="E37" s="12">
        <v>1580650</v>
      </c>
      <c r="F37" s="12" t="s">
        <v>16</v>
      </c>
      <c r="G37" s="13">
        <v>20366418</v>
      </c>
      <c r="H37" s="12" t="s">
        <v>492</v>
      </c>
      <c r="I37" s="13">
        <v>1</v>
      </c>
      <c r="J37" s="14">
        <v>27.5</v>
      </c>
      <c r="K37" s="14">
        <v>27.5</v>
      </c>
    </row>
    <row r="38" spans="4:11">
      <c r="D38" s="11">
        <v>46080</v>
      </c>
      <c r="E38" s="12">
        <v>1580650</v>
      </c>
      <c r="F38" s="12" t="s">
        <v>16</v>
      </c>
      <c r="G38" s="13">
        <v>20323842</v>
      </c>
      <c r="H38" s="12" t="s">
        <v>493</v>
      </c>
      <c r="I38" s="13">
        <v>2</v>
      </c>
      <c r="J38" s="14">
        <v>8</v>
      </c>
      <c r="K38" s="14">
        <v>16</v>
      </c>
    </row>
    <row r="39" spans="4:11">
      <c r="D39" s="11">
        <v>46080</v>
      </c>
      <c r="E39" s="12">
        <v>1580650</v>
      </c>
      <c r="F39" s="12" t="s">
        <v>16</v>
      </c>
      <c r="G39" s="13">
        <v>20333568</v>
      </c>
      <c r="H39" s="12" t="s">
        <v>494</v>
      </c>
      <c r="I39" s="13">
        <v>1</v>
      </c>
      <c r="J39" s="14">
        <v>8</v>
      </c>
      <c r="K39" s="14">
        <v>8</v>
      </c>
    </row>
    <row r="40" spans="4:11">
      <c r="D40" s="11">
        <v>46080</v>
      </c>
      <c r="E40" s="12">
        <v>1580650</v>
      </c>
      <c r="F40" s="12" t="s">
        <v>16</v>
      </c>
      <c r="G40" s="13">
        <v>20331300</v>
      </c>
      <c r="H40" s="12" t="s">
        <v>495</v>
      </c>
      <c r="I40" s="13">
        <v>1</v>
      </c>
      <c r="J40" s="14">
        <v>8</v>
      </c>
      <c r="K40" s="14">
        <v>8</v>
      </c>
    </row>
    <row r="41" spans="4:11">
      <c r="D41" s="11">
        <v>46080</v>
      </c>
      <c r="E41" s="12">
        <v>1580650</v>
      </c>
      <c r="F41" s="12" t="s">
        <v>16</v>
      </c>
      <c r="G41" s="13">
        <v>20361111</v>
      </c>
      <c r="H41" s="12" t="s">
        <v>485</v>
      </c>
      <c r="I41" s="13">
        <v>1</v>
      </c>
      <c r="J41" s="14">
        <v>8</v>
      </c>
      <c r="K41" s="14">
        <v>8</v>
      </c>
    </row>
    <row r="42" spans="4:11">
      <c r="D42" s="11">
        <v>46081</v>
      </c>
      <c r="E42" s="12">
        <v>1581005</v>
      </c>
      <c r="F42" s="12" t="s">
        <v>16</v>
      </c>
      <c r="G42" s="13">
        <v>20409343</v>
      </c>
      <c r="H42" s="12" t="s">
        <v>499</v>
      </c>
      <c r="I42" s="13">
        <v>1</v>
      </c>
      <c r="J42" s="14">
        <v>13.5</v>
      </c>
      <c r="K42" s="14">
        <v>13.5</v>
      </c>
    </row>
    <row r="43" spans="4:11">
      <c r="D43" s="11">
        <v>46081</v>
      </c>
      <c r="E43" s="12">
        <v>1581005</v>
      </c>
      <c r="F43" s="12" t="s">
        <v>16</v>
      </c>
      <c r="G43" s="13">
        <v>20333568</v>
      </c>
      <c r="H43" s="12" t="s">
        <v>494</v>
      </c>
      <c r="I43" s="13">
        <v>1</v>
      </c>
      <c r="J43" s="14">
        <v>8</v>
      </c>
      <c r="K43" s="14">
        <v>8</v>
      </c>
    </row>
    <row r="44" spans="4:11">
      <c r="D44" s="11">
        <v>46081</v>
      </c>
      <c r="E44" s="12">
        <v>1581005</v>
      </c>
      <c r="F44" s="12" t="s">
        <v>20</v>
      </c>
      <c r="G44" s="13">
        <v>20323288</v>
      </c>
      <c r="H44" s="12" t="s">
        <v>487</v>
      </c>
      <c r="I44" s="13">
        <v>1</v>
      </c>
      <c r="J44" s="14">
        <v>22</v>
      </c>
      <c r="K44" s="14">
        <v>22</v>
      </c>
    </row>
    <row r="45" spans="4:11">
      <c r="D45" s="11">
        <v>46083</v>
      </c>
      <c r="E45" s="12">
        <v>1581364</v>
      </c>
      <c r="F45" s="12" t="s">
        <v>16</v>
      </c>
      <c r="G45" s="13">
        <v>20318159</v>
      </c>
      <c r="H45" s="12" t="s">
        <v>500</v>
      </c>
      <c r="I45" s="13">
        <v>2</v>
      </c>
      <c r="J45" s="14">
        <v>8</v>
      </c>
      <c r="K45" s="14">
        <v>16</v>
      </c>
    </row>
    <row r="46" spans="4:11">
      <c r="D46" s="11">
        <v>46083</v>
      </c>
      <c r="E46" s="12">
        <v>1581364</v>
      </c>
      <c r="F46" s="12" t="s">
        <v>53</v>
      </c>
      <c r="G46" s="13">
        <v>20369732</v>
      </c>
      <c r="H46" s="12" t="s">
        <v>490</v>
      </c>
      <c r="I46" s="13">
        <v>1</v>
      </c>
      <c r="J46" s="14">
        <v>30</v>
      </c>
      <c r="K46" s="14">
        <v>30</v>
      </c>
    </row>
    <row r="47" spans="4:11">
      <c r="D47" s="11">
        <v>46083</v>
      </c>
      <c r="E47" s="12">
        <v>1581364</v>
      </c>
      <c r="F47" s="12" t="s">
        <v>30</v>
      </c>
      <c r="G47" s="13">
        <v>20335812</v>
      </c>
      <c r="H47" s="12" t="s">
        <v>501</v>
      </c>
      <c r="I47" s="13">
        <v>1</v>
      </c>
      <c r="J47" s="14">
        <v>49.5</v>
      </c>
      <c r="K47" s="14">
        <v>49.5</v>
      </c>
    </row>
    <row r="48" spans="4:11">
      <c r="D48" s="11">
        <v>46083</v>
      </c>
      <c r="E48" s="12">
        <v>1581364</v>
      </c>
      <c r="F48" s="12" t="s">
        <v>20</v>
      </c>
      <c r="G48" s="13">
        <v>20321558</v>
      </c>
      <c r="H48" s="12" t="s">
        <v>489</v>
      </c>
      <c r="I48" s="13">
        <v>1</v>
      </c>
      <c r="J48" s="14">
        <v>16.5</v>
      </c>
      <c r="K48" s="14">
        <v>16.5</v>
      </c>
    </row>
    <row r="49" spans="4:11">
      <c r="D49" s="11">
        <v>46084</v>
      </c>
      <c r="E49" s="12">
        <v>1581683</v>
      </c>
      <c r="F49" s="12" t="s">
        <v>16</v>
      </c>
      <c r="G49" s="13">
        <v>20361110</v>
      </c>
      <c r="H49" s="12" t="s">
        <v>484</v>
      </c>
      <c r="I49" s="13">
        <v>1</v>
      </c>
      <c r="J49" s="14">
        <v>8</v>
      </c>
      <c r="K49" s="14">
        <v>8</v>
      </c>
    </row>
    <row r="50" spans="4:11">
      <c r="D50" s="11">
        <v>46084</v>
      </c>
      <c r="E50" s="12">
        <v>1581683</v>
      </c>
      <c r="F50" s="12" t="s">
        <v>16</v>
      </c>
      <c r="G50" s="13">
        <v>20320788</v>
      </c>
      <c r="H50" s="12" t="s">
        <v>462</v>
      </c>
      <c r="I50" s="13">
        <v>4</v>
      </c>
      <c r="J50" s="14">
        <v>8</v>
      </c>
      <c r="K50" s="14">
        <v>32</v>
      </c>
    </row>
    <row r="51" spans="4:11">
      <c r="D51" s="11">
        <v>46084</v>
      </c>
      <c r="E51" s="12">
        <v>1581683</v>
      </c>
      <c r="F51" s="12" t="s">
        <v>16</v>
      </c>
      <c r="G51" s="13">
        <v>20384339</v>
      </c>
      <c r="H51" s="12" t="s">
        <v>486</v>
      </c>
      <c r="I51" s="13">
        <v>1</v>
      </c>
      <c r="J51" s="14">
        <v>8</v>
      </c>
      <c r="K51" s="14">
        <v>8</v>
      </c>
    </row>
    <row r="52" spans="4:11">
      <c r="D52" s="11">
        <v>46085</v>
      </c>
      <c r="E52" s="12">
        <v>1581970</v>
      </c>
      <c r="F52" s="12" t="s">
        <v>16</v>
      </c>
      <c r="G52" s="13">
        <v>20323840</v>
      </c>
      <c r="H52" s="12" t="s">
        <v>497</v>
      </c>
      <c r="I52" s="13">
        <v>3</v>
      </c>
      <c r="J52" s="14">
        <v>27.5</v>
      </c>
      <c r="K52" s="14">
        <v>82.5</v>
      </c>
    </row>
    <row r="53" spans="4:11">
      <c r="D53" s="11">
        <v>46086</v>
      </c>
      <c r="E53" s="12">
        <v>1582330</v>
      </c>
      <c r="F53" s="12" t="s">
        <v>16</v>
      </c>
      <c r="G53" s="13">
        <v>20361111</v>
      </c>
      <c r="H53" s="12" t="s">
        <v>485</v>
      </c>
      <c r="I53" s="13">
        <v>2</v>
      </c>
      <c r="J53" s="14">
        <v>8</v>
      </c>
      <c r="K53" s="14">
        <v>16</v>
      </c>
    </row>
    <row r="54" spans="4:11">
      <c r="D54" s="11">
        <v>46086</v>
      </c>
      <c r="E54" s="12">
        <v>1582330</v>
      </c>
      <c r="F54" s="12" t="s">
        <v>16</v>
      </c>
      <c r="G54" s="13">
        <v>20384339</v>
      </c>
      <c r="H54" s="12" t="s">
        <v>486</v>
      </c>
      <c r="I54" s="13">
        <v>1</v>
      </c>
      <c r="J54" s="14">
        <v>8</v>
      </c>
      <c r="K54" s="14">
        <v>8</v>
      </c>
    </row>
    <row r="55" spans="4:11">
      <c r="D55" s="11">
        <v>46086</v>
      </c>
      <c r="E55" s="12">
        <v>1582330</v>
      </c>
      <c r="F55" s="12" t="s">
        <v>20</v>
      </c>
      <c r="G55" s="13">
        <v>20323288</v>
      </c>
      <c r="H55" s="12" t="s">
        <v>487</v>
      </c>
      <c r="I55" s="13">
        <v>3</v>
      </c>
      <c r="J55" s="14">
        <v>22</v>
      </c>
      <c r="K55" s="14">
        <v>66</v>
      </c>
    </row>
    <row r="56" spans="4:11">
      <c r="D56" s="11">
        <v>46087</v>
      </c>
      <c r="E56" s="12">
        <v>1582642</v>
      </c>
      <c r="F56" s="12" t="s">
        <v>16</v>
      </c>
      <c r="G56" s="13">
        <v>20361110</v>
      </c>
      <c r="H56" s="12" t="s">
        <v>484</v>
      </c>
      <c r="I56" s="13">
        <v>2</v>
      </c>
      <c r="J56" s="14">
        <v>8</v>
      </c>
      <c r="K56" s="14">
        <v>16</v>
      </c>
    </row>
    <row r="57" spans="4:11">
      <c r="D57" s="11">
        <v>46087</v>
      </c>
      <c r="E57" s="12">
        <v>1582642</v>
      </c>
      <c r="F57" s="12" t="s">
        <v>16</v>
      </c>
      <c r="G57" s="13">
        <v>20361111</v>
      </c>
      <c r="H57" s="12" t="s">
        <v>485</v>
      </c>
      <c r="I57" s="13">
        <v>2</v>
      </c>
      <c r="J57" s="14">
        <v>8</v>
      </c>
      <c r="K57" s="14">
        <v>16</v>
      </c>
    </row>
    <row r="58" spans="4:11">
      <c r="D58" s="11">
        <v>46087</v>
      </c>
      <c r="E58" s="12">
        <v>1582642</v>
      </c>
      <c r="F58" s="12" t="s">
        <v>16</v>
      </c>
      <c r="G58" s="13">
        <v>20384339</v>
      </c>
      <c r="H58" s="12" t="s">
        <v>486</v>
      </c>
      <c r="I58" s="13">
        <v>1</v>
      </c>
      <c r="J58" s="14">
        <v>8</v>
      </c>
      <c r="K58" s="14">
        <v>8</v>
      </c>
    </row>
    <row r="59" spans="4:11">
      <c r="D59" s="11">
        <v>46087</v>
      </c>
      <c r="E59" s="12">
        <v>1582642</v>
      </c>
      <c r="F59" s="12" t="s">
        <v>30</v>
      </c>
      <c r="G59" s="13">
        <v>20321557</v>
      </c>
      <c r="H59" s="12" t="s">
        <v>488</v>
      </c>
      <c r="I59" s="13">
        <v>1</v>
      </c>
      <c r="J59" s="14">
        <v>55</v>
      </c>
      <c r="K59" s="14">
        <v>55</v>
      </c>
    </row>
  </sheetData>
  <autoFilter xmlns:etc="http://www.wps.cn/officeDocument/2017/etCustomData" ref="A7:K59" etc:filterBottomFollowUsedRange="0">
    <extLst/>
  </autoFilter>
  <mergeCells count="5">
    <mergeCell ref="D8:H8"/>
    <mergeCell ref="C7:C59"/>
    <mergeCell ref="B4:H5"/>
    <mergeCell ref="A7:B5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&amp;"-,Regular"2026年3月9日 8:21 
&amp;"-,Bold"&amp;10 黑龙江省铂康医疗灭菌有限公司 &amp;R&amp;"Droid Sans Fallback"&amp;9第&amp;P页，共&amp;N页 </oddFooter>
  </headerFooter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502</v>
      </c>
      <c r="E8" s="8" t="s">
        <v>2</v>
      </c>
      <c r="F8" s="8" t="s">
        <v>2</v>
      </c>
      <c r="G8" s="8" t="s">
        <v>2</v>
      </c>
      <c r="H8" s="8" t="s">
        <v>2</v>
      </c>
      <c r="I8" s="9">
        <v>3</v>
      </c>
      <c r="J8" s="10"/>
      <c r="K8" s="10">
        <v>54.5</v>
      </c>
    </row>
    <row r="9" spans="1:11">
      <c r="D9" s="11">
        <v>46062</v>
      </c>
      <c r="E9" s="12">
        <v>1577291</v>
      </c>
      <c r="F9" s="12" t="s">
        <v>30</v>
      </c>
      <c r="G9" s="13">
        <v>20321552</v>
      </c>
      <c r="H9" s="12" t="s">
        <v>503</v>
      </c>
      <c r="I9" s="13">
        <v>1</v>
      </c>
      <c r="J9" s="14">
        <v>38.5</v>
      </c>
      <c r="K9" s="14">
        <v>38.5</v>
      </c>
    </row>
    <row r="10" spans="1:11">
      <c r="D10" s="11">
        <v>46083</v>
      </c>
      <c r="E10" s="12">
        <v>1581367</v>
      </c>
      <c r="F10" s="12" t="s">
        <v>16</v>
      </c>
      <c r="G10" s="13">
        <v>20318154</v>
      </c>
      <c r="H10" s="12" t="s">
        <v>504</v>
      </c>
      <c r="I10" s="13">
        <v>2</v>
      </c>
      <c r="J10" s="14">
        <v>8</v>
      </c>
      <c r="K10" s="14">
        <v>16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&amp;"-,Regular"2026年3月9日 8:21 
&amp;"-,Bold"&amp;10 黑龙江省铂康医疗灭菌有限公司 &amp;R&amp;"Droid Sans Fallback"&amp;9第&amp;P页，共&amp;N页 </oddFooter>
  </headerFooter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254</v>
      </c>
      <c r="E8" s="8" t="s">
        <v>2</v>
      </c>
      <c r="F8" s="8" t="s">
        <v>2</v>
      </c>
      <c r="G8" s="8" t="s">
        <v>2</v>
      </c>
      <c r="H8" s="8" t="s">
        <v>2</v>
      </c>
      <c r="I8" s="9">
        <v>2</v>
      </c>
      <c r="J8" s="10"/>
      <c r="K8" s="10">
        <v>143</v>
      </c>
    </row>
    <row r="9" spans="1:11">
      <c r="D9" s="11">
        <v>46082</v>
      </c>
      <c r="E9" s="12">
        <v>1581253</v>
      </c>
      <c r="F9" s="12" t="s">
        <v>30</v>
      </c>
      <c r="G9" s="13">
        <v>20371234</v>
      </c>
      <c r="H9" s="12" t="s">
        <v>505</v>
      </c>
      <c r="I9" s="13">
        <v>1</v>
      </c>
      <c r="J9" s="14">
        <v>71.5</v>
      </c>
      <c r="K9" s="14">
        <v>71.5</v>
      </c>
    </row>
    <row r="10" spans="1:11">
      <c r="D10" s="11">
        <v>46088</v>
      </c>
      <c r="E10" s="12">
        <v>1583014</v>
      </c>
      <c r="F10" s="12" t="s">
        <v>30</v>
      </c>
      <c r="G10" s="13">
        <v>20371234</v>
      </c>
      <c r="H10" s="12" t="s">
        <v>505</v>
      </c>
      <c r="I10" s="13">
        <v>1</v>
      </c>
      <c r="J10" s="14">
        <v>71.5</v>
      </c>
      <c r="K10" s="14">
        <v>71.5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&amp;"-,Regular"2026年3月9日 8:21 
&amp;"-,Bold"&amp;10 黑龙江省铂康医疗灭菌有限公司 &amp;R&amp;"Droid Sans Fallback"&amp;9第&amp;P页，共&amp;N页 </oddFooter>
  </headerFooter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2"/>
  <sheetViews>
    <sheetView showGridLines="0" view="pageBreakPreview" zoomScaleNormal="100" workbookViewId="0">
      <pane ySplit="6" topLeftCell="A7" activePane="bottomLeft" state="frozen"/>
      <selection/>
      <selection pane="bottomLeft" activeCell="P10" sqref="O10:P1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104</v>
      </c>
      <c r="E8" s="8" t="s">
        <v>2</v>
      </c>
      <c r="F8" s="8" t="s">
        <v>2</v>
      </c>
      <c r="G8" s="8" t="s">
        <v>2</v>
      </c>
      <c r="H8" s="8" t="s">
        <v>2</v>
      </c>
      <c r="I8" s="9">
        <v>48</v>
      </c>
      <c r="J8" s="10"/>
      <c r="K8" s="10">
        <f>SUM(K9:K41)</f>
        <v>1050.5</v>
      </c>
    </row>
    <row r="9" spans="1:11">
      <c r="D9" s="11">
        <v>46062</v>
      </c>
      <c r="E9" s="12">
        <v>1577296</v>
      </c>
      <c r="F9" s="12" t="s">
        <v>20</v>
      </c>
      <c r="G9" s="13">
        <v>20321078</v>
      </c>
      <c r="H9" s="12" t="s">
        <v>506</v>
      </c>
      <c r="I9" s="13">
        <v>2</v>
      </c>
      <c r="J9" s="14">
        <v>16.5</v>
      </c>
      <c r="K9" s="14">
        <f t="shared" ref="K9:K41" si="0">J9*I9</f>
        <v>33</v>
      </c>
    </row>
    <row r="10" spans="1:11">
      <c r="D10" s="11">
        <v>46063</v>
      </c>
      <c r="E10" s="12">
        <v>1577670</v>
      </c>
      <c r="F10" s="12" t="s">
        <v>20</v>
      </c>
      <c r="G10" s="13">
        <v>20321078</v>
      </c>
      <c r="H10" s="12" t="s">
        <v>506</v>
      </c>
      <c r="I10" s="13">
        <v>3</v>
      </c>
      <c r="J10" s="14">
        <v>16.5</v>
      </c>
      <c r="K10" s="14">
        <f t="shared" si="0"/>
        <v>49.5</v>
      </c>
    </row>
    <row r="11" spans="1:11">
      <c r="D11" s="11">
        <v>46064</v>
      </c>
      <c r="E11" s="12">
        <v>1577951</v>
      </c>
      <c r="F11" s="12" t="s">
        <v>20</v>
      </c>
      <c r="G11" s="13">
        <v>20321506</v>
      </c>
      <c r="H11" s="12" t="s">
        <v>423</v>
      </c>
      <c r="I11" s="13">
        <v>1</v>
      </c>
      <c r="J11" s="14">
        <v>22</v>
      </c>
      <c r="K11" s="14">
        <f t="shared" si="0"/>
        <v>22</v>
      </c>
    </row>
    <row r="12" spans="1:11">
      <c r="D12" s="11">
        <v>46065</v>
      </c>
      <c r="E12" s="12">
        <v>1578282</v>
      </c>
      <c r="F12" s="12" t="s">
        <v>20</v>
      </c>
      <c r="G12" s="13">
        <v>20321506</v>
      </c>
      <c r="H12" s="12" t="s">
        <v>423</v>
      </c>
      <c r="I12" s="13">
        <v>2</v>
      </c>
      <c r="J12" s="14">
        <v>22</v>
      </c>
      <c r="K12" s="14">
        <f t="shared" si="0"/>
        <v>44</v>
      </c>
    </row>
    <row r="13" spans="1:11">
      <c r="D13" s="11">
        <v>46066</v>
      </c>
      <c r="E13" s="12">
        <v>1578605</v>
      </c>
      <c r="F13" s="12" t="s">
        <v>20</v>
      </c>
      <c r="G13" s="13">
        <v>20321078</v>
      </c>
      <c r="H13" s="12" t="s">
        <v>506</v>
      </c>
      <c r="I13" s="13">
        <v>1</v>
      </c>
      <c r="J13" s="14">
        <v>16.5</v>
      </c>
      <c r="K13" s="14">
        <f t="shared" si="0"/>
        <v>16.5</v>
      </c>
    </row>
    <row r="14" spans="1:11">
      <c r="D14" s="11">
        <v>46066</v>
      </c>
      <c r="E14" s="12">
        <v>1578605</v>
      </c>
      <c r="F14" s="12" t="s">
        <v>20</v>
      </c>
      <c r="G14" s="13">
        <v>20321506</v>
      </c>
      <c r="H14" s="12" t="s">
        <v>423</v>
      </c>
      <c r="I14" s="13">
        <v>2</v>
      </c>
      <c r="J14" s="14">
        <v>22</v>
      </c>
      <c r="K14" s="14">
        <f t="shared" si="0"/>
        <v>44</v>
      </c>
    </row>
    <row r="15" spans="1:11">
      <c r="D15" s="11">
        <v>46067</v>
      </c>
      <c r="E15" s="12">
        <v>1578822</v>
      </c>
      <c r="F15" s="12" t="s">
        <v>321</v>
      </c>
      <c r="G15" s="13">
        <v>20412726</v>
      </c>
      <c r="H15" s="12" t="s">
        <v>507</v>
      </c>
      <c r="I15" s="13">
        <v>1</v>
      </c>
      <c r="J15" s="14">
        <v>88</v>
      </c>
      <c r="K15" s="14">
        <f t="shared" si="0"/>
        <v>88</v>
      </c>
    </row>
    <row r="16" spans="1:11">
      <c r="D16" s="11">
        <v>46067</v>
      </c>
      <c r="E16" s="12">
        <v>1578831</v>
      </c>
      <c r="F16" s="12" t="s">
        <v>30</v>
      </c>
      <c r="G16" s="13">
        <v>20321092</v>
      </c>
      <c r="H16" s="12" t="s">
        <v>320</v>
      </c>
      <c r="I16" s="13">
        <v>1</v>
      </c>
      <c r="J16" s="14">
        <v>44</v>
      </c>
      <c r="K16" s="14">
        <f t="shared" si="0"/>
        <v>44</v>
      </c>
    </row>
    <row r="17" spans="4:11">
      <c r="D17" s="11">
        <v>46067</v>
      </c>
      <c r="E17" s="12">
        <v>1578887</v>
      </c>
      <c r="F17" s="12" t="s">
        <v>20</v>
      </c>
      <c r="G17" s="13">
        <v>20321078</v>
      </c>
      <c r="H17" s="12" t="s">
        <v>506</v>
      </c>
      <c r="I17" s="13">
        <v>2</v>
      </c>
      <c r="J17" s="14">
        <v>16.5</v>
      </c>
      <c r="K17" s="14">
        <f t="shared" si="0"/>
        <v>33</v>
      </c>
    </row>
    <row r="18" spans="4:11">
      <c r="D18" s="11">
        <v>46068</v>
      </c>
      <c r="E18" s="12">
        <v>1579073</v>
      </c>
      <c r="F18" s="12" t="s">
        <v>20</v>
      </c>
      <c r="G18" s="13">
        <v>20321078</v>
      </c>
      <c r="H18" s="12" t="s">
        <v>506</v>
      </c>
      <c r="I18" s="13">
        <v>2</v>
      </c>
      <c r="J18" s="14">
        <v>16.5</v>
      </c>
      <c r="K18" s="14">
        <f t="shared" si="0"/>
        <v>33</v>
      </c>
    </row>
    <row r="19" spans="4:11">
      <c r="D19" s="11">
        <v>46069</v>
      </c>
      <c r="E19" s="12">
        <v>1579110</v>
      </c>
      <c r="F19" s="12" t="s">
        <v>20</v>
      </c>
      <c r="G19" s="13">
        <v>20321078</v>
      </c>
      <c r="H19" s="12" t="s">
        <v>506</v>
      </c>
      <c r="I19" s="13">
        <v>2</v>
      </c>
      <c r="J19" s="14">
        <v>16.5</v>
      </c>
      <c r="K19" s="14">
        <f t="shared" si="0"/>
        <v>33</v>
      </c>
    </row>
    <row r="20" spans="4:11">
      <c r="D20" s="11">
        <v>46070</v>
      </c>
      <c r="E20" s="12">
        <v>1579131</v>
      </c>
      <c r="F20" s="12" t="s">
        <v>20</v>
      </c>
      <c r="G20" s="13">
        <v>20321078</v>
      </c>
      <c r="H20" s="12" t="s">
        <v>506</v>
      </c>
      <c r="I20" s="13">
        <v>1</v>
      </c>
      <c r="J20" s="14">
        <v>16.5</v>
      </c>
      <c r="K20" s="14">
        <f t="shared" si="0"/>
        <v>16.5</v>
      </c>
    </row>
    <row r="21" spans="4:11">
      <c r="D21" s="11">
        <v>46071</v>
      </c>
      <c r="E21" s="12">
        <v>1579167</v>
      </c>
      <c r="F21" s="12" t="s">
        <v>20</v>
      </c>
      <c r="G21" s="13">
        <v>20321506</v>
      </c>
      <c r="H21" s="12" t="s">
        <v>423</v>
      </c>
      <c r="I21" s="13">
        <v>1</v>
      </c>
      <c r="J21" s="14">
        <v>22</v>
      </c>
      <c r="K21" s="14">
        <f t="shared" si="0"/>
        <v>22</v>
      </c>
    </row>
    <row r="22" spans="4:11">
      <c r="D22" s="11">
        <v>46072</v>
      </c>
      <c r="E22" s="12">
        <v>1579246</v>
      </c>
      <c r="F22" s="12" t="s">
        <v>20</v>
      </c>
      <c r="G22" s="13">
        <v>20321506</v>
      </c>
      <c r="H22" s="12" t="s">
        <v>423</v>
      </c>
      <c r="I22" s="13">
        <v>1</v>
      </c>
      <c r="J22" s="14">
        <v>22</v>
      </c>
      <c r="K22" s="14">
        <f t="shared" si="0"/>
        <v>22</v>
      </c>
    </row>
    <row r="23" spans="4:11">
      <c r="D23" s="11">
        <v>46073</v>
      </c>
      <c r="E23" s="12">
        <v>1579296</v>
      </c>
      <c r="F23" s="12" t="s">
        <v>20</v>
      </c>
      <c r="G23" s="13">
        <v>20321078</v>
      </c>
      <c r="H23" s="12" t="s">
        <v>506</v>
      </c>
      <c r="I23" s="13">
        <v>2</v>
      </c>
      <c r="J23" s="14">
        <v>16.5</v>
      </c>
      <c r="K23" s="14">
        <f t="shared" si="0"/>
        <v>33</v>
      </c>
    </row>
    <row r="24" spans="4:11">
      <c r="D24" s="11">
        <v>46075</v>
      </c>
      <c r="E24" s="12">
        <v>1579426</v>
      </c>
      <c r="F24" s="12" t="s">
        <v>20</v>
      </c>
      <c r="G24" s="13">
        <v>20321078</v>
      </c>
      <c r="H24" s="12" t="s">
        <v>506</v>
      </c>
      <c r="I24" s="13">
        <v>1</v>
      </c>
      <c r="J24" s="14">
        <v>16.5</v>
      </c>
      <c r="K24" s="14">
        <f t="shared" si="0"/>
        <v>16.5</v>
      </c>
    </row>
    <row r="25" spans="4:11">
      <c r="D25" s="11">
        <v>46075</v>
      </c>
      <c r="E25" s="12">
        <v>1579426</v>
      </c>
      <c r="F25" s="12" t="s">
        <v>20</v>
      </c>
      <c r="G25" s="13">
        <v>20321506</v>
      </c>
      <c r="H25" s="12" t="s">
        <v>423</v>
      </c>
      <c r="I25" s="13">
        <v>1</v>
      </c>
      <c r="J25" s="14">
        <v>22</v>
      </c>
      <c r="K25" s="14">
        <f t="shared" si="0"/>
        <v>22</v>
      </c>
    </row>
    <row r="26" spans="4:11">
      <c r="D26" s="11">
        <v>46076</v>
      </c>
      <c r="E26" s="12">
        <v>1579528</v>
      </c>
      <c r="F26" s="12" t="s">
        <v>20</v>
      </c>
      <c r="G26" s="13">
        <v>20321078</v>
      </c>
      <c r="H26" s="12" t="s">
        <v>506</v>
      </c>
      <c r="I26" s="13">
        <v>1</v>
      </c>
      <c r="J26" s="14">
        <v>16.5</v>
      </c>
      <c r="K26" s="14">
        <f t="shared" si="0"/>
        <v>16.5</v>
      </c>
    </row>
    <row r="27" spans="4:11">
      <c r="D27" s="11">
        <v>46077</v>
      </c>
      <c r="E27" s="12">
        <v>1579649</v>
      </c>
      <c r="F27" s="12" t="s">
        <v>20</v>
      </c>
      <c r="G27" s="13">
        <v>20321506</v>
      </c>
      <c r="H27" s="12" t="s">
        <v>423</v>
      </c>
      <c r="I27" s="13">
        <v>1</v>
      </c>
      <c r="J27" s="14">
        <v>22</v>
      </c>
      <c r="K27" s="14">
        <f t="shared" si="0"/>
        <v>22</v>
      </c>
    </row>
    <row r="28" spans="4:11">
      <c r="D28" s="11">
        <v>46078</v>
      </c>
      <c r="E28" s="12">
        <v>1579888</v>
      </c>
      <c r="F28" s="12" t="s">
        <v>321</v>
      </c>
      <c r="G28" s="13">
        <v>20412726</v>
      </c>
      <c r="H28" s="12" t="s">
        <v>507</v>
      </c>
      <c r="I28" s="13">
        <v>1</v>
      </c>
      <c r="J28" s="14">
        <v>88</v>
      </c>
      <c r="K28" s="14">
        <f t="shared" si="0"/>
        <v>88</v>
      </c>
    </row>
    <row r="29" spans="4:11">
      <c r="D29" s="11">
        <v>46078</v>
      </c>
      <c r="E29" s="12">
        <v>1579969</v>
      </c>
      <c r="F29" s="12" t="s">
        <v>20</v>
      </c>
      <c r="G29" s="13">
        <v>20321078</v>
      </c>
      <c r="H29" s="12" t="s">
        <v>506</v>
      </c>
      <c r="I29" s="13">
        <v>1</v>
      </c>
      <c r="J29" s="14">
        <v>16.5</v>
      </c>
      <c r="K29" s="14">
        <f t="shared" si="0"/>
        <v>16.5</v>
      </c>
    </row>
    <row r="30" spans="4:11">
      <c r="D30" s="11">
        <v>46079</v>
      </c>
      <c r="E30" s="12">
        <v>1580289</v>
      </c>
      <c r="F30" s="12" t="s">
        <v>20</v>
      </c>
      <c r="G30" s="13">
        <v>20321506</v>
      </c>
      <c r="H30" s="12" t="s">
        <v>423</v>
      </c>
      <c r="I30" s="13">
        <v>1</v>
      </c>
      <c r="J30" s="14">
        <v>22</v>
      </c>
      <c r="K30" s="14">
        <f t="shared" si="0"/>
        <v>22</v>
      </c>
    </row>
    <row r="31" spans="4:11">
      <c r="D31" s="11">
        <v>46080</v>
      </c>
      <c r="E31" s="12">
        <v>1580651</v>
      </c>
      <c r="F31" s="12" t="s">
        <v>20</v>
      </c>
      <c r="G31" s="13">
        <v>20321506</v>
      </c>
      <c r="H31" s="12" t="s">
        <v>423</v>
      </c>
      <c r="I31" s="13">
        <v>1</v>
      </c>
      <c r="J31" s="14">
        <v>22</v>
      </c>
      <c r="K31" s="14">
        <f t="shared" si="0"/>
        <v>22</v>
      </c>
    </row>
    <row r="32" spans="4:11">
      <c r="D32" s="11">
        <v>46081</v>
      </c>
      <c r="E32" s="12">
        <v>1581006</v>
      </c>
      <c r="F32" s="12" t="s">
        <v>20</v>
      </c>
      <c r="G32" s="13">
        <v>20321078</v>
      </c>
      <c r="H32" s="12" t="s">
        <v>506</v>
      </c>
      <c r="I32" s="13">
        <v>1</v>
      </c>
      <c r="J32" s="14">
        <v>16.5</v>
      </c>
      <c r="K32" s="14">
        <f t="shared" si="0"/>
        <v>16.5</v>
      </c>
    </row>
    <row r="33" spans="4:11">
      <c r="D33" s="11">
        <v>46081</v>
      </c>
      <c r="E33" s="12">
        <v>1581006</v>
      </c>
      <c r="F33" s="12" t="s">
        <v>20</v>
      </c>
      <c r="G33" s="13">
        <v>20321506</v>
      </c>
      <c r="H33" s="12" t="s">
        <v>423</v>
      </c>
      <c r="I33" s="13">
        <v>1</v>
      </c>
      <c r="J33" s="14">
        <v>22</v>
      </c>
      <c r="K33" s="14">
        <f t="shared" si="0"/>
        <v>22</v>
      </c>
    </row>
    <row r="34" spans="4:11">
      <c r="D34" s="11">
        <v>46082</v>
      </c>
      <c r="E34" s="12">
        <v>1581257</v>
      </c>
      <c r="F34" s="12" t="s">
        <v>20</v>
      </c>
      <c r="G34" s="13">
        <v>20321078</v>
      </c>
      <c r="H34" s="12" t="s">
        <v>506</v>
      </c>
      <c r="I34" s="13">
        <v>2</v>
      </c>
      <c r="J34" s="14">
        <v>16.5</v>
      </c>
      <c r="K34" s="14">
        <f t="shared" si="0"/>
        <v>33</v>
      </c>
    </row>
    <row r="35" spans="4:11">
      <c r="D35" s="11">
        <v>46084</v>
      </c>
      <c r="E35" s="12">
        <v>1581684</v>
      </c>
      <c r="F35" s="12" t="s">
        <v>20</v>
      </c>
      <c r="G35" s="13">
        <v>20321078</v>
      </c>
      <c r="H35" s="12" t="s">
        <v>506</v>
      </c>
      <c r="I35" s="13">
        <v>3</v>
      </c>
      <c r="J35" s="14">
        <v>16.5</v>
      </c>
      <c r="K35" s="14">
        <f t="shared" si="0"/>
        <v>49.5</v>
      </c>
    </row>
    <row r="36" spans="4:11">
      <c r="D36" s="11">
        <v>46085</v>
      </c>
      <c r="E36" s="12">
        <v>1581969</v>
      </c>
      <c r="F36" s="12" t="s">
        <v>20</v>
      </c>
      <c r="G36" s="13">
        <v>20321078</v>
      </c>
      <c r="H36" s="12" t="s">
        <v>506</v>
      </c>
      <c r="I36" s="13">
        <v>1</v>
      </c>
      <c r="J36" s="14">
        <v>16.5</v>
      </c>
      <c r="K36" s="14">
        <f t="shared" si="0"/>
        <v>16.5</v>
      </c>
    </row>
    <row r="37" spans="4:11">
      <c r="D37" s="11">
        <v>46086</v>
      </c>
      <c r="E37" s="12">
        <v>1582331</v>
      </c>
      <c r="F37" s="12" t="s">
        <v>20</v>
      </c>
      <c r="G37" s="13">
        <v>20321078</v>
      </c>
      <c r="H37" s="12" t="s">
        <v>506</v>
      </c>
      <c r="I37" s="13">
        <v>1</v>
      </c>
      <c r="J37" s="14">
        <v>16.5</v>
      </c>
      <c r="K37" s="14">
        <f t="shared" si="0"/>
        <v>16.5</v>
      </c>
    </row>
    <row r="38" spans="4:11">
      <c r="D38" s="11">
        <v>46086</v>
      </c>
      <c r="E38" s="12">
        <v>1582331</v>
      </c>
      <c r="F38" s="12" t="s">
        <v>20</v>
      </c>
      <c r="G38" s="13">
        <v>20321506</v>
      </c>
      <c r="H38" s="12" t="s">
        <v>423</v>
      </c>
      <c r="I38" s="13">
        <v>2</v>
      </c>
      <c r="J38" s="14">
        <v>22</v>
      </c>
      <c r="K38" s="14">
        <f t="shared" si="0"/>
        <v>44</v>
      </c>
    </row>
    <row r="39" spans="4:11">
      <c r="D39" s="11">
        <v>46087</v>
      </c>
      <c r="E39" s="12">
        <v>1582639</v>
      </c>
      <c r="F39" s="12" t="s">
        <v>20</v>
      </c>
      <c r="G39" s="13">
        <v>20321506</v>
      </c>
      <c r="H39" s="12" t="s">
        <v>423</v>
      </c>
      <c r="I39" s="13">
        <v>1</v>
      </c>
      <c r="J39" s="14">
        <v>22</v>
      </c>
      <c r="K39" s="14">
        <f t="shared" si="0"/>
        <v>22</v>
      </c>
    </row>
    <row r="40" spans="4:11">
      <c r="D40" s="11">
        <v>46088</v>
      </c>
      <c r="E40" s="12">
        <v>1583011</v>
      </c>
      <c r="F40" s="12" t="s">
        <v>20</v>
      </c>
      <c r="G40" s="13">
        <v>20321078</v>
      </c>
      <c r="H40" s="12" t="s">
        <v>506</v>
      </c>
      <c r="I40" s="13">
        <v>3</v>
      </c>
      <c r="J40" s="14">
        <v>16.5</v>
      </c>
      <c r="K40" s="14">
        <f t="shared" si="0"/>
        <v>49.5</v>
      </c>
    </row>
    <row r="41" spans="4:11">
      <c r="D41" s="11">
        <v>46089</v>
      </c>
      <c r="E41" s="12">
        <v>1583089</v>
      </c>
      <c r="F41" s="12" t="s">
        <v>20</v>
      </c>
      <c r="G41" s="13">
        <v>20321506</v>
      </c>
      <c r="H41" s="12" t="s">
        <v>423</v>
      </c>
      <c r="I41" s="13">
        <v>1</v>
      </c>
      <c r="J41" s="14">
        <v>22</v>
      </c>
      <c r="K41" s="14">
        <f t="shared" si="0"/>
        <v>22</v>
      </c>
    </row>
    <row r="42" ht="0.05" customHeight="1"/>
  </sheetData>
  <autoFilter xmlns:etc="http://www.wps.cn/officeDocument/2017/etCustomData" ref="A7:K41" etc:filterBottomFollowUsedRange="0">
    <extLst/>
  </autoFilter>
  <mergeCells count="5">
    <mergeCell ref="D8:H8"/>
    <mergeCell ref="C7:C41"/>
    <mergeCell ref="B4:H5"/>
    <mergeCell ref="A7:B4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&amp;"-,Regular"2026年3月9日 8:21 
&amp;"-,Bold"&amp;10 黑龙江省铂康医疗灭菌有限公司 &amp;R&amp;"Droid Sans Fallback"&amp;9第&amp;P页，共&amp;N页 </oddFooter>
  </headerFooter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H26" sqref="H26:H2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9" t="s">
        <v>387</v>
      </c>
      <c r="E8" s="8" t="s">
        <v>2</v>
      </c>
      <c r="F8" s="8" t="s">
        <v>2</v>
      </c>
      <c r="G8" s="8" t="s">
        <v>2</v>
      </c>
      <c r="H8" s="8" t="s">
        <v>2</v>
      </c>
      <c r="I8" s="9">
        <v>1</v>
      </c>
      <c r="J8" s="10"/>
      <c r="K8" s="10">
        <v>11</v>
      </c>
    </row>
    <row r="9" spans="1:11">
      <c r="D9" s="11">
        <v>46086</v>
      </c>
      <c r="E9" s="12">
        <v>1582292</v>
      </c>
      <c r="F9" s="12" t="s">
        <v>16</v>
      </c>
      <c r="G9" s="13">
        <v>20378343</v>
      </c>
      <c r="H9" s="12" t="s">
        <v>508</v>
      </c>
      <c r="I9" s="13">
        <v>1</v>
      </c>
      <c r="J9" s="14">
        <v>11</v>
      </c>
      <c r="K9" s="14">
        <v>11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&amp;"-,Regular"2026年3月9日 8:21 
&amp;"-,Bold"&amp;10 黑龙江省铂康医疗灭菌有限公司 &amp;R&amp;"Droid Sans Fallback"&amp;9第&amp;P页，共&amp;N页 </oddFooter>
  </headerFooter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showGridLines="0" view="pageBreakPreview" zoomScaleNormal="100" workbookViewId="0">
      <pane ySplit="6" topLeftCell="A7" activePane="bottomLeft" state="frozen"/>
      <selection/>
      <selection pane="bottomLeft" activeCell="V42" sqref="V4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3.99166666666667" customWidth="1"/>
    <col min="12" max="12" width="8.20833333333333" customWidth="1"/>
    <col min="13" max="13" width="0.275" customWidth="1"/>
    <col min="14" max="14" width="0.025" customWidth="1"/>
    <col min="15" max="15" width="0.141666666666667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16" t="s">
        <v>2</v>
      </c>
      <c r="M7" s="17" t="s">
        <v>2</v>
      </c>
    </row>
    <row r="8" ht="14.25" spans="1:13">
      <c r="D8" s="7" t="s">
        <v>387</v>
      </c>
      <c r="E8" s="8" t="s">
        <v>2</v>
      </c>
      <c r="F8" s="8" t="s">
        <v>2</v>
      </c>
      <c r="G8" s="8" t="s">
        <v>2</v>
      </c>
      <c r="H8" s="8" t="s">
        <v>2</v>
      </c>
      <c r="I8" s="9">
        <v>1</v>
      </c>
      <c r="J8" s="10"/>
      <c r="K8" s="10">
        <v>55</v>
      </c>
      <c r="L8" s="8" t="s">
        <v>2</v>
      </c>
      <c r="M8" s="18" t="s">
        <v>2</v>
      </c>
    </row>
    <row r="9" spans="1:13">
      <c r="D9" s="11">
        <v>46086</v>
      </c>
      <c r="E9" s="12">
        <v>1582286</v>
      </c>
      <c r="F9" s="12" t="s">
        <v>30</v>
      </c>
      <c r="G9" s="13">
        <v>20350960</v>
      </c>
      <c r="H9" s="12" t="s">
        <v>509</v>
      </c>
      <c r="I9" s="13">
        <v>1</v>
      </c>
      <c r="J9" s="14">
        <v>55</v>
      </c>
      <c r="K9" s="14">
        <v>55</v>
      </c>
      <c r="L9" s="8" t="s">
        <v>2</v>
      </c>
      <c r="M9" s="18" t="s">
        <v>2</v>
      </c>
    </row>
    <row r="10" ht="0.05" customHeight="1"/>
  </sheetData>
  <mergeCells count="9">
    <mergeCell ref="K7:M7"/>
    <mergeCell ref="D8:H8"/>
    <mergeCell ref="K8:M8"/>
    <mergeCell ref="K9:M9"/>
    <mergeCell ref="C7:C9"/>
    <mergeCell ref="L2:L4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&amp;"-,Regular"2026年3月9日 8:21 
&amp;"-,Bold"&amp;10 黑龙江省铂康医疗灭菌有限公司 &amp;R&amp;"Droid Sans Fallback"&amp;9第&amp;P页，共&amp;N页 </oddFooter>
  </headerFooter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3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103</v>
      </c>
      <c r="E8" s="8" t="s">
        <v>2</v>
      </c>
      <c r="F8" s="8" t="s">
        <v>2</v>
      </c>
      <c r="G8" s="8" t="s">
        <v>2</v>
      </c>
      <c r="H8" s="8" t="s">
        <v>2</v>
      </c>
      <c r="I8" s="9">
        <v>64</v>
      </c>
      <c r="J8" s="10"/>
      <c r="K8" s="10">
        <v>1430</v>
      </c>
    </row>
    <row r="9" spans="1:11">
      <c r="D9" s="11">
        <v>46062</v>
      </c>
      <c r="E9" s="12">
        <v>1577287</v>
      </c>
      <c r="F9" s="12" t="s">
        <v>20</v>
      </c>
      <c r="G9" s="13">
        <v>20321506</v>
      </c>
      <c r="H9" s="12" t="s">
        <v>423</v>
      </c>
      <c r="I9" s="13">
        <v>3</v>
      </c>
      <c r="J9" s="14">
        <v>22</v>
      </c>
      <c r="K9" s="14">
        <v>66</v>
      </c>
    </row>
    <row r="10" spans="1:11">
      <c r="D10" s="11">
        <v>46063</v>
      </c>
      <c r="E10" s="12">
        <v>1577668</v>
      </c>
      <c r="F10" s="12" t="s">
        <v>20</v>
      </c>
      <c r="G10" s="13">
        <v>20321506</v>
      </c>
      <c r="H10" s="12" t="s">
        <v>423</v>
      </c>
      <c r="I10" s="13">
        <v>4</v>
      </c>
      <c r="J10" s="14">
        <v>22</v>
      </c>
      <c r="K10" s="14">
        <v>88</v>
      </c>
    </row>
    <row r="11" spans="1:11">
      <c r="D11" s="11">
        <v>46064</v>
      </c>
      <c r="E11" s="12">
        <v>1577950</v>
      </c>
      <c r="F11" s="12" t="s">
        <v>20</v>
      </c>
      <c r="G11" s="13">
        <v>20321506</v>
      </c>
      <c r="H11" s="12" t="s">
        <v>423</v>
      </c>
      <c r="I11" s="13">
        <v>2</v>
      </c>
      <c r="J11" s="14">
        <v>22</v>
      </c>
      <c r="K11" s="14">
        <v>44</v>
      </c>
    </row>
    <row r="12" spans="1:11">
      <c r="D12" s="11">
        <v>46065</v>
      </c>
      <c r="E12" s="12">
        <v>1578283</v>
      </c>
      <c r="F12" s="12" t="s">
        <v>20</v>
      </c>
      <c r="G12" s="13">
        <v>20321506</v>
      </c>
      <c r="H12" s="12" t="s">
        <v>423</v>
      </c>
      <c r="I12" s="13">
        <v>3</v>
      </c>
      <c r="J12" s="14">
        <v>22</v>
      </c>
      <c r="K12" s="14">
        <v>66</v>
      </c>
    </row>
    <row r="13" spans="1:11">
      <c r="D13" s="11">
        <v>46065</v>
      </c>
      <c r="E13" s="12">
        <v>1578300</v>
      </c>
      <c r="F13" s="12" t="s">
        <v>30</v>
      </c>
      <c r="G13" s="13">
        <v>20321092</v>
      </c>
      <c r="H13" s="12" t="s">
        <v>320</v>
      </c>
      <c r="I13" s="13">
        <v>1</v>
      </c>
      <c r="J13" s="14">
        <v>44</v>
      </c>
      <c r="K13" s="14">
        <v>44</v>
      </c>
    </row>
    <row r="14" spans="1:11">
      <c r="D14" s="11">
        <v>46066</v>
      </c>
      <c r="E14" s="12">
        <v>1578606</v>
      </c>
      <c r="F14" s="12" t="s">
        <v>20</v>
      </c>
      <c r="G14" s="13">
        <v>20321506</v>
      </c>
      <c r="H14" s="12" t="s">
        <v>423</v>
      </c>
      <c r="I14" s="13">
        <v>3</v>
      </c>
      <c r="J14" s="14">
        <v>22</v>
      </c>
      <c r="K14" s="14">
        <v>66</v>
      </c>
    </row>
    <row r="15" spans="1:11">
      <c r="D15" s="11">
        <v>46067</v>
      </c>
      <c r="E15" s="12">
        <v>1578886</v>
      </c>
      <c r="F15" s="12" t="s">
        <v>20</v>
      </c>
      <c r="G15" s="13">
        <v>20321506</v>
      </c>
      <c r="H15" s="12" t="s">
        <v>423</v>
      </c>
      <c r="I15" s="13">
        <v>5</v>
      </c>
      <c r="J15" s="14">
        <v>22</v>
      </c>
      <c r="K15" s="14">
        <v>110</v>
      </c>
    </row>
    <row r="16" spans="1:11">
      <c r="D16" s="11">
        <v>46068</v>
      </c>
      <c r="E16" s="12">
        <v>1579074</v>
      </c>
      <c r="F16" s="12" t="s">
        <v>20</v>
      </c>
      <c r="G16" s="13">
        <v>20321506</v>
      </c>
      <c r="H16" s="12" t="s">
        <v>423</v>
      </c>
      <c r="I16" s="13">
        <v>2</v>
      </c>
      <c r="J16" s="14">
        <v>22</v>
      </c>
      <c r="K16" s="14">
        <v>44</v>
      </c>
    </row>
    <row r="17" spans="4:11">
      <c r="D17" s="11">
        <v>46070</v>
      </c>
      <c r="E17" s="12">
        <v>1579132</v>
      </c>
      <c r="F17" s="12" t="s">
        <v>20</v>
      </c>
      <c r="G17" s="13">
        <v>20321506</v>
      </c>
      <c r="H17" s="12" t="s">
        <v>423</v>
      </c>
      <c r="I17" s="13">
        <v>3</v>
      </c>
      <c r="J17" s="14">
        <v>22</v>
      </c>
      <c r="K17" s="14">
        <v>66</v>
      </c>
    </row>
    <row r="18" spans="4:11">
      <c r="D18" s="11">
        <v>46072</v>
      </c>
      <c r="E18" s="12">
        <v>1579245</v>
      </c>
      <c r="F18" s="12" t="s">
        <v>20</v>
      </c>
      <c r="G18" s="13">
        <v>20321506</v>
      </c>
      <c r="H18" s="12" t="s">
        <v>423</v>
      </c>
      <c r="I18" s="13">
        <v>2</v>
      </c>
      <c r="J18" s="14">
        <v>22</v>
      </c>
      <c r="K18" s="14">
        <v>44</v>
      </c>
    </row>
    <row r="19" spans="4:11">
      <c r="D19" s="11">
        <v>46073</v>
      </c>
      <c r="E19" s="12">
        <v>1579295</v>
      </c>
      <c r="F19" s="12" t="s">
        <v>20</v>
      </c>
      <c r="G19" s="13">
        <v>20321506</v>
      </c>
      <c r="H19" s="12" t="s">
        <v>423</v>
      </c>
      <c r="I19" s="13">
        <v>4</v>
      </c>
      <c r="J19" s="14">
        <v>22</v>
      </c>
      <c r="K19" s="14">
        <v>88</v>
      </c>
    </row>
    <row r="20" spans="4:11">
      <c r="D20" s="11">
        <v>46074</v>
      </c>
      <c r="E20" s="12">
        <v>1579361</v>
      </c>
      <c r="F20" s="12" t="s">
        <v>20</v>
      </c>
      <c r="G20" s="13">
        <v>20321506</v>
      </c>
      <c r="H20" s="12" t="s">
        <v>423</v>
      </c>
      <c r="I20" s="13">
        <v>1</v>
      </c>
      <c r="J20" s="14">
        <v>22</v>
      </c>
      <c r="K20" s="14">
        <v>22</v>
      </c>
    </row>
    <row r="21" spans="4:11">
      <c r="D21" s="11">
        <v>46076</v>
      </c>
      <c r="E21" s="12">
        <v>1579529</v>
      </c>
      <c r="F21" s="12" t="s">
        <v>20</v>
      </c>
      <c r="G21" s="13">
        <v>20321506</v>
      </c>
      <c r="H21" s="12" t="s">
        <v>423</v>
      </c>
      <c r="I21" s="13">
        <v>3</v>
      </c>
      <c r="J21" s="14">
        <v>22</v>
      </c>
      <c r="K21" s="14">
        <v>66</v>
      </c>
    </row>
    <row r="22" spans="4:11">
      <c r="D22" s="11">
        <v>46077</v>
      </c>
      <c r="E22" s="12">
        <v>1579650</v>
      </c>
      <c r="F22" s="12" t="s">
        <v>20</v>
      </c>
      <c r="G22" s="13">
        <v>20321506</v>
      </c>
      <c r="H22" s="12" t="s">
        <v>423</v>
      </c>
      <c r="I22" s="13">
        <v>2</v>
      </c>
      <c r="J22" s="14">
        <v>22</v>
      </c>
      <c r="K22" s="14">
        <v>44</v>
      </c>
    </row>
    <row r="23" spans="4:11">
      <c r="D23" s="11">
        <v>46078</v>
      </c>
      <c r="E23" s="12">
        <v>1579970</v>
      </c>
      <c r="F23" s="12" t="s">
        <v>20</v>
      </c>
      <c r="G23" s="13">
        <v>20321506</v>
      </c>
      <c r="H23" s="12" t="s">
        <v>423</v>
      </c>
      <c r="I23" s="13">
        <v>1</v>
      </c>
      <c r="J23" s="14">
        <v>22</v>
      </c>
      <c r="K23" s="14">
        <v>22</v>
      </c>
    </row>
    <row r="24" spans="4:11">
      <c r="D24" s="11">
        <v>46079</v>
      </c>
      <c r="E24" s="12">
        <v>1580290</v>
      </c>
      <c r="F24" s="12" t="s">
        <v>20</v>
      </c>
      <c r="G24" s="13">
        <v>20321506</v>
      </c>
      <c r="H24" s="12" t="s">
        <v>423</v>
      </c>
      <c r="I24" s="13">
        <v>4</v>
      </c>
      <c r="J24" s="14">
        <v>22</v>
      </c>
      <c r="K24" s="14">
        <v>88</v>
      </c>
    </row>
    <row r="25" spans="4:11">
      <c r="D25" s="11">
        <v>46080</v>
      </c>
      <c r="E25" s="12">
        <v>1580652</v>
      </c>
      <c r="F25" s="12" t="s">
        <v>20</v>
      </c>
      <c r="G25" s="13">
        <v>20321506</v>
      </c>
      <c r="H25" s="12" t="s">
        <v>423</v>
      </c>
      <c r="I25" s="13">
        <v>1</v>
      </c>
      <c r="J25" s="14">
        <v>22</v>
      </c>
      <c r="K25" s="14">
        <v>22</v>
      </c>
    </row>
    <row r="26" spans="4:11">
      <c r="D26" s="11">
        <v>46081</v>
      </c>
      <c r="E26" s="12">
        <v>1581007</v>
      </c>
      <c r="F26" s="12" t="s">
        <v>20</v>
      </c>
      <c r="G26" s="13">
        <v>20321506</v>
      </c>
      <c r="H26" s="12" t="s">
        <v>423</v>
      </c>
      <c r="I26" s="13">
        <v>3</v>
      </c>
      <c r="J26" s="14">
        <v>22</v>
      </c>
      <c r="K26" s="14">
        <v>66</v>
      </c>
    </row>
    <row r="27" spans="4:11">
      <c r="D27" s="11">
        <v>46082</v>
      </c>
      <c r="E27" s="12">
        <v>1581256</v>
      </c>
      <c r="F27" s="12" t="s">
        <v>20</v>
      </c>
      <c r="G27" s="13">
        <v>20321506</v>
      </c>
      <c r="H27" s="12" t="s">
        <v>423</v>
      </c>
      <c r="I27" s="13">
        <v>1</v>
      </c>
      <c r="J27" s="14">
        <v>22</v>
      </c>
      <c r="K27" s="14">
        <v>22</v>
      </c>
    </row>
    <row r="28" spans="4:11">
      <c r="D28" s="11">
        <v>46083</v>
      </c>
      <c r="E28" s="12">
        <v>1581368</v>
      </c>
      <c r="F28" s="12" t="s">
        <v>20</v>
      </c>
      <c r="G28" s="13">
        <v>20321506</v>
      </c>
      <c r="H28" s="12" t="s">
        <v>423</v>
      </c>
      <c r="I28" s="13">
        <v>2</v>
      </c>
      <c r="J28" s="14">
        <v>22</v>
      </c>
      <c r="K28" s="14">
        <v>44</v>
      </c>
    </row>
    <row r="29" spans="4:11">
      <c r="D29" s="11">
        <v>46084</v>
      </c>
      <c r="E29" s="12">
        <v>1581685</v>
      </c>
      <c r="F29" s="12" t="s">
        <v>20</v>
      </c>
      <c r="G29" s="13">
        <v>20321506</v>
      </c>
      <c r="H29" s="12" t="s">
        <v>423</v>
      </c>
      <c r="I29" s="13">
        <v>3</v>
      </c>
      <c r="J29" s="14">
        <v>22</v>
      </c>
      <c r="K29" s="14">
        <v>66</v>
      </c>
    </row>
    <row r="30" spans="4:11">
      <c r="D30" s="11">
        <v>46085</v>
      </c>
      <c r="E30" s="12">
        <v>1581967</v>
      </c>
      <c r="F30" s="12" t="s">
        <v>20</v>
      </c>
      <c r="G30" s="13">
        <v>20321506</v>
      </c>
      <c r="H30" s="12" t="s">
        <v>423</v>
      </c>
      <c r="I30" s="13">
        <v>2</v>
      </c>
      <c r="J30" s="14">
        <v>22</v>
      </c>
      <c r="K30" s="14">
        <v>44</v>
      </c>
    </row>
    <row r="31" spans="4:11">
      <c r="D31" s="11">
        <v>46086</v>
      </c>
      <c r="E31" s="12">
        <v>1582332</v>
      </c>
      <c r="F31" s="12" t="s">
        <v>20</v>
      </c>
      <c r="G31" s="13">
        <v>20321506</v>
      </c>
      <c r="H31" s="12" t="s">
        <v>423</v>
      </c>
      <c r="I31" s="13">
        <v>2</v>
      </c>
      <c r="J31" s="14">
        <v>22</v>
      </c>
      <c r="K31" s="14">
        <v>44</v>
      </c>
    </row>
    <row r="32" spans="4:11">
      <c r="D32" s="11">
        <v>46087</v>
      </c>
      <c r="E32" s="12">
        <v>1582640</v>
      </c>
      <c r="F32" s="12" t="s">
        <v>20</v>
      </c>
      <c r="G32" s="13">
        <v>20321506</v>
      </c>
      <c r="H32" s="12" t="s">
        <v>423</v>
      </c>
      <c r="I32" s="13">
        <v>2</v>
      </c>
      <c r="J32" s="14">
        <v>22</v>
      </c>
      <c r="K32" s="14">
        <v>44</v>
      </c>
    </row>
    <row r="33" spans="4:11">
      <c r="D33" s="11">
        <v>46089</v>
      </c>
      <c r="E33" s="12">
        <v>1583090</v>
      </c>
      <c r="F33" s="12" t="s">
        <v>20</v>
      </c>
      <c r="G33" s="13">
        <v>20321506</v>
      </c>
      <c r="H33" s="12" t="s">
        <v>423</v>
      </c>
      <c r="I33" s="13">
        <v>5</v>
      </c>
      <c r="J33" s="14">
        <v>22</v>
      </c>
      <c r="K33" s="14">
        <v>110</v>
      </c>
    </row>
  </sheetData>
  <mergeCells count="5">
    <mergeCell ref="D8:H8"/>
    <mergeCell ref="C7:C33"/>
    <mergeCell ref="B4:H5"/>
    <mergeCell ref="A7:B33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&amp;"-,Regular"2026年3月9日 8:21 
&amp;"-,Bold"&amp;10 黑龙江省铂康医疗灭菌有限公司 &amp;R&amp;"Droid Sans Fallback"&amp;9第&amp;P页，共&amp;N页 </oddFooter>
  </headerFooter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510</v>
      </c>
      <c r="E8" s="8" t="s">
        <v>2</v>
      </c>
      <c r="F8" s="8" t="s">
        <v>2</v>
      </c>
      <c r="G8" s="8" t="s">
        <v>2</v>
      </c>
      <c r="H8" s="8" t="s">
        <v>2</v>
      </c>
      <c r="I8" s="9">
        <v>1</v>
      </c>
      <c r="J8" s="15"/>
      <c r="K8" s="10">
        <v>44</v>
      </c>
    </row>
    <row r="9" spans="1:11">
      <c r="D9" s="11">
        <v>46062</v>
      </c>
      <c r="E9" s="12">
        <v>1577297</v>
      </c>
      <c r="F9" s="12" t="s">
        <v>30</v>
      </c>
      <c r="G9" s="13">
        <v>20321092</v>
      </c>
      <c r="H9" s="12" t="s">
        <v>320</v>
      </c>
      <c r="I9" s="13">
        <v>1</v>
      </c>
      <c r="J9" s="14">
        <v>44</v>
      </c>
      <c r="K9" s="14">
        <v>44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&amp;"-,Regular"2026年3月9日 8:21 
&amp;"-,Bold"&amp;10 黑龙江省铂康医疗灭菌有限公司 &amp;R&amp;"Droid Sans Fallback"&amp;9第&amp;P页，共&amp;N页 </oddFooter>
  </headerFooter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2"/>
  <sheetViews>
    <sheetView showGridLines="0" view="pageBreakPreview" zoomScaleNormal="100" workbookViewId="0">
      <pane ySplit="6" topLeftCell="A7" activePane="bottomLeft" state="frozen"/>
      <selection/>
      <selection pane="bottomLeft" activeCell="M18" sqref="M1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511</v>
      </c>
      <c r="E8" s="8" t="s">
        <v>2</v>
      </c>
      <c r="F8" s="8" t="s">
        <v>2</v>
      </c>
      <c r="G8" s="8" t="s">
        <v>2</v>
      </c>
      <c r="H8" s="8" t="s">
        <v>2</v>
      </c>
      <c r="I8" s="9">
        <v>42</v>
      </c>
      <c r="J8" s="10"/>
      <c r="K8" s="10">
        <v>412</v>
      </c>
    </row>
    <row r="9" spans="1:11">
      <c r="D9" s="11">
        <v>46063</v>
      </c>
      <c r="E9" s="12">
        <v>1577667</v>
      </c>
      <c r="F9" s="12" t="s">
        <v>16</v>
      </c>
      <c r="G9" s="13">
        <v>20318143</v>
      </c>
      <c r="H9" s="12" t="s">
        <v>512</v>
      </c>
      <c r="I9" s="13">
        <v>1</v>
      </c>
      <c r="J9" s="14">
        <v>8</v>
      </c>
      <c r="K9" s="14">
        <v>8</v>
      </c>
    </row>
    <row r="10" spans="1:11">
      <c r="D10" s="11">
        <v>46063</v>
      </c>
      <c r="E10" s="12">
        <v>1577667</v>
      </c>
      <c r="F10" s="12" t="s">
        <v>16</v>
      </c>
      <c r="G10" s="13">
        <v>20318148</v>
      </c>
      <c r="H10" s="12" t="s">
        <v>513</v>
      </c>
      <c r="I10" s="13">
        <v>1</v>
      </c>
      <c r="J10" s="14">
        <v>8</v>
      </c>
      <c r="K10" s="14">
        <v>8</v>
      </c>
    </row>
    <row r="11" spans="1:11">
      <c r="D11" s="11">
        <v>46063</v>
      </c>
      <c r="E11" s="12">
        <v>1577667</v>
      </c>
      <c r="F11" s="12" t="s">
        <v>16</v>
      </c>
      <c r="G11" s="13">
        <v>20318135</v>
      </c>
      <c r="H11" s="12" t="s">
        <v>514</v>
      </c>
      <c r="I11" s="13">
        <v>1</v>
      </c>
      <c r="J11" s="14">
        <v>8</v>
      </c>
      <c r="K11" s="14">
        <v>8</v>
      </c>
    </row>
    <row r="12" spans="1:11">
      <c r="D12" s="11">
        <v>46064</v>
      </c>
      <c r="E12" s="12">
        <v>1577949</v>
      </c>
      <c r="F12" s="12" t="s">
        <v>16</v>
      </c>
      <c r="G12" s="13">
        <v>20412378</v>
      </c>
      <c r="H12" s="12" t="s">
        <v>515</v>
      </c>
      <c r="I12" s="13">
        <v>1</v>
      </c>
      <c r="J12" s="14">
        <v>8</v>
      </c>
      <c r="K12" s="14">
        <v>8</v>
      </c>
    </row>
    <row r="13" spans="1:11">
      <c r="D13" s="11">
        <v>46064</v>
      </c>
      <c r="E13" s="12">
        <v>1577949</v>
      </c>
      <c r="F13" s="12" t="s">
        <v>16</v>
      </c>
      <c r="G13" s="13">
        <v>20318133</v>
      </c>
      <c r="H13" s="12" t="s">
        <v>516</v>
      </c>
      <c r="I13" s="13">
        <v>1</v>
      </c>
      <c r="J13" s="14">
        <v>8</v>
      </c>
      <c r="K13" s="14">
        <v>8</v>
      </c>
    </row>
    <row r="14" spans="1:11">
      <c r="D14" s="11">
        <v>46064</v>
      </c>
      <c r="E14" s="12">
        <v>1577949</v>
      </c>
      <c r="F14" s="12" t="s">
        <v>16</v>
      </c>
      <c r="G14" s="13">
        <v>20412379</v>
      </c>
      <c r="H14" s="12" t="s">
        <v>517</v>
      </c>
      <c r="I14" s="13">
        <v>1</v>
      </c>
      <c r="J14" s="14">
        <v>8</v>
      </c>
      <c r="K14" s="14">
        <v>8</v>
      </c>
    </row>
    <row r="15" spans="1:11">
      <c r="D15" s="11">
        <v>46064</v>
      </c>
      <c r="E15" s="12">
        <v>1577949</v>
      </c>
      <c r="F15" s="12" t="s">
        <v>30</v>
      </c>
      <c r="G15" s="13">
        <v>20321943</v>
      </c>
      <c r="H15" s="12" t="s">
        <v>518</v>
      </c>
      <c r="I15" s="13">
        <v>1</v>
      </c>
      <c r="J15" s="14">
        <v>33</v>
      </c>
      <c r="K15" s="14">
        <v>33</v>
      </c>
    </row>
    <row r="16" spans="1:11">
      <c r="D16" s="11">
        <v>46065</v>
      </c>
      <c r="E16" s="12">
        <v>1578284</v>
      </c>
      <c r="F16" s="12" t="s">
        <v>16</v>
      </c>
      <c r="G16" s="13">
        <v>20318143</v>
      </c>
      <c r="H16" s="12" t="s">
        <v>512</v>
      </c>
      <c r="I16" s="13">
        <v>1</v>
      </c>
      <c r="J16" s="14">
        <v>8</v>
      </c>
      <c r="K16" s="14">
        <v>8</v>
      </c>
    </row>
    <row r="17" spans="4:11">
      <c r="D17" s="11">
        <v>46065</v>
      </c>
      <c r="E17" s="12">
        <v>1578284</v>
      </c>
      <c r="F17" s="12" t="s">
        <v>16</v>
      </c>
      <c r="G17" s="13">
        <v>20318133</v>
      </c>
      <c r="H17" s="12" t="s">
        <v>516</v>
      </c>
      <c r="I17" s="13">
        <v>1</v>
      </c>
      <c r="J17" s="14">
        <v>8</v>
      </c>
      <c r="K17" s="14">
        <v>8</v>
      </c>
    </row>
    <row r="18" spans="4:11">
      <c r="D18" s="11">
        <v>46066</v>
      </c>
      <c r="E18" s="12">
        <v>1578607</v>
      </c>
      <c r="F18" s="12" t="s">
        <v>16</v>
      </c>
      <c r="G18" s="13">
        <v>20318143</v>
      </c>
      <c r="H18" s="12" t="s">
        <v>512</v>
      </c>
      <c r="I18" s="13">
        <v>1</v>
      </c>
      <c r="J18" s="14">
        <v>8</v>
      </c>
      <c r="K18" s="14">
        <v>8</v>
      </c>
    </row>
    <row r="19" spans="4:11">
      <c r="D19" s="11">
        <v>46066</v>
      </c>
      <c r="E19" s="12">
        <v>1578607</v>
      </c>
      <c r="F19" s="12" t="s">
        <v>16</v>
      </c>
      <c r="G19" s="13">
        <v>20318148</v>
      </c>
      <c r="H19" s="12" t="s">
        <v>513</v>
      </c>
      <c r="I19" s="13">
        <v>1</v>
      </c>
      <c r="J19" s="14">
        <v>8</v>
      </c>
      <c r="K19" s="14">
        <v>8</v>
      </c>
    </row>
    <row r="20" spans="4:11">
      <c r="D20" s="11">
        <v>46066</v>
      </c>
      <c r="E20" s="12">
        <v>1578607</v>
      </c>
      <c r="F20" s="12" t="s">
        <v>30</v>
      </c>
      <c r="G20" s="13">
        <v>20321756</v>
      </c>
      <c r="H20" s="12" t="s">
        <v>519</v>
      </c>
      <c r="I20" s="13">
        <v>1</v>
      </c>
      <c r="J20" s="14">
        <v>22</v>
      </c>
      <c r="K20" s="14">
        <v>22</v>
      </c>
    </row>
    <row r="21" spans="4:11">
      <c r="D21" s="11">
        <v>46067</v>
      </c>
      <c r="E21" s="12">
        <v>1578885</v>
      </c>
      <c r="F21" s="12" t="s">
        <v>16</v>
      </c>
      <c r="G21" s="13">
        <v>20318143</v>
      </c>
      <c r="H21" s="12" t="s">
        <v>512</v>
      </c>
      <c r="I21" s="13">
        <v>1</v>
      </c>
      <c r="J21" s="14">
        <v>8</v>
      </c>
      <c r="K21" s="14">
        <v>8</v>
      </c>
    </row>
    <row r="22" spans="4:11">
      <c r="D22" s="11">
        <v>46067</v>
      </c>
      <c r="E22" s="12">
        <v>1578885</v>
      </c>
      <c r="F22" s="12" t="s">
        <v>16</v>
      </c>
      <c r="G22" s="13">
        <v>20318141</v>
      </c>
      <c r="H22" s="12" t="s">
        <v>520</v>
      </c>
      <c r="I22" s="13">
        <v>1</v>
      </c>
      <c r="J22" s="14">
        <v>8</v>
      </c>
      <c r="K22" s="14">
        <v>8</v>
      </c>
    </row>
    <row r="23" spans="4:11">
      <c r="D23" s="11">
        <v>46067</v>
      </c>
      <c r="E23" s="12">
        <v>1578885</v>
      </c>
      <c r="F23" s="12" t="s">
        <v>16</v>
      </c>
      <c r="G23" s="13">
        <v>20324760</v>
      </c>
      <c r="H23" s="12" t="s">
        <v>521</v>
      </c>
      <c r="I23" s="13">
        <v>1</v>
      </c>
      <c r="J23" s="14">
        <v>8</v>
      </c>
      <c r="K23" s="14">
        <v>8</v>
      </c>
    </row>
    <row r="24" spans="4:11">
      <c r="D24" s="11">
        <v>46067</v>
      </c>
      <c r="E24" s="12">
        <v>1578885</v>
      </c>
      <c r="F24" s="12" t="s">
        <v>375</v>
      </c>
      <c r="G24" s="13">
        <v>20412776</v>
      </c>
      <c r="H24" s="12" t="s">
        <v>522</v>
      </c>
      <c r="I24" s="13">
        <v>10</v>
      </c>
      <c r="J24" s="14">
        <v>2.5</v>
      </c>
      <c r="K24" s="14">
        <v>25</v>
      </c>
    </row>
    <row r="25" spans="4:11">
      <c r="D25" s="11">
        <v>46077</v>
      </c>
      <c r="E25" s="12">
        <v>1579652</v>
      </c>
      <c r="F25" s="12" t="s">
        <v>16</v>
      </c>
      <c r="G25" s="13">
        <v>20318143</v>
      </c>
      <c r="H25" s="12" t="s">
        <v>512</v>
      </c>
      <c r="I25" s="13">
        <v>1</v>
      </c>
      <c r="J25" s="14">
        <v>8</v>
      </c>
      <c r="K25" s="14">
        <v>8</v>
      </c>
    </row>
    <row r="26" spans="4:11">
      <c r="D26" s="11">
        <v>46077</v>
      </c>
      <c r="E26" s="12">
        <v>1579652</v>
      </c>
      <c r="F26" s="12" t="s">
        <v>16</v>
      </c>
      <c r="G26" s="13">
        <v>20318133</v>
      </c>
      <c r="H26" s="12" t="s">
        <v>516</v>
      </c>
      <c r="I26" s="13">
        <v>1</v>
      </c>
      <c r="J26" s="14">
        <v>8</v>
      </c>
      <c r="K26" s="14">
        <v>8</v>
      </c>
    </row>
    <row r="27" spans="4:11">
      <c r="D27" s="11">
        <v>46081</v>
      </c>
      <c r="E27" s="12">
        <v>1581008</v>
      </c>
      <c r="F27" s="12" t="s">
        <v>16</v>
      </c>
      <c r="G27" s="13">
        <v>20324760</v>
      </c>
      <c r="H27" s="12" t="s">
        <v>521</v>
      </c>
      <c r="I27" s="13">
        <v>1</v>
      </c>
      <c r="J27" s="14">
        <v>8</v>
      </c>
      <c r="K27" s="14">
        <v>8</v>
      </c>
    </row>
    <row r="28" spans="4:11">
      <c r="D28" s="11">
        <v>46081</v>
      </c>
      <c r="E28" s="12">
        <v>1581113</v>
      </c>
      <c r="F28" s="12" t="s">
        <v>16</v>
      </c>
      <c r="G28" s="13">
        <v>20412378</v>
      </c>
      <c r="H28" s="12" t="s">
        <v>515</v>
      </c>
      <c r="I28" s="13">
        <v>1</v>
      </c>
      <c r="J28" s="14">
        <v>8</v>
      </c>
      <c r="K28" s="14">
        <v>8</v>
      </c>
    </row>
    <row r="29" spans="4:11">
      <c r="D29" s="11">
        <v>46081</v>
      </c>
      <c r="E29" s="12">
        <v>1581113</v>
      </c>
      <c r="F29" s="12" t="s">
        <v>16</v>
      </c>
      <c r="G29" s="13">
        <v>20318141</v>
      </c>
      <c r="H29" s="12" t="s">
        <v>520</v>
      </c>
      <c r="I29" s="13">
        <v>1</v>
      </c>
      <c r="J29" s="14">
        <v>8</v>
      </c>
      <c r="K29" s="14">
        <v>8</v>
      </c>
    </row>
    <row r="30" spans="4:11">
      <c r="D30" s="11">
        <v>46081</v>
      </c>
      <c r="E30" s="12">
        <v>1581113</v>
      </c>
      <c r="F30" s="12" t="s">
        <v>16</v>
      </c>
      <c r="G30" s="13">
        <v>20318148</v>
      </c>
      <c r="H30" s="12" t="s">
        <v>513</v>
      </c>
      <c r="I30" s="13">
        <v>1</v>
      </c>
      <c r="J30" s="14">
        <v>8</v>
      </c>
      <c r="K30" s="14">
        <v>8</v>
      </c>
    </row>
    <row r="31" spans="4:11">
      <c r="D31" s="11">
        <v>46081</v>
      </c>
      <c r="E31" s="12">
        <v>1581113</v>
      </c>
      <c r="F31" s="12" t="s">
        <v>30</v>
      </c>
      <c r="G31" s="13">
        <v>20321756</v>
      </c>
      <c r="H31" s="12" t="s">
        <v>519</v>
      </c>
      <c r="I31" s="13">
        <v>1</v>
      </c>
      <c r="J31" s="14">
        <v>22</v>
      </c>
      <c r="K31" s="14">
        <v>22</v>
      </c>
    </row>
    <row r="32" spans="4:11">
      <c r="D32" s="11">
        <v>46084</v>
      </c>
      <c r="E32" s="12">
        <v>1581686</v>
      </c>
      <c r="F32" s="12" t="s">
        <v>16</v>
      </c>
      <c r="G32" s="13">
        <v>20412378</v>
      </c>
      <c r="H32" s="12" t="s">
        <v>515</v>
      </c>
      <c r="I32" s="13">
        <v>1</v>
      </c>
      <c r="J32" s="14">
        <v>8</v>
      </c>
      <c r="K32" s="14">
        <v>8</v>
      </c>
    </row>
    <row r="33" spans="4:11">
      <c r="D33" s="11">
        <v>46084</v>
      </c>
      <c r="E33" s="12">
        <v>1581686</v>
      </c>
      <c r="F33" s="12" t="s">
        <v>16</v>
      </c>
      <c r="G33" s="13">
        <v>20318143</v>
      </c>
      <c r="H33" s="12" t="s">
        <v>512</v>
      </c>
      <c r="I33" s="13">
        <v>1</v>
      </c>
      <c r="J33" s="14">
        <v>8</v>
      </c>
      <c r="K33" s="14">
        <v>8</v>
      </c>
    </row>
    <row r="34" spans="4:11">
      <c r="D34" s="11">
        <v>46084</v>
      </c>
      <c r="E34" s="12">
        <v>1581686</v>
      </c>
      <c r="F34" s="12" t="s">
        <v>16</v>
      </c>
      <c r="G34" s="13">
        <v>20318148</v>
      </c>
      <c r="H34" s="12" t="s">
        <v>513</v>
      </c>
      <c r="I34" s="13">
        <v>1</v>
      </c>
      <c r="J34" s="14">
        <v>8</v>
      </c>
      <c r="K34" s="14">
        <v>8</v>
      </c>
    </row>
    <row r="35" spans="4:11">
      <c r="D35" s="11">
        <v>46085</v>
      </c>
      <c r="E35" s="12">
        <v>1581968</v>
      </c>
      <c r="F35" s="12" t="s">
        <v>30</v>
      </c>
      <c r="G35" s="13">
        <v>20318181</v>
      </c>
      <c r="H35" s="12" t="s">
        <v>523</v>
      </c>
      <c r="I35" s="13">
        <v>1</v>
      </c>
      <c r="J35" s="14">
        <v>38.5</v>
      </c>
      <c r="K35" s="14">
        <v>38.5</v>
      </c>
    </row>
    <row r="36" spans="4:11">
      <c r="D36" s="11">
        <v>46086</v>
      </c>
      <c r="E36" s="12">
        <v>1582333</v>
      </c>
      <c r="F36" s="12" t="s">
        <v>16</v>
      </c>
      <c r="G36" s="13">
        <v>20318148</v>
      </c>
      <c r="H36" s="12" t="s">
        <v>513</v>
      </c>
      <c r="I36" s="13">
        <v>1</v>
      </c>
      <c r="J36" s="14">
        <v>8</v>
      </c>
      <c r="K36" s="14">
        <v>8</v>
      </c>
    </row>
    <row r="37" spans="4:11">
      <c r="D37" s="11">
        <v>46086</v>
      </c>
      <c r="E37" s="12">
        <v>1582333</v>
      </c>
      <c r="F37" s="12" t="s">
        <v>16</v>
      </c>
      <c r="G37" s="13">
        <v>20318131</v>
      </c>
      <c r="H37" s="12" t="s">
        <v>524</v>
      </c>
      <c r="I37" s="13">
        <v>1</v>
      </c>
      <c r="J37" s="14">
        <v>8</v>
      </c>
      <c r="K37" s="14">
        <v>8</v>
      </c>
    </row>
    <row r="38" spans="4:11">
      <c r="D38" s="11">
        <v>46086</v>
      </c>
      <c r="E38" s="12">
        <v>1582333</v>
      </c>
      <c r="F38" s="12" t="s">
        <v>16</v>
      </c>
      <c r="G38" s="13">
        <v>20318129</v>
      </c>
      <c r="H38" s="12" t="s">
        <v>525</v>
      </c>
      <c r="I38" s="13">
        <v>1</v>
      </c>
      <c r="J38" s="14">
        <v>16.5</v>
      </c>
      <c r="K38" s="14">
        <v>16.5</v>
      </c>
    </row>
    <row r="39" spans="4:11">
      <c r="D39" s="11">
        <v>46086</v>
      </c>
      <c r="E39" s="12">
        <v>1582333</v>
      </c>
      <c r="F39" s="12" t="s">
        <v>16</v>
      </c>
      <c r="G39" s="13">
        <v>20318133</v>
      </c>
      <c r="H39" s="12" t="s">
        <v>516</v>
      </c>
      <c r="I39" s="13">
        <v>1</v>
      </c>
      <c r="J39" s="14">
        <v>8</v>
      </c>
      <c r="K39" s="14">
        <v>8</v>
      </c>
    </row>
    <row r="40" spans="4:11">
      <c r="D40" s="11">
        <v>46086</v>
      </c>
      <c r="E40" s="12">
        <v>1582333</v>
      </c>
      <c r="F40" s="12" t="s">
        <v>30</v>
      </c>
      <c r="G40" s="13">
        <v>20321943</v>
      </c>
      <c r="H40" s="12" t="s">
        <v>518</v>
      </c>
      <c r="I40" s="13">
        <v>1</v>
      </c>
      <c r="J40" s="14">
        <v>33</v>
      </c>
      <c r="K40" s="14">
        <v>33</v>
      </c>
    </row>
    <row r="41" spans="4:11">
      <c r="D41" s="11">
        <v>46087</v>
      </c>
      <c r="E41" s="12">
        <v>1582641</v>
      </c>
      <c r="F41" s="12" t="s">
        <v>30</v>
      </c>
      <c r="G41" s="13">
        <v>20321756</v>
      </c>
      <c r="H41" s="12" t="s">
        <v>519</v>
      </c>
      <c r="I41" s="13">
        <v>1</v>
      </c>
      <c r="J41" s="14">
        <v>22</v>
      </c>
      <c r="K41" s="14">
        <v>22</v>
      </c>
    </row>
    <row r="42" ht="0.05" customHeight="1"/>
  </sheetData>
  <autoFilter xmlns:etc="http://www.wps.cn/officeDocument/2017/etCustomData" ref="A7:K41" etc:filterBottomFollowUsedRange="0">
    <extLst/>
  </autoFilter>
  <mergeCells count="5">
    <mergeCell ref="D8:H8"/>
    <mergeCell ref="C7:C41"/>
    <mergeCell ref="B4:H5"/>
    <mergeCell ref="A7:B4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&amp;"-,Regular"2026年3月9日 8:21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89</vt:i4>
      </vt:variant>
    </vt:vector>
  </HeadingPairs>
  <TitlesOfParts>
    <vt:vector size="89" baseType="lpstr">
      <vt:lpstr>（二）手术室</vt:lpstr>
      <vt:lpstr>二手费用调整</vt:lpstr>
      <vt:lpstr>二手调骨一（一）</vt:lpstr>
      <vt:lpstr>二手调骨一（二）</vt:lpstr>
      <vt:lpstr>二手调骨二</vt:lpstr>
      <vt:lpstr>二手调骨五</vt:lpstr>
      <vt:lpstr>二手调ICU</vt:lpstr>
      <vt:lpstr>二手调急诊</vt:lpstr>
      <vt:lpstr>二手调慢创</vt:lpstr>
      <vt:lpstr>二手调烧伤一科</vt:lpstr>
      <vt:lpstr>二手调烧伤二</vt:lpstr>
      <vt:lpstr>二手调烧伤三</vt:lpstr>
      <vt:lpstr>二手调骨一（一）器械</vt:lpstr>
      <vt:lpstr>（一）手术室</vt:lpstr>
      <vt:lpstr>一手费用调整</vt:lpstr>
      <vt:lpstr>一手调骨八</vt:lpstr>
      <vt:lpstr>一手调骨二</vt:lpstr>
      <vt:lpstr>一手调骨六</vt:lpstr>
      <vt:lpstr>一手调骨十</vt:lpstr>
      <vt:lpstr>一手调骨十一</vt:lpstr>
      <vt:lpstr>一手调骨五</vt:lpstr>
      <vt:lpstr>一手调骨一一</vt:lpstr>
      <vt:lpstr>一手调骨一二</vt:lpstr>
      <vt:lpstr>手术室调骨九</vt:lpstr>
      <vt:lpstr>手术室调骨四</vt:lpstr>
      <vt:lpstr>手术室调偏瘫</vt:lpstr>
      <vt:lpstr>骨十一低温</vt:lpstr>
      <vt:lpstr>创伤外科低温</vt:lpstr>
      <vt:lpstr>骨一一低温</vt:lpstr>
      <vt:lpstr>骨一二低温</vt:lpstr>
      <vt:lpstr>骨十低温</vt:lpstr>
      <vt:lpstr>骨二低温</vt:lpstr>
      <vt:lpstr>骨四低温</vt:lpstr>
      <vt:lpstr>骨四二低温</vt:lpstr>
      <vt:lpstr>骨五低温</vt:lpstr>
      <vt:lpstr>骨六低温</vt:lpstr>
      <vt:lpstr>骨七低温</vt:lpstr>
      <vt:lpstr>骨八低温</vt:lpstr>
      <vt:lpstr>骨九低温</vt:lpstr>
      <vt:lpstr>胸外低温</vt:lpstr>
      <vt:lpstr>ICU</vt:lpstr>
      <vt:lpstr>产科分娩室</vt:lpstr>
      <vt:lpstr>冲击波门诊</vt:lpstr>
      <vt:lpstr>耳鼻喉门诊</vt:lpstr>
      <vt:lpstr>耳鼻喉手术室</vt:lpstr>
      <vt:lpstr>妇科门诊</vt:lpstr>
      <vt:lpstr>供应室</vt:lpstr>
      <vt:lpstr>烧伤二科借包</vt:lpstr>
      <vt:lpstr>耳门借包</vt:lpstr>
      <vt:lpstr>口内借包</vt:lpstr>
      <vt:lpstr>口外借包</vt:lpstr>
      <vt:lpstr>肾内借包</vt:lpstr>
      <vt:lpstr>急诊借包</vt:lpstr>
      <vt:lpstr>ICU借包</vt:lpstr>
      <vt:lpstr>骨一一借包</vt:lpstr>
      <vt:lpstr>骨二借包</vt:lpstr>
      <vt:lpstr>骨四（二）借包</vt:lpstr>
      <vt:lpstr>骨九借包</vt:lpstr>
      <vt:lpstr>胸外借包</vt:lpstr>
      <vt:lpstr>外二借包</vt:lpstr>
      <vt:lpstr>烧伤三借包</vt:lpstr>
      <vt:lpstr>骨八</vt:lpstr>
      <vt:lpstr>骨科（送二手）</vt:lpstr>
      <vt:lpstr>骨科（送一手）</vt:lpstr>
      <vt:lpstr>骨科调骨一（二)</vt:lpstr>
      <vt:lpstr>骨科调骨一（一）</vt:lpstr>
      <vt:lpstr>骨科调骨十一</vt:lpstr>
      <vt:lpstr>骨科调骨九</vt:lpstr>
      <vt:lpstr>骨科调骨六</vt:lpstr>
      <vt:lpstr>骨科调骨四</vt:lpstr>
      <vt:lpstr>骨六</vt:lpstr>
      <vt:lpstr>骨三</vt:lpstr>
      <vt:lpstr>骨四</vt:lpstr>
      <vt:lpstr>骨五</vt:lpstr>
      <vt:lpstr>骨一(二病区)</vt:lpstr>
      <vt:lpstr>骨一（一病区）</vt:lpstr>
      <vt:lpstr>急诊科</vt:lpstr>
      <vt:lpstr>口内</vt:lpstr>
      <vt:lpstr>口外</vt:lpstr>
      <vt:lpstr>慢创</vt:lpstr>
      <vt:lpstr>美容科</vt:lpstr>
      <vt:lpstr>门诊换药室</vt:lpstr>
      <vt:lpstr>偏瘫科</vt:lpstr>
      <vt:lpstr>烧伤二科</vt:lpstr>
      <vt:lpstr>烧伤科（送二手）</vt:lpstr>
      <vt:lpstr>烧伤三科</vt:lpstr>
      <vt:lpstr>烧伤一科</vt:lpstr>
      <vt:lpstr>外三</vt:lpstr>
      <vt:lpstr>眼科门诊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2026-03-09T00:22:00Z</dcterms:created>
  <dcterms:modified xsi:type="dcterms:W3CDTF">2026-03-26T01:04:58Z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E62196C299A549AC89EBCE8C547FE3AD_13</vt:lpwstr>
  </property>
  <property fmtid="{D5CDD505-2E9C-101B-9397-08002B2CF9AE}" pid="4" name="KSOProductBuildVer">
    <vt:lpwstr>2052-12.1.0.25225</vt:lpwstr>
  </property>
  <property fmtid="{D5CDD505-2E9C-101B-9397-08002B2CF9AE}" pid="5" name="CalculationRule">
    <vt:i4>0</vt:i4>
  </property>
</Properties>
</file>