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05" windowHeight="11835" activeTab="1"/>
  </bookViews>
  <sheets>
    <sheet name="手术二区" sheetId="16" r:id="rId1"/>
    <sheet name="手术一区" sheetId="14" r:id="rId2"/>
  </sheets>
  <definedNames>
    <definedName name="_xlnm._FilterDatabase" localSheetId="0" hidden="1">手术二区!$A$2:$XET$67</definedName>
    <definedName name="_xlnm._FilterDatabase" localSheetId="1" hidden="1">手术一区!$A$2:$XEL$139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<sst xmlns="http://schemas.openxmlformats.org/spreadsheetml/2006/main" count="216" uniqueCount="196">
  <si>
    <t>哈尔滨市第五医院2026年4月9日-2026年5月8日器械数量及费用汇总（手术二区）</t>
  </si>
  <si>
    <t>序号</t>
  </si>
  <si>
    <t>包名称</t>
  </si>
  <si>
    <t>包内器械数量（把）</t>
  </si>
  <si>
    <t>数量（包）</t>
  </si>
  <si>
    <t>单价（元/包）</t>
  </si>
  <si>
    <t>合计金额（元）</t>
  </si>
  <si>
    <t>3号刀柄-1/z7526</t>
  </si>
  <si>
    <t>4号刀柄-1/z7526</t>
  </si>
  <si>
    <t>持物钳罐-2件/W605060</t>
  </si>
  <si>
    <t>持针器-1/Z1026</t>
  </si>
  <si>
    <t>尺-1/W605060</t>
  </si>
  <si>
    <t>锤子-1/双z1535</t>
  </si>
  <si>
    <t>大烧伤</t>
  </si>
  <si>
    <t>弹钩-2/W6050</t>
  </si>
  <si>
    <t>刀柄-1/z7526</t>
  </si>
  <si>
    <t>地巾</t>
  </si>
  <si>
    <t>电动取皮机-6件 筐1/W12050</t>
  </si>
  <si>
    <t>方盘-1/W9050</t>
  </si>
  <si>
    <t>缝合包</t>
  </si>
  <si>
    <t>肛肠包</t>
  </si>
  <si>
    <t>肛肠探针-1/Z7520</t>
  </si>
  <si>
    <t>肱骨复位器-2/W5050</t>
  </si>
  <si>
    <t>钩镊-1/Z7526</t>
  </si>
  <si>
    <t>骨锉-1/W605060</t>
  </si>
  <si>
    <t>骨科剥离质-1/Z7534</t>
  </si>
  <si>
    <t>固指板-1/W7050</t>
  </si>
  <si>
    <t>刮勺-1/Z7526</t>
  </si>
  <si>
    <t>滚轴(植皮刀)-1件/W6050</t>
  </si>
  <si>
    <t>肌钩-2/Z1026</t>
  </si>
  <si>
    <t>尖嘴复位器-1/Z1535</t>
  </si>
  <si>
    <t>剪刀-1/Z1530</t>
  </si>
  <si>
    <t>剪刀小-1/Z1026</t>
  </si>
  <si>
    <t>解剖剪刀-1/Z1029</t>
  </si>
  <si>
    <t>巾钳子-1/Z1026</t>
  </si>
  <si>
    <t>克氏钳-1/双z1029</t>
  </si>
  <si>
    <t>慢创包</t>
  </si>
  <si>
    <t>门诊整形（四）</t>
  </si>
  <si>
    <t>门诊整形（五）</t>
  </si>
  <si>
    <t>门诊整形（一）</t>
  </si>
  <si>
    <t>门诊整形包（二）</t>
  </si>
  <si>
    <t>门诊整形包（三）</t>
  </si>
  <si>
    <t>平镊-1/Z7530</t>
  </si>
  <si>
    <t>切开包-10件</t>
  </si>
  <si>
    <t>驱血带</t>
  </si>
  <si>
    <t>手科包</t>
  </si>
  <si>
    <t>手科剥离质-1/Z7530</t>
  </si>
  <si>
    <t>手科骨锉-1/Z7526</t>
  </si>
  <si>
    <t>手科爪鞍钩-1 /Z7526</t>
  </si>
  <si>
    <t>手科爪钩-2/Z1535</t>
  </si>
  <si>
    <t>手刷盒/w9050</t>
  </si>
  <si>
    <t>头皮止血带-1/Z1530</t>
  </si>
  <si>
    <t>弯盘1小碗1/W9050</t>
  </si>
  <si>
    <t>线锯-1/Z1026</t>
  </si>
  <si>
    <t>小烧伤</t>
  </si>
  <si>
    <t>小止血钳-2/z1026</t>
  </si>
  <si>
    <t>新轧皮机1号-2件（盒1）</t>
  </si>
  <si>
    <t>新轧皮机2号-2件（盒1）</t>
  </si>
  <si>
    <t>咬钉器-1手柄-2/W6050</t>
  </si>
  <si>
    <t>咬骨剪-1/Z2032</t>
  </si>
  <si>
    <t>咬骨钳-1/Z2032</t>
  </si>
  <si>
    <t>咬丝器-1/Z双2032</t>
  </si>
  <si>
    <t>咬丝器1持针器1/W6050</t>
  </si>
  <si>
    <t>凿子-3/双z1029</t>
  </si>
  <si>
    <t>扎皮机板-2件/z2025</t>
  </si>
  <si>
    <t>植皮刀片-1/Z7520</t>
  </si>
  <si>
    <t>植皮刀片-1/Z7530</t>
  </si>
  <si>
    <t>止血钳-4/Z1530</t>
  </si>
  <si>
    <t>止血钳大-2/Z1535</t>
  </si>
  <si>
    <t>中心持骨器-2/w6050</t>
  </si>
  <si>
    <t>组织钳-1/Z1026</t>
  </si>
  <si>
    <t>合计</t>
  </si>
  <si>
    <t>哈尔滨市第五医院2026年4月9日-2026年5月8日器械数量及费用汇总（手术一区）</t>
  </si>
  <si>
    <t>263机器人-9件（高温）</t>
  </si>
  <si>
    <t>264机器人-8件（高温）</t>
  </si>
  <si>
    <t>40001机器人-8件（高温）</t>
  </si>
  <si>
    <t>AR水管-2件/双/Z1530</t>
  </si>
  <si>
    <t>UBE拇外翻线-1/双/Z2530</t>
  </si>
  <si>
    <t>鞍钩-2/W605060</t>
  </si>
  <si>
    <t>半月板钩-6/W605060</t>
  </si>
  <si>
    <t>保险刀片-1/Z7530</t>
  </si>
  <si>
    <t>闭合包</t>
  </si>
  <si>
    <t>叉勾-7/W605060</t>
  </si>
  <si>
    <t>产科手术器械包</t>
  </si>
  <si>
    <t>超声刀头-1件/z7520</t>
  </si>
  <si>
    <t>超声骨动力系统</t>
  </si>
  <si>
    <t>撑开器-1/W6050</t>
  </si>
  <si>
    <t>尺桡复位器-2/W405060</t>
  </si>
  <si>
    <t>穿刺针（带芯）-2/Z7520</t>
  </si>
  <si>
    <t>锤子 -1件/双/Z1030</t>
  </si>
  <si>
    <t>锤子1凿子1剥离质1/W605060</t>
  </si>
  <si>
    <t>大盆-1/w1205060</t>
  </si>
  <si>
    <t>弹钩-2/W605060</t>
  </si>
  <si>
    <t>德美2号刨刀-1/双/Z2550</t>
  </si>
  <si>
    <t>德美4K1号刨刀-1/W6050</t>
  </si>
  <si>
    <t>德美刨刀（高温）-1/Z2044</t>
  </si>
  <si>
    <t>德美刨刀3号-1/双Z2550</t>
  </si>
  <si>
    <t>德美膝器械11件盒1（二）</t>
  </si>
  <si>
    <t>德美膝器械11件盒1（一）</t>
  </si>
  <si>
    <t>德美膝器械12件盒1（三）</t>
  </si>
  <si>
    <t>德美膝器械12件盒1（四）</t>
  </si>
  <si>
    <t>德美新1水管-2/双/Z1526</t>
  </si>
  <si>
    <t>德美新2水管-2件/Z1530</t>
  </si>
  <si>
    <t>德美新3水管 -2件/Z2530</t>
  </si>
  <si>
    <t>骶棘拉钩-2/W605060</t>
  </si>
  <si>
    <t>妇产科布袋/ W6050</t>
  </si>
  <si>
    <t>妇产科纱条/W5050</t>
  </si>
  <si>
    <t>妇科腔镜-17（铁帽3胶帽7）</t>
  </si>
  <si>
    <t>腹腔镜(一)13件(铁帽4胶帽2)</t>
  </si>
  <si>
    <t>腹腔镜器械-1</t>
  </si>
  <si>
    <t>骨电钻-3件/W705060</t>
  </si>
  <si>
    <t>骨顶子-1/W505060</t>
  </si>
  <si>
    <t>骨动力-8 盒1/w1205060</t>
  </si>
  <si>
    <t>骨动力-8件（盒1）/W1205060</t>
  </si>
  <si>
    <t>骨动力-带盒9件</t>
  </si>
  <si>
    <t>骨二高川勃（伊）万能取-64/W9060</t>
  </si>
  <si>
    <t>骨二李琛万能取-49件</t>
  </si>
  <si>
    <t>骨十一赵德来常备万能取 -64件/W1205060</t>
  </si>
  <si>
    <t xml:space="preserve">骨十赵立强常备万能取 </t>
  </si>
  <si>
    <t>踝盒-带盒3件</t>
  </si>
  <si>
    <t>机器人套筒125-190-1件/Z7534</t>
  </si>
  <si>
    <t>机器人套筒-2/W405060</t>
  </si>
  <si>
    <t>肌钩-2/W5050</t>
  </si>
  <si>
    <t>脊柱常备器械</t>
  </si>
  <si>
    <t>脊柱常备器械髓核少1</t>
  </si>
  <si>
    <t>脊柱机器人262</t>
  </si>
  <si>
    <t>脊柱加件-6件/W605060</t>
  </si>
  <si>
    <t>甲状腺拉钩-2/W505060</t>
  </si>
  <si>
    <t>尖嘴复位器-2/W605060</t>
  </si>
  <si>
    <t>剪切钳-1/W505060</t>
  </si>
  <si>
    <t>胫腓骨拉勾-2/W605060</t>
  </si>
  <si>
    <t>镜骨九（1）</t>
  </si>
  <si>
    <t>镜骨九（2）</t>
  </si>
  <si>
    <t>镜头-腹腔镜30°-1/W9050</t>
  </si>
  <si>
    <t>鞠超杰缝合钩导丝-1</t>
  </si>
  <si>
    <t>开胸-9件</t>
  </si>
  <si>
    <t>开胸加件-7件</t>
  </si>
  <si>
    <t>克氏钳-1/W405060</t>
  </si>
  <si>
    <t>阑尾加件（阑1，扣2）/W505060</t>
  </si>
  <si>
    <t>米氏钳-2/W605060</t>
  </si>
  <si>
    <t>棉球/Z1530</t>
  </si>
  <si>
    <t>拇外翻工具-2/双Z1020</t>
  </si>
  <si>
    <t>脑外专用包</t>
  </si>
  <si>
    <t>盘1碗2/w9050</t>
  </si>
  <si>
    <t>气腹管1单极线1/Z3045</t>
  </si>
  <si>
    <t>取针钳-1/W505060</t>
  </si>
  <si>
    <t>取针咬骨钳-1件/W505060</t>
  </si>
  <si>
    <t>上肢包</t>
  </si>
  <si>
    <t>上肢加件-3/W605060</t>
  </si>
  <si>
    <t>深钩-2/W605060</t>
  </si>
  <si>
    <t>施乐辉肩镜器械</t>
  </si>
  <si>
    <t>史赛克摆锯-4（带盒5件）</t>
  </si>
  <si>
    <t>史赛克摆锯骨动力-4（带盒5件）</t>
  </si>
  <si>
    <t>史赛克多功能锯钻-7（带盒8件）</t>
  </si>
  <si>
    <t>史赛克锯片-1/Z1020</t>
  </si>
  <si>
    <t>史赛克磨钻-9件 筐1/W1205060</t>
  </si>
  <si>
    <t>史赛克磨钻骨动力-9件 筐1/W1205060</t>
  </si>
  <si>
    <t>史赛克一号手控-1件</t>
  </si>
  <si>
    <t>手科加件3件(小剪1组剪1挫1)/Z1030</t>
  </si>
  <si>
    <t>手科咬骨钳1 刮勺1/W505060</t>
  </si>
  <si>
    <t>手科爪鞍钩-4件/W505060</t>
  </si>
  <si>
    <t>手套</t>
  </si>
  <si>
    <t>手外B 显微器械-5（带盒6件）</t>
  </si>
  <si>
    <t>刷手服</t>
  </si>
  <si>
    <t>外妇通用光源线-1/Z2545</t>
  </si>
  <si>
    <t>外腹镜-5件/双/Z2050</t>
  </si>
  <si>
    <t>外科包</t>
  </si>
  <si>
    <t>腕水管-2/W605060</t>
  </si>
  <si>
    <t>胃肠加件</t>
  </si>
  <si>
    <t>蚊式2 中弯2/Z1530</t>
  </si>
  <si>
    <t>西山UBE线/W505060</t>
  </si>
  <si>
    <t>西山骨动力（2）/W505060</t>
  </si>
  <si>
    <t>西山骨动力1号-1/双/Z2530</t>
  </si>
  <si>
    <t>西山刨刀-1/Z2530</t>
  </si>
  <si>
    <t>吸引器头1芯1/Z7530</t>
  </si>
  <si>
    <t>洗毛盒</t>
  </si>
  <si>
    <t>洗手巾/W12050</t>
  </si>
  <si>
    <t>下肢包</t>
  </si>
  <si>
    <t>下肢止血带</t>
  </si>
  <si>
    <t>小布袋/w6050</t>
  </si>
  <si>
    <t>新膝镜（二）-10件/W9050</t>
  </si>
  <si>
    <t>新膝镜（一）-10件/W9050</t>
  </si>
  <si>
    <t>胸骨磨钻-带盒13件</t>
  </si>
  <si>
    <t>胸腔镜-11件（筐1）</t>
  </si>
  <si>
    <t>胸腔镜-17件（筐1）</t>
  </si>
  <si>
    <t>咬骨剪子1刮勺1/W605060</t>
  </si>
  <si>
    <t>咬骨钳1刮勺1/W605060</t>
  </si>
  <si>
    <t>咬丝器-1/W6050</t>
  </si>
  <si>
    <t>鹰嘴咬骨钳1刮勺1/W605060</t>
  </si>
  <si>
    <t>凿子-3/W605060</t>
  </si>
  <si>
    <t>中直钳-2/Z1530</t>
  </si>
  <si>
    <t>肘踝通用镜头-1/W6050</t>
  </si>
  <si>
    <t>抓线钳-1/W4550</t>
  </si>
  <si>
    <t>椎间孔镜（二）</t>
  </si>
  <si>
    <t>椎间孔镜（三）</t>
  </si>
  <si>
    <t>椎体成型包-12件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</si>
</sst>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Microsoft YaHei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T67"/>
  <sheetViews>
    <sheetView view="pageBreakPreview" zoomScaleNormal="100" topLeftCell="A34" workbookViewId="0">
      <selection activeCell="A67" sqref="A67:E67"/>
    </sheetView>
  </sheetViews>
  <sheetFormatPr defaultColWidth="9" defaultRowHeight="13.5"/>
  <cols>
    <col min="1" max="1" width="7.5" style="3" customWidth="1"/>
    <col min="2" max="2" width="33.375" style="4" customWidth="1"/>
    <col min="3" max="3" width="19.125" style="3" customWidth="1"/>
    <col min="4" max="4" width="13" style="3" customWidth="1"/>
    <col min="5" max="5" width="13.7583333333333" style="3" customWidth="1"/>
    <col min="6" max="6" width="14.4583333333333" style="3" customWidth="1"/>
    <col min="7" max="16245" width="9" style="1"/>
    <col min="16285" max="16384" width="9" style="5"/>
  </cols>
  <sheetData>
    <row r="1" s="1" customFormat="1" ht="21" spans="1:6 16246:16358">
      <c r="A1" s="6" t="s">
        <v>0</v>
      </c>
      <c r="B1" s="7"/>
      <c r="C1" s="6"/>
      <c r="D1" s="6"/>
      <c r="E1" s="6"/>
      <c r="F1" s="6"/>
    </row>
    <row r="2" s="2" customFormat="1" ht="16.5" customHeight="1" spans="1:6 16246:1635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6 16246:16358">
      <c r="A3" s="8">
        <v>1</v>
      </c>
      <c r="B3" s="9" t="s">
        <v>7</v>
      </c>
      <c r="C3" s="8">
        <v>1</v>
      </c>
      <c r="D3" s="8">
        <v>1</v>
      </c>
      <c r="E3" s="8">
        <v>8</v>
      </c>
      <c r="F3" s="8">
        <v>8</v>
      </c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</row>
    <row r="4" s="1" customFormat="1" ht="16.5" spans="1:6 16246:16358">
      <c r="A4" s="8">
        <v>2</v>
      </c>
      <c r="B4" s="9" t="s">
        <v>8</v>
      </c>
      <c r="C4" s="8">
        <v>3</v>
      </c>
      <c r="D4" s="8">
        <v>3</v>
      </c>
      <c r="E4" s="8">
        <v>8</v>
      </c>
      <c r="F4" s="8">
        <v>24</v>
      </c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</row>
    <row r="5" s="1" customFormat="1" ht="16.5" spans="1:6 16246:16358">
      <c r="A5" s="8">
        <v>3</v>
      </c>
      <c r="B5" s="9" t="s">
        <v>9</v>
      </c>
      <c r="C5" s="8">
        <v>374</v>
      </c>
      <c r="D5" s="8">
        <v>187</v>
      </c>
      <c r="E5" s="8">
        <v>16.5</v>
      </c>
      <c r="F5" s="8">
        <v>3085.5</v>
      </c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</row>
    <row r="6" s="1" customFormat="1" ht="16.5" spans="1:6 16246:16358">
      <c r="A6" s="8">
        <v>4</v>
      </c>
      <c r="B6" s="9" t="s">
        <v>10</v>
      </c>
      <c r="C6" s="8">
        <v>5</v>
      </c>
      <c r="D6" s="8">
        <v>5</v>
      </c>
      <c r="E6" s="8">
        <v>8</v>
      </c>
      <c r="F6" s="8">
        <v>40</v>
      </c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</row>
    <row r="7" s="1" customFormat="1" ht="16.5" spans="1:6 16246:16358">
      <c r="A7" s="8">
        <v>5</v>
      </c>
      <c r="B7" s="9" t="s">
        <v>11</v>
      </c>
      <c r="C7" s="8">
        <v>17</v>
      </c>
      <c r="D7" s="8">
        <v>17</v>
      </c>
      <c r="E7" s="8">
        <v>16.5</v>
      </c>
      <c r="F7" s="8">
        <v>280.5</v>
      </c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 s="5"/>
      <c r="XBJ7" s="5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</row>
    <row r="8" s="1" customFormat="1" ht="16.5" spans="1:6 16246:16358">
      <c r="A8" s="8">
        <v>6</v>
      </c>
      <c r="B8" s="9" t="s">
        <v>12</v>
      </c>
      <c r="C8" s="8">
        <v>8</v>
      </c>
      <c r="D8" s="8">
        <v>8</v>
      </c>
      <c r="E8" s="8">
        <v>16.5</v>
      </c>
      <c r="F8" s="8">
        <v>132</v>
      </c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 s="5"/>
      <c r="XBJ8" s="5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</row>
    <row r="9" s="1" customFormat="1" ht="16.5" spans="1:6 16246:16358">
      <c r="A9" s="8">
        <v>7</v>
      </c>
      <c r="B9" s="9" t="s">
        <v>13</v>
      </c>
      <c r="C9" s="8">
        <v>480</v>
      </c>
      <c r="D9" s="8">
        <v>10</v>
      </c>
      <c r="E9" s="8">
        <v>264</v>
      </c>
      <c r="F9" s="8">
        <v>2640</v>
      </c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</row>
    <row r="10" s="1" customFormat="1" ht="16.5" spans="1:6 16246:16358">
      <c r="A10" s="8">
        <v>8</v>
      </c>
      <c r="B10" s="9" t="s">
        <v>14</v>
      </c>
      <c r="C10" s="8">
        <v>10</v>
      </c>
      <c r="D10" s="8">
        <v>5</v>
      </c>
      <c r="E10" s="8">
        <v>16.5</v>
      </c>
      <c r="F10" s="8">
        <v>82.5</v>
      </c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</row>
    <row r="11" s="1" customFormat="1" ht="16.5" spans="1:6 16246:16358">
      <c r="A11" s="8">
        <v>9</v>
      </c>
      <c r="B11" s="9" t="s">
        <v>15</v>
      </c>
      <c r="C11" s="8">
        <v>7</v>
      </c>
      <c r="D11" s="8">
        <v>7</v>
      </c>
      <c r="E11" s="8">
        <v>8</v>
      </c>
      <c r="F11" s="8">
        <v>56</v>
      </c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</row>
    <row r="12" s="1" customFormat="1" ht="16.5" spans="1:6 16246:16358">
      <c r="A12" s="8">
        <v>10</v>
      </c>
      <c r="B12" s="9" t="s">
        <v>16</v>
      </c>
      <c r="C12" s="8">
        <v>0</v>
      </c>
      <c r="D12" s="8">
        <v>17</v>
      </c>
      <c r="E12" s="8">
        <v>15</v>
      </c>
      <c r="F12" s="8">
        <v>255</v>
      </c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</row>
    <row r="13" s="1" customFormat="1" ht="16.5" spans="1:6 16246:16358">
      <c r="A13" s="8">
        <v>11</v>
      </c>
      <c r="B13" s="9" t="s">
        <v>17</v>
      </c>
      <c r="C13" s="8">
        <v>98</v>
      </c>
      <c r="D13" s="8">
        <v>14</v>
      </c>
      <c r="E13" s="8">
        <v>38.5</v>
      </c>
      <c r="F13" s="8">
        <v>539</v>
      </c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</row>
    <row r="14" s="1" customFormat="1" ht="16.5" spans="1:6 16246:16358">
      <c r="A14" s="8">
        <v>12</v>
      </c>
      <c r="B14" s="9" t="s">
        <v>18</v>
      </c>
      <c r="C14" s="8">
        <v>89</v>
      </c>
      <c r="D14" s="8">
        <v>89</v>
      </c>
      <c r="E14" s="8">
        <v>16.5</v>
      </c>
      <c r="F14" s="8">
        <v>1468.5</v>
      </c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</row>
    <row r="15" s="1" customFormat="1" ht="16.5" spans="1:6 16246:16358">
      <c r="A15" s="8">
        <v>13</v>
      </c>
      <c r="B15" s="9" t="s">
        <v>19</v>
      </c>
      <c r="C15" s="8">
        <v>8384</v>
      </c>
      <c r="D15" s="8">
        <v>524</v>
      </c>
      <c r="E15" s="8">
        <v>88</v>
      </c>
      <c r="F15" s="8">
        <v>46112</v>
      </c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</row>
    <row r="16" s="1" customFormat="1" ht="16.5" spans="1:6 16246:16358">
      <c r="A16" s="8">
        <v>14</v>
      </c>
      <c r="B16" s="9" t="s">
        <v>20</v>
      </c>
      <c r="C16" s="8">
        <v>38</v>
      </c>
      <c r="D16" s="8">
        <v>2</v>
      </c>
      <c r="E16" s="8">
        <v>104.5</v>
      </c>
      <c r="F16" s="8">
        <v>209</v>
      </c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</row>
    <row r="17" s="1" customFormat="1" ht="16.5" spans="1:6 16246:16360">
      <c r="A17" s="8">
        <v>15</v>
      </c>
      <c r="B17" s="9" t="s">
        <v>21</v>
      </c>
      <c r="C17" s="8">
        <v>1</v>
      </c>
      <c r="D17" s="8">
        <v>1</v>
      </c>
      <c r="E17" s="8">
        <v>8</v>
      </c>
      <c r="F17" s="8">
        <v>8</v>
      </c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</row>
    <row r="18" s="1" customFormat="1" ht="16.5" spans="1:6 16246:16360">
      <c r="A18" s="8">
        <v>16</v>
      </c>
      <c r="B18" s="9" t="s">
        <v>22</v>
      </c>
      <c r="C18" s="8">
        <v>6</v>
      </c>
      <c r="D18" s="8">
        <v>3</v>
      </c>
      <c r="E18" s="8">
        <v>16.5</v>
      </c>
      <c r="F18" s="8">
        <v>49.5</v>
      </c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</row>
    <row r="19" s="1" customFormat="1" ht="16.5" spans="1:6 16246:16360">
      <c r="A19" s="8">
        <v>17</v>
      </c>
      <c r="B19" s="9" t="s">
        <v>23</v>
      </c>
      <c r="C19" s="8">
        <v>8</v>
      </c>
      <c r="D19" s="8">
        <v>8</v>
      </c>
      <c r="E19" s="8">
        <v>8</v>
      </c>
      <c r="F19" s="8">
        <v>64</v>
      </c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</row>
    <row r="20" s="1" customFormat="1" ht="16.5" spans="1:6 16246:16360">
      <c r="A20" s="8">
        <v>18</v>
      </c>
      <c r="B20" s="9" t="s">
        <v>24</v>
      </c>
      <c r="C20" s="8">
        <v>11</v>
      </c>
      <c r="D20" s="8">
        <v>11</v>
      </c>
      <c r="E20" s="8">
        <v>16.5</v>
      </c>
      <c r="F20" s="8">
        <v>181.5</v>
      </c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</row>
    <row r="21" s="1" customFormat="1" ht="16.5" spans="1:6 16246:16360">
      <c r="A21" s="8">
        <v>19</v>
      </c>
      <c r="B21" s="9" t="s">
        <v>25</v>
      </c>
      <c r="C21" s="8">
        <v>30</v>
      </c>
      <c r="D21" s="8">
        <v>30</v>
      </c>
      <c r="E21" s="8">
        <v>8</v>
      </c>
      <c r="F21" s="8">
        <v>240</v>
      </c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</row>
    <row r="22" s="1" customFormat="1" ht="16.5" spans="1:6 16246:16360">
      <c r="A22" s="8">
        <v>20</v>
      </c>
      <c r="B22" s="9" t="s">
        <v>26</v>
      </c>
      <c r="C22" s="8">
        <v>14</v>
      </c>
      <c r="D22" s="8">
        <v>14</v>
      </c>
      <c r="E22" s="8">
        <v>16.5</v>
      </c>
      <c r="F22" s="8">
        <v>231</v>
      </c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</row>
    <row r="23" s="1" customFormat="1" ht="16.5" spans="1:6 16246:16360">
      <c r="A23" s="8">
        <v>21</v>
      </c>
      <c r="B23" s="9" t="s">
        <v>27</v>
      </c>
      <c r="C23" s="8">
        <v>31</v>
      </c>
      <c r="D23" s="8">
        <v>31</v>
      </c>
      <c r="E23" s="8">
        <v>8</v>
      </c>
      <c r="F23" s="8">
        <v>248</v>
      </c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</row>
    <row r="24" s="1" customFormat="1" ht="16.5" spans="1:6 16246:16360">
      <c r="A24" s="8">
        <v>22</v>
      </c>
      <c r="B24" s="9" t="s">
        <v>28</v>
      </c>
      <c r="C24" s="8">
        <v>25</v>
      </c>
      <c r="D24" s="8">
        <v>25</v>
      </c>
      <c r="E24" s="8">
        <v>16.5</v>
      </c>
      <c r="F24" s="8">
        <v>412.5</v>
      </c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</row>
    <row r="25" s="1" customFormat="1" ht="16.5" spans="1:6 16246:16360">
      <c r="A25" s="8">
        <v>23</v>
      </c>
      <c r="B25" s="9" t="s">
        <v>29</v>
      </c>
      <c r="C25" s="8">
        <v>148</v>
      </c>
      <c r="D25" s="8">
        <v>74</v>
      </c>
      <c r="E25" s="8">
        <v>13.5</v>
      </c>
      <c r="F25" s="8">
        <v>999</v>
      </c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</row>
    <row r="26" s="1" customFormat="1" ht="16.5" spans="1:6 16246:16360">
      <c r="A26" s="8">
        <v>24</v>
      </c>
      <c r="B26" s="10" t="s">
        <v>30</v>
      </c>
      <c r="C26" s="8">
        <v>11</v>
      </c>
      <c r="D26" s="8">
        <v>11</v>
      </c>
      <c r="E26" s="8">
        <v>11</v>
      </c>
      <c r="F26" s="8">
        <v>121</v>
      </c>
      <c r="WZV26" s="11"/>
      <c r="WZW26" s="11"/>
      <c r="WZX26" s="11"/>
      <c r="WZY26" s="11"/>
      <c r="WZZ26" s="11"/>
      <c r="XAA26" s="11"/>
      <c r="XAB26" s="11"/>
      <c r="XAC26" s="11"/>
      <c r="XAD26" s="11"/>
      <c r="XAE26" s="11"/>
      <c r="XAF26" s="11"/>
      <c r="XAG26" s="11"/>
      <c r="XAH26" s="11"/>
      <c r="XAI26" s="11"/>
      <c r="XAJ26" s="11"/>
      <c r="XAK26" s="11"/>
      <c r="XAL26" s="11"/>
      <c r="XAM26" s="11"/>
      <c r="XAN26" s="11"/>
      <c r="XAO26" s="11"/>
      <c r="XAP26" s="11"/>
      <c r="XAQ26" s="11"/>
      <c r="XAR26" s="11"/>
      <c r="XAS26" s="11"/>
      <c r="XAT26" s="11"/>
      <c r="XAU26" s="11"/>
      <c r="XAV26" s="11"/>
      <c r="XAW26" s="11"/>
      <c r="XAX26" s="11"/>
      <c r="XAY26" s="11"/>
      <c r="XAZ26" s="11"/>
      <c r="XBA26" s="11"/>
      <c r="XBB26" s="11"/>
      <c r="XBC26" s="11"/>
      <c r="XBD26" s="11"/>
      <c r="XBE26" s="11"/>
      <c r="XBF26" s="11"/>
      <c r="XBG26" s="11"/>
      <c r="XBH26" s="11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</row>
    <row r="27" s="1" customFormat="1" ht="16.5" spans="1:6 16246:16360">
      <c r="A27" s="8">
        <v>25</v>
      </c>
      <c r="B27" s="9" t="s">
        <v>31</v>
      </c>
      <c r="C27" s="8">
        <v>25</v>
      </c>
      <c r="D27" s="8">
        <v>25</v>
      </c>
      <c r="E27" s="8">
        <v>11</v>
      </c>
      <c r="F27" s="8">
        <v>275</v>
      </c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 s="5"/>
      <c r="XBJ27" s="5"/>
      <c r="XBK27" s="5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</row>
    <row r="28" s="1" customFormat="1" ht="16.5" spans="1:6 16246:16360">
      <c r="A28" s="8">
        <v>26</v>
      </c>
      <c r="B28" s="9" t="s">
        <v>32</v>
      </c>
      <c r="C28" s="8">
        <v>12</v>
      </c>
      <c r="D28" s="8">
        <v>12</v>
      </c>
      <c r="E28" s="8">
        <v>8</v>
      </c>
      <c r="F28" s="8">
        <v>96</v>
      </c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 s="5"/>
      <c r="XBJ28" s="5"/>
      <c r="XBK28" s="5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</row>
    <row r="29" s="1" customFormat="1" ht="16.5" spans="1:6 16246:16360">
      <c r="A29" s="8">
        <v>27</v>
      </c>
      <c r="B29" s="9" t="s">
        <v>33</v>
      </c>
      <c r="C29" s="8">
        <v>8</v>
      </c>
      <c r="D29" s="8">
        <v>8</v>
      </c>
      <c r="E29" s="8">
        <v>8</v>
      </c>
      <c r="F29" s="8">
        <v>64</v>
      </c>
      <c r="WZV29"/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 s="5"/>
      <c r="XBJ29" s="5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</row>
    <row r="30" s="1" customFormat="1" ht="16.5" spans="1:6 16246:16360">
      <c r="A30" s="8">
        <v>28</v>
      </c>
      <c r="B30" s="9" t="s">
        <v>34</v>
      </c>
      <c r="C30" s="8">
        <v>6</v>
      </c>
      <c r="D30" s="8">
        <v>6</v>
      </c>
      <c r="E30" s="8">
        <v>8</v>
      </c>
      <c r="F30" s="8">
        <v>48</v>
      </c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 s="5"/>
      <c r="XBJ30" s="5"/>
      <c r="XBK30" s="5"/>
      <c r="XBL30" s="5"/>
      <c r="XBM30" s="5"/>
      <c r="XBN30" s="5"/>
      <c r="XBO30" s="5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</row>
    <row r="31" s="1" customFormat="1" ht="16.5" spans="1:6 16246:16360">
      <c r="A31" s="8">
        <v>29</v>
      </c>
      <c r="B31" s="9" t="s">
        <v>35</v>
      </c>
      <c r="C31" s="8">
        <v>38</v>
      </c>
      <c r="D31" s="8">
        <v>38</v>
      </c>
      <c r="E31" s="8">
        <v>13.5</v>
      </c>
      <c r="F31" s="8">
        <v>513</v>
      </c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 s="5"/>
      <c r="XBJ31" s="5"/>
      <c r="XBK31" s="5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</row>
    <row r="32" s="1" customFormat="1" ht="16.5" spans="1:6 16246:16360">
      <c r="A32" s="8">
        <v>30</v>
      </c>
      <c r="B32" s="9" t="s">
        <v>36</v>
      </c>
      <c r="C32" s="8">
        <v>81</v>
      </c>
      <c r="D32" s="8">
        <v>3</v>
      </c>
      <c r="E32" s="8">
        <v>148.5</v>
      </c>
      <c r="F32" s="8">
        <v>445.5</v>
      </c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 s="5"/>
      <c r="XBJ32" s="5"/>
      <c r="XBK32" s="5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</row>
    <row r="33" s="1" customFormat="1" ht="16.5" spans="1:6 16246:16374">
      <c r="A33" s="8">
        <v>31</v>
      </c>
      <c r="B33" s="9" t="s">
        <v>37</v>
      </c>
      <c r="C33" s="8">
        <v>132</v>
      </c>
      <c r="D33" s="8">
        <v>11</v>
      </c>
      <c r="E33" s="8">
        <v>66</v>
      </c>
      <c r="F33" s="8">
        <v>726</v>
      </c>
      <c r="WZV33"/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 s="5"/>
      <c r="XBJ33" s="5"/>
      <c r="XBK33" s="5"/>
      <c r="XBL33" s="5"/>
      <c r="XBM33" s="5"/>
      <c r="XBN33" s="5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</row>
    <row r="34" s="1" customFormat="1" ht="16.5" spans="1:6 16246:16374">
      <c r="A34" s="8">
        <v>32</v>
      </c>
      <c r="B34" s="9" t="s">
        <v>38</v>
      </c>
      <c r="C34" s="8">
        <v>108</v>
      </c>
      <c r="D34" s="8">
        <v>9</v>
      </c>
      <c r="E34" s="8">
        <v>66</v>
      </c>
      <c r="F34" s="8">
        <v>594</v>
      </c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 s="5"/>
      <c r="XBJ34" s="5"/>
      <c r="XBK34" s="5"/>
      <c r="XBL34" s="5"/>
      <c r="XBM34" s="5"/>
      <c r="XBN34" s="5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</row>
    <row r="35" s="1" customFormat="1" ht="16.5" spans="1:6 16246:16374">
      <c r="A35" s="8">
        <v>33</v>
      </c>
      <c r="B35" s="9" t="s">
        <v>39</v>
      </c>
      <c r="C35" s="8">
        <v>300</v>
      </c>
      <c r="D35" s="8">
        <v>25</v>
      </c>
      <c r="E35" s="8">
        <v>66</v>
      </c>
      <c r="F35" s="8">
        <v>1650</v>
      </c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 s="5"/>
      <c r="XBJ35" s="5"/>
      <c r="XBK35" s="5"/>
      <c r="XBL35" s="5"/>
      <c r="XBM35" s="5"/>
      <c r="XBN35" s="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</row>
    <row r="36" s="1" customFormat="1" ht="16.5" spans="1:6 16246:16374">
      <c r="A36" s="8">
        <v>34</v>
      </c>
      <c r="B36" s="9" t="s">
        <v>40</v>
      </c>
      <c r="C36" s="8">
        <v>120</v>
      </c>
      <c r="D36" s="8">
        <v>10</v>
      </c>
      <c r="E36" s="8">
        <v>66</v>
      </c>
      <c r="F36" s="8">
        <v>660</v>
      </c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 s="5"/>
      <c r="XBJ36" s="5"/>
      <c r="XBK36" s="5"/>
      <c r="XBL36" s="5"/>
      <c r="XBM36" s="5"/>
      <c r="XBN36" s="5"/>
      <c r="XBO36" s="5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</row>
    <row r="37" s="1" customFormat="1" ht="16.5" spans="1:6 16246:16374">
      <c r="A37" s="8">
        <v>35</v>
      </c>
      <c r="B37" s="9" t="s">
        <v>41</v>
      </c>
      <c r="C37" s="8">
        <v>160</v>
      </c>
      <c r="D37" s="8">
        <v>10</v>
      </c>
      <c r="E37" s="8">
        <v>88</v>
      </c>
      <c r="F37" s="8">
        <v>880</v>
      </c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 s="5"/>
      <c r="XBJ37" s="5"/>
      <c r="XBK37" s="5"/>
      <c r="XBL37" s="5"/>
      <c r="XBM37" s="5"/>
      <c r="XBN37" s="5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</row>
    <row r="38" s="1" customFormat="1" ht="16.5" spans="1:6 16246:16374">
      <c r="A38" s="8">
        <v>36</v>
      </c>
      <c r="B38" s="9" t="s">
        <v>42</v>
      </c>
      <c r="C38" s="8">
        <v>4</v>
      </c>
      <c r="D38" s="8">
        <v>4</v>
      </c>
      <c r="E38" s="8">
        <v>8</v>
      </c>
      <c r="F38" s="8">
        <v>32</v>
      </c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 s="5"/>
      <c r="XBJ38" s="5"/>
      <c r="XBK38" s="5"/>
      <c r="XBL38" s="5"/>
      <c r="XBM38" s="5"/>
      <c r="XBN38" s="5"/>
      <c r="XBO38" s="5"/>
      <c r="XBP38" s="5"/>
      <c r="XBQ38" s="5"/>
      <c r="XBR38" s="5"/>
      <c r="XBS38" s="5"/>
      <c r="XBT38" s="5"/>
      <c r="XBU38" s="5"/>
      <c r="XBV38" s="5"/>
      <c r="XBW38" s="5"/>
      <c r="XBX38" s="5"/>
      <c r="XBY38" s="5"/>
      <c r="XBZ38" s="5"/>
      <c r="XCA38" s="5"/>
      <c r="XCB38" s="5"/>
      <c r="XCC38" s="5"/>
      <c r="XCD38" s="5"/>
      <c r="XCE38" s="5"/>
      <c r="XCF38" s="5"/>
      <c r="XCG38" s="5"/>
      <c r="XCH38" s="5"/>
      <c r="XCI38" s="5"/>
      <c r="XCJ38" s="5"/>
      <c r="XCK38" s="5"/>
      <c r="XCL38" s="5"/>
      <c r="XCM38" s="5"/>
      <c r="XCN38" s="5"/>
      <c r="XCO38" s="5"/>
      <c r="XCP38" s="5"/>
      <c r="XCQ38" s="5"/>
      <c r="XCR38" s="5"/>
      <c r="XCS38" s="5"/>
      <c r="XCT38" s="5"/>
      <c r="XCU38" s="5"/>
      <c r="XCV38" s="5"/>
      <c r="XCW38" s="5"/>
      <c r="XCX38" s="5"/>
      <c r="XCY38" s="5"/>
      <c r="XCZ38" s="5"/>
      <c r="XDA38" s="5"/>
      <c r="XDB38" s="5"/>
      <c r="XDC38" s="5"/>
      <c r="XDD38" s="5"/>
      <c r="XDE38" s="5"/>
      <c r="XDF38" s="5"/>
      <c r="XDG38" s="5"/>
      <c r="XDH38" s="5"/>
      <c r="XDI38" s="5"/>
      <c r="XDJ38" s="5"/>
      <c r="XDK38" s="5"/>
      <c r="XDL38" s="5"/>
      <c r="XDM38" s="5"/>
      <c r="XDN38" s="5"/>
      <c r="XDO38" s="5"/>
      <c r="XDP38" s="5"/>
      <c r="XDQ38" s="5"/>
      <c r="XDR38" s="5"/>
      <c r="XDS38" s="5"/>
      <c r="XDT38" s="5"/>
      <c r="XDU38" s="5"/>
      <c r="XDV38" s="5"/>
      <c r="XDW38" s="5"/>
      <c r="XDX38" s="5"/>
      <c r="XDY38" s="5"/>
      <c r="XDZ38" s="5"/>
      <c r="XEA38" s="5"/>
      <c r="XEB38" s="5"/>
      <c r="XEC38" s="5"/>
      <c r="XED38" s="5"/>
    </row>
    <row r="39" s="1" customFormat="1" ht="16.5" spans="1:6 16246:16374">
      <c r="A39" s="8">
        <v>37</v>
      </c>
      <c r="B39" s="9" t="s">
        <v>43</v>
      </c>
      <c r="C39" s="8">
        <v>360</v>
      </c>
      <c r="D39" s="8">
        <v>36</v>
      </c>
      <c r="E39" s="8">
        <v>55</v>
      </c>
      <c r="F39" s="8">
        <v>1980</v>
      </c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 s="5"/>
      <c r="XBJ39" s="5"/>
      <c r="XBK39" s="5"/>
      <c r="XBL39" s="5"/>
      <c r="XBM39" s="5"/>
      <c r="XBN39" s="5"/>
      <c r="XBO39" s="5"/>
      <c r="XBP39" s="5"/>
      <c r="XBQ39" s="5"/>
      <c r="XBR39" s="5"/>
      <c r="XBS39" s="5"/>
      <c r="XBT39" s="5"/>
      <c r="XBU39" s="5"/>
      <c r="XBV39" s="5"/>
      <c r="XBW39" s="5"/>
      <c r="XBX39" s="5"/>
      <c r="XBY39" s="5"/>
      <c r="XBZ39" s="5"/>
      <c r="XCA39" s="5"/>
      <c r="XCB39" s="5"/>
      <c r="XCC39" s="5"/>
      <c r="XCD39" s="5"/>
      <c r="XCE39" s="5"/>
      <c r="XCF39" s="5"/>
      <c r="XCG39" s="5"/>
      <c r="XCH39" s="5"/>
      <c r="XCI39" s="5"/>
      <c r="XCJ39" s="5"/>
      <c r="XCK39" s="5"/>
      <c r="XCL39" s="5"/>
      <c r="XCM39" s="5"/>
      <c r="XCN39" s="5"/>
      <c r="XCO39" s="5"/>
      <c r="XCP39" s="5"/>
      <c r="XCQ39" s="5"/>
      <c r="XCR39" s="5"/>
      <c r="XCS39" s="5"/>
      <c r="XCT39" s="5"/>
      <c r="XCU39" s="5"/>
      <c r="XCV39" s="5"/>
      <c r="XCW39" s="5"/>
      <c r="XCX39" s="5"/>
      <c r="XCY39" s="5"/>
      <c r="XCZ39" s="5"/>
      <c r="XDA39" s="5"/>
      <c r="XDB39" s="5"/>
      <c r="XDC39" s="5"/>
      <c r="XDD39" s="5"/>
      <c r="XDE39" s="5"/>
      <c r="XDF39" s="5"/>
      <c r="XDG39" s="5"/>
      <c r="XDH39" s="5"/>
      <c r="XDI39" s="5"/>
      <c r="XDJ39" s="5"/>
      <c r="XDK39" s="5"/>
      <c r="XDL39" s="5"/>
      <c r="XDM39" s="5"/>
      <c r="XDN39" s="5"/>
      <c r="XDO39" s="5"/>
      <c r="XDP39" s="5"/>
      <c r="XDQ39" s="5"/>
      <c r="XDR39" s="5"/>
      <c r="XDS39" s="5"/>
      <c r="XDT39" s="5"/>
      <c r="XDU39" s="5"/>
      <c r="XDV39" s="5"/>
      <c r="XDW39" s="5"/>
      <c r="XDX39" s="5"/>
      <c r="XDY39" s="5"/>
      <c r="XDZ39" s="5"/>
      <c r="XEA39" s="5"/>
      <c r="XEB39" s="5"/>
      <c r="XEC39" s="5"/>
      <c r="XED39" s="5"/>
    </row>
    <row r="40" s="1" customFormat="1" ht="16.5" customHeight="1" spans="1:6 16246:16374">
      <c r="A40" s="8">
        <v>38</v>
      </c>
      <c r="B40" s="9" t="s">
        <v>44</v>
      </c>
      <c r="C40" s="8">
        <v>0</v>
      </c>
      <c r="D40" s="8">
        <v>36</v>
      </c>
      <c r="E40" s="8">
        <v>2.5</v>
      </c>
      <c r="F40" s="8">
        <v>90</v>
      </c>
      <c r="WZV40"/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 s="5"/>
      <c r="XBJ40" s="5"/>
      <c r="XBK40" s="5"/>
      <c r="XBL40" s="5"/>
      <c r="XBM40" s="5"/>
      <c r="XBN40" s="5"/>
      <c r="XBO40" s="5"/>
      <c r="XBP40" s="5"/>
      <c r="XBQ40" s="5"/>
      <c r="XBR40" s="5"/>
      <c r="XBS40" s="5"/>
      <c r="XBT40" s="5"/>
      <c r="XBU40" s="5"/>
      <c r="XBV40" s="5"/>
      <c r="XBW40" s="5"/>
      <c r="XBX40" s="5"/>
      <c r="XBY40" s="5"/>
      <c r="XBZ40" s="5"/>
      <c r="XCA40" s="5"/>
      <c r="XCB40" s="5"/>
      <c r="XCC40" s="5"/>
      <c r="XCD40" s="5"/>
      <c r="XCE40" s="5"/>
      <c r="XCF40" s="5"/>
      <c r="XCG40" s="5"/>
      <c r="XCH40" s="5"/>
      <c r="XCI40" s="5"/>
      <c r="XCJ40" s="5"/>
      <c r="XCK40" s="5"/>
      <c r="XCL40" s="5"/>
      <c r="XCM40" s="5"/>
      <c r="XCN40" s="5"/>
      <c r="XCO40" s="5"/>
      <c r="XCP40" s="5"/>
      <c r="XCQ40" s="5"/>
      <c r="XCR40" s="5"/>
      <c r="XCS40" s="5"/>
      <c r="XCT40" s="5"/>
      <c r="XCU40" s="5"/>
      <c r="XCV40" s="5"/>
      <c r="XCW40" s="5"/>
      <c r="XCX40" s="5"/>
      <c r="XCY40" s="5"/>
      <c r="XCZ40" s="5"/>
      <c r="XDA40" s="5"/>
      <c r="XDB40" s="5"/>
      <c r="XDC40" s="5"/>
      <c r="XDD40" s="5"/>
      <c r="XDE40" s="5"/>
      <c r="XDF40" s="5"/>
      <c r="XDG40" s="5"/>
      <c r="XDH40" s="5"/>
      <c r="XDI40" s="5"/>
      <c r="XDJ40" s="5"/>
      <c r="XDK40" s="5"/>
      <c r="XDL40" s="5"/>
      <c r="XDM40" s="5"/>
      <c r="XDN40" s="5"/>
      <c r="XDO40" s="5"/>
      <c r="XDP40" s="5"/>
      <c r="XDQ40" s="5"/>
      <c r="XDR40" s="5"/>
      <c r="XDS40" s="5"/>
      <c r="XDT40" s="5"/>
      <c r="XDU40" s="5"/>
      <c r="XDV40" s="5"/>
      <c r="XDW40" s="5"/>
      <c r="XDX40" s="5"/>
      <c r="XDY40" s="5"/>
      <c r="XDZ40" s="5"/>
      <c r="XEA40" s="5"/>
      <c r="XEB40" s="5"/>
      <c r="XEC40" s="5"/>
      <c r="XED40" s="5"/>
    </row>
    <row r="41" s="1" customFormat="1" ht="16.5" customHeight="1" spans="1:6 16246:16374">
      <c r="A41" s="8">
        <v>39</v>
      </c>
      <c r="B41" s="9" t="s">
        <v>45</v>
      </c>
      <c r="C41" s="8">
        <v>560</v>
      </c>
      <c r="D41" s="8">
        <v>20</v>
      </c>
      <c r="E41" s="8">
        <v>154</v>
      </c>
      <c r="F41" s="8">
        <v>3080</v>
      </c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 s="5"/>
      <c r="XBJ41" s="5"/>
      <c r="XBK41" s="5"/>
      <c r="XBL41" s="5"/>
      <c r="XBM41" s="5"/>
      <c r="XBN41" s="5"/>
      <c r="XBO41" s="5"/>
      <c r="XBP41" s="5"/>
      <c r="XBQ41" s="5"/>
      <c r="XBR41" s="5"/>
      <c r="XBS41" s="5"/>
      <c r="XBT41" s="5"/>
      <c r="XBU41" s="5"/>
      <c r="XBV41" s="5"/>
      <c r="XBW41" s="5"/>
      <c r="XBX41" s="5"/>
      <c r="XBY41" s="5"/>
      <c r="XBZ41" s="5"/>
      <c r="XCA41" s="5"/>
      <c r="XCB41" s="5"/>
      <c r="XCC41" s="5"/>
      <c r="XCD41" s="5"/>
      <c r="XCE41" s="5"/>
      <c r="XCF41" s="5"/>
      <c r="XCG41" s="5"/>
      <c r="XCH41" s="5"/>
      <c r="XCI41" s="5"/>
      <c r="XCJ41" s="5"/>
      <c r="XCK41" s="5"/>
      <c r="XCL41" s="5"/>
      <c r="XCM41" s="5"/>
      <c r="XCN41" s="5"/>
      <c r="XCO41" s="5"/>
      <c r="XCP41" s="5"/>
      <c r="XCQ41" s="5"/>
      <c r="XCR41" s="5"/>
      <c r="XCS41" s="5"/>
      <c r="XCT41" s="5"/>
      <c r="XCU41" s="5"/>
      <c r="XCV41" s="5"/>
      <c r="XCW41" s="5"/>
      <c r="XCX41" s="5"/>
      <c r="XCY41" s="5"/>
      <c r="XCZ41" s="5"/>
      <c r="XDA41" s="5"/>
      <c r="XDB41" s="5"/>
      <c r="XDC41" s="5"/>
      <c r="XDD41" s="5"/>
      <c r="XDE41" s="5"/>
      <c r="XDF41" s="5"/>
      <c r="XDG41" s="5"/>
      <c r="XDH41" s="5"/>
      <c r="XDI41" s="5"/>
      <c r="XDJ41" s="5"/>
      <c r="XDK41" s="5"/>
      <c r="XDL41" s="5"/>
      <c r="XDM41" s="5"/>
      <c r="XDN41" s="5"/>
      <c r="XDO41" s="5"/>
      <c r="XDP41" s="5"/>
      <c r="XDQ41" s="5"/>
      <c r="XDR41" s="5"/>
      <c r="XDS41" s="5"/>
      <c r="XDT41" s="5"/>
      <c r="XDU41" s="5"/>
      <c r="XDV41" s="5"/>
      <c r="XDW41" s="5"/>
      <c r="XDX41" s="5"/>
      <c r="XDY41" s="5"/>
      <c r="XDZ41" s="5"/>
      <c r="XEA41" s="5"/>
      <c r="XEB41" s="5"/>
      <c r="XEC41" s="5"/>
      <c r="XED41" s="5"/>
    </row>
    <row r="42" s="1" customFormat="1" ht="16.5" customHeight="1" spans="1:6 16246:16374">
      <c r="A42" s="8">
        <v>40</v>
      </c>
      <c r="B42" s="9" t="s">
        <v>46</v>
      </c>
      <c r="C42" s="8">
        <v>17</v>
      </c>
      <c r="D42" s="8">
        <v>17</v>
      </c>
      <c r="E42" s="8">
        <v>8</v>
      </c>
      <c r="F42" s="8">
        <v>136</v>
      </c>
      <c r="WZV42"/>
      <c r="WZW42"/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 s="5"/>
      <c r="XBJ42" s="5"/>
      <c r="XBK42" s="5"/>
      <c r="XBL42" s="5"/>
      <c r="XBM42" s="5"/>
      <c r="XBN42" s="5"/>
      <c r="XBO42" s="5"/>
      <c r="XBP42" s="5"/>
      <c r="XBQ42" s="5"/>
      <c r="XBR42" s="5"/>
      <c r="XBS42" s="5"/>
      <c r="XBT42" s="5"/>
      <c r="XBU42" s="5"/>
      <c r="XBV42" s="5"/>
      <c r="XBW42" s="5"/>
      <c r="XBX42" s="5"/>
      <c r="XBY42" s="5"/>
      <c r="XBZ42" s="5"/>
      <c r="XCA42" s="5"/>
      <c r="XCB42" s="5"/>
      <c r="XCC42" s="5"/>
      <c r="XCD42" s="5"/>
      <c r="XCE42" s="5"/>
      <c r="XCF42" s="5"/>
      <c r="XCG42" s="5"/>
      <c r="XCH42" s="5"/>
      <c r="XCI42" s="5"/>
      <c r="XCJ42" s="5"/>
      <c r="XCK42" s="5"/>
      <c r="XCL42" s="5"/>
      <c r="XCM42" s="5"/>
      <c r="XCN42" s="5"/>
      <c r="XCO42" s="5"/>
      <c r="XCP42" s="5"/>
      <c r="XCQ42" s="5"/>
      <c r="XCR42" s="5"/>
      <c r="XCS42" s="5"/>
      <c r="XCT42" s="5"/>
      <c r="XCU42" s="5"/>
      <c r="XCV42" s="5"/>
      <c r="XCW42" s="5"/>
      <c r="XCX42" s="5"/>
      <c r="XCY42" s="5"/>
      <c r="XCZ42" s="5"/>
      <c r="XDA42" s="5"/>
      <c r="XDB42" s="5"/>
      <c r="XDC42" s="5"/>
      <c r="XDD42" s="5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</row>
    <row r="43" s="1" customFormat="1" ht="16.5" customHeight="1" spans="1:6 16246:16374">
      <c r="A43" s="8">
        <v>41</v>
      </c>
      <c r="B43" s="9" t="s">
        <v>47</v>
      </c>
      <c r="C43" s="8">
        <v>5</v>
      </c>
      <c r="D43" s="8">
        <v>5</v>
      </c>
      <c r="E43" s="8">
        <v>8</v>
      </c>
      <c r="F43" s="8">
        <v>40</v>
      </c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 s="5"/>
      <c r="XBJ43" s="5"/>
      <c r="XBK43" s="5"/>
      <c r="XBL43" s="5"/>
      <c r="XBM43" s="5"/>
      <c r="XBN43" s="5"/>
      <c r="XBO43" s="5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</row>
    <row r="44" s="1" customFormat="1" ht="16.5" customHeight="1" spans="1:6 16246:16374">
      <c r="A44" s="8">
        <v>42</v>
      </c>
      <c r="B44" s="9" t="s">
        <v>48</v>
      </c>
      <c r="C44" s="8">
        <v>34</v>
      </c>
      <c r="D44" s="8">
        <v>34</v>
      </c>
      <c r="E44" s="8">
        <v>8</v>
      </c>
      <c r="F44" s="8">
        <v>272</v>
      </c>
      <c r="WZV44"/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 s="5"/>
      <c r="XBJ44" s="5"/>
      <c r="XBK44" s="5"/>
      <c r="XBL44" s="5"/>
      <c r="XBM44" s="5"/>
      <c r="XBN44" s="5"/>
      <c r="XBO44" s="5"/>
      <c r="XBP44" s="5"/>
      <c r="XBQ44" s="5"/>
      <c r="XBR44" s="5"/>
      <c r="XBS44" s="5"/>
      <c r="XBT44" s="5"/>
      <c r="XBU44" s="5"/>
      <c r="XBV44" s="5"/>
      <c r="XBW44" s="5"/>
      <c r="XBX44" s="5"/>
      <c r="XBY44" s="5"/>
      <c r="XBZ44" s="5"/>
      <c r="XCA44" s="5"/>
      <c r="XCB44" s="5"/>
      <c r="XCC44" s="5"/>
      <c r="XCD44" s="5"/>
      <c r="XCE44" s="5"/>
      <c r="XCF44" s="5"/>
      <c r="XCG44" s="5"/>
      <c r="XCH44" s="5"/>
      <c r="XCI44" s="5"/>
      <c r="XCJ44" s="5"/>
      <c r="XCK44" s="5"/>
      <c r="XCL44" s="5"/>
      <c r="XCM44" s="5"/>
      <c r="XCN44" s="5"/>
      <c r="XCO44" s="5"/>
      <c r="XCP44" s="5"/>
      <c r="XCQ44" s="5"/>
      <c r="XCR44" s="5"/>
      <c r="XCS44" s="5"/>
      <c r="XCT44" s="5"/>
      <c r="XCU44" s="5"/>
      <c r="XCV44" s="5"/>
      <c r="XCW44" s="5"/>
      <c r="XCX44" s="5"/>
      <c r="XCY44" s="5"/>
      <c r="XCZ44" s="5"/>
      <c r="XDA44" s="5"/>
      <c r="XDB44" s="5"/>
      <c r="XDC44" s="5"/>
      <c r="XDD44" s="5"/>
      <c r="XDE44" s="5"/>
      <c r="XDF44" s="5"/>
      <c r="XDG44" s="5"/>
      <c r="XDH44" s="5"/>
      <c r="XDI44" s="5"/>
      <c r="XDJ44" s="5"/>
      <c r="XDK44" s="5"/>
      <c r="XDL44" s="5"/>
      <c r="XDM44" s="5"/>
      <c r="XDN44" s="5"/>
      <c r="XDO44" s="5"/>
      <c r="XDP44" s="5"/>
      <c r="XDQ44" s="5"/>
      <c r="XDR44" s="5"/>
      <c r="XDS44" s="5"/>
      <c r="XDT44" s="5"/>
      <c r="XDU44" s="5"/>
      <c r="XDV44" s="5"/>
      <c r="XDW44" s="5"/>
      <c r="XDX44" s="5"/>
      <c r="XDY44" s="5"/>
      <c r="XDZ44" s="5"/>
      <c r="XEA44" s="5"/>
      <c r="XEB44" s="5"/>
      <c r="XEC44" s="5"/>
      <c r="XED44" s="5"/>
    </row>
    <row r="45" s="1" customFormat="1" ht="16.5" customHeight="1" spans="1:6 16246:16374">
      <c r="A45" s="8">
        <v>43</v>
      </c>
      <c r="B45" s="9" t="s">
        <v>49</v>
      </c>
      <c r="C45" s="8">
        <v>62</v>
      </c>
      <c r="D45" s="8">
        <v>31</v>
      </c>
      <c r="E45" s="8">
        <v>16.5</v>
      </c>
      <c r="F45" s="8">
        <v>511.5</v>
      </c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 s="5"/>
      <c r="XBJ45" s="5"/>
      <c r="XBK45" s="5"/>
      <c r="XBL45" s="5"/>
      <c r="XBM45" s="5"/>
      <c r="XBN45" s="5"/>
      <c r="XBO45" s="5"/>
      <c r="XBP45" s="5"/>
      <c r="XBQ45" s="5"/>
      <c r="XBR45" s="5"/>
      <c r="XBS45" s="5"/>
      <c r="XBT45" s="5"/>
      <c r="XBU45" s="5"/>
      <c r="XBV45" s="5"/>
      <c r="XBW45" s="5"/>
      <c r="XBX45" s="5"/>
      <c r="XBY45" s="5"/>
      <c r="XBZ45" s="5"/>
      <c r="XCA45" s="5"/>
      <c r="XCB45" s="5"/>
      <c r="XCC45" s="5"/>
      <c r="XCD45" s="5"/>
      <c r="XCE45" s="5"/>
      <c r="XCF45" s="5"/>
      <c r="XCG45" s="5"/>
      <c r="XCH45" s="5"/>
      <c r="XCI45" s="5"/>
      <c r="XCJ45" s="5"/>
      <c r="XCK45" s="5"/>
      <c r="XCL45" s="5"/>
      <c r="XCM45" s="5"/>
      <c r="XCN45" s="5"/>
      <c r="XCO45" s="5"/>
      <c r="XCP45" s="5"/>
      <c r="XCQ45" s="5"/>
      <c r="XCR45" s="5"/>
      <c r="XCS45" s="5"/>
      <c r="XCT45" s="5"/>
      <c r="XCU45" s="5"/>
      <c r="XCV45" s="5"/>
      <c r="XCW45" s="5"/>
      <c r="XCX45" s="5"/>
      <c r="XCY45" s="5"/>
      <c r="XCZ45" s="5"/>
      <c r="XDA45" s="5"/>
      <c r="XDB45" s="5"/>
      <c r="XDC45" s="5"/>
      <c r="XDD45" s="5"/>
      <c r="XDE45" s="5"/>
      <c r="XDF45" s="5"/>
      <c r="XDG45" s="5"/>
      <c r="XDH45" s="5"/>
      <c r="XDI45" s="5"/>
      <c r="XDJ45" s="5"/>
      <c r="XDK45" s="5"/>
      <c r="XDL45" s="5"/>
      <c r="XDM45" s="5"/>
      <c r="XDN45" s="5"/>
      <c r="XDO45" s="5"/>
      <c r="XDP45" s="5"/>
      <c r="XDQ45" s="5"/>
      <c r="XDR45" s="5"/>
      <c r="XDS45" s="5"/>
      <c r="XDT45" s="5"/>
      <c r="XDU45" s="5"/>
      <c r="XDV45" s="5"/>
      <c r="XDW45" s="5"/>
      <c r="XDX45" s="5"/>
      <c r="XDY45" s="5"/>
      <c r="XDZ45" s="5"/>
      <c r="XEA45" s="5"/>
      <c r="XEB45" s="5"/>
      <c r="XEC45" s="5"/>
      <c r="XED45" s="5"/>
      <c r="XEE45" s="5"/>
      <c r="XEF45" s="5"/>
      <c r="XEG45" s="5"/>
      <c r="XEH45" s="5"/>
      <c r="XEI45" s="5"/>
      <c r="XEJ45" s="5"/>
      <c r="XEK45" s="5"/>
      <c r="XEL45" s="5"/>
      <c r="XEM45" s="5"/>
      <c r="XEN45" s="5"/>
      <c r="XEO45" s="5"/>
      <c r="XEP45" s="5"/>
      <c r="XEQ45" s="5"/>
      <c r="XER45" s="5"/>
      <c r="XES45" s="5"/>
      <c r="XET45" s="5"/>
    </row>
    <row r="46" s="1" customFormat="1" ht="16.5" customHeight="1" spans="1:6 16246:16374">
      <c r="A46" s="8">
        <v>44</v>
      </c>
      <c r="B46" s="9" t="s">
        <v>50</v>
      </c>
      <c r="C46" s="8">
        <v>0</v>
      </c>
      <c r="D46" s="8">
        <v>1</v>
      </c>
      <c r="E46" s="8">
        <v>30</v>
      </c>
      <c r="F46" s="8">
        <v>30</v>
      </c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 s="5"/>
      <c r="XBJ46" s="5"/>
      <c r="XBK46" s="5"/>
      <c r="XBL46" s="5"/>
      <c r="XBM46" s="5"/>
      <c r="XBN46" s="5"/>
      <c r="XBO46" s="5"/>
      <c r="XBP46" s="5"/>
      <c r="XBQ46" s="5"/>
      <c r="XBR46" s="5"/>
      <c r="XBS46" s="5"/>
      <c r="XBT46" s="5"/>
      <c r="XBU46" s="5"/>
      <c r="XBV46" s="5"/>
      <c r="XBW46" s="5"/>
      <c r="XBX46" s="5"/>
      <c r="XBY46" s="5"/>
      <c r="XBZ46" s="5"/>
      <c r="XCA46" s="5"/>
      <c r="XCB46" s="5"/>
      <c r="XCC46" s="5"/>
      <c r="XCD46" s="5"/>
      <c r="XCE46" s="5"/>
      <c r="XCF46" s="5"/>
      <c r="XCG46" s="5"/>
      <c r="XCH46" s="5"/>
      <c r="XCI46" s="5"/>
      <c r="XCJ46" s="5"/>
      <c r="XCK46" s="5"/>
      <c r="XCL46" s="5"/>
      <c r="XCM46" s="5"/>
      <c r="XCN46" s="5"/>
      <c r="XCO46" s="5"/>
      <c r="XCP46" s="5"/>
      <c r="XCQ46" s="5"/>
      <c r="XCR46" s="5"/>
      <c r="XCS46" s="5"/>
      <c r="XCT46" s="5"/>
      <c r="XCU46" s="5"/>
      <c r="XCV46" s="5"/>
      <c r="XCW46" s="5"/>
      <c r="XCX46" s="5"/>
      <c r="XCY46" s="5"/>
      <c r="XCZ46" s="5"/>
      <c r="XDA46" s="5"/>
      <c r="XDB46" s="5"/>
      <c r="XDC46" s="5"/>
      <c r="XDD46" s="5"/>
      <c r="XDE46" s="5"/>
      <c r="XDF46" s="5"/>
      <c r="XDG46" s="5"/>
      <c r="XDH46" s="5"/>
      <c r="XDI46" s="5"/>
      <c r="XDJ46" s="5"/>
      <c r="XDK46" s="5"/>
      <c r="XDL46" s="5"/>
      <c r="XDM46" s="5"/>
      <c r="XDN46" s="5"/>
      <c r="XDO46" s="5"/>
      <c r="XDP46" s="5"/>
      <c r="XDQ46" s="5"/>
      <c r="XDR46" s="5"/>
      <c r="XDS46" s="5"/>
      <c r="XDT46" s="5"/>
      <c r="XDU46" s="5"/>
      <c r="XDV46" s="5"/>
      <c r="XDW46" s="5"/>
      <c r="XDX46" s="5"/>
      <c r="XDY46" s="5"/>
      <c r="XDZ46" s="5"/>
      <c r="XEA46" s="5"/>
      <c r="XEB46" s="5"/>
      <c r="XEC46" s="5"/>
      <c r="XED46" s="5"/>
      <c r="XEE46" s="5"/>
      <c r="XEF46" s="5"/>
      <c r="XEG46" s="5"/>
      <c r="XEH46" s="5"/>
      <c r="XEI46" s="5"/>
      <c r="XEJ46" s="5"/>
      <c r="XEK46" s="5"/>
      <c r="XEL46" s="5"/>
      <c r="XEM46" s="5"/>
      <c r="XEN46" s="5"/>
      <c r="XEO46" s="5"/>
      <c r="XEP46" s="5"/>
      <c r="XEQ46" s="5"/>
      <c r="XER46" s="5"/>
      <c r="XES46" s="5"/>
      <c r="XET46" s="5"/>
    </row>
    <row r="47" s="1" customFormat="1" ht="16.5" customHeight="1" spans="1:6 16246:16374">
      <c r="A47" s="8">
        <v>45</v>
      </c>
      <c r="B47" s="9" t="s">
        <v>51</v>
      </c>
      <c r="C47" s="8">
        <v>7</v>
      </c>
      <c r="D47" s="8">
        <v>7</v>
      </c>
      <c r="E47" s="8">
        <v>25</v>
      </c>
      <c r="F47" s="8">
        <v>175</v>
      </c>
      <c r="WZV47"/>
      <c r="WZW47"/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 s="5"/>
      <c r="XBJ47" s="5"/>
      <c r="XBK47" s="5"/>
      <c r="XBL47" s="5"/>
      <c r="XBM47" s="5"/>
      <c r="XBN47" s="5"/>
      <c r="XBO47" s="5"/>
      <c r="XBP47" s="5"/>
      <c r="XBQ47" s="5"/>
      <c r="XBR47" s="5"/>
      <c r="XBS47" s="5"/>
      <c r="XBT47" s="5"/>
      <c r="XBU47" s="5"/>
      <c r="XBV47" s="5"/>
      <c r="XBW47" s="5"/>
      <c r="XBX47" s="5"/>
      <c r="XBY47" s="5"/>
      <c r="XBZ47" s="5"/>
      <c r="XCA47" s="5"/>
      <c r="XCB47" s="5"/>
      <c r="XCC47" s="5"/>
      <c r="XCD47" s="5"/>
      <c r="XCE47" s="5"/>
      <c r="XCF47" s="5"/>
      <c r="XCG47" s="5"/>
      <c r="XCH47" s="5"/>
      <c r="XCI47" s="5"/>
      <c r="XCJ47" s="5"/>
      <c r="XCK47" s="5"/>
      <c r="XCL47" s="5"/>
      <c r="XCM47" s="5"/>
      <c r="XCN47" s="5"/>
      <c r="XCO47" s="5"/>
      <c r="XCP47" s="5"/>
      <c r="XCQ47" s="5"/>
      <c r="XCR47" s="5"/>
      <c r="XCS47" s="5"/>
      <c r="XCT47" s="5"/>
      <c r="XCU47" s="5"/>
      <c r="XCV47" s="5"/>
      <c r="XCW47" s="5"/>
      <c r="XCX47" s="5"/>
      <c r="XCY47" s="5"/>
      <c r="XCZ47" s="5"/>
      <c r="XDA47" s="5"/>
      <c r="XDB47" s="5"/>
      <c r="XDC47" s="5"/>
      <c r="XDD47" s="5"/>
      <c r="XDE47" s="5"/>
      <c r="XDF47" s="5"/>
      <c r="XDG47" s="5"/>
      <c r="XDH47" s="5"/>
      <c r="XDI47" s="5"/>
      <c r="XDJ47" s="5"/>
      <c r="XDK47" s="5"/>
      <c r="XDL47" s="5"/>
      <c r="XDM47" s="5"/>
      <c r="XDN47" s="5"/>
      <c r="XDO47" s="5"/>
      <c r="XDP47" s="5"/>
      <c r="XDQ47" s="5"/>
      <c r="XDR47" s="5"/>
      <c r="XDS47" s="5"/>
      <c r="XDT47" s="5"/>
      <c r="XDU47" s="5"/>
      <c r="XDV47" s="5"/>
      <c r="XDW47" s="5"/>
      <c r="XDX47" s="5"/>
      <c r="XDY47" s="5"/>
      <c r="XDZ47" s="5"/>
      <c r="XEA47" s="5"/>
      <c r="XEB47" s="5"/>
      <c r="XEC47" s="5"/>
      <c r="XED47" s="5"/>
      <c r="XEE47" s="5"/>
      <c r="XEF47" s="5"/>
      <c r="XEG47" s="5"/>
      <c r="XEH47" s="5"/>
      <c r="XEI47" s="5"/>
      <c r="XEJ47" s="5"/>
      <c r="XEK47" s="5"/>
      <c r="XEL47" s="5"/>
      <c r="XEM47" s="5"/>
      <c r="XEN47" s="5"/>
      <c r="XEO47" s="5"/>
      <c r="XEP47" s="5"/>
      <c r="XEQ47" s="5"/>
      <c r="XER47" s="5"/>
      <c r="XES47" s="5"/>
      <c r="XET47" s="5"/>
    </row>
    <row r="48" s="1" customFormat="1" ht="16.5" spans="1:6 16246:16374">
      <c r="A48" s="8">
        <v>46</v>
      </c>
      <c r="B48" s="9" t="s">
        <v>52</v>
      </c>
      <c r="C48" s="8">
        <v>36</v>
      </c>
      <c r="D48" s="8">
        <v>18</v>
      </c>
      <c r="E48" s="8">
        <v>16.5</v>
      </c>
      <c r="F48" s="8">
        <v>297</v>
      </c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 s="5"/>
      <c r="XBJ48" s="5"/>
      <c r="XBK48" s="5"/>
      <c r="XBL48" s="5"/>
      <c r="XBM48" s="5"/>
      <c r="XBN48" s="5"/>
      <c r="XBO48" s="5"/>
      <c r="XBP48" s="5"/>
      <c r="XBQ48" s="5"/>
      <c r="XBR48" s="5"/>
      <c r="XBS48" s="5"/>
      <c r="XBT48" s="5"/>
      <c r="XBU48" s="5"/>
      <c r="XBV48" s="5"/>
      <c r="XBW48" s="5"/>
      <c r="XBX48" s="5"/>
      <c r="XBY48" s="5"/>
      <c r="XBZ48" s="5"/>
      <c r="XCA48" s="5"/>
      <c r="XCB48" s="5"/>
      <c r="XCC48" s="5"/>
      <c r="XCD48" s="5"/>
      <c r="XCE48" s="5"/>
      <c r="XCF48" s="5"/>
      <c r="XCG48" s="5"/>
      <c r="XCH48" s="5"/>
      <c r="XCI48" s="5"/>
      <c r="XCJ48" s="5"/>
      <c r="XCK48" s="5"/>
      <c r="XCL48" s="5"/>
      <c r="XCM48" s="5"/>
      <c r="XCN48" s="5"/>
      <c r="XCO48" s="5"/>
      <c r="XCP48" s="5"/>
      <c r="XCQ48" s="5"/>
      <c r="XCR48" s="5"/>
      <c r="XCS48" s="5"/>
      <c r="XCT48" s="5"/>
      <c r="XCU48" s="5"/>
      <c r="XCV48" s="5"/>
      <c r="XCW48" s="5"/>
      <c r="XCX48" s="5"/>
      <c r="XCY48" s="5"/>
      <c r="XCZ48" s="5"/>
      <c r="XDA48" s="5"/>
      <c r="XDB48" s="5"/>
      <c r="XDC48" s="5"/>
      <c r="XDD48" s="5"/>
      <c r="XDE48" s="5"/>
      <c r="XDF48" s="5"/>
      <c r="XDG48" s="5"/>
      <c r="XDH48" s="5"/>
      <c r="XDI48" s="5"/>
      <c r="XDJ48" s="5"/>
      <c r="XDK48" s="5"/>
      <c r="XDL48" s="5"/>
      <c r="XDM48" s="5"/>
      <c r="XDN48" s="5"/>
      <c r="XDO48" s="5"/>
      <c r="XDP48" s="5"/>
      <c r="XDQ48" s="5"/>
      <c r="XDR48" s="5"/>
      <c r="XDS48" s="5"/>
      <c r="XDT48" s="5"/>
      <c r="XDU48" s="5"/>
      <c r="XDV48" s="5"/>
      <c r="XDW48" s="5"/>
      <c r="XDX48" s="5"/>
      <c r="XDY48" s="5"/>
      <c r="XDZ48" s="5"/>
      <c r="XEA48" s="5"/>
      <c r="XEB48" s="5"/>
      <c r="XEC48" s="5"/>
      <c r="XED48" s="5"/>
      <c r="XEE48" s="5"/>
      <c r="XEF48" s="5"/>
      <c r="XEG48" s="5"/>
      <c r="XEH48" s="5"/>
      <c r="XEI48" s="5"/>
      <c r="XEJ48" s="5"/>
      <c r="XEK48" s="5"/>
      <c r="XEL48" s="5"/>
      <c r="XEM48" s="5"/>
      <c r="XEN48" s="5"/>
      <c r="XEO48" s="5"/>
      <c r="XEP48" s="5"/>
      <c r="XEQ48" s="5"/>
      <c r="XER48" s="5"/>
      <c r="XES48" s="5"/>
      <c r="XET48" s="5"/>
    </row>
    <row r="49" s="1" customFormat="1" ht="16.5" spans="1:6 16246:16374">
      <c r="A49" s="8">
        <v>47</v>
      </c>
      <c r="B49" s="9" t="s">
        <v>53</v>
      </c>
      <c r="C49" s="8">
        <v>60</v>
      </c>
      <c r="D49" s="8">
        <v>60</v>
      </c>
      <c r="E49" s="8">
        <v>8</v>
      </c>
      <c r="F49" s="8">
        <v>480</v>
      </c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 s="5"/>
      <c r="XBJ49" s="5"/>
      <c r="XBK49" s="5"/>
      <c r="XBL49" s="5"/>
      <c r="XBM49" s="5"/>
      <c r="XBN49" s="5"/>
      <c r="XBO49" s="5"/>
      <c r="XBP49" s="5"/>
      <c r="XBQ49" s="5"/>
      <c r="XBR49" s="5"/>
      <c r="XBS49" s="5"/>
      <c r="XBT49" s="5"/>
      <c r="XBU49" s="5"/>
      <c r="XBV49" s="5"/>
      <c r="XBW49" s="5"/>
      <c r="XBX49" s="5"/>
      <c r="XBY49" s="5"/>
      <c r="XBZ49" s="5"/>
      <c r="XCA49" s="5"/>
      <c r="XCB49" s="5"/>
      <c r="XCC49" s="5"/>
      <c r="XCD49" s="5"/>
      <c r="XCE49" s="5"/>
      <c r="XCF49" s="5"/>
      <c r="XCG49" s="5"/>
      <c r="XCH49" s="5"/>
      <c r="XCI49" s="5"/>
      <c r="XCJ49" s="5"/>
      <c r="XCK49" s="5"/>
      <c r="XCL49" s="5"/>
      <c r="XCM49" s="5"/>
      <c r="XCN49" s="5"/>
      <c r="XCO49" s="5"/>
      <c r="XCP49" s="5"/>
      <c r="XCQ49" s="5"/>
      <c r="XCR49" s="5"/>
      <c r="XCS49" s="5"/>
      <c r="XCT49" s="5"/>
      <c r="XCU49" s="5"/>
      <c r="XCV49" s="5"/>
      <c r="XCW49" s="5"/>
      <c r="XCX49" s="5"/>
      <c r="XCY49" s="5"/>
      <c r="XCZ49" s="5"/>
      <c r="XDA49" s="5"/>
      <c r="XDB49" s="5"/>
      <c r="XDC49" s="5"/>
      <c r="XDD49" s="5"/>
      <c r="XDE49" s="5"/>
      <c r="XDF49" s="5"/>
      <c r="XDG49" s="5"/>
      <c r="XDH49" s="5"/>
      <c r="XDI49" s="5"/>
      <c r="XDJ49" s="5"/>
      <c r="XDK49" s="5"/>
      <c r="XDL49" s="5"/>
      <c r="XDM49" s="5"/>
      <c r="XDN49" s="5"/>
      <c r="XDO49" s="5"/>
      <c r="XDP49" s="5"/>
      <c r="XDQ49" s="5"/>
      <c r="XDR49" s="5"/>
      <c r="XDS49" s="5"/>
      <c r="XDT49" s="5"/>
      <c r="XDU49" s="5"/>
      <c r="XDV49" s="5"/>
      <c r="XDW49" s="5"/>
      <c r="XDX49" s="5"/>
      <c r="XDY49" s="5"/>
      <c r="XDZ49" s="5"/>
      <c r="XEA49" s="5"/>
      <c r="XEB49" s="5"/>
      <c r="XEC49" s="5"/>
      <c r="XED49" s="5"/>
      <c r="XEE49" s="5"/>
      <c r="XEF49" s="5"/>
      <c r="XEG49" s="5"/>
      <c r="XEH49" s="5"/>
      <c r="XEI49" s="5"/>
      <c r="XEJ49" s="5"/>
      <c r="XEK49" s="5"/>
      <c r="XEL49" s="5"/>
      <c r="XEM49" s="5"/>
      <c r="XEN49" s="5"/>
      <c r="XEO49" s="5"/>
      <c r="XEP49" s="5"/>
      <c r="XEQ49" s="5"/>
      <c r="XER49" s="5"/>
      <c r="XES49" s="5"/>
      <c r="XET49" s="5"/>
    </row>
    <row r="50" s="1" customFormat="1" ht="16.5" customHeight="1" spans="1:6 16246:16374">
      <c r="A50" s="8">
        <v>48</v>
      </c>
      <c r="B50" s="9" t="s">
        <v>54</v>
      </c>
      <c r="C50" s="8">
        <v>330</v>
      </c>
      <c r="D50" s="8">
        <v>11</v>
      </c>
      <c r="E50" s="8">
        <v>165</v>
      </c>
      <c r="F50" s="8">
        <v>1815</v>
      </c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 s="5"/>
      <c r="XBJ50" s="5"/>
      <c r="XBK50" s="5"/>
      <c r="XBL50" s="5"/>
      <c r="XBM50" s="5"/>
      <c r="XBN50" s="5"/>
      <c r="XBO50" s="5"/>
      <c r="XBP50" s="5"/>
      <c r="XBQ50" s="5"/>
      <c r="XBR50" s="5"/>
      <c r="XBS50" s="5"/>
      <c r="XBT50" s="5"/>
      <c r="XBU50" s="5"/>
      <c r="XBV50" s="5"/>
      <c r="XBW50" s="5"/>
      <c r="XBX50" s="5"/>
      <c r="XBY50" s="5"/>
      <c r="XBZ50" s="5"/>
      <c r="XCA50" s="5"/>
      <c r="XCB50" s="5"/>
      <c r="XCC50" s="5"/>
      <c r="XCD50" s="5"/>
      <c r="XCE50" s="5"/>
      <c r="XCF50" s="5"/>
      <c r="XCG50" s="5"/>
      <c r="XCH50" s="5"/>
      <c r="XCI50" s="5"/>
      <c r="XCJ50" s="5"/>
      <c r="XCK50" s="5"/>
      <c r="XCL50" s="5"/>
      <c r="XCM50" s="5"/>
      <c r="XCN50" s="5"/>
      <c r="XCO50" s="5"/>
      <c r="XCP50" s="5"/>
      <c r="XCQ50" s="5"/>
      <c r="XCR50" s="5"/>
      <c r="XCS50" s="5"/>
      <c r="XCT50" s="5"/>
      <c r="XCU50" s="5"/>
      <c r="XCV50" s="5"/>
      <c r="XCW50" s="5"/>
      <c r="XCX50" s="5"/>
      <c r="XCY50" s="5"/>
      <c r="XCZ50" s="5"/>
      <c r="XDA50" s="5"/>
      <c r="XDB50" s="5"/>
      <c r="XDC50" s="5"/>
      <c r="XDD50" s="5"/>
      <c r="XDE50" s="5"/>
      <c r="XDF50" s="5"/>
      <c r="XDG50" s="5"/>
      <c r="XDH50" s="5"/>
      <c r="XDI50" s="5"/>
      <c r="XDJ50" s="5"/>
      <c r="XDK50" s="5"/>
      <c r="XDL50" s="5"/>
      <c r="XDM50" s="5"/>
      <c r="XDN50" s="5"/>
      <c r="XDO50" s="5"/>
      <c r="XDP50" s="5"/>
      <c r="XDQ50" s="5"/>
      <c r="XDR50" s="5"/>
      <c r="XDS50" s="5"/>
      <c r="XDT50" s="5"/>
      <c r="XDU50" s="5"/>
      <c r="XDV50" s="5"/>
      <c r="XDW50" s="5"/>
      <c r="XDX50" s="5"/>
      <c r="XDY50" s="5"/>
      <c r="XDZ50" s="5"/>
      <c r="XEA50" s="5"/>
      <c r="XEB50" s="5"/>
      <c r="XEC50" s="5"/>
      <c r="XED50" s="5"/>
      <c r="XEE50" s="5"/>
      <c r="XEF50" s="5"/>
      <c r="XEG50" s="5"/>
      <c r="XEH50" s="5"/>
      <c r="XEI50" s="5"/>
      <c r="XEJ50" s="5"/>
      <c r="XEK50" s="5"/>
      <c r="XEL50" s="5"/>
      <c r="XEM50" s="5"/>
      <c r="XEN50" s="5"/>
      <c r="XEO50" s="5"/>
      <c r="XEP50" s="5"/>
      <c r="XEQ50" s="5"/>
      <c r="XER50" s="5"/>
      <c r="XES50" s="5"/>
      <c r="XET50" s="5"/>
    </row>
    <row r="51" s="1" customFormat="1" ht="16.5" customHeight="1" spans="1:6 16246:16374">
      <c r="A51" s="8">
        <v>49</v>
      </c>
      <c r="B51" s="16" t="s">
        <v>55</v>
      </c>
      <c r="C51" s="8">
        <v>4</v>
      </c>
      <c r="D51" s="8">
        <v>2</v>
      </c>
      <c r="E51" s="8">
        <v>13.5</v>
      </c>
      <c r="F51" s="8">
        <v>27</v>
      </c>
      <c r="WZV51"/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 s="5"/>
      <c r="XBJ51" s="5"/>
      <c r="XBK51" s="5"/>
      <c r="XBL51" s="5"/>
      <c r="XBM51" s="5"/>
      <c r="XBN51" s="5"/>
      <c r="XBO51" s="5"/>
      <c r="XBP51" s="5"/>
      <c r="XBQ51" s="5"/>
      <c r="XBR51" s="5"/>
      <c r="XBS51" s="5"/>
      <c r="XBT51" s="5"/>
      <c r="XBU51" s="5"/>
      <c r="XBV51" s="5"/>
      <c r="XBW51" s="5"/>
      <c r="XBX51" s="5"/>
      <c r="XBY51" s="5"/>
      <c r="XBZ51" s="5"/>
      <c r="XCA51" s="5"/>
      <c r="XCB51" s="5"/>
      <c r="XCC51" s="5"/>
      <c r="XCD51" s="5"/>
      <c r="XCE51" s="5"/>
      <c r="XCF51" s="5"/>
      <c r="XCG51" s="5"/>
      <c r="XCH51" s="5"/>
      <c r="XCI51" s="5"/>
      <c r="XCJ51" s="5"/>
      <c r="XCK51" s="5"/>
      <c r="XCL51" s="5"/>
      <c r="XCM51" s="5"/>
      <c r="XCN51" s="5"/>
      <c r="XCO51" s="5"/>
      <c r="XCP51" s="5"/>
      <c r="XCQ51" s="5"/>
      <c r="XCR51" s="5"/>
      <c r="XCS51" s="5"/>
      <c r="XCT51" s="5"/>
      <c r="XCU51" s="5"/>
      <c r="XCV51" s="5"/>
      <c r="XCW51" s="5"/>
      <c r="XCX51" s="5"/>
      <c r="XCY51" s="5"/>
      <c r="XCZ51" s="5"/>
      <c r="XDA51" s="5"/>
      <c r="XDB51" s="5"/>
      <c r="XDC51" s="5"/>
      <c r="XDD51" s="5"/>
      <c r="XDE51" s="5"/>
      <c r="XDF51" s="5"/>
      <c r="XDG51" s="5"/>
      <c r="XDH51" s="5"/>
      <c r="XDI51" s="5"/>
      <c r="XDJ51" s="5"/>
      <c r="XDK51" s="5"/>
      <c r="XDL51" s="5"/>
      <c r="XDM51" s="5"/>
      <c r="XDN51" s="5"/>
      <c r="XDO51" s="5"/>
      <c r="XDP51" s="5"/>
      <c r="XDQ51" s="5"/>
      <c r="XDR51" s="5"/>
      <c r="XDS51" s="5"/>
      <c r="XDT51" s="5"/>
      <c r="XDU51" s="5"/>
      <c r="XDV51" s="5"/>
      <c r="XDW51" s="5"/>
      <c r="XDX51" s="5"/>
      <c r="XDY51" s="5"/>
      <c r="XDZ51" s="5"/>
      <c r="XEA51" s="5"/>
      <c r="XEB51" s="5"/>
      <c r="XEC51" s="5"/>
      <c r="XED51" s="5"/>
      <c r="XEE51" s="5"/>
      <c r="XEF51" s="5"/>
      <c r="XEG51" s="5"/>
      <c r="XEH51" s="5"/>
      <c r="XEI51" s="5"/>
      <c r="XEJ51" s="5"/>
      <c r="XEK51" s="5"/>
      <c r="XEL51" s="5"/>
      <c r="XEM51" s="5"/>
      <c r="XEN51" s="5"/>
      <c r="XEO51" s="5"/>
      <c r="XEP51" s="5"/>
      <c r="XEQ51" s="5"/>
      <c r="XER51" s="5"/>
      <c r="XES51" s="5"/>
      <c r="XET51" s="5"/>
    </row>
    <row r="52" s="1" customFormat="1" ht="16.5" spans="1:6 16246:16374">
      <c r="A52" s="8">
        <v>50</v>
      </c>
      <c r="B52" s="9" t="s">
        <v>56</v>
      </c>
      <c r="C52" s="8">
        <v>6</v>
      </c>
      <c r="D52" s="8">
        <v>2</v>
      </c>
      <c r="E52" s="8">
        <v>16.5</v>
      </c>
      <c r="F52" s="8">
        <v>33</v>
      </c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 s="5"/>
      <c r="XBJ52" s="5"/>
      <c r="XBK52" s="5"/>
      <c r="XBL52" s="5"/>
      <c r="XBM52" s="5"/>
      <c r="XBN52" s="5"/>
      <c r="XBO52" s="5"/>
      <c r="XBP52" s="5"/>
      <c r="XBQ52" s="5"/>
      <c r="XBR52" s="5"/>
      <c r="XBS52" s="5"/>
      <c r="XBT52" s="5"/>
      <c r="XBU52" s="5"/>
      <c r="XBV52" s="5"/>
      <c r="XBW52" s="5"/>
      <c r="XBX52" s="5"/>
      <c r="XBY52" s="5"/>
      <c r="XBZ52" s="5"/>
      <c r="XCA52" s="5"/>
      <c r="XCB52" s="5"/>
      <c r="XCC52" s="5"/>
      <c r="XCD52" s="5"/>
      <c r="XCE52" s="5"/>
      <c r="XCF52" s="5"/>
      <c r="XCG52" s="5"/>
      <c r="XCH52" s="5"/>
      <c r="XCI52" s="5"/>
      <c r="XCJ52" s="5"/>
      <c r="XCK52" s="5"/>
      <c r="XCL52" s="5"/>
      <c r="XCM52" s="5"/>
      <c r="XCN52" s="5"/>
      <c r="XCO52" s="5"/>
      <c r="XCP52" s="5"/>
      <c r="XCQ52" s="5"/>
      <c r="XCR52" s="5"/>
      <c r="XCS52" s="5"/>
      <c r="XCT52" s="5"/>
      <c r="XCU52" s="5"/>
      <c r="XCV52" s="5"/>
      <c r="XCW52" s="5"/>
      <c r="XCX52" s="5"/>
      <c r="XCY52" s="5"/>
      <c r="XCZ52" s="5"/>
      <c r="XDA52" s="5"/>
      <c r="XDB52" s="5"/>
      <c r="XDC52" s="5"/>
      <c r="XDD52" s="5"/>
      <c r="XDE52" s="5"/>
      <c r="XDF52" s="5"/>
      <c r="XDG52" s="5"/>
      <c r="XDH52" s="5"/>
      <c r="XDI52" s="5"/>
      <c r="XDJ52" s="5"/>
      <c r="XDK52" s="5"/>
      <c r="XDL52" s="5"/>
      <c r="XDM52" s="5"/>
      <c r="XDN52" s="5"/>
      <c r="XDO52" s="5"/>
      <c r="XDP52" s="5"/>
      <c r="XDQ52" s="5"/>
      <c r="XDR52" s="5"/>
      <c r="XDS52" s="5"/>
      <c r="XDT52" s="5"/>
      <c r="XDU52" s="5"/>
      <c r="XDV52" s="5"/>
      <c r="XDW52" s="5"/>
      <c r="XDX52" s="5"/>
      <c r="XDY52" s="5"/>
      <c r="XDZ52" s="5"/>
      <c r="XEA52" s="5"/>
      <c r="XEB52" s="5"/>
      <c r="XEC52" s="5"/>
      <c r="XED52" s="5"/>
      <c r="XEE52" s="5"/>
      <c r="XEF52" s="5"/>
      <c r="XEG52" s="5"/>
      <c r="XEH52" s="5"/>
      <c r="XEI52" s="5"/>
      <c r="XEJ52" s="5"/>
      <c r="XEK52" s="5"/>
      <c r="XEL52" s="5"/>
      <c r="XEM52" s="5"/>
      <c r="XEN52" s="5"/>
      <c r="XEO52" s="5"/>
      <c r="XEP52" s="5"/>
      <c r="XEQ52" s="5"/>
      <c r="XER52" s="5"/>
      <c r="XES52" s="5"/>
      <c r="XET52" s="5"/>
    </row>
    <row r="53" s="1" customFormat="1" ht="16.5" spans="1:6 16246:16374">
      <c r="A53" s="8">
        <v>51</v>
      </c>
      <c r="B53" s="9" t="s">
        <v>57</v>
      </c>
      <c r="C53" s="8">
        <v>6</v>
      </c>
      <c r="D53" s="8">
        <v>2</v>
      </c>
      <c r="E53" s="8">
        <v>16.5</v>
      </c>
      <c r="F53" s="8">
        <v>33</v>
      </c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 s="5"/>
      <c r="XBJ53" s="5"/>
      <c r="XBK53" s="5"/>
      <c r="XBL53" s="5"/>
      <c r="XBM53" s="5"/>
      <c r="XBN53" s="5"/>
      <c r="XBO53" s="5"/>
      <c r="XBP53" s="5"/>
      <c r="XBQ53" s="5"/>
      <c r="XBR53" s="5"/>
      <c r="XBS53" s="5"/>
      <c r="XBT53" s="5"/>
      <c r="XBU53" s="5"/>
      <c r="XBV53" s="5"/>
      <c r="XBW53" s="5"/>
      <c r="XBX53" s="5"/>
      <c r="XBY53" s="5"/>
      <c r="XBZ53" s="5"/>
      <c r="XCA53" s="5"/>
      <c r="XCB53" s="5"/>
      <c r="XCC53" s="5"/>
      <c r="XCD53" s="5"/>
      <c r="XCE53" s="5"/>
      <c r="XCF53" s="5"/>
      <c r="XCG53" s="5"/>
      <c r="XCH53" s="5"/>
      <c r="XCI53" s="5"/>
      <c r="XCJ53" s="5"/>
      <c r="XCK53" s="5"/>
      <c r="XCL53" s="5"/>
      <c r="XCM53" s="5"/>
      <c r="XCN53" s="5"/>
      <c r="XCO53" s="5"/>
      <c r="XCP53" s="5"/>
      <c r="XCQ53" s="5"/>
      <c r="XCR53" s="5"/>
      <c r="XCS53" s="5"/>
      <c r="XCT53" s="5"/>
      <c r="XCU53" s="5"/>
      <c r="XCV53" s="5"/>
      <c r="XCW53" s="5"/>
      <c r="XCX53" s="5"/>
      <c r="XCY53" s="5"/>
      <c r="XCZ53" s="5"/>
      <c r="XDA53" s="5"/>
      <c r="XDB53" s="5"/>
      <c r="XDC53" s="5"/>
      <c r="XDD53" s="5"/>
      <c r="XDE53" s="5"/>
      <c r="XDF53" s="5"/>
      <c r="XDG53" s="5"/>
      <c r="XDH53" s="5"/>
      <c r="XDI53" s="5"/>
      <c r="XDJ53" s="5"/>
      <c r="XDK53" s="5"/>
      <c r="XDL53" s="5"/>
      <c r="XDM53" s="5"/>
      <c r="XDN53" s="5"/>
      <c r="XDO53" s="5"/>
      <c r="XDP53" s="5"/>
      <c r="XDQ53" s="5"/>
      <c r="XDR53" s="5"/>
      <c r="XDS53" s="5"/>
      <c r="XDT53" s="5"/>
      <c r="XDU53" s="5"/>
      <c r="XDV53" s="5"/>
      <c r="XDW53" s="5"/>
      <c r="XDX53" s="5"/>
      <c r="XDY53" s="5"/>
      <c r="XDZ53" s="5"/>
      <c r="XEA53" s="5"/>
      <c r="XEB53" s="5"/>
      <c r="XEC53" s="5"/>
      <c r="XED53" s="5"/>
      <c r="XEE53" s="5"/>
      <c r="XEF53" s="5"/>
      <c r="XEG53" s="5"/>
      <c r="XEH53" s="5"/>
      <c r="XEI53" s="5"/>
      <c r="XEJ53" s="5"/>
      <c r="XEK53" s="5"/>
      <c r="XEL53" s="5"/>
      <c r="XEM53" s="5"/>
      <c r="XEN53" s="5"/>
      <c r="XEO53" s="5"/>
      <c r="XEP53" s="5"/>
      <c r="XEQ53" s="5"/>
      <c r="XER53" s="5"/>
      <c r="XES53" s="5"/>
      <c r="XET53" s="5"/>
    </row>
    <row r="54" s="1" customFormat="1" ht="16.5" spans="1:6 16246:16374">
      <c r="A54" s="8">
        <v>52</v>
      </c>
      <c r="B54" s="9" t="s">
        <v>58</v>
      </c>
      <c r="C54" s="8">
        <v>9</v>
      </c>
      <c r="D54" s="8">
        <v>3</v>
      </c>
      <c r="E54" s="8">
        <v>16.5</v>
      </c>
      <c r="F54" s="8">
        <v>49.5</v>
      </c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 s="5"/>
      <c r="XBJ54" s="5"/>
      <c r="XBK54" s="5"/>
      <c r="XBL54" s="5"/>
      <c r="XBM54" s="5"/>
      <c r="XBN54" s="5"/>
      <c r="XBO54" s="5"/>
      <c r="XBP54" s="5"/>
      <c r="XBQ54" s="5"/>
      <c r="XBR54" s="5"/>
      <c r="XBS54" s="5"/>
      <c r="XBT54" s="5"/>
      <c r="XBU54" s="5"/>
      <c r="XBV54" s="5"/>
      <c r="XBW54" s="5"/>
      <c r="XBX54" s="5"/>
      <c r="XBY54" s="5"/>
      <c r="XBZ54" s="5"/>
      <c r="XCA54" s="5"/>
      <c r="XCB54" s="5"/>
      <c r="XCC54" s="5"/>
      <c r="XCD54" s="5"/>
      <c r="XCE54" s="5"/>
      <c r="XCF54" s="5"/>
      <c r="XCG54" s="5"/>
      <c r="XCH54" s="5"/>
      <c r="XCI54" s="5"/>
      <c r="XCJ54" s="5"/>
      <c r="XCK54" s="5"/>
      <c r="XCL54" s="5"/>
      <c r="XCM54" s="5"/>
      <c r="XCN54" s="5"/>
      <c r="XCO54" s="5"/>
      <c r="XCP54" s="5"/>
      <c r="XCQ54" s="5"/>
      <c r="XCR54" s="5"/>
      <c r="XCS54" s="5"/>
      <c r="XCT54" s="5"/>
      <c r="XCU54" s="5"/>
      <c r="XCV54" s="5"/>
      <c r="XCW54" s="5"/>
      <c r="XCX54" s="5"/>
      <c r="XCY54" s="5"/>
      <c r="XCZ54" s="5"/>
      <c r="XDA54" s="5"/>
      <c r="XDB54" s="5"/>
      <c r="XDC54" s="5"/>
      <c r="XDD54" s="5"/>
      <c r="XDE54" s="5"/>
      <c r="XDF54" s="5"/>
      <c r="XDG54" s="5"/>
      <c r="XDH54" s="5"/>
      <c r="XDI54" s="5"/>
      <c r="XDJ54" s="5"/>
      <c r="XDK54" s="5"/>
      <c r="XDL54" s="5"/>
      <c r="XDM54" s="5"/>
      <c r="XDN54" s="5"/>
      <c r="XDO54" s="5"/>
      <c r="XDP54" s="5"/>
      <c r="XDQ54" s="5"/>
      <c r="XDR54" s="5"/>
      <c r="XDS54" s="5"/>
      <c r="XDT54" s="5"/>
      <c r="XDU54" s="5"/>
      <c r="XDV54" s="5"/>
      <c r="XDW54" s="5"/>
      <c r="XDX54" s="5"/>
      <c r="XDY54" s="5"/>
      <c r="XDZ54" s="5"/>
      <c r="XEA54" s="5"/>
      <c r="XEB54" s="5"/>
      <c r="XEC54" s="5"/>
      <c r="XED54" s="5"/>
      <c r="XEE54" s="5"/>
      <c r="XEF54" s="5"/>
      <c r="XEG54" s="5"/>
      <c r="XEH54" s="5"/>
      <c r="XEI54" s="5"/>
      <c r="XEJ54" s="5"/>
      <c r="XEK54" s="5"/>
      <c r="XEL54" s="5"/>
      <c r="XEM54" s="5"/>
      <c r="XEN54" s="5"/>
      <c r="XEO54" s="5"/>
      <c r="XEP54" s="5"/>
      <c r="XEQ54" s="5"/>
      <c r="XER54" s="5"/>
      <c r="XES54" s="5"/>
      <c r="XET54" s="5"/>
    </row>
    <row r="55" s="1" customFormat="1" ht="16.5" spans="1:6 16246:16374">
      <c r="A55" s="8">
        <v>53</v>
      </c>
      <c r="B55" s="9" t="s">
        <v>59</v>
      </c>
      <c r="C55" s="8">
        <v>5</v>
      </c>
      <c r="D55" s="8">
        <v>5</v>
      </c>
      <c r="E55" s="8">
        <v>13</v>
      </c>
      <c r="F55" s="8">
        <v>65</v>
      </c>
      <c r="WZV55"/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 s="5"/>
      <c r="XBJ55" s="5"/>
      <c r="XBK55" s="5"/>
      <c r="XBL55" s="5"/>
      <c r="XBM55" s="5"/>
      <c r="XBN55" s="5"/>
      <c r="XBO55" s="5"/>
      <c r="XBP55" s="5"/>
      <c r="XBQ55" s="5"/>
      <c r="XBR55" s="5"/>
      <c r="XBS55" s="5"/>
      <c r="XBT55" s="5"/>
      <c r="XBU55" s="5"/>
      <c r="XBV55" s="5"/>
      <c r="XBW55" s="5"/>
      <c r="XBX55" s="5"/>
      <c r="XBY55" s="5"/>
      <c r="XBZ55" s="5"/>
      <c r="XCA55" s="5"/>
      <c r="XCB55" s="5"/>
      <c r="XCC55" s="5"/>
      <c r="XCD55" s="5"/>
      <c r="XCE55" s="5"/>
      <c r="XCF55" s="5"/>
      <c r="XCG55" s="5"/>
      <c r="XCH55" s="5"/>
      <c r="XCI55" s="5"/>
      <c r="XCJ55" s="5"/>
      <c r="XCK55" s="5"/>
      <c r="XCL55" s="5"/>
      <c r="XCM55" s="5"/>
      <c r="XCN55" s="5"/>
      <c r="XCO55" s="5"/>
      <c r="XCP55" s="5"/>
      <c r="XCQ55" s="5"/>
      <c r="XCR55" s="5"/>
      <c r="XCS55" s="5"/>
      <c r="XCT55" s="5"/>
      <c r="XCU55" s="5"/>
      <c r="XCV55" s="5"/>
      <c r="XCW55" s="5"/>
      <c r="XCX55" s="5"/>
      <c r="XCY55" s="5"/>
      <c r="XCZ55" s="5"/>
      <c r="XDA55" s="5"/>
      <c r="XDB55" s="5"/>
      <c r="XDC55" s="5"/>
      <c r="XDD55" s="5"/>
      <c r="XDE55" s="5"/>
      <c r="XDF55" s="5"/>
      <c r="XDG55" s="5"/>
      <c r="XDH55" s="5"/>
      <c r="XDI55" s="5"/>
      <c r="XDJ55" s="5"/>
      <c r="XDK55" s="5"/>
      <c r="XDL55" s="5"/>
      <c r="XDM55" s="5"/>
      <c r="XDN55" s="5"/>
      <c r="XDO55" s="5"/>
      <c r="XDP55" s="5"/>
      <c r="XDQ55" s="5"/>
      <c r="XDR55" s="5"/>
      <c r="XDS55" s="5"/>
      <c r="XDT55" s="5"/>
      <c r="XDU55" s="5"/>
      <c r="XDV55" s="5"/>
      <c r="XDW55" s="5"/>
      <c r="XDX55" s="5"/>
      <c r="XDY55" s="5"/>
      <c r="XDZ55" s="5"/>
      <c r="XEA55" s="5"/>
      <c r="XEB55" s="5"/>
      <c r="XEC55" s="5"/>
      <c r="XED55" s="5"/>
      <c r="XEE55" s="5"/>
      <c r="XEF55" s="5"/>
      <c r="XEG55" s="5"/>
      <c r="XEH55" s="5"/>
      <c r="XEI55" s="5"/>
      <c r="XEJ55" s="5"/>
      <c r="XEK55" s="5"/>
      <c r="XEL55" s="5"/>
      <c r="XEM55" s="5"/>
      <c r="XEN55" s="5"/>
      <c r="XEO55" s="5"/>
      <c r="XEP55" s="5"/>
      <c r="XEQ55" s="5"/>
      <c r="XER55" s="5"/>
      <c r="XES55" s="5"/>
      <c r="XET55" s="5"/>
    </row>
    <row r="56" s="1" customFormat="1" ht="16.5" spans="1:6 16246:16374">
      <c r="A56" s="8">
        <v>54</v>
      </c>
      <c r="B56" s="9" t="s">
        <v>60</v>
      </c>
      <c r="C56" s="8">
        <v>121</v>
      </c>
      <c r="D56" s="8">
        <v>121</v>
      </c>
      <c r="E56" s="8">
        <v>13</v>
      </c>
      <c r="F56" s="8">
        <v>1573</v>
      </c>
      <c r="WZV56"/>
      <c r="WZW56"/>
      <c r="WZX56"/>
      <c r="WZY56"/>
      <c r="WZZ56"/>
      <c r="XAA56"/>
      <c r="XAB56"/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/>
      <c r="XBH56"/>
      <c r="XBI56" s="5"/>
      <c r="XBJ56" s="5"/>
      <c r="XBK56" s="5"/>
      <c r="XBL56" s="5"/>
      <c r="XBM56" s="5"/>
      <c r="XBN56" s="5"/>
      <c r="XBO56" s="5"/>
      <c r="XBP56" s="5"/>
      <c r="XBQ56" s="5"/>
      <c r="XBR56" s="5"/>
      <c r="XBS56" s="5"/>
      <c r="XBT56" s="5"/>
      <c r="XBU56" s="5"/>
      <c r="XBV56" s="5"/>
      <c r="XBW56" s="5"/>
      <c r="XBX56" s="5"/>
      <c r="XBY56" s="5"/>
      <c r="XBZ56" s="5"/>
      <c r="XCA56" s="5"/>
      <c r="XCB56" s="5"/>
      <c r="XCC56" s="5"/>
      <c r="XCD56" s="5"/>
      <c r="XCE56" s="5"/>
      <c r="XCF56" s="5"/>
      <c r="XCG56" s="5"/>
      <c r="XCH56" s="5"/>
      <c r="XCI56" s="5"/>
      <c r="XCJ56" s="5"/>
      <c r="XCK56" s="5"/>
      <c r="XCL56" s="5"/>
      <c r="XCM56" s="5"/>
      <c r="XCN56" s="5"/>
      <c r="XCO56" s="5"/>
      <c r="XCP56" s="5"/>
      <c r="XCQ56" s="5"/>
      <c r="XCR56" s="5"/>
      <c r="XCS56" s="5"/>
      <c r="XCT56" s="5"/>
      <c r="XCU56" s="5"/>
      <c r="XCV56" s="5"/>
      <c r="XCW56" s="5"/>
      <c r="XCX56" s="5"/>
      <c r="XCY56" s="5"/>
      <c r="XCZ56" s="5"/>
      <c r="XDA56" s="5"/>
      <c r="XDB56" s="5"/>
      <c r="XDC56" s="5"/>
      <c r="XDD56" s="5"/>
      <c r="XDE56" s="5"/>
      <c r="XDF56" s="5"/>
      <c r="XDG56" s="5"/>
      <c r="XDH56" s="5"/>
      <c r="XDI56" s="5"/>
      <c r="XDJ56" s="5"/>
      <c r="XDK56" s="5"/>
      <c r="XDL56" s="5"/>
      <c r="XDM56" s="5"/>
      <c r="XDN56" s="5"/>
      <c r="XDO56" s="5"/>
      <c r="XDP56" s="5"/>
      <c r="XDQ56" s="5"/>
      <c r="XDR56" s="5"/>
      <c r="XDS56" s="5"/>
      <c r="XDT56" s="5"/>
      <c r="XDU56" s="5"/>
      <c r="XDV56" s="5"/>
      <c r="XDW56" s="5"/>
      <c r="XDX56" s="5"/>
      <c r="XDY56" s="5"/>
      <c r="XDZ56" s="5"/>
      <c r="XEA56" s="5"/>
      <c r="XEB56" s="5"/>
      <c r="XEC56" s="5"/>
      <c r="XED56" s="5"/>
      <c r="XEE56" s="5"/>
      <c r="XEF56" s="5"/>
      <c r="XEG56" s="5"/>
      <c r="XEH56" s="5"/>
      <c r="XEI56" s="5"/>
      <c r="XEJ56" s="5"/>
      <c r="XEK56" s="5"/>
      <c r="XEL56" s="5"/>
      <c r="XEM56" s="5"/>
      <c r="XEN56" s="5"/>
      <c r="XEO56" s="5"/>
      <c r="XEP56" s="5"/>
      <c r="XEQ56" s="5"/>
      <c r="XER56" s="5"/>
      <c r="XES56" s="5"/>
      <c r="XET56" s="5"/>
    </row>
    <row r="57" s="1" customFormat="1" ht="16.5" spans="1:6 16246:16374">
      <c r="A57" s="8">
        <v>55</v>
      </c>
      <c r="B57" s="9" t="s">
        <v>61</v>
      </c>
      <c r="C57" s="8">
        <v>22</v>
      </c>
      <c r="D57" s="8">
        <v>22</v>
      </c>
      <c r="E57" s="8">
        <v>16.5</v>
      </c>
      <c r="F57" s="8">
        <v>363</v>
      </c>
      <c r="WZV57"/>
      <c r="WZW57"/>
      <c r="WZX57"/>
      <c r="WZY57"/>
      <c r="WZZ57"/>
      <c r="XAA57"/>
      <c r="XAB57"/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/>
      <c r="XBH57"/>
      <c r="XBI57" s="5"/>
      <c r="XBJ57" s="5"/>
      <c r="XBK57" s="5"/>
      <c r="XBL57" s="5"/>
      <c r="XBM57" s="5"/>
      <c r="XBN57" s="5"/>
      <c r="XBO57" s="5"/>
      <c r="XBP57" s="5"/>
      <c r="XBQ57" s="5"/>
      <c r="XBR57" s="5"/>
      <c r="XBS57" s="5"/>
      <c r="XBT57" s="5"/>
      <c r="XBU57" s="5"/>
      <c r="XBV57" s="5"/>
      <c r="XBW57" s="5"/>
      <c r="XBX57" s="5"/>
      <c r="XBY57" s="5"/>
      <c r="XBZ57" s="5"/>
      <c r="XCA57" s="5"/>
      <c r="XCB57" s="5"/>
      <c r="XCC57" s="5"/>
      <c r="XCD57" s="5"/>
      <c r="XCE57" s="5"/>
      <c r="XCF57" s="5"/>
      <c r="XCG57" s="5"/>
      <c r="XCH57" s="5"/>
      <c r="XCI57" s="5"/>
      <c r="XCJ57" s="5"/>
      <c r="XCK57" s="5"/>
      <c r="XCL57" s="5"/>
      <c r="XCM57" s="5"/>
      <c r="XCN57" s="5"/>
      <c r="XCO57" s="5"/>
      <c r="XCP57" s="5"/>
      <c r="XCQ57" s="5"/>
      <c r="XCR57" s="5"/>
      <c r="XCS57" s="5"/>
      <c r="XCT57" s="5"/>
      <c r="XCU57" s="5"/>
      <c r="XCV57" s="5"/>
      <c r="XCW57" s="5"/>
      <c r="XCX57" s="5"/>
      <c r="XCY57" s="5"/>
      <c r="XCZ57" s="5"/>
      <c r="XDA57" s="5"/>
      <c r="XDB57" s="5"/>
      <c r="XDC57" s="5"/>
      <c r="XDD57" s="5"/>
      <c r="XDE57" s="5"/>
      <c r="XDF57" s="5"/>
      <c r="XDG57" s="5"/>
      <c r="XDH57" s="5"/>
      <c r="XDI57" s="5"/>
      <c r="XDJ57" s="5"/>
      <c r="XDK57" s="5"/>
      <c r="XDL57" s="5"/>
      <c r="XDM57" s="5"/>
      <c r="XDN57" s="5"/>
      <c r="XDO57" s="5"/>
      <c r="XDP57" s="5"/>
      <c r="XDQ57" s="5"/>
      <c r="XDR57" s="5"/>
      <c r="XDS57" s="5"/>
      <c r="XDT57" s="5"/>
      <c r="XDU57" s="5"/>
      <c r="XDV57" s="5"/>
      <c r="XDW57" s="5"/>
      <c r="XDX57" s="5"/>
      <c r="XDY57" s="5"/>
      <c r="XDZ57" s="5"/>
      <c r="XEA57" s="5"/>
      <c r="XEB57" s="5"/>
      <c r="XEC57" s="5"/>
      <c r="XED57" s="5"/>
      <c r="XEE57" s="5"/>
      <c r="XEF57" s="5"/>
      <c r="XEG57" s="5"/>
      <c r="XEH57" s="5"/>
      <c r="XEI57" s="5"/>
      <c r="XEJ57" s="5"/>
      <c r="XEK57" s="5"/>
      <c r="XEL57" s="5"/>
      <c r="XEM57" s="5"/>
      <c r="XEN57" s="5"/>
      <c r="XEO57" s="5"/>
      <c r="XEP57" s="5"/>
      <c r="XEQ57" s="5"/>
      <c r="XER57" s="5"/>
      <c r="XES57" s="5"/>
      <c r="XET57" s="5"/>
    </row>
    <row r="58" ht="16.5" spans="1:6 16246:16374">
      <c r="A58" s="8">
        <v>56</v>
      </c>
      <c r="B58" s="9" t="s">
        <v>62</v>
      </c>
      <c r="C58" s="8">
        <v>164</v>
      </c>
      <c r="D58" s="8">
        <v>82</v>
      </c>
      <c r="E58" s="8">
        <v>16.5</v>
      </c>
      <c r="F58" s="8">
        <v>1353</v>
      </c>
    </row>
    <row r="59" ht="16.5" spans="1:6 16246:16374">
      <c r="A59" s="8">
        <v>57</v>
      </c>
      <c r="B59" s="9" t="s">
        <v>63</v>
      </c>
      <c r="C59" s="8">
        <v>18</v>
      </c>
      <c r="D59" s="8">
        <v>6</v>
      </c>
      <c r="E59" s="8">
        <v>16.5</v>
      </c>
      <c r="F59" s="8">
        <v>99</v>
      </c>
    </row>
    <row r="60" ht="16.5" spans="1:6 16246:16374">
      <c r="A60" s="8">
        <v>58</v>
      </c>
      <c r="B60" s="9" t="s">
        <v>64</v>
      </c>
      <c r="C60" s="8">
        <v>6</v>
      </c>
      <c r="D60" s="8">
        <v>3</v>
      </c>
      <c r="E60" s="8">
        <v>16.5</v>
      </c>
      <c r="F60" s="8">
        <v>49.5</v>
      </c>
    </row>
    <row r="61" ht="16.5" spans="1:6 16246:16374">
      <c r="A61" s="8">
        <v>59</v>
      </c>
      <c r="B61" s="9" t="s">
        <v>65</v>
      </c>
      <c r="C61" s="8">
        <v>20</v>
      </c>
      <c r="D61" s="8">
        <v>20</v>
      </c>
      <c r="E61" s="8">
        <v>8</v>
      </c>
      <c r="F61" s="8">
        <v>160</v>
      </c>
    </row>
    <row r="62" ht="16.5" spans="1:6 16246:16374">
      <c r="A62" s="8">
        <v>60</v>
      </c>
      <c r="B62" s="9" t="s">
        <v>66</v>
      </c>
      <c r="C62" s="8">
        <v>10</v>
      </c>
      <c r="D62" s="8">
        <v>10</v>
      </c>
      <c r="E62" s="8">
        <v>8</v>
      </c>
      <c r="F62" s="8">
        <v>80</v>
      </c>
    </row>
    <row r="63" ht="16.5" spans="1:6 16246:16374">
      <c r="A63" s="8">
        <v>61</v>
      </c>
      <c r="B63" s="9" t="s">
        <v>67</v>
      </c>
      <c r="C63" s="8">
        <v>152</v>
      </c>
      <c r="D63" s="8">
        <v>38</v>
      </c>
      <c r="E63" s="8">
        <v>22</v>
      </c>
      <c r="F63" s="8">
        <v>836</v>
      </c>
    </row>
    <row r="64" ht="16.5" spans="1:6 16246:16374">
      <c r="A64" s="8">
        <v>62</v>
      </c>
      <c r="B64" s="9" t="s">
        <v>68</v>
      </c>
      <c r="C64" s="8">
        <v>24</v>
      </c>
      <c r="D64" s="8">
        <v>12</v>
      </c>
      <c r="E64" s="8">
        <v>16.5</v>
      </c>
      <c r="F64" s="8">
        <v>198</v>
      </c>
    </row>
    <row r="65" ht="16.5" spans="1:6">
      <c r="A65" s="8">
        <v>63</v>
      </c>
      <c r="B65" s="9" t="s">
        <v>69</v>
      </c>
      <c r="C65" s="8">
        <v>16</v>
      </c>
      <c r="D65" s="8">
        <v>8</v>
      </c>
      <c r="E65" s="8">
        <v>16.5</v>
      </c>
      <c r="F65" s="8">
        <v>132</v>
      </c>
    </row>
    <row r="66" ht="16.5" spans="1:6">
      <c r="A66" s="8">
        <v>64</v>
      </c>
      <c r="B66" s="9" t="s">
        <v>70</v>
      </c>
      <c r="C66" s="8">
        <v>9</v>
      </c>
      <c r="D66" s="8">
        <v>9</v>
      </c>
      <c r="E66" s="8">
        <v>8</v>
      </c>
      <c r="F66" s="8">
        <v>72</v>
      </c>
    </row>
    <row r="67" ht="16.5" customHeight="1" spans="1:6">
      <c r="A67" s="13" t="s">
        <v>71</v>
      </c>
      <c r="B67" s="14"/>
      <c r="C67" s="14"/>
      <c r="D67" s="14"/>
      <c r="E67" s="15"/>
      <c r="F67" s="8">
        <f>SUM(F3:F66)</f>
        <v>77499.5</v>
      </c>
    </row>
  </sheetData>
  <autoFilter xmlns:etc="http://www.wps.cn/officeDocument/2017/etCustomData" ref="A2:XET67" etc:filterBottomFollowUsedRange="0">
    <extLst/>
  </autoFilter>
  <mergeCells count="2">
    <mergeCell ref="A1:F1"/>
    <mergeCell ref="A67:E67"/>
  </mergeCells>
  <pageMargins left="0.25" right="0.25" top="0.75" bottom="0.75" header="0.298611111111111" footer="0.298611111111111"/>
  <pageSetup paperSize="9" scale="9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I139"/>
  <sheetViews>
    <sheetView tabSelected="1" view="pageBreakPreview" zoomScaleNormal="100" topLeftCell="A120" workbookViewId="0">
      <selection activeCell="G145" sqref="G145"/>
    </sheetView>
  </sheetViews>
  <sheetFormatPr defaultColWidth="9" defaultRowHeight="13.5"/>
  <cols>
    <col min="1" max="1" width="7.5" style="3" customWidth="1"/>
    <col min="2" max="2" width="33.375" style="4" customWidth="1"/>
    <col min="3" max="3" width="19.125" style="3" customWidth="1"/>
    <col min="4" max="4" width="13" style="3" customWidth="1"/>
    <col min="5" max="5" width="13.7583333333333" style="3" customWidth="1"/>
    <col min="6" max="6" width="14.4583333333333" style="3" customWidth="1"/>
    <col min="7" max="16248" width="9" style="1"/>
    <col min="16288" max="16384" width="9" style="5"/>
  </cols>
  <sheetData>
    <row r="1" s="1" customFormat="1" ht="21" spans="1:6 16249:16361">
      <c r="A1" s="6" t="s">
        <v>72</v>
      </c>
      <c r="B1" s="7"/>
      <c r="C1" s="6"/>
      <c r="D1" s="6"/>
      <c r="E1" s="6"/>
      <c r="F1" s="6"/>
    </row>
    <row r="2" s="2" customFormat="1" ht="16.5" customHeight="1" spans="1:6 16249:16361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1" customFormat="1" ht="16.5" spans="1:6 16249:16361">
      <c r="A3" s="8">
        <v>1</v>
      </c>
      <c r="B3" s="9" t="s">
        <v>73</v>
      </c>
      <c r="C3" s="8">
        <v>140</v>
      </c>
      <c r="D3" s="8">
        <v>14</v>
      </c>
      <c r="E3" s="8">
        <v>55</v>
      </c>
      <c r="F3" s="8">
        <v>770</v>
      </c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</row>
    <row r="4" s="1" customFormat="1" ht="16.5" spans="1:6 16249:16361">
      <c r="A4" s="8">
        <v>2</v>
      </c>
      <c r="B4" s="9" t="s">
        <v>74</v>
      </c>
      <c r="C4" s="8">
        <v>90</v>
      </c>
      <c r="D4" s="8">
        <v>10</v>
      </c>
      <c r="E4" s="8">
        <v>49.5</v>
      </c>
      <c r="F4" s="8">
        <v>495</v>
      </c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  <c r="XEB4" s="5"/>
      <c r="XEC4" s="5"/>
      <c r="XED4" s="5"/>
      <c r="XEE4" s="5"/>
      <c r="XEF4" s="5"/>
      <c r="XEG4" s="5"/>
    </row>
    <row r="5" s="1" customFormat="1" ht="16.5" spans="1:6 16249:16361">
      <c r="A5" s="8">
        <v>3</v>
      </c>
      <c r="B5" s="9" t="s">
        <v>75</v>
      </c>
      <c r="C5" s="8">
        <v>117</v>
      </c>
      <c r="D5" s="8">
        <v>13</v>
      </c>
      <c r="E5" s="8">
        <v>49.5</v>
      </c>
      <c r="F5" s="8">
        <v>643.5</v>
      </c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  <c r="XDE5" s="5"/>
      <c r="XDF5" s="5"/>
      <c r="XDG5" s="5"/>
      <c r="XDH5" s="5"/>
      <c r="XDI5" s="5"/>
      <c r="XDJ5" s="5"/>
      <c r="XDK5" s="5"/>
      <c r="XDL5" s="5"/>
      <c r="XDM5" s="5"/>
      <c r="XDN5" s="5"/>
      <c r="XDO5" s="5"/>
      <c r="XDP5" s="5"/>
      <c r="XDQ5" s="5"/>
      <c r="XDR5" s="5"/>
      <c r="XDS5" s="5"/>
      <c r="XDT5" s="5"/>
      <c r="XDU5" s="5"/>
      <c r="XDV5" s="5"/>
      <c r="XDW5" s="5"/>
      <c r="XDX5" s="5"/>
      <c r="XDY5" s="5"/>
      <c r="XDZ5" s="5"/>
      <c r="XEA5" s="5"/>
      <c r="XEB5" s="5"/>
      <c r="XEC5" s="5"/>
      <c r="XED5" s="5"/>
      <c r="XEE5" s="5"/>
      <c r="XEF5" s="5"/>
      <c r="XEG5" s="5"/>
    </row>
    <row r="6" s="1" customFormat="1" ht="16.5" spans="1:6 16249:16361">
      <c r="A6" s="8">
        <v>4</v>
      </c>
      <c r="B6" s="9" t="s">
        <v>76</v>
      </c>
      <c r="C6" s="8">
        <v>4</v>
      </c>
      <c r="D6" s="8">
        <v>2</v>
      </c>
      <c r="E6" s="8">
        <v>16.5</v>
      </c>
      <c r="F6" s="8">
        <v>33</v>
      </c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  <c r="XEE6" s="5"/>
      <c r="XEF6" s="5"/>
      <c r="XEG6" s="5"/>
    </row>
    <row r="7" s="1" customFormat="1" ht="16.5" spans="1:6 16249:16361">
      <c r="A7" s="8">
        <v>5</v>
      </c>
      <c r="B7" s="9" t="s">
        <v>77</v>
      </c>
      <c r="C7" s="8">
        <v>5</v>
      </c>
      <c r="D7" s="8">
        <v>5</v>
      </c>
      <c r="E7" s="8">
        <v>16</v>
      </c>
      <c r="F7" s="8">
        <v>80</v>
      </c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  <c r="XDE7" s="5"/>
      <c r="XDF7" s="5"/>
      <c r="XDG7" s="5"/>
      <c r="XDH7" s="5"/>
      <c r="XDI7" s="5"/>
      <c r="XDJ7" s="5"/>
      <c r="XDK7" s="5"/>
      <c r="XDL7" s="5"/>
      <c r="XDM7" s="5"/>
      <c r="XDN7" s="5"/>
      <c r="XDO7" s="5"/>
      <c r="XDP7" s="5"/>
      <c r="XDQ7" s="5"/>
      <c r="XDR7" s="5"/>
      <c r="XDS7" s="5"/>
      <c r="XDT7" s="5"/>
      <c r="XDU7" s="5"/>
      <c r="XDV7" s="5"/>
      <c r="XDW7" s="5"/>
      <c r="XDX7" s="5"/>
      <c r="XDY7" s="5"/>
      <c r="XDZ7" s="5"/>
      <c r="XEA7" s="5"/>
      <c r="XEB7" s="5"/>
      <c r="XEC7" s="5"/>
      <c r="XED7" s="5"/>
      <c r="XEE7" s="5"/>
      <c r="XEF7" s="5"/>
      <c r="XEG7" s="5"/>
    </row>
    <row r="8" s="1" customFormat="1" ht="16.5" spans="1:6 16249:16361">
      <c r="A8" s="8">
        <v>6</v>
      </c>
      <c r="B8" s="9" t="s">
        <v>78</v>
      </c>
      <c r="C8" s="8">
        <v>2</v>
      </c>
      <c r="D8" s="8">
        <v>1</v>
      </c>
      <c r="E8" s="8">
        <v>16.5</v>
      </c>
      <c r="F8" s="8">
        <v>16.5</v>
      </c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  <c r="XDE8" s="5"/>
      <c r="XDF8" s="5"/>
      <c r="XDG8" s="5"/>
      <c r="XDH8" s="5"/>
      <c r="XDI8" s="5"/>
      <c r="XDJ8" s="5"/>
      <c r="XDK8" s="5"/>
      <c r="XDL8" s="5"/>
      <c r="XDM8" s="5"/>
      <c r="XDN8" s="5"/>
      <c r="XDO8" s="5"/>
      <c r="XDP8" s="5"/>
      <c r="XDQ8" s="5"/>
      <c r="XDR8" s="5"/>
      <c r="XDS8" s="5"/>
      <c r="XDT8" s="5"/>
      <c r="XDU8" s="5"/>
      <c r="XDV8" s="5"/>
      <c r="XDW8" s="5"/>
      <c r="XDX8" s="5"/>
      <c r="XDY8" s="5"/>
      <c r="XDZ8" s="5"/>
      <c r="XEA8" s="5"/>
      <c r="XEB8" s="5"/>
      <c r="XEC8" s="5"/>
      <c r="XED8" s="5"/>
      <c r="XEE8" s="5"/>
      <c r="XEF8" s="5"/>
      <c r="XEG8" s="5"/>
    </row>
    <row r="9" s="1" customFormat="1" ht="16.5" spans="1:6 16249:16361">
      <c r="A9" s="8">
        <v>7</v>
      </c>
      <c r="B9" s="9" t="s">
        <v>79</v>
      </c>
      <c r="C9" s="8">
        <v>6</v>
      </c>
      <c r="D9" s="8">
        <v>1</v>
      </c>
      <c r="E9" s="8">
        <v>33</v>
      </c>
      <c r="F9" s="8">
        <v>33</v>
      </c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</row>
    <row r="10" s="1" customFormat="1" ht="16.5" spans="1:6 16249:16361">
      <c r="A10" s="8">
        <v>8</v>
      </c>
      <c r="B10" s="9" t="s">
        <v>80</v>
      </c>
      <c r="C10" s="8">
        <v>15</v>
      </c>
      <c r="D10" s="8">
        <v>15</v>
      </c>
      <c r="E10" s="8">
        <v>8</v>
      </c>
      <c r="F10" s="8">
        <v>120</v>
      </c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</row>
    <row r="11" s="1" customFormat="1" ht="16.5" spans="1:6 16249:16361">
      <c r="A11" s="8">
        <v>9</v>
      </c>
      <c r="B11" s="9" t="s">
        <v>81</v>
      </c>
      <c r="C11" s="8">
        <v>260</v>
      </c>
      <c r="D11" s="8">
        <v>26</v>
      </c>
      <c r="E11" s="8">
        <v>55</v>
      </c>
      <c r="F11" s="8">
        <v>1430</v>
      </c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</row>
    <row r="12" s="1" customFormat="1" ht="16.5" spans="1:6 16249:16361">
      <c r="A12" s="8">
        <v>10</v>
      </c>
      <c r="B12" s="9" t="s">
        <v>82</v>
      </c>
      <c r="C12" s="8">
        <v>7</v>
      </c>
      <c r="D12" s="8">
        <v>1</v>
      </c>
      <c r="E12" s="8">
        <v>38.5</v>
      </c>
      <c r="F12" s="8">
        <v>38.5</v>
      </c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</row>
    <row r="13" s="1" customFormat="1" ht="16.5" spans="1:6 16249:16361">
      <c r="A13" s="8">
        <v>11</v>
      </c>
      <c r="B13" s="9" t="s">
        <v>83</v>
      </c>
      <c r="C13" s="8">
        <v>117</v>
      </c>
      <c r="D13" s="8">
        <v>3</v>
      </c>
      <c r="E13" s="8">
        <v>214.5</v>
      </c>
      <c r="F13" s="8">
        <v>643.5</v>
      </c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</row>
    <row r="14" s="1" customFormat="1" ht="16.5" spans="1:6 16249:16361">
      <c r="A14" s="8">
        <v>12</v>
      </c>
      <c r="B14" s="9" t="s">
        <v>84</v>
      </c>
      <c r="C14" s="8">
        <v>1</v>
      </c>
      <c r="D14" s="8">
        <v>1</v>
      </c>
      <c r="E14" s="8">
        <v>8</v>
      </c>
      <c r="F14" s="8">
        <v>8</v>
      </c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</row>
    <row r="15" s="1" customFormat="1" ht="16.5" spans="1:6 16249:16361">
      <c r="A15" s="8">
        <v>13</v>
      </c>
      <c r="B15" s="9" t="s">
        <v>85</v>
      </c>
      <c r="C15" s="8">
        <v>9</v>
      </c>
      <c r="D15" s="8">
        <v>1</v>
      </c>
      <c r="E15" s="8">
        <v>49.5</v>
      </c>
      <c r="F15" s="8">
        <v>49.5</v>
      </c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</row>
    <row r="16" s="1" customFormat="1" ht="16.5" spans="1:6 16249:16361">
      <c r="A16" s="8">
        <v>14</v>
      </c>
      <c r="B16" s="9" t="s">
        <v>86</v>
      </c>
      <c r="C16" s="8">
        <v>6</v>
      </c>
      <c r="D16" s="8">
        <v>6</v>
      </c>
      <c r="E16" s="8">
        <v>16.5</v>
      </c>
      <c r="F16" s="8">
        <v>99</v>
      </c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</row>
    <row r="17" s="1" customFormat="1" ht="16.5" spans="1:6 16249:16363">
      <c r="A17" s="8">
        <v>15</v>
      </c>
      <c r="B17" s="9" t="s">
        <v>9</v>
      </c>
      <c r="C17" s="8">
        <v>598</v>
      </c>
      <c r="D17" s="8">
        <v>299</v>
      </c>
      <c r="E17" s="8">
        <v>16.5</v>
      </c>
      <c r="F17" s="8">
        <v>4933.5</v>
      </c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</row>
    <row r="18" s="1" customFormat="1" ht="16.5" spans="1:6 16249:16363">
      <c r="A18" s="8">
        <v>16</v>
      </c>
      <c r="B18" s="9" t="s">
        <v>87</v>
      </c>
      <c r="C18" s="8">
        <v>2</v>
      </c>
      <c r="D18" s="8">
        <v>1</v>
      </c>
      <c r="E18" s="8">
        <v>16.5</v>
      </c>
      <c r="F18" s="8">
        <v>16.5</v>
      </c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</row>
    <row r="19" s="1" customFormat="1" ht="16.5" spans="1:6 16249:16363">
      <c r="A19" s="8">
        <v>17</v>
      </c>
      <c r="B19" s="9" t="s">
        <v>88</v>
      </c>
      <c r="C19" s="8">
        <v>16</v>
      </c>
      <c r="D19" s="8">
        <v>8</v>
      </c>
      <c r="E19" s="8">
        <v>13.5</v>
      </c>
      <c r="F19" s="8">
        <v>108</v>
      </c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</row>
    <row r="20" s="1" customFormat="1" ht="16.5" spans="1:6 16249:16363">
      <c r="A20" s="8">
        <v>18</v>
      </c>
      <c r="B20" s="9" t="s">
        <v>89</v>
      </c>
      <c r="C20" s="8">
        <v>2</v>
      </c>
      <c r="D20" s="8">
        <v>2</v>
      </c>
      <c r="E20" s="8">
        <v>13.5</v>
      </c>
      <c r="F20" s="8">
        <v>27</v>
      </c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</row>
    <row r="21" s="1" customFormat="1" ht="16.5" spans="1:6 16249:16363">
      <c r="A21" s="8">
        <v>19</v>
      </c>
      <c r="B21" s="10" t="s">
        <v>90</v>
      </c>
      <c r="C21" s="8">
        <v>42</v>
      </c>
      <c r="D21" s="8">
        <v>14</v>
      </c>
      <c r="E21" s="8">
        <v>16.5</v>
      </c>
      <c r="F21" s="8">
        <v>231</v>
      </c>
      <c r="WZY21" s="11"/>
      <c r="WZZ21" s="11"/>
      <c r="XAA21" s="11"/>
      <c r="XAB21" s="11"/>
      <c r="XAC21" s="11"/>
      <c r="XAD21" s="11"/>
      <c r="XAE21" s="11"/>
      <c r="XAF21" s="11"/>
      <c r="XAG21" s="11"/>
      <c r="XAH21" s="11"/>
      <c r="XAI21" s="11"/>
      <c r="XAJ21" s="11"/>
      <c r="XAK21" s="11"/>
      <c r="XAL21" s="11"/>
      <c r="XAM21" s="11"/>
      <c r="XAN21" s="11"/>
      <c r="XAO21" s="11"/>
      <c r="XAP21" s="11"/>
      <c r="XAQ21" s="11"/>
      <c r="XAR21" s="11"/>
      <c r="XAS21" s="11"/>
      <c r="XAT21" s="11"/>
      <c r="XAU21" s="11"/>
      <c r="XAV21" s="11"/>
      <c r="XAW21" s="11"/>
      <c r="XAX21" s="11"/>
      <c r="XAY21" s="11"/>
      <c r="XAZ21" s="11"/>
      <c r="XBA21" s="11"/>
      <c r="XBB21" s="11"/>
      <c r="XBC21" s="11"/>
      <c r="XBD21" s="11"/>
      <c r="XBE21" s="11"/>
      <c r="XBF21" s="11"/>
      <c r="XBG21" s="11"/>
      <c r="XBH21" s="11"/>
      <c r="XBI21" s="11"/>
      <c r="XBJ21" s="11"/>
      <c r="XBK21" s="11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</row>
    <row r="22" s="1" customFormat="1" ht="16.5" spans="1:6 16249:16363">
      <c r="A22" s="8">
        <v>20</v>
      </c>
      <c r="B22" s="9" t="s">
        <v>91</v>
      </c>
      <c r="C22" s="8">
        <v>68</v>
      </c>
      <c r="D22" s="8">
        <v>68</v>
      </c>
      <c r="E22" s="8">
        <v>16.5</v>
      </c>
      <c r="F22" s="8">
        <v>1122</v>
      </c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</row>
    <row r="23" s="1" customFormat="1" ht="16.5" spans="1:6 16249:16363">
      <c r="A23" s="8">
        <v>21</v>
      </c>
      <c r="B23" s="9" t="s">
        <v>92</v>
      </c>
      <c r="C23" s="8">
        <v>24</v>
      </c>
      <c r="D23" s="8">
        <v>24</v>
      </c>
      <c r="E23" s="8">
        <v>16.5</v>
      </c>
      <c r="F23" s="8">
        <v>396</v>
      </c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</row>
    <row r="24" s="1" customFormat="1" ht="16.5" spans="1:6 16249:16363">
      <c r="A24" s="8">
        <v>22</v>
      </c>
      <c r="B24" s="9" t="s">
        <v>93</v>
      </c>
      <c r="C24" s="8">
        <v>8</v>
      </c>
      <c r="D24" s="8">
        <v>8</v>
      </c>
      <c r="E24" s="8">
        <v>16</v>
      </c>
      <c r="F24" s="8">
        <v>128</v>
      </c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</row>
    <row r="25" s="1" customFormat="1" ht="16.5" spans="1:6 16249:16363">
      <c r="A25" s="8">
        <v>23</v>
      </c>
      <c r="B25" s="9" t="s">
        <v>94</v>
      </c>
      <c r="C25" s="8">
        <v>2</v>
      </c>
      <c r="D25" s="8">
        <v>2</v>
      </c>
      <c r="E25" s="8">
        <v>16.5</v>
      </c>
      <c r="F25" s="8">
        <v>33</v>
      </c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</row>
    <row r="26" s="1" customFormat="1" ht="16.5" spans="1:6 16249:16363">
      <c r="A26" s="8">
        <v>24</v>
      </c>
      <c r="B26" s="9" t="s">
        <v>95</v>
      </c>
      <c r="C26" s="8">
        <v>2</v>
      </c>
      <c r="D26" s="8">
        <v>2</v>
      </c>
      <c r="E26" s="8">
        <v>13</v>
      </c>
      <c r="F26" s="8">
        <v>26</v>
      </c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</row>
    <row r="27" s="1" customFormat="1" ht="16.5" spans="1:6 16249:16363">
      <c r="A27" s="8">
        <v>25</v>
      </c>
      <c r="B27" s="9" t="s">
        <v>96</v>
      </c>
      <c r="C27" s="8">
        <v>6</v>
      </c>
      <c r="D27" s="8">
        <v>6</v>
      </c>
      <c r="E27" s="8">
        <v>16.5</v>
      </c>
      <c r="F27" s="8">
        <v>99</v>
      </c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  <c r="XEG27" s="5"/>
    </row>
    <row r="28" s="1" customFormat="1" ht="16.5" spans="1:6 16249:16363">
      <c r="A28" s="8">
        <v>26</v>
      </c>
      <c r="B28" s="9" t="s">
        <v>97</v>
      </c>
      <c r="C28" s="8">
        <v>108</v>
      </c>
      <c r="D28" s="8">
        <v>9</v>
      </c>
      <c r="E28" s="8">
        <v>66</v>
      </c>
      <c r="F28" s="8">
        <v>594</v>
      </c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</row>
    <row r="29" s="1" customFormat="1" ht="16.5" spans="1:6 16249:16363">
      <c r="A29" s="8">
        <v>27</v>
      </c>
      <c r="B29" s="9" t="s">
        <v>98</v>
      </c>
      <c r="C29" s="8">
        <v>72</v>
      </c>
      <c r="D29" s="8">
        <v>6</v>
      </c>
      <c r="E29" s="8">
        <v>66</v>
      </c>
      <c r="F29" s="8">
        <v>396</v>
      </c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</row>
    <row r="30" s="1" customFormat="1" ht="16.5" spans="1:6 16249:16363">
      <c r="A30" s="8">
        <v>28</v>
      </c>
      <c r="B30" s="9" t="s">
        <v>99</v>
      </c>
      <c r="C30" s="8">
        <v>182</v>
      </c>
      <c r="D30" s="8">
        <v>14</v>
      </c>
      <c r="E30" s="8">
        <v>71.5</v>
      </c>
      <c r="F30" s="8">
        <v>1001</v>
      </c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 s="5"/>
      <c r="XBM30" s="5"/>
      <c r="XBN30" s="5"/>
      <c r="XBO30" s="5"/>
      <c r="XBP30" s="5"/>
      <c r="XBQ30" s="5"/>
      <c r="XBR30" s="5"/>
      <c r="XBS30" s="5"/>
      <c r="XBT30" s="5"/>
      <c r="XBU30" s="5"/>
      <c r="XBV30" s="5"/>
      <c r="XBW30" s="5"/>
      <c r="XBX30" s="5"/>
      <c r="XBY30" s="5"/>
      <c r="XBZ30" s="5"/>
      <c r="XCA30" s="5"/>
      <c r="XCB30" s="5"/>
      <c r="XCC30" s="5"/>
      <c r="XCD30" s="5"/>
      <c r="XCE30" s="5"/>
      <c r="XCF30" s="5"/>
      <c r="XCG30" s="5"/>
      <c r="XCH30" s="5"/>
      <c r="XCI30" s="5"/>
      <c r="XCJ30" s="5"/>
      <c r="XCK30" s="5"/>
      <c r="XCL30" s="5"/>
      <c r="XCM30" s="5"/>
      <c r="XCN30" s="5"/>
      <c r="XCO30" s="5"/>
      <c r="XCP30" s="5"/>
      <c r="XCQ30" s="5"/>
      <c r="XCR30" s="5"/>
      <c r="XCS30" s="5"/>
      <c r="XCT30" s="5"/>
      <c r="XCU30" s="5"/>
      <c r="XCV30" s="5"/>
      <c r="XCW30" s="5"/>
      <c r="XCX30" s="5"/>
      <c r="XCY30" s="5"/>
      <c r="XCZ30" s="5"/>
      <c r="XDA30" s="5"/>
      <c r="XDB30" s="5"/>
      <c r="XDC30" s="5"/>
      <c r="XDD30" s="5"/>
      <c r="XDE30" s="5"/>
      <c r="XDF30" s="5"/>
      <c r="XDG30" s="5"/>
      <c r="XDH30" s="5"/>
      <c r="XDI30" s="5"/>
      <c r="XDJ30" s="5"/>
      <c r="XDK30" s="5"/>
      <c r="XDL30" s="5"/>
      <c r="XDM30" s="5"/>
      <c r="XDN30" s="5"/>
      <c r="XDO30" s="5"/>
      <c r="XDP30" s="5"/>
      <c r="XDQ30" s="5"/>
      <c r="XDR30" s="5"/>
      <c r="XDS30" s="5"/>
      <c r="XDT30" s="5"/>
      <c r="XDU30" s="5"/>
      <c r="XDV30" s="5"/>
      <c r="XDW30" s="5"/>
      <c r="XDX30" s="5"/>
      <c r="XDY30" s="5"/>
      <c r="XDZ30" s="5"/>
      <c r="XEA30" s="5"/>
      <c r="XEB30" s="5"/>
      <c r="XEC30" s="5"/>
      <c r="XED30" s="5"/>
      <c r="XEE30" s="5"/>
      <c r="XEF30" s="5"/>
      <c r="XEG30" s="5"/>
    </row>
    <row r="31" s="1" customFormat="1" ht="16.5" spans="1:6 16249:16363">
      <c r="A31" s="8">
        <v>29</v>
      </c>
      <c r="B31" s="9" t="s">
        <v>100</v>
      </c>
      <c r="C31" s="8">
        <v>182</v>
      </c>
      <c r="D31" s="8">
        <v>14</v>
      </c>
      <c r="E31" s="8">
        <v>71.5</v>
      </c>
      <c r="F31" s="8">
        <v>1001</v>
      </c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 s="5"/>
      <c r="XBM31" s="5"/>
      <c r="XBN31" s="5"/>
      <c r="XBO31" s="5"/>
      <c r="XBP31" s="5"/>
      <c r="XBQ31" s="5"/>
      <c r="XBR31" s="5"/>
      <c r="XBS31" s="5"/>
      <c r="XBT31" s="5"/>
      <c r="XBU31" s="5"/>
      <c r="XBV31" s="5"/>
      <c r="XBW31" s="5"/>
      <c r="XBX31" s="5"/>
      <c r="XBY31" s="5"/>
      <c r="XBZ31" s="5"/>
      <c r="XCA31" s="5"/>
      <c r="XCB31" s="5"/>
      <c r="XCC31" s="5"/>
      <c r="XCD31" s="5"/>
      <c r="XCE31" s="5"/>
      <c r="XCF31" s="5"/>
      <c r="XCG31" s="5"/>
      <c r="XCH31" s="5"/>
      <c r="XCI31" s="5"/>
      <c r="XCJ31" s="5"/>
      <c r="XCK31" s="5"/>
      <c r="XCL31" s="5"/>
      <c r="XCM31" s="5"/>
      <c r="XCN31" s="5"/>
      <c r="XCO31" s="5"/>
      <c r="XCP31" s="5"/>
      <c r="XCQ31" s="5"/>
      <c r="XCR31" s="5"/>
      <c r="XCS31" s="5"/>
      <c r="XCT31" s="5"/>
      <c r="XCU31" s="5"/>
      <c r="XCV31" s="5"/>
      <c r="XCW31" s="5"/>
      <c r="XCX31" s="5"/>
      <c r="XCY31" s="5"/>
      <c r="XCZ31" s="5"/>
      <c r="XDA31" s="5"/>
      <c r="XDB31" s="5"/>
      <c r="XDC31" s="5"/>
      <c r="XDD31" s="5"/>
      <c r="XDE31" s="5"/>
      <c r="XDF31" s="5"/>
      <c r="XDG31" s="5"/>
      <c r="XDH31" s="5"/>
      <c r="XDI31" s="5"/>
      <c r="XDJ31" s="5"/>
      <c r="XDK31" s="5"/>
      <c r="XDL31" s="5"/>
      <c r="XDM31" s="5"/>
      <c r="XDN31" s="5"/>
      <c r="XDO31" s="5"/>
      <c r="XDP31" s="5"/>
      <c r="XDQ31" s="5"/>
      <c r="XDR31" s="5"/>
      <c r="XDS31" s="5"/>
      <c r="XDT31" s="5"/>
      <c r="XDU31" s="5"/>
      <c r="XDV31" s="5"/>
      <c r="XDW31" s="5"/>
      <c r="XDX31" s="5"/>
      <c r="XDY31" s="5"/>
      <c r="XDZ31" s="5"/>
      <c r="XEA31" s="5"/>
      <c r="XEB31" s="5"/>
      <c r="XEC31" s="5"/>
      <c r="XED31" s="5"/>
      <c r="XEE31" s="5"/>
      <c r="XEF31" s="5"/>
      <c r="XEG31" s="5"/>
    </row>
    <row r="32" s="1" customFormat="1" ht="16.5" spans="1:6 16249:16363">
      <c r="A32" s="8">
        <v>30</v>
      </c>
      <c r="B32" s="9" t="s">
        <v>101</v>
      </c>
      <c r="C32" s="8">
        <v>14</v>
      </c>
      <c r="D32" s="8">
        <v>7</v>
      </c>
      <c r="E32" s="8">
        <v>16.5</v>
      </c>
      <c r="F32" s="8">
        <v>115.5</v>
      </c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</row>
    <row r="33" s="1" customFormat="1" ht="16.5" customHeight="1" spans="1:6 16249:16361">
      <c r="A33" s="8">
        <v>31</v>
      </c>
      <c r="B33" s="9" t="s">
        <v>102</v>
      </c>
      <c r="C33" s="8">
        <v>14</v>
      </c>
      <c r="D33" s="8">
        <v>7</v>
      </c>
      <c r="E33" s="8">
        <v>16.5</v>
      </c>
      <c r="F33" s="8">
        <v>115.5</v>
      </c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 s="5"/>
      <c r="XBM33" s="5"/>
      <c r="XBN33" s="5"/>
      <c r="XBO33" s="5"/>
      <c r="XBP33" s="5"/>
      <c r="XBQ33" s="5"/>
      <c r="XBR33" s="5"/>
      <c r="XBS33" s="5"/>
      <c r="XBT33" s="5"/>
      <c r="XBU33" s="5"/>
      <c r="XBV33" s="5"/>
      <c r="XBW33" s="5"/>
      <c r="XBX33" s="5"/>
      <c r="XBY33" s="5"/>
      <c r="XBZ33" s="5"/>
      <c r="XCA33" s="5"/>
      <c r="XCB33" s="5"/>
      <c r="XCC33" s="5"/>
      <c r="XCD33" s="5"/>
      <c r="XCE33" s="5"/>
      <c r="XCF33" s="5"/>
      <c r="XCG33" s="5"/>
      <c r="XCH33" s="5"/>
      <c r="XCI33" s="5"/>
      <c r="XCJ33" s="5"/>
      <c r="XCK33" s="5"/>
      <c r="XCL33" s="5"/>
      <c r="XCM33" s="5"/>
      <c r="XCN33" s="5"/>
      <c r="XCO33" s="5"/>
      <c r="XCP33" s="5"/>
      <c r="XCQ33" s="5"/>
      <c r="XCR33" s="5"/>
      <c r="XCS33" s="5"/>
      <c r="XCT33" s="5"/>
      <c r="XCU33" s="5"/>
      <c r="XCV33" s="5"/>
      <c r="XCW33" s="5"/>
      <c r="XCX33" s="5"/>
      <c r="XCY33" s="5"/>
      <c r="XCZ33" s="5"/>
      <c r="XDA33" s="5"/>
      <c r="XDB33" s="5"/>
      <c r="XDC33" s="5"/>
      <c r="XDD33" s="5"/>
      <c r="XDE33" s="5"/>
      <c r="XDF33" s="5"/>
      <c r="XDG33" s="5"/>
      <c r="XDH33" s="5"/>
      <c r="XDI33" s="5"/>
      <c r="XDJ33" s="5"/>
      <c r="XDK33" s="5"/>
      <c r="XDL33" s="5"/>
      <c r="XDM33" s="5"/>
      <c r="XDN33" s="5"/>
      <c r="XDO33" s="5"/>
      <c r="XDP33" s="5"/>
      <c r="XDQ33" s="5"/>
      <c r="XDR33" s="5"/>
      <c r="XDS33" s="5"/>
      <c r="XDT33" s="5"/>
      <c r="XDU33" s="5"/>
      <c r="XDV33" s="5"/>
      <c r="XDW33" s="5"/>
      <c r="XDX33" s="5"/>
      <c r="XDY33" s="5"/>
      <c r="XDZ33" s="5"/>
      <c r="XEA33" s="5"/>
      <c r="XEB33" s="5"/>
      <c r="XEC33" s="5"/>
      <c r="XED33" s="5"/>
      <c r="XEE33" s="5"/>
      <c r="XEF33" s="5"/>
      <c r="XEG33" s="5"/>
    </row>
    <row r="34" s="1" customFormat="1" ht="16.5" customHeight="1" spans="1:6 16249:16361">
      <c r="A34" s="8">
        <v>32</v>
      </c>
      <c r="B34" s="9" t="s">
        <v>103</v>
      </c>
      <c r="C34" s="8">
        <v>8</v>
      </c>
      <c r="D34" s="8">
        <v>4</v>
      </c>
      <c r="E34" s="8">
        <v>16.5</v>
      </c>
      <c r="F34" s="8">
        <v>66</v>
      </c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 s="5"/>
      <c r="XBM34" s="5"/>
      <c r="XBN34" s="5"/>
      <c r="XBO34" s="5"/>
      <c r="XBP34" s="5"/>
      <c r="XBQ34" s="5"/>
      <c r="XBR34" s="5"/>
      <c r="XBS34" s="5"/>
      <c r="XBT34" s="5"/>
      <c r="XBU34" s="5"/>
      <c r="XBV34" s="5"/>
      <c r="XBW34" s="5"/>
      <c r="XBX34" s="5"/>
      <c r="XBY34" s="5"/>
      <c r="XBZ34" s="5"/>
      <c r="XCA34" s="5"/>
      <c r="XCB34" s="5"/>
      <c r="XCC34" s="5"/>
      <c r="XCD34" s="5"/>
      <c r="XCE34" s="5"/>
      <c r="XCF34" s="5"/>
      <c r="XCG34" s="5"/>
      <c r="XCH34" s="5"/>
      <c r="XCI34" s="5"/>
      <c r="XCJ34" s="5"/>
      <c r="XCK34" s="5"/>
      <c r="XCL34" s="5"/>
      <c r="XCM34" s="5"/>
      <c r="XCN34" s="5"/>
      <c r="XCO34" s="5"/>
      <c r="XCP34" s="5"/>
      <c r="XCQ34" s="5"/>
      <c r="XCR34" s="5"/>
      <c r="XCS34" s="5"/>
      <c r="XCT34" s="5"/>
      <c r="XCU34" s="5"/>
      <c r="XCV34" s="5"/>
      <c r="XCW34" s="5"/>
      <c r="XCX34" s="5"/>
      <c r="XCY34" s="5"/>
      <c r="XCZ34" s="5"/>
      <c r="XDA34" s="5"/>
      <c r="XDB34" s="5"/>
      <c r="XDC34" s="5"/>
      <c r="XDD34" s="5"/>
      <c r="XDE34" s="5"/>
      <c r="XDF34" s="5"/>
      <c r="XDG34" s="5"/>
      <c r="XDH34" s="5"/>
      <c r="XDI34" s="5"/>
      <c r="XDJ34" s="5"/>
      <c r="XDK34" s="5"/>
      <c r="XDL34" s="5"/>
      <c r="XDM34" s="5"/>
      <c r="XDN34" s="5"/>
      <c r="XDO34" s="5"/>
      <c r="XDP34" s="5"/>
      <c r="XDQ34" s="5"/>
      <c r="XDR34" s="5"/>
      <c r="XDS34" s="5"/>
      <c r="XDT34" s="5"/>
      <c r="XDU34" s="5"/>
      <c r="XDV34" s="5"/>
      <c r="XDW34" s="5"/>
      <c r="XDX34" s="5"/>
      <c r="XDY34" s="5"/>
      <c r="XDZ34" s="5"/>
      <c r="XEA34" s="5"/>
      <c r="XEB34" s="5"/>
      <c r="XEC34" s="5"/>
      <c r="XED34" s="5"/>
      <c r="XEE34" s="5"/>
      <c r="XEF34" s="5"/>
      <c r="XEG34" s="5"/>
    </row>
    <row r="35" s="1" customFormat="1" ht="16.5" customHeight="1" spans="1:6 16249:16361">
      <c r="A35" s="8">
        <v>33</v>
      </c>
      <c r="B35" s="9" t="s">
        <v>104</v>
      </c>
      <c r="C35" s="8">
        <v>6</v>
      </c>
      <c r="D35" s="8">
        <v>3</v>
      </c>
      <c r="E35" s="8">
        <v>16.5</v>
      </c>
      <c r="F35" s="8">
        <v>49.5</v>
      </c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 s="5"/>
      <c r="XBM35" s="5"/>
      <c r="XBN35" s="5"/>
      <c r="XBO35" s="5"/>
      <c r="XBP35" s="5"/>
      <c r="XBQ35" s="5"/>
      <c r="XBR35" s="5"/>
      <c r="XBS35" s="5"/>
      <c r="XBT35" s="5"/>
      <c r="XBU35" s="5"/>
      <c r="XBV35" s="5"/>
      <c r="XBW35" s="5"/>
      <c r="XBX35" s="5"/>
      <c r="XBY35" s="5"/>
      <c r="XBZ35" s="5"/>
      <c r="XCA35" s="5"/>
      <c r="XCB35" s="5"/>
      <c r="XCC35" s="5"/>
      <c r="XCD35" s="5"/>
      <c r="XCE35" s="5"/>
      <c r="XCF35" s="5"/>
      <c r="XCG35" s="5"/>
      <c r="XCH35" s="5"/>
      <c r="XCI35" s="5"/>
      <c r="XCJ35" s="5"/>
      <c r="XCK35" s="5"/>
      <c r="XCL35" s="5"/>
      <c r="XCM35" s="5"/>
      <c r="XCN35" s="5"/>
      <c r="XCO35" s="5"/>
      <c r="XCP35" s="5"/>
      <c r="XCQ35" s="5"/>
      <c r="XCR35" s="5"/>
      <c r="XCS35" s="5"/>
      <c r="XCT35" s="5"/>
      <c r="XCU35" s="5"/>
      <c r="XCV35" s="5"/>
      <c r="XCW35" s="5"/>
      <c r="XCX35" s="5"/>
      <c r="XCY35" s="5"/>
      <c r="XCZ35" s="5"/>
      <c r="XDA35" s="5"/>
      <c r="XDB35" s="5"/>
      <c r="XDC35" s="5"/>
      <c r="XDD35" s="5"/>
      <c r="XDE35" s="5"/>
      <c r="XDF35" s="5"/>
      <c r="XDG35" s="5"/>
      <c r="XDH35" s="5"/>
      <c r="XDI35" s="5"/>
      <c r="XDJ35" s="5"/>
      <c r="XDK35" s="5"/>
      <c r="XDL35" s="5"/>
      <c r="XDM35" s="5"/>
      <c r="XDN35" s="5"/>
      <c r="XDO35" s="5"/>
      <c r="XDP35" s="5"/>
      <c r="XDQ35" s="5"/>
      <c r="XDR35" s="5"/>
      <c r="XDS35" s="5"/>
      <c r="XDT35" s="5"/>
      <c r="XDU35" s="5"/>
      <c r="XDV35" s="5"/>
      <c r="XDW35" s="5"/>
      <c r="XDX35" s="5"/>
      <c r="XDY35" s="5"/>
      <c r="XDZ35" s="5"/>
      <c r="XEA35" s="5"/>
      <c r="XEB35" s="5"/>
      <c r="XEC35" s="5"/>
      <c r="XED35" s="5"/>
      <c r="XEE35" s="5"/>
      <c r="XEF35" s="5"/>
      <c r="XEG35" s="5"/>
    </row>
    <row r="36" s="1" customFormat="1" ht="16.5" customHeight="1" spans="1:6 16249:16361">
      <c r="A36" s="8">
        <v>34</v>
      </c>
      <c r="B36" s="9" t="s">
        <v>105</v>
      </c>
      <c r="C36" s="8">
        <v>0</v>
      </c>
      <c r="D36" s="8">
        <v>3</v>
      </c>
      <c r="E36" s="8">
        <v>25</v>
      </c>
      <c r="F36" s="8">
        <v>75</v>
      </c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 s="5"/>
      <c r="XBM36" s="5"/>
      <c r="XBN36" s="5"/>
      <c r="XBO36" s="5"/>
      <c r="XBP36" s="5"/>
      <c r="XBQ36" s="5"/>
      <c r="XBR36" s="5"/>
      <c r="XBS36" s="5"/>
      <c r="XBT36" s="5"/>
      <c r="XBU36" s="5"/>
      <c r="XBV36" s="5"/>
      <c r="XBW36" s="5"/>
      <c r="XBX36" s="5"/>
      <c r="XBY36" s="5"/>
      <c r="XBZ36" s="5"/>
      <c r="XCA36" s="5"/>
      <c r="XCB36" s="5"/>
      <c r="XCC36" s="5"/>
      <c r="XCD36" s="5"/>
      <c r="XCE36" s="5"/>
      <c r="XCF36" s="5"/>
      <c r="XCG36" s="5"/>
      <c r="XCH36" s="5"/>
      <c r="XCI36" s="5"/>
      <c r="XCJ36" s="5"/>
      <c r="XCK36" s="5"/>
      <c r="XCL36" s="5"/>
      <c r="XCM36" s="5"/>
      <c r="XCN36" s="5"/>
      <c r="XCO36" s="5"/>
      <c r="XCP36" s="5"/>
      <c r="XCQ36" s="5"/>
      <c r="XCR36" s="5"/>
      <c r="XCS36" s="5"/>
      <c r="XCT36" s="5"/>
      <c r="XCU36" s="5"/>
      <c r="XCV36" s="5"/>
      <c r="XCW36" s="5"/>
      <c r="XCX36" s="5"/>
      <c r="XCY36" s="5"/>
      <c r="XCZ36" s="5"/>
      <c r="XDA36" s="5"/>
      <c r="XDB36" s="5"/>
      <c r="XDC36" s="5"/>
      <c r="XDD36" s="5"/>
      <c r="XDE36" s="5"/>
      <c r="XDF36" s="5"/>
      <c r="XDG36" s="5"/>
      <c r="XDH36" s="5"/>
      <c r="XDI36" s="5"/>
      <c r="XDJ36" s="5"/>
      <c r="XDK36" s="5"/>
      <c r="XDL36" s="5"/>
      <c r="XDM36" s="5"/>
      <c r="XDN36" s="5"/>
      <c r="XDO36" s="5"/>
      <c r="XDP36" s="5"/>
      <c r="XDQ36" s="5"/>
      <c r="XDR36" s="5"/>
      <c r="XDS36" s="5"/>
      <c r="XDT36" s="5"/>
      <c r="XDU36" s="5"/>
      <c r="XDV36" s="5"/>
      <c r="XDW36" s="5"/>
      <c r="XDX36" s="5"/>
      <c r="XDY36" s="5"/>
      <c r="XDZ36" s="5"/>
      <c r="XEA36" s="5"/>
      <c r="XEB36" s="5"/>
      <c r="XEC36" s="5"/>
      <c r="XED36" s="5"/>
      <c r="XEE36" s="5"/>
      <c r="XEF36" s="5"/>
      <c r="XEG36" s="5"/>
    </row>
    <row r="37" s="1" customFormat="1" ht="16.5" customHeight="1" spans="1:6 16249:16361">
      <c r="A37" s="8">
        <v>35</v>
      </c>
      <c r="B37" s="9" t="s">
        <v>106</v>
      </c>
      <c r="C37" s="8">
        <v>0</v>
      </c>
      <c r="D37" s="8">
        <v>2</v>
      </c>
      <c r="E37" s="8">
        <v>25</v>
      </c>
      <c r="F37" s="8">
        <v>50</v>
      </c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 s="5"/>
      <c r="XBM37" s="5"/>
      <c r="XBN37" s="5"/>
      <c r="XBO37" s="5"/>
      <c r="XBP37" s="5"/>
      <c r="XBQ37" s="5"/>
      <c r="XBR37" s="5"/>
      <c r="XBS37" s="5"/>
      <c r="XBT37" s="5"/>
      <c r="XBU37" s="5"/>
      <c r="XBV37" s="5"/>
      <c r="XBW37" s="5"/>
      <c r="XBX37" s="5"/>
      <c r="XBY37" s="5"/>
      <c r="XBZ37" s="5"/>
      <c r="XCA37" s="5"/>
      <c r="XCB37" s="5"/>
      <c r="XCC37" s="5"/>
      <c r="XCD37" s="5"/>
      <c r="XCE37" s="5"/>
      <c r="XCF37" s="5"/>
      <c r="XCG37" s="5"/>
      <c r="XCH37" s="5"/>
      <c r="XCI37" s="5"/>
      <c r="XCJ37" s="5"/>
      <c r="XCK37" s="5"/>
      <c r="XCL37" s="5"/>
      <c r="XCM37" s="5"/>
      <c r="XCN37" s="5"/>
      <c r="XCO37" s="5"/>
      <c r="XCP37" s="5"/>
      <c r="XCQ37" s="5"/>
      <c r="XCR37" s="5"/>
      <c r="XCS37" s="5"/>
      <c r="XCT37" s="5"/>
      <c r="XCU37" s="5"/>
      <c r="XCV37" s="5"/>
      <c r="XCW37" s="5"/>
      <c r="XCX37" s="5"/>
      <c r="XCY37" s="5"/>
      <c r="XCZ37" s="5"/>
      <c r="XDA37" s="5"/>
      <c r="XDB37" s="5"/>
      <c r="XDC37" s="5"/>
      <c r="XDD37" s="5"/>
      <c r="XDE37" s="5"/>
      <c r="XDF37" s="5"/>
      <c r="XDG37" s="5"/>
      <c r="XDH37" s="5"/>
      <c r="XDI37" s="5"/>
      <c r="XDJ37" s="5"/>
      <c r="XDK37" s="5"/>
      <c r="XDL37" s="5"/>
      <c r="XDM37" s="5"/>
      <c r="XDN37" s="5"/>
      <c r="XDO37" s="5"/>
      <c r="XDP37" s="5"/>
      <c r="XDQ37" s="5"/>
      <c r="XDR37" s="5"/>
      <c r="XDS37" s="5"/>
      <c r="XDT37" s="5"/>
      <c r="XDU37" s="5"/>
      <c r="XDV37" s="5"/>
      <c r="XDW37" s="5"/>
      <c r="XDX37" s="5"/>
      <c r="XDY37" s="5"/>
      <c r="XDZ37" s="5"/>
      <c r="XEA37" s="5"/>
      <c r="XEB37" s="5"/>
      <c r="XEC37" s="5"/>
      <c r="XED37" s="5"/>
      <c r="XEE37" s="5"/>
      <c r="XEF37" s="5"/>
      <c r="XEG37" s="5"/>
    </row>
    <row r="38" ht="16.5" customHeight="1" spans="1:6 16249:16361">
      <c r="A38" s="8">
        <v>36</v>
      </c>
      <c r="B38" s="9" t="s">
        <v>107</v>
      </c>
      <c r="C38" s="8">
        <v>18</v>
      </c>
      <c r="D38" s="8">
        <v>1</v>
      </c>
      <c r="E38" s="8">
        <v>300</v>
      </c>
      <c r="F38" s="8">
        <v>300</v>
      </c>
    </row>
    <row r="39" ht="16.5" customHeight="1" spans="1:6 16249:16361">
      <c r="A39" s="8">
        <v>37</v>
      </c>
      <c r="B39" s="9" t="s">
        <v>108</v>
      </c>
      <c r="C39" s="8">
        <v>14</v>
      </c>
      <c r="D39" s="8">
        <v>1</v>
      </c>
      <c r="E39" s="8">
        <v>231</v>
      </c>
      <c r="F39" s="8">
        <v>231</v>
      </c>
    </row>
    <row r="40" ht="16.5" customHeight="1" spans="1:6 16249:16361">
      <c r="A40" s="8">
        <v>38</v>
      </c>
      <c r="B40" s="9" t="s">
        <v>109</v>
      </c>
      <c r="C40" s="8">
        <v>1</v>
      </c>
      <c r="D40" s="8">
        <v>1</v>
      </c>
      <c r="E40" s="8">
        <v>28</v>
      </c>
      <c r="F40" s="8">
        <v>28</v>
      </c>
    </row>
    <row r="41" ht="16.5" customHeight="1" spans="1:6 16249:16361">
      <c r="A41" s="8">
        <v>39</v>
      </c>
      <c r="B41" s="9" t="s">
        <v>22</v>
      </c>
      <c r="C41" s="8">
        <v>4</v>
      </c>
      <c r="D41" s="8">
        <v>2</v>
      </c>
      <c r="E41" s="8">
        <v>16.5</v>
      </c>
      <c r="F41" s="8">
        <v>33</v>
      </c>
    </row>
    <row r="42" ht="16.5" spans="1:6 16249:16361">
      <c r="A42" s="8">
        <v>40</v>
      </c>
      <c r="B42" s="9" t="s">
        <v>24</v>
      </c>
      <c r="C42" s="8">
        <v>1</v>
      </c>
      <c r="D42" s="8">
        <v>1</v>
      </c>
      <c r="E42" s="8">
        <v>16.5</v>
      </c>
      <c r="F42" s="8">
        <v>16.5</v>
      </c>
    </row>
    <row r="43" ht="16.5" spans="1:6 16249:16361">
      <c r="A43" s="8">
        <v>41</v>
      </c>
      <c r="B43" s="9" t="s">
        <v>110</v>
      </c>
      <c r="C43" s="8">
        <v>18</v>
      </c>
      <c r="D43" s="8">
        <f>17-11</f>
        <v>6</v>
      </c>
      <c r="E43" s="8">
        <v>16.5</v>
      </c>
      <c r="F43" s="8">
        <f>E43*D43</f>
        <v>99</v>
      </c>
    </row>
    <row r="44" ht="16.5" spans="1:6 16249:16361">
      <c r="A44" s="8">
        <v>42</v>
      </c>
      <c r="B44" s="9" t="s">
        <v>111</v>
      </c>
      <c r="C44" s="8">
        <v>1</v>
      </c>
      <c r="D44" s="8">
        <v>1</v>
      </c>
      <c r="E44" s="8">
        <v>16.5</v>
      </c>
      <c r="F44" s="8">
        <v>16.5</v>
      </c>
    </row>
    <row r="45" ht="16.5" spans="1:6 16249:16361">
      <c r="A45" s="8">
        <v>43</v>
      </c>
      <c r="B45" s="9" t="s">
        <v>112</v>
      </c>
      <c r="C45" s="8">
        <v>18</v>
      </c>
      <c r="D45" s="8">
        <v>2</v>
      </c>
      <c r="E45" s="8">
        <v>49.5</v>
      </c>
      <c r="F45" s="8">
        <v>99</v>
      </c>
    </row>
    <row r="46" ht="16.5" spans="1:6 16249:16361">
      <c r="A46" s="8">
        <v>44</v>
      </c>
      <c r="B46" s="9" t="s">
        <v>113</v>
      </c>
      <c r="C46" s="8">
        <v>27</v>
      </c>
      <c r="D46" s="8">
        <v>3</v>
      </c>
      <c r="E46" s="8">
        <v>49.5</v>
      </c>
      <c r="F46" s="8">
        <v>148.5</v>
      </c>
    </row>
    <row r="47" ht="16.5" spans="1:6 16249:16361">
      <c r="A47" s="8">
        <v>45</v>
      </c>
      <c r="B47" s="9" t="s">
        <v>114</v>
      </c>
      <c r="C47" s="8">
        <v>9</v>
      </c>
      <c r="D47" s="8">
        <v>1</v>
      </c>
      <c r="E47" s="8">
        <v>49.5</v>
      </c>
      <c r="F47" s="8">
        <v>49.5</v>
      </c>
    </row>
    <row r="48" ht="16.5" spans="1:6 16249:16361">
      <c r="A48" s="8">
        <v>46</v>
      </c>
      <c r="B48" s="9" t="s">
        <v>115</v>
      </c>
      <c r="C48" s="8">
        <v>65</v>
      </c>
      <c r="D48" s="8">
        <v>1</v>
      </c>
      <c r="E48" s="8">
        <v>357.5</v>
      </c>
      <c r="F48" s="8">
        <f>E48*D48</f>
        <v>357.5</v>
      </c>
    </row>
    <row r="49" ht="16.5" spans="1:6">
      <c r="A49" s="8">
        <v>47</v>
      </c>
      <c r="B49" s="9" t="s">
        <v>116</v>
      </c>
      <c r="C49" s="8">
        <v>50</v>
      </c>
      <c r="D49" s="8">
        <v>1</v>
      </c>
      <c r="E49" s="8">
        <v>275</v>
      </c>
      <c r="F49" s="8">
        <v>275</v>
      </c>
    </row>
    <row r="50" ht="16.5" spans="1:6">
      <c r="A50" s="8">
        <v>48</v>
      </c>
      <c r="B50" s="9" t="s">
        <v>117</v>
      </c>
      <c r="C50" s="8">
        <v>195</v>
      </c>
      <c r="D50" s="8">
        <f>7-4</f>
        <v>3</v>
      </c>
      <c r="E50" s="8">
        <v>357.5</v>
      </c>
      <c r="F50" s="8">
        <f>E50*D50</f>
        <v>1072.5</v>
      </c>
    </row>
    <row r="51" ht="16.5" spans="1:6">
      <c r="A51" s="8">
        <v>49</v>
      </c>
      <c r="B51" s="9" t="s">
        <v>118</v>
      </c>
      <c r="C51" s="8">
        <v>52</v>
      </c>
      <c r="D51" s="8">
        <v>1</v>
      </c>
      <c r="E51" s="8">
        <v>286</v>
      </c>
      <c r="F51" s="8">
        <v>286</v>
      </c>
    </row>
    <row r="52" ht="16.5" spans="1:6">
      <c r="A52" s="8">
        <v>50</v>
      </c>
      <c r="B52" s="9" t="s">
        <v>119</v>
      </c>
      <c r="C52" s="8">
        <v>3</v>
      </c>
      <c r="D52" s="8">
        <v>1</v>
      </c>
      <c r="E52" s="8">
        <v>66</v>
      </c>
      <c r="F52" s="8">
        <v>66</v>
      </c>
    </row>
    <row r="53" ht="16.5" spans="1:6">
      <c r="A53" s="8">
        <v>51</v>
      </c>
      <c r="B53" s="9" t="s">
        <v>120</v>
      </c>
      <c r="C53" s="8">
        <v>3</v>
      </c>
      <c r="D53" s="8">
        <v>3</v>
      </c>
      <c r="E53" s="8">
        <v>8</v>
      </c>
      <c r="F53" s="8">
        <v>24</v>
      </c>
    </row>
    <row r="54" ht="16.5" spans="1:6">
      <c r="A54" s="8">
        <v>52</v>
      </c>
      <c r="B54" s="9" t="s">
        <v>121</v>
      </c>
      <c r="C54" s="8">
        <v>4</v>
      </c>
      <c r="D54" s="8">
        <v>2</v>
      </c>
      <c r="E54" s="8">
        <v>16.5</v>
      </c>
      <c r="F54" s="8">
        <v>33</v>
      </c>
    </row>
    <row r="55" ht="16.5" spans="1:6">
      <c r="A55" s="8">
        <v>53</v>
      </c>
      <c r="B55" s="9" t="s">
        <v>122</v>
      </c>
      <c r="C55" s="8">
        <v>10</v>
      </c>
      <c r="D55" s="8">
        <v>5</v>
      </c>
      <c r="E55" s="8">
        <v>16.5</v>
      </c>
      <c r="F55" s="8">
        <v>82.5</v>
      </c>
    </row>
    <row r="56" ht="16.5" spans="1:6">
      <c r="A56" s="8">
        <v>54</v>
      </c>
      <c r="B56" s="9" t="s">
        <v>123</v>
      </c>
      <c r="C56" s="8">
        <v>45</v>
      </c>
      <c r="D56" s="8">
        <v>5</v>
      </c>
      <c r="E56" s="8">
        <v>49.5</v>
      </c>
      <c r="F56" s="8">
        <v>247.5</v>
      </c>
    </row>
    <row r="57" ht="16.5" spans="1:6">
      <c r="A57" s="8">
        <v>55</v>
      </c>
      <c r="B57" s="9" t="s">
        <v>124</v>
      </c>
      <c r="C57" s="8">
        <v>8</v>
      </c>
      <c r="D57" s="8">
        <v>1</v>
      </c>
      <c r="E57" s="8">
        <v>44</v>
      </c>
      <c r="F57" s="8">
        <v>44</v>
      </c>
    </row>
    <row r="58" ht="16.5" spans="1:6">
      <c r="A58" s="8">
        <v>56</v>
      </c>
      <c r="B58" s="9" t="s">
        <v>125</v>
      </c>
      <c r="C58" s="8">
        <v>7</v>
      </c>
      <c r="D58" s="8">
        <v>1</v>
      </c>
      <c r="E58" s="8">
        <v>16.5</v>
      </c>
      <c r="F58" s="8">
        <v>16.5</v>
      </c>
    </row>
    <row r="59" ht="16.5" spans="1:6">
      <c r="A59" s="8">
        <v>57</v>
      </c>
      <c r="B59" s="9" t="s">
        <v>126</v>
      </c>
      <c r="C59" s="8">
        <v>156</v>
      </c>
      <c r="D59" s="8">
        <v>26</v>
      </c>
      <c r="E59" s="8">
        <v>33</v>
      </c>
      <c r="F59" s="8">
        <v>858</v>
      </c>
    </row>
    <row r="60" ht="16.5" spans="1:6">
      <c r="A60" s="8">
        <v>58</v>
      </c>
      <c r="B60" s="9" t="s">
        <v>127</v>
      </c>
      <c r="C60" s="8">
        <v>14</v>
      </c>
      <c r="D60" s="8">
        <v>7</v>
      </c>
      <c r="E60" s="8">
        <v>16.5</v>
      </c>
      <c r="F60" s="8">
        <v>115.5</v>
      </c>
    </row>
    <row r="61" ht="16.5" spans="1:6">
      <c r="A61" s="8">
        <v>59</v>
      </c>
      <c r="B61" s="9" t="s">
        <v>128</v>
      </c>
      <c r="C61" s="8">
        <v>100</v>
      </c>
      <c r="D61" s="8">
        <v>50</v>
      </c>
      <c r="E61" s="8">
        <v>16.5</v>
      </c>
      <c r="F61" s="8">
        <v>825</v>
      </c>
    </row>
    <row r="62" ht="16.5" spans="1:6">
      <c r="A62" s="8">
        <v>60</v>
      </c>
      <c r="B62" s="9" t="s">
        <v>129</v>
      </c>
      <c r="C62" s="8">
        <v>63</v>
      </c>
      <c r="D62" s="8">
        <v>63</v>
      </c>
      <c r="E62" s="8">
        <v>16.5</v>
      </c>
      <c r="F62" s="8">
        <v>1039.5</v>
      </c>
    </row>
    <row r="63" ht="16.5" spans="1:6">
      <c r="A63" s="8">
        <v>61</v>
      </c>
      <c r="B63" s="9" t="s">
        <v>33</v>
      </c>
      <c r="C63" s="8">
        <v>21</v>
      </c>
      <c r="D63" s="8">
        <v>21</v>
      </c>
      <c r="E63" s="8">
        <v>8</v>
      </c>
      <c r="F63" s="8">
        <v>168</v>
      </c>
    </row>
    <row r="64" ht="16.5" spans="1:6">
      <c r="A64" s="8">
        <v>62</v>
      </c>
      <c r="B64" s="9" t="s">
        <v>130</v>
      </c>
      <c r="C64" s="8">
        <v>8</v>
      </c>
      <c r="D64" s="8">
        <v>4</v>
      </c>
      <c r="E64" s="8">
        <v>16.5</v>
      </c>
      <c r="F64" s="8">
        <v>66</v>
      </c>
    </row>
    <row r="65" ht="16.5" spans="1:6">
      <c r="A65" s="8">
        <v>63</v>
      </c>
      <c r="B65" s="9" t="s">
        <v>131</v>
      </c>
      <c r="C65" s="8">
        <v>24</v>
      </c>
      <c r="D65" s="8">
        <v>2</v>
      </c>
      <c r="E65" s="8">
        <v>66</v>
      </c>
      <c r="F65" s="8">
        <v>132</v>
      </c>
    </row>
    <row r="66" ht="16.5" spans="1:6">
      <c r="A66" s="8">
        <v>64</v>
      </c>
      <c r="B66" s="9" t="s">
        <v>132</v>
      </c>
      <c r="C66" s="8">
        <v>120</v>
      </c>
      <c r="D66" s="8">
        <v>8</v>
      </c>
      <c r="E66" s="8">
        <v>82.5</v>
      </c>
      <c r="F66" s="8">
        <v>660</v>
      </c>
    </row>
    <row r="67" ht="16.5" spans="1:6">
      <c r="A67" s="8">
        <v>65</v>
      </c>
      <c r="B67" s="9" t="s">
        <v>133</v>
      </c>
      <c r="C67" s="8">
        <v>2</v>
      </c>
      <c r="D67" s="8">
        <v>1</v>
      </c>
      <c r="E67" s="8">
        <v>35</v>
      </c>
      <c r="F67" s="8">
        <v>35</v>
      </c>
    </row>
    <row r="68" ht="16.5" spans="1:6">
      <c r="A68" s="8">
        <v>66</v>
      </c>
      <c r="B68" s="9" t="s">
        <v>134</v>
      </c>
      <c r="C68" s="8">
        <v>1</v>
      </c>
      <c r="D68" s="8">
        <v>1</v>
      </c>
      <c r="E68" s="8">
        <v>22</v>
      </c>
      <c r="F68" s="8">
        <v>22</v>
      </c>
    </row>
    <row r="69" ht="16.5" spans="1:6">
      <c r="A69" s="8">
        <v>67</v>
      </c>
      <c r="B69" s="9" t="s">
        <v>135</v>
      </c>
      <c r="C69" s="8">
        <v>10</v>
      </c>
      <c r="D69" s="8">
        <v>1</v>
      </c>
      <c r="E69" s="8">
        <v>55</v>
      </c>
      <c r="F69" s="8">
        <v>55</v>
      </c>
    </row>
    <row r="70" ht="16.5" spans="1:6">
      <c r="A70" s="8">
        <v>68</v>
      </c>
      <c r="B70" s="9" t="s">
        <v>136</v>
      </c>
      <c r="C70" s="8">
        <v>8</v>
      </c>
      <c r="D70" s="8">
        <v>1</v>
      </c>
      <c r="E70" s="8">
        <v>44</v>
      </c>
      <c r="F70" s="8">
        <v>44</v>
      </c>
    </row>
    <row r="71" ht="16.5" spans="1:6">
      <c r="A71" s="8">
        <v>69</v>
      </c>
      <c r="B71" s="9" t="s">
        <v>137</v>
      </c>
      <c r="C71" s="8">
        <v>65</v>
      </c>
      <c r="D71" s="8">
        <v>65</v>
      </c>
      <c r="E71" s="8">
        <v>16.5</v>
      </c>
      <c r="F71" s="8">
        <v>1072.5</v>
      </c>
    </row>
    <row r="72" ht="16.5" spans="1:6">
      <c r="A72" s="8">
        <v>70</v>
      </c>
      <c r="B72" s="9" t="s">
        <v>138</v>
      </c>
      <c r="C72" s="8">
        <v>9</v>
      </c>
      <c r="D72" s="8">
        <v>3</v>
      </c>
      <c r="E72" s="8">
        <v>16.5</v>
      </c>
      <c r="F72" s="8">
        <v>49.5</v>
      </c>
    </row>
    <row r="73" ht="16.5" spans="1:6">
      <c r="A73" s="8">
        <v>71</v>
      </c>
      <c r="B73" s="9" t="s">
        <v>139</v>
      </c>
      <c r="C73" s="8">
        <v>4</v>
      </c>
      <c r="D73" s="8">
        <v>2</v>
      </c>
      <c r="E73" s="8">
        <v>16.5</v>
      </c>
      <c r="F73" s="8">
        <v>33</v>
      </c>
    </row>
    <row r="74" ht="16.5" spans="1:6">
      <c r="A74" s="8">
        <v>72</v>
      </c>
      <c r="B74" s="9" t="s">
        <v>140</v>
      </c>
      <c r="C74" s="8">
        <v>0</v>
      </c>
      <c r="D74" s="8">
        <v>10</v>
      </c>
      <c r="E74" s="8">
        <v>2.5</v>
      </c>
      <c r="F74" s="8">
        <v>25</v>
      </c>
    </row>
    <row r="75" ht="16.5" spans="1:6">
      <c r="A75" s="8">
        <v>73</v>
      </c>
      <c r="B75" s="9" t="s">
        <v>141</v>
      </c>
      <c r="C75" s="8">
        <v>2</v>
      </c>
      <c r="D75" s="8">
        <v>1</v>
      </c>
      <c r="E75" s="8">
        <v>16.5</v>
      </c>
      <c r="F75" s="8">
        <v>16.5</v>
      </c>
    </row>
    <row r="76" ht="16.5" customHeight="1" spans="1:6">
      <c r="A76" s="8">
        <v>74</v>
      </c>
      <c r="B76" s="9" t="s">
        <v>142</v>
      </c>
      <c r="C76" s="8">
        <v>336</v>
      </c>
      <c r="D76" s="8">
        <v>12</v>
      </c>
      <c r="E76" s="8">
        <v>154</v>
      </c>
      <c r="F76" s="8">
        <v>1848</v>
      </c>
    </row>
    <row r="77" ht="16.5" spans="1:6">
      <c r="A77" s="8">
        <v>75</v>
      </c>
      <c r="B77" s="9" t="s">
        <v>143</v>
      </c>
      <c r="C77" s="8">
        <v>45</v>
      </c>
      <c r="D77" s="8">
        <v>15</v>
      </c>
      <c r="E77" s="8">
        <v>16.5</v>
      </c>
      <c r="F77" s="8">
        <v>247.5</v>
      </c>
    </row>
    <row r="78" ht="16.5" spans="1:6">
      <c r="A78" s="8">
        <v>76</v>
      </c>
      <c r="B78" s="9" t="s">
        <v>42</v>
      </c>
      <c r="C78" s="8">
        <v>1</v>
      </c>
      <c r="D78" s="8">
        <v>1</v>
      </c>
      <c r="E78" s="8">
        <v>8</v>
      </c>
      <c r="F78" s="8">
        <v>8</v>
      </c>
    </row>
    <row r="79" ht="16.5" spans="1:6">
      <c r="A79" s="8">
        <v>77</v>
      </c>
      <c r="B79" s="9" t="s">
        <v>144</v>
      </c>
      <c r="C79" s="8">
        <v>4</v>
      </c>
      <c r="D79" s="8">
        <v>1</v>
      </c>
      <c r="E79" s="8">
        <v>44</v>
      </c>
      <c r="F79" s="8">
        <v>44</v>
      </c>
    </row>
    <row r="80" ht="16.5" spans="1:6">
      <c r="A80" s="8">
        <v>78</v>
      </c>
      <c r="B80" s="9" t="s">
        <v>44</v>
      </c>
      <c r="C80" s="8">
        <v>0</v>
      </c>
      <c r="D80" s="8">
        <v>300</v>
      </c>
      <c r="E80" s="8">
        <v>2.5</v>
      </c>
      <c r="F80" s="8">
        <v>750</v>
      </c>
    </row>
    <row r="81" ht="16.5" spans="1:6">
      <c r="A81" s="8">
        <v>79</v>
      </c>
      <c r="B81" s="9" t="s">
        <v>145</v>
      </c>
      <c r="C81" s="8">
        <v>7</v>
      </c>
      <c r="D81" s="8">
        <v>7</v>
      </c>
      <c r="E81" s="8">
        <v>16.5</v>
      </c>
      <c r="F81" s="8">
        <v>115.5</v>
      </c>
    </row>
    <row r="82" ht="16.5" spans="1:6">
      <c r="A82" s="8">
        <v>80</v>
      </c>
      <c r="B82" s="9" t="s">
        <v>146</v>
      </c>
      <c r="C82" s="8">
        <v>2</v>
      </c>
      <c r="D82" s="8">
        <v>2</v>
      </c>
      <c r="E82" s="8">
        <v>16.5</v>
      </c>
      <c r="F82" s="8">
        <v>33</v>
      </c>
    </row>
    <row r="83" ht="16.5" spans="1:6">
      <c r="A83" s="8">
        <v>81</v>
      </c>
      <c r="B83" s="9" t="s">
        <v>147</v>
      </c>
      <c r="C83" s="8">
        <v>11281</v>
      </c>
      <c r="D83" s="8">
        <v>389</v>
      </c>
      <c r="E83" s="8">
        <v>159.5</v>
      </c>
      <c r="F83" s="8">
        <v>62045.5</v>
      </c>
    </row>
    <row r="84" ht="16.5" spans="1:6">
      <c r="A84" s="8">
        <v>82</v>
      </c>
      <c r="B84" s="9" t="s">
        <v>148</v>
      </c>
      <c r="C84" s="8">
        <v>348</v>
      </c>
      <c r="D84" s="8">
        <v>116</v>
      </c>
      <c r="E84" s="8">
        <v>16.5</v>
      </c>
      <c r="F84" s="8">
        <v>1914</v>
      </c>
    </row>
    <row r="85" ht="16.5" spans="1:6">
      <c r="A85" s="8">
        <v>83</v>
      </c>
      <c r="B85" s="9" t="s">
        <v>149</v>
      </c>
      <c r="C85" s="8">
        <v>24</v>
      </c>
      <c r="D85" s="8">
        <v>12</v>
      </c>
      <c r="E85" s="8">
        <v>16.5</v>
      </c>
      <c r="F85" s="8">
        <v>198</v>
      </c>
    </row>
    <row r="86" ht="16.5" spans="1:6">
      <c r="A86" s="8">
        <v>84</v>
      </c>
      <c r="B86" s="9" t="s">
        <v>150</v>
      </c>
      <c r="C86" s="8">
        <v>220</v>
      </c>
      <c r="D86" s="8">
        <v>10</v>
      </c>
      <c r="E86" s="8">
        <v>121</v>
      </c>
      <c r="F86" s="8">
        <v>1210</v>
      </c>
    </row>
    <row r="87" ht="16.5" spans="1:6">
      <c r="A87" s="8">
        <v>85</v>
      </c>
      <c r="B87" s="9" t="s">
        <v>151</v>
      </c>
      <c r="C87" s="8">
        <v>15</v>
      </c>
      <c r="D87" s="8">
        <v>3</v>
      </c>
      <c r="E87" s="8">
        <v>27.5</v>
      </c>
      <c r="F87" s="8">
        <v>82.5</v>
      </c>
    </row>
    <row r="88" ht="16.5" spans="1:6">
      <c r="A88" s="8">
        <v>86</v>
      </c>
      <c r="B88" s="9" t="s">
        <v>152</v>
      </c>
      <c r="C88" s="8">
        <v>10</v>
      </c>
      <c r="D88" s="8">
        <v>2</v>
      </c>
      <c r="E88" s="8">
        <v>27.5</v>
      </c>
      <c r="F88" s="8">
        <v>55</v>
      </c>
    </row>
    <row r="89" ht="16.5" spans="1:6">
      <c r="A89" s="8">
        <v>87</v>
      </c>
      <c r="B89" s="9" t="s">
        <v>153</v>
      </c>
      <c r="C89" s="8">
        <v>48</v>
      </c>
      <c r="D89" s="8">
        <v>6</v>
      </c>
      <c r="E89" s="8">
        <v>44</v>
      </c>
      <c r="F89" s="8">
        <v>264</v>
      </c>
    </row>
    <row r="90" ht="16.5" spans="1:6">
      <c r="A90" s="8">
        <v>88</v>
      </c>
      <c r="B90" s="9" t="s">
        <v>154</v>
      </c>
      <c r="C90" s="8">
        <v>9</v>
      </c>
      <c r="D90" s="8">
        <v>9</v>
      </c>
      <c r="E90" s="8">
        <v>8</v>
      </c>
      <c r="F90" s="8">
        <v>72</v>
      </c>
    </row>
    <row r="91" ht="16.5" spans="1:6">
      <c r="A91" s="8">
        <v>89</v>
      </c>
      <c r="B91" s="9" t="s">
        <v>155</v>
      </c>
      <c r="C91" s="8">
        <v>20</v>
      </c>
      <c r="D91" s="8">
        <v>2</v>
      </c>
      <c r="E91" s="8">
        <v>55</v>
      </c>
      <c r="F91" s="8">
        <v>110</v>
      </c>
    </row>
    <row r="92" ht="16.5" spans="1:6">
      <c r="A92" s="8">
        <v>90</v>
      </c>
      <c r="B92" s="9" t="s">
        <v>156</v>
      </c>
      <c r="C92" s="8">
        <v>30</v>
      </c>
      <c r="D92" s="8">
        <v>3</v>
      </c>
      <c r="E92" s="8">
        <v>55</v>
      </c>
      <c r="F92" s="8">
        <v>165</v>
      </c>
    </row>
    <row r="93" ht="16.5" spans="1:6">
      <c r="A93" s="8">
        <v>91</v>
      </c>
      <c r="B93" s="9" t="s">
        <v>157</v>
      </c>
      <c r="C93" s="8">
        <v>1</v>
      </c>
      <c r="D93" s="8">
        <v>1</v>
      </c>
      <c r="E93" s="8">
        <v>28</v>
      </c>
      <c r="F93" s="8">
        <v>28</v>
      </c>
    </row>
    <row r="94" ht="16.5" spans="1:6">
      <c r="A94" s="8">
        <v>92</v>
      </c>
      <c r="B94" s="9" t="s">
        <v>45</v>
      </c>
      <c r="C94" s="8">
        <v>7550</v>
      </c>
      <c r="D94" s="8">
        <v>302</v>
      </c>
      <c r="E94" s="8">
        <v>137.5</v>
      </c>
      <c r="F94" s="8">
        <v>41525</v>
      </c>
    </row>
    <row r="95" ht="16.5" spans="1:6">
      <c r="A95" s="8">
        <v>93</v>
      </c>
      <c r="B95" s="9" t="s">
        <v>46</v>
      </c>
      <c r="C95" s="8">
        <v>4</v>
      </c>
      <c r="D95" s="8">
        <v>4</v>
      </c>
      <c r="E95" s="8">
        <v>8</v>
      </c>
      <c r="F95" s="8">
        <v>32</v>
      </c>
    </row>
    <row r="96" ht="16.5" spans="1:6">
      <c r="A96" s="8">
        <v>94</v>
      </c>
      <c r="B96" s="9" t="s">
        <v>158</v>
      </c>
      <c r="C96" s="8">
        <v>3</v>
      </c>
      <c r="D96" s="8">
        <v>1</v>
      </c>
      <c r="E96" s="8">
        <v>16.5</v>
      </c>
      <c r="F96" s="8">
        <v>16.5</v>
      </c>
    </row>
    <row r="97" ht="16.5" spans="1:6">
      <c r="A97" s="8">
        <v>95</v>
      </c>
      <c r="B97" s="9" t="s">
        <v>159</v>
      </c>
      <c r="C97" s="8">
        <v>92</v>
      </c>
      <c r="D97" s="8">
        <v>46</v>
      </c>
      <c r="E97" s="8">
        <v>16.5</v>
      </c>
      <c r="F97" s="8">
        <v>759</v>
      </c>
    </row>
    <row r="98" ht="16.5" spans="1:6">
      <c r="A98" s="8">
        <v>96</v>
      </c>
      <c r="B98" s="9" t="s">
        <v>160</v>
      </c>
      <c r="C98" s="8">
        <v>120</v>
      </c>
      <c r="D98" s="8">
        <v>30</v>
      </c>
      <c r="E98" s="8">
        <v>22</v>
      </c>
      <c r="F98" s="8">
        <v>660</v>
      </c>
    </row>
    <row r="99" ht="16.5" spans="1:6">
      <c r="A99" s="8">
        <v>97</v>
      </c>
      <c r="B99" s="9" t="s">
        <v>50</v>
      </c>
      <c r="C99" s="8">
        <v>0</v>
      </c>
      <c r="D99" s="8">
        <v>58</v>
      </c>
      <c r="E99" s="8">
        <v>30</v>
      </c>
      <c r="F99" s="8">
        <v>1740</v>
      </c>
    </row>
    <row r="100" ht="16.5" spans="1:6">
      <c r="A100" s="8">
        <v>98</v>
      </c>
      <c r="B100" s="9" t="s">
        <v>161</v>
      </c>
      <c r="C100" s="8">
        <v>0</v>
      </c>
      <c r="D100" s="8">
        <v>91</v>
      </c>
      <c r="E100" s="8">
        <v>2.5</v>
      </c>
      <c r="F100" s="8">
        <v>227.5</v>
      </c>
    </row>
    <row r="101" ht="16.5" spans="1:6">
      <c r="A101" s="8">
        <v>99</v>
      </c>
      <c r="B101" s="9" t="s">
        <v>162</v>
      </c>
      <c r="C101" s="8">
        <v>6</v>
      </c>
      <c r="D101" s="8">
        <v>1</v>
      </c>
      <c r="E101" s="8">
        <v>33</v>
      </c>
      <c r="F101" s="8">
        <v>33</v>
      </c>
    </row>
    <row r="102" ht="16.5" spans="1:6">
      <c r="A102" s="8">
        <v>100</v>
      </c>
      <c r="B102" s="9" t="s">
        <v>163</v>
      </c>
      <c r="C102" s="8">
        <v>0</v>
      </c>
      <c r="D102" s="8">
        <v>124</v>
      </c>
      <c r="E102" s="8">
        <v>25</v>
      </c>
      <c r="F102" s="8">
        <v>3100</v>
      </c>
    </row>
    <row r="103" ht="16.5" spans="1:6">
      <c r="A103" s="8">
        <v>101</v>
      </c>
      <c r="B103" s="9" t="s">
        <v>164</v>
      </c>
      <c r="C103" s="8">
        <v>2</v>
      </c>
      <c r="D103" s="8">
        <v>1</v>
      </c>
      <c r="E103" s="8">
        <v>30</v>
      </c>
      <c r="F103" s="8">
        <v>30</v>
      </c>
    </row>
    <row r="104" ht="16.5" spans="1:6">
      <c r="A104" s="8">
        <v>102</v>
      </c>
      <c r="B104" s="9" t="s">
        <v>165</v>
      </c>
      <c r="C104" s="8">
        <v>5</v>
      </c>
      <c r="D104" s="8">
        <v>1</v>
      </c>
      <c r="E104" s="8">
        <v>88</v>
      </c>
      <c r="F104" s="8">
        <v>88</v>
      </c>
    </row>
    <row r="105" ht="16.5" spans="1:6">
      <c r="A105" s="8">
        <v>103</v>
      </c>
      <c r="B105" s="9" t="s">
        <v>166</v>
      </c>
      <c r="C105" s="8">
        <v>748</v>
      </c>
      <c r="D105" s="8">
        <v>22</v>
      </c>
      <c r="E105" s="8">
        <v>187</v>
      </c>
      <c r="F105" s="8">
        <v>4114</v>
      </c>
    </row>
    <row r="106" ht="16.5" spans="1:6">
      <c r="A106" s="8">
        <v>104</v>
      </c>
      <c r="B106" s="9" t="s">
        <v>167</v>
      </c>
      <c r="C106" s="8">
        <v>2</v>
      </c>
      <c r="D106" s="8">
        <v>1</v>
      </c>
      <c r="E106" s="8">
        <v>16.5</v>
      </c>
      <c r="F106" s="8">
        <v>16.5</v>
      </c>
    </row>
    <row r="107" ht="16.5" spans="1:6">
      <c r="A107" s="8">
        <v>105</v>
      </c>
      <c r="B107" s="9" t="s">
        <v>168</v>
      </c>
      <c r="C107" s="8">
        <v>22</v>
      </c>
      <c r="D107" s="8">
        <v>1</v>
      </c>
      <c r="E107" s="8">
        <v>121</v>
      </c>
      <c r="F107" s="8">
        <v>121</v>
      </c>
    </row>
    <row r="108" ht="16.5" spans="1:6">
      <c r="A108" s="8">
        <v>106</v>
      </c>
      <c r="B108" s="9" t="s">
        <v>169</v>
      </c>
      <c r="C108" s="8">
        <v>32</v>
      </c>
      <c r="D108" s="8">
        <v>8</v>
      </c>
      <c r="E108" s="8">
        <v>22</v>
      </c>
      <c r="F108" s="8">
        <v>176</v>
      </c>
    </row>
    <row r="109" ht="16.5" spans="1:6">
      <c r="A109" s="8">
        <v>107</v>
      </c>
      <c r="B109" s="9" t="s">
        <v>170</v>
      </c>
      <c r="C109" s="8">
        <v>2</v>
      </c>
      <c r="D109" s="8">
        <v>2</v>
      </c>
      <c r="E109" s="8">
        <v>16.5</v>
      </c>
      <c r="F109" s="8">
        <v>33</v>
      </c>
    </row>
    <row r="110" ht="16.5" spans="1:6">
      <c r="A110" s="8">
        <v>108</v>
      </c>
      <c r="B110" s="9" t="s">
        <v>171</v>
      </c>
      <c r="C110" s="8">
        <v>10</v>
      </c>
      <c r="D110" s="8">
        <v>10</v>
      </c>
      <c r="E110" s="8">
        <v>16.5</v>
      </c>
      <c r="F110" s="8">
        <v>165</v>
      </c>
    </row>
    <row r="111" ht="16.5" spans="1:6">
      <c r="A111" s="8">
        <v>109</v>
      </c>
      <c r="B111" s="9" t="s">
        <v>172</v>
      </c>
      <c r="C111" s="8">
        <v>5</v>
      </c>
      <c r="D111" s="8">
        <v>5</v>
      </c>
      <c r="E111" s="8">
        <v>16</v>
      </c>
      <c r="F111" s="8">
        <v>80</v>
      </c>
    </row>
    <row r="112" ht="16.5" spans="1:6">
      <c r="A112" s="8">
        <v>110</v>
      </c>
      <c r="B112" s="9" t="s">
        <v>173</v>
      </c>
      <c r="C112" s="8">
        <v>1</v>
      </c>
      <c r="D112" s="8">
        <v>1</v>
      </c>
      <c r="E112" s="8">
        <v>16</v>
      </c>
      <c r="F112" s="8">
        <v>16</v>
      </c>
    </row>
    <row r="113" ht="16.5" spans="1:6">
      <c r="A113" s="8">
        <v>111</v>
      </c>
      <c r="B113" s="9" t="s">
        <v>174</v>
      </c>
      <c r="C113" s="8">
        <v>2</v>
      </c>
      <c r="D113" s="8">
        <v>1</v>
      </c>
      <c r="E113" s="8">
        <v>13.5</v>
      </c>
      <c r="F113" s="8">
        <v>13.5</v>
      </c>
    </row>
    <row r="114" ht="16.5" spans="1:6">
      <c r="A114" s="8">
        <v>112</v>
      </c>
      <c r="B114" s="9" t="s">
        <v>175</v>
      </c>
      <c r="C114" s="8">
        <v>0</v>
      </c>
      <c r="D114" s="8">
        <v>15</v>
      </c>
      <c r="E114" s="8">
        <v>25</v>
      </c>
      <c r="F114" s="8">
        <v>375</v>
      </c>
    </row>
    <row r="115" ht="16.5" spans="1:6">
      <c r="A115" s="8">
        <v>113</v>
      </c>
      <c r="B115" s="9" t="s">
        <v>176</v>
      </c>
      <c r="C115" s="8">
        <v>0</v>
      </c>
      <c r="D115" s="8">
        <v>201</v>
      </c>
      <c r="E115" s="8">
        <v>35</v>
      </c>
      <c r="F115" s="8">
        <v>7035</v>
      </c>
    </row>
    <row r="116" ht="16.5" spans="1:6">
      <c r="A116" s="8">
        <v>114</v>
      </c>
      <c r="B116" s="9" t="s">
        <v>177</v>
      </c>
      <c r="C116" s="8">
        <v>14464</v>
      </c>
      <c r="D116" s="8">
        <v>452</v>
      </c>
      <c r="E116" s="8">
        <v>176</v>
      </c>
      <c r="F116" s="8">
        <v>79552</v>
      </c>
    </row>
    <row r="117" ht="16.5" spans="1:6">
      <c r="A117" s="8">
        <v>115</v>
      </c>
      <c r="B117" s="9" t="s">
        <v>178</v>
      </c>
      <c r="C117" s="8">
        <v>0</v>
      </c>
      <c r="D117" s="8">
        <v>8</v>
      </c>
      <c r="E117" s="8">
        <v>4</v>
      </c>
      <c r="F117" s="8">
        <v>32</v>
      </c>
    </row>
    <row r="118" ht="16.5" spans="1:6">
      <c r="A118" s="8">
        <v>116</v>
      </c>
      <c r="B118" s="9" t="s">
        <v>53</v>
      </c>
      <c r="C118" s="8">
        <v>14</v>
      </c>
      <c r="D118" s="8">
        <v>14</v>
      </c>
      <c r="E118" s="8">
        <v>8</v>
      </c>
      <c r="F118" s="8">
        <v>112</v>
      </c>
    </row>
    <row r="119" ht="16.5" spans="1:6">
      <c r="A119" s="8">
        <v>117</v>
      </c>
      <c r="B119" s="9" t="s">
        <v>179</v>
      </c>
      <c r="C119" s="8">
        <v>0</v>
      </c>
      <c r="D119" s="8">
        <v>20</v>
      </c>
      <c r="E119" s="8">
        <v>25</v>
      </c>
      <c r="F119" s="8">
        <v>500</v>
      </c>
    </row>
    <row r="120" ht="16.5" spans="1:6">
      <c r="A120" s="8">
        <v>118</v>
      </c>
      <c r="B120" s="9" t="s">
        <v>180</v>
      </c>
      <c r="C120" s="8">
        <v>77</v>
      </c>
      <c r="D120" s="8">
        <v>7</v>
      </c>
      <c r="E120" s="8">
        <v>60.5</v>
      </c>
      <c r="F120" s="8">
        <v>423.5</v>
      </c>
    </row>
    <row r="121" ht="16.5" spans="1:6">
      <c r="A121" s="8">
        <v>119</v>
      </c>
      <c r="B121" s="9" t="s">
        <v>181</v>
      </c>
      <c r="C121" s="8">
        <v>88</v>
      </c>
      <c r="D121" s="8">
        <v>8</v>
      </c>
      <c r="E121" s="8">
        <v>60.5</v>
      </c>
      <c r="F121" s="8">
        <v>484</v>
      </c>
    </row>
    <row r="122" ht="16.5" spans="1:6">
      <c r="A122" s="8">
        <v>120</v>
      </c>
      <c r="B122" s="9" t="s">
        <v>182</v>
      </c>
      <c r="C122" s="8">
        <v>26</v>
      </c>
      <c r="D122" s="8">
        <v>2</v>
      </c>
      <c r="E122" s="8">
        <v>71.5</v>
      </c>
      <c r="F122" s="8">
        <v>143</v>
      </c>
    </row>
    <row r="123" ht="16.5" spans="1:6">
      <c r="A123" s="8">
        <v>121</v>
      </c>
      <c r="B123" s="9" t="s">
        <v>183</v>
      </c>
      <c r="C123" s="8">
        <v>48</v>
      </c>
      <c r="D123" s="8">
        <v>4</v>
      </c>
      <c r="E123" s="8">
        <v>66</v>
      </c>
      <c r="F123" s="8">
        <v>264</v>
      </c>
    </row>
    <row r="124" ht="16.5" spans="1:6">
      <c r="A124" s="8">
        <v>122</v>
      </c>
      <c r="B124" s="9" t="s">
        <v>184</v>
      </c>
      <c r="C124" s="8">
        <v>18</v>
      </c>
      <c r="D124" s="8">
        <v>1</v>
      </c>
      <c r="E124" s="8">
        <v>99</v>
      </c>
      <c r="F124" s="8">
        <v>99</v>
      </c>
    </row>
    <row r="125" ht="16.5" spans="1:6">
      <c r="A125" s="8">
        <v>123</v>
      </c>
      <c r="B125" s="9" t="s">
        <v>58</v>
      </c>
      <c r="C125" s="8">
        <v>48</v>
      </c>
      <c r="D125" s="8">
        <v>16</v>
      </c>
      <c r="E125" s="8">
        <v>16.5</v>
      </c>
      <c r="F125" s="8">
        <v>264</v>
      </c>
    </row>
    <row r="126" ht="16.5" spans="1:6">
      <c r="A126" s="8">
        <v>124</v>
      </c>
      <c r="B126" s="9" t="s">
        <v>185</v>
      </c>
      <c r="C126" s="8">
        <v>40</v>
      </c>
      <c r="D126" s="8">
        <v>20</v>
      </c>
      <c r="E126" s="8">
        <v>16.5</v>
      </c>
      <c r="F126" s="8">
        <v>330</v>
      </c>
    </row>
    <row r="127" ht="16.5" spans="1:6">
      <c r="A127" s="8">
        <v>125</v>
      </c>
      <c r="B127" s="9" t="s">
        <v>186</v>
      </c>
      <c r="C127" s="8">
        <v>248</v>
      </c>
      <c r="D127" s="8">
        <v>124</v>
      </c>
      <c r="E127" s="8">
        <v>16.5</v>
      </c>
      <c r="F127" s="8">
        <v>2046</v>
      </c>
    </row>
    <row r="128" ht="16.5" spans="1:6">
      <c r="A128" s="8">
        <v>126</v>
      </c>
      <c r="B128" s="9" t="s">
        <v>187</v>
      </c>
      <c r="C128" s="8">
        <v>58</v>
      </c>
      <c r="D128" s="8">
        <v>58</v>
      </c>
      <c r="E128" s="8">
        <v>16.5</v>
      </c>
      <c r="F128" s="8">
        <v>957</v>
      </c>
    </row>
    <row r="129" ht="16.5" spans="1:6">
      <c r="A129" s="8">
        <v>127</v>
      </c>
      <c r="B129" s="9" t="s">
        <v>188</v>
      </c>
      <c r="C129" s="8">
        <v>28</v>
      </c>
      <c r="D129" s="8">
        <v>14</v>
      </c>
      <c r="E129" s="8">
        <v>16.5</v>
      </c>
      <c r="F129" s="8">
        <v>231</v>
      </c>
    </row>
    <row r="130" ht="16.5" spans="1:6">
      <c r="A130" s="8">
        <v>128</v>
      </c>
      <c r="B130" s="9" t="s">
        <v>189</v>
      </c>
      <c r="C130" s="8">
        <v>18</v>
      </c>
      <c r="D130" s="8">
        <v>6</v>
      </c>
      <c r="E130" s="8">
        <v>16.5</v>
      </c>
      <c r="F130" s="8">
        <v>99</v>
      </c>
    </row>
    <row r="131" ht="16.5" spans="1:6">
      <c r="A131" s="8">
        <v>129</v>
      </c>
      <c r="B131" s="9" t="s">
        <v>66</v>
      </c>
      <c r="C131" s="8">
        <v>14</v>
      </c>
      <c r="D131" s="8">
        <v>14</v>
      </c>
      <c r="E131" s="8">
        <v>8</v>
      </c>
      <c r="F131" s="8">
        <v>112</v>
      </c>
    </row>
    <row r="132" ht="16.5" spans="1:6">
      <c r="A132" s="8">
        <v>130</v>
      </c>
      <c r="B132" s="9" t="s">
        <v>69</v>
      </c>
      <c r="C132" s="8">
        <v>22</v>
      </c>
      <c r="D132" s="8">
        <v>11</v>
      </c>
      <c r="E132" s="8">
        <v>16.5</v>
      </c>
      <c r="F132" s="8">
        <v>181.5</v>
      </c>
    </row>
    <row r="133" ht="16.5" spans="1:6">
      <c r="A133" s="8">
        <v>131</v>
      </c>
      <c r="B133" s="9" t="s">
        <v>190</v>
      </c>
      <c r="C133" s="8">
        <v>30</v>
      </c>
      <c r="D133" s="8">
        <v>15</v>
      </c>
      <c r="E133" s="8">
        <v>16.5</v>
      </c>
      <c r="F133" s="8">
        <v>247.5</v>
      </c>
    </row>
    <row r="134" ht="16.5" spans="1:6">
      <c r="A134" s="8">
        <v>132</v>
      </c>
      <c r="B134" s="9" t="s">
        <v>191</v>
      </c>
      <c r="C134" s="8">
        <v>2</v>
      </c>
      <c r="D134" s="8">
        <v>1</v>
      </c>
      <c r="E134" s="8">
        <v>35</v>
      </c>
      <c r="F134" s="8">
        <v>35</v>
      </c>
    </row>
    <row r="135" ht="16.5" spans="1:6">
      <c r="A135" s="8">
        <v>133</v>
      </c>
      <c r="B135" s="9" t="s">
        <v>192</v>
      </c>
      <c r="C135" s="8">
        <v>1</v>
      </c>
      <c r="D135" s="8">
        <v>1</v>
      </c>
      <c r="E135" s="8">
        <v>16.5</v>
      </c>
      <c r="F135" s="8">
        <v>16.5</v>
      </c>
    </row>
    <row r="136" ht="16.5" spans="1:6">
      <c r="A136" s="8">
        <v>134</v>
      </c>
      <c r="B136" s="9" t="s">
        <v>193</v>
      </c>
      <c r="C136" s="8">
        <v>27</v>
      </c>
      <c r="D136" s="8">
        <v>1</v>
      </c>
      <c r="E136" s="8">
        <v>148.5</v>
      </c>
      <c r="F136" s="8">
        <v>148.5</v>
      </c>
    </row>
    <row r="137" ht="16.5" spans="1:6">
      <c r="A137" s="8">
        <v>135</v>
      </c>
      <c r="B137" s="12" t="s">
        <v>194</v>
      </c>
      <c r="C137" s="8">
        <v>260</v>
      </c>
      <c r="D137" s="8">
        <v>8</v>
      </c>
      <c r="E137" s="8">
        <v>170.5</v>
      </c>
      <c r="F137" s="8">
        <v>1364</v>
      </c>
    </row>
    <row r="138" ht="16.5" spans="1:6">
      <c r="A138" s="8">
        <v>136</v>
      </c>
      <c r="B138" s="9" t="s">
        <v>195</v>
      </c>
      <c r="C138" s="8">
        <v>108</v>
      </c>
      <c r="D138" s="8">
        <v>9</v>
      </c>
      <c r="E138" s="8">
        <v>66</v>
      </c>
      <c r="F138" s="8">
        <v>594</v>
      </c>
    </row>
    <row r="139" ht="16.5" spans="1:6">
      <c r="A139" s="13" t="s">
        <v>71</v>
      </c>
      <c r="B139" s="14"/>
      <c r="C139" s="14"/>
      <c r="D139" s="14"/>
      <c r="E139" s="15"/>
      <c r="F139" s="8">
        <f>SUM(F3:F138)</f>
        <v>241566.5</v>
      </c>
    </row>
  </sheetData>
  <autoFilter xmlns:etc="http://www.wps.cn/officeDocument/2017/etCustomData" ref="A2:XEL139" etc:filterBottomFollowUsedRange="0">
    <extLst/>
  </autoFilter>
  <mergeCells count="2">
    <mergeCell ref="A1:F1"/>
    <mergeCell ref="A139:E139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手术二区</vt:lpstr>
      <vt:lpstr>手术一区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2024-05-24T05:02:00Z</dcterms:created>
  <dcterms:modified xsi:type="dcterms:W3CDTF">2026-05-21T07:09:29Z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3D51F711CCA340BAB4790F4D4D0342C9_13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