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05" windowHeight="11430" firstSheet="5"/>
  </bookViews>
  <sheets>
    <sheet name="Sheet2" sheetId="6" r:id="rId1"/>
  </sheets>
  <definedNames>
    <definedName name="_xlnm._FilterDatabase" localSheetId="0" hidden="1">Sheet2!$A$3:$G$53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<sst xmlns="http://schemas.openxmlformats.org/spreadsheetml/2006/main" count="59" uniqueCount="59">
  <si>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哈尔滨市第五医院2026年4月9日-2026年5月8日科室灭菌价格汇总</t>
  </si>
  <si>
    <t>科室</t>
  </si>
  <si>
    <t>基础器械</t>
  </si>
  <si>
    <t>低温器械</t>
  </si>
  <si>
    <t>外来器械</t>
  </si>
  <si>
    <t>物流费用</t>
  </si>
  <si>
    <t>价格</t>
  </si>
  <si>
    <t>确认签字</t>
  </si>
  <si>
    <t>合计费用</t>
  </si>
  <si>
    <t>（一）手术室</t>
  </si>
  <si>
    <t>（二）手术室</t>
  </si>
  <si>
    <t>骨一(一病区)</t>
  </si>
  <si>
    <t>骨一(二病区)</t>
  </si>
  <si>
    <t>骨二</t>
  </si>
  <si>
    <t>骨三</t>
  </si>
  <si>
    <t>骨四</t>
  </si>
  <si>
    <t>骨四（二）</t>
  </si>
  <si>
    <t>骨五</t>
  </si>
  <si>
    <t>骨六</t>
  </si>
  <si>
    <t>骨七</t>
  </si>
  <si>
    <t>骨八</t>
  </si>
  <si>
    <t>骨九</t>
  </si>
  <si>
    <t>骨十</t>
  </si>
  <si>
    <t>骨十一</t>
  </si>
  <si>
    <t>骨十一（二）</t>
  </si>
  <si>
    <t>胸外科</t>
  </si>
  <si>
    <t>创伤外科</t>
  </si>
  <si>
    <t>普外二</t>
  </si>
  <si>
    <t>普外三</t>
  </si>
  <si>
    <t>神外病区</t>
  </si>
  <si>
    <t>偏瘫科</t>
  </si>
  <si>
    <t>烧伤一科</t>
  </si>
  <si>
    <t>烧伤二科</t>
  </si>
  <si>
    <t>烧伤三科</t>
  </si>
  <si>
    <t>慢创</t>
  </si>
  <si>
    <t>ICU</t>
  </si>
  <si>
    <t>妇产科</t>
  </si>
  <si>
    <t>产科分娩室</t>
  </si>
  <si>
    <t>呼吸</t>
  </si>
  <si>
    <t>肾内科</t>
  </si>
  <si>
    <t>急诊科</t>
  </si>
  <si>
    <t>耳鼻喉手术室</t>
  </si>
  <si>
    <t>耳鼻喉门诊</t>
  </si>
  <si>
    <t>眼科门诊</t>
  </si>
  <si>
    <t>口内</t>
  </si>
  <si>
    <t>口外</t>
  </si>
  <si>
    <t>妇科门诊</t>
  </si>
  <si>
    <t>美容科</t>
  </si>
  <si>
    <t>门诊换药室</t>
  </si>
  <si>
    <t>疼痛门诊</t>
  </si>
  <si>
    <t>腔镜室</t>
  </si>
  <si>
    <t>肛肠门诊</t>
  </si>
  <si>
    <t>冲击波门诊</t>
  </si>
  <si>
    <t>内分泌</t>
  </si>
  <si>
    <t>全科</t>
  </si>
  <si>
    <t>二门诊口腔科</t>
  </si>
  <si>
    <t>二门诊美容科</t>
  </si>
  <si>
    <t>二门诊手术室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</si>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</sst>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[$-10804]0.00;\(0.00\)"/>
    <numFmt numFmtId="179" formatCode="0.00_);\(0.00\)"/>
  </numFmts>
  <fonts count="30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 readingOrder="1"/>
    </xf>
    <xf numFmtId="178" fontId="7" fillId="0" borderId="1" xfId="0" applyNumberFormat="1" applyFont="1" applyFill="1" applyBorder="1" applyAlignment="1">
      <alignment horizontal="center" vertical="center" wrapText="1" readingOrder="1"/>
    </xf>
    <xf numFmtId="179" fontId="2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center" wrapText="1" readingOrder="1"/>
    </xf>
    <xf numFmtId="178" fontId="8" fillId="0" borderId="1" xfId="0" applyNumberFormat="1" applyFont="1" applyFill="1" applyBorder="1" applyAlignment="1">
      <alignment horizontal="center" vertical="center" wrapText="1" readingOrder="1"/>
    </xf>
    <xf numFmtId="176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53"/>
  <sheetViews>
    <sheetView tabSelected="1" view="pageBreakPreview" zoomScaleNormal="100" workbookViewId="0">
      <pane xSplit="1" ySplit="3" topLeftCell="B38" activePane="bottomRight" state="frozen"/>
      <selection/>
      <selection pane="topRight"/>
      <selection pane="bottomLeft"/>
      <selection pane="bottomRight" activeCell="B53" sqref="B53:C53"/>
    </sheetView>
  </sheetViews>
  <sheetFormatPr defaultColWidth="9" defaultRowHeight="17.25" outlineLevelCol="6"/>
  <cols>
    <col min="1" max="1" width="22.2583333333333" style="4" customWidth="1"/>
    <col min="2" max="2" width="13.625" style="5" customWidth="1"/>
    <col min="3" max="4" width="12.875" style="6" customWidth="1"/>
    <col min="5" max="5" width="11.2583333333333" style="7" customWidth="1"/>
    <col min="6" max="6" width="14.5" style="8" customWidth="1"/>
    <col min="7" max="7" width="11.2583333333333" style="9" customWidth="1"/>
    <col min="8" max="16223" width="11" style="1"/>
    <col min="16224" max="16384" width="9" style="1"/>
  </cols>
  <sheetData>
    <row r="1" s="1" customFormat="1" ht="22" customHeight="1" spans="1:7">
      <c r="A1" s="10" t="s">
        <v>0</v>
      </c>
      <c r="B1" s="11"/>
      <c r="C1" s="12"/>
      <c r="D1" s="12"/>
      <c r="E1" s="13"/>
      <c r="F1" s="14"/>
      <c r="G1" s="10"/>
    </row>
    <row r="2" s="2" customFormat="1" ht="22" customHeight="1" spans="1:7">
      <c r="A2" s="15" t="s">
        <v>1</v>
      </c>
      <c r="B2" s="16" t="s">
        <v>2</v>
      </c>
      <c r="C2" s="17" t="s">
        <v>3</v>
      </c>
      <c r="D2" s="18" t="s">
        <v>4</v>
      </c>
      <c r="E2" s="19" t="s">
        <v>5</v>
      </c>
      <c r="F2" s="18" t="s">
        <v>6</v>
      </c>
      <c r="G2" s="15" t="s">
        <v>7</v>
      </c>
    </row>
    <row r="3" s="2" customFormat="1" ht="22" customHeight="1" spans="1:7">
      <c r="A3" s="15"/>
      <c r="B3" s="16"/>
      <c r="C3" s="17"/>
      <c r="D3" s="18"/>
      <c r="E3" s="19"/>
      <c r="F3" s="18" t="s">
        <v>8</v>
      </c>
      <c r="G3" s="15"/>
    </row>
    <row r="4" s="3" customFormat="1" ht="45" customHeight="1" spans="1:7">
      <c r="A4" s="20" t="s">
        <v>9</v>
      </c>
      <c r="B4" s="21">
        <f>241566.5-C4</f>
        <v>240659.5</v>
      </c>
      <c r="C4" s="17">
        <v>907</v>
      </c>
      <c r="D4" s="17">
        <v>271</v>
      </c>
      <c r="E4" s="19">
        <v>317.03</v>
      </c>
      <c r="F4" s="22">
        <f t="shared" ref="F4:F19" si="0">B4+C4+D4+E4</f>
        <v>242154.53</v>
      </c>
      <c r="G4" s="15"/>
    </row>
    <row r="5" s="3" customFormat="1" ht="45" customHeight="1" spans="1:7">
      <c r="A5" s="20" t="s">
        <v>10</v>
      </c>
      <c r="B5" s="21">
        <f>77499.5-C5</f>
        <v>77324.5</v>
      </c>
      <c r="C5" s="17">
        <v>175</v>
      </c>
      <c r="D5" s="17">
        <v>188</v>
      </c>
      <c r="E5" s="19">
        <v>101.84</v>
      </c>
      <c r="F5" s="22">
        <f t="shared" si="0"/>
        <v>77789.34</v>
      </c>
      <c r="G5" s="15"/>
    </row>
    <row r="6" s="3" customFormat="1" ht="45" customHeight="1" spans="1:7">
      <c r="A6" s="20" t="s">
        <v>11</v>
      </c>
      <c r="B6" s="21">
        <v>88</v>
      </c>
      <c r="C6" s="17">
        <v>616</v>
      </c>
      <c r="D6" s="17">
        <f>660+275+16.5+2678.5+16450.5</f>
        <v>20080.5</v>
      </c>
      <c r="E6" s="19">
        <v>27.25</v>
      </c>
      <c r="F6" s="22">
        <f t="shared" si="0"/>
        <v>20811.75</v>
      </c>
      <c r="G6" s="15"/>
    </row>
    <row r="7" s="3" customFormat="1" ht="45" customHeight="1" spans="1:7">
      <c r="A7" s="20" t="s">
        <v>12</v>
      </c>
      <c r="B7" s="21">
        <v>110</v>
      </c>
      <c r="C7" s="17"/>
      <c r="D7" s="17">
        <f>363+401.5+8042.5</f>
        <v>8807</v>
      </c>
      <c r="E7" s="19">
        <v>11.69</v>
      </c>
      <c r="F7" s="22">
        <f t="shared" si="0"/>
        <v>8928.69</v>
      </c>
      <c r="G7" s="15"/>
    </row>
    <row r="8" s="3" customFormat="1" ht="45" customHeight="1" spans="1:7">
      <c r="A8" s="20" t="s">
        <v>13</v>
      </c>
      <c r="B8" s="21"/>
      <c r="C8" s="17">
        <v>704</v>
      </c>
      <c r="D8" s="2">
        <f>66+357.5+31997.5</f>
        <v>32421</v>
      </c>
      <c r="E8" s="19">
        <v>43.42</v>
      </c>
      <c r="F8" s="22">
        <f t="shared" si="0"/>
        <v>33168.42</v>
      </c>
      <c r="G8" s="15"/>
    </row>
    <row r="9" s="3" customFormat="1" ht="45" customHeight="1" spans="1:7">
      <c r="A9" s="20" t="s">
        <v>14</v>
      </c>
      <c r="B9" s="21"/>
      <c r="C9" s="2"/>
      <c r="D9" s="17">
        <v>10194</v>
      </c>
      <c r="E9" s="19">
        <v>13.36</v>
      </c>
      <c r="F9" s="22">
        <f t="shared" si="0"/>
        <v>10207.36</v>
      </c>
      <c r="G9" s="15"/>
    </row>
    <row r="10" s="3" customFormat="1" ht="45" customHeight="1" spans="1:7">
      <c r="A10" s="20" t="s">
        <v>15</v>
      </c>
      <c r="B10" s="21">
        <v>88</v>
      </c>
      <c r="C10" s="17">
        <f>10436+1192</f>
        <v>11628</v>
      </c>
      <c r="D10" s="17">
        <f>16.5+3790.5+12083</f>
        <v>15890</v>
      </c>
      <c r="E10" s="19">
        <v>36.19</v>
      </c>
      <c r="F10" s="22">
        <f t="shared" si="0"/>
        <v>27642.19</v>
      </c>
      <c r="G10" s="15"/>
    </row>
    <row r="11" s="3" customFormat="1" ht="45" customHeight="1" spans="1:7">
      <c r="A11" s="20" t="s">
        <v>16</v>
      </c>
      <c r="B11" s="21"/>
      <c r="C11" s="17">
        <f>6244+44</f>
        <v>6288</v>
      </c>
      <c r="D11" s="17">
        <f>731+5578</f>
        <v>6309</v>
      </c>
      <c r="E11" s="19">
        <v>16.51</v>
      </c>
      <c r="F11" s="22">
        <f t="shared" si="0"/>
        <v>12613.51</v>
      </c>
      <c r="G11" s="15"/>
    </row>
    <row r="12" s="3" customFormat="1" ht="45" customHeight="1" spans="1:7">
      <c r="A12" s="20" t="s">
        <v>17</v>
      </c>
      <c r="B12" s="21">
        <v>88</v>
      </c>
      <c r="C12" s="17">
        <v>550</v>
      </c>
      <c r="D12" s="17">
        <f>286+23310.5</f>
        <v>23596.5</v>
      </c>
      <c r="E12" s="19">
        <v>31.77</v>
      </c>
      <c r="F12" s="22">
        <f t="shared" si="0"/>
        <v>24266.27</v>
      </c>
      <c r="G12" s="15"/>
    </row>
    <row r="13" s="3" customFormat="1" ht="45" customHeight="1" spans="1:7">
      <c r="A13" s="20" t="s">
        <v>18</v>
      </c>
      <c r="B13" s="21">
        <f>44+44</f>
        <v>88</v>
      </c>
      <c r="C13" s="17">
        <v>7710</v>
      </c>
      <c r="D13" s="17">
        <f>489.5+616+55+32341.5</f>
        <v>33502</v>
      </c>
      <c r="E13" s="19">
        <v>54.14</v>
      </c>
      <c r="F13" s="22">
        <f t="shared" si="0"/>
        <v>41354.14</v>
      </c>
      <c r="G13" s="15"/>
    </row>
    <row r="14" s="3" customFormat="1" ht="45" customHeight="1" spans="1:7">
      <c r="A14" s="20" t="s">
        <v>19</v>
      </c>
      <c r="B14" s="21">
        <v>132</v>
      </c>
      <c r="C14" s="17"/>
      <c r="D14" s="17">
        <v>5813.5</v>
      </c>
      <c r="E14" s="19">
        <v>7.79</v>
      </c>
      <c r="F14" s="22">
        <f t="shared" si="0"/>
        <v>5953.29</v>
      </c>
      <c r="G14" s="15"/>
    </row>
    <row r="15" s="3" customFormat="1" ht="45" customHeight="1" spans="1:7">
      <c r="A15" s="20" t="s">
        <v>20</v>
      </c>
      <c r="B15" s="21">
        <v>88</v>
      </c>
      <c r="C15" s="17">
        <v>792</v>
      </c>
      <c r="D15" s="17">
        <f>280.5+31535</f>
        <v>31815.5</v>
      </c>
      <c r="E15" s="19">
        <v>42.86</v>
      </c>
      <c r="F15" s="22">
        <f t="shared" si="0"/>
        <v>32738.36</v>
      </c>
      <c r="G15" s="15"/>
    </row>
    <row r="16" s="3" customFormat="1" ht="45" customHeight="1" spans="1:7">
      <c r="A16" s="20" t="s">
        <v>21</v>
      </c>
      <c r="B16" s="21"/>
      <c r="C16" s="17">
        <v>6260</v>
      </c>
      <c r="D16" s="17">
        <f>33+33+286+56945.5</f>
        <v>57297.5</v>
      </c>
      <c r="E16" s="19">
        <v>83.32</v>
      </c>
      <c r="F16" s="22">
        <f t="shared" si="0"/>
        <v>63640.82</v>
      </c>
      <c r="G16" s="15"/>
    </row>
    <row r="17" s="3" customFormat="1" ht="45" customHeight="1" spans="1:7">
      <c r="A17" s="20" t="s">
        <v>22</v>
      </c>
      <c r="B17" s="21"/>
      <c r="C17" s="17"/>
      <c r="D17" s="17">
        <f>16.5+13160</f>
        <v>13176.5</v>
      </c>
      <c r="E17" s="19">
        <v>17.27</v>
      </c>
      <c r="F17" s="22">
        <f t="shared" si="0"/>
        <v>13193.77</v>
      </c>
      <c r="G17" s="15"/>
    </row>
    <row r="18" s="3" customFormat="1" ht="45" customHeight="1" spans="1:7">
      <c r="A18" s="20" t="s">
        <v>23</v>
      </c>
      <c r="B18" s="21"/>
      <c r="C18" s="21">
        <v>660</v>
      </c>
      <c r="D18" s="17">
        <f>748+8254.5</f>
        <v>9002.5</v>
      </c>
      <c r="E18" s="19">
        <v>12.67</v>
      </c>
      <c r="F18" s="22">
        <f t="shared" si="0"/>
        <v>9675.17</v>
      </c>
      <c r="G18" s="15"/>
    </row>
    <row r="19" s="3" customFormat="1" ht="45" customHeight="1" spans="1:7">
      <c r="A19" s="20" t="s">
        <v>24</v>
      </c>
      <c r="B19" s="21"/>
      <c r="C19" s="17">
        <v>132</v>
      </c>
      <c r="D19" s="17">
        <f>715+7773.5</f>
        <v>8488.5</v>
      </c>
      <c r="E19" s="19">
        <v>11.3</v>
      </c>
      <c r="F19" s="22">
        <f t="shared" si="0"/>
        <v>8631.8</v>
      </c>
      <c r="G19" s="15"/>
    </row>
    <row r="20" s="3" customFormat="1" ht="45" customHeight="1" spans="1:7">
      <c r="A20" s="20" t="s">
        <v>25</v>
      </c>
      <c r="B20" s="21">
        <v>176</v>
      </c>
      <c r="C20" s="17">
        <v>682</v>
      </c>
      <c r="D20" s="17">
        <v>4457.5</v>
      </c>
      <c r="E20" s="19">
        <v>6.97</v>
      </c>
      <c r="F20" s="22">
        <f t="shared" ref="F20:F53" si="1">B20+C20+D20+E20</f>
        <v>5322.47</v>
      </c>
      <c r="G20" s="15"/>
    </row>
    <row r="21" s="3" customFormat="1" ht="45" customHeight="1" spans="1:7">
      <c r="A21" s="20" t="s">
        <v>26</v>
      </c>
      <c r="B21" s="21"/>
      <c r="C21" s="17"/>
      <c r="D21" s="17">
        <v>1438</v>
      </c>
      <c r="E21" s="19">
        <v>1.89</v>
      </c>
      <c r="F21" s="22">
        <f t="shared" si="1"/>
        <v>1439.89</v>
      </c>
      <c r="G21" s="15"/>
    </row>
    <row r="22" s="3" customFormat="1" ht="45" customHeight="1" spans="1:7">
      <c r="A22" s="20" t="s">
        <v>27</v>
      </c>
      <c r="B22" s="21">
        <v>132</v>
      </c>
      <c r="C22" s="17">
        <v>531</v>
      </c>
      <c r="D22" s="17">
        <v>2823.5</v>
      </c>
      <c r="E22" s="19">
        <v>4.57</v>
      </c>
      <c r="F22" s="22">
        <f t="shared" si="1"/>
        <v>3491.07</v>
      </c>
      <c r="G22" s="15"/>
    </row>
    <row r="23" s="3" customFormat="1" ht="45" customHeight="1" spans="1:7">
      <c r="A23" s="20" t="s">
        <v>28</v>
      </c>
      <c r="B23" s="21">
        <v>44</v>
      </c>
      <c r="C23" s="17"/>
      <c r="D23" s="17"/>
      <c r="E23" s="19">
        <v>0.06</v>
      </c>
      <c r="F23" s="22">
        <f t="shared" si="1"/>
        <v>44.06</v>
      </c>
      <c r="G23" s="15"/>
    </row>
    <row r="24" s="3" customFormat="1" ht="45" customHeight="1" spans="1:7">
      <c r="A24" s="20" t="s">
        <v>29</v>
      </c>
      <c r="B24" s="17"/>
      <c r="C24" s="17"/>
      <c r="D24" s="17">
        <v>16.5</v>
      </c>
      <c r="E24" s="19">
        <v>0.02</v>
      </c>
      <c r="F24" s="22">
        <f t="shared" si="1"/>
        <v>16.52</v>
      </c>
      <c r="G24" s="15"/>
    </row>
    <row r="25" s="3" customFormat="1" ht="45" customHeight="1" spans="1:7">
      <c r="A25" s="20" t="s">
        <v>30</v>
      </c>
      <c r="B25" s="21">
        <v>720.5</v>
      </c>
      <c r="C25" s="17"/>
      <c r="D25" s="17">
        <f>33+528</f>
        <v>561</v>
      </c>
      <c r="E25" s="19">
        <v>1.68</v>
      </c>
      <c r="F25" s="22">
        <f t="shared" si="1"/>
        <v>1283.18</v>
      </c>
      <c r="G25" s="15"/>
    </row>
    <row r="26" s="3" customFormat="1" ht="50" customHeight="1" spans="1:7">
      <c r="A26" s="20" t="s">
        <v>31</v>
      </c>
      <c r="B26" s="21">
        <v>1606</v>
      </c>
      <c r="C26" s="17"/>
      <c r="D26" s="17">
        <v>16.5</v>
      </c>
      <c r="E26" s="19">
        <v>2.13</v>
      </c>
      <c r="F26" s="22">
        <f t="shared" si="1"/>
        <v>1624.63</v>
      </c>
      <c r="G26" s="15"/>
    </row>
    <row r="27" s="3" customFormat="1" ht="50" customHeight="1" spans="1:7">
      <c r="A27" s="20" t="s">
        <v>32</v>
      </c>
      <c r="B27" s="21">
        <v>1650</v>
      </c>
      <c r="C27" s="17"/>
      <c r="D27" s="17">
        <v>16.5</v>
      </c>
      <c r="E27" s="19">
        <v>2.18</v>
      </c>
      <c r="F27" s="22">
        <f t="shared" si="1"/>
        <v>1668.68</v>
      </c>
      <c r="G27" s="15"/>
    </row>
    <row r="28" s="3" customFormat="1" ht="50" customHeight="1" spans="1:7">
      <c r="A28" s="20" t="s">
        <v>33</v>
      </c>
      <c r="B28" s="21">
        <v>951.5</v>
      </c>
      <c r="C28" s="17"/>
      <c r="D28" s="17">
        <v>40</v>
      </c>
      <c r="E28" s="19">
        <v>1.3</v>
      </c>
      <c r="F28" s="22">
        <f t="shared" si="1"/>
        <v>992.8</v>
      </c>
      <c r="G28" s="15"/>
    </row>
    <row r="29" s="3" customFormat="1" ht="50" customHeight="1" spans="1:7">
      <c r="A29" s="20" t="s">
        <v>34</v>
      </c>
      <c r="B29" s="21">
        <v>464</v>
      </c>
      <c r="C29" s="17"/>
      <c r="D29" s="17"/>
      <c r="E29" s="19">
        <v>0.61</v>
      </c>
      <c r="F29" s="22">
        <f t="shared" si="1"/>
        <v>464.61</v>
      </c>
      <c r="G29" s="15"/>
    </row>
    <row r="30" s="3" customFormat="1" ht="50" customHeight="1" spans="1:7">
      <c r="A30" s="20" t="s">
        <v>35</v>
      </c>
      <c r="B30" s="21">
        <v>152</v>
      </c>
      <c r="C30" s="17"/>
      <c r="D30" s="17"/>
      <c r="E30" s="19">
        <v>0.2</v>
      </c>
      <c r="F30" s="22">
        <f t="shared" si="1"/>
        <v>152.2</v>
      </c>
      <c r="G30" s="15"/>
    </row>
    <row r="31" s="3" customFormat="1" ht="50" customHeight="1" spans="1:7">
      <c r="A31" s="20" t="s">
        <v>36</v>
      </c>
      <c r="B31" s="21">
        <v>44</v>
      </c>
      <c r="C31" s="17">
        <v>475</v>
      </c>
      <c r="D31" s="17"/>
      <c r="E31" s="19">
        <v>0.68</v>
      </c>
      <c r="F31" s="22">
        <f t="shared" si="1"/>
        <v>519.68</v>
      </c>
      <c r="G31" s="15"/>
    </row>
    <row r="32" s="3" customFormat="1" ht="50" customHeight="1" spans="1:7">
      <c r="A32" s="20" t="s">
        <v>37</v>
      </c>
      <c r="B32" s="21">
        <v>308</v>
      </c>
      <c r="C32" s="17"/>
      <c r="D32" s="17"/>
      <c r="E32" s="19">
        <v>0.4</v>
      </c>
      <c r="F32" s="22">
        <f t="shared" si="1"/>
        <v>308.4</v>
      </c>
      <c r="G32" s="15"/>
    </row>
    <row r="33" s="3" customFormat="1" ht="22" hidden="1" customHeight="1" spans="1:7">
      <c r="A33" s="20" t="s">
        <v>38</v>
      </c>
      <c r="B33" s="21"/>
      <c r="C33" s="17"/>
      <c r="D33" s="17"/>
      <c r="E33" s="19">
        <v>0</v>
      </c>
      <c r="F33" s="22">
        <f t="shared" si="1"/>
        <v>0</v>
      </c>
      <c r="G33" s="15"/>
    </row>
    <row r="34" s="3" customFormat="1" ht="50" customHeight="1" spans="1:7">
      <c r="A34" s="20" t="s">
        <v>39</v>
      </c>
      <c r="B34" s="21">
        <f>132+118</f>
        <v>250</v>
      </c>
      <c r="C34" s="17"/>
      <c r="D34" s="17"/>
      <c r="E34" s="19">
        <v>0.33</v>
      </c>
      <c r="F34" s="22">
        <f t="shared" si="1"/>
        <v>250.33</v>
      </c>
      <c r="G34" s="15"/>
    </row>
    <row r="35" s="3" customFormat="1" ht="50" customHeight="1" spans="1:7">
      <c r="A35" s="20" t="s">
        <v>40</v>
      </c>
      <c r="B35" s="21">
        <f>99+6424+556-C35</f>
        <v>7051</v>
      </c>
      <c r="C35" s="17">
        <v>28</v>
      </c>
      <c r="D35" s="17"/>
      <c r="E35" s="19">
        <v>9.28</v>
      </c>
      <c r="F35" s="22">
        <f t="shared" si="1"/>
        <v>7088.28</v>
      </c>
      <c r="G35" s="15"/>
    </row>
    <row r="36" s="3" customFormat="1" ht="50" customHeight="1" spans="1:7">
      <c r="A36" s="23" t="s">
        <v>41</v>
      </c>
      <c r="B36" s="24">
        <f>520-C36</f>
        <v>309</v>
      </c>
      <c r="C36" s="25">
        <v>211</v>
      </c>
      <c r="D36" s="17"/>
      <c r="E36" s="19">
        <v>0.68</v>
      </c>
      <c r="F36" s="22">
        <f t="shared" si="1"/>
        <v>520.68</v>
      </c>
      <c r="G36" s="15"/>
    </row>
    <row r="37" s="3" customFormat="1" ht="50" customHeight="1" spans="1:7">
      <c r="A37" s="20" t="s">
        <v>42</v>
      </c>
      <c r="B37" s="24">
        <f>830.5-C37</f>
        <v>770.5</v>
      </c>
      <c r="C37" s="25">
        <v>60</v>
      </c>
      <c r="D37" s="17"/>
      <c r="E37" s="19">
        <v>1.09</v>
      </c>
      <c r="F37" s="22">
        <f t="shared" si="1"/>
        <v>831.59</v>
      </c>
      <c r="G37" s="15"/>
    </row>
    <row r="38" s="3" customFormat="1" ht="50" customHeight="1" spans="1:7">
      <c r="A38" s="20" t="s">
        <v>43</v>
      </c>
      <c r="B38" s="24">
        <f>778.5+154-C38</f>
        <v>866.5</v>
      </c>
      <c r="C38" s="25">
        <f>66</f>
        <v>66</v>
      </c>
      <c r="D38" s="17"/>
      <c r="E38" s="19">
        <v>1.22</v>
      </c>
      <c r="F38" s="22">
        <f t="shared" si="1"/>
        <v>933.72</v>
      </c>
      <c r="G38" s="15"/>
    </row>
    <row r="39" s="3" customFormat="1" ht="50" customHeight="1" spans="1:7">
      <c r="A39" s="20" t="s">
        <v>44</v>
      </c>
      <c r="B39" s="24">
        <f>50+10434</f>
        <v>10484</v>
      </c>
      <c r="C39" s="25"/>
      <c r="D39" s="17"/>
      <c r="E39" s="19">
        <v>13.74</v>
      </c>
      <c r="F39" s="22">
        <f t="shared" si="1"/>
        <v>10497.74</v>
      </c>
      <c r="G39" s="15"/>
    </row>
    <row r="40" s="3" customFormat="1" ht="50" customHeight="1" spans="1:7">
      <c r="A40" s="20" t="s">
        <v>45</v>
      </c>
      <c r="B40" s="24">
        <f>50+7119</f>
        <v>7169</v>
      </c>
      <c r="C40" s="25"/>
      <c r="D40" s="17"/>
      <c r="E40" s="19">
        <v>9.4</v>
      </c>
      <c r="F40" s="22">
        <f t="shared" si="1"/>
        <v>7178.4</v>
      </c>
      <c r="G40" s="15"/>
    </row>
    <row r="41" s="3" customFormat="1" ht="50" customHeight="1" spans="1:7">
      <c r="A41" s="20" t="s">
        <v>46</v>
      </c>
      <c r="B41" s="24">
        <f>4294-C41</f>
        <v>1918</v>
      </c>
      <c r="C41" s="25">
        <v>2376</v>
      </c>
      <c r="D41" s="17"/>
      <c r="E41" s="19">
        <v>5.63</v>
      </c>
      <c r="F41" s="22">
        <f t="shared" si="1"/>
        <v>4299.63</v>
      </c>
      <c r="G41" s="15"/>
    </row>
    <row r="42" s="3" customFormat="1" ht="50" customHeight="1" spans="1:7">
      <c r="A42" s="20" t="s">
        <v>47</v>
      </c>
      <c r="B42" s="24">
        <f>1664-C42</f>
        <v>1532</v>
      </c>
      <c r="C42" s="25">
        <v>132</v>
      </c>
      <c r="D42" s="17"/>
      <c r="E42" s="19">
        <v>2.18</v>
      </c>
      <c r="F42" s="22">
        <f t="shared" si="1"/>
        <v>1666.18</v>
      </c>
      <c r="G42" s="15"/>
    </row>
    <row r="43" s="3" customFormat="1" ht="50" customHeight="1" spans="1:7">
      <c r="A43" s="20" t="s">
        <v>48</v>
      </c>
      <c r="B43" s="24">
        <v>8</v>
      </c>
      <c r="C43" s="25"/>
      <c r="D43" s="17"/>
      <c r="E43" s="19">
        <v>0.01</v>
      </c>
      <c r="F43" s="22">
        <f t="shared" si="1"/>
        <v>8.01</v>
      </c>
      <c r="G43" s="15"/>
    </row>
    <row r="44" s="3" customFormat="1" ht="22" hidden="1" customHeight="1" spans="1:7">
      <c r="A44" s="20" t="s">
        <v>49</v>
      </c>
      <c r="B44" s="21"/>
      <c r="C44" s="17"/>
      <c r="D44" s="17"/>
      <c r="E44" s="19">
        <v>0</v>
      </c>
      <c r="F44" s="22">
        <f t="shared" si="1"/>
        <v>0</v>
      </c>
      <c r="G44" s="15"/>
    </row>
    <row r="45" s="3" customFormat="1" ht="22" hidden="1" customHeight="1" spans="1:7">
      <c r="A45" s="20" t="s">
        <v>50</v>
      </c>
      <c r="B45" s="21"/>
      <c r="C45" s="17"/>
      <c r="D45" s="17"/>
      <c r="E45" s="19">
        <v>0</v>
      </c>
      <c r="F45" s="22">
        <f t="shared" si="1"/>
        <v>0</v>
      </c>
      <c r="G45" s="15"/>
    </row>
    <row r="46" s="3" customFormat="1" ht="50" customHeight="1" spans="1:7">
      <c r="A46" s="20" t="s">
        <v>51</v>
      </c>
      <c r="B46" s="21">
        <v>16.5</v>
      </c>
      <c r="C46" s="17"/>
      <c r="D46" s="17"/>
      <c r="E46" s="19">
        <v>0.02</v>
      </c>
      <c r="F46" s="22">
        <f t="shared" si="1"/>
        <v>16.52</v>
      </c>
      <c r="G46" s="15"/>
    </row>
    <row r="47" s="3" customFormat="1" ht="50" customHeight="1" spans="1:7">
      <c r="A47" s="20" t="s">
        <v>52</v>
      </c>
      <c r="B47" s="21">
        <v>3426.5</v>
      </c>
      <c r="C47" s="17"/>
      <c r="D47" s="17"/>
      <c r="E47" s="19">
        <v>4.49</v>
      </c>
      <c r="F47" s="22">
        <f t="shared" si="1"/>
        <v>3430.99</v>
      </c>
      <c r="G47" s="15"/>
    </row>
    <row r="48" s="3" customFormat="1" ht="22" hidden="1" customHeight="1" spans="1:7">
      <c r="A48" s="20" t="s">
        <v>53</v>
      </c>
      <c r="B48" s="21"/>
      <c r="C48" s="17"/>
      <c r="D48" s="17"/>
      <c r="E48" s="19">
        <v>0</v>
      </c>
      <c r="F48" s="22">
        <f t="shared" si="1"/>
        <v>0</v>
      </c>
      <c r="G48" s="15"/>
    </row>
    <row r="49" s="3" customFormat="1" ht="22" hidden="1" customHeight="1" spans="1:7">
      <c r="A49" s="20" t="s">
        <v>54</v>
      </c>
      <c r="B49" s="21"/>
      <c r="C49" s="17"/>
      <c r="D49" s="17"/>
      <c r="E49" s="19">
        <v>0</v>
      </c>
      <c r="F49" s="22">
        <f t="shared" si="1"/>
        <v>0</v>
      </c>
      <c r="G49" s="15"/>
    </row>
    <row r="50" s="3" customFormat="1" ht="22" hidden="1" customHeight="1" spans="1:7">
      <c r="A50" s="20" t="s">
        <v>55</v>
      </c>
      <c r="B50" s="21"/>
      <c r="C50" s="17"/>
      <c r="D50" s="17"/>
      <c r="E50" s="19">
        <v>0</v>
      </c>
      <c r="F50" s="22">
        <f t="shared" si="1"/>
        <v>0</v>
      </c>
      <c r="G50" s="15"/>
    </row>
    <row r="51" s="3" customFormat="1" ht="50" customHeight="1" spans="1:7">
      <c r="A51" s="20" t="s">
        <v>56</v>
      </c>
      <c r="B51" s="21">
        <f>81-C51</f>
        <v>56</v>
      </c>
      <c r="C51" s="17">
        <v>25</v>
      </c>
      <c r="D51" s="17"/>
      <c r="E51" s="19">
        <v>0.11</v>
      </c>
      <c r="F51" s="22">
        <f t="shared" si="1"/>
        <v>81.11</v>
      </c>
      <c r="G51" s="15"/>
    </row>
    <row r="52" s="3" customFormat="1" ht="50" customHeight="1" spans="1:7">
      <c r="A52" s="20" t="s">
        <v>57</v>
      </c>
      <c r="B52" s="21">
        <v>550</v>
      </c>
      <c r="C52" s="17"/>
      <c r="D52" s="17"/>
      <c r="E52" s="19">
        <v>0.72</v>
      </c>
      <c r="F52" s="22">
        <f t="shared" si="1"/>
        <v>550.72</v>
      </c>
      <c r="G52" s="15"/>
    </row>
    <row r="53" s="3" customFormat="1" ht="22" customHeight="1" spans="1:7">
      <c r="A53" s="26" t="s">
        <v>58</v>
      </c>
      <c r="B53" s="16">
        <f>SUM(B4:B52)</f>
        <v>359321</v>
      </c>
      <c r="C53" s="16">
        <f>SUM(C4:C52)</f>
        <v>41008</v>
      </c>
      <c r="D53" s="16">
        <f>SUM(D4:D52)</f>
        <v>286222.5</v>
      </c>
      <c r="E53" s="16">
        <f>50*18</f>
        <v>900</v>
      </c>
      <c r="F53" s="22">
        <f t="shared" si="1"/>
        <v>687451.5</v>
      </c>
      <c r="G53" s="16"/>
    </row>
  </sheetData>
  <autoFilter xmlns:etc="http://www.wps.cn/officeDocument/2017/etCustomData" ref="A3:G53" etc:filterBottomFollowUsedRange="0">
    <filterColumn colId="5">
      <filters>
        <filter val="7178.40"/>
        <filter val="8631.80"/>
        <filter val="81.11"/>
        <filter val="12613.51"/>
        <filter val="16.52"/>
        <filter val="77789.34"/>
        <filter val="32738.36"/>
        <filter val="3491.07"/>
        <filter val="24266.27"/>
        <filter val="5322.47"/>
        <filter val="831.59"/>
        <filter val="1439.89"/>
        <filter val="152.20"/>
        <filter val="464.61"/>
        <filter val="33168.42"/>
        <filter val="519.68"/>
        <filter val="520.68"/>
        <filter val="27642.19"/>
        <filter val="550.72"/>
        <filter val="933.72"/>
        <filter val="63640.82"/>
        <filter val="250.33"/>
        <filter val="1624.63"/>
        <filter val="4299.63"/>
        <filter val="10497.74"/>
        <filter val="10207.36"/>
        <filter val="13193.77"/>
        <filter val="1668.68"/>
        <filter val="7088.28"/>
        <filter val="5953.29"/>
        <filter val="8928.69"/>
        <filter val="308.40"/>
        <filter val="992.80"/>
        <filter val="687451.50"/>
        <filter val="8.01"/>
        <filter val="242154.53"/>
        <filter val="41354.14"/>
        <filter val="20811.75"/>
        <filter val="44.06"/>
        <filter val="9675.17"/>
        <filter val="1283.18"/>
        <filter val="1666.18"/>
        <filter val="3430.99"/>
      </filters>
    </filterColumn>
    <extLst/>
  </autoFilter>
  <mergeCells count="7">
    <mergeCell ref="A1:G1"/>
    <mergeCell ref="A2:A3"/>
    <mergeCell ref="B2:B3"/>
    <mergeCell ref="C2:C3"/>
    <mergeCell ref="D2:D3"/>
    <mergeCell ref="E2:E3"/>
    <mergeCell ref="G2:G3"/>
  </mergeCells>
  <printOptions gridLines="1"/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2026-05-28T08:32:10Z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3580D519F1F74D96A60D8211D1239A00_13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