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8195" windowWidth="9210" windowHeight="6570"/>
  </bookViews>
  <sheets>
    <sheet name="手术一区" sheetId="18" r:id="rId1"/>
    <sheet name="手术二区" sheetId="17" r:id="rId2"/>
  </sheets>
  <definedNames>
    <definedName name="_xlnm._FilterDatabase" localSheetId="0" hidden="1">手术一区!$2:$171</definedName>
    <definedName name="_xlnm._FilterDatabase" localSheetId="1" hidden="1">手术二区!$A$2:$XFB$76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<sst xmlns="http://schemas.openxmlformats.org/spreadsheetml/2006/main" count="257" uniqueCount="238">
  <si>
    <t>哈尔滨市第五医院2026年5月9日-2026年6月8日器械数量及费用汇总（手术一区）</t>
  </si>
  <si>
    <t>序号</t>
  </si>
  <si>
    <t>包名称</t>
  </si>
  <si>
    <t>包内器械数量（把）</t>
  </si>
  <si>
    <t>数量（包）</t>
  </si>
  <si>
    <t>单价（元/包）</t>
  </si>
  <si>
    <t>合计金额（元）</t>
  </si>
  <si>
    <t>0103机器人（高温）-22件盒1</t>
  </si>
  <si>
    <t>0138机器人（高温）-22件盒1</t>
  </si>
  <si>
    <t>2.5钻头3件（继元）/Z7530</t>
  </si>
  <si>
    <t>261机器人-6件（带盒7件）</t>
  </si>
  <si>
    <t>263机器人-9件（高温）</t>
  </si>
  <si>
    <t>264机器人-8件（高温）</t>
  </si>
  <si>
    <t>40001机器人-8件（高温）</t>
  </si>
  <si>
    <t>AR水管-2件/双/Z1530</t>
  </si>
  <si>
    <t>DMD光源4号-1/W905060</t>
  </si>
  <si>
    <t>鞍钩-2/W605060</t>
  </si>
  <si>
    <t>半月板缝合器械-4/Z1020</t>
  </si>
  <si>
    <t>半月板钩-6/W605060</t>
  </si>
  <si>
    <t>闭合包</t>
  </si>
  <si>
    <t>博进骨动力-8件（盒1）/W1205060</t>
  </si>
  <si>
    <t>博进骨动力-9件（盒1）/W1205060</t>
  </si>
  <si>
    <t>博进磨头-1件/Z7520</t>
  </si>
  <si>
    <t>叉勾-7/W605060</t>
  </si>
  <si>
    <t>产科手术器械包</t>
  </si>
  <si>
    <t>超声骨动力系统</t>
  </si>
  <si>
    <t>持物钳罐-2件/W605060</t>
  </si>
  <si>
    <t>尺-1/W605060</t>
  </si>
  <si>
    <t>尺桡复位器-2/W405060</t>
  </si>
  <si>
    <t>穿刺针（带芯）-2/Z7520</t>
  </si>
  <si>
    <t>穿刺针-1（带芯）/7526</t>
  </si>
  <si>
    <t>创伤1号机器人-4件（盒1）</t>
  </si>
  <si>
    <t>创伤1号机器人-7件</t>
  </si>
  <si>
    <t>创伤1号机器人-8件（带盒9件）</t>
  </si>
  <si>
    <t>创伤2号机器人-4件（盒1）</t>
  </si>
  <si>
    <t>创伤2号机器人-7件（盒1）</t>
  </si>
  <si>
    <t>锤子 -1件/双/Z1030</t>
  </si>
  <si>
    <t>锤子1凿子1剥离质1/W605060</t>
  </si>
  <si>
    <t>大盆-1/w1205060</t>
  </si>
  <si>
    <t>弹钩-2/W605060</t>
  </si>
  <si>
    <t>德美2号刨刀-1/双/Z2550</t>
  </si>
  <si>
    <t>德美4K1号刨刀-1/W6050</t>
  </si>
  <si>
    <t>德美肩钩-5件/W505060</t>
  </si>
  <si>
    <t>德美刨刀（高温）-1/Z2044</t>
  </si>
  <si>
    <t>德美刨刀3号-1/双Z2550</t>
  </si>
  <si>
    <t>德美膝器械11件盒1（二）</t>
  </si>
  <si>
    <t>德美膝器械11件盒1（一）</t>
  </si>
  <si>
    <t>德美膝器械12件盒1（三）</t>
  </si>
  <si>
    <t>德美膝器械12件盒1（四）</t>
  </si>
  <si>
    <t>德美新1水管-2/双/Z1526</t>
  </si>
  <si>
    <t>德美新2水管-2件/Z1530</t>
  </si>
  <si>
    <t>德美新3水管 -2件/Z2530</t>
  </si>
  <si>
    <t>地巾</t>
  </si>
  <si>
    <t>骶棘拉钩-2/W605060</t>
  </si>
  <si>
    <t>电极线-1/Z1540</t>
  </si>
  <si>
    <t>动力转换器-1/Z1526</t>
  </si>
  <si>
    <t>断钉取出器械-30件（张伟）</t>
  </si>
  <si>
    <t>妇产科布袋/ W6050</t>
  </si>
  <si>
    <t>妇产科直角钳-6件/W605060</t>
  </si>
  <si>
    <t>肱骨复位器-2/W5050</t>
  </si>
  <si>
    <t>宫腔镜架内外鞘环-6件/Z2060</t>
  </si>
  <si>
    <t>骨把持器1钢板折弯器2/W605060</t>
  </si>
  <si>
    <t>骨锉-1/W605060</t>
  </si>
  <si>
    <t>骨电钻-3件/W705060</t>
  </si>
  <si>
    <t>骨动力-8 盒1/w1205060</t>
  </si>
  <si>
    <t>骨动力-8件（盒1）/W1205060</t>
  </si>
  <si>
    <t>骨动力-9件（盒1）/W1205060</t>
  </si>
  <si>
    <t>骨动力-带盒9件</t>
  </si>
  <si>
    <t>骨六房玉利肩钩常备器械</t>
  </si>
  <si>
    <t>骨盆骨折包</t>
  </si>
  <si>
    <t>骨十一赵德来常备万能取 -64件/W1205060</t>
  </si>
  <si>
    <t>滚轴-1/W6050</t>
  </si>
  <si>
    <t>踝关节光源线-1/Z2545</t>
  </si>
  <si>
    <t>机器人器械-4件/w5050</t>
  </si>
  <si>
    <t>机器人套筒1.6-1/Z7530</t>
  </si>
  <si>
    <t>机器人套筒125-190-1件/Z7534</t>
  </si>
  <si>
    <t>机器人套筒-2/W405060</t>
  </si>
  <si>
    <t>机器人套筒3.3-1/Z7530</t>
  </si>
  <si>
    <t>肌钩-2/W5050</t>
  </si>
  <si>
    <t>脊柱常备器械</t>
  </si>
  <si>
    <t>脊柱常备器械髓核少1</t>
  </si>
  <si>
    <t>脊柱机器人262</t>
  </si>
  <si>
    <t>脊柱加件-6件/W605060</t>
  </si>
  <si>
    <t>甲状腺加件-4件/w505060</t>
  </si>
  <si>
    <t>甲状腺拉钩-2/W505060</t>
  </si>
  <si>
    <t>尖嘴复位器-2/W605060</t>
  </si>
  <si>
    <t>剪切钳-1/W505060</t>
  </si>
  <si>
    <t>解剖剪刀-1/Z1029</t>
  </si>
  <si>
    <t>胫腓骨拉勾-2/W605060</t>
  </si>
  <si>
    <t>胫骨平台顶棒器-3/W405060</t>
  </si>
  <si>
    <t>镜骨九（1）</t>
  </si>
  <si>
    <t>镜骨九（2）</t>
  </si>
  <si>
    <t>旧水管-3件/W605060</t>
  </si>
  <si>
    <t>锯片-5件/Z1026</t>
  </si>
  <si>
    <t>开颅包</t>
  </si>
  <si>
    <t>克氏钳-1/W405060</t>
  </si>
  <si>
    <t>髋臼凿子-2/W505060</t>
  </si>
  <si>
    <t>刘绍辉断钉取-带盒48件</t>
  </si>
  <si>
    <t>米氏钳-2/W605060</t>
  </si>
  <si>
    <t>棉球/Z1530</t>
  </si>
  <si>
    <t>拇外翻工具-2/双Z1020</t>
  </si>
  <si>
    <t>脑科无钩尖镊-2/ W505060</t>
  </si>
  <si>
    <t>脑外西山磨钻-3件/W705060</t>
  </si>
  <si>
    <t>脑外专用包</t>
  </si>
  <si>
    <t>盘1碗2/w9050</t>
  </si>
  <si>
    <t>气管切开</t>
  </si>
  <si>
    <t>驱血带</t>
  </si>
  <si>
    <t>取针钳-1/W505060</t>
  </si>
  <si>
    <t>取针咬骨钳-1件/W505060</t>
  </si>
  <si>
    <t>软骨转移器械-13件/W605060</t>
  </si>
  <si>
    <t>睿米机器人（一）-21件（高温）</t>
  </si>
  <si>
    <t>睿米机器人（一）-3件（高温）</t>
  </si>
  <si>
    <t>上肢包</t>
  </si>
  <si>
    <t>上肢加件-3/W605060</t>
  </si>
  <si>
    <t>上肢止血带</t>
  </si>
  <si>
    <t>深钩-2/W605060</t>
  </si>
  <si>
    <t>施乐辉肩镜器械</t>
  </si>
  <si>
    <t>施牙钳-2/W4050</t>
  </si>
  <si>
    <t>史赛克3.2克氏针钻-带盒4件</t>
  </si>
  <si>
    <t>史赛克摆锯骨动力-4（带盒5件）</t>
  </si>
  <si>
    <t>史赛克多功能锯钻-7（带盒8件）</t>
  </si>
  <si>
    <t>史赛克锯片-1/Z1020</t>
  </si>
  <si>
    <t>史赛克锯钻骨动力-7（带盒8件）</t>
  </si>
  <si>
    <t>史赛克磨钻骨动力-9件 筐1/W1205060</t>
  </si>
  <si>
    <t>史赛克微型钻-5 盒1/W1205060</t>
  </si>
  <si>
    <t>试用肩镜-2件/双/Z2030</t>
  </si>
  <si>
    <t>手科包</t>
  </si>
  <si>
    <t>手科剥离质-1/Z7530</t>
  </si>
  <si>
    <t>手科咬骨钳1 刮勺1/W505060</t>
  </si>
  <si>
    <t>手科爪鞍钩-4件/W505060</t>
  </si>
  <si>
    <t>手刷盒/w9050</t>
  </si>
  <si>
    <t>手套</t>
  </si>
  <si>
    <t>刷手服</t>
  </si>
  <si>
    <t>外科包</t>
  </si>
  <si>
    <t>外科内镜0度-1/W9050</t>
  </si>
  <si>
    <t>腕关节镜水管-2/Z1026</t>
  </si>
  <si>
    <t xml:space="preserve">腕镜头30度-1 </t>
  </si>
  <si>
    <t>往复锯（二）-带盒6件</t>
  </si>
  <si>
    <t>胃肠加件</t>
  </si>
  <si>
    <t>蚊式2 中弯2/Z1530</t>
  </si>
  <si>
    <t>西山摆锯-3件/W6050</t>
  </si>
  <si>
    <t>西山骨动力（2）/W505060</t>
  </si>
  <si>
    <t>西山骨动力1号-1/双/Z2530</t>
  </si>
  <si>
    <t>吸引器头1芯1/Z7530</t>
  </si>
  <si>
    <t>洗毛盒</t>
  </si>
  <si>
    <t>洗手巾/W12050</t>
  </si>
  <si>
    <t>下肢包</t>
  </si>
  <si>
    <t>下肢止血带</t>
  </si>
  <si>
    <t>小布袋/w6050</t>
  </si>
  <si>
    <t>新机器人（一）-21件（高温）</t>
  </si>
  <si>
    <t>新机器人（一）-2件（高温）</t>
  </si>
  <si>
    <t>新膝镜（二）-10件/W9050</t>
  </si>
  <si>
    <t>新膝镜（一）-10件/W9050</t>
  </si>
  <si>
    <t>新腰备</t>
  </si>
  <si>
    <t>胸骨磨钻-带盒13件</t>
  </si>
  <si>
    <t>胸腔镜-17件（筐1）</t>
  </si>
  <si>
    <t>胸腔镜加件-13件</t>
  </si>
  <si>
    <t>胸质钳-1/W505060</t>
  </si>
  <si>
    <t>腰间盘镜(三)</t>
  </si>
  <si>
    <t>咬钉器-1手柄-2/W6050</t>
  </si>
  <si>
    <t>咬骨剪子1刮勺1/W605060</t>
  </si>
  <si>
    <t>咬骨钳1刮勺1/W605060</t>
  </si>
  <si>
    <t>咬丝器-1/W6050</t>
  </si>
  <si>
    <t>阴道拉钩-6/W7050</t>
  </si>
  <si>
    <t>鹰嘴咬骨钳1刮勺1/W605060</t>
  </si>
  <si>
    <t>凿子-3/W605060</t>
  </si>
  <si>
    <t>张伟镜头-1/W6050</t>
  </si>
  <si>
    <t>中心持骨器-2/w6050</t>
  </si>
  <si>
    <t>中直钳-2/Z1530</t>
  </si>
  <si>
    <t>抓线钳-1/W4550</t>
  </si>
  <si>
    <t>椎间孔镜（三）</t>
  </si>
  <si>
    <t>椎体成型包-12件</t>
  </si>
  <si>
    <t>子宫包</t>
  </si>
  <si>
    <t>子宫托钳-2/W6050</t>
  </si>
  <si>
    <t>自动拉钩1爪2/W7050</t>
  </si>
  <si>
    <t>合计</t>
  </si>
  <si>
    <t>哈尔滨市第五医院2026年5月9日-2026年6月8日器械数量及费用汇总（手术二区）</t>
  </si>
  <si>
    <t>3号刀柄-1/z7526</t>
  </si>
  <si>
    <t>4号刀柄-1/z7526</t>
  </si>
  <si>
    <t>持针器-1/Z1026</t>
  </si>
  <si>
    <t>锤子-1/双z1535</t>
  </si>
  <si>
    <t>大烧伤</t>
  </si>
  <si>
    <t>弹钩-2/W6050</t>
  </si>
  <si>
    <t>电动取皮机-6件 筐1/W12050</t>
  </si>
  <si>
    <t>方盘-1/W9050</t>
  </si>
  <si>
    <t>缝合包</t>
  </si>
  <si>
    <t>肛肠包</t>
  </si>
  <si>
    <t>肛肠探针-1/Z7520</t>
  </si>
  <si>
    <t>钩镊-1/Z7526</t>
  </si>
  <si>
    <t>骨科剥离质-1/Z7534</t>
  </si>
  <si>
    <t>固指板-1/W7050</t>
  </si>
  <si>
    <t>刮勺-1/Z7526</t>
  </si>
  <si>
    <t>滚轴(植皮刀)-1件/W6050</t>
  </si>
  <si>
    <t>肌钩-2/Z1026</t>
  </si>
  <si>
    <t>尖嘴复位器-1/Z1535</t>
  </si>
  <si>
    <t>剪刀-1/Z1530</t>
  </si>
  <si>
    <t>剪刀小-1/Z1026</t>
  </si>
  <si>
    <t>巾钳子-1/Z1026</t>
  </si>
  <si>
    <t>旧轧皮机（1号）-2件盒1/W9050</t>
  </si>
  <si>
    <t>旧轧皮机（2号）-2件盒1/W12050</t>
  </si>
  <si>
    <t>旧轧皮机（2号）-4盒1/W12050</t>
  </si>
  <si>
    <t>克氏钳-1/双z1029</t>
  </si>
  <si>
    <t>扩肛器-1/W5050</t>
  </si>
  <si>
    <t>麻杯-1/Z1526</t>
  </si>
  <si>
    <t>慢创包</t>
  </si>
  <si>
    <t>门诊整形（四）</t>
  </si>
  <si>
    <t>门诊整形（五）</t>
  </si>
  <si>
    <t>门诊整形（一）</t>
  </si>
  <si>
    <t>门诊整形包（二）</t>
  </si>
  <si>
    <t>门诊整形包（三）</t>
  </si>
  <si>
    <t>平镊-1/Z7530</t>
  </si>
  <si>
    <t>气管切开包</t>
  </si>
  <si>
    <t>切开包-10件</t>
  </si>
  <si>
    <t>手科骨锉-1/Z7526</t>
  </si>
  <si>
    <t>手科爪鞍钩-1 /Z7526</t>
  </si>
  <si>
    <t>手科爪钩-2/Z1535</t>
  </si>
  <si>
    <t>头皮夹钳-1/Z1530</t>
  </si>
  <si>
    <t>弯盘1小碗1/W9050</t>
  </si>
  <si>
    <t>线锯-1/Z1026</t>
  </si>
  <si>
    <t>小烧伤</t>
  </si>
  <si>
    <t>小弯止血钳-4/Z1530</t>
  </si>
  <si>
    <t>小止血钳-2/z1026</t>
  </si>
  <si>
    <t>新轧皮机1号-2件（盒1）</t>
  </si>
  <si>
    <t>新轧皮机1号-4件（盒1）</t>
  </si>
  <si>
    <t>新轧皮机2号-2件（盒1）</t>
  </si>
  <si>
    <t>咬骨剪-1/Z2032</t>
  </si>
  <si>
    <t>咬骨钳-1/Z2032</t>
  </si>
  <si>
    <t>咬丝器-1/Z双2032</t>
  </si>
  <si>
    <t>咬丝器1持针器1/W6050</t>
  </si>
  <si>
    <t>凿子-3/双z1029</t>
  </si>
  <si>
    <t>扎皮机板-2件/z2025</t>
  </si>
  <si>
    <t>扎皮机板-4件/Z1029</t>
  </si>
  <si>
    <t>爪鞍钩-2 /Z7526</t>
  </si>
  <si>
    <t>整形包</t>
  </si>
  <si>
    <t>植皮刀片-1/Z7520</t>
  </si>
  <si>
    <t>止血钳-4/Z1530</t>
  </si>
  <si>
    <t>止血钳大-2/Z1535</t>
  </si>
  <si>
    <t>组织钳-1/Z1026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</si>
</sst>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Microsoft YaHei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74"/>
  <sheetViews>
    <sheetView tabSelected="1" view="pageBreakPreview" zoomScaleNormal="100" workbookViewId="0">
      <selection activeCell="D178" sqref="D178"/>
    </sheetView>
  </sheetViews>
  <sheetFormatPr defaultColWidth="9" defaultRowHeight="13.5"/>
  <cols>
    <col min="1" max="1" width="7.5" style="3" customWidth="1"/>
    <col min="2" max="2" width="33.375" style="4" customWidth="1"/>
    <col min="3" max="3" width="19.125" style="3" customWidth="1"/>
    <col min="4" max="4" width="13" style="3" customWidth="1"/>
    <col min="5" max="5" width="13.7583333333333" style="3" customWidth="1"/>
    <col min="6" max="6" width="14.4583333333333" style="3" customWidth="1"/>
    <col min="7" max="16246" width="9" style="1"/>
    <col min="16286" max="16384" width="9" style="5"/>
  </cols>
  <sheetData>
    <row r="1" s="1" customFormat="1" ht="21" spans="1:6 16247:16359">
      <c r="A1" s="6" t="s">
        <v>0</v>
      </c>
      <c r="B1" s="7"/>
      <c r="C1" s="6"/>
      <c r="D1" s="6"/>
      <c r="E1" s="6"/>
      <c r="F1" s="6"/>
    </row>
    <row r="2" s="2" customFormat="1" ht="16.5" customHeight="1" spans="1:6 16247:16359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6 16247:16359">
      <c r="A3" s="8">
        <v>1</v>
      </c>
      <c r="B3" s="9" t="s">
        <v>7</v>
      </c>
      <c r="C3" s="8">
        <v>46</v>
      </c>
      <c r="D3" s="8">
        <v>2</v>
      </c>
      <c r="E3" s="8">
        <v>126.5</v>
      </c>
      <c r="F3" s="8">
        <v>253</v>
      </c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</row>
    <row r="4" s="1" customFormat="1" ht="16.5" spans="1:6 16247:16359">
      <c r="A4" s="8">
        <v>2</v>
      </c>
      <c r="B4" s="9" t="s">
        <v>8</v>
      </c>
      <c r="C4" s="8">
        <v>23</v>
      </c>
      <c r="D4" s="8">
        <v>1</v>
      </c>
      <c r="E4" s="8">
        <v>126.5</v>
      </c>
      <c r="F4" s="8">
        <v>126.5</v>
      </c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</row>
    <row r="5" s="1" customFormat="1" ht="16.5" spans="1:6 16247:16359">
      <c r="A5" s="8">
        <v>3</v>
      </c>
      <c r="B5" s="9" t="s">
        <v>9</v>
      </c>
      <c r="C5" s="8">
        <v>3</v>
      </c>
      <c r="D5" s="8">
        <v>1</v>
      </c>
      <c r="E5" s="8">
        <v>16.5</v>
      </c>
      <c r="F5" s="8">
        <v>16.5</v>
      </c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</row>
    <row r="6" s="1" customFormat="1" ht="16.5" spans="1:6 16247:16359">
      <c r="A6" s="8">
        <v>4</v>
      </c>
      <c r="B6" s="9" t="s">
        <v>10</v>
      </c>
      <c r="C6" s="8">
        <v>7</v>
      </c>
      <c r="D6" s="8">
        <v>1</v>
      </c>
      <c r="E6" s="8">
        <v>38.5</v>
      </c>
      <c r="F6" s="8">
        <v>38.5</v>
      </c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</row>
    <row r="7" s="1" customFormat="1" ht="16.5" spans="1:6 16247:16359">
      <c r="A7" s="8">
        <v>5</v>
      </c>
      <c r="B7" s="9" t="s">
        <v>11</v>
      </c>
      <c r="C7" s="8">
        <v>180</v>
      </c>
      <c r="D7" s="8">
        <v>18</v>
      </c>
      <c r="E7" s="8">
        <v>55</v>
      </c>
      <c r="F7" s="8">
        <v>990</v>
      </c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 s="5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</row>
    <row r="8" s="1" customFormat="1" ht="16.5" spans="1:6 16247:16359">
      <c r="A8" s="8">
        <v>6</v>
      </c>
      <c r="B8" s="9" t="s">
        <v>12</v>
      </c>
      <c r="C8" s="8">
        <v>144</v>
      </c>
      <c r="D8" s="8">
        <v>16</v>
      </c>
      <c r="E8" s="8">
        <v>49.5</v>
      </c>
      <c r="F8" s="8">
        <v>792</v>
      </c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 s="5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</row>
    <row r="9" s="1" customFormat="1" ht="16.5" spans="1:6 16247:16359">
      <c r="A9" s="8">
        <v>7</v>
      </c>
      <c r="B9" s="9" t="s">
        <v>13</v>
      </c>
      <c r="C9" s="8">
        <v>171</v>
      </c>
      <c r="D9" s="8">
        <v>19</v>
      </c>
      <c r="E9" s="8">
        <v>49.5</v>
      </c>
      <c r="F9" s="8">
        <v>940.5</v>
      </c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</row>
    <row r="10" s="1" customFormat="1" ht="16.5" spans="1:6 16247:16359">
      <c r="A10" s="8">
        <v>8</v>
      </c>
      <c r="B10" s="9" t="s">
        <v>14</v>
      </c>
      <c r="C10" s="8">
        <v>2</v>
      </c>
      <c r="D10" s="8">
        <v>1</v>
      </c>
      <c r="E10" s="8">
        <v>16.5</v>
      </c>
      <c r="F10" s="8">
        <v>16.5</v>
      </c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</row>
    <row r="11" s="1" customFormat="1" ht="16.5" spans="1:6 16247:16359">
      <c r="A11" s="8">
        <v>9</v>
      </c>
      <c r="B11" s="9" t="s">
        <v>15</v>
      </c>
      <c r="C11" s="8">
        <v>6</v>
      </c>
      <c r="D11" s="8">
        <v>1</v>
      </c>
      <c r="E11" s="8">
        <v>35</v>
      </c>
      <c r="F11" s="8">
        <v>35</v>
      </c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</row>
    <row r="12" s="1" customFormat="1" ht="16.5" spans="1:6 16247:16359">
      <c r="A12" s="8">
        <v>10</v>
      </c>
      <c r="B12" s="9" t="s">
        <v>16</v>
      </c>
      <c r="C12" s="8">
        <v>2</v>
      </c>
      <c r="D12" s="8">
        <v>1</v>
      </c>
      <c r="E12" s="8">
        <v>16.5</v>
      </c>
      <c r="F12" s="8">
        <v>16.5</v>
      </c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</row>
    <row r="13" s="1" customFormat="1" ht="16.5" spans="1:6 16247:16359">
      <c r="A13" s="8">
        <v>11</v>
      </c>
      <c r="B13" s="9" t="s">
        <v>17</v>
      </c>
      <c r="C13" s="8">
        <v>12</v>
      </c>
      <c r="D13" s="8">
        <v>3</v>
      </c>
      <c r="E13" s="8">
        <v>22</v>
      </c>
      <c r="F13" s="8">
        <v>66</v>
      </c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</row>
    <row r="14" s="1" customFormat="1" ht="16.5" spans="1:6 16247:16359">
      <c r="A14" s="8">
        <v>12</v>
      </c>
      <c r="B14" s="9" t="s">
        <v>18</v>
      </c>
      <c r="C14" s="8">
        <v>12</v>
      </c>
      <c r="D14" s="8">
        <v>2</v>
      </c>
      <c r="E14" s="8">
        <v>33</v>
      </c>
      <c r="F14" s="8">
        <v>66</v>
      </c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</row>
    <row r="15" s="1" customFormat="1" ht="16.5" spans="1:6 16247:16359">
      <c r="A15" s="8">
        <v>13</v>
      </c>
      <c r="B15" s="9" t="s">
        <v>19</v>
      </c>
      <c r="C15" s="8">
        <v>230</v>
      </c>
      <c r="D15" s="8">
        <v>23</v>
      </c>
      <c r="E15" s="8">
        <v>55</v>
      </c>
      <c r="F15" s="8">
        <v>1265</v>
      </c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</row>
    <row r="16" s="1" customFormat="1" ht="16.5" spans="1:6 16247:16359">
      <c r="A16" s="8">
        <v>14</v>
      </c>
      <c r="B16" s="9" t="s">
        <v>20</v>
      </c>
      <c r="C16" s="8">
        <v>9</v>
      </c>
      <c r="D16" s="8">
        <v>1</v>
      </c>
      <c r="E16" s="8">
        <v>49.5</v>
      </c>
      <c r="F16" s="8">
        <v>49.5</v>
      </c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</row>
    <row r="17" s="1" customFormat="1" ht="16.5" spans="1:6 16247:16361">
      <c r="A17" s="8">
        <v>15</v>
      </c>
      <c r="B17" s="9" t="s">
        <v>21</v>
      </c>
      <c r="C17" s="8">
        <v>10</v>
      </c>
      <c r="D17" s="8">
        <v>1</v>
      </c>
      <c r="E17" s="8">
        <v>55</v>
      </c>
      <c r="F17" s="8">
        <v>55</v>
      </c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</row>
    <row r="18" s="1" customFormat="1" ht="16.5" spans="1:6 16247:16361">
      <c r="A18" s="8">
        <v>16</v>
      </c>
      <c r="B18" s="9" t="s">
        <v>22</v>
      </c>
      <c r="C18" s="8">
        <v>1</v>
      </c>
      <c r="D18" s="8">
        <v>1</v>
      </c>
      <c r="E18" s="8">
        <v>8</v>
      </c>
      <c r="F18" s="8">
        <v>8</v>
      </c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</row>
    <row r="19" s="1" customFormat="1" ht="16.5" spans="1:6 16247:16361">
      <c r="A19" s="8">
        <v>17</v>
      </c>
      <c r="B19" s="9" t="s">
        <v>23</v>
      </c>
      <c r="C19" s="8">
        <v>14</v>
      </c>
      <c r="D19" s="8">
        <v>2</v>
      </c>
      <c r="E19" s="8">
        <v>38.5</v>
      </c>
      <c r="F19" s="8">
        <v>77</v>
      </c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</row>
    <row r="20" s="1" customFormat="1" ht="16.5" spans="1:6 16247:16361">
      <c r="A20" s="8">
        <v>18</v>
      </c>
      <c r="B20" s="9" t="s">
        <v>24</v>
      </c>
      <c r="C20" s="8">
        <v>312</v>
      </c>
      <c r="D20" s="8">
        <v>8</v>
      </c>
      <c r="E20" s="8">
        <v>214.5</v>
      </c>
      <c r="F20" s="8">
        <v>1716</v>
      </c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</row>
    <row r="21" s="1" customFormat="1" ht="16.5" spans="1:6 16247:16361">
      <c r="A21" s="8">
        <v>19</v>
      </c>
      <c r="B21" s="10" t="s">
        <v>25</v>
      </c>
      <c r="C21" s="8">
        <v>27</v>
      </c>
      <c r="D21" s="8">
        <v>3</v>
      </c>
      <c r="E21" s="8">
        <v>49.5</v>
      </c>
      <c r="F21" s="8">
        <v>148.5</v>
      </c>
      <c r="WZW21" s="11"/>
      <c r="WZX21" s="11"/>
      <c r="WZY21" s="11"/>
      <c r="WZZ21" s="11"/>
      <c r="XAA21" s="11"/>
      <c r="XAB21" s="11"/>
      <c r="XAC21" s="11"/>
      <c r="XAD21" s="11"/>
      <c r="XAE21" s="11"/>
      <c r="XAF21" s="11"/>
      <c r="XAG21" s="11"/>
      <c r="XAH21" s="11"/>
      <c r="XAI21" s="11"/>
      <c r="XAJ21" s="11"/>
      <c r="XAK21" s="11"/>
      <c r="XAL21" s="11"/>
      <c r="XAM21" s="11"/>
      <c r="XAN21" s="11"/>
      <c r="XAO21" s="11"/>
      <c r="XAP21" s="11"/>
      <c r="XAQ21" s="11"/>
      <c r="XAR21" s="11"/>
      <c r="XAS21" s="11"/>
      <c r="XAT21" s="11"/>
      <c r="XAU21" s="11"/>
      <c r="XAV21" s="11"/>
      <c r="XAW21" s="11"/>
      <c r="XAX21" s="11"/>
      <c r="XAY21" s="11"/>
      <c r="XAZ21" s="11"/>
      <c r="XBA21" s="11"/>
      <c r="XBB21" s="11"/>
      <c r="XBC21" s="11"/>
      <c r="XBD21" s="11"/>
      <c r="XBE21" s="11"/>
      <c r="XBF21" s="11"/>
      <c r="XBG21" s="11"/>
      <c r="XBH21" s="11"/>
      <c r="XBI21" s="11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</row>
    <row r="22" s="1" customFormat="1" ht="16.5" spans="1:6 16247:16361">
      <c r="A22" s="8">
        <v>20</v>
      </c>
      <c r="B22" s="9" t="s">
        <v>26</v>
      </c>
      <c r="C22" s="8">
        <v>644</v>
      </c>
      <c r="D22" s="8">
        <v>322</v>
      </c>
      <c r="E22" s="8">
        <v>16.5</v>
      </c>
      <c r="F22" s="8">
        <v>5313</v>
      </c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</row>
    <row r="23" s="1" customFormat="1" ht="16.5" spans="1:6 16247:16361">
      <c r="A23" s="8">
        <v>21</v>
      </c>
      <c r="B23" s="9" t="s">
        <v>27</v>
      </c>
      <c r="C23" s="8">
        <v>1</v>
      </c>
      <c r="D23" s="8">
        <v>1</v>
      </c>
      <c r="E23" s="8">
        <v>16.5</v>
      </c>
      <c r="F23" s="8">
        <v>16.5</v>
      </c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</row>
    <row r="24" s="1" customFormat="1" ht="16.5" spans="1:6 16247:16361">
      <c r="A24" s="8">
        <v>22</v>
      </c>
      <c r="B24" s="9" t="s">
        <v>28</v>
      </c>
      <c r="C24" s="8">
        <v>4</v>
      </c>
      <c r="D24" s="8">
        <v>2</v>
      </c>
      <c r="E24" s="8">
        <v>16.5</v>
      </c>
      <c r="F24" s="8">
        <v>33</v>
      </c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</row>
    <row r="25" s="1" customFormat="1" ht="16.5" spans="1:6 16247:16361">
      <c r="A25" s="8">
        <v>23</v>
      </c>
      <c r="B25" s="9" t="s">
        <v>29</v>
      </c>
      <c r="C25" s="8">
        <v>14</v>
      </c>
      <c r="D25" s="8">
        <v>7</v>
      </c>
      <c r="E25" s="8">
        <v>13.5</v>
      </c>
      <c r="F25" s="8">
        <v>94.5</v>
      </c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</row>
    <row r="26" s="1" customFormat="1" ht="16.5" spans="1:6 16247:16361">
      <c r="A26" s="8">
        <v>24</v>
      </c>
      <c r="B26" s="9" t="s">
        <v>30</v>
      </c>
      <c r="C26" s="8">
        <v>10</v>
      </c>
      <c r="D26" s="8">
        <v>10</v>
      </c>
      <c r="E26" s="8">
        <v>8</v>
      </c>
      <c r="F26" s="8">
        <v>80</v>
      </c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</row>
    <row r="27" s="1" customFormat="1" ht="16.5" spans="1:6 16247:16361">
      <c r="A27" s="8">
        <v>25</v>
      </c>
      <c r="B27" s="9" t="s">
        <v>31</v>
      </c>
      <c r="C27" s="8">
        <v>10</v>
      </c>
      <c r="D27" s="8">
        <v>1</v>
      </c>
      <c r="E27" s="8">
        <v>88</v>
      </c>
      <c r="F27" s="8">
        <v>88</v>
      </c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 s="5"/>
      <c r="XBK27" s="5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</row>
    <row r="28" s="1" customFormat="1" ht="16.5" spans="1:6 16247:16361">
      <c r="A28" s="8">
        <v>26</v>
      </c>
      <c r="B28" s="9" t="s">
        <v>32</v>
      </c>
      <c r="C28" s="8">
        <v>14</v>
      </c>
      <c r="D28" s="8">
        <v>2</v>
      </c>
      <c r="E28" s="8">
        <v>38.5</v>
      </c>
      <c r="F28" s="8">
        <v>77</v>
      </c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 s="5"/>
      <c r="XBK28" s="5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</row>
    <row r="29" s="1" customFormat="1" ht="16.5" spans="1:6 16247:16361">
      <c r="A29" s="8">
        <v>27</v>
      </c>
      <c r="B29" s="9" t="s">
        <v>33</v>
      </c>
      <c r="C29" s="8">
        <v>9</v>
      </c>
      <c r="D29" s="8">
        <v>1</v>
      </c>
      <c r="E29" s="8">
        <v>49.5</v>
      </c>
      <c r="F29" s="8">
        <v>49.5</v>
      </c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 s="5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</row>
    <row r="30" s="1" customFormat="1" ht="16.5" spans="1:6 16247:16361">
      <c r="A30" s="8">
        <v>28</v>
      </c>
      <c r="B30" s="9" t="s">
        <v>34</v>
      </c>
      <c r="C30" s="8">
        <v>15</v>
      </c>
      <c r="D30" s="8">
        <v>1</v>
      </c>
      <c r="E30" s="8">
        <v>88</v>
      </c>
      <c r="F30" s="8">
        <v>88</v>
      </c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 s="5"/>
      <c r="XBK30" s="5"/>
      <c r="XBL30" s="5"/>
      <c r="XBM30" s="5"/>
      <c r="XBN30" s="5"/>
      <c r="XBO30" s="5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</row>
    <row r="31" s="1" customFormat="1" ht="16.5" spans="1:6 16247:16361">
      <c r="A31" s="8">
        <v>29</v>
      </c>
      <c r="B31" s="9" t="s">
        <v>35</v>
      </c>
      <c r="C31" s="8">
        <v>24</v>
      </c>
      <c r="D31" s="8">
        <v>3</v>
      </c>
      <c r="E31" s="8">
        <v>44</v>
      </c>
      <c r="F31" s="8">
        <v>132</v>
      </c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 s="5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</row>
    <row r="32" s="1" customFormat="1" ht="16.5" spans="1:6 16247:16361">
      <c r="A32" s="8">
        <v>30</v>
      </c>
      <c r="B32" s="9" t="s">
        <v>36</v>
      </c>
      <c r="C32" s="8">
        <v>2</v>
      </c>
      <c r="D32" s="8">
        <v>2</v>
      </c>
      <c r="E32" s="8">
        <v>13.5</v>
      </c>
      <c r="F32" s="8">
        <v>27</v>
      </c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 s="5"/>
      <c r="XBK32" s="5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</row>
    <row r="33" s="1" customFormat="1" ht="16.5" customHeight="1" spans="1:6 16247:16382">
      <c r="A33" s="8">
        <v>31</v>
      </c>
      <c r="B33" s="9" t="s">
        <v>37</v>
      </c>
      <c r="C33" s="8">
        <v>36</v>
      </c>
      <c r="D33" s="8">
        <v>12</v>
      </c>
      <c r="E33" s="8">
        <v>16.5</v>
      </c>
      <c r="F33" s="8">
        <v>198</v>
      </c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 s="5"/>
      <c r="XBK33" s="5"/>
      <c r="XBL33" s="5"/>
      <c r="XBM33" s="5"/>
      <c r="XBN33" s="5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</row>
    <row r="34" s="1" customFormat="1" ht="16.5" customHeight="1" spans="1:6 16247:16382">
      <c r="A34" s="8">
        <v>32</v>
      </c>
      <c r="B34" s="9" t="s">
        <v>38</v>
      </c>
      <c r="C34" s="8">
        <v>72</v>
      </c>
      <c r="D34" s="8">
        <v>72</v>
      </c>
      <c r="E34" s="8">
        <v>16.5</v>
      </c>
      <c r="F34" s="8">
        <v>1188</v>
      </c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 s="5"/>
      <c r="XBK34" s="5"/>
      <c r="XBL34" s="5"/>
      <c r="XBM34" s="5"/>
      <c r="XBN34" s="5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</row>
    <row r="35" s="1" customFormat="1" ht="16.5" customHeight="1" spans="1:6 16247:16382">
      <c r="A35" s="8">
        <v>33</v>
      </c>
      <c r="B35" s="9" t="s">
        <v>39</v>
      </c>
      <c r="C35" s="8">
        <v>23</v>
      </c>
      <c r="D35" s="8">
        <v>23</v>
      </c>
      <c r="E35" s="8">
        <v>16.5</v>
      </c>
      <c r="F35" s="8">
        <v>379.5</v>
      </c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 s="5"/>
      <c r="XBK35" s="5"/>
      <c r="XBL35" s="5"/>
      <c r="XBM35" s="5"/>
      <c r="XBN35" s="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</row>
    <row r="36" s="1" customFormat="1" ht="16.5" customHeight="1" spans="1:6 16247:16382">
      <c r="A36" s="8">
        <v>34</v>
      </c>
      <c r="B36" s="9" t="s">
        <v>40</v>
      </c>
      <c r="C36" s="8">
        <v>9</v>
      </c>
      <c r="D36" s="8">
        <v>9</v>
      </c>
      <c r="E36" s="8">
        <v>16.5</v>
      </c>
      <c r="F36" s="8">
        <v>148.5</v>
      </c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 s="5"/>
      <c r="XBK36" s="5"/>
      <c r="XBL36" s="5"/>
      <c r="XBM36" s="5"/>
      <c r="XBN36" s="5"/>
      <c r="XBO36" s="5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</row>
    <row r="37" s="1" customFormat="1" ht="16.5" customHeight="1" spans="1:6 16247:16382">
      <c r="A37" s="8">
        <v>35</v>
      </c>
      <c r="B37" s="9" t="s">
        <v>41</v>
      </c>
      <c r="C37" s="8">
        <v>1</v>
      </c>
      <c r="D37" s="8">
        <v>1</v>
      </c>
      <c r="E37" s="8">
        <v>16.5</v>
      </c>
      <c r="F37" s="8">
        <v>16.5</v>
      </c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 s="5"/>
      <c r="XBK37" s="5"/>
      <c r="XBL37" s="5"/>
      <c r="XBM37" s="5"/>
      <c r="XBN37" s="5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</row>
    <row r="38" s="1" customFormat="1" ht="16.5" customHeight="1" spans="1:6 16247:16382">
      <c r="A38" s="8">
        <v>36</v>
      </c>
      <c r="B38" s="9" t="s">
        <v>42</v>
      </c>
      <c r="C38" s="8">
        <v>6</v>
      </c>
      <c r="D38" s="8">
        <v>1</v>
      </c>
      <c r="E38" s="8">
        <v>33</v>
      </c>
      <c r="F38" s="8">
        <v>33</v>
      </c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 s="5"/>
      <c r="XBK38" s="5"/>
      <c r="XBL38" s="5"/>
      <c r="XBM38" s="5"/>
      <c r="XBN38" s="5"/>
      <c r="XBO38" s="5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  <c r="XEE38" s="5"/>
      <c r="XEF38" s="5"/>
      <c r="XEG38" s="5"/>
      <c r="XEH38" s="5"/>
      <c r="XEI38" s="5"/>
      <c r="XEJ38" s="5"/>
      <c r="XEK38" s="5"/>
      <c r="XEL38" s="5"/>
      <c r="XEM38" s="5"/>
      <c r="XEN38" s="5"/>
      <c r="XEO38" s="5"/>
      <c r="XEP38" s="5"/>
      <c r="XEQ38" s="5"/>
      <c r="XER38" s="5"/>
      <c r="XES38" s="5"/>
      <c r="XET38" s="5"/>
      <c r="XEU38" s="5"/>
      <c r="XEV38" s="5"/>
      <c r="XEW38" s="5"/>
      <c r="XEX38" s="5"/>
      <c r="XEY38" s="5"/>
      <c r="XEZ38" s="5"/>
      <c r="XFA38" s="5"/>
      <c r="XFB38" s="5"/>
    </row>
    <row r="39" s="1" customFormat="1" ht="16.5" customHeight="1" spans="1:6 16247:16382">
      <c r="A39" s="8">
        <v>37</v>
      </c>
      <c r="B39" s="9" t="s">
        <v>43</v>
      </c>
      <c r="C39" s="8">
        <v>5</v>
      </c>
      <c r="D39" s="8">
        <v>5</v>
      </c>
      <c r="E39" s="8">
        <v>16.5</v>
      </c>
      <c r="F39" s="8">
        <v>82.5</v>
      </c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 s="5"/>
      <c r="XBK39" s="5"/>
      <c r="XBL39" s="5"/>
      <c r="XBM39" s="5"/>
      <c r="XBN39" s="5"/>
      <c r="XBO39" s="5"/>
      <c r="XBP39" s="5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  <c r="XEE39" s="5"/>
      <c r="XEF39" s="5"/>
      <c r="XEG39" s="5"/>
      <c r="XEH39" s="5"/>
      <c r="XEI39" s="5"/>
      <c r="XEJ39" s="5"/>
      <c r="XEK39" s="5"/>
      <c r="XEL39" s="5"/>
      <c r="XEM39" s="5"/>
      <c r="XEN39" s="5"/>
      <c r="XEO39" s="5"/>
      <c r="XEP39" s="5"/>
      <c r="XEQ39" s="5"/>
      <c r="XER39" s="5"/>
      <c r="XES39" s="5"/>
      <c r="XET39" s="5"/>
      <c r="XEU39" s="5"/>
      <c r="XEV39" s="5"/>
      <c r="XEW39" s="5"/>
      <c r="XEX39" s="5"/>
      <c r="XEY39" s="5"/>
      <c r="XEZ39" s="5"/>
      <c r="XFA39" s="5"/>
      <c r="XFB39" s="5"/>
    </row>
    <row r="40" s="1" customFormat="1" ht="16.5" customHeight="1" spans="1:6 16247:16382">
      <c r="A40" s="8">
        <v>38</v>
      </c>
      <c r="B40" s="9" t="s">
        <v>44</v>
      </c>
      <c r="C40" s="8">
        <v>6</v>
      </c>
      <c r="D40" s="8">
        <v>6</v>
      </c>
      <c r="E40" s="8">
        <v>16.5</v>
      </c>
      <c r="F40" s="8">
        <v>99</v>
      </c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 s="5"/>
      <c r="XBK40" s="5"/>
      <c r="XBL40" s="5"/>
      <c r="XBM40" s="5"/>
      <c r="XBN40" s="5"/>
      <c r="XBO40" s="5"/>
      <c r="XBP40" s="5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  <c r="XEE40" s="5"/>
      <c r="XEF40" s="5"/>
      <c r="XEG40" s="5"/>
      <c r="XEH40" s="5"/>
      <c r="XEI40" s="5"/>
      <c r="XEJ40" s="5"/>
      <c r="XEK40" s="5"/>
      <c r="XEL40" s="5"/>
      <c r="XEM40" s="5"/>
      <c r="XEN40" s="5"/>
      <c r="XEO40" s="5"/>
      <c r="XEP40" s="5"/>
      <c r="XEQ40" s="5"/>
      <c r="XER40" s="5"/>
      <c r="XES40" s="5"/>
      <c r="XET40" s="5"/>
      <c r="XEU40" s="5"/>
      <c r="XEV40" s="5"/>
      <c r="XEW40" s="5"/>
      <c r="XEX40" s="5"/>
      <c r="XEY40" s="5"/>
      <c r="XEZ40" s="5"/>
      <c r="XFA40" s="5"/>
      <c r="XFB40" s="5"/>
    </row>
    <row r="41" s="1" customFormat="1" ht="16.5" customHeight="1" spans="1:6 16247:16382">
      <c r="A41" s="8">
        <v>39</v>
      </c>
      <c r="B41" s="9" t="s">
        <v>45</v>
      </c>
      <c r="C41" s="8">
        <v>120</v>
      </c>
      <c r="D41" s="8">
        <v>10</v>
      </c>
      <c r="E41" s="8">
        <v>66</v>
      </c>
      <c r="F41" s="8">
        <v>660</v>
      </c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 s="5"/>
      <c r="XBK41" s="5"/>
      <c r="XBL41" s="5"/>
      <c r="XBM41" s="5"/>
      <c r="XBN41" s="5"/>
      <c r="XBO41" s="5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  <c r="XEG41" s="5"/>
      <c r="XEH41" s="5"/>
      <c r="XEI41" s="5"/>
      <c r="XEJ41" s="5"/>
      <c r="XEK41" s="5"/>
      <c r="XEL41" s="5"/>
      <c r="XEM41" s="5"/>
      <c r="XEN41" s="5"/>
      <c r="XEO41" s="5"/>
      <c r="XEP41" s="5"/>
      <c r="XEQ41" s="5"/>
      <c r="XER41" s="5"/>
      <c r="XES41" s="5"/>
      <c r="XET41" s="5"/>
      <c r="XEU41" s="5"/>
      <c r="XEV41" s="5"/>
      <c r="XEW41" s="5"/>
      <c r="XEX41" s="5"/>
      <c r="XEY41" s="5"/>
      <c r="XEZ41" s="5"/>
      <c r="XFA41" s="5"/>
      <c r="XFB41" s="5"/>
    </row>
    <row r="42" s="1" customFormat="1" ht="16.5" spans="1:6 16247:16382">
      <c r="A42" s="8">
        <v>40</v>
      </c>
      <c r="B42" s="9" t="s">
        <v>46</v>
      </c>
      <c r="C42" s="8">
        <v>156</v>
      </c>
      <c r="D42" s="8">
        <v>13</v>
      </c>
      <c r="E42" s="8">
        <v>66</v>
      </c>
      <c r="F42" s="8">
        <v>858</v>
      </c>
      <c r="WZW42"/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 s="5"/>
      <c r="XBK42" s="5"/>
      <c r="XBL42" s="5"/>
      <c r="XBM42" s="5"/>
      <c r="XBN42" s="5"/>
      <c r="XBO42" s="5"/>
      <c r="XBP42" s="5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  <c r="XEK42" s="5"/>
      <c r="XEL42" s="5"/>
      <c r="XEM42" s="5"/>
      <c r="XEN42" s="5"/>
      <c r="XEO42" s="5"/>
      <c r="XEP42" s="5"/>
      <c r="XEQ42" s="5"/>
      <c r="XER42" s="5"/>
      <c r="XES42" s="5"/>
      <c r="XET42" s="5"/>
      <c r="XEU42" s="5"/>
      <c r="XEV42" s="5"/>
      <c r="XEW42" s="5"/>
      <c r="XEX42" s="5"/>
      <c r="XEY42" s="5"/>
      <c r="XEZ42" s="5"/>
      <c r="XFA42" s="5"/>
      <c r="XFB42" s="5"/>
    </row>
    <row r="43" s="1" customFormat="1" ht="16.5" spans="1:6 16247:16382">
      <c r="A43" s="8">
        <v>41</v>
      </c>
      <c r="B43" s="9" t="s">
        <v>47</v>
      </c>
      <c r="C43" s="8">
        <v>143</v>
      </c>
      <c r="D43" s="8">
        <v>11</v>
      </c>
      <c r="E43" s="8">
        <v>71.5</v>
      </c>
      <c r="F43" s="8">
        <v>786.5</v>
      </c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 s="5"/>
      <c r="XBK43" s="5"/>
      <c r="XBL43" s="5"/>
      <c r="XBM43" s="5"/>
      <c r="XBN43" s="5"/>
      <c r="XBO43" s="5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  <c r="XEG43" s="5"/>
      <c r="XEH43" s="5"/>
      <c r="XEI43" s="5"/>
      <c r="XEJ43" s="5"/>
      <c r="XEK43" s="5"/>
      <c r="XEL43" s="5"/>
      <c r="XEM43" s="5"/>
      <c r="XEN43" s="5"/>
      <c r="XEO43" s="5"/>
      <c r="XEP43" s="5"/>
      <c r="XEQ43" s="5"/>
      <c r="XER43" s="5"/>
      <c r="XES43" s="5"/>
      <c r="XET43" s="5"/>
      <c r="XEU43" s="5"/>
      <c r="XEV43" s="5"/>
      <c r="XEW43" s="5"/>
      <c r="XEX43" s="5"/>
      <c r="XEY43" s="5"/>
      <c r="XEZ43" s="5"/>
      <c r="XFA43" s="5"/>
      <c r="XFB43" s="5"/>
    </row>
    <row r="44" s="1" customFormat="1" ht="16.5" spans="1:6 16247:16382">
      <c r="A44" s="8">
        <v>42</v>
      </c>
      <c r="B44" s="9" t="s">
        <v>48</v>
      </c>
      <c r="C44" s="8">
        <v>130</v>
      </c>
      <c r="D44" s="8">
        <v>10</v>
      </c>
      <c r="E44" s="8">
        <v>71.5</v>
      </c>
      <c r="F44" s="8">
        <v>715</v>
      </c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 s="5"/>
      <c r="XBK44" s="5"/>
      <c r="XBL44" s="5"/>
      <c r="XBM44" s="5"/>
      <c r="XBN44" s="5"/>
      <c r="XBO44" s="5"/>
      <c r="XBP44" s="5"/>
      <c r="XBQ44" s="5"/>
      <c r="XBR44" s="5"/>
      <c r="XBS44" s="5"/>
      <c r="XBT44" s="5"/>
      <c r="XBU44" s="5"/>
      <c r="XBV44" s="5"/>
      <c r="XBW44" s="5"/>
      <c r="XBX44" s="5"/>
      <c r="XBY44" s="5"/>
      <c r="XBZ44" s="5"/>
      <c r="XCA44" s="5"/>
      <c r="XCB44" s="5"/>
      <c r="XCC44" s="5"/>
      <c r="XCD44" s="5"/>
      <c r="XCE44" s="5"/>
      <c r="XCF44" s="5"/>
      <c r="XCG44" s="5"/>
      <c r="XCH44" s="5"/>
      <c r="XCI44" s="5"/>
      <c r="XCJ44" s="5"/>
      <c r="XCK44" s="5"/>
      <c r="XCL44" s="5"/>
      <c r="XCM44" s="5"/>
      <c r="XCN44" s="5"/>
      <c r="XCO44" s="5"/>
      <c r="XCP44" s="5"/>
      <c r="XCQ44" s="5"/>
      <c r="XCR44" s="5"/>
      <c r="XCS44" s="5"/>
      <c r="XCT44" s="5"/>
      <c r="XCU44" s="5"/>
      <c r="XCV44" s="5"/>
      <c r="XCW44" s="5"/>
      <c r="XCX44" s="5"/>
      <c r="XCY44" s="5"/>
      <c r="XCZ44" s="5"/>
      <c r="XDA44" s="5"/>
      <c r="XDB44" s="5"/>
      <c r="XDC44" s="5"/>
      <c r="XDD44" s="5"/>
      <c r="XDE44" s="5"/>
      <c r="XDF44" s="5"/>
      <c r="XDG44" s="5"/>
      <c r="XDH44" s="5"/>
      <c r="XDI44" s="5"/>
      <c r="XDJ44" s="5"/>
      <c r="XDK44" s="5"/>
      <c r="XDL44" s="5"/>
      <c r="XDM44" s="5"/>
      <c r="XDN44" s="5"/>
      <c r="XDO44" s="5"/>
      <c r="XDP44" s="5"/>
      <c r="XDQ44" s="5"/>
      <c r="XDR44" s="5"/>
      <c r="XDS44" s="5"/>
      <c r="XDT44" s="5"/>
      <c r="XDU44" s="5"/>
      <c r="XDV44" s="5"/>
      <c r="XDW44" s="5"/>
      <c r="XDX44" s="5"/>
      <c r="XDY44" s="5"/>
      <c r="XDZ44" s="5"/>
      <c r="XEA44" s="5"/>
      <c r="XEB44" s="5"/>
      <c r="XEC44" s="5"/>
      <c r="XED44" s="5"/>
      <c r="XEE44" s="5"/>
      <c r="XEF44" s="5"/>
      <c r="XEG44" s="5"/>
      <c r="XEH44" s="5"/>
      <c r="XEI44" s="5"/>
      <c r="XEJ44" s="5"/>
      <c r="XEK44" s="5"/>
      <c r="XEL44" s="5"/>
      <c r="XEM44" s="5"/>
      <c r="XEN44" s="5"/>
      <c r="XEO44" s="5"/>
      <c r="XEP44" s="5"/>
      <c r="XEQ44" s="5"/>
      <c r="XER44" s="5"/>
      <c r="XES44" s="5"/>
      <c r="XET44" s="5"/>
      <c r="XEU44" s="5"/>
      <c r="XEV44" s="5"/>
      <c r="XEW44" s="5"/>
      <c r="XEX44" s="5"/>
      <c r="XEY44" s="5"/>
      <c r="XEZ44" s="5"/>
      <c r="XFA44" s="5"/>
      <c r="XFB44" s="5"/>
    </row>
    <row r="45" s="1" customFormat="1" ht="16.5" spans="1:6 16247:16382">
      <c r="A45" s="8">
        <v>43</v>
      </c>
      <c r="B45" s="9" t="s">
        <v>49</v>
      </c>
      <c r="C45" s="8">
        <v>20</v>
      </c>
      <c r="D45" s="8">
        <v>10</v>
      </c>
      <c r="E45" s="8">
        <v>16.5</v>
      </c>
      <c r="F45" s="8">
        <v>165</v>
      </c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 s="5"/>
      <c r="XBK45" s="5"/>
      <c r="XBL45" s="5"/>
      <c r="XBM45" s="5"/>
      <c r="XBN45" s="5"/>
      <c r="XBO45" s="5"/>
      <c r="XBP45" s="5"/>
      <c r="XBQ45" s="5"/>
      <c r="XBR45" s="5"/>
      <c r="XBS45" s="5"/>
      <c r="XBT45" s="5"/>
      <c r="XBU45" s="5"/>
      <c r="XBV45" s="5"/>
      <c r="XBW45" s="5"/>
      <c r="XBX45" s="5"/>
      <c r="XBY45" s="5"/>
      <c r="XBZ45" s="5"/>
      <c r="XCA45" s="5"/>
      <c r="XCB45" s="5"/>
      <c r="XCC45" s="5"/>
      <c r="XCD45" s="5"/>
      <c r="XCE45" s="5"/>
      <c r="XCF45" s="5"/>
      <c r="XCG45" s="5"/>
      <c r="XCH45" s="5"/>
      <c r="XCI45" s="5"/>
      <c r="XCJ45" s="5"/>
      <c r="XCK45" s="5"/>
      <c r="XCL45" s="5"/>
      <c r="XCM45" s="5"/>
      <c r="XCN45" s="5"/>
      <c r="XCO45" s="5"/>
      <c r="XCP45" s="5"/>
      <c r="XCQ45" s="5"/>
      <c r="XCR45" s="5"/>
      <c r="XCS45" s="5"/>
      <c r="XCT45" s="5"/>
      <c r="XCU45" s="5"/>
      <c r="XCV45" s="5"/>
      <c r="XCW45" s="5"/>
      <c r="XCX45" s="5"/>
      <c r="XCY45" s="5"/>
      <c r="XCZ45" s="5"/>
      <c r="XDA45" s="5"/>
      <c r="XDB45" s="5"/>
      <c r="XDC45" s="5"/>
      <c r="XDD45" s="5"/>
      <c r="XDE45" s="5"/>
      <c r="XDF45" s="5"/>
      <c r="XDG45" s="5"/>
      <c r="XDH45" s="5"/>
      <c r="XDI45" s="5"/>
      <c r="XDJ45" s="5"/>
      <c r="XDK45" s="5"/>
      <c r="XDL45" s="5"/>
      <c r="XDM45" s="5"/>
      <c r="XDN45" s="5"/>
      <c r="XDO45" s="5"/>
      <c r="XDP45" s="5"/>
      <c r="XDQ45" s="5"/>
      <c r="XDR45" s="5"/>
      <c r="XDS45" s="5"/>
      <c r="XDT45" s="5"/>
      <c r="XDU45" s="5"/>
      <c r="XDV45" s="5"/>
      <c r="XDW45" s="5"/>
      <c r="XDX45" s="5"/>
      <c r="XDY45" s="5"/>
      <c r="XDZ45" s="5"/>
      <c r="XEA45" s="5"/>
      <c r="XEB45" s="5"/>
      <c r="XEC45" s="5"/>
      <c r="XED45" s="5"/>
      <c r="XEE45" s="5"/>
      <c r="XEF45" s="5"/>
      <c r="XEG45" s="5"/>
      <c r="XEH45" s="5"/>
      <c r="XEI45" s="5"/>
      <c r="XEJ45" s="5"/>
      <c r="XEK45" s="5"/>
      <c r="XEL45" s="5"/>
      <c r="XEM45" s="5"/>
      <c r="XEN45" s="5"/>
      <c r="XEO45" s="5"/>
      <c r="XEP45" s="5"/>
      <c r="XEQ45" s="5"/>
      <c r="XER45" s="5"/>
      <c r="XES45" s="5"/>
      <c r="XET45" s="5"/>
      <c r="XEU45" s="5"/>
      <c r="XEV45" s="5"/>
      <c r="XEW45" s="5"/>
      <c r="XEX45" s="5"/>
      <c r="XEY45" s="5"/>
      <c r="XEZ45" s="5"/>
      <c r="XFA45" s="5"/>
      <c r="XFB45" s="5"/>
    </row>
    <row r="46" s="1" customFormat="1" ht="16.5" spans="1:6 16247:16382">
      <c r="A46" s="8">
        <v>44</v>
      </c>
      <c r="B46" s="9" t="s">
        <v>50</v>
      </c>
      <c r="C46" s="8">
        <v>10</v>
      </c>
      <c r="D46" s="8">
        <v>5</v>
      </c>
      <c r="E46" s="8">
        <v>16.5</v>
      </c>
      <c r="F46" s="8">
        <v>82.5</v>
      </c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 s="5"/>
      <c r="XBK46" s="5"/>
      <c r="XBL46" s="5"/>
      <c r="XBM46" s="5"/>
      <c r="XBN46" s="5"/>
      <c r="XBO46" s="5"/>
      <c r="XBP46" s="5"/>
      <c r="XBQ46" s="5"/>
      <c r="XBR46" s="5"/>
      <c r="XBS46" s="5"/>
      <c r="XBT46" s="5"/>
      <c r="XBU46" s="5"/>
      <c r="XBV46" s="5"/>
      <c r="XBW46" s="5"/>
      <c r="XBX46" s="5"/>
      <c r="XBY46" s="5"/>
      <c r="XBZ46" s="5"/>
      <c r="XCA46" s="5"/>
      <c r="XCB46" s="5"/>
      <c r="XCC46" s="5"/>
      <c r="XCD46" s="5"/>
      <c r="XCE46" s="5"/>
      <c r="XCF46" s="5"/>
      <c r="XCG46" s="5"/>
      <c r="XCH46" s="5"/>
      <c r="XCI46" s="5"/>
      <c r="XCJ46" s="5"/>
      <c r="XCK46" s="5"/>
      <c r="XCL46" s="5"/>
      <c r="XCM46" s="5"/>
      <c r="XCN46" s="5"/>
      <c r="XCO46" s="5"/>
      <c r="XCP46" s="5"/>
      <c r="XCQ46" s="5"/>
      <c r="XCR46" s="5"/>
      <c r="XCS46" s="5"/>
      <c r="XCT46" s="5"/>
      <c r="XCU46" s="5"/>
      <c r="XCV46" s="5"/>
      <c r="XCW46" s="5"/>
      <c r="XCX46" s="5"/>
      <c r="XCY46" s="5"/>
      <c r="XCZ46" s="5"/>
      <c r="XDA46" s="5"/>
      <c r="XDB46" s="5"/>
      <c r="XDC46" s="5"/>
      <c r="XDD46" s="5"/>
      <c r="XDE46" s="5"/>
      <c r="XDF46" s="5"/>
      <c r="XDG46" s="5"/>
      <c r="XDH46" s="5"/>
      <c r="XDI46" s="5"/>
      <c r="XDJ46" s="5"/>
      <c r="XDK46" s="5"/>
      <c r="XDL46" s="5"/>
      <c r="XDM46" s="5"/>
      <c r="XDN46" s="5"/>
      <c r="XDO46" s="5"/>
      <c r="XDP46" s="5"/>
      <c r="XDQ46" s="5"/>
      <c r="XDR46" s="5"/>
      <c r="XDS46" s="5"/>
      <c r="XDT46" s="5"/>
      <c r="XDU46" s="5"/>
      <c r="XDV46" s="5"/>
      <c r="XDW46" s="5"/>
      <c r="XDX46" s="5"/>
      <c r="XDY46" s="5"/>
      <c r="XDZ46" s="5"/>
      <c r="XEA46" s="5"/>
      <c r="XEB46" s="5"/>
      <c r="XEC46" s="5"/>
      <c r="XED46" s="5"/>
      <c r="XEE46" s="5"/>
      <c r="XEF46" s="5"/>
      <c r="XEG46" s="5"/>
      <c r="XEH46" s="5"/>
      <c r="XEI46" s="5"/>
      <c r="XEJ46" s="5"/>
      <c r="XEK46" s="5"/>
      <c r="XEL46" s="5"/>
      <c r="XEM46" s="5"/>
      <c r="XEN46" s="5"/>
      <c r="XEO46" s="5"/>
      <c r="XEP46" s="5"/>
      <c r="XEQ46" s="5"/>
      <c r="XER46" s="5"/>
      <c r="XES46" s="5"/>
      <c r="XET46" s="5"/>
      <c r="XEU46" s="5"/>
      <c r="XEV46" s="5"/>
      <c r="XEW46" s="5"/>
      <c r="XEX46" s="5"/>
      <c r="XEY46" s="5"/>
      <c r="XEZ46" s="5"/>
      <c r="XFA46" s="5"/>
      <c r="XFB46" s="5"/>
    </row>
    <row r="47" s="1" customFormat="1" ht="16.5" spans="1:6 16247:16382">
      <c r="A47" s="8">
        <v>45</v>
      </c>
      <c r="B47" s="9" t="s">
        <v>51</v>
      </c>
      <c r="C47" s="8">
        <v>4</v>
      </c>
      <c r="D47" s="8">
        <v>2</v>
      </c>
      <c r="E47" s="8">
        <v>16.5</v>
      </c>
      <c r="F47" s="8">
        <v>33</v>
      </c>
      <c r="WZW47"/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/>
      <c r="XBJ47" s="5"/>
      <c r="XBK47" s="5"/>
      <c r="XBL47" s="5"/>
      <c r="XBM47" s="5"/>
      <c r="XBN47" s="5"/>
      <c r="XBO47" s="5"/>
      <c r="XBP47" s="5"/>
      <c r="XBQ47" s="5"/>
      <c r="XBR47" s="5"/>
      <c r="XBS47" s="5"/>
      <c r="XBT47" s="5"/>
      <c r="XBU47" s="5"/>
      <c r="XBV47" s="5"/>
      <c r="XBW47" s="5"/>
      <c r="XBX47" s="5"/>
      <c r="XBY47" s="5"/>
      <c r="XBZ47" s="5"/>
      <c r="XCA47" s="5"/>
      <c r="XCB47" s="5"/>
      <c r="XCC47" s="5"/>
      <c r="XCD47" s="5"/>
      <c r="XCE47" s="5"/>
      <c r="XCF47" s="5"/>
      <c r="XCG47" s="5"/>
      <c r="XCH47" s="5"/>
      <c r="XCI47" s="5"/>
      <c r="XCJ47" s="5"/>
      <c r="XCK47" s="5"/>
      <c r="XCL47" s="5"/>
      <c r="XCM47" s="5"/>
      <c r="XCN47" s="5"/>
      <c r="XCO47" s="5"/>
      <c r="XCP47" s="5"/>
      <c r="XCQ47" s="5"/>
      <c r="XCR47" s="5"/>
      <c r="XCS47" s="5"/>
      <c r="XCT47" s="5"/>
      <c r="XCU47" s="5"/>
      <c r="XCV47" s="5"/>
      <c r="XCW47" s="5"/>
      <c r="XCX47" s="5"/>
      <c r="XCY47" s="5"/>
      <c r="XCZ47" s="5"/>
      <c r="XDA47" s="5"/>
      <c r="XDB47" s="5"/>
      <c r="XDC47" s="5"/>
      <c r="XDD47" s="5"/>
      <c r="XDE47" s="5"/>
      <c r="XDF47" s="5"/>
      <c r="XDG47" s="5"/>
      <c r="XDH47" s="5"/>
      <c r="XDI47" s="5"/>
      <c r="XDJ47" s="5"/>
      <c r="XDK47" s="5"/>
      <c r="XDL47" s="5"/>
      <c r="XDM47" s="5"/>
      <c r="XDN47" s="5"/>
      <c r="XDO47" s="5"/>
      <c r="XDP47" s="5"/>
      <c r="XDQ47" s="5"/>
      <c r="XDR47" s="5"/>
      <c r="XDS47" s="5"/>
      <c r="XDT47" s="5"/>
      <c r="XDU47" s="5"/>
      <c r="XDV47" s="5"/>
      <c r="XDW47" s="5"/>
      <c r="XDX47" s="5"/>
      <c r="XDY47" s="5"/>
      <c r="XDZ47" s="5"/>
      <c r="XEA47" s="5"/>
      <c r="XEB47" s="5"/>
      <c r="XEC47" s="5"/>
      <c r="XED47" s="5"/>
      <c r="XEE47" s="5"/>
      <c r="XEF47" s="5"/>
      <c r="XEG47" s="5"/>
      <c r="XEH47" s="5"/>
      <c r="XEI47" s="5"/>
      <c r="XEJ47" s="5"/>
      <c r="XEK47" s="5"/>
      <c r="XEL47" s="5"/>
      <c r="XEM47" s="5"/>
      <c r="XEN47" s="5"/>
      <c r="XEO47" s="5"/>
      <c r="XEP47" s="5"/>
      <c r="XEQ47" s="5"/>
      <c r="XER47" s="5"/>
      <c r="XES47" s="5"/>
      <c r="XET47" s="5"/>
      <c r="XEU47" s="5"/>
      <c r="XEV47" s="5"/>
      <c r="XEW47" s="5"/>
      <c r="XEX47" s="5"/>
      <c r="XEY47" s="5"/>
      <c r="XEZ47" s="5"/>
      <c r="XFA47" s="5"/>
      <c r="XFB47" s="5"/>
    </row>
    <row r="48" s="1" customFormat="1" ht="16.5" spans="1:6 16247:16382">
      <c r="A48" s="8">
        <v>46</v>
      </c>
      <c r="B48" s="9" t="s">
        <v>52</v>
      </c>
      <c r="C48" s="8">
        <v>0</v>
      </c>
      <c r="D48" s="8">
        <v>1</v>
      </c>
      <c r="E48" s="8">
        <v>15</v>
      </c>
      <c r="F48" s="8">
        <v>15</v>
      </c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 s="5"/>
      <c r="XBK48" s="5"/>
      <c r="XBL48" s="5"/>
      <c r="XBM48" s="5"/>
      <c r="XBN48" s="5"/>
      <c r="XBO48" s="5"/>
      <c r="XBP48" s="5"/>
      <c r="XBQ48" s="5"/>
      <c r="XBR48" s="5"/>
      <c r="XBS48" s="5"/>
      <c r="XBT48" s="5"/>
      <c r="XBU48" s="5"/>
      <c r="XBV48" s="5"/>
      <c r="XBW48" s="5"/>
      <c r="XBX48" s="5"/>
      <c r="XBY48" s="5"/>
      <c r="XBZ48" s="5"/>
      <c r="XCA48" s="5"/>
      <c r="XCB48" s="5"/>
      <c r="XCC48" s="5"/>
      <c r="XCD48" s="5"/>
      <c r="XCE48" s="5"/>
      <c r="XCF48" s="5"/>
      <c r="XCG48" s="5"/>
      <c r="XCH48" s="5"/>
      <c r="XCI48" s="5"/>
      <c r="XCJ48" s="5"/>
      <c r="XCK48" s="5"/>
      <c r="XCL48" s="5"/>
      <c r="XCM48" s="5"/>
      <c r="XCN48" s="5"/>
      <c r="XCO48" s="5"/>
      <c r="XCP48" s="5"/>
      <c r="XCQ48" s="5"/>
      <c r="XCR48" s="5"/>
      <c r="XCS48" s="5"/>
      <c r="XCT48" s="5"/>
      <c r="XCU48" s="5"/>
      <c r="XCV48" s="5"/>
      <c r="XCW48" s="5"/>
      <c r="XCX48" s="5"/>
      <c r="XCY48" s="5"/>
      <c r="XCZ48" s="5"/>
      <c r="XDA48" s="5"/>
      <c r="XDB48" s="5"/>
      <c r="XDC48" s="5"/>
      <c r="XDD48" s="5"/>
      <c r="XDE48" s="5"/>
      <c r="XDF48" s="5"/>
      <c r="XDG48" s="5"/>
      <c r="XDH48" s="5"/>
      <c r="XDI48" s="5"/>
      <c r="XDJ48" s="5"/>
      <c r="XDK48" s="5"/>
      <c r="XDL48" s="5"/>
      <c r="XDM48" s="5"/>
      <c r="XDN48" s="5"/>
      <c r="XDO48" s="5"/>
      <c r="XDP48" s="5"/>
      <c r="XDQ48" s="5"/>
      <c r="XDR48" s="5"/>
      <c r="XDS48" s="5"/>
      <c r="XDT48" s="5"/>
      <c r="XDU48" s="5"/>
      <c r="XDV48" s="5"/>
      <c r="XDW48" s="5"/>
      <c r="XDX48" s="5"/>
      <c r="XDY48" s="5"/>
      <c r="XDZ48" s="5"/>
      <c r="XEA48" s="5"/>
      <c r="XEB48" s="5"/>
      <c r="XEC48" s="5"/>
      <c r="XED48" s="5"/>
      <c r="XEE48" s="5"/>
      <c r="XEF48" s="5"/>
      <c r="XEG48" s="5"/>
      <c r="XEH48" s="5"/>
      <c r="XEI48" s="5"/>
      <c r="XEJ48" s="5"/>
      <c r="XEK48" s="5"/>
      <c r="XEL48" s="5"/>
      <c r="XEM48" s="5"/>
      <c r="XEN48" s="5"/>
      <c r="XEO48" s="5"/>
      <c r="XEP48" s="5"/>
      <c r="XEQ48" s="5"/>
      <c r="XER48" s="5"/>
      <c r="XES48" s="5"/>
      <c r="XET48" s="5"/>
      <c r="XEU48" s="5"/>
      <c r="XEV48" s="5"/>
      <c r="XEW48" s="5"/>
      <c r="XEX48" s="5"/>
      <c r="XEY48" s="5"/>
      <c r="XEZ48" s="5"/>
      <c r="XFA48" s="5"/>
      <c r="XFB48" s="5"/>
    </row>
    <row r="49" s="1" customFormat="1" ht="16.5" spans="1:6 16247:16382">
      <c r="A49" s="8">
        <v>47</v>
      </c>
      <c r="B49" s="9" t="s">
        <v>53</v>
      </c>
      <c r="C49" s="8">
        <v>8</v>
      </c>
      <c r="D49" s="8">
        <v>4</v>
      </c>
      <c r="E49" s="8">
        <v>16.5</v>
      </c>
      <c r="F49" s="8">
        <v>66</v>
      </c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 s="5"/>
      <c r="XBK49" s="5"/>
      <c r="XBL49" s="5"/>
      <c r="XBM49" s="5"/>
      <c r="XBN49" s="5"/>
      <c r="XBO49" s="5"/>
      <c r="XBP49" s="5"/>
      <c r="XBQ49" s="5"/>
      <c r="XBR49" s="5"/>
      <c r="XBS49" s="5"/>
      <c r="XBT49" s="5"/>
      <c r="XBU49" s="5"/>
      <c r="XBV49" s="5"/>
      <c r="XBW49" s="5"/>
      <c r="XBX49" s="5"/>
      <c r="XBY49" s="5"/>
      <c r="XBZ49" s="5"/>
      <c r="XCA49" s="5"/>
      <c r="XCB49" s="5"/>
      <c r="XCC49" s="5"/>
      <c r="XCD49" s="5"/>
      <c r="XCE49" s="5"/>
      <c r="XCF49" s="5"/>
      <c r="XCG49" s="5"/>
      <c r="XCH49" s="5"/>
      <c r="XCI49" s="5"/>
      <c r="XCJ49" s="5"/>
      <c r="XCK49" s="5"/>
      <c r="XCL49" s="5"/>
      <c r="XCM49" s="5"/>
      <c r="XCN49" s="5"/>
      <c r="XCO49" s="5"/>
      <c r="XCP49" s="5"/>
      <c r="XCQ49" s="5"/>
      <c r="XCR49" s="5"/>
      <c r="XCS49" s="5"/>
      <c r="XCT49" s="5"/>
      <c r="XCU49" s="5"/>
      <c r="XCV49" s="5"/>
      <c r="XCW49" s="5"/>
      <c r="XCX49" s="5"/>
      <c r="XCY49" s="5"/>
      <c r="XCZ49" s="5"/>
      <c r="XDA49" s="5"/>
      <c r="XDB49" s="5"/>
      <c r="XDC49" s="5"/>
      <c r="XDD49" s="5"/>
      <c r="XDE49" s="5"/>
      <c r="XDF49" s="5"/>
      <c r="XDG49" s="5"/>
      <c r="XDH49" s="5"/>
      <c r="XDI49" s="5"/>
      <c r="XDJ49" s="5"/>
      <c r="XDK49" s="5"/>
      <c r="XDL49" s="5"/>
      <c r="XDM49" s="5"/>
      <c r="XDN49" s="5"/>
      <c r="XDO49" s="5"/>
      <c r="XDP49" s="5"/>
      <c r="XDQ49" s="5"/>
      <c r="XDR49" s="5"/>
      <c r="XDS49" s="5"/>
      <c r="XDT49" s="5"/>
      <c r="XDU49" s="5"/>
      <c r="XDV49" s="5"/>
      <c r="XDW49" s="5"/>
      <c r="XDX49" s="5"/>
      <c r="XDY49" s="5"/>
      <c r="XDZ49" s="5"/>
      <c r="XEA49" s="5"/>
      <c r="XEB49" s="5"/>
      <c r="XEC49" s="5"/>
      <c r="XED49" s="5"/>
      <c r="XEE49" s="5"/>
      <c r="XEF49" s="5"/>
      <c r="XEG49" s="5"/>
      <c r="XEH49" s="5"/>
      <c r="XEI49" s="5"/>
      <c r="XEJ49" s="5"/>
      <c r="XEK49" s="5"/>
      <c r="XEL49" s="5"/>
      <c r="XEM49" s="5"/>
      <c r="XEN49" s="5"/>
      <c r="XEO49" s="5"/>
      <c r="XEP49" s="5"/>
      <c r="XEQ49" s="5"/>
      <c r="XER49" s="5"/>
      <c r="XES49" s="5"/>
      <c r="XET49" s="5"/>
      <c r="XEU49" s="5"/>
      <c r="XEV49" s="5"/>
      <c r="XEW49" s="5"/>
      <c r="XEX49" s="5"/>
      <c r="XEY49" s="5"/>
      <c r="XEZ49" s="5"/>
      <c r="XFA49" s="5"/>
      <c r="XFB49" s="5"/>
    </row>
    <row r="50" s="1" customFormat="1" ht="16.5" spans="1:6 16247:16382">
      <c r="A50" s="8">
        <v>48</v>
      </c>
      <c r="B50" s="9" t="s">
        <v>54</v>
      </c>
      <c r="C50" s="8">
        <v>1</v>
      </c>
      <c r="D50" s="8">
        <v>1</v>
      </c>
      <c r="E50" s="8">
        <v>25</v>
      </c>
      <c r="F50" s="8">
        <v>25</v>
      </c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 s="5"/>
      <c r="XBK50" s="5"/>
      <c r="XBL50" s="5"/>
      <c r="XBM50" s="5"/>
      <c r="XBN50" s="5"/>
      <c r="XBO50" s="5"/>
      <c r="XBP50" s="5"/>
      <c r="XBQ50" s="5"/>
      <c r="XBR50" s="5"/>
      <c r="XBS50" s="5"/>
      <c r="XBT50" s="5"/>
      <c r="XBU50" s="5"/>
      <c r="XBV50" s="5"/>
      <c r="XBW50" s="5"/>
      <c r="XBX50" s="5"/>
      <c r="XBY50" s="5"/>
      <c r="XBZ50" s="5"/>
      <c r="XCA50" s="5"/>
      <c r="XCB50" s="5"/>
      <c r="XCC50" s="5"/>
      <c r="XCD50" s="5"/>
      <c r="XCE50" s="5"/>
      <c r="XCF50" s="5"/>
      <c r="XCG50" s="5"/>
      <c r="XCH50" s="5"/>
      <c r="XCI50" s="5"/>
      <c r="XCJ50" s="5"/>
      <c r="XCK50" s="5"/>
      <c r="XCL50" s="5"/>
      <c r="XCM50" s="5"/>
      <c r="XCN50" s="5"/>
      <c r="XCO50" s="5"/>
      <c r="XCP50" s="5"/>
      <c r="XCQ50" s="5"/>
      <c r="XCR50" s="5"/>
      <c r="XCS50" s="5"/>
      <c r="XCT50" s="5"/>
      <c r="XCU50" s="5"/>
      <c r="XCV50" s="5"/>
      <c r="XCW50" s="5"/>
      <c r="XCX50" s="5"/>
      <c r="XCY50" s="5"/>
      <c r="XCZ50" s="5"/>
      <c r="XDA50" s="5"/>
      <c r="XDB50" s="5"/>
      <c r="XDC50" s="5"/>
      <c r="XDD50" s="5"/>
      <c r="XDE50" s="5"/>
      <c r="XDF50" s="5"/>
      <c r="XDG50" s="5"/>
      <c r="XDH50" s="5"/>
      <c r="XDI50" s="5"/>
      <c r="XDJ50" s="5"/>
      <c r="XDK50" s="5"/>
      <c r="XDL50" s="5"/>
      <c r="XDM50" s="5"/>
      <c r="XDN50" s="5"/>
      <c r="XDO50" s="5"/>
      <c r="XDP50" s="5"/>
      <c r="XDQ50" s="5"/>
      <c r="XDR50" s="5"/>
      <c r="XDS50" s="5"/>
      <c r="XDT50" s="5"/>
      <c r="XDU50" s="5"/>
      <c r="XDV50" s="5"/>
      <c r="XDW50" s="5"/>
      <c r="XDX50" s="5"/>
      <c r="XDY50" s="5"/>
      <c r="XDZ50" s="5"/>
      <c r="XEA50" s="5"/>
      <c r="XEB50" s="5"/>
      <c r="XEC50" s="5"/>
      <c r="XED50" s="5"/>
      <c r="XEE50" s="5"/>
      <c r="XEF50" s="5"/>
      <c r="XEG50" s="5"/>
      <c r="XEH50" s="5"/>
      <c r="XEI50" s="5"/>
      <c r="XEJ50" s="5"/>
      <c r="XEK50" s="5"/>
      <c r="XEL50" s="5"/>
      <c r="XEM50" s="5"/>
      <c r="XEN50" s="5"/>
      <c r="XEO50" s="5"/>
      <c r="XEP50" s="5"/>
      <c r="XEQ50" s="5"/>
      <c r="XER50" s="5"/>
      <c r="XES50" s="5"/>
      <c r="XET50" s="5"/>
      <c r="XEU50" s="5"/>
      <c r="XEV50" s="5"/>
      <c r="XEW50" s="5"/>
      <c r="XEX50" s="5"/>
      <c r="XEY50" s="5"/>
      <c r="XEZ50" s="5"/>
      <c r="XFA50" s="5"/>
      <c r="XFB50" s="5"/>
    </row>
    <row r="51" s="1" customFormat="1" ht="16.5" spans="1:6 16247:16382">
      <c r="A51" s="8">
        <v>49</v>
      </c>
      <c r="B51" s="9" t="s">
        <v>55</v>
      </c>
      <c r="C51" s="8">
        <v>2</v>
      </c>
      <c r="D51" s="8">
        <v>1</v>
      </c>
      <c r="E51" s="8">
        <v>25</v>
      </c>
      <c r="F51" s="8">
        <v>25</v>
      </c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/>
      <c r="XBJ51" s="5"/>
      <c r="XBK51" s="5"/>
      <c r="XBL51" s="5"/>
      <c r="XBM51" s="5"/>
      <c r="XBN51" s="5"/>
      <c r="XBO51" s="5"/>
      <c r="XBP51" s="5"/>
      <c r="XBQ51" s="5"/>
      <c r="XBR51" s="5"/>
      <c r="XBS51" s="5"/>
      <c r="XBT51" s="5"/>
      <c r="XBU51" s="5"/>
      <c r="XBV51" s="5"/>
      <c r="XBW51" s="5"/>
      <c r="XBX51" s="5"/>
      <c r="XBY51" s="5"/>
      <c r="XBZ51" s="5"/>
      <c r="XCA51" s="5"/>
      <c r="XCB51" s="5"/>
      <c r="XCC51" s="5"/>
      <c r="XCD51" s="5"/>
      <c r="XCE51" s="5"/>
      <c r="XCF51" s="5"/>
      <c r="XCG51" s="5"/>
      <c r="XCH51" s="5"/>
      <c r="XCI51" s="5"/>
      <c r="XCJ51" s="5"/>
      <c r="XCK51" s="5"/>
      <c r="XCL51" s="5"/>
      <c r="XCM51" s="5"/>
      <c r="XCN51" s="5"/>
      <c r="XCO51" s="5"/>
      <c r="XCP51" s="5"/>
      <c r="XCQ51" s="5"/>
      <c r="XCR51" s="5"/>
      <c r="XCS51" s="5"/>
      <c r="XCT51" s="5"/>
      <c r="XCU51" s="5"/>
      <c r="XCV51" s="5"/>
      <c r="XCW51" s="5"/>
      <c r="XCX51" s="5"/>
      <c r="XCY51" s="5"/>
      <c r="XCZ51" s="5"/>
      <c r="XDA51" s="5"/>
      <c r="XDB51" s="5"/>
      <c r="XDC51" s="5"/>
      <c r="XDD51" s="5"/>
      <c r="XDE51" s="5"/>
      <c r="XDF51" s="5"/>
      <c r="XDG51" s="5"/>
      <c r="XDH51" s="5"/>
      <c r="XDI51" s="5"/>
      <c r="XDJ51" s="5"/>
      <c r="XDK51" s="5"/>
      <c r="XDL51" s="5"/>
      <c r="XDM51" s="5"/>
      <c r="XDN51" s="5"/>
      <c r="XDO51" s="5"/>
      <c r="XDP51" s="5"/>
      <c r="XDQ51" s="5"/>
      <c r="XDR51" s="5"/>
      <c r="XDS51" s="5"/>
      <c r="XDT51" s="5"/>
      <c r="XDU51" s="5"/>
      <c r="XDV51" s="5"/>
      <c r="XDW51" s="5"/>
      <c r="XDX51" s="5"/>
      <c r="XDY51" s="5"/>
      <c r="XDZ51" s="5"/>
      <c r="XEA51" s="5"/>
      <c r="XEB51" s="5"/>
      <c r="XEC51" s="5"/>
      <c r="XED51" s="5"/>
      <c r="XEE51" s="5"/>
      <c r="XEF51" s="5"/>
      <c r="XEG51" s="5"/>
      <c r="XEH51" s="5"/>
      <c r="XEI51" s="5"/>
      <c r="XEJ51" s="5"/>
      <c r="XEK51" s="5"/>
      <c r="XEL51" s="5"/>
      <c r="XEM51" s="5"/>
      <c r="XEN51" s="5"/>
      <c r="XEO51" s="5"/>
      <c r="XEP51" s="5"/>
      <c r="XEQ51" s="5"/>
      <c r="XER51" s="5"/>
      <c r="XES51" s="5"/>
      <c r="XET51" s="5"/>
      <c r="XEU51" s="5"/>
      <c r="XEV51" s="5"/>
      <c r="XEW51" s="5"/>
      <c r="XEX51" s="5"/>
      <c r="XEY51" s="5"/>
      <c r="XEZ51" s="5"/>
      <c r="XFA51" s="5"/>
      <c r="XFB51" s="5"/>
    </row>
    <row r="52" s="1" customFormat="1" ht="16.5" spans="1:6 16247:16382">
      <c r="A52" s="8">
        <v>50</v>
      </c>
      <c r="B52" s="9" t="s">
        <v>56</v>
      </c>
      <c r="C52" s="8">
        <v>31</v>
      </c>
      <c r="D52" s="8">
        <v>1</v>
      </c>
      <c r="E52" s="8">
        <v>170.5</v>
      </c>
      <c r="F52" s="8">
        <v>170.5</v>
      </c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 s="5"/>
      <c r="XBK52" s="5"/>
      <c r="XBL52" s="5"/>
      <c r="XBM52" s="5"/>
      <c r="XBN52" s="5"/>
      <c r="XBO52" s="5"/>
      <c r="XBP52" s="5"/>
      <c r="XBQ52" s="5"/>
      <c r="XBR52" s="5"/>
      <c r="XBS52" s="5"/>
      <c r="XBT52" s="5"/>
      <c r="XBU52" s="5"/>
      <c r="XBV52" s="5"/>
      <c r="XBW52" s="5"/>
      <c r="XBX52" s="5"/>
      <c r="XBY52" s="5"/>
      <c r="XBZ52" s="5"/>
      <c r="XCA52" s="5"/>
      <c r="XCB52" s="5"/>
      <c r="XCC52" s="5"/>
      <c r="XCD52" s="5"/>
      <c r="XCE52" s="5"/>
      <c r="XCF52" s="5"/>
      <c r="XCG52" s="5"/>
      <c r="XCH52" s="5"/>
      <c r="XCI52" s="5"/>
      <c r="XCJ52" s="5"/>
      <c r="XCK52" s="5"/>
      <c r="XCL52" s="5"/>
      <c r="XCM52" s="5"/>
      <c r="XCN52" s="5"/>
      <c r="XCO52" s="5"/>
      <c r="XCP52" s="5"/>
      <c r="XCQ52" s="5"/>
      <c r="XCR52" s="5"/>
      <c r="XCS52" s="5"/>
      <c r="XCT52" s="5"/>
      <c r="XCU52" s="5"/>
      <c r="XCV52" s="5"/>
      <c r="XCW52" s="5"/>
      <c r="XCX52" s="5"/>
      <c r="XCY52" s="5"/>
      <c r="XCZ52" s="5"/>
      <c r="XDA52" s="5"/>
      <c r="XDB52" s="5"/>
      <c r="XDC52" s="5"/>
      <c r="XDD52" s="5"/>
      <c r="XDE52" s="5"/>
      <c r="XDF52" s="5"/>
      <c r="XDG52" s="5"/>
      <c r="XDH52" s="5"/>
      <c r="XDI52" s="5"/>
      <c r="XDJ52" s="5"/>
      <c r="XDK52" s="5"/>
      <c r="XDL52" s="5"/>
      <c r="XDM52" s="5"/>
      <c r="XDN52" s="5"/>
      <c r="XDO52" s="5"/>
      <c r="XDP52" s="5"/>
      <c r="XDQ52" s="5"/>
      <c r="XDR52" s="5"/>
      <c r="XDS52" s="5"/>
      <c r="XDT52" s="5"/>
      <c r="XDU52" s="5"/>
      <c r="XDV52" s="5"/>
      <c r="XDW52" s="5"/>
      <c r="XDX52" s="5"/>
      <c r="XDY52" s="5"/>
      <c r="XDZ52" s="5"/>
      <c r="XEA52" s="5"/>
      <c r="XEB52" s="5"/>
      <c r="XEC52" s="5"/>
      <c r="XED52" s="5"/>
      <c r="XEE52" s="5"/>
      <c r="XEF52" s="5"/>
      <c r="XEG52" s="5"/>
      <c r="XEH52" s="5"/>
      <c r="XEI52" s="5"/>
      <c r="XEJ52" s="5"/>
      <c r="XEK52" s="5"/>
      <c r="XEL52" s="5"/>
      <c r="XEM52" s="5"/>
      <c r="XEN52" s="5"/>
      <c r="XEO52" s="5"/>
      <c r="XEP52" s="5"/>
      <c r="XEQ52" s="5"/>
      <c r="XER52" s="5"/>
      <c r="XES52" s="5"/>
      <c r="XET52" s="5"/>
      <c r="XEU52" s="5"/>
      <c r="XEV52" s="5"/>
      <c r="XEW52" s="5"/>
      <c r="XEX52" s="5"/>
      <c r="XEY52" s="5"/>
      <c r="XEZ52" s="5"/>
      <c r="XFA52" s="5"/>
      <c r="XFB52" s="5"/>
    </row>
    <row r="53" s="1" customFormat="1" ht="16.5" spans="1:6 16247:16382">
      <c r="A53" s="8">
        <v>51</v>
      </c>
      <c r="B53" s="9" t="s">
        <v>57</v>
      </c>
      <c r="C53" s="8">
        <v>0</v>
      </c>
      <c r="D53" s="8">
        <v>1</v>
      </c>
      <c r="E53" s="8">
        <v>25</v>
      </c>
      <c r="F53" s="8">
        <v>25</v>
      </c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 s="5"/>
      <c r="XBK53" s="5"/>
      <c r="XBL53" s="5"/>
      <c r="XBM53" s="5"/>
      <c r="XBN53" s="5"/>
      <c r="XBO53" s="5"/>
      <c r="XBP53" s="5"/>
      <c r="XBQ53" s="5"/>
      <c r="XBR53" s="5"/>
      <c r="XBS53" s="5"/>
      <c r="XBT53" s="5"/>
      <c r="XBU53" s="5"/>
      <c r="XBV53" s="5"/>
      <c r="XBW53" s="5"/>
      <c r="XBX53" s="5"/>
      <c r="XBY53" s="5"/>
      <c r="XBZ53" s="5"/>
      <c r="XCA53" s="5"/>
      <c r="XCB53" s="5"/>
      <c r="XCC53" s="5"/>
      <c r="XCD53" s="5"/>
      <c r="XCE53" s="5"/>
      <c r="XCF53" s="5"/>
      <c r="XCG53" s="5"/>
      <c r="XCH53" s="5"/>
      <c r="XCI53" s="5"/>
      <c r="XCJ53" s="5"/>
      <c r="XCK53" s="5"/>
      <c r="XCL53" s="5"/>
      <c r="XCM53" s="5"/>
      <c r="XCN53" s="5"/>
      <c r="XCO53" s="5"/>
      <c r="XCP53" s="5"/>
      <c r="XCQ53" s="5"/>
      <c r="XCR53" s="5"/>
      <c r="XCS53" s="5"/>
      <c r="XCT53" s="5"/>
      <c r="XCU53" s="5"/>
      <c r="XCV53" s="5"/>
      <c r="XCW53" s="5"/>
      <c r="XCX53" s="5"/>
      <c r="XCY53" s="5"/>
      <c r="XCZ53" s="5"/>
      <c r="XDA53" s="5"/>
      <c r="XDB53" s="5"/>
      <c r="XDC53" s="5"/>
      <c r="XDD53" s="5"/>
      <c r="XDE53" s="5"/>
      <c r="XDF53" s="5"/>
      <c r="XDG53" s="5"/>
      <c r="XDH53" s="5"/>
      <c r="XDI53" s="5"/>
      <c r="XDJ53" s="5"/>
      <c r="XDK53" s="5"/>
      <c r="XDL53" s="5"/>
      <c r="XDM53" s="5"/>
      <c r="XDN53" s="5"/>
      <c r="XDO53" s="5"/>
      <c r="XDP53" s="5"/>
      <c r="XDQ53" s="5"/>
      <c r="XDR53" s="5"/>
      <c r="XDS53" s="5"/>
      <c r="XDT53" s="5"/>
      <c r="XDU53" s="5"/>
      <c r="XDV53" s="5"/>
      <c r="XDW53" s="5"/>
      <c r="XDX53" s="5"/>
      <c r="XDY53" s="5"/>
      <c r="XDZ53" s="5"/>
      <c r="XEA53" s="5"/>
      <c r="XEB53" s="5"/>
      <c r="XEC53" s="5"/>
      <c r="XED53" s="5"/>
      <c r="XEE53" s="5"/>
      <c r="XEF53" s="5"/>
      <c r="XEG53" s="5"/>
      <c r="XEH53" s="5"/>
      <c r="XEI53" s="5"/>
      <c r="XEJ53" s="5"/>
      <c r="XEK53" s="5"/>
      <c r="XEL53" s="5"/>
      <c r="XEM53" s="5"/>
      <c r="XEN53" s="5"/>
      <c r="XEO53" s="5"/>
      <c r="XEP53" s="5"/>
      <c r="XEQ53" s="5"/>
      <c r="XER53" s="5"/>
      <c r="XES53" s="5"/>
      <c r="XET53" s="5"/>
      <c r="XEU53" s="5"/>
      <c r="XEV53" s="5"/>
      <c r="XEW53" s="5"/>
      <c r="XEX53" s="5"/>
      <c r="XEY53" s="5"/>
      <c r="XEZ53" s="5"/>
      <c r="XFA53" s="5"/>
      <c r="XFB53" s="5"/>
    </row>
    <row r="54" s="1" customFormat="1" ht="16.5" spans="1:6 16247:16382">
      <c r="A54" s="8">
        <v>52</v>
      </c>
      <c r="B54" s="9" t="s">
        <v>58</v>
      </c>
      <c r="C54" s="8">
        <v>6</v>
      </c>
      <c r="D54" s="8">
        <v>1</v>
      </c>
      <c r="E54" s="8">
        <v>33</v>
      </c>
      <c r="F54" s="8">
        <v>33</v>
      </c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 s="5"/>
      <c r="XBK54" s="5"/>
      <c r="XBL54" s="5"/>
      <c r="XBM54" s="5"/>
      <c r="XBN54" s="5"/>
      <c r="XBO54" s="5"/>
      <c r="XBP54" s="5"/>
      <c r="XBQ54" s="5"/>
      <c r="XBR54" s="5"/>
      <c r="XBS54" s="5"/>
      <c r="XBT54" s="5"/>
      <c r="XBU54" s="5"/>
      <c r="XBV54" s="5"/>
      <c r="XBW54" s="5"/>
      <c r="XBX54" s="5"/>
      <c r="XBY54" s="5"/>
      <c r="XBZ54" s="5"/>
      <c r="XCA54" s="5"/>
      <c r="XCB54" s="5"/>
      <c r="XCC54" s="5"/>
      <c r="XCD54" s="5"/>
      <c r="XCE54" s="5"/>
      <c r="XCF54" s="5"/>
      <c r="XCG54" s="5"/>
      <c r="XCH54" s="5"/>
      <c r="XCI54" s="5"/>
      <c r="XCJ54" s="5"/>
      <c r="XCK54" s="5"/>
      <c r="XCL54" s="5"/>
      <c r="XCM54" s="5"/>
      <c r="XCN54" s="5"/>
      <c r="XCO54" s="5"/>
      <c r="XCP54" s="5"/>
      <c r="XCQ54" s="5"/>
      <c r="XCR54" s="5"/>
      <c r="XCS54" s="5"/>
      <c r="XCT54" s="5"/>
      <c r="XCU54" s="5"/>
      <c r="XCV54" s="5"/>
      <c r="XCW54" s="5"/>
      <c r="XCX54" s="5"/>
      <c r="XCY54" s="5"/>
      <c r="XCZ54" s="5"/>
      <c r="XDA54" s="5"/>
      <c r="XDB54" s="5"/>
      <c r="XDC54" s="5"/>
      <c r="XDD54" s="5"/>
      <c r="XDE54" s="5"/>
      <c r="XDF54" s="5"/>
      <c r="XDG54" s="5"/>
      <c r="XDH54" s="5"/>
      <c r="XDI54" s="5"/>
      <c r="XDJ54" s="5"/>
      <c r="XDK54" s="5"/>
      <c r="XDL54" s="5"/>
      <c r="XDM54" s="5"/>
      <c r="XDN54" s="5"/>
      <c r="XDO54" s="5"/>
      <c r="XDP54" s="5"/>
      <c r="XDQ54" s="5"/>
      <c r="XDR54" s="5"/>
      <c r="XDS54" s="5"/>
      <c r="XDT54" s="5"/>
      <c r="XDU54" s="5"/>
      <c r="XDV54" s="5"/>
      <c r="XDW54" s="5"/>
      <c r="XDX54" s="5"/>
      <c r="XDY54" s="5"/>
      <c r="XDZ54" s="5"/>
      <c r="XEA54" s="5"/>
      <c r="XEB54" s="5"/>
      <c r="XEC54" s="5"/>
      <c r="XED54" s="5"/>
      <c r="XEE54" s="5"/>
      <c r="XEF54" s="5"/>
      <c r="XEG54" s="5"/>
      <c r="XEH54" s="5"/>
      <c r="XEI54" s="5"/>
      <c r="XEJ54" s="5"/>
      <c r="XEK54" s="5"/>
      <c r="XEL54" s="5"/>
      <c r="XEM54" s="5"/>
      <c r="XEN54" s="5"/>
      <c r="XEO54" s="5"/>
      <c r="XEP54" s="5"/>
      <c r="XEQ54" s="5"/>
      <c r="XER54" s="5"/>
      <c r="XES54" s="5"/>
      <c r="XET54" s="5"/>
      <c r="XEU54" s="5"/>
      <c r="XEV54" s="5"/>
      <c r="XEW54" s="5"/>
      <c r="XEX54" s="5"/>
      <c r="XEY54" s="5"/>
      <c r="XEZ54" s="5"/>
      <c r="XFA54" s="5"/>
      <c r="XFB54" s="5"/>
    </row>
    <row r="55" s="1" customFormat="1" ht="16.5" spans="1:6 16247:16382">
      <c r="A55" s="8">
        <v>53</v>
      </c>
      <c r="B55" s="9" t="s">
        <v>59</v>
      </c>
      <c r="C55" s="8">
        <v>16</v>
      </c>
      <c r="D55" s="8">
        <v>8</v>
      </c>
      <c r="E55" s="8">
        <v>16.5</v>
      </c>
      <c r="F55" s="8">
        <v>132</v>
      </c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/>
      <c r="XBJ55" s="5"/>
      <c r="XBK55" s="5"/>
      <c r="XBL55" s="5"/>
      <c r="XBM55" s="5"/>
      <c r="XBN55" s="5"/>
      <c r="XBO55" s="5"/>
      <c r="XBP55" s="5"/>
      <c r="XBQ55" s="5"/>
      <c r="XBR55" s="5"/>
      <c r="XBS55" s="5"/>
      <c r="XBT55" s="5"/>
      <c r="XBU55" s="5"/>
      <c r="XBV55" s="5"/>
      <c r="XBW55" s="5"/>
      <c r="XBX55" s="5"/>
      <c r="XBY55" s="5"/>
      <c r="XBZ55" s="5"/>
      <c r="XCA55" s="5"/>
      <c r="XCB55" s="5"/>
      <c r="XCC55" s="5"/>
      <c r="XCD55" s="5"/>
      <c r="XCE55" s="5"/>
      <c r="XCF55" s="5"/>
      <c r="XCG55" s="5"/>
      <c r="XCH55" s="5"/>
      <c r="XCI55" s="5"/>
      <c r="XCJ55" s="5"/>
      <c r="XCK55" s="5"/>
      <c r="XCL55" s="5"/>
      <c r="XCM55" s="5"/>
      <c r="XCN55" s="5"/>
      <c r="XCO55" s="5"/>
      <c r="XCP55" s="5"/>
      <c r="XCQ55" s="5"/>
      <c r="XCR55" s="5"/>
      <c r="XCS55" s="5"/>
      <c r="XCT55" s="5"/>
      <c r="XCU55" s="5"/>
      <c r="XCV55" s="5"/>
      <c r="XCW55" s="5"/>
      <c r="XCX55" s="5"/>
      <c r="XCY55" s="5"/>
      <c r="XCZ55" s="5"/>
      <c r="XDA55" s="5"/>
      <c r="XDB55" s="5"/>
      <c r="XDC55" s="5"/>
      <c r="XDD55" s="5"/>
      <c r="XDE55" s="5"/>
      <c r="XDF55" s="5"/>
      <c r="XDG55" s="5"/>
      <c r="XDH55" s="5"/>
      <c r="XDI55" s="5"/>
      <c r="XDJ55" s="5"/>
      <c r="XDK55" s="5"/>
      <c r="XDL55" s="5"/>
      <c r="XDM55" s="5"/>
      <c r="XDN55" s="5"/>
      <c r="XDO55" s="5"/>
      <c r="XDP55" s="5"/>
      <c r="XDQ55" s="5"/>
      <c r="XDR55" s="5"/>
      <c r="XDS55" s="5"/>
      <c r="XDT55" s="5"/>
      <c r="XDU55" s="5"/>
      <c r="XDV55" s="5"/>
      <c r="XDW55" s="5"/>
      <c r="XDX55" s="5"/>
      <c r="XDY55" s="5"/>
      <c r="XDZ55" s="5"/>
      <c r="XEA55" s="5"/>
      <c r="XEB55" s="5"/>
      <c r="XEC55" s="5"/>
      <c r="XED55" s="5"/>
      <c r="XEE55" s="5"/>
      <c r="XEF55" s="5"/>
      <c r="XEG55" s="5"/>
      <c r="XEH55" s="5"/>
      <c r="XEI55" s="5"/>
      <c r="XEJ55" s="5"/>
      <c r="XEK55" s="5"/>
      <c r="XEL55" s="5"/>
      <c r="XEM55" s="5"/>
      <c r="XEN55" s="5"/>
      <c r="XEO55" s="5"/>
      <c r="XEP55" s="5"/>
      <c r="XEQ55" s="5"/>
      <c r="XER55" s="5"/>
      <c r="XES55" s="5"/>
      <c r="XET55" s="5"/>
      <c r="XEU55" s="5"/>
      <c r="XEV55" s="5"/>
      <c r="XEW55" s="5"/>
      <c r="XEX55" s="5"/>
      <c r="XEY55" s="5"/>
      <c r="XEZ55" s="5"/>
      <c r="XFA55" s="5"/>
      <c r="XFB55" s="5"/>
    </row>
    <row r="56" s="1" customFormat="1" ht="16.5" spans="1:6 16247:16382">
      <c r="A56" s="8">
        <v>54</v>
      </c>
      <c r="B56" s="9" t="s">
        <v>60</v>
      </c>
      <c r="C56" s="8">
        <v>6</v>
      </c>
      <c r="D56" s="8">
        <v>1</v>
      </c>
      <c r="E56" s="8">
        <v>110</v>
      </c>
      <c r="F56" s="8">
        <v>110</v>
      </c>
      <c r="WZW56"/>
      <c r="WZX56"/>
      <c r="WZY56"/>
      <c r="WZZ56"/>
      <c r="XAA56"/>
      <c r="XAB56"/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/>
      <c r="XBH56"/>
      <c r="XBI56"/>
      <c r="XBJ56" s="5"/>
      <c r="XBK56" s="5"/>
      <c r="XBL56" s="5"/>
      <c r="XBM56" s="5"/>
      <c r="XBN56" s="5"/>
      <c r="XBO56" s="5"/>
      <c r="XBP56" s="5"/>
      <c r="XBQ56" s="5"/>
      <c r="XBR56" s="5"/>
      <c r="XBS56" s="5"/>
      <c r="XBT56" s="5"/>
      <c r="XBU56" s="5"/>
      <c r="XBV56" s="5"/>
      <c r="XBW56" s="5"/>
      <c r="XBX56" s="5"/>
      <c r="XBY56" s="5"/>
      <c r="XBZ56" s="5"/>
      <c r="XCA56" s="5"/>
      <c r="XCB56" s="5"/>
      <c r="XCC56" s="5"/>
      <c r="XCD56" s="5"/>
      <c r="XCE56" s="5"/>
      <c r="XCF56" s="5"/>
      <c r="XCG56" s="5"/>
      <c r="XCH56" s="5"/>
      <c r="XCI56" s="5"/>
      <c r="XCJ56" s="5"/>
      <c r="XCK56" s="5"/>
      <c r="XCL56" s="5"/>
      <c r="XCM56" s="5"/>
      <c r="XCN56" s="5"/>
      <c r="XCO56" s="5"/>
      <c r="XCP56" s="5"/>
      <c r="XCQ56" s="5"/>
      <c r="XCR56" s="5"/>
      <c r="XCS56" s="5"/>
      <c r="XCT56" s="5"/>
      <c r="XCU56" s="5"/>
      <c r="XCV56" s="5"/>
      <c r="XCW56" s="5"/>
      <c r="XCX56" s="5"/>
      <c r="XCY56" s="5"/>
      <c r="XCZ56" s="5"/>
      <c r="XDA56" s="5"/>
      <c r="XDB56" s="5"/>
      <c r="XDC56" s="5"/>
      <c r="XDD56" s="5"/>
      <c r="XDE56" s="5"/>
      <c r="XDF56" s="5"/>
      <c r="XDG56" s="5"/>
      <c r="XDH56" s="5"/>
      <c r="XDI56" s="5"/>
      <c r="XDJ56" s="5"/>
      <c r="XDK56" s="5"/>
      <c r="XDL56" s="5"/>
      <c r="XDM56" s="5"/>
      <c r="XDN56" s="5"/>
      <c r="XDO56" s="5"/>
      <c r="XDP56" s="5"/>
      <c r="XDQ56" s="5"/>
      <c r="XDR56" s="5"/>
      <c r="XDS56" s="5"/>
      <c r="XDT56" s="5"/>
      <c r="XDU56" s="5"/>
      <c r="XDV56" s="5"/>
      <c r="XDW56" s="5"/>
      <c r="XDX56" s="5"/>
      <c r="XDY56" s="5"/>
      <c r="XDZ56" s="5"/>
      <c r="XEA56" s="5"/>
      <c r="XEB56" s="5"/>
      <c r="XEC56" s="5"/>
      <c r="XED56" s="5"/>
      <c r="XEE56" s="5"/>
      <c r="XEF56" s="5"/>
      <c r="XEG56" s="5"/>
      <c r="XEH56" s="5"/>
      <c r="XEI56" s="5"/>
      <c r="XEJ56" s="5"/>
      <c r="XEK56" s="5"/>
      <c r="XEL56" s="5"/>
      <c r="XEM56" s="5"/>
      <c r="XEN56" s="5"/>
      <c r="XEO56" s="5"/>
      <c r="XEP56" s="5"/>
      <c r="XEQ56" s="5"/>
      <c r="XER56" s="5"/>
      <c r="XES56" s="5"/>
      <c r="XET56" s="5"/>
      <c r="XEU56" s="5"/>
      <c r="XEV56" s="5"/>
      <c r="XEW56" s="5"/>
      <c r="XEX56" s="5"/>
      <c r="XEY56" s="5"/>
      <c r="XEZ56" s="5"/>
      <c r="XFA56" s="5"/>
      <c r="XFB56" s="5"/>
    </row>
    <row r="57" s="1" customFormat="1" ht="16.5" spans="1:6 16247:16382">
      <c r="A57" s="8">
        <v>55</v>
      </c>
      <c r="B57" s="9" t="s">
        <v>61</v>
      </c>
      <c r="C57" s="8">
        <v>9</v>
      </c>
      <c r="D57" s="8">
        <v>3</v>
      </c>
      <c r="E57" s="8">
        <v>16.5</v>
      </c>
      <c r="F57" s="8">
        <v>49.5</v>
      </c>
      <c r="WZW57"/>
      <c r="WZX57"/>
      <c r="WZY57"/>
      <c r="WZZ57"/>
      <c r="XAA57"/>
      <c r="XAB57"/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/>
      <c r="XBH57"/>
      <c r="XBI57"/>
      <c r="XBJ57" s="5"/>
      <c r="XBK57" s="5"/>
      <c r="XBL57" s="5"/>
      <c r="XBM57" s="5"/>
      <c r="XBN57" s="5"/>
      <c r="XBO57" s="5"/>
      <c r="XBP57" s="5"/>
      <c r="XBQ57" s="5"/>
      <c r="XBR57" s="5"/>
      <c r="XBS57" s="5"/>
      <c r="XBT57" s="5"/>
      <c r="XBU57" s="5"/>
      <c r="XBV57" s="5"/>
      <c r="XBW57" s="5"/>
      <c r="XBX57" s="5"/>
      <c r="XBY57" s="5"/>
      <c r="XBZ57" s="5"/>
      <c r="XCA57" s="5"/>
      <c r="XCB57" s="5"/>
      <c r="XCC57" s="5"/>
      <c r="XCD57" s="5"/>
      <c r="XCE57" s="5"/>
      <c r="XCF57" s="5"/>
      <c r="XCG57" s="5"/>
      <c r="XCH57" s="5"/>
      <c r="XCI57" s="5"/>
      <c r="XCJ57" s="5"/>
      <c r="XCK57" s="5"/>
      <c r="XCL57" s="5"/>
      <c r="XCM57" s="5"/>
      <c r="XCN57" s="5"/>
      <c r="XCO57" s="5"/>
      <c r="XCP57" s="5"/>
      <c r="XCQ57" s="5"/>
      <c r="XCR57" s="5"/>
      <c r="XCS57" s="5"/>
      <c r="XCT57" s="5"/>
      <c r="XCU57" s="5"/>
      <c r="XCV57" s="5"/>
      <c r="XCW57" s="5"/>
      <c r="XCX57" s="5"/>
      <c r="XCY57" s="5"/>
      <c r="XCZ57" s="5"/>
      <c r="XDA57" s="5"/>
      <c r="XDB57" s="5"/>
      <c r="XDC57" s="5"/>
      <c r="XDD57" s="5"/>
      <c r="XDE57" s="5"/>
      <c r="XDF57" s="5"/>
      <c r="XDG57" s="5"/>
      <c r="XDH57" s="5"/>
      <c r="XDI57" s="5"/>
      <c r="XDJ57" s="5"/>
      <c r="XDK57" s="5"/>
      <c r="XDL57" s="5"/>
      <c r="XDM57" s="5"/>
      <c r="XDN57" s="5"/>
      <c r="XDO57" s="5"/>
      <c r="XDP57" s="5"/>
      <c r="XDQ57" s="5"/>
      <c r="XDR57" s="5"/>
      <c r="XDS57" s="5"/>
      <c r="XDT57" s="5"/>
      <c r="XDU57" s="5"/>
      <c r="XDV57" s="5"/>
      <c r="XDW57" s="5"/>
      <c r="XDX57" s="5"/>
      <c r="XDY57" s="5"/>
      <c r="XDZ57" s="5"/>
      <c r="XEA57" s="5"/>
      <c r="XEB57" s="5"/>
      <c r="XEC57" s="5"/>
      <c r="XED57" s="5"/>
      <c r="XEE57" s="5"/>
      <c r="XEF57" s="5"/>
      <c r="XEG57" s="5"/>
      <c r="XEH57" s="5"/>
      <c r="XEI57" s="5"/>
      <c r="XEJ57" s="5"/>
      <c r="XEK57" s="5"/>
      <c r="XEL57" s="5"/>
      <c r="XEM57" s="5"/>
      <c r="XEN57" s="5"/>
      <c r="XEO57" s="5"/>
      <c r="XEP57" s="5"/>
      <c r="XEQ57" s="5"/>
      <c r="XER57" s="5"/>
      <c r="XES57" s="5"/>
      <c r="XET57" s="5"/>
      <c r="XEU57" s="5"/>
      <c r="XEV57" s="5"/>
      <c r="XEW57" s="5"/>
      <c r="XEX57" s="5"/>
      <c r="XEY57" s="5"/>
      <c r="XEZ57" s="5"/>
      <c r="XFA57" s="5"/>
      <c r="XFB57" s="5"/>
    </row>
    <row r="58" s="1" customFormat="1" ht="16.5" spans="1:6 16247:16382">
      <c r="A58" s="8">
        <v>56</v>
      </c>
      <c r="B58" s="9" t="s">
        <v>62</v>
      </c>
      <c r="C58" s="8">
        <v>2</v>
      </c>
      <c r="D58" s="8">
        <v>2</v>
      </c>
      <c r="E58" s="8">
        <v>16.5</v>
      </c>
      <c r="F58" s="8">
        <v>33</v>
      </c>
      <c r="WZW58"/>
      <c r="WZX58"/>
      <c r="WZY58"/>
      <c r="WZZ58"/>
      <c r="XAA58"/>
      <c r="XAB58"/>
      <c r="XAC58"/>
      <c r="XAD58"/>
      <c r="XAE58"/>
      <c r="XAF58"/>
      <c r="XAG58"/>
      <c r="XAH58"/>
      <c r="XAI58"/>
      <c r="XAJ58"/>
      <c r="XAK58"/>
      <c r="XAL58"/>
      <c r="XAM58"/>
      <c r="XAN58"/>
      <c r="XAO58"/>
      <c r="XAP58"/>
      <c r="XAQ58"/>
      <c r="XAR58"/>
      <c r="XAS58"/>
      <c r="XAT58"/>
      <c r="XAU58"/>
      <c r="XAV58"/>
      <c r="XAW58"/>
      <c r="XAX58"/>
      <c r="XAY58"/>
      <c r="XAZ58"/>
      <c r="XBA58"/>
      <c r="XBB58"/>
      <c r="XBC58"/>
      <c r="XBD58"/>
      <c r="XBE58"/>
      <c r="XBF58"/>
      <c r="XBG58"/>
      <c r="XBH58"/>
      <c r="XBI58"/>
      <c r="XBJ58" s="5"/>
      <c r="XBK58" s="5"/>
      <c r="XBL58" s="5"/>
      <c r="XBM58" s="5"/>
      <c r="XBN58" s="5"/>
      <c r="XBO58" s="5"/>
      <c r="XBP58" s="5"/>
      <c r="XBQ58" s="5"/>
      <c r="XBR58" s="5"/>
      <c r="XBS58" s="5"/>
      <c r="XBT58" s="5"/>
      <c r="XBU58" s="5"/>
      <c r="XBV58" s="5"/>
      <c r="XBW58" s="5"/>
      <c r="XBX58" s="5"/>
      <c r="XBY58" s="5"/>
      <c r="XBZ58" s="5"/>
      <c r="XCA58" s="5"/>
      <c r="XCB58" s="5"/>
      <c r="XCC58" s="5"/>
      <c r="XCD58" s="5"/>
      <c r="XCE58" s="5"/>
      <c r="XCF58" s="5"/>
      <c r="XCG58" s="5"/>
      <c r="XCH58" s="5"/>
      <c r="XCI58" s="5"/>
      <c r="XCJ58" s="5"/>
      <c r="XCK58" s="5"/>
      <c r="XCL58" s="5"/>
      <c r="XCM58" s="5"/>
      <c r="XCN58" s="5"/>
      <c r="XCO58" s="5"/>
      <c r="XCP58" s="5"/>
      <c r="XCQ58" s="5"/>
      <c r="XCR58" s="5"/>
      <c r="XCS58" s="5"/>
      <c r="XCT58" s="5"/>
      <c r="XCU58" s="5"/>
      <c r="XCV58" s="5"/>
      <c r="XCW58" s="5"/>
      <c r="XCX58" s="5"/>
      <c r="XCY58" s="5"/>
      <c r="XCZ58" s="5"/>
      <c r="XDA58" s="5"/>
      <c r="XDB58" s="5"/>
      <c r="XDC58" s="5"/>
      <c r="XDD58" s="5"/>
      <c r="XDE58" s="5"/>
      <c r="XDF58" s="5"/>
      <c r="XDG58" s="5"/>
      <c r="XDH58" s="5"/>
      <c r="XDI58" s="5"/>
      <c r="XDJ58" s="5"/>
      <c r="XDK58" s="5"/>
      <c r="XDL58" s="5"/>
      <c r="XDM58" s="5"/>
      <c r="XDN58" s="5"/>
      <c r="XDO58" s="5"/>
      <c r="XDP58" s="5"/>
      <c r="XDQ58" s="5"/>
      <c r="XDR58" s="5"/>
      <c r="XDS58" s="5"/>
      <c r="XDT58" s="5"/>
      <c r="XDU58" s="5"/>
      <c r="XDV58" s="5"/>
      <c r="XDW58" s="5"/>
      <c r="XDX58" s="5"/>
      <c r="XDY58" s="5"/>
      <c r="XDZ58" s="5"/>
      <c r="XEA58" s="5"/>
      <c r="XEB58" s="5"/>
      <c r="XEC58" s="5"/>
      <c r="XED58" s="5"/>
      <c r="XEE58" s="5"/>
      <c r="XEF58" s="5"/>
      <c r="XEG58" s="5"/>
      <c r="XEH58" s="5"/>
      <c r="XEI58" s="5"/>
      <c r="XEJ58" s="5"/>
      <c r="XEK58" s="5"/>
      <c r="XEL58" s="5"/>
      <c r="XEM58" s="5"/>
      <c r="XEN58" s="5"/>
      <c r="XEO58" s="5"/>
      <c r="XEP58" s="5"/>
      <c r="XEQ58" s="5"/>
      <c r="XER58" s="5"/>
      <c r="XES58" s="5"/>
      <c r="XET58" s="5"/>
      <c r="XEU58" s="5"/>
      <c r="XEV58" s="5"/>
      <c r="XEW58" s="5"/>
      <c r="XEX58" s="5"/>
      <c r="XEY58" s="5"/>
      <c r="XEZ58" s="5"/>
      <c r="XFA58" s="5"/>
      <c r="XFB58" s="5"/>
    </row>
    <row r="59" s="1" customFormat="1" ht="16.5" spans="1:6 16247:16382">
      <c r="A59" s="8">
        <v>57</v>
      </c>
      <c r="B59" s="9" t="s">
        <v>63</v>
      </c>
      <c r="C59" s="8">
        <f>5*3</f>
        <v>15</v>
      </c>
      <c r="D59" s="8">
        <f>16-11</f>
        <v>5</v>
      </c>
      <c r="E59" s="8">
        <v>16.5</v>
      </c>
      <c r="F59" s="8">
        <f>E59*D59</f>
        <v>82.5</v>
      </c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 s="5"/>
      <c r="XBK59" s="5"/>
      <c r="XBL59" s="5"/>
      <c r="XBM59" s="5"/>
      <c r="XBN59" s="5"/>
      <c r="XBO59" s="5"/>
      <c r="XBP59" s="5"/>
      <c r="XBQ59" s="5"/>
      <c r="XBR59" s="5"/>
      <c r="XBS59" s="5"/>
      <c r="XBT59" s="5"/>
      <c r="XBU59" s="5"/>
      <c r="XBV59" s="5"/>
      <c r="XBW59" s="5"/>
      <c r="XBX59" s="5"/>
      <c r="XBY59" s="5"/>
      <c r="XBZ59" s="5"/>
      <c r="XCA59" s="5"/>
      <c r="XCB59" s="5"/>
      <c r="XCC59" s="5"/>
      <c r="XCD59" s="5"/>
      <c r="XCE59" s="5"/>
      <c r="XCF59" s="5"/>
      <c r="XCG59" s="5"/>
      <c r="XCH59" s="5"/>
      <c r="XCI59" s="5"/>
      <c r="XCJ59" s="5"/>
      <c r="XCK59" s="5"/>
      <c r="XCL59" s="5"/>
      <c r="XCM59" s="5"/>
      <c r="XCN59" s="5"/>
      <c r="XCO59" s="5"/>
      <c r="XCP59" s="5"/>
      <c r="XCQ59" s="5"/>
      <c r="XCR59" s="5"/>
      <c r="XCS59" s="5"/>
      <c r="XCT59" s="5"/>
      <c r="XCU59" s="5"/>
      <c r="XCV59" s="5"/>
      <c r="XCW59" s="5"/>
      <c r="XCX59" s="5"/>
      <c r="XCY59" s="5"/>
      <c r="XCZ59" s="5"/>
      <c r="XDA59" s="5"/>
      <c r="XDB59" s="5"/>
      <c r="XDC59" s="5"/>
      <c r="XDD59" s="5"/>
      <c r="XDE59" s="5"/>
      <c r="XDF59" s="5"/>
      <c r="XDG59" s="5"/>
      <c r="XDH59" s="5"/>
      <c r="XDI59" s="5"/>
      <c r="XDJ59" s="5"/>
      <c r="XDK59" s="5"/>
      <c r="XDL59" s="5"/>
      <c r="XDM59" s="5"/>
      <c r="XDN59" s="5"/>
      <c r="XDO59" s="5"/>
      <c r="XDP59" s="5"/>
      <c r="XDQ59" s="5"/>
      <c r="XDR59" s="5"/>
      <c r="XDS59" s="5"/>
      <c r="XDT59" s="5"/>
      <c r="XDU59" s="5"/>
      <c r="XDV59" s="5"/>
      <c r="XDW59" s="5"/>
      <c r="XDX59" s="5"/>
      <c r="XDY59" s="5"/>
      <c r="XDZ59" s="5"/>
      <c r="XEA59" s="5"/>
      <c r="XEB59" s="5"/>
      <c r="XEC59" s="5"/>
      <c r="XED59" s="5"/>
      <c r="XEE59" s="5"/>
      <c r="XEF59" s="5"/>
      <c r="XEG59" s="5"/>
      <c r="XEH59" s="5"/>
      <c r="XEI59" s="5"/>
      <c r="XEJ59" s="5"/>
      <c r="XEK59" s="5"/>
      <c r="XEL59" s="5"/>
      <c r="XEM59" s="5"/>
      <c r="XEN59" s="5"/>
      <c r="XEO59" s="5"/>
      <c r="XEP59" s="5"/>
      <c r="XEQ59" s="5"/>
      <c r="XER59" s="5"/>
      <c r="XES59" s="5"/>
      <c r="XET59" s="5"/>
      <c r="XEU59" s="5"/>
      <c r="XEV59" s="5"/>
      <c r="XEW59" s="5"/>
      <c r="XEX59" s="5"/>
      <c r="XEY59" s="5"/>
      <c r="XEZ59" s="5"/>
      <c r="XFA59" s="5"/>
      <c r="XFB59" s="5"/>
    </row>
    <row r="60" s="1" customFormat="1" ht="16.5" spans="1:6 16247:16382">
      <c r="A60" s="8">
        <v>58</v>
      </c>
      <c r="B60" s="9" t="s">
        <v>64</v>
      </c>
      <c r="C60" s="8">
        <v>18</v>
      </c>
      <c r="D60" s="8">
        <v>2</v>
      </c>
      <c r="E60" s="8">
        <v>49.5</v>
      </c>
      <c r="F60" s="8">
        <v>99</v>
      </c>
      <c r="WZW60"/>
      <c r="WZX60"/>
      <c r="WZY60"/>
      <c r="WZZ60"/>
      <c r="XAA60"/>
      <c r="XAB60"/>
      <c r="XAC60"/>
      <c r="XAD60"/>
      <c r="XAE60"/>
      <c r="XAF60"/>
      <c r="XAG60"/>
      <c r="XAH60"/>
      <c r="XAI60"/>
      <c r="XAJ60"/>
      <c r="XAK60"/>
      <c r="XAL60"/>
      <c r="XAM60"/>
      <c r="XAN60"/>
      <c r="XAO60"/>
      <c r="XAP60"/>
      <c r="XAQ60"/>
      <c r="XAR60"/>
      <c r="XAS60"/>
      <c r="XAT60"/>
      <c r="XAU60"/>
      <c r="XAV60"/>
      <c r="XAW60"/>
      <c r="XAX60"/>
      <c r="XAY60"/>
      <c r="XAZ60"/>
      <c r="XBA60"/>
      <c r="XBB60"/>
      <c r="XBC60"/>
      <c r="XBD60"/>
      <c r="XBE60"/>
      <c r="XBF60"/>
      <c r="XBG60"/>
      <c r="XBH60"/>
      <c r="XBI60"/>
      <c r="XBJ60" s="5"/>
      <c r="XBK60" s="5"/>
      <c r="XBL60" s="5"/>
      <c r="XBM60" s="5"/>
      <c r="XBN60" s="5"/>
      <c r="XBO60" s="5"/>
      <c r="XBP60" s="5"/>
      <c r="XBQ60" s="5"/>
      <c r="XBR60" s="5"/>
      <c r="XBS60" s="5"/>
      <c r="XBT60" s="5"/>
      <c r="XBU60" s="5"/>
      <c r="XBV60" s="5"/>
      <c r="XBW60" s="5"/>
      <c r="XBX60" s="5"/>
      <c r="XBY60" s="5"/>
      <c r="XBZ60" s="5"/>
      <c r="XCA60" s="5"/>
      <c r="XCB60" s="5"/>
      <c r="XCC60" s="5"/>
      <c r="XCD60" s="5"/>
      <c r="XCE60" s="5"/>
      <c r="XCF60" s="5"/>
      <c r="XCG60" s="5"/>
      <c r="XCH60" s="5"/>
      <c r="XCI60" s="5"/>
      <c r="XCJ60" s="5"/>
      <c r="XCK60" s="5"/>
      <c r="XCL60" s="5"/>
      <c r="XCM60" s="5"/>
      <c r="XCN60" s="5"/>
      <c r="XCO60" s="5"/>
      <c r="XCP60" s="5"/>
      <c r="XCQ60" s="5"/>
      <c r="XCR60" s="5"/>
      <c r="XCS60" s="5"/>
      <c r="XCT60" s="5"/>
      <c r="XCU60" s="5"/>
      <c r="XCV60" s="5"/>
      <c r="XCW60" s="5"/>
      <c r="XCX60" s="5"/>
      <c r="XCY60" s="5"/>
      <c r="XCZ60" s="5"/>
      <c r="XDA60" s="5"/>
      <c r="XDB60" s="5"/>
      <c r="XDC60" s="5"/>
      <c r="XDD60" s="5"/>
      <c r="XDE60" s="5"/>
      <c r="XDF60" s="5"/>
      <c r="XDG60" s="5"/>
      <c r="XDH60" s="5"/>
      <c r="XDI60" s="5"/>
      <c r="XDJ60" s="5"/>
      <c r="XDK60" s="5"/>
      <c r="XDL60" s="5"/>
      <c r="XDM60" s="5"/>
      <c r="XDN60" s="5"/>
      <c r="XDO60" s="5"/>
      <c r="XDP60" s="5"/>
      <c r="XDQ60" s="5"/>
      <c r="XDR60" s="5"/>
      <c r="XDS60" s="5"/>
      <c r="XDT60" s="5"/>
      <c r="XDU60" s="5"/>
      <c r="XDV60" s="5"/>
      <c r="XDW60" s="5"/>
      <c r="XDX60" s="5"/>
      <c r="XDY60" s="5"/>
      <c r="XDZ60" s="5"/>
      <c r="XEA60" s="5"/>
      <c r="XEB60" s="5"/>
      <c r="XEC60" s="5"/>
      <c r="XED60" s="5"/>
      <c r="XEE60" s="5"/>
      <c r="XEF60" s="5"/>
      <c r="XEG60" s="5"/>
      <c r="XEH60" s="5"/>
      <c r="XEI60" s="5"/>
      <c r="XEJ60" s="5"/>
      <c r="XEK60" s="5"/>
      <c r="XEL60" s="5"/>
      <c r="XEM60" s="5"/>
      <c r="XEN60" s="5"/>
      <c r="XEO60" s="5"/>
      <c r="XEP60" s="5"/>
      <c r="XEQ60" s="5"/>
      <c r="XER60" s="5"/>
      <c r="XES60" s="5"/>
      <c r="XET60" s="5"/>
      <c r="XEU60" s="5"/>
      <c r="XEV60" s="5"/>
      <c r="XEW60" s="5"/>
      <c r="XEX60" s="5"/>
      <c r="XEY60" s="5"/>
      <c r="XEZ60" s="5"/>
      <c r="XFA60" s="5"/>
      <c r="XFB60" s="5"/>
    </row>
    <row r="61" s="1" customFormat="1" ht="16.5" spans="1:6 16247:16382">
      <c r="A61" s="8">
        <v>59</v>
      </c>
      <c r="B61" s="9" t="s">
        <v>65</v>
      </c>
      <c r="C61" s="8">
        <v>36</v>
      </c>
      <c r="D61" s="8">
        <v>4</v>
      </c>
      <c r="E61" s="8">
        <v>49.5</v>
      </c>
      <c r="F61" s="8">
        <v>198</v>
      </c>
      <c r="WZW61"/>
      <c r="WZX61"/>
      <c r="WZY61"/>
      <c r="WZZ61"/>
      <c r="XAA61"/>
      <c r="XAB61"/>
      <c r="XAC61"/>
      <c r="XAD61"/>
      <c r="XAE61"/>
      <c r="XAF61"/>
      <c r="XAG61"/>
      <c r="XAH61"/>
      <c r="XAI61"/>
      <c r="XAJ61"/>
      <c r="XAK61"/>
      <c r="XAL61"/>
      <c r="XAM61"/>
      <c r="XAN61"/>
      <c r="XAO61"/>
      <c r="XAP61"/>
      <c r="XAQ61"/>
      <c r="XAR61"/>
      <c r="XAS61"/>
      <c r="XAT61"/>
      <c r="XAU61"/>
      <c r="XAV61"/>
      <c r="XAW61"/>
      <c r="XAX61"/>
      <c r="XAY61"/>
      <c r="XAZ61"/>
      <c r="XBA61"/>
      <c r="XBB61"/>
      <c r="XBC61"/>
      <c r="XBD61"/>
      <c r="XBE61"/>
      <c r="XBF61"/>
      <c r="XBG61"/>
      <c r="XBH61"/>
      <c r="XBI61"/>
      <c r="XBJ61" s="5"/>
      <c r="XBK61" s="5"/>
      <c r="XBL61" s="5"/>
      <c r="XBM61" s="5"/>
      <c r="XBN61" s="5"/>
      <c r="XBO61" s="5"/>
      <c r="XBP61" s="5"/>
      <c r="XBQ61" s="5"/>
      <c r="XBR61" s="5"/>
      <c r="XBS61" s="5"/>
      <c r="XBT61" s="5"/>
      <c r="XBU61" s="5"/>
      <c r="XBV61" s="5"/>
      <c r="XBW61" s="5"/>
      <c r="XBX61" s="5"/>
      <c r="XBY61" s="5"/>
      <c r="XBZ61" s="5"/>
      <c r="XCA61" s="5"/>
      <c r="XCB61" s="5"/>
      <c r="XCC61" s="5"/>
      <c r="XCD61" s="5"/>
      <c r="XCE61" s="5"/>
      <c r="XCF61" s="5"/>
      <c r="XCG61" s="5"/>
      <c r="XCH61" s="5"/>
      <c r="XCI61" s="5"/>
      <c r="XCJ61" s="5"/>
      <c r="XCK61" s="5"/>
      <c r="XCL61" s="5"/>
      <c r="XCM61" s="5"/>
      <c r="XCN61" s="5"/>
      <c r="XCO61" s="5"/>
      <c r="XCP61" s="5"/>
      <c r="XCQ61" s="5"/>
      <c r="XCR61" s="5"/>
      <c r="XCS61" s="5"/>
      <c r="XCT61" s="5"/>
      <c r="XCU61" s="5"/>
      <c r="XCV61" s="5"/>
      <c r="XCW61" s="5"/>
      <c r="XCX61" s="5"/>
      <c r="XCY61" s="5"/>
      <c r="XCZ61" s="5"/>
      <c r="XDA61" s="5"/>
      <c r="XDB61" s="5"/>
      <c r="XDC61" s="5"/>
      <c r="XDD61" s="5"/>
      <c r="XDE61" s="5"/>
      <c r="XDF61" s="5"/>
      <c r="XDG61" s="5"/>
      <c r="XDH61" s="5"/>
      <c r="XDI61" s="5"/>
      <c r="XDJ61" s="5"/>
      <c r="XDK61" s="5"/>
      <c r="XDL61" s="5"/>
      <c r="XDM61" s="5"/>
      <c r="XDN61" s="5"/>
      <c r="XDO61" s="5"/>
      <c r="XDP61" s="5"/>
      <c r="XDQ61" s="5"/>
      <c r="XDR61" s="5"/>
      <c r="XDS61" s="5"/>
      <c r="XDT61" s="5"/>
      <c r="XDU61" s="5"/>
      <c r="XDV61" s="5"/>
      <c r="XDW61" s="5"/>
      <c r="XDX61" s="5"/>
      <c r="XDY61" s="5"/>
      <c r="XDZ61" s="5"/>
      <c r="XEA61" s="5"/>
      <c r="XEB61" s="5"/>
      <c r="XEC61" s="5"/>
      <c r="XED61" s="5"/>
      <c r="XEE61" s="5"/>
      <c r="XEF61" s="5"/>
      <c r="XEG61" s="5"/>
      <c r="XEH61" s="5"/>
      <c r="XEI61" s="5"/>
      <c r="XEJ61" s="5"/>
      <c r="XEK61" s="5"/>
      <c r="XEL61" s="5"/>
      <c r="XEM61" s="5"/>
      <c r="XEN61" s="5"/>
      <c r="XEO61" s="5"/>
      <c r="XEP61" s="5"/>
      <c r="XEQ61" s="5"/>
      <c r="XER61" s="5"/>
      <c r="XES61" s="5"/>
      <c r="XET61" s="5"/>
      <c r="XEU61" s="5"/>
      <c r="XEV61" s="5"/>
      <c r="XEW61" s="5"/>
      <c r="XEX61" s="5"/>
      <c r="XEY61" s="5"/>
      <c r="XEZ61" s="5"/>
      <c r="XFA61" s="5"/>
      <c r="XFB61" s="5"/>
    </row>
    <row r="62" s="1" customFormat="1" ht="16.5" spans="1:6 16247:16382">
      <c r="A62" s="8">
        <v>60</v>
      </c>
      <c r="B62" s="9" t="s">
        <v>66</v>
      </c>
      <c r="C62" s="8">
        <v>10</v>
      </c>
      <c r="D62" s="8">
        <v>1</v>
      </c>
      <c r="E62" s="8">
        <v>55</v>
      </c>
      <c r="F62" s="8">
        <v>55</v>
      </c>
      <c r="WZW62"/>
      <c r="WZX62"/>
      <c r="WZY62"/>
      <c r="WZZ62"/>
      <c r="XAA62"/>
      <c r="XAB62"/>
      <c r="XAC62"/>
      <c r="XAD62"/>
      <c r="XAE62"/>
      <c r="XAF62"/>
      <c r="XAG62"/>
      <c r="XAH62"/>
      <c r="XAI62"/>
      <c r="XAJ62"/>
      <c r="XAK62"/>
      <c r="XAL62"/>
      <c r="XAM62"/>
      <c r="XAN62"/>
      <c r="XAO62"/>
      <c r="XAP62"/>
      <c r="XAQ62"/>
      <c r="XAR62"/>
      <c r="XAS62"/>
      <c r="XAT62"/>
      <c r="XAU62"/>
      <c r="XAV62"/>
      <c r="XAW62"/>
      <c r="XAX62"/>
      <c r="XAY62"/>
      <c r="XAZ62"/>
      <c r="XBA62"/>
      <c r="XBB62"/>
      <c r="XBC62"/>
      <c r="XBD62"/>
      <c r="XBE62"/>
      <c r="XBF62"/>
      <c r="XBG62"/>
      <c r="XBH62"/>
      <c r="XBI62"/>
      <c r="XBJ62" s="5"/>
      <c r="XBK62" s="5"/>
      <c r="XBL62" s="5"/>
      <c r="XBM62" s="5"/>
      <c r="XBN62" s="5"/>
      <c r="XBO62" s="5"/>
      <c r="XBP62" s="5"/>
      <c r="XBQ62" s="5"/>
      <c r="XBR62" s="5"/>
      <c r="XBS62" s="5"/>
      <c r="XBT62" s="5"/>
      <c r="XBU62" s="5"/>
      <c r="XBV62" s="5"/>
      <c r="XBW62" s="5"/>
      <c r="XBX62" s="5"/>
      <c r="XBY62" s="5"/>
      <c r="XBZ62" s="5"/>
      <c r="XCA62" s="5"/>
      <c r="XCB62" s="5"/>
      <c r="XCC62" s="5"/>
      <c r="XCD62" s="5"/>
      <c r="XCE62" s="5"/>
      <c r="XCF62" s="5"/>
      <c r="XCG62" s="5"/>
      <c r="XCH62" s="5"/>
      <c r="XCI62" s="5"/>
      <c r="XCJ62" s="5"/>
      <c r="XCK62" s="5"/>
      <c r="XCL62" s="5"/>
      <c r="XCM62" s="5"/>
      <c r="XCN62" s="5"/>
      <c r="XCO62" s="5"/>
      <c r="XCP62" s="5"/>
      <c r="XCQ62" s="5"/>
      <c r="XCR62" s="5"/>
      <c r="XCS62" s="5"/>
      <c r="XCT62" s="5"/>
      <c r="XCU62" s="5"/>
      <c r="XCV62" s="5"/>
      <c r="XCW62" s="5"/>
      <c r="XCX62" s="5"/>
      <c r="XCY62" s="5"/>
      <c r="XCZ62" s="5"/>
      <c r="XDA62" s="5"/>
      <c r="XDB62" s="5"/>
      <c r="XDC62" s="5"/>
      <c r="XDD62" s="5"/>
      <c r="XDE62" s="5"/>
      <c r="XDF62" s="5"/>
      <c r="XDG62" s="5"/>
      <c r="XDH62" s="5"/>
      <c r="XDI62" s="5"/>
      <c r="XDJ62" s="5"/>
      <c r="XDK62" s="5"/>
      <c r="XDL62" s="5"/>
      <c r="XDM62" s="5"/>
      <c r="XDN62" s="5"/>
      <c r="XDO62" s="5"/>
      <c r="XDP62" s="5"/>
      <c r="XDQ62" s="5"/>
      <c r="XDR62" s="5"/>
      <c r="XDS62" s="5"/>
      <c r="XDT62" s="5"/>
      <c r="XDU62" s="5"/>
      <c r="XDV62" s="5"/>
      <c r="XDW62" s="5"/>
      <c r="XDX62" s="5"/>
      <c r="XDY62" s="5"/>
      <c r="XDZ62" s="5"/>
      <c r="XEA62" s="5"/>
      <c r="XEB62" s="5"/>
      <c r="XEC62" s="5"/>
      <c r="XED62" s="5"/>
      <c r="XEE62" s="5"/>
      <c r="XEF62" s="5"/>
      <c r="XEG62" s="5"/>
      <c r="XEH62" s="5"/>
      <c r="XEI62" s="5"/>
      <c r="XEJ62" s="5"/>
      <c r="XEK62" s="5"/>
      <c r="XEL62" s="5"/>
      <c r="XEM62" s="5"/>
      <c r="XEN62" s="5"/>
      <c r="XEO62" s="5"/>
      <c r="XEP62" s="5"/>
      <c r="XEQ62" s="5"/>
      <c r="XER62" s="5"/>
      <c r="XES62" s="5"/>
      <c r="XET62" s="5"/>
      <c r="XEU62" s="5"/>
      <c r="XEV62" s="5"/>
      <c r="XEW62" s="5"/>
      <c r="XEX62" s="5"/>
      <c r="XEY62" s="5"/>
      <c r="XEZ62" s="5"/>
      <c r="XFA62" s="5"/>
      <c r="XFB62" s="5"/>
    </row>
    <row r="63" s="1" customFormat="1" ht="16.5" spans="1:6 16247:16382">
      <c r="A63" s="8">
        <v>61</v>
      </c>
      <c r="B63" s="9" t="s">
        <v>67</v>
      </c>
      <c r="C63" s="8">
        <v>9</v>
      </c>
      <c r="D63" s="8">
        <v>1</v>
      </c>
      <c r="E63" s="8">
        <v>49.5</v>
      </c>
      <c r="F63" s="8">
        <v>49.5</v>
      </c>
      <c r="WZW63"/>
      <c r="WZX63"/>
      <c r="WZY63"/>
      <c r="WZZ63"/>
      <c r="XAA63"/>
      <c r="XAB63"/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/>
      <c r="XBJ63" s="5"/>
      <c r="XBK63" s="5"/>
      <c r="XBL63" s="5"/>
      <c r="XBM63" s="5"/>
      <c r="XBN63" s="5"/>
      <c r="XBO63" s="5"/>
      <c r="XBP63" s="5"/>
      <c r="XBQ63" s="5"/>
      <c r="XBR63" s="5"/>
      <c r="XBS63" s="5"/>
      <c r="XBT63" s="5"/>
      <c r="XBU63" s="5"/>
      <c r="XBV63" s="5"/>
      <c r="XBW63" s="5"/>
      <c r="XBX63" s="5"/>
      <c r="XBY63" s="5"/>
      <c r="XBZ63" s="5"/>
      <c r="XCA63" s="5"/>
      <c r="XCB63" s="5"/>
      <c r="XCC63" s="5"/>
      <c r="XCD63" s="5"/>
      <c r="XCE63" s="5"/>
      <c r="XCF63" s="5"/>
      <c r="XCG63" s="5"/>
      <c r="XCH63" s="5"/>
      <c r="XCI63" s="5"/>
      <c r="XCJ63" s="5"/>
      <c r="XCK63" s="5"/>
      <c r="XCL63" s="5"/>
      <c r="XCM63" s="5"/>
      <c r="XCN63" s="5"/>
      <c r="XCO63" s="5"/>
      <c r="XCP63" s="5"/>
      <c r="XCQ63" s="5"/>
      <c r="XCR63" s="5"/>
      <c r="XCS63" s="5"/>
      <c r="XCT63" s="5"/>
      <c r="XCU63" s="5"/>
      <c r="XCV63" s="5"/>
      <c r="XCW63" s="5"/>
      <c r="XCX63" s="5"/>
      <c r="XCY63" s="5"/>
      <c r="XCZ63" s="5"/>
      <c r="XDA63" s="5"/>
      <c r="XDB63" s="5"/>
      <c r="XDC63" s="5"/>
      <c r="XDD63" s="5"/>
      <c r="XDE63" s="5"/>
      <c r="XDF63" s="5"/>
      <c r="XDG63" s="5"/>
      <c r="XDH63" s="5"/>
      <c r="XDI63" s="5"/>
      <c r="XDJ63" s="5"/>
      <c r="XDK63" s="5"/>
      <c r="XDL63" s="5"/>
      <c r="XDM63" s="5"/>
      <c r="XDN63" s="5"/>
      <c r="XDO63" s="5"/>
      <c r="XDP63" s="5"/>
      <c r="XDQ63" s="5"/>
      <c r="XDR63" s="5"/>
      <c r="XDS63" s="5"/>
      <c r="XDT63" s="5"/>
      <c r="XDU63" s="5"/>
      <c r="XDV63" s="5"/>
      <c r="XDW63" s="5"/>
      <c r="XDX63" s="5"/>
      <c r="XDY63" s="5"/>
      <c r="XDZ63" s="5"/>
      <c r="XEA63" s="5"/>
      <c r="XEB63" s="5"/>
      <c r="XEC63" s="5"/>
      <c r="XED63" s="5"/>
      <c r="XEE63" s="5"/>
      <c r="XEF63" s="5"/>
      <c r="XEG63" s="5"/>
      <c r="XEH63" s="5"/>
      <c r="XEI63" s="5"/>
      <c r="XEJ63" s="5"/>
      <c r="XEK63" s="5"/>
      <c r="XEL63" s="5"/>
      <c r="XEM63" s="5"/>
      <c r="XEN63" s="5"/>
      <c r="XEO63" s="5"/>
      <c r="XEP63" s="5"/>
      <c r="XEQ63" s="5"/>
      <c r="XER63" s="5"/>
      <c r="XES63" s="5"/>
      <c r="XET63" s="5"/>
      <c r="XEU63" s="5"/>
      <c r="XEV63" s="5"/>
      <c r="XEW63" s="5"/>
      <c r="XEX63" s="5"/>
      <c r="XEY63" s="5"/>
      <c r="XEZ63" s="5"/>
      <c r="XFA63" s="5"/>
      <c r="XFB63" s="5"/>
    </row>
    <row r="64" s="1" customFormat="1" ht="16.5" spans="1:6 16247:16382">
      <c r="A64" s="8">
        <v>62</v>
      </c>
      <c r="B64" s="9" t="s">
        <v>68</v>
      </c>
      <c r="C64" s="8">
        <v>7</v>
      </c>
      <c r="D64" s="8">
        <v>1</v>
      </c>
      <c r="E64" s="8">
        <v>132</v>
      </c>
      <c r="F64" s="8">
        <v>132</v>
      </c>
      <c r="WZW64"/>
      <c r="WZX64"/>
      <c r="WZY64"/>
      <c r="WZZ64"/>
      <c r="XAA64"/>
      <c r="XAB64"/>
      <c r="XAC64"/>
      <c r="XAD64"/>
      <c r="XAE64"/>
      <c r="XAF64"/>
      <c r="XAG64"/>
      <c r="XAH64"/>
      <c r="XAI64"/>
      <c r="XAJ64"/>
      <c r="XAK64"/>
      <c r="XAL64"/>
      <c r="XAM64"/>
      <c r="XAN64"/>
      <c r="XAO64"/>
      <c r="XAP64"/>
      <c r="XAQ64"/>
      <c r="XAR64"/>
      <c r="XAS64"/>
      <c r="XAT64"/>
      <c r="XAU64"/>
      <c r="XAV64"/>
      <c r="XAW64"/>
      <c r="XAX64"/>
      <c r="XAY64"/>
      <c r="XAZ64"/>
      <c r="XBA64"/>
      <c r="XBB64"/>
      <c r="XBC64"/>
      <c r="XBD64"/>
      <c r="XBE64"/>
      <c r="XBF64"/>
      <c r="XBG64"/>
      <c r="XBH64"/>
      <c r="XBI64"/>
      <c r="XBJ64" s="5"/>
      <c r="XBK64" s="5"/>
      <c r="XBL64" s="5"/>
      <c r="XBM64" s="5"/>
      <c r="XBN64" s="5"/>
      <c r="XBO64" s="5"/>
      <c r="XBP64" s="5"/>
      <c r="XBQ64" s="5"/>
      <c r="XBR64" s="5"/>
      <c r="XBS64" s="5"/>
      <c r="XBT64" s="5"/>
      <c r="XBU64" s="5"/>
      <c r="XBV64" s="5"/>
      <c r="XBW64" s="5"/>
      <c r="XBX64" s="5"/>
      <c r="XBY64" s="5"/>
      <c r="XBZ64" s="5"/>
      <c r="XCA64" s="5"/>
      <c r="XCB64" s="5"/>
      <c r="XCC64" s="5"/>
      <c r="XCD64" s="5"/>
      <c r="XCE64" s="5"/>
      <c r="XCF64" s="5"/>
      <c r="XCG64" s="5"/>
      <c r="XCH64" s="5"/>
      <c r="XCI64" s="5"/>
      <c r="XCJ64" s="5"/>
      <c r="XCK64" s="5"/>
      <c r="XCL64" s="5"/>
      <c r="XCM64" s="5"/>
      <c r="XCN64" s="5"/>
      <c r="XCO64" s="5"/>
      <c r="XCP64" s="5"/>
      <c r="XCQ64" s="5"/>
      <c r="XCR64" s="5"/>
      <c r="XCS64" s="5"/>
      <c r="XCT64" s="5"/>
      <c r="XCU64" s="5"/>
      <c r="XCV64" s="5"/>
      <c r="XCW64" s="5"/>
      <c r="XCX64" s="5"/>
      <c r="XCY64" s="5"/>
      <c r="XCZ64" s="5"/>
      <c r="XDA64" s="5"/>
      <c r="XDB64" s="5"/>
      <c r="XDC64" s="5"/>
      <c r="XDD64" s="5"/>
      <c r="XDE64" s="5"/>
      <c r="XDF64" s="5"/>
      <c r="XDG64" s="5"/>
      <c r="XDH64" s="5"/>
      <c r="XDI64" s="5"/>
      <c r="XDJ64" s="5"/>
      <c r="XDK64" s="5"/>
      <c r="XDL64" s="5"/>
      <c r="XDM64" s="5"/>
      <c r="XDN64" s="5"/>
      <c r="XDO64" s="5"/>
      <c r="XDP64" s="5"/>
      <c r="XDQ64" s="5"/>
      <c r="XDR64" s="5"/>
      <c r="XDS64" s="5"/>
      <c r="XDT64" s="5"/>
      <c r="XDU64" s="5"/>
      <c r="XDV64" s="5"/>
      <c r="XDW64" s="5"/>
      <c r="XDX64" s="5"/>
      <c r="XDY64" s="5"/>
      <c r="XDZ64" s="5"/>
      <c r="XEA64" s="5"/>
      <c r="XEB64" s="5"/>
      <c r="XEC64" s="5"/>
      <c r="XED64" s="5"/>
      <c r="XEE64" s="5"/>
      <c r="XEF64" s="5"/>
      <c r="XEG64" s="5"/>
      <c r="XEH64" s="5"/>
      <c r="XEI64" s="5"/>
      <c r="XEJ64" s="5"/>
      <c r="XEK64" s="5"/>
      <c r="XEL64" s="5"/>
      <c r="XEM64" s="5"/>
      <c r="XEN64" s="5"/>
      <c r="XEO64" s="5"/>
      <c r="XEP64" s="5"/>
      <c r="XEQ64" s="5"/>
      <c r="XER64" s="5"/>
      <c r="XES64" s="5"/>
      <c r="XET64" s="5"/>
      <c r="XEU64" s="5"/>
      <c r="XEV64" s="5"/>
      <c r="XEW64" s="5"/>
      <c r="XEX64" s="5"/>
      <c r="XEY64" s="5"/>
      <c r="XEZ64" s="5"/>
      <c r="XFA64" s="5"/>
      <c r="XFB64" s="5"/>
    </row>
    <row r="65" s="1" customFormat="1" ht="16.5" spans="1:6 16247:16382">
      <c r="A65" s="8">
        <v>63</v>
      </c>
      <c r="B65" s="9" t="s">
        <v>69</v>
      </c>
      <c r="C65" s="8">
        <v>24</v>
      </c>
      <c r="D65" s="8">
        <v>1</v>
      </c>
      <c r="E65" s="8">
        <v>132</v>
      </c>
      <c r="F65" s="8">
        <v>132</v>
      </c>
      <c r="WZW65"/>
      <c r="WZX65"/>
      <c r="WZY65"/>
      <c r="WZZ65"/>
      <c r="XAA65"/>
      <c r="XAB65"/>
      <c r="XAC65"/>
      <c r="XAD65"/>
      <c r="XAE65"/>
      <c r="XAF65"/>
      <c r="XAG65"/>
      <c r="XAH65"/>
      <c r="XAI65"/>
      <c r="XAJ65"/>
      <c r="XAK65"/>
      <c r="XAL65"/>
      <c r="XAM65"/>
      <c r="XAN65"/>
      <c r="XAO65"/>
      <c r="XAP65"/>
      <c r="XAQ65"/>
      <c r="XAR65"/>
      <c r="XAS65"/>
      <c r="XAT65"/>
      <c r="XAU65"/>
      <c r="XAV65"/>
      <c r="XAW65"/>
      <c r="XAX65"/>
      <c r="XAY65"/>
      <c r="XAZ65"/>
      <c r="XBA65"/>
      <c r="XBB65"/>
      <c r="XBC65"/>
      <c r="XBD65"/>
      <c r="XBE65"/>
      <c r="XBF65"/>
      <c r="XBG65"/>
      <c r="XBH65"/>
      <c r="XBI65"/>
      <c r="XBJ65" s="5"/>
      <c r="XBK65" s="5"/>
      <c r="XBL65" s="5"/>
      <c r="XBM65" s="5"/>
      <c r="XBN65" s="5"/>
      <c r="XBO65" s="5"/>
      <c r="XBP65" s="5"/>
      <c r="XBQ65" s="5"/>
      <c r="XBR65" s="5"/>
      <c r="XBS65" s="5"/>
      <c r="XBT65" s="5"/>
      <c r="XBU65" s="5"/>
      <c r="XBV65" s="5"/>
      <c r="XBW65" s="5"/>
      <c r="XBX65" s="5"/>
      <c r="XBY65" s="5"/>
      <c r="XBZ65" s="5"/>
      <c r="XCA65" s="5"/>
      <c r="XCB65" s="5"/>
      <c r="XCC65" s="5"/>
      <c r="XCD65" s="5"/>
      <c r="XCE65" s="5"/>
      <c r="XCF65" s="5"/>
      <c r="XCG65" s="5"/>
      <c r="XCH65" s="5"/>
      <c r="XCI65" s="5"/>
      <c r="XCJ65" s="5"/>
      <c r="XCK65" s="5"/>
      <c r="XCL65" s="5"/>
      <c r="XCM65" s="5"/>
      <c r="XCN65" s="5"/>
      <c r="XCO65" s="5"/>
      <c r="XCP65" s="5"/>
      <c r="XCQ65" s="5"/>
      <c r="XCR65" s="5"/>
      <c r="XCS65" s="5"/>
      <c r="XCT65" s="5"/>
      <c r="XCU65" s="5"/>
      <c r="XCV65" s="5"/>
      <c r="XCW65" s="5"/>
      <c r="XCX65" s="5"/>
      <c r="XCY65" s="5"/>
      <c r="XCZ65" s="5"/>
      <c r="XDA65" s="5"/>
      <c r="XDB65" s="5"/>
      <c r="XDC65" s="5"/>
      <c r="XDD65" s="5"/>
      <c r="XDE65" s="5"/>
      <c r="XDF65" s="5"/>
      <c r="XDG65" s="5"/>
      <c r="XDH65" s="5"/>
      <c r="XDI65" s="5"/>
      <c r="XDJ65" s="5"/>
      <c r="XDK65" s="5"/>
      <c r="XDL65" s="5"/>
      <c r="XDM65" s="5"/>
      <c r="XDN65" s="5"/>
      <c r="XDO65" s="5"/>
      <c r="XDP65" s="5"/>
      <c r="XDQ65" s="5"/>
      <c r="XDR65" s="5"/>
      <c r="XDS65" s="5"/>
      <c r="XDT65" s="5"/>
      <c r="XDU65" s="5"/>
      <c r="XDV65" s="5"/>
      <c r="XDW65" s="5"/>
      <c r="XDX65" s="5"/>
      <c r="XDY65" s="5"/>
      <c r="XDZ65" s="5"/>
      <c r="XEA65" s="5"/>
      <c r="XEB65" s="5"/>
      <c r="XEC65" s="5"/>
      <c r="XED65" s="5"/>
      <c r="XEE65" s="5"/>
      <c r="XEF65" s="5"/>
      <c r="XEG65" s="5"/>
      <c r="XEH65" s="5"/>
      <c r="XEI65" s="5"/>
      <c r="XEJ65" s="5"/>
      <c r="XEK65" s="5"/>
      <c r="XEL65" s="5"/>
      <c r="XEM65" s="5"/>
      <c r="XEN65" s="5"/>
      <c r="XEO65" s="5"/>
      <c r="XEP65" s="5"/>
      <c r="XEQ65" s="5"/>
      <c r="XER65" s="5"/>
      <c r="XES65" s="5"/>
      <c r="XET65" s="5"/>
      <c r="XEU65" s="5"/>
      <c r="XEV65" s="5"/>
      <c r="XEW65" s="5"/>
      <c r="XEX65" s="5"/>
      <c r="XEY65" s="5"/>
      <c r="XEZ65" s="5"/>
      <c r="XFA65" s="5"/>
      <c r="XFB65" s="5"/>
    </row>
    <row r="66" s="1" customFormat="1" ht="16.5" spans="1:6 16247:16382">
      <c r="A66" s="8">
        <v>64</v>
      </c>
      <c r="B66" s="9" t="s">
        <v>70</v>
      </c>
      <c r="C66" s="8">
        <f>130/2</f>
        <v>65</v>
      </c>
      <c r="D66" s="8">
        <v>1</v>
      </c>
      <c r="E66" s="8">
        <v>357.5</v>
      </c>
      <c r="F66" s="8">
        <f>E66*D66</f>
        <v>357.5</v>
      </c>
      <c r="WZW66"/>
      <c r="WZX66"/>
      <c r="WZY66"/>
      <c r="WZZ66"/>
      <c r="XAA66"/>
      <c r="XAB66"/>
      <c r="XAC66"/>
      <c r="XAD66"/>
      <c r="XAE66"/>
      <c r="XAF66"/>
      <c r="XAG66"/>
      <c r="XAH66"/>
      <c r="XAI66"/>
      <c r="XAJ66"/>
      <c r="XAK66"/>
      <c r="XAL66"/>
      <c r="XAM66"/>
      <c r="XAN66"/>
      <c r="XAO66"/>
      <c r="XAP66"/>
      <c r="XAQ66"/>
      <c r="XAR66"/>
      <c r="XAS66"/>
      <c r="XAT66"/>
      <c r="XAU66"/>
      <c r="XAV66"/>
      <c r="XAW66"/>
      <c r="XAX66"/>
      <c r="XAY66"/>
      <c r="XAZ66"/>
      <c r="XBA66"/>
      <c r="XBB66"/>
      <c r="XBC66"/>
      <c r="XBD66"/>
      <c r="XBE66"/>
      <c r="XBF66"/>
      <c r="XBG66"/>
      <c r="XBH66"/>
      <c r="XBI66"/>
      <c r="XBJ66" s="5"/>
      <c r="XBK66" s="5"/>
      <c r="XBL66" s="5"/>
      <c r="XBM66" s="5"/>
      <c r="XBN66" s="5"/>
      <c r="XBO66" s="5"/>
      <c r="XBP66" s="5"/>
      <c r="XBQ66" s="5"/>
      <c r="XBR66" s="5"/>
      <c r="XBS66" s="5"/>
      <c r="XBT66" s="5"/>
      <c r="XBU66" s="5"/>
      <c r="XBV66" s="5"/>
      <c r="XBW66" s="5"/>
      <c r="XBX66" s="5"/>
      <c r="XBY66" s="5"/>
      <c r="XBZ66" s="5"/>
      <c r="XCA66" s="5"/>
      <c r="XCB66" s="5"/>
      <c r="XCC66" s="5"/>
      <c r="XCD66" s="5"/>
      <c r="XCE66" s="5"/>
      <c r="XCF66" s="5"/>
      <c r="XCG66" s="5"/>
      <c r="XCH66" s="5"/>
      <c r="XCI66" s="5"/>
      <c r="XCJ66" s="5"/>
      <c r="XCK66" s="5"/>
      <c r="XCL66" s="5"/>
      <c r="XCM66" s="5"/>
      <c r="XCN66" s="5"/>
      <c r="XCO66" s="5"/>
      <c r="XCP66" s="5"/>
      <c r="XCQ66" s="5"/>
      <c r="XCR66" s="5"/>
      <c r="XCS66" s="5"/>
      <c r="XCT66" s="5"/>
      <c r="XCU66" s="5"/>
      <c r="XCV66" s="5"/>
      <c r="XCW66" s="5"/>
      <c r="XCX66" s="5"/>
      <c r="XCY66" s="5"/>
      <c r="XCZ66" s="5"/>
      <c r="XDA66" s="5"/>
      <c r="XDB66" s="5"/>
      <c r="XDC66" s="5"/>
      <c r="XDD66" s="5"/>
      <c r="XDE66" s="5"/>
      <c r="XDF66" s="5"/>
      <c r="XDG66" s="5"/>
      <c r="XDH66" s="5"/>
      <c r="XDI66" s="5"/>
      <c r="XDJ66" s="5"/>
      <c r="XDK66" s="5"/>
      <c r="XDL66" s="5"/>
      <c r="XDM66" s="5"/>
      <c r="XDN66" s="5"/>
      <c r="XDO66" s="5"/>
      <c r="XDP66" s="5"/>
      <c r="XDQ66" s="5"/>
      <c r="XDR66" s="5"/>
      <c r="XDS66" s="5"/>
      <c r="XDT66" s="5"/>
      <c r="XDU66" s="5"/>
      <c r="XDV66" s="5"/>
      <c r="XDW66" s="5"/>
      <c r="XDX66" s="5"/>
      <c r="XDY66" s="5"/>
      <c r="XDZ66" s="5"/>
      <c r="XEA66" s="5"/>
      <c r="XEB66" s="5"/>
      <c r="XEC66" s="5"/>
      <c r="XED66" s="5"/>
      <c r="XEE66" s="5"/>
      <c r="XEF66" s="5"/>
      <c r="XEG66" s="5"/>
      <c r="XEH66" s="5"/>
      <c r="XEI66" s="5"/>
      <c r="XEJ66" s="5"/>
      <c r="XEK66" s="5"/>
      <c r="XEL66" s="5"/>
      <c r="XEM66" s="5"/>
      <c r="XEN66" s="5"/>
      <c r="XEO66" s="5"/>
      <c r="XEP66" s="5"/>
      <c r="XEQ66" s="5"/>
      <c r="XER66" s="5"/>
      <c r="XES66" s="5"/>
      <c r="XET66" s="5"/>
      <c r="XEU66" s="5"/>
      <c r="XEV66" s="5"/>
      <c r="XEW66" s="5"/>
      <c r="XEX66" s="5"/>
      <c r="XEY66" s="5"/>
      <c r="XEZ66" s="5"/>
      <c r="XFA66" s="5"/>
      <c r="XFB66" s="5"/>
    </row>
    <row r="67" s="1" customFormat="1" ht="16.5" spans="1:6 16247:16382">
      <c r="A67" s="8">
        <v>65</v>
      </c>
      <c r="B67" s="9" t="s">
        <v>71</v>
      </c>
      <c r="C67" s="8">
        <v>1</v>
      </c>
      <c r="D67" s="8">
        <v>1</v>
      </c>
      <c r="E67" s="8">
        <v>16.5</v>
      </c>
      <c r="F67" s="8">
        <v>16.5</v>
      </c>
      <c r="WZW67"/>
      <c r="WZX67"/>
      <c r="WZY67"/>
      <c r="WZZ67"/>
      <c r="XAA67"/>
      <c r="XAB67"/>
      <c r="XAC67"/>
      <c r="XAD67"/>
      <c r="XAE67"/>
      <c r="XAF67"/>
      <c r="XAG67"/>
      <c r="XAH67"/>
      <c r="XAI67"/>
      <c r="XAJ67"/>
      <c r="XAK67"/>
      <c r="XAL67"/>
      <c r="XAM67"/>
      <c r="XAN67"/>
      <c r="XAO67"/>
      <c r="XAP67"/>
      <c r="XAQ67"/>
      <c r="XAR67"/>
      <c r="XAS67"/>
      <c r="XAT67"/>
      <c r="XAU67"/>
      <c r="XAV67"/>
      <c r="XAW67"/>
      <c r="XAX67"/>
      <c r="XAY67"/>
      <c r="XAZ67"/>
      <c r="XBA67"/>
      <c r="XBB67"/>
      <c r="XBC67"/>
      <c r="XBD67"/>
      <c r="XBE67"/>
      <c r="XBF67"/>
      <c r="XBG67"/>
      <c r="XBH67"/>
      <c r="XBI67"/>
      <c r="XBJ67" s="5"/>
      <c r="XBK67" s="5"/>
      <c r="XBL67" s="5"/>
      <c r="XBM67" s="5"/>
      <c r="XBN67" s="5"/>
      <c r="XBO67" s="5"/>
      <c r="XBP67" s="5"/>
      <c r="XBQ67" s="5"/>
      <c r="XBR67" s="5"/>
      <c r="XBS67" s="5"/>
      <c r="XBT67" s="5"/>
      <c r="XBU67" s="5"/>
      <c r="XBV67" s="5"/>
      <c r="XBW67" s="5"/>
      <c r="XBX67" s="5"/>
      <c r="XBY67" s="5"/>
      <c r="XBZ67" s="5"/>
      <c r="XCA67" s="5"/>
      <c r="XCB67" s="5"/>
      <c r="XCC67" s="5"/>
      <c r="XCD67" s="5"/>
      <c r="XCE67" s="5"/>
      <c r="XCF67" s="5"/>
      <c r="XCG67" s="5"/>
      <c r="XCH67" s="5"/>
      <c r="XCI67" s="5"/>
      <c r="XCJ67" s="5"/>
      <c r="XCK67" s="5"/>
      <c r="XCL67" s="5"/>
      <c r="XCM67" s="5"/>
      <c r="XCN67" s="5"/>
      <c r="XCO67" s="5"/>
      <c r="XCP67" s="5"/>
      <c r="XCQ67" s="5"/>
      <c r="XCR67" s="5"/>
      <c r="XCS67" s="5"/>
      <c r="XCT67" s="5"/>
      <c r="XCU67" s="5"/>
      <c r="XCV67" s="5"/>
      <c r="XCW67" s="5"/>
      <c r="XCX67" s="5"/>
      <c r="XCY67" s="5"/>
      <c r="XCZ67" s="5"/>
      <c r="XDA67" s="5"/>
      <c r="XDB67" s="5"/>
      <c r="XDC67" s="5"/>
      <c r="XDD67" s="5"/>
      <c r="XDE67" s="5"/>
      <c r="XDF67" s="5"/>
      <c r="XDG67" s="5"/>
      <c r="XDH67" s="5"/>
      <c r="XDI67" s="5"/>
      <c r="XDJ67" s="5"/>
      <c r="XDK67" s="5"/>
      <c r="XDL67" s="5"/>
      <c r="XDM67" s="5"/>
      <c r="XDN67" s="5"/>
      <c r="XDO67" s="5"/>
      <c r="XDP67" s="5"/>
      <c r="XDQ67" s="5"/>
      <c r="XDR67" s="5"/>
      <c r="XDS67" s="5"/>
      <c r="XDT67" s="5"/>
      <c r="XDU67" s="5"/>
      <c r="XDV67" s="5"/>
      <c r="XDW67" s="5"/>
      <c r="XDX67" s="5"/>
      <c r="XDY67" s="5"/>
      <c r="XDZ67" s="5"/>
      <c r="XEA67" s="5"/>
      <c r="XEB67" s="5"/>
      <c r="XEC67" s="5"/>
      <c r="XED67" s="5"/>
      <c r="XEE67" s="5"/>
      <c r="XEF67" s="5"/>
      <c r="XEG67" s="5"/>
      <c r="XEH67" s="5"/>
      <c r="XEI67" s="5"/>
      <c r="XEJ67" s="5"/>
      <c r="XEK67" s="5"/>
      <c r="XEL67" s="5"/>
      <c r="XEM67" s="5"/>
      <c r="XEN67" s="5"/>
      <c r="XEO67" s="5"/>
      <c r="XEP67" s="5"/>
      <c r="XEQ67" s="5"/>
      <c r="XER67" s="5"/>
      <c r="XES67" s="5"/>
      <c r="XET67" s="5"/>
      <c r="XEU67" s="5"/>
      <c r="XEV67" s="5"/>
      <c r="XEW67" s="5"/>
      <c r="XEX67" s="5"/>
      <c r="XEY67" s="5"/>
      <c r="XEZ67" s="5"/>
      <c r="XFA67" s="5"/>
      <c r="XFB67" s="5"/>
    </row>
    <row r="68" s="1" customFormat="1" ht="16.5" spans="1:6 16247:16382">
      <c r="A68" s="8">
        <v>66</v>
      </c>
      <c r="B68" s="9" t="s">
        <v>72</v>
      </c>
      <c r="C68" s="8">
        <v>1</v>
      </c>
      <c r="D68" s="8">
        <v>1</v>
      </c>
      <c r="E68" s="8">
        <v>30</v>
      </c>
      <c r="F68" s="8">
        <v>30</v>
      </c>
      <c r="WZW68"/>
      <c r="WZX68"/>
      <c r="WZY68"/>
      <c r="WZZ68"/>
      <c r="XAA68"/>
      <c r="XAB68"/>
      <c r="XAC68"/>
      <c r="XAD68"/>
      <c r="XAE68"/>
      <c r="XAF68"/>
      <c r="XAG68"/>
      <c r="XAH68"/>
      <c r="XAI68"/>
      <c r="XAJ68"/>
      <c r="XAK68"/>
      <c r="XAL68"/>
      <c r="XAM68"/>
      <c r="XAN68"/>
      <c r="XAO68"/>
      <c r="XAP68"/>
      <c r="XAQ68"/>
      <c r="XAR68"/>
      <c r="XAS68"/>
      <c r="XAT68"/>
      <c r="XAU68"/>
      <c r="XAV68"/>
      <c r="XAW68"/>
      <c r="XAX68"/>
      <c r="XAY68"/>
      <c r="XAZ68"/>
      <c r="XBA68"/>
      <c r="XBB68"/>
      <c r="XBC68"/>
      <c r="XBD68"/>
      <c r="XBE68"/>
      <c r="XBF68"/>
      <c r="XBG68"/>
      <c r="XBH68"/>
      <c r="XBI68"/>
      <c r="XBJ68" s="5"/>
      <c r="XBK68" s="5"/>
      <c r="XBL68" s="5"/>
      <c r="XBM68" s="5"/>
      <c r="XBN68" s="5"/>
      <c r="XBO68" s="5"/>
      <c r="XBP68" s="5"/>
      <c r="XBQ68" s="5"/>
      <c r="XBR68" s="5"/>
      <c r="XBS68" s="5"/>
      <c r="XBT68" s="5"/>
      <c r="XBU68" s="5"/>
      <c r="XBV68" s="5"/>
      <c r="XBW68" s="5"/>
      <c r="XBX68" s="5"/>
      <c r="XBY68" s="5"/>
      <c r="XBZ68" s="5"/>
      <c r="XCA68" s="5"/>
      <c r="XCB68" s="5"/>
      <c r="XCC68" s="5"/>
      <c r="XCD68" s="5"/>
      <c r="XCE68" s="5"/>
      <c r="XCF68" s="5"/>
      <c r="XCG68" s="5"/>
      <c r="XCH68" s="5"/>
      <c r="XCI68" s="5"/>
      <c r="XCJ68" s="5"/>
      <c r="XCK68" s="5"/>
      <c r="XCL68" s="5"/>
      <c r="XCM68" s="5"/>
      <c r="XCN68" s="5"/>
      <c r="XCO68" s="5"/>
      <c r="XCP68" s="5"/>
      <c r="XCQ68" s="5"/>
      <c r="XCR68" s="5"/>
      <c r="XCS68" s="5"/>
      <c r="XCT68" s="5"/>
      <c r="XCU68" s="5"/>
      <c r="XCV68" s="5"/>
      <c r="XCW68" s="5"/>
      <c r="XCX68" s="5"/>
      <c r="XCY68" s="5"/>
      <c r="XCZ68" s="5"/>
      <c r="XDA68" s="5"/>
      <c r="XDB68" s="5"/>
      <c r="XDC68" s="5"/>
      <c r="XDD68" s="5"/>
      <c r="XDE68" s="5"/>
      <c r="XDF68" s="5"/>
      <c r="XDG68" s="5"/>
      <c r="XDH68" s="5"/>
      <c r="XDI68" s="5"/>
      <c r="XDJ68" s="5"/>
      <c r="XDK68" s="5"/>
      <c r="XDL68" s="5"/>
      <c r="XDM68" s="5"/>
      <c r="XDN68" s="5"/>
      <c r="XDO68" s="5"/>
      <c r="XDP68" s="5"/>
      <c r="XDQ68" s="5"/>
      <c r="XDR68" s="5"/>
      <c r="XDS68" s="5"/>
      <c r="XDT68" s="5"/>
      <c r="XDU68" s="5"/>
      <c r="XDV68" s="5"/>
      <c r="XDW68" s="5"/>
      <c r="XDX68" s="5"/>
      <c r="XDY68" s="5"/>
      <c r="XDZ68" s="5"/>
      <c r="XEA68" s="5"/>
      <c r="XEB68" s="5"/>
      <c r="XEC68" s="5"/>
      <c r="XED68" s="5"/>
      <c r="XEE68" s="5"/>
      <c r="XEF68" s="5"/>
      <c r="XEG68" s="5"/>
      <c r="XEH68" s="5"/>
      <c r="XEI68" s="5"/>
      <c r="XEJ68" s="5"/>
      <c r="XEK68" s="5"/>
      <c r="XEL68" s="5"/>
      <c r="XEM68" s="5"/>
      <c r="XEN68" s="5"/>
      <c r="XEO68" s="5"/>
      <c r="XEP68" s="5"/>
      <c r="XEQ68" s="5"/>
      <c r="XER68" s="5"/>
      <c r="XES68" s="5"/>
      <c r="XET68" s="5"/>
      <c r="XEU68" s="5"/>
      <c r="XEV68" s="5"/>
      <c r="XEW68" s="5"/>
      <c r="XEX68" s="5"/>
      <c r="XEY68" s="5"/>
      <c r="XEZ68" s="5"/>
      <c r="XFA68" s="5"/>
      <c r="XFB68" s="5"/>
    </row>
    <row r="69" s="1" customFormat="1" ht="16.5" spans="1:6 16247:16382">
      <c r="A69" s="8">
        <v>67</v>
      </c>
      <c r="B69" s="9" t="s">
        <v>73</v>
      </c>
      <c r="C69" s="8">
        <v>4</v>
      </c>
      <c r="D69" s="8">
        <v>1</v>
      </c>
      <c r="E69" s="8">
        <v>22</v>
      </c>
      <c r="F69" s="8">
        <v>22</v>
      </c>
      <c r="WZW69"/>
      <c r="WZX69"/>
      <c r="WZY69"/>
      <c r="WZZ69"/>
      <c r="XAA69"/>
      <c r="XAB69"/>
      <c r="XAC69"/>
      <c r="XAD69"/>
      <c r="XAE69"/>
      <c r="XAF69"/>
      <c r="XAG69"/>
      <c r="XAH69"/>
      <c r="XAI69"/>
      <c r="XAJ69"/>
      <c r="XAK69"/>
      <c r="XAL69"/>
      <c r="XAM69"/>
      <c r="XAN69"/>
      <c r="XAO69"/>
      <c r="XAP69"/>
      <c r="XAQ69"/>
      <c r="XAR69"/>
      <c r="XAS69"/>
      <c r="XAT69"/>
      <c r="XAU69"/>
      <c r="XAV69"/>
      <c r="XAW69"/>
      <c r="XAX69"/>
      <c r="XAY69"/>
      <c r="XAZ69"/>
      <c r="XBA69"/>
      <c r="XBB69"/>
      <c r="XBC69"/>
      <c r="XBD69"/>
      <c r="XBE69"/>
      <c r="XBF69"/>
      <c r="XBG69"/>
      <c r="XBH69"/>
      <c r="XBI69"/>
      <c r="XBJ69" s="5"/>
      <c r="XBK69" s="5"/>
      <c r="XBL69" s="5"/>
      <c r="XBM69" s="5"/>
      <c r="XBN69" s="5"/>
      <c r="XBO69" s="5"/>
      <c r="XBP69" s="5"/>
      <c r="XBQ69" s="5"/>
      <c r="XBR69" s="5"/>
      <c r="XBS69" s="5"/>
      <c r="XBT69" s="5"/>
      <c r="XBU69" s="5"/>
      <c r="XBV69" s="5"/>
      <c r="XBW69" s="5"/>
      <c r="XBX69" s="5"/>
      <c r="XBY69" s="5"/>
      <c r="XBZ69" s="5"/>
      <c r="XCA69" s="5"/>
      <c r="XCB69" s="5"/>
      <c r="XCC69" s="5"/>
      <c r="XCD69" s="5"/>
      <c r="XCE69" s="5"/>
      <c r="XCF69" s="5"/>
      <c r="XCG69" s="5"/>
      <c r="XCH69" s="5"/>
      <c r="XCI69" s="5"/>
      <c r="XCJ69" s="5"/>
      <c r="XCK69" s="5"/>
      <c r="XCL69" s="5"/>
      <c r="XCM69" s="5"/>
      <c r="XCN69" s="5"/>
      <c r="XCO69" s="5"/>
      <c r="XCP69" s="5"/>
      <c r="XCQ69" s="5"/>
      <c r="XCR69" s="5"/>
      <c r="XCS69" s="5"/>
      <c r="XCT69" s="5"/>
      <c r="XCU69" s="5"/>
      <c r="XCV69" s="5"/>
      <c r="XCW69" s="5"/>
      <c r="XCX69" s="5"/>
      <c r="XCY69" s="5"/>
      <c r="XCZ69" s="5"/>
      <c r="XDA69" s="5"/>
      <c r="XDB69" s="5"/>
      <c r="XDC69" s="5"/>
      <c r="XDD69" s="5"/>
      <c r="XDE69" s="5"/>
      <c r="XDF69" s="5"/>
      <c r="XDG69" s="5"/>
      <c r="XDH69" s="5"/>
      <c r="XDI69" s="5"/>
      <c r="XDJ69" s="5"/>
      <c r="XDK69" s="5"/>
      <c r="XDL69" s="5"/>
      <c r="XDM69" s="5"/>
      <c r="XDN69" s="5"/>
      <c r="XDO69" s="5"/>
      <c r="XDP69" s="5"/>
      <c r="XDQ69" s="5"/>
      <c r="XDR69" s="5"/>
      <c r="XDS69" s="5"/>
      <c r="XDT69" s="5"/>
      <c r="XDU69" s="5"/>
      <c r="XDV69" s="5"/>
      <c r="XDW69" s="5"/>
      <c r="XDX69" s="5"/>
      <c r="XDY69" s="5"/>
      <c r="XDZ69" s="5"/>
      <c r="XEA69" s="5"/>
      <c r="XEB69" s="5"/>
      <c r="XEC69" s="5"/>
      <c r="XED69" s="5"/>
      <c r="XEE69" s="5"/>
      <c r="XEF69" s="5"/>
      <c r="XEG69" s="5"/>
      <c r="XEH69" s="5"/>
      <c r="XEI69" s="5"/>
      <c r="XEJ69" s="5"/>
      <c r="XEK69" s="5"/>
      <c r="XEL69" s="5"/>
      <c r="XEM69" s="5"/>
      <c r="XEN69" s="5"/>
      <c r="XEO69" s="5"/>
      <c r="XEP69" s="5"/>
      <c r="XEQ69" s="5"/>
      <c r="XER69" s="5"/>
      <c r="XES69" s="5"/>
      <c r="XET69" s="5"/>
      <c r="XEU69" s="5"/>
      <c r="XEV69" s="5"/>
      <c r="XEW69" s="5"/>
      <c r="XEX69" s="5"/>
      <c r="XEY69" s="5"/>
      <c r="XEZ69" s="5"/>
      <c r="XFA69" s="5"/>
      <c r="XFB69" s="5"/>
    </row>
    <row r="70" s="1" customFormat="1" ht="16.5" spans="1:6 16247:16382">
      <c r="A70" s="8">
        <v>68</v>
      </c>
      <c r="B70" s="9" t="s">
        <v>74</v>
      </c>
      <c r="C70" s="8">
        <v>1</v>
      </c>
      <c r="D70" s="8">
        <v>1</v>
      </c>
      <c r="E70" s="8">
        <v>8</v>
      </c>
      <c r="F70" s="8">
        <v>8</v>
      </c>
      <c r="WZW70"/>
      <c r="WZX70"/>
      <c r="WZY70"/>
      <c r="WZZ70"/>
      <c r="XAA70"/>
      <c r="XAB70"/>
      <c r="XAC70"/>
      <c r="XAD70"/>
      <c r="XAE70"/>
      <c r="XAF70"/>
      <c r="XAG70"/>
      <c r="XAH70"/>
      <c r="XAI70"/>
      <c r="XAJ70"/>
      <c r="XAK70"/>
      <c r="XAL70"/>
      <c r="XAM70"/>
      <c r="XAN70"/>
      <c r="XAO70"/>
      <c r="XAP70"/>
      <c r="XAQ70"/>
      <c r="XAR70"/>
      <c r="XAS70"/>
      <c r="XAT70"/>
      <c r="XAU70"/>
      <c r="XAV70"/>
      <c r="XAW70"/>
      <c r="XAX70"/>
      <c r="XAY70"/>
      <c r="XAZ70"/>
      <c r="XBA70"/>
      <c r="XBB70"/>
      <c r="XBC70"/>
      <c r="XBD70"/>
      <c r="XBE70"/>
      <c r="XBF70"/>
      <c r="XBG70"/>
      <c r="XBH70"/>
      <c r="XBI70"/>
      <c r="XBJ70" s="5"/>
      <c r="XBK70" s="5"/>
      <c r="XBL70" s="5"/>
      <c r="XBM70" s="5"/>
      <c r="XBN70" s="5"/>
      <c r="XBO70" s="5"/>
      <c r="XBP70" s="5"/>
      <c r="XBQ70" s="5"/>
      <c r="XBR70" s="5"/>
      <c r="XBS70" s="5"/>
      <c r="XBT70" s="5"/>
      <c r="XBU70" s="5"/>
      <c r="XBV70" s="5"/>
      <c r="XBW70" s="5"/>
      <c r="XBX70" s="5"/>
      <c r="XBY70" s="5"/>
      <c r="XBZ70" s="5"/>
      <c r="XCA70" s="5"/>
      <c r="XCB70" s="5"/>
      <c r="XCC70" s="5"/>
      <c r="XCD70" s="5"/>
      <c r="XCE70" s="5"/>
      <c r="XCF70" s="5"/>
      <c r="XCG70" s="5"/>
      <c r="XCH70" s="5"/>
      <c r="XCI70" s="5"/>
      <c r="XCJ70" s="5"/>
      <c r="XCK70" s="5"/>
      <c r="XCL70" s="5"/>
      <c r="XCM70" s="5"/>
      <c r="XCN70" s="5"/>
      <c r="XCO70" s="5"/>
      <c r="XCP70" s="5"/>
      <c r="XCQ70" s="5"/>
      <c r="XCR70" s="5"/>
      <c r="XCS70" s="5"/>
      <c r="XCT70" s="5"/>
      <c r="XCU70" s="5"/>
      <c r="XCV70" s="5"/>
      <c r="XCW70" s="5"/>
      <c r="XCX70" s="5"/>
      <c r="XCY70" s="5"/>
      <c r="XCZ70" s="5"/>
      <c r="XDA70" s="5"/>
      <c r="XDB70" s="5"/>
      <c r="XDC70" s="5"/>
      <c r="XDD70" s="5"/>
      <c r="XDE70" s="5"/>
      <c r="XDF70" s="5"/>
      <c r="XDG70" s="5"/>
      <c r="XDH70" s="5"/>
      <c r="XDI70" s="5"/>
      <c r="XDJ70" s="5"/>
      <c r="XDK70" s="5"/>
      <c r="XDL70" s="5"/>
      <c r="XDM70" s="5"/>
      <c r="XDN70" s="5"/>
      <c r="XDO70" s="5"/>
      <c r="XDP70" s="5"/>
      <c r="XDQ70" s="5"/>
      <c r="XDR70" s="5"/>
      <c r="XDS70" s="5"/>
      <c r="XDT70" s="5"/>
      <c r="XDU70" s="5"/>
      <c r="XDV70" s="5"/>
      <c r="XDW70" s="5"/>
      <c r="XDX70" s="5"/>
      <c r="XDY70" s="5"/>
      <c r="XDZ70" s="5"/>
      <c r="XEA70" s="5"/>
      <c r="XEB70" s="5"/>
      <c r="XEC70" s="5"/>
      <c r="XED70" s="5"/>
      <c r="XEE70" s="5"/>
      <c r="XEF70" s="5"/>
      <c r="XEG70" s="5"/>
      <c r="XEH70" s="5"/>
      <c r="XEI70" s="5"/>
      <c r="XEJ70" s="5"/>
      <c r="XEK70" s="5"/>
      <c r="XEL70" s="5"/>
      <c r="XEM70" s="5"/>
      <c r="XEN70" s="5"/>
      <c r="XEO70" s="5"/>
      <c r="XEP70" s="5"/>
      <c r="XEQ70" s="5"/>
      <c r="XER70" s="5"/>
      <c r="XES70" s="5"/>
      <c r="XET70" s="5"/>
      <c r="XEU70" s="5"/>
      <c r="XEV70" s="5"/>
      <c r="XEW70" s="5"/>
      <c r="XEX70" s="5"/>
      <c r="XEY70" s="5"/>
      <c r="XEZ70" s="5"/>
      <c r="XFA70" s="5"/>
      <c r="XFB70" s="5"/>
    </row>
    <row r="71" s="1" customFormat="1" ht="16.5" spans="1:6 16247:16382">
      <c r="A71" s="8">
        <v>69</v>
      </c>
      <c r="B71" s="9" t="s">
        <v>75</v>
      </c>
      <c r="C71" s="8">
        <v>2</v>
      </c>
      <c r="D71" s="8">
        <v>2</v>
      </c>
      <c r="E71" s="8">
        <v>8</v>
      </c>
      <c r="F71" s="8">
        <v>16</v>
      </c>
      <c r="WZW71"/>
      <c r="WZX71"/>
      <c r="WZY71"/>
      <c r="WZZ71"/>
      <c r="XAA71"/>
      <c r="XAB71"/>
      <c r="XAC71"/>
      <c r="XAD71"/>
      <c r="XAE71"/>
      <c r="XAF71"/>
      <c r="XAG71"/>
      <c r="XAH71"/>
      <c r="XAI71"/>
      <c r="XAJ71"/>
      <c r="XAK71"/>
      <c r="XAL71"/>
      <c r="XAM71"/>
      <c r="XAN71"/>
      <c r="XAO71"/>
      <c r="XAP71"/>
      <c r="XAQ71"/>
      <c r="XAR71"/>
      <c r="XAS71"/>
      <c r="XAT71"/>
      <c r="XAU71"/>
      <c r="XAV71"/>
      <c r="XAW71"/>
      <c r="XAX71"/>
      <c r="XAY71"/>
      <c r="XAZ71"/>
      <c r="XBA71"/>
      <c r="XBB71"/>
      <c r="XBC71"/>
      <c r="XBD71"/>
      <c r="XBE71"/>
      <c r="XBF71"/>
      <c r="XBG71"/>
      <c r="XBH71"/>
      <c r="XBI71"/>
      <c r="XBJ71" s="5"/>
      <c r="XBK71" s="5"/>
      <c r="XBL71" s="5"/>
      <c r="XBM71" s="5"/>
      <c r="XBN71" s="5"/>
      <c r="XBO71" s="5"/>
      <c r="XBP71" s="5"/>
      <c r="XBQ71" s="5"/>
      <c r="XBR71" s="5"/>
      <c r="XBS71" s="5"/>
      <c r="XBT71" s="5"/>
      <c r="XBU71" s="5"/>
      <c r="XBV71" s="5"/>
      <c r="XBW71" s="5"/>
      <c r="XBX71" s="5"/>
      <c r="XBY71" s="5"/>
      <c r="XBZ71" s="5"/>
      <c r="XCA71" s="5"/>
      <c r="XCB71" s="5"/>
      <c r="XCC71" s="5"/>
      <c r="XCD71" s="5"/>
      <c r="XCE71" s="5"/>
      <c r="XCF71" s="5"/>
      <c r="XCG71" s="5"/>
      <c r="XCH71" s="5"/>
      <c r="XCI71" s="5"/>
      <c r="XCJ71" s="5"/>
      <c r="XCK71" s="5"/>
      <c r="XCL71" s="5"/>
      <c r="XCM71" s="5"/>
      <c r="XCN71" s="5"/>
      <c r="XCO71" s="5"/>
      <c r="XCP71" s="5"/>
      <c r="XCQ71" s="5"/>
      <c r="XCR71" s="5"/>
      <c r="XCS71" s="5"/>
      <c r="XCT71" s="5"/>
      <c r="XCU71" s="5"/>
      <c r="XCV71" s="5"/>
      <c r="XCW71" s="5"/>
      <c r="XCX71" s="5"/>
      <c r="XCY71" s="5"/>
      <c r="XCZ71" s="5"/>
      <c r="XDA71" s="5"/>
      <c r="XDB71" s="5"/>
      <c r="XDC71" s="5"/>
      <c r="XDD71" s="5"/>
      <c r="XDE71" s="5"/>
      <c r="XDF71" s="5"/>
      <c r="XDG71" s="5"/>
      <c r="XDH71" s="5"/>
      <c r="XDI71" s="5"/>
      <c r="XDJ71" s="5"/>
      <c r="XDK71" s="5"/>
      <c r="XDL71" s="5"/>
      <c r="XDM71" s="5"/>
      <c r="XDN71" s="5"/>
      <c r="XDO71" s="5"/>
      <c r="XDP71" s="5"/>
      <c r="XDQ71" s="5"/>
      <c r="XDR71" s="5"/>
      <c r="XDS71" s="5"/>
      <c r="XDT71" s="5"/>
      <c r="XDU71" s="5"/>
      <c r="XDV71" s="5"/>
      <c r="XDW71" s="5"/>
      <c r="XDX71" s="5"/>
      <c r="XDY71" s="5"/>
      <c r="XDZ71" s="5"/>
      <c r="XEA71" s="5"/>
      <c r="XEB71" s="5"/>
      <c r="XEC71" s="5"/>
      <c r="XED71" s="5"/>
      <c r="XEE71" s="5"/>
      <c r="XEF71" s="5"/>
      <c r="XEG71" s="5"/>
      <c r="XEH71" s="5"/>
      <c r="XEI71" s="5"/>
      <c r="XEJ71" s="5"/>
      <c r="XEK71" s="5"/>
      <c r="XEL71" s="5"/>
      <c r="XEM71" s="5"/>
      <c r="XEN71" s="5"/>
      <c r="XEO71" s="5"/>
      <c r="XEP71" s="5"/>
      <c r="XEQ71" s="5"/>
      <c r="XER71" s="5"/>
      <c r="XES71" s="5"/>
      <c r="XET71" s="5"/>
      <c r="XEU71" s="5"/>
      <c r="XEV71" s="5"/>
      <c r="XEW71" s="5"/>
      <c r="XEX71" s="5"/>
      <c r="XEY71" s="5"/>
      <c r="XEZ71" s="5"/>
      <c r="XFA71" s="5"/>
      <c r="XFB71" s="5"/>
    </row>
    <row r="72" s="1" customFormat="1" ht="16.5" spans="1:6 16247:16382">
      <c r="A72" s="8">
        <v>70</v>
      </c>
      <c r="B72" s="9" t="s">
        <v>76</v>
      </c>
      <c r="C72" s="8">
        <v>4</v>
      </c>
      <c r="D72" s="8">
        <v>2</v>
      </c>
      <c r="E72" s="8">
        <v>16.5</v>
      </c>
      <c r="F72" s="8">
        <v>33</v>
      </c>
      <c r="WZW72"/>
      <c r="WZX72"/>
      <c r="WZY72"/>
      <c r="WZZ72"/>
      <c r="XAA72"/>
      <c r="XAB72"/>
      <c r="XAC72"/>
      <c r="XAD72"/>
      <c r="XAE72"/>
      <c r="XAF72"/>
      <c r="XAG72"/>
      <c r="XAH72"/>
      <c r="XAI72"/>
      <c r="XAJ72"/>
      <c r="XAK72"/>
      <c r="XAL72"/>
      <c r="XAM72"/>
      <c r="XAN72"/>
      <c r="XAO72"/>
      <c r="XAP72"/>
      <c r="XAQ72"/>
      <c r="XAR72"/>
      <c r="XAS72"/>
      <c r="XAT72"/>
      <c r="XAU72"/>
      <c r="XAV72"/>
      <c r="XAW72"/>
      <c r="XAX72"/>
      <c r="XAY72"/>
      <c r="XAZ72"/>
      <c r="XBA72"/>
      <c r="XBB72"/>
      <c r="XBC72"/>
      <c r="XBD72"/>
      <c r="XBE72"/>
      <c r="XBF72"/>
      <c r="XBG72"/>
      <c r="XBH72"/>
      <c r="XBI72"/>
      <c r="XBJ72" s="5"/>
      <c r="XBK72" s="5"/>
      <c r="XBL72" s="5"/>
      <c r="XBM72" s="5"/>
      <c r="XBN72" s="5"/>
      <c r="XBO72" s="5"/>
      <c r="XBP72" s="5"/>
      <c r="XBQ72" s="5"/>
      <c r="XBR72" s="5"/>
      <c r="XBS72" s="5"/>
      <c r="XBT72" s="5"/>
      <c r="XBU72" s="5"/>
      <c r="XBV72" s="5"/>
      <c r="XBW72" s="5"/>
      <c r="XBX72" s="5"/>
      <c r="XBY72" s="5"/>
      <c r="XBZ72" s="5"/>
      <c r="XCA72" s="5"/>
      <c r="XCB72" s="5"/>
      <c r="XCC72" s="5"/>
      <c r="XCD72" s="5"/>
      <c r="XCE72" s="5"/>
      <c r="XCF72" s="5"/>
      <c r="XCG72" s="5"/>
      <c r="XCH72" s="5"/>
      <c r="XCI72" s="5"/>
      <c r="XCJ72" s="5"/>
      <c r="XCK72" s="5"/>
      <c r="XCL72" s="5"/>
      <c r="XCM72" s="5"/>
      <c r="XCN72" s="5"/>
      <c r="XCO72" s="5"/>
      <c r="XCP72" s="5"/>
      <c r="XCQ72" s="5"/>
      <c r="XCR72" s="5"/>
      <c r="XCS72" s="5"/>
      <c r="XCT72" s="5"/>
      <c r="XCU72" s="5"/>
      <c r="XCV72" s="5"/>
      <c r="XCW72" s="5"/>
      <c r="XCX72" s="5"/>
      <c r="XCY72" s="5"/>
      <c r="XCZ72" s="5"/>
      <c r="XDA72" s="5"/>
      <c r="XDB72" s="5"/>
      <c r="XDC72" s="5"/>
      <c r="XDD72" s="5"/>
      <c r="XDE72" s="5"/>
      <c r="XDF72" s="5"/>
      <c r="XDG72" s="5"/>
      <c r="XDH72" s="5"/>
      <c r="XDI72" s="5"/>
      <c r="XDJ72" s="5"/>
      <c r="XDK72" s="5"/>
      <c r="XDL72" s="5"/>
      <c r="XDM72" s="5"/>
      <c r="XDN72" s="5"/>
      <c r="XDO72" s="5"/>
      <c r="XDP72" s="5"/>
      <c r="XDQ72" s="5"/>
      <c r="XDR72" s="5"/>
      <c r="XDS72" s="5"/>
      <c r="XDT72" s="5"/>
      <c r="XDU72" s="5"/>
      <c r="XDV72" s="5"/>
      <c r="XDW72" s="5"/>
      <c r="XDX72" s="5"/>
      <c r="XDY72" s="5"/>
      <c r="XDZ72" s="5"/>
      <c r="XEA72" s="5"/>
      <c r="XEB72" s="5"/>
      <c r="XEC72" s="5"/>
      <c r="XED72" s="5"/>
      <c r="XEE72" s="5"/>
      <c r="XEF72" s="5"/>
      <c r="XEG72" s="5"/>
      <c r="XEH72" s="5"/>
      <c r="XEI72" s="5"/>
      <c r="XEJ72" s="5"/>
      <c r="XEK72" s="5"/>
      <c r="XEL72" s="5"/>
      <c r="XEM72" s="5"/>
      <c r="XEN72" s="5"/>
      <c r="XEO72" s="5"/>
      <c r="XEP72" s="5"/>
      <c r="XEQ72" s="5"/>
      <c r="XER72" s="5"/>
      <c r="XES72" s="5"/>
      <c r="XET72" s="5"/>
      <c r="XEU72" s="5"/>
      <c r="XEV72" s="5"/>
      <c r="XEW72" s="5"/>
      <c r="XEX72" s="5"/>
      <c r="XEY72" s="5"/>
      <c r="XEZ72" s="5"/>
      <c r="XFA72" s="5"/>
      <c r="XFB72" s="5"/>
    </row>
    <row r="73" s="1" customFormat="1" ht="16.5" spans="1:6 16247:16382">
      <c r="A73" s="8">
        <v>71</v>
      </c>
      <c r="B73" s="9" t="s">
        <v>77</v>
      </c>
      <c r="C73" s="8">
        <v>1</v>
      </c>
      <c r="D73" s="8">
        <v>1</v>
      </c>
      <c r="E73" s="8">
        <v>8</v>
      </c>
      <c r="F73" s="8">
        <v>8</v>
      </c>
      <c r="WZW73"/>
      <c r="WZX73"/>
      <c r="WZY73"/>
      <c r="WZZ73"/>
      <c r="XAA73"/>
      <c r="XAB73"/>
      <c r="XAC73"/>
      <c r="XAD73"/>
      <c r="XAE73"/>
      <c r="XAF73"/>
      <c r="XAG73"/>
      <c r="XAH73"/>
      <c r="XAI73"/>
      <c r="XAJ73"/>
      <c r="XAK73"/>
      <c r="XAL73"/>
      <c r="XAM73"/>
      <c r="XAN73"/>
      <c r="XAO73"/>
      <c r="XAP73"/>
      <c r="XAQ73"/>
      <c r="XAR73"/>
      <c r="XAS73"/>
      <c r="XAT73"/>
      <c r="XAU73"/>
      <c r="XAV73"/>
      <c r="XAW73"/>
      <c r="XAX73"/>
      <c r="XAY73"/>
      <c r="XAZ73"/>
      <c r="XBA73"/>
      <c r="XBB73"/>
      <c r="XBC73"/>
      <c r="XBD73"/>
      <c r="XBE73"/>
      <c r="XBF73"/>
      <c r="XBG73"/>
      <c r="XBH73"/>
      <c r="XBI73"/>
      <c r="XBJ73" s="5"/>
      <c r="XBK73" s="5"/>
      <c r="XBL73" s="5"/>
      <c r="XBM73" s="5"/>
      <c r="XBN73" s="5"/>
      <c r="XBO73" s="5"/>
      <c r="XBP73" s="5"/>
      <c r="XBQ73" s="5"/>
      <c r="XBR73" s="5"/>
      <c r="XBS73" s="5"/>
      <c r="XBT73" s="5"/>
      <c r="XBU73" s="5"/>
      <c r="XBV73" s="5"/>
      <c r="XBW73" s="5"/>
      <c r="XBX73" s="5"/>
      <c r="XBY73" s="5"/>
      <c r="XBZ73" s="5"/>
      <c r="XCA73" s="5"/>
      <c r="XCB73" s="5"/>
      <c r="XCC73" s="5"/>
      <c r="XCD73" s="5"/>
      <c r="XCE73" s="5"/>
      <c r="XCF73" s="5"/>
      <c r="XCG73" s="5"/>
      <c r="XCH73" s="5"/>
      <c r="XCI73" s="5"/>
      <c r="XCJ73" s="5"/>
      <c r="XCK73" s="5"/>
      <c r="XCL73" s="5"/>
      <c r="XCM73" s="5"/>
      <c r="XCN73" s="5"/>
      <c r="XCO73" s="5"/>
      <c r="XCP73" s="5"/>
      <c r="XCQ73" s="5"/>
      <c r="XCR73" s="5"/>
      <c r="XCS73" s="5"/>
      <c r="XCT73" s="5"/>
      <c r="XCU73" s="5"/>
      <c r="XCV73" s="5"/>
      <c r="XCW73" s="5"/>
      <c r="XCX73" s="5"/>
      <c r="XCY73" s="5"/>
      <c r="XCZ73" s="5"/>
      <c r="XDA73" s="5"/>
      <c r="XDB73" s="5"/>
      <c r="XDC73" s="5"/>
      <c r="XDD73" s="5"/>
      <c r="XDE73" s="5"/>
      <c r="XDF73" s="5"/>
      <c r="XDG73" s="5"/>
      <c r="XDH73" s="5"/>
      <c r="XDI73" s="5"/>
      <c r="XDJ73" s="5"/>
      <c r="XDK73" s="5"/>
      <c r="XDL73" s="5"/>
      <c r="XDM73" s="5"/>
      <c r="XDN73" s="5"/>
      <c r="XDO73" s="5"/>
      <c r="XDP73" s="5"/>
      <c r="XDQ73" s="5"/>
      <c r="XDR73" s="5"/>
      <c r="XDS73" s="5"/>
      <c r="XDT73" s="5"/>
      <c r="XDU73" s="5"/>
      <c r="XDV73" s="5"/>
      <c r="XDW73" s="5"/>
      <c r="XDX73" s="5"/>
      <c r="XDY73" s="5"/>
      <c r="XDZ73" s="5"/>
      <c r="XEA73" s="5"/>
      <c r="XEB73" s="5"/>
      <c r="XEC73" s="5"/>
      <c r="XED73" s="5"/>
      <c r="XEE73" s="5"/>
      <c r="XEF73" s="5"/>
      <c r="XEG73" s="5"/>
      <c r="XEH73" s="5"/>
      <c r="XEI73" s="5"/>
      <c r="XEJ73" s="5"/>
      <c r="XEK73" s="5"/>
      <c r="XEL73" s="5"/>
      <c r="XEM73" s="5"/>
      <c r="XEN73" s="5"/>
      <c r="XEO73" s="5"/>
      <c r="XEP73" s="5"/>
      <c r="XEQ73" s="5"/>
      <c r="XER73" s="5"/>
      <c r="XES73" s="5"/>
      <c r="XET73" s="5"/>
      <c r="XEU73" s="5"/>
      <c r="XEV73" s="5"/>
      <c r="XEW73" s="5"/>
      <c r="XEX73" s="5"/>
      <c r="XEY73" s="5"/>
      <c r="XEZ73" s="5"/>
      <c r="XFA73" s="5"/>
      <c r="XFB73" s="5"/>
    </row>
    <row r="74" s="1" customFormat="1" ht="16.5" customHeight="1" spans="1:6 16247:16382">
      <c r="A74" s="8">
        <v>72</v>
      </c>
      <c r="B74" s="9" t="s">
        <v>78</v>
      </c>
      <c r="C74" s="8">
        <v>10</v>
      </c>
      <c r="D74" s="8">
        <v>5</v>
      </c>
      <c r="E74" s="8">
        <v>16.5</v>
      </c>
      <c r="F74" s="8">
        <v>82.5</v>
      </c>
      <c r="WZW74"/>
      <c r="WZX74"/>
      <c r="WZY74"/>
      <c r="WZZ74"/>
      <c r="XAA74"/>
      <c r="XAB74"/>
      <c r="XAC74"/>
      <c r="XAD74"/>
      <c r="XAE74"/>
      <c r="XAF74"/>
      <c r="XAG74"/>
      <c r="XAH74"/>
      <c r="XAI74"/>
      <c r="XAJ74"/>
      <c r="XAK74"/>
      <c r="XAL74"/>
      <c r="XAM74"/>
      <c r="XAN74"/>
      <c r="XAO74"/>
      <c r="XAP74"/>
      <c r="XAQ74"/>
      <c r="XAR74"/>
      <c r="XAS74"/>
      <c r="XAT74"/>
      <c r="XAU74"/>
      <c r="XAV74"/>
      <c r="XAW74"/>
      <c r="XAX74"/>
      <c r="XAY74"/>
      <c r="XAZ74"/>
      <c r="XBA74"/>
      <c r="XBB74"/>
      <c r="XBC74"/>
      <c r="XBD74"/>
      <c r="XBE74"/>
      <c r="XBF74"/>
      <c r="XBG74"/>
      <c r="XBH74"/>
      <c r="XBI74"/>
      <c r="XBJ74" s="5"/>
      <c r="XBK74" s="5"/>
      <c r="XBL74" s="5"/>
      <c r="XBM74" s="5"/>
      <c r="XBN74" s="5"/>
      <c r="XBO74" s="5"/>
      <c r="XBP74" s="5"/>
      <c r="XBQ74" s="5"/>
      <c r="XBR74" s="5"/>
      <c r="XBS74" s="5"/>
      <c r="XBT74" s="5"/>
      <c r="XBU74" s="5"/>
      <c r="XBV74" s="5"/>
      <c r="XBW74" s="5"/>
      <c r="XBX74" s="5"/>
      <c r="XBY74" s="5"/>
      <c r="XBZ74" s="5"/>
      <c r="XCA74" s="5"/>
      <c r="XCB74" s="5"/>
      <c r="XCC74" s="5"/>
      <c r="XCD74" s="5"/>
      <c r="XCE74" s="5"/>
      <c r="XCF74" s="5"/>
      <c r="XCG74" s="5"/>
      <c r="XCH74" s="5"/>
      <c r="XCI74" s="5"/>
      <c r="XCJ74" s="5"/>
      <c r="XCK74" s="5"/>
      <c r="XCL74" s="5"/>
      <c r="XCM74" s="5"/>
      <c r="XCN74" s="5"/>
      <c r="XCO74" s="5"/>
      <c r="XCP74" s="5"/>
      <c r="XCQ74" s="5"/>
      <c r="XCR74" s="5"/>
      <c r="XCS74" s="5"/>
      <c r="XCT74" s="5"/>
      <c r="XCU74" s="5"/>
      <c r="XCV74" s="5"/>
      <c r="XCW74" s="5"/>
      <c r="XCX74" s="5"/>
      <c r="XCY74" s="5"/>
      <c r="XCZ74" s="5"/>
      <c r="XDA74" s="5"/>
      <c r="XDB74" s="5"/>
      <c r="XDC74" s="5"/>
      <c r="XDD74" s="5"/>
      <c r="XDE74" s="5"/>
      <c r="XDF74" s="5"/>
      <c r="XDG74" s="5"/>
      <c r="XDH74" s="5"/>
      <c r="XDI74" s="5"/>
      <c r="XDJ74" s="5"/>
      <c r="XDK74" s="5"/>
      <c r="XDL74" s="5"/>
      <c r="XDM74" s="5"/>
      <c r="XDN74" s="5"/>
      <c r="XDO74" s="5"/>
      <c r="XDP74" s="5"/>
      <c r="XDQ74" s="5"/>
      <c r="XDR74" s="5"/>
      <c r="XDS74" s="5"/>
      <c r="XDT74" s="5"/>
      <c r="XDU74" s="5"/>
      <c r="XDV74" s="5"/>
      <c r="XDW74" s="5"/>
      <c r="XDX74" s="5"/>
      <c r="XDY74" s="5"/>
      <c r="XDZ74" s="5"/>
      <c r="XEA74" s="5"/>
      <c r="XEB74" s="5"/>
      <c r="XEC74" s="5"/>
      <c r="XED74" s="5"/>
      <c r="XEE74" s="5"/>
      <c r="XEF74" s="5"/>
      <c r="XEG74" s="5"/>
      <c r="XEH74" s="5"/>
      <c r="XEI74" s="5"/>
      <c r="XEJ74" s="5"/>
      <c r="XEK74" s="5"/>
      <c r="XEL74" s="5"/>
      <c r="XEM74" s="5"/>
      <c r="XEN74" s="5"/>
      <c r="XEO74" s="5"/>
      <c r="XEP74" s="5"/>
      <c r="XEQ74" s="5"/>
      <c r="XER74" s="5"/>
      <c r="XES74" s="5"/>
      <c r="XET74" s="5"/>
      <c r="XEU74" s="5"/>
      <c r="XEV74" s="5"/>
      <c r="XEW74" s="5"/>
      <c r="XEX74" s="5"/>
      <c r="XEY74" s="5"/>
      <c r="XEZ74" s="5"/>
      <c r="XFA74" s="5"/>
      <c r="XFB74" s="5"/>
    </row>
    <row r="75" s="1" customFormat="1" ht="16.5" spans="1:6 16247:16382">
      <c r="A75" s="8">
        <v>73</v>
      </c>
      <c r="B75" s="9" t="s">
        <v>79</v>
      </c>
      <c r="C75" s="8">
        <v>72</v>
      </c>
      <c r="D75" s="8">
        <v>8</v>
      </c>
      <c r="E75" s="8">
        <v>49.5</v>
      </c>
      <c r="F75" s="8">
        <v>396</v>
      </c>
      <c r="WZW75"/>
      <c r="WZX75"/>
      <c r="WZY75"/>
      <c r="WZZ75"/>
      <c r="XAA75"/>
      <c r="XAB75"/>
      <c r="XAC75"/>
      <c r="XAD75"/>
      <c r="XAE75"/>
      <c r="XAF75"/>
      <c r="XAG75"/>
      <c r="XAH75"/>
      <c r="XAI75"/>
      <c r="XAJ75"/>
      <c r="XAK75"/>
      <c r="XAL75"/>
      <c r="XAM75"/>
      <c r="XAN75"/>
      <c r="XAO75"/>
      <c r="XAP75"/>
      <c r="XAQ75"/>
      <c r="XAR75"/>
      <c r="XAS75"/>
      <c r="XAT75"/>
      <c r="XAU75"/>
      <c r="XAV75"/>
      <c r="XAW75"/>
      <c r="XAX75"/>
      <c r="XAY75"/>
      <c r="XAZ75"/>
      <c r="XBA75"/>
      <c r="XBB75"/>
      <c r="XBC75"/>
      <c r="XBD75"/>
      <c r="XBE75"/>
      <c r="XBF75"/>
      <c r="XBG75"/>
      <c r="XBH75"/>
      <c r="XBI75"/>
      <c r="XBJ75" s="5"/>
      <c r="XBK75" s="5"/>
      <c r="XBL75" s="5"/>
      <c r="XBM75" s="5"/>
      <c r="XBN75" s="5"/>
      <c r="XBO75" s="5"/>
      <c r="XBP75" s="5"/>
      <c r="XBQ75" s="5"/>
      <c r="XBR75" s="5"/>
      <c r="XBS75" s="5"/>
      <c r="XBT75" s="5"/>
      <c r="XBU75" s="5"/>
      <c r="XBV75" s="5"/>
      <c r="XBW75" s="5"/>
      <c r="XBX75" s="5"/>
      <c r="XBY75" s="5"/>
      <c r="XBZ75" s="5"/>
      <c r="XCA75" s="5"/>
      <c r="XCB75" s="5"/>
      <c r="XCC75" s="5"/>
      <c r="XCD75" s="5"/>
      <c r="XCE75" s="5"/>
      <c r="XCF75" s="5"/>
      <c r="XCG75" s="5"/>
      <c r="XCH75" s="5"/>
      <c r="XCI75" s="5"/>
      <c r="XCJ75" s="5"/>
      <c r="XCK75" s="5"/>
      <c r="XCL75" s="5"/>
      <c r="XCM75" s="5"/>
      <c r="XCN75" s="5"/>
      <c r="XCO75" s="5"/>
      <c r="XCP75" s="5"/>
      <c r="XCQ75" s="5"/>
      <c r="XCR75" s="5"/>
      <c r="XCS75" s="5"/>
      <c r="XCT75" s="5"/>
      <c r="XCU75" s="5"/>
      <c r="XCV75" s="5"/>
      <c r="XCW75" s="5"/>
      <c r="XCX75" s="5"/>
      <c r="XCY75" s="5"/>
      <c r="XCZ75" s="5"/>
      <c r="XDA75" s="5"/>
      <c r="XDB75" s="5"/>
      <c r="XDC75" s="5"/>
      <c r="XDD75" s="5"/>
      <c r="XDE75" s="5"/>
      <c r="XDF75" s="5"/>
      <c r="XDG75" s="5"/>
      <c r="XDH75" s="5"/>
      <c r="XDI75" s="5"/>
      <c r="XDJ75" s="5"/>
      <c r="XDK75" s="5"/>
      <c r="XDL75" s="5"/>
      <c r="XDM75" s="5"/>
      <c r="XDN75" s="5"/>
      <c r="XDO75" s="5"/>
      <c r="XDP75" s="5"/>
      <c r="XDQ75" s="5"/>
      <c r="XDR75" s="5"/>
      <c r="XDS75" s="5"/>
      <c r="XDT75" s="5"/>
      <c r="XDU75" s="5"/>
      <c r="XDV75" s="5"/>
      <c r="XDW75" s="5"/>
      <c r="XDX75" s="5"/>
      <c r="XDY75" s="5"/>
      <c r="XDZ75" s="5"/>
      <c r="XEA75" s="5"/>
      <c r="XEB75" s="5"/>
      <c r="XEC75" s="5"/>
      <c r="XED75" s="5"/>
      <c r="XEE75" s="5"/>
      <c r="XEF75" s="5"/>
      <c r="XEG75" s="5"/>
      <c r="XEH75" s="5"/>
      <c r="XEI75" s="5"/>
      <c r="XEJ75" s="5"/>
      <c r="XEK75" s="5"/>
      <c r="XEL75" s="5"/>
      <c r="XEM75" s="5"/>
      <c r="XEN75" s="5"/>
      <c r="XEO75" s="5"/>
      <c r="XEP75" s="5"/>
      <c r="XEQ75" s="5"/>
      <c r="XER75" s="5"/>
      <c r="XES75" s="5"/>
      <c r="XET75" s="5"/>
      <c r="XEU75" s="5"/>
      <c r="XEV75" s="5"/>
      <c r="XEW75" s="5"/>
      <c r="XEX75" s="5"/>
      <c r="XEY75" s="5"/>
      <c r="XEZ75" s="5"/>
      <c r="XFA75" s="5"/>
      <c r="XFB75" s="5"/>
    </row>
    <row r="76" s="1" customFormat="1" ht="16.5" spans="1:6 16247:16382">
      <c r="A76" s="8">
        <v>74</v>
      </c>
      <c r="B76" s="9" t="s">
        <v>80</v>
      </c>
      <c r="C76" s="8">
        <v>8</v>
      </c>
      <c r="D76" s="8">
        <v>1</v>
      </c>
      <c r="E76" s="8">
        <v>44</v>
      </c>
      <c r="F76" s="8">
        <v>44</v>
      </c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 s="5"/>
      <c r="XBK76" s="5"/>
      <c r="XBL76" s="5"/>
      <c r="XBM76" s="5"/>
      <c r="XBN76" s="5"/>
      <c r="XBO76" s="5"/>
      <c r="XBP76" s="5"/>
      <c r="XBQ76" s="5"/>
      <c r="XBR76" s="5"/>
      <c r="XBS76" s="5"/>
      <c r="XBT76" s="5"/>
      <c r="XBU76" s="5"/>
      <c r="XBV76" s="5"/>
      <c r="XBW76" s="5"/>
      <c r="XBX76" s="5"/>
      <c r="XBY76" s="5"/>
      <c r="XBZ76" s="5"/>
      <c r="XCA76" s="5"/>
      <c r="XCB76" s="5"/>
      <c r="XCC76" s="5"/>
      <c r="XCD76" s="5"/>
      <c r="XCE76" s="5"/>
      <c r="XCF76" s="5"/>
      <c r="XCG76" s="5"/>
      <c r="XCH76" s="5"/>
      <c r="XCI76" s="5"/>
      <c r="XCJ76" s="5"/>
      <c r="XCK76" s="5"/>
      <c r="XCL76" s="5"/>
      <c r="XCM76" s="5"/>
      <c r="XCN76" s="5"/>
      <c r="XCO76" s="5"/>
      <c r="XCP76" s="5"/>
      <c r="XCQ76" s="5"/>
      <c r="XCR76" s="5"/>
      <c r="XCS76" s="5"/>
      <c r="XCT76" s="5"/>
      <c r="XCU76" s="5"/>
      <c r="XCV76" s="5"/>
      <c r="XCW76" s="5"/>
      <c r="XCX76" s="5"/>
      <c r="XCY76" s="5"/>
      <c r="XCZ76" s="5"/>
      <c r="XDA76" s="5"/>
      <c r="XDB76" s="5"/>
      <c r="XDC76" s="5"/>
      <c r="XDD76" s="5"/>
      <c r="XDE76" s="5"/>
      <c r="XDF76" s="5"/>
      <c r="XDG76" s="5"/>
      <c r="XDH76" s="5"/>
      <c r="XDI76" s="5"/>
      <c r="XDJ76" s="5"/>
      <c r="XDK76" s="5"/>
      <c r="XDL76" s="5"/>
      <c r="XDM76" s="5"/>
      <c r="XDN76" s="5"/>
      <c r="XDO76" s="5"/>
      <c r="XDP76" s="5"/>
      <c r="XDQ76" s="5"/>
      <c r="XDR76" s="5"/>
      <c r="XDS76" s="5"/>
      <c r="XDT76" s="5"/>
      <c r="XDU76" s="5"/>
      <c r="XDV76" s="5"/>
      <c r="XDW76" s="5"/>
      <c r="XDX76" s="5"/>
      <c r="XDY76" s="5"/>
      <c r="XDZ76" s="5"/>
      <c r="XEA76" s="5"/>
      <c r="XEB76" s="5"/>
      <c r="XEC76" s="5"/>
      <c r="XED76" s="5"/>
      <c r="XEE76" s="5"/>
      <c r="XEF76" s="5"/>
      <c r="XEG76" s="5"/>
      <c r="XEH76" s="5"/>
      <c r="XEI76" s="5"/>
      <c r="XEJ76" s="5"/>
      <c r="XEK76" s="5"/>
      <c r="XEL76" s="5"/>
      <c r="XEM76" s="5"/>
      <c r="XEN76" s="5"/>
      <c r="XEO76" s="5"/>
      <c r="XEP76" s="5"/>
      <c r="XEQ76" s="5"/>
      <c r="XER76" s="5"/>
      <c r="XES76" s="5"/>
      <c r="XET76" s="5"/>
      <c r="XEU76" s="5"/>
      <c r="XEV76" s="5"/>
      <c r="XEW76" s="5"/>
      <c r="XEX76" s="5"/>
      <c r="XEY76" s="5"/>
      <c r="XEZ76" s="5"/>
      <c r="XFA76" s="5"/>
      <c r="XFB76" s="5"/>
    </row>
    <row r="77" s="1" customFormat="1" ht="16.5" spans="1:6 16247:16382">
      <c r="A77" s="8">
        <v>75</v>
      </c>
      <c r="B77" s="9" t="s">
        <v>81</v>
      </c>
      <c r="C77" s="8">
        <v>7</v>
      </c>
      <c r="D77" s="8">
        <v>1</v>
      </c>
      <c r="E77" s="8">
        <v>38.5</v>
      </c>
      <c r="F77" s="8">
        <v>38.5</v>
      </c>
      <c r="WZW77"/>
      <c r="WZX77"/>
      <c r="WZY77"/>
      <c r="WZZ77"/>
      <c r="XAA77"/>
      <c r="XAB77"/>
      <c r="XAC77"/>
      <c r="XAD77"/>
      <c r="XAE77"/>
      <c r="XAF77"/>
      <c r="XAG77"/>
      <c r="XAH77"/>
      <c r="XAI77"/>
      <c r="XAJ77"/>
      <c r="XAK77"/>
      <c r="XAL77"/>
      <c r="XAM77"/>
      <c r="XAN77"/>
      <c r="XAO77"/>
      <c r="XAP77"/>
      <c r="XAQ77"/>
      <c r="XAR77"/>
      <c r="XAS77"/>
      <c r="XAT77"/>
      <c r="XAU77"/>
      <c r="XAV77"/>
      <c r="XAW77"/>
      <c r="XAX77"/>
      <c r="XAY77"/>
      <c r="XAZ77"/>
      <c r="XBA77"/>
      <c r="XBB77"/>
      <c r="XBC77"/>
      <c r="XBD77"/>
      <c r="XBE77"/>
      <c r="XBF77"/>
      <c r="XBG77"/>
      <c r="XBH77"/>
      <c r="XBI77"/>
      <c r="XBJ77" s="5"/>
      <c r="XBK77" s="5"/>
      <c r="XBL77" s="5"/>
      <c r="XBM77" s="5"/>
      <c r="XBN77" s="5"/>
      <c r="XBO77" s="5"/>
      <c r="XBP77" s="5"/>
      <c r="XBQ77" s="5"/>
      <c r="XBR77" s="5"/>
      <c r="XBS77" s="5"/>
      <c r="XBT77" s="5"/>
      <c r="XBU77" s="5"/>
      <c r="XBV77" s="5"/>
      <c r="XBW77" s="5"/>
      <c r="XBX77" s="5"/>
      <c r="XBY77" s="5"/>
      <c r="XBZ77" s="5"/>
      <c r="XCA77" s="5"/>
      <c r="XCB77" s="5"/>
      <c r="XCC77" s="5"/>
      <c r="XCD77" s="5"/>
      <c r="XCE77" s="5"/>
      <c r="XCF77" s="5"/>
      <c r="XCG77" s="5"/>
      <c r="XCH77" s="5"/>
      <c r="XCI77" s="5"/>
      <c r="XCJ77" s="5"/>
      <c r="XCK77" s="5"/>
      <c r="XCL77" s="5"/>
      <c r="XCM77" s="5"/>
      <c r="XCN77" s="5"/>
      <c r="XCO77" s="5"/>
      <c r="XCP77" s="5"/>
      <c r="XCQ77" s="5"/>
      <c r="XCR77" s="5"/>
      <c r="XCS77" s="5"/>
      <c r="XCT77" s="5"/>
      <c r="XCU77" s="5"/>
      <c r="XCV77" s="5"/>
      <c r="XCW77" s="5"/>
      <c r="XCX77" s="5"/>
      <c r="XCY77" s="5"/>
      <c r="XCZ77" s="5"/>
      <c r="XDA77" s="5"/>
      <c r="XDB77" s="5"/>
      <c r="XDC77" s="5"/>
      <c r="XDD77" s="5"/>
      <c r="XDE77" s="5"/>
      <c r="XDF77" s="5"/>
      <c r="XDG77" s="5"/>
      <c r="XDH77" s="5"/>
      <c r="XDI77" s="5"/>
      <c r="XDJ77" s="5"/>
      <c r="XDK77" s="5"/>
      <c r="XDL77" s="5"/>
      <c r="XDM77" s="5"/>
      <c r="XDN77" s="5"/>
      <c r="XDO77" s="5"/>
      <c r="XDP77" s="5"/>
      <c r="XDQ77" s="5"/>
      <c r="XDR77" s="5"/>
      <c r="XDS77" s="5"/>
      <c r="XDT77" s="5"/>
      <c r="XDU77" s="5"/>
      <c r="XDV77" s="5"/>
      <c r="XDW77" s="5"/>
      <c r="XDX77" s="5"/>
      <c r="XDY77" s="5"/>
      <c r="XDZ77" s="5"/>
      <c r="XEA77" s="5"/>
      <c r="XEB77" s="5"/>
      <c r="XEC77" s="5"/>
      <c r="XED77" s="5"/>
      <c r="XEE77" s="5"/>
      <c r="XEF77" s="5"/>
      <c r="XEG77" s="5"/>
      <c r="XEH77" s="5"/>
      <c r="XEI77" s="5"/>
      <c r="XEJ77" s="5"/>
      <c r="XEK77" s="5"/>
      <c r="XEL77" s="5"/>
      <c r="XEM77" s="5"/>
      <c r="XEN77" s="5"/>
      <c r="XEO77" s="5"/>
      <c r="XEP77" s="5"/>
      <c r="XEQ77" s="5"/>
      <c r="XER77" s="5"/>
      <c r="XES77" s="5"/>
      <c r="XET77" s="5"/>
      <c r="XEU77" s="5"/>
      <c r="XEV77" s="5"/>
      <c r="XEW77" s="5"/>
      <c r="XEX77" s="5"/>
      <c r="XEY77" s="5"/>
      <c r="XEZ77" s="5"/>
      <c r="XFA77" s="5"/>
      <c r="XFB77" s="5"/>
    </row>
    <row r="78" s="1" customFormat="1" ht="16.5" spans="1:6 16247:16382">
      <c r="A78" s="8">
        <v>76</v>
      </c>
      <c r="B78" s="9" t="s">
        <v>82</v>
      </c>
      <c r="C78" s="8">
        <v>174</v>
      </c>
      <c r="D78" s="8">
        <v>29</v>
      </c>
      <c r="E78" s="8">
        <v>33</v>
      </c>
      <c r="F78" s="8">
        <v>957</v>
      </c>
      <c r="WZW78"/>
      <c r="WZX78"/>
      <c r="WZY78"/>
      <c r="WZZ78"/>
      <c r="XAA78"/>
      <c r="XAB78"/>
      <c r="XAC78"/>
      <c r="XAD78"/>
      <c r="XAE78"/>
      <c r="XAF78"/>
      <c r="XAG78"/>
      <c r="XAH78"/>
      <c r="XAI78"/>
      <c r="XAJ78"/>
      <c r="XAK78"/>
      <c r="XAL78"/>
      <c r="XAM78"/>
      <c r="XAN78"/>
      <c r="XAO78"/>
      <c r="XAP78"/>
      <c r="XAQ78"/>
      <c r="XAR78"/>
      <c r="XAS78"/>
      <c r="XAT78"/>
      <c r="XAU78"/>
      <c r="XAV78"/>
      <c r="XAW78"/>
      <c r="XAX78"/>
      <c r="XAY78"/>
      <c r="XAZ78"/>
      <c r="XBA78"/>
      <c r="XBB78"/>
      <c r="XBC78"/>
      <c r="XBD78"/>
      <c r="XBE78"/>
      <c r="XBF78"/>
      <c r="XBG78"/>
      <c r="XBH78"/>
      <c r="XBI78"/>
      <c r="XBJ78" s="5"/>
      <c r="XBK78" s="5"/>
      <c r="XBL78" s="5"/>
      <c r="XBM78" s="5"/>
      <c r="XBN78" s="5"/>
      <c r="XBO78" s="5"/>
      <c r="XBP78" s="5"/>
      <c r="XBQ78" s="5"/>
      <c r="XBR78" s="5"/>
      <c r="XBS78" s="5"/>
      <c r="XBT78" s="5"/>
      <c r="XBU78" s="5"/>
      <c r="XBV78" s="5"/>
      <c r="XBW78" s="5"/>
      <c r="XBX78" s="5"/>
      <c r="XBY78" s="5"/>
      <c r="XBZ78" s="5"/>
      <c r="XCA78" s="5"/>
      <c r="XCB78" s="5"/>
      <c r="XCC78" s="5"/>
      <c r="XCD78" s="5"/>
      <c r="XCE78" s="5"/>
      <c r="XCF78" s="5"/>
      <c r="XCG78" s="5"/>
      <c r="XCH78" s="5"/>
      <c r="XCI78" s="5"/>
      <c r="XCJ78" s="5"/>
      <c r="XCK78" s="5"/>
      <c r="XCL78" s="5"/>
      <c r="XCM78" s="5"/>
      <c r="XCN78" s="5"/>
      <c r="XCO78" s="5"/>
      <c r="XCP78" s="5"/>
      <c r="XCQ78" s="5"/>
      <c r="XCR78" s="5"/>
      <c r="XCS78" s="5"/>
      <c r="XCT78" s="5"/>
      <c r="XCU78" s="5"/>
      <c r="XCV78" s="5"/>
      <c r="XCW78" s="5"/>
      <c r="XCX78" s="5"/>
      <c r="XCY78" s="5"/>
      <c r="XCZ78" s="5"/>
      <c r="XDA78" s="5"/>
      <c r="XDB78" s="5"/>
      <c r="XDC78" s="5"/>
      <c r="XDD78" s="5"/>
      <c r="XDE78" s="5"/>
      <c r="XDF78" s="5"/>
      <c r="XDG78" s="5"/>
      <c r="XDH78" s="5"/>
      <c r="XDI78" s="5"/>
      <c r="XDJ78" s="5"/>
      <c r="XDK78" s="5"/>
      <c r="XDL78" s="5"/>
      <c r="XDM78" s="5"/>
      <c r="XDN78" s="5"/>
      <c r="XDO78" s="5"/>
      <c r="XDP78" s="5"/>
      <c r="XDQ78" s="5"/>
      <c r="XDR78" s="5"/>
      <c r="XDS78" s="5"/>
      <c r="XDT78" s="5"/>
      <c r="XDU78" s="5"/>
      <c r="XDV78" s="5"/>
      <c r="XDW78" s="5"/>
      <c r="XDX78" s="5"/>
      <c r="XDY78" s="5"/>
      <c r="XDZ78" s="5"/>
      <c r="XEA78" s="5"/>
      <c r="XEB78" s="5"/>
      <c r="XEC78" s="5"/>
      <c r="XED78" s="5"/>
      <c r="XEE78" s="5"/>
      <c r="XEF78" s="5"/>
      <c r="XEG78" s="5"/>
      <c r="XEH78" s="5"/>
      <c r="XEI78" s="5"/>
      <c r="XEJ78" s="5"/>
      <c r="XEK78" s="5"/>
      <c r="XEL78" s="5"/>
      <c r="XEM78" s="5"/>
      <c r="XEN78" s="5"/>
      <c r="XEO78" s="5"/>
      <c r="XEP78" s="5"/>
      <c r="XEQ78" s="5"/>
      <c r="XER78" s="5"/>
      <c r="XES78" s="5"/>
      <c r="XET78" s="5"/>
      <c r="XEU78" s="5"/>
      <c r="XEV78" s="5"/>
      <c r="XEW78" s="5"/>
      <c r="XEX78" s="5"/>
      <c r="XEY78" s="5"/>
      <c r="XEZ78" s="5"/>
      <c r="XFA78" s="5"/>
      <c r="XFB78" s="5"/>
    </row>
    <row r="79" s="1" customFormat="1" ht="16.5" spans="1:6 16247:16382">
      <c r="A79" s="8">
        <v>77</v>
      </c>
      <c r="B79" s="9" t="s">
        <v>83</v>
      </c>
      <c r="C79" s="8">
        <v>4</v>
      </c>
      <c r="D79" s="8">
        <v>1</v>
      </c>
      <c r="E79" s="8">
        <v>22</v>
      </c>
      <c r="F79" s="8">
        <v>22</v>
      </c>
      <c r="WZW79"/>
      <c r="WZX79"/>
      <c r="WZY79"/>
      <c r="WZZ79"/>
      <c r="XAA79"/>
      <c r="XAB79"/>
      <c r="XAC79"/>
      <c r="XAD79"/>
      <c r="XAE79"/>
      <c r="XAF79"/>
      <c r="XAG79"/>
      <c r="XAH79"/>
      <c r="XAI79"/>
      <c r="XAJ79"/>
      <c r="XAK79"/>
      <c r="XAL79"/>
      <c r="XAM79"/>
      <c r="XAN79"/>
      <c r="XAO79"/>
      <c r="XAP79"/>
      <c r="XAQ79"/>
      <c r="XAR79"/>
      <c r="XAS79"/>
      <c r="XAT79"/>
      <c r="XAU79"/>
      <c r="XAV79"/>
      <c r="XAW79"/>
      <c r="XAX79"/>
      <c r="XAY79"/>
      <c r="XAZ79"/>
      <c r="XBA79"/>
      <c r="XBB79"/>
      <c r="XBC79"/>
      <c r="XBD79"/>
      <c r="XBE79"/>
      <c r="XBF79"/>
      <c r="XBG79"/>
      <c r="XBH79"/>
      <c r="XBI79"/>
      <c r="XBJ79" s="5"/>
      <c r="XBK79" s="5"/>
      <c r="XBL79" s="5"/>
      <c r="XBM79" s="5"/>
      <c r="XBN79" s="5"/>
      <c r="XBO79" s="5"/>
      <c r="XBP79" s="5"/>
      <c r="XBQ79" s="5"/>
      <c r="XBR79" s="5"/>
      <c r="XBS79" s="5"/>
      <c r="XBT79" s="5"/>
      <c r="XBU79" s="5"/>
      <c r="XBV79" s="5"/>
      <c r="XBW79" s="5"/>
      <c r="XBX79" s="5"/>
      <c r="XBY79" s="5"/>
      <c r="XBZ79" s="5"/>
      <c r="XCA79" s="5"/>
      <c r="XCB79" s="5"/>
      <c r="XCC79" s="5"/>
      <c r="XCD79" s="5"/>
      <c r="XCE79" s="5"/>
      <c r="XCF79" s="5"/>
      <c r="XCG79" s="5"/>
      <c r="XCH79" s="5"/>
      <c r="XCI79" s="5"/>
      <c r="XCJ79" s="5"/>
      <c r="XCK79" s="5"/>
      <c r="XCL79" s="5"/>
      <c r="XCM79" s="5"/>
      <c r="XCN79" s="5"/>
      <c r="XCO79" s="5"/>
      <c r="XCP79" s="5"/>
      <c r="XCQ79" s="5"/>
      <c r="XCR79" s="5"/>
      <c r="XCS79" s="5"/>
      <c r="XCT79" s="5"/>
      <c r="XCU79" s="5"/>
      <c r="XCV79" s="5"/>
      <c r="XCW79" s="5"/>
      <c r="XCX79" s="5"/>
      <c r="XCY79" s="5"/>
      <c r="XCZ79" s="5"/>
      <c r="XDA79" s="5"/>
      <c r="XDB79" s="5"/>
      <c r="XDC79" s="5"/>
      <c r="XDD79" s="5"/>
      <c r="XDE79" s="5"/>
      <c r="XDF79" s="5"/>
      <c r="XDG79" s="5"/>
      <c r="XDH79" s="5"/>
      <c r="XDI79" s="5"/>
      <c r="XDJ79" s="5"/>
      <c r="XDK79" s="5"/>
      <c r="XDL79" s="5"/>
      <c r="XDM79" s="5"/>
      <c r="XDN79" s="5"/>
      <c r="XDO79" s="5"/>
      <c r="XDP79" s="5"/>
      <c r="XDQ79" s="5"/>
      <c r="XDR79" s="5"/>
      <c r="XDS79" s="5"/>
      <c r="XDT79" s="5"/>
      <c r="XDU79" s="5"/>
      <c r="XDV79" s="5"/>
      <c r="XDW79" s="5"/>
      <c r="XDX79" s="5"/>
      <c r="XDY79" s="5"/>
      <c r="XDZ79" s="5"/>
      <c r="XEA79" s="5"/>
      <c r="XEB79" s="5"/>
      <c r="XEC79" s="5"/>
      <c r="XED79" s="5"/>
      <c r="XEE79" s="5"/>
      <c r="XEF79" s="5"/>
      <c r="XEG79" s="5"/>
      <c r="XEH79" s="5"/>
      <c r="XEI79" s="5"/>
      <c r="XEJ79" s="5"/>
      <c r="XEK79" s="5"/>
      <c r="XEL79" s="5"/>
      <c r="XEM79" s="5"/>
      <c r="XEN79" s="5"/>
      <c r="XEO79" s="5"/>
      <c r="XEP79" s="5"/>
      <c r="XEQ79" s="5"/>
      <c r="XER79" s="5"/>
      <c r="XES79" s="5"/>
      <c r="XET79" s="5"/>
      <c r="XEU79" s="5"/>
      <c r="XEV79" s="5"/>
      <c r="XEW79" s="5"/>
      <c r="XEX79" s="5"/>
      <c r="XEY79" s="5"/>
      <c r="XEZ79" s="5"/>
      <c r="XFA79" s="5"/>
      <c r="XFB79" s="5"/>
    </row>
    <row r="80" s="1" customFormat="1" ht="16.5" spans="1:6 16247:16382">
      <c r="A80" s="8">
        <v>78</v>
      </c>
      <c r="B80" s="9" t="s">
        <v>84</v>
      </c>
      <c r="C80" s="8">
        <v>2</v>
      </c>
      <c r="D80" s="8">
        <v>1</v>
      </c>
      <c r="E80" s="8">
        <v>16.5</v>
      </c>
      <c r="F80" s="8">
        <v>16.5</v>
      </c>
      <c r="WZW80"/>
      <c r="WZX80"/>
      <c r="WZY80"/>
      <c r="WZZ80"/>
      <c r="XAA80"/>
      <c r="XAB80"/>
      <c r="XAC80"/>
      <c r="XAD80"/>
      <c r="XAE80"/>
      <c r="XAF80"/>
      <c r="XAG80"/>
      <c r="XAH80"/>
      <c r="XAI80"/>
      <c r="XAJ80"/>
      <c r="XAK80"/>
      <c r="XAL80"/>
      <c r="XAM80"/>
      <c r="XAN80"/>
      <c r="XAO80"/>
      <c r="XAP80"/>
      <c r="XAQ80"/>
      <c r="XAR80"/>
      <c r="XAS80"/>
      <c r="XAT80"/>
      <c r="XAU80"/>
      <c r="XAV80"/>
      <c r="XAW80"/>
      <c r="XAX80"/>
      <c r="XAY80"/>
      <c r="XAZ80"/>
      <c r="XBA80"/>
      <c r="XBB80"/>
      <c r="XBC80"/>
      <c r="XBD80"/>
      <c r="XBE80"/>
      <c r="XBF80"/>
      <c r="XBG80"/>
      <c r="XBH80"/>
      <c r="XBI80"/>
      <c r="XBJ80" s="5"/>
      <c r="XBK80" s="5"/>
      <c r="XBL80" s="5"/>
      <c r="XBM80" s="5"/>
      <c r="XBN80" s="5"/>
      <c r="XBO80" s="5"/>
      <c r="XBP80" s="5"/>
      <c r="XBQ80" s="5"/>
      <c r="XBR80" s="5"/>
      <c r="XBS80" s="5"/>
      <c r="XBT80" s="5"/>
      <c r="XBU80" s="5"/>
      <c r="XBV80" s="5"/>
      <c r="XBW80" s="5"/>
      <c r="XBX80" s="5"/>
      <c r="XBY80" s="5"/>
      <c r="XBZ80" s="5"/>
      <c r="XCA80" s="5"/>
      <c r="XCB80" s="5"/>
      <c r="XCC80" s="5"/>
      <c r="XCD80" s="5"/>
      <c r="XCE80" s="5"/>
      <c r="XCF80" s="5"/>
      <c r="XCG80" s="5"/>
      <c r="XCH80" s="5"/>
      <c r="XCI80" s="5"/>
      <c r="XCJ80" s="5"/>
      <c r="XCK80" s="5"/>
      <c r="XCL80" s="5"/>
      <c r="XCM80" s="5"/>
      <c r="XCN80" s="5"/>
      <c r="XCO80" s="5"/>
      <c r="XCP80" s="5"/>
      <c r="XCQ80" s="5"/>
      <c r="XCR80" s="5"/>
      <c r="XCS80" s="5"/>
      <c r="XCT80" s="5"/>
      <c r="XCU80" s="5"/>
      <c r="XCV80" s="5"/>
      <c r="XCW80" s="5"/>
      <c r="XCX80" s="5"/>
      <c r="XCY80" s="5"/>
      <c r="XCZ80" s="5"/>
      <c r="XDA80" s="5"/>
      <c r="XDB80" s="5"/>
      <c r="XDC80" s="5"/>
      <c r="XDD80" s="5"/>
      <c r="XDE80" s="5"/>
      <c r="XDF80" s="5"/>
      <c r="XDG80" s="5"/>
      <c r="XDH80" s="5"/>
      <c r="XDI80" s="5"/>
      <c r="XDJ80" s="5"/>
      <c r="XDK80" s="5"/>
      <c r="XDL80" s="5"/>
      <c r="XDM80" s="5"/>
      <c r="XDN80" s="5"/>
      <c r="XDO80" s="5"/>
      <c r="XDP80" s="5"/>
      <c r="XDQ80" s="5"/>
      <c r="XDR80" s="5"/>
      <c r="XDS80" s="5"/>
      <c r="XDT80" s="5"/>
      <c r="XDU80" s="5"/>
      <c r="XDV80" s="5"/>
      <c r="XDW80" s="5"/>
      <c r="XDX80" s="5"/>
      <c r="XDY80" s="5"/>
      <c r="XDZ80" s="5"/>
      <c r="XEA80" s="5"/>
      <c r="XEB80" s="5"/>
      <c r="XEC80" s="5"/>
      <c r="XED80" s="5"/>
      <c r="XEE80" s="5"/>
      <c r="XEF80" s="5"/>
      <c r="XEG80" s="5"/>
      <c r="XEH80" s="5"/>
      <c r="XEI80" s="5"/>
      <c r="XEJ80" s="5"/>
      <c r="XEK80" s="5"/>
      <c r="XEL80" s="5"/>
      <c r="XEM80" s="5"/>
      <c r="XEN80" s="5"/>
      <c r="XEO80" s="5"/>
      <c r="XEP80" s="5"/>
      <c r="XEQ80" s="5"/>
      <c r="XER80" s="5"/>
      <c r="XES80" s="5"/>
      <c r="XET80" s="5"/>
      <c r="XEU80" s="5"/>
      <c r="XEV80" s="5"/>
      <c r="XEW80" s="5"/>
      <c r="XEX80" s="5"/>
      <c r="XEY80" s="5"/>
      <c r="XEZ80" s="5"/>
      <c r="XFA80" s="5"/>
      <c r="XFB80" s="5"/>
    </row>
    <row r="81" s="1" customFormat="1" ht="16.5" spans="1:6 16247:16382">
      <c r="A81" s="8">
        <v>79</v>
      </c>
      <c r="B81" s="9" t="s">
        <v>85</v>
      </c>
      <c r="C81" s="8">
        <v>112</v>
      </c>
      <c r="D81" s="8">
        <v>56</v>
      </c>
      <c r="E81" s="8">
        <v>16.5</v>
      </c>
      <c r="F81" s="8">
        <v>924</v>
      </c>
      <c r="WZW81"/>
      <c r="WZX81"/>
      <c r="WZY81"/>
      <c r="WZZ81"/>
      <c r="XAA81"/>
      <c r="XAB81"/>
      <c r="XAC81"/>
      <c r="XAD81"/>
      <c r="XAE81"/>
      <c r="XAF81"/>
      <c r="XAG81"/>
      <c r="XAH81"/>
      <c r="XAI81"/>
      <c r="XAJ81"/>
      <c r="XAK81"/>
      <c r="XAL81"/>
      <c r="XAM81"/>
      <c r="XAN81"/>
      <c r="XAO81"/>
      <c r="XAP81"/>
      <c r="XAQ81"/>
      <c r="XAR81"/>
      <c r="XAS81"/>
      <c r="XAT81"/>
      <c r="XAU81"/>
      <c r="XAV81"/>
      <c r="XAW81"/>
      <c r="XAX81"/>
      <c r="XAY81"/>
      <c r="XAZ81"/>
      <c r="XBA81"/>
      <c r="XBB81"/>
      <c r="XBC81"/>
      <c r="XBD81"/>
      <c r="XBE81"/>
      <c r="XBF81"/>
      <c r="XBG81"/>
      <c r="XBH81"/>
      <c r="XBI81"/>
      <c r="XBJ81" s="5"/>
      <c r="XBK81" s="5"/>
      <c r="XBL81" s="5"/>
      <c r="XBM81" s="5"/>
      <c r="XBN81" s="5"/>
      <c r="XBO81" s="5"/>
      <c r="XBP81" s="5"/>
      <c r="XBQ81" s="5"/>
      <c r="XBR81" s="5"/>
      <c r="XBS81" s="5"/>
      <c r="XBT81" s="5"/>
      <c r="XBU81" s="5"/>
      <c r="XBV81" s="5"/>
      <c r="XBW81" s="5"/>
      <c r="XBX81" s="5"/>
      <c r="XBY81" s="5"/>
      <c r="XBZ81" s="5"/>
      <c r="XCA81" s="5"/>
      <c r="XCB81" s="5"/>
      <c r="XCC81" s="5"/>
      <c r="XCD81" s="5"/>
      <c r="XCE81" s="5"/>
      <c r="XCF81" s="5"/>
      <c r="XCG81" s="5"/>
      <c r="XCH81" s="5"/>
      <c r="XCI81" s="5"/>
      <c r="XCJ81" s="5"/>
      <c r="XCK81" s="5"/>
      <c r="XCL81" s="5"/>
      <c r="XCM81" s="5"/>
      <c r="XCN81" s="5"/>
      <c r="XCO81" s="5"/>
      <c r="XCP81" s="5"/>
      <c r="XCQ81" s="5"/>
      <c r="XCR81" s="5"/>
      <c r="XCS81" s="5"/>
      <c r="XCT81" s="5"/>
      <c r="XCU81" s="5"/>
      <c r="XCV81" s="5"/>
      <c r="XCW81" s="5"/>
      <c r="XCX81" s="5"/>
      <c r="XCY81" s="5"/>
      <c r="XCZ81" s="5"/>
      <c r="XDA81" s="5"/>
      <c r="XDB81" s="5"/>
      <c r="XDC81" s="5"/>
      <c r="XDD81" s="5"/>
      <c r="XDE81" s="5"/>
      <c r="XDF81" s="5"/>
      <c r="XDG81" s="5"/>
      <c r="XDH81" s="5"/>
      <c r="XDI81" s="5"/>
      <c r="XDJ81" s="5"/>
      <c r="XDK81" s="5"/>
      <c r="XDL81" s="5"/>
      <c r="XDM81" s="5"/>
      <c r="XDN81" s="5"/>
      <c r="XDO81" s="5"/>
      <c r="XDP81" s="5"/>
      <c r="XDQ81" s="5"/>
      <c r="XDR81" s="5"/>
      <c r="XDS81" s="5"/>
      <c r="XDT81" s="5"/>
      <c r="XDU81" s="5"/>
      <c r="XDV81" s="5"/>
      <c r="XDW81" s="5"/>
      <c r="XDX81" s="5"/>
      <c r="XDY81" s="5"/>
      <c r="XDZ81" s="5"/>
      <c r="XEA81" s="5"/>
      <c r="XEB81" s="5"/>
      <c r="XEC81" s="5"/>
      <c r="XED81" s="5"/>
      <c r="XEE81" s="5"/>
      <c r="XEF81" s="5"/>
      <c r="XEG81" s="5"/>
      <c r="XEH81" s="5"/>
      <c r="XEI81" s="5"/>
      <c r="XEJ81" s="5"/>
      <c r="XEK81" s="5"/>
      <c r="XEL81" s="5"/>
      <c r="XEM81" s="5"/>
      <c r="XEN81" s="5"/>
      <c r="XEO81" s="5"/>
      <c r="XEP81" s="5"/>
      <c r="XEQ81" s="5"/>
      <c r="XER81" s="5"/>
      <c r="XES81" s="5"/>
      <c r="XET81" s="5"/>
      <c r="XEU81" s="5"/>
      <c r="XEV81" s="5"/>
      <c r="XEW81" s="5"/>
      <c r="XEX81" s="5"/>
      <c r="XEY81" s="5"/>
      <c r="XEZ81" s="5"/>
      <c r="XFA81" s="5"/>
      <c r="XFB81" s="5"/>
    </row>
    <row r="82" s="1" customFormat="1" ht="16.5" spans="1:6 16247:16382">
      <c r="A82" s="8">
        <v>80</v>
      </c>
      <c r="B82" s="9" t="s">
        <v>86</v>
      </c>
      <c r="C82" s="8">
        <v>57</v>
      </c>
      <c r="D82" s="8">
        <v>57</v>
      </c>
      <c r="E82" s="8">
        <v>16.5</v>
      </c>
      <c r="F82" s="8">
        <v>940.5</v>
      </c>
      <c r="WZW82"/>
      <c r="WZX82"/>
      <c r="WZY82"/>
      <c r="WZZ82"/>
      <c r="XAA82"/>
      <c r="XAB82"/>
      <c r="XAC82"/>
      <c r="XAD82"/>
      <c r="XAE82"/>
      <c r="XAF82"/>
      <c r="XAG82"/>
      <c r="XAH82"/>
      <c r="XAI82"/>
      <c r="XAJ82"/>
      <c r="XAK82"/>
      <c r="XAL82"/>
      <c r="XAM82"/>
      <c r="XAN82"/>
      <c r="XAO82"/>
      <c r="XAP82"/>
      <c r="XAQ82"/>
      <c r="XAR82"/>
      <c r="XAS82"/>
      <c r="XAT82"/>
      <c r="XAU82"/>
      <c r="XAV82"/>
      <c r="XAW82"/>
      <c r="XAX82"/>
      <c r="XAY82"/>
      <c r="XAZ82"/>
      <c r="XBA82"/>
      <c r="XBB82"/>
      <c r="XBC82"/>
      <c r="XBD82"/>
      <c r="XBE82"/>
      <c r="XBF82"/>
      <c r="XBG82"/>
      <c r="XBH82"/>
      <c r="XBI82"/>
      <c r="XBJ82" s="5"/>
      <c r="XBK82" s="5"/>
      <c r="XBL82" s="5"/>
      <c r="XBM82" s="5"/>
      <c r="XBN82" s="5"/>
      <c r="XBO82" s="5"/>
      <c r="XBP82" s="5"/>
      <c r="XBQ82" s="5"/>
      <c r="XBR82" s="5"/>
      <c r="XBS82" s="5"/>
      <c r="XBT82" s="5"/>
      <c r="XBU82" s="5"/>
      <c r="XBV82" s="5"/>
      <c r="XBW82" s="5"/>
      <c r="XBX82" s="5"/>
      <c r="XBY82" s="5"/>
      <c r="XBZ82" s="5"/>
      <c r="XCA82" s="5"/>
      <c r="XCB82" s="5"/>
      <c r="XCC82" s="5"/>
      <c r="XCD82" s="5"/>
      <c r="XCE82" s="5"/>
      <c r="XCF82" s="5"/>
      <c r="XCG82" s="5"/>
      <c r="XCH82" s="5"/>
      <c r="XCI82" s="5"/>
      <c r="XCJ82" s="5"/>
      <c r="XCK82" s="5"/>
      <c r="XCL82" s="5"/>
      <c r="XCM82" s="5"/>
      <c r="XCN82" s="5"/>
      <c r="XCO82" s="5"/>
      <c r="XCP82" s="5"/>
      <c r="XCQ82" s="5"/>
      <c r="XCR82" s="5"/>
      <c r="XCS82" s="5"/>
      <c r="XCT82" s="5"/>
      <c r="XCU82" s="5"/>
      <c r="XCV82" s="5"/>
      <c r="XCW82" s="5"/>
      <c r="XCX82" s="5"/>
      <c r="XCY82" s="5"/>
      <c r="XCZ82" s="5"/>
      <c r="XDA82" s="5"/>
      <c r="XDB82" s="5"/>
      <c r="XDC82" s="5"/>
      <c r="XDD82" s="5"/>
      <c r="XDE82" s="5"/>
      <c r="XDF82" s="5"/>
      <c r="XDG82" s="5"/>
      <c r="XDH82" s="5"/>
      <c r="XDI82" s="5"/>
      <c r="XDJ82" s="5"/>
      <c r="XDK82" s="5"/>
      <c r="XDL82" s="5"/>
      <c r="XDM82" s="5"/>
      <c r="XDN82" s="5"/>
      <c r="XDO82" s="5"/>
      <c r="XDP82" s="5"/>
      <c r="XDQ82" s="5"/>
      <c r="XDR82" s="5"/>
      <c r="XDS82" s="5"/>
      <c r="XDT82" s="5"/>
      <c r="XDU82" s="5"/>
      <c r="XDV82" s="5"/>
      <c r="XDW82" s="5"/>
      <c r="XDX82" s="5"/>
      <c r="XDY82" s="5"/>
      <c r="XDZ82" s="5"/>
      <c r="XEA82" s="5"/>
      <c r="XEB82" s="5"/>
      <c r="XEC82" s="5"/>
      <c r="XED82" s="5"/>
      <c r="XEE82" s="5"/>
      <c r="XEF82" s="5"/>
      <c r="XEG82" s="5"/>
      <c r="XEH82" s="5"/>
      <c r="XEI82" s="5"/>
      <c r="XEJ82" s="5"/>
      <c r="XEK82" s="5"/>
      <c r="XEL82" s="5"/>
      <c r="XEM82" s="5"/>
      <c r="XEN82" s="5"/>
      <c r="XEO82" s="5"/>
      <c r="XEP82" s="5"/>
      <c r="XEQ82" s="5"/>
      <c r="XER82" s="5"/>
      <c r="XES82" s="5"/>
      <c r="XET82" s="5"/>
      <c r="XEU82" s="5"/>
      <c r="XEV82" s="5"/>
      <c r="XEW82" s="5"/>
      <c r="XEX82" s="5"/>
      <c r="XEY82" s="5"/>
      <c r="XEZ82" s="5"/>
      <c r="XFA82" s="5"/>
      <c r="XFB82" s="5"/>
    </row>
    <row r="83" s="1" customFormat="1" ht="16.5" spans="1:6 16247:16382">
      <c r="A83" s="8">
        <v>81</v>
      </c>
      <c r="B83" s="9" t="s">
        <v>87</v>
      </c>
      <c r="C83" s="8">
        <v>27</v>
      </c>
      <c r="D83" s="8">
        <v>27</v>
      </c>
      <c r="E83" s="8">
        <v>8</v>
      </c>
      <c r="F83" s="8">
        <v>216</v>
      </c>
      <c r="WZW83"/>
      <c r="WZX83"/>
      <c r="WZY83"/>
      <c r="WZZ83"/>
      <c r="XAA83"/>
      <c r="XAB83"/>
      <c r="XAC83"/>
      <c r="XAD83"/>
      <c r="XAE83"/>
      <c r="XAF83"/>
      <c r="XAG83"/>
      <c r="XAH83"/>
      <c r="XAI83"/>
      <c r="XAJ83"/>
      <c r="XAK83"/>
      <c r="XAL83"/>
      <c r="XAM83"/>
      <c r="XAN83"/>
      <c r="XAO83"/>
      <c r="XAP83"/>
      <c r="XAQ83"/>
      <c r="XAR83"/>
      <c r="XAS83"/>
      <c r="XAT83"/>
      <c r="XAU83"/>
      <c r="XAV83"/>
      <c r="XAW83"/>
      <c r="XAX83"/>
      <c r="XAY83"/>
      <c r="XAZ83"/>
      <c r="XBA83"/>
      <c r="XBB83"/>
      <c r="XBC83"/>
      <c r="XBD83"/>
      <c r="XBE83"/>
      <c r="XBF83"/>
      <c r="XBG83"/>
      <c r="XBH83"/>
      <c r="XBI83"/>
      <c r="XBJ83" s="5"/>
      <c r="XBK83" s="5"/>
      <c r="XBL83" s="5"/>
      <c r="XBM83" s="5"/>
      <c r="XBN83" s="5"/>
      <c r="XBO83" s="5"/>
      <c r="XBP83" s="5"/>
      <c r="XBQ83" s="5"/>
      <c r="XBR83" s="5"/>
      <c r="XBS83" s="5"/>
      <c r="XBT83" s="5"/>
      <c r="XBU83" s="5"/>
      <c r="XBV83" s="5"/>
      <c r="XBW83" s="5"/>
      <c r="XBX83" s="5"/>
      <c r="XBY83" s="5"/>
      <c r="XBZ83" s="5"/>
      <c r="XCA83" s="5"/>
      <c r="XCB83" s="5"/>
      <c r="XCC83" s="5"/>
      <c r="XCD83" s="5"/>
      <c r="XCE83" s="5"/>
      <c r="XCF83" s="5"/>
      <c r="XCG83" s="5"/>
      <c r="XCH83" s="5"/>
      <c r="XCI83" s="5"/>
      <c r="XCJ83" s="5"/>
      <c r="XCK83" s="5"/>
      <c r="XCL83" s="5"/>
      <c r="XCM83" s="5"/>
      <c r="XCN83" s="5"/>
      <c r="XCO83" s="5"/>
      <c r="XCP83" s="5"/>
      <c r="XCQ83" s="5"/>
      <c r="XCR83" s="5"/>
      <c r="XCS83" s="5"/>
      <c r="XCT83" s="5"/>
      <c r="XCU83" s="5"/>
      <c r="XCV83" s="5"/>
      <c r="XCW83" s="5"/>
      <c r="XCX83" s="5"/>
      <c r="XCY83" s="5"/>
      <c r="XCZ83" s="5"/>
      <c r="XDA83" s="5"/>
      <c r="XDB83" s="5"/>
      <c r="XDC83" s="5"/>
      <c r="XDD83" s="5"/>
      <c r="XDE83" s="5"/>
      <c r="XDF83" s="5"/>
      <c r="XDG83" s="5"/>
      <c r="XDH83" s="5"/>
      <c r="XDI83" s="5"/>
      <c r="XDJ83" s="5"/>
      <c r="XDK83" s="5"/>
      <c r="XDL83" s="5"/>
      <c r="XDM83" s="5"/>
      <c r="XDN83" s="5"/>
      <c r="XDO83" s="5"/>
      <c r="XDP83" s="5"/>
      <c r="XDQ83" s="5"/>
      <c r="XDR83" s="5"/>
      <c r="XDS83" s="5"/>
      <c r="XDT83" s="5"/>
      <c r="XDU83" s="5"/>
      <c r="XDV83" s="5"/>
      <c r="XDW83" s="5"/>
      <c r="XDX83" s="5"/>
      <c r="XDY83" s="5"/>
      <c r="XDZ83" s="5"/>
      <c r="XEA83" s="5"/>
      <c r="XEB83" s="5"/>
      <c r="XEC83" s="5"/>
      <c r="XED83" s="5"/>
      <c r="XEE83" s="5"/>
      <c r="XEF83" s="5"/>
      <c r="XEG83" s="5"/>
      <c r="XEH83" s="5"/>
      <c r="XEI83" s="5"/>
      <c r="XEJ83" s="5"/>
      <c r="XEK83" s="5"/>
      <c r="XEL83" s="5"/>
      <c r="XEM83" s="5"/>
      <c r="XEN83" s="5"/>
      <c r="XEO83" s="5"/>
      <c r="XEP83" s="5"/>
      <c r="XEQ83" s="5"/>
      <c r="XER83" s="5"/>
      <c r="XES83" s="5"/>
      <c r="XET83" s="5"/>
      <c r="XEU83" s="5"/>
      <c r="XEV83" s="5"/>
      <c r="XEW83" s="5"/>
      <c r="XEX83" s="5"/>
      <c r="XEY83" s="5"/>
      <c r="XEZ83" s="5"/>
      <c r="XFA83" s="5"/>
      <c r="XFB83" s="5"/>
    </row>
    <row r="84" s="1" customFormat="1" ht="16.5" spans="1:6 16247:16382">
      <c r="A84" s="8">
        <v>82</v>
      </c>
      <c r="B84" s="9" t="s">
        <v>88</v>
      </c>
      <c r="C84" s="8">
        <v>10</v>
      </c>
      <c r="D84" s="8">
        <v>5</v>
      </c>
      <c r="E84" s="8">
        <v>16.5</v>
      </c>
      <c r="F84" s="8">
        <v>82.5</v>
      </c>
      <c r="WZW84"/>
      <c r="WZX84"/>
      <c r="WZY84"/>
      <c r="WZZ84"/>
      <c r="XAA84"/>
      <c r="XAB84"/>
      <c r="XAC84"/>
      <c r="XAD84"/>
      <c r="XAE84"/>
      <c r="XAF84"/>
      <c r="XAG84"/>
      <c r="XAH84"/>
      <c r="XAI84"/>
      <c r="XAJ84"/>
      <c r="XAK84"/>
      <c r="XAL84"/>
      <c r="XAM84"/>
      <c r="XAN84"/>
      <c r="XAO84"/>
      <c r="XAP84"/>
      <c r="XAQ84"/>
      <c r="XAR84"/>
      <c r="XAS84"/>
      <c r="XAT84"/>
      <c r="XAU84"/>
      <c r="XAV84"/>
      <c r="XAW84"/>
      <c r="XAX84"/>
      <c r="XAY84"/>
      <c r="XAZ84"/>
      <c r="XBA84"/>
      <c r="XBB84"/>
      <c r="XBC84"/>
      <c r="XBD84"/>
      <c r="XBE84"/>
      <c r="XBF84"/>
      <c r="XBG84"/>
      <c r="XBH84"/>
      <c r="XBI84"/>
      <c r="XBJ84" s="5"/>
      <c r="XBK84" s="5"/>
      <c r="XBL84" s="5"/>
      <c r="XBM84" s="5"/>
      <c r="XBN84" s="5"/>
      <c r="XBO84" s="5"/>
      <c r="XBP84" s="5"/>
      <c r="XBQ84" s="5"/>
      <c r="XBR84" s="5"/>
      <c r="XBS84" s="5"/>
      <c r="XBT84" s="5"/>
      <c r="XBU84" s="5"/>
      <c r="XBV84" s="5"/>
      <c r="XBW84" s="5"/>
      <c r="XBX84" s="5"/>
      <c r="XBY84" s="5"/>
      <c r="XBZ84" s="5"/>
      <c r="XCA84" s="5"/>
      <c r="XCB84" s="5"/>
      <c r="XCC84" s="5"/>
      <c r="XCD84" s="5"/>
      <c r="XCE84" s="5"/>
      <c r="XCF84" s="5"/>
      <c r="XCG84" s="5"/>
      <c r="XCH84" s="5"/>
      <c r="XCI84" s="5"/>
      <c r="XCJ84" s="5"/>
      <c r="XCK84" s="5"/>
      <c r="XCL84" s="5"/>
      <c r="XCM84" s="5"/>
      <c r="XCN84" s="5"/>
      <c r="XCO84" s="5"/>
      <c r="XCP84" s="5"/>
      <c r="XCQ84" s="5"/>
      <c r="XCR84" s="5"/>
      <c r="XCS84" s="5"/>
      <c r="XCT84" s="5"/>
      <c r="XCU84" s="5"/>
      <c r="XCV84" s="5"/>
      <c r="XCW84" s="5"/>
      <c r="XCX84" s="5"/>
      <c r="XCY84" s="5"/>
      <c r="XCZ84" s="5"/>
      <c r="XDA84" s="5"/>
      <c r="XDB84" s="5"/>
      <c r="XDC84" s="5"/>
      <c r="XDD84" s="5"/>
      <c r="XDE84" s="5"/>
      <c r="XDF84" s="5"/>
      <c r="XDG84" s="5"/>
      <c r="XDH84" s="5"/>
      <c r="XDI84" s="5"/>
      <c r="XDJ84" s="5"/>
      <c r="XDK84" s="5"/>
      <c r="XDL84" s="5"/>
      <c r="XDM84" s="5"/>
      <c r="XDN84" s="5"/>
      <c r="XDO84" s="5"/>
      <c r="XDP84" s="5"/>
      <c r="XDQ84" s="5"/>
      <c r="XDR84" s="5"/>
      <c r="XDS84" s="5"/>
      <c r="XDT84" s="5"/>
      <c r="XDU84" s="5"/>
      <c r="XDV84" s="5"/>
      <c r="XDW84" s="5"/>
      <c r="XDX84" s="5"/>
      <c r="XDY84" s="5"/>
      <c r="XDZ84" s="5"/>
      <c r="XEA84" s="5"/>
      <c r="XEB84" s="5"/>
      <c r="XEC84" s="5"/>
      <c r="XED84" s="5"/>
      <c r="XEE84" s="5"/>
      <c r="XEF84" s="5"/>
      <c r="XEG84" s="5"/>
      <c r="XEH84" s="5"/>
      <c r="XEI84" s="5"/>
      <c r="XEJ84" s="5"/>
      <c r="XEK84" s="5"/>
      <c r="XEL84" s="5"/>
      <c r="XEM84" s="5"/>
      <c r="XEN84" s="5"/>
      <c r="XEO84" s="5"/>
      <c r="XEP84" s="5"/>
      <c r="XEQ84" s="5"/>
      <c r="XER84" s="5"/>
      <c r="XES84" s="5"/>
      <c r="XET84" s="5"/>
      <c r="XEU84" s="5"/>
      <c r="XEV84" s="5"/>
      <c r="XEW84" s="5"/>
      <c r="XEX84" s="5"/>
      <c r="XEY84" s="5"/>
      <c r="XEZ84" s="5"/>
      <c r="XFA84" s="5"/>
      <c r="XFB84" s="5"/>
    </row>
    <row r="85" s="1" customFormat="1" ht="16.5" spans="1:6 16247:16382">
      <c r="A85" s="8">
        <v>83</v>
      </c>
      <c r="B85" s="9" t="s">
        <v>89</v>
      </c>
      <c r="C85" s="8">
        <v>3</v>
      </c>
      <c r="D85" s="8">
        <v>1</v>
      </c>
      <c r="E85" s="8">
        <v>16.5</v>
      </c>
      <c r="F85" s="8">
        <v>16.5</v>
      </c>
      <c r="WZW85"/>
      <c r="WZX85"/>
      <c r="WZY85"/>
      <c r="WZZ85"/>
      <c r="XAA85"/>
      <c r="XAB85"/>
      <c r="XAC85"/>
      <c r="XAD85"/>
      <c r="XAE85"/>
      <c r="XAF85"/>
      <c r="XAG85"/>
      <c r="XAH85"/>
      <c r="XAI85"/>
      <c r="XAJ85"/>
      <c r="XAK85"/>
      <c r="XAL85"/>
      <c r="XAM85"/>
      <c r="XAN85"/>
      <c r="XAO85"/>
      <c r="XAP85"/>
      <c r="XAQ85"/>
      <c r="XAR85"/>
      <c r="XAS85"/>
      <c r="XAT85"/>
      <c r="XAU85"/>
      <c r="XAV85"/>
      <c r="XAW85"/>
      <c r="XAX85"/>
      <c r="XAY85"/>
      <c r="XAZ85"/>
      <c r="XBA85"/>
      <c r="XBB85"/>
      <c r="XBC85"/>
      <c r="XBD85"/>
      <c r="XBE85"/>
      <c r="XBF85"/>
      <c r="XBG85"/>
      <c r="XBH85"/>
      <c r="XBI85"/>
      <c r="XBJ85" s="5"/>
      <c r="XBK85" s="5"/>
      <c r="XBL85" s="5"/>
      <c r="XBM85" s="5"/>
      <c r="XBN85" s="5"/>
      <c r="XBO85" s="5"/>
      <c r="XBP85" s="5"/>
      <c r="XBQ85" s="5"/>
      <c r="XBR85" s="5"/>
      <c r="XBS85" s="5"/>
      <c r="XBT85" s="5"/>
      <c r="XBU85" s="5"/>
      <c r="XBV85" s="5"/>
      <c r="XBW85" s="5"/>
      <c r="XBX85" s="5"/>
      <c r="XBY85" s="5"/>
      <c r="XBZ85" s="5"/>
      <c r="XCA85" s="5"/>
      <c r="XCB85" s="5"/>
      <c r="XCC85" s="5"/>
      <c r="XCD85" s="5"/>
      <c r="XCE85" s="5"/>
      <c r="XCF85" s="5"/>
      <c r="XCG85" s="5"/>
      <c r="XCH85" s="5"/>
      <c r="XCI85" s="5"/>
      <c r="XCJ85" s="5"/>
      <c r="XCK85" s="5"/>
      <c r="XCL85" s="5"/>
      <c r="XCM85" s="5"/>
      <c r="XCN85" s="5"/>
      <c r="XCO85" s="5"/>
      <c r="XCP85" s="5"/>
      <c r="XCQ85" s="5"/>
      <c r="XCR85" s="5"/>
      <c r="XCS85" s="5"/>
      <c r="XCT85" s="5"/>
      <c r="XCU85" s="5"/>
      <c r="XCV85" s="5"/>
      <c r="XCW85" s="5"/>
      <c r="XCX85" s="5"/>
      <c r="XCY85" s="5"/>
      <c r="XCZ85" s="5"/>
      <c r="XDA85" s="5"/>
      <c r="XDB85" s="5"/>
      <c r="XDC85" s="5"/>
      <c r="XDD85" s="5"/>
      <c r="XDE85" s="5"/>
      <c r="XDF85" s="5"/>
      <c r="XDG85" s="5"/>
      <c r="XDH85" s="5"/>
      <c r="XDI85" s="5"/>
      <c r="XDJ85" s="5"/>
      <c r="XDK85" s="5"/>
      <c r="XDL85" s="5"/>
      <c r="XDM85" s="5"/>
      <c r="XDN85" s="5"/>
      <c r="XDO85" s="5"/>
      <c r="XDP85" s="5"/>
      <c r="XDQ85" s="5"/>
      <c r="XDR85" s="5"/>
      <c r="XDS85" s="5"/>
      <c r="XDT85" s="5"/>
      <c r="XDU85" s="5"/>
      <c r="XDV85" s="5"/>
      <c r="XDW85" s="5"/>
      <c r="XDX85" s="5"/>
      <c r="XDY85" s="5"/>
      <c r="XDZ85" s="5"/>
      <c r="XEA85" s="5"/>
      <c r="XEB85" s="5"/>
      <c r="XEC85" s="5"/>
      <c r="XED85" s="5"/>
      <c r="XEE85" s="5"/>
      <c r="XEF85" s="5"/>
      <c r="XEG85" s="5"/>
      <c r="XEH85" s="5"/>
      <c r="XEI85" s="5"/>
      <c r="XEJ85" s="5"/>
      <c r="XEK85" s="5"/>
      <c r="XEL85" s="5"/>
      <c r="XEM85" s="5"/>
      <c r="XEN85" s="5"/>
      <c r="XEO85" s="5"/>
      <c r="XEP85" s="5"/>
      <c r="XEQ85" s="5"/>
      <c r="XER85" s="5"/>
      <c r="XES85" s="5"/>
      <c r="XET85" s="5"/>
      <c r="XEU85" s="5"/>
      <c r="XEV85" s="5"/>
      <c r="XEW85" s="5"/>
      <c r="XEX85" s="5"/>
      <c r="XEY85" s="5"/>
      <c r="XEZ85" s="5"/>
      <c r="XFA85" s="5"/>
      <c r="XFB85" s="5"/>
    </row>
    <row r="86" s="1" customFormat="1" ht="16.5" spans="1:6 16247:16382">
      <c r="A86" s="8">
        <v>84</v>
      </c>
      <c r="B86" s="9" t="s">
        <v>90</v>
      </c>
      <c r="C86" s="8">
        <v>60</v>
      </c>
      <c r="D86" s="8">
        <v>5</v>
      </c>
      <c r="E86" s="8">
        <v>66</v>
      </c>
      <c r="F86" s="8">
        <v>330</v>
      </c>
      <c r="WZW86"/>
      <c r="WZX86"/>
      <c r="WZY86"/>
      <c r="WZZ86"/>
      <c r="XAA86"/>
      <c r="XAB86"/>
      <c r="XAC86"/>
      <c r="XAD86"/>
      <c r="XAE86"/>
      <c r="XAF86"/>
      <c r="XAG86"/>
      <c r="XAH86"/>
      <c r="XAI86"/>
      <c r="XAJ86"/>
      <c r="XAK86"/>
      <c r="XAL86"/>
      <c r="XAM86"/>
      <c r="XAN86"/>
      <c r="XAO86"/>
      <c r="XAP86"/>
      <c r="XAQ86"/>
      <c r="XAR86"/>
      <c r="XAS86"/>
      <c r="XAT86"/>
      <c r="XAU86"/>
      <c r="XAV86"/>
      <c r="XAW86"/>
      <c r="XAX86"/>
      <c r="XAY86"/>
      <c r="XAZ86"/>
      <c r="XBA86"/>
      <c r="XBB86"/>
      <c r="XBC86"/>
      <c r="XBD86"/>
      <c r="XBE86"/>
      <c r="XBF86"/>
      <c r="XBG86"/>
      <c r="XBH86"/>
      <c r="XBI86"/>
      <c r="XBJ86" s="5"/>
      <c r="XBK86" s="5"/>
      <c r="XBL86" s="5"/>
      <c r="XBM86" s="5"/>
      <c r="XBN86" s="5"/>
      <c r="XBO86" s="5"/>
      <c r="XBP86" s="5"/>
      <c r="XBQ86" s="5"/>
      <c r="XBR86" s="5"/>
      <c r="XBS86" s="5"/>
      <c r="XBT86" s="5"/>
      <c r="XBU86" s="5"/>
      <c r="XBV86" s="5"/>
      <c r="XBW86" s="5"/>
      <c r="XBX86" s="5"/>
      <c r="XBY86" s="5"/>
      <c r="XBZ86" s="5"/>
      <c r="XCA86" s="5"/>
      <c r="XCB86" s="5"/>
      <c r="XCC86" s="5"/>
      <c r="XCD86" s="5"/>
      <c r="XCE86" s="5"/>
      <c r="XCF86" s="5"/>
      <c r="XCG86" s="5"/>
      <c r="XCH86" s="5"/>
      <c r="XCI86" s="5"/>
      <c r="XCJ86" s="5"/>
      <c r="XCK86" s="5"/>
      <c r="XCL86" s="5"/>
      <c r="XCM86" s="5"/>
      <c r="XCN86" s="5"/>
      <c r="XCO86" s="5"/>
      <c r="XCP86" s="5"/>
      <c r="XCQ86" s="5"/>
      <c r="XCR86" s="5"/>
      <c r="XCS86" s="5"/>
      <c r="XCT86" s="5"/>
      <c r="XCU86" s="5"/>
      <c r="XCV86" s="5"/>
      <c r="XCW86" s="5"/>
      <c r="XCX86" s="5"/>
      <c r="XCY86" s="5"/>
      <c r="XCZ86" s="5"/>
      <c r="XDA86" s="5"/>
      <c r="XDB86" s="5"/>
      <c r="XDC86" s="5"/>
      <c r="XDD86" s="5"/>
      <c r="XDE86" s="5"/>
      <c r="XDF86" s="5"/>
      <c r="XDG86" s="5"/>
      <c r="XDH86" s="5"/>
      <c r="XDI86" s="5"/>
      <c r="XDJ86" s="5"/>
      <c r="XDK86" s="5"/>
      <c r="XDL86" s="5"/>
      <c r="XDM86" s="5"/>
      <c r="XDN86" s="5"/>
      <c r="XDO86" s="5"/>
      <c r="XDP86" s="5"/>
      <c r="XDQ86" s="5"/>
      <c r="XDR86" s="5"/>
      <c r="XDS86" s="5"/>
      <c r="XDT86" s="5"/>
      <c r="XDU86" s="5"/>
      <c r="XDV86" s="5"/>
      <c r="XDW86" s="5"/>
      <c r="XDX86" s="5"/>
      <c r="XDY86" s="5"/>
      <c r="XDZ86" s="5"/>
      <c r="XEA86" s="5"/>
      <c r="XEB86" s="5"/>
      <c r="XEC86" s="5"/>
      <c r="XED86" s="5"/>
      <c r="XEE86" s="5"/>
      <c r="XEF86" s="5"/>
      <c r="XEG86" s="5"/>
      <c r="XEH86" s="5"/>
      <c r="XEI86" s="5"/>
      <c r="XEJ86" s="5"/>
      <c r="XEK86" s="5"/>
      <c r="XEL86" s="5"/>
      <c r="XEM86" s="5"/>
      <c r="XEN86" s="5"/>
      <c r="XEO86" s="5"/>
      <c r="XEP86" s="5"/>
      <c r="XEQ86" s="5"/>
      <c r="XER86" s="5"/>
      <c r="XES86" s="5"/>
      <c r="XET86" s="5"/>
      <c r="XEU86" s="5"/>
      <c r="XEV86" s="5"/>
      <c r="XEW86" s="5"/>
      <c r="XEX86" s="5"/>
      <c r="XEY86" s="5"/>
      <c r="XEZ86" s="5"/>
      <c r="XFA86" s="5"/>
      <c r="XFB86" s="5"/>
    </row>
    <row r="87" s="1" customFormat="1" ht="16.5" spans="1:6 16247:16382">
      <c r="A87" s="8">
        <v>85</v>
      </c>
      <c r="B87" s="9" t="s">
        <v>91</v>
      </c>
      <c r="C87" s="8">
        <v>75</v>
      </c>
      <c r="D87" s="8">
        <v>5</v>
      </c>
      <c r="E87" s="8">
        <v>82.5</v>
      </c>
      <c r="F87" s="8">
        <v>412.5</v>
      </c>
      <c r="WZW87"/>
      <c r="WZX87"/>
      <c r="WZY87"/>
      <c r="WZZ87"/>
      <c r="XAA87"/>
      <c r="XAB87"/>
      <c r="XAC87"/>
      <c r="XAD87"/>
      <c r="XAE87"/>
      <c r="XAF87"/>
      <c r="XAG87"/>
      <c r="XAH87"/>
      <c r="XAI87"/>
      <c r="XAJ87"/>
      <c r="XAK87"/>
      <c r="XAL87"/>
      <c r="XAM87"/>
      <c r="XAN87"/>
      <c r="XAO87"/>
      <c r="XAP87"/>
      <c r="XAQ87"/>
      <c r="XAR87"/>
      <c r="XAS87"/>
      <c r="XAT87"/>
      <c r="XAU87"/>
      <c r="XAV87"/>
      <c r="XAW87"/>
      <c r="XAX87"/>
      <c r="XAY87"/>
      <c r="XAZ87"/>
      <c r="XBA87"/>
      <c r="XBB87"/>
      <c r="XBC87"/>
      <c r="XBD87"/>
      <c r="XBE87"/>
      <c r="XBF87"/>
      <c r="XBG87"/>
      <c r="XBH87"/>
      <c r="XBI87"/>
      <c r="XBJ87" s="5"/>
      <c r="XBK87" s="5"/>
      <c r="XBL87" s="5"/>
      <c r="XBM87" s="5"/>
      <c r="XBN87" s="5"/>
      <c r="XBO87" s="5"/>
      <c r="XBP87" s="5"/>
      <c r="XBQ87" s="5"/>
      <c r="XBR87" s="5"/>
      <c r="XBS87" s="5"/>
      <c r="XBT87" s="5"/>
      <c r="XBU87" s="5"/>
      <c r="XBV87" s="5"/>
      <c r="XBW87" s="5"/>
      <c r="XBX87" s="5"/>
      <c r="XBY87" s="5"/>
      <c r="XBZ87" s="5"/>
      <c r="XCA87" s="5"/>
      <c r="XCB87" s="5"/>
      <c r="XCC87" s="5"/>
      <c r="XCD87" s="5"/>
      <c r="XCE87" s="5"/>
      <c r="XCF87" s="5"/>
      <c r="XCG87" s="5"/>
      <c r="XCH87" s="5"/>
      <c r="XCI87" s="5"/>
      <c r="XCJ87" s="5"/>
      <c r="XCK87" s="5"/>
      <c r="XCL87" s="5"/>
      <c r="XCM87" s="5"/>
      <c r="XCN87" s="5"/>
      <c r="XCO87" s="5"/>
      <c r="XCP87" s="5"/>
      <c r="XCQ87" s="5"/>
      <c r="XCR87" s="5"/>
      <c r="XCS87" s="5"/>
      <c r="XCT87" s="5"/>
      <c r="XCU87" s="5"/>
      <c r="XCV87" s="5"/>
      <c r="XCW87" s="5"/>
      <c r="XCX87" s="5"/>
      <c r="XCY87" s="5"/>
      <c r="XCZ87" s="5"/>
      <c r="XDA87" s="5"/>
      <c r="XDB87" s="5"/>
      <c r="XDC87" s="5"/>
      <c r="XDD87" s="5"/>
      <c r="XDE87" s="5"/>
      <c r="XDF87" s="5"/>
      <c r="XDG87" s="5"/>
      <c r="XDH87" s="5"/>
      <c r="XDI87" s="5"/>
      <c r="XDJ87" s="5"/>
      <c r="XDK87" s="5"/>
      <c r="XDL87" s="5"/>
      <c r="XDM87" s="5"/>
      <c r="XDN87" s="5"/>
      <c r="XDO87" s="5"/>
      <c r="XDP87" s="5"/>
      <c r="XDQ87" s="5"/>
      <c r="XDR87" s="5"/>
      <c r="XDS87" s="5"/>
      <c r="XDT87" s="5"/>
      <c r="XDU87" s="5"/>
      <c r="XDV87" s="5"/>
      <c r="XDW87" s="5"/>
      <c r="XDX87" s="5"/>
      <c r="XDY87" s="5"/>
      <c r="XDZ87" s="5"/>
      <c r="XEA87" s="5"/>
      <c r="XEB87" s="5"/>
      <c r="XEC87" s="5"/>
      <c r="XED87" s="5"/>
      <c r="XEE87" s="5"/>
      <c r="XEF87" s="5"/>
      <c r="XEG87" s="5"/>
      <c r="XEH87" s="5"/>
      <c r="XEI87" s="5"/>
      <c r="XEJ87" s="5"/>
      <c r="XEK87" s="5"/>
      <c r="XEL87" s="5"/>
      <c r="XEM87" s="5"/>
      <c r="XEN87" s="5"/>
      <c r="XEO87" s="5"/>
      <c r="XEP87" s="5"/>
      <c r="XEQ87" s="5"/>
      <c r="XER87" s="5"/>
      <c r="XES87" s="5"/>
      <c r="XET87" s="5"/>
      <c r="XEU87" s="5"/>
      <c r="XEV87" s="5"/>
      <c r="XEW87" s="5"/>
      <c r="XEX87" s="5"/>
      <c r="XEY87" s="5"/>
      <c r="XEZ87" s="5"/>
      <c r="XFA87" s="5"/>
      <c r="XFB87" s="5"/>
    </row>
    <row r="88" s="1" customFormat="1" ht="16.5" spans="1:6 16247:16382">
      <c r="A88" s="8">
        <v>86</v>
      </c>
      <c r="B88" s="9" t="s">
        <v>92</v>
      </c>
      <c r="C88" s="8">
        <v>3</v>
      </c>
      <c r="D88" s="8">
        <v>1</v>
      </c>
      <c r="E88" s="8">
        <v>16.5</v>
      </c>
      <c r="F88" s="8">
        <v>16.5</v>
      </c>
      <c r="WZW88"/>
      <c r="WZX88"/>
      <c r="WZY88"/>
      <c r="WZZ88"/>
      <c r="XAA88"/>
      <c r="XAB88"/>
      <c r="XAC88"/>
      <c r="XAD88"/>
      <c r="XAE88"/>
      <c r="XAF88"/>
      <c r="XAG88"/>
      <c r="XAH88"/>
      <c r="XAI88"/>
      <c r="XAJ88"/>
      <c r="XAK88"/>
      <c r="XAL88"/>
      <c r="XAM88"/>
      <c r="XAN88"/>
      <c r="XAO88"/>
      <c r="XAP88"/>
      <c r="XAQ88"/>
      <c r="XAR88"/>
      <c r="XAS88"/>
      <c r="XAT88"/>
      <c r="XAU88"/>
      <c r="XAV88"/>
      <c r="XAW88"/>
      <c r="XAX88"/>
      <c r="XAY88"/>
      <c r="XAZ88"/>
      <c r="XBA88"/>
      <c r="XBB88"/>
      <c r="XBC88"/>
      <c r="XBD88"/>
      <c r="XBE88"/>
      <c r="XBF88"/>
      <c r="XBG88"/>
      <c r="XBH88"/>
      <c r="XBI88"/>
      <c r="XBJ88" s="5"/>
      <c r="XBK88" s="5"/>
      <c r="XBL88" s="5"/>
      <c r="XBM88" s="5"/>
      <c r="XBN88" s="5"/>
      <c r="XBO88" s="5"/>
      <c r="XBP88" s="5"/>
      <c r="XBQ88" s="5"/>
      <c r="XBR88" s="5"/>
      <c r="XBS88" s="5"/>
      <c r="XBT88" s="5"/>
      <c r="XBU88" s="5"/>
      <c r="XBV88" s="5"/>
      <c r="XBW88" s="5"/>
      <c r="XBX88" s="5"/>
      <c r="XBY88" s="5"/>
      <c r="XBZ88" s="5"/>
      <c r="XCA88" s="5"/>
      <c r="XCB88" s="5"/>
      <c r="XCC88" s="5"/>
      <c r="XCD88" s="5"/>
      <c r="XCE88" s="5"/>
      <c r="XCF88" s="5"/>
      <c r="XCG88" s="5"/>
      <c r="XCH88" s="5"/>
      <c r="XCI88" s="5"/>
      <c r="XCJ88" s="5"/>
      <c r="XCK88" s="5"/>
      <c r="XCL88" s="5"/>
      <c r="XCM88" s="5"/>
      <c r="XCN88" s="5"/>
      <c r="XCO88" s="5"/>
      <c r="XCP88" s="5"/>
      <c r="XCQ88" s="5"/>
      <c r="XCR88" s="5"/>
      <c r="XCS88" s="5"/>
      <c r="XCT88" s="5"/>
      <c r="XCU88" s="5"/>
      <c r="XCV88" s="5"/>
      <c r="XCW88" s="5"/>
      <c r="XCX88" s="5"/>
      <c r="XCY88" s="5"/>
      <c r="XCZ88" s="5"/>
      <c r="XDA88" s="5"/>
      <c r="XDB88" s="5"/>
      <c r="XDC88" s="5"/>
      <c r="XDD88" s="5"/>
      <c r="XDE88" s="5"/>
      <c r="XDF88" s="5"/>
      <c r="XDG88" s="5"/>
      <c r="XDH88" s="5"/>
      <c r="XDI88" s="5"/>
      <c r="XDJ88" s="5"/>
      <c r="XDK88" s="5"/>
      <c r="XDL88" s="5"/>
      <c r="XDM88" s="5"/>
      <c r="XDN88" s="5"/>
      <c r="XDO88" s="5"/>
      <c r="XDP88" s="5"/>
      <c r="XDQ88" s="5"/>
      <c r="XDR88" s="5"/>
      <c r="XDS88" s="5"/>
      <c r="XDT88" s="5"/>
      <c r="XDU88" s="5"/>
      <c r="XDV88" s="5"/>
      <c r="XDW88" s="5"/>
      <c r="XDX88" s="5"/>
      <c r="XDY88" s="5"/>
      <c r="XDZ88" s="5"/>
      <c r="XEA88" s="5"/>
      <c r="XEB88" s="5"/>
      <c r="XEC88" s="5"/>
      <c r="XED88" s="5"/>
      <c r="XEE88" s="5"/>
      <c r="XEF88" s="5"/>
      <c r="XEG88" s="5"/>
      <c r="XEH88" s="5"/>
      <c r="XEI88" s="5"/>
      <c r="XEJ88" s="5"/>
      <c r="XEK88" s="5"/>
      <c r="XEL88" s="5"/>
      <c r="XEM88" s="5"/>
      <c r="XEN88" s="5"/>
      <c r="XEO88" s="5"/>
      <c r="XEP88" s="5"/>
      <c r="XEQ88" s="5"/>
      <c r="XER88" s="5"/>
      <c r="XES88" s="5"/>
      <c r="XET88" s="5"/>
      <c r="XEU88" s="5"/>
      <c r="XEV88" s="5"/>
      <c r="XEW88" s="5"/>
      <c r="XEX88" s="5"/>
      <c r="XEY88" s="5"/>
      <c r="XEZ88" s="5"/>
      <c r="XFA88" s="5"/>
      <c r="XFB88" s="5"/>
    </row>
    <row r="89" s="1" customFormat="1" ht="16.5" spans="1:6 16247:16382">
      <c r="A89" s="8">
        <v>87</v>
      </c>
      <c r="B89" s="9" t="s">
        <v>93</v>
      </c>
      <c r="C89" s="8">
        <v>5</v>
      </c>
      <c r="D89" s="8">
        <v>1</v>
      </c>
      <c r="E89" s="8">
        <v>27.5</v>
      </c>
      <c r="F89" s="8">
        <v>27.5</v>
      </c>
      <c r="WZW89"/>
      <c r="WZX89"/>
      <c r="WZY89"/>
      <c r="WZZ89"/>
      <c r="XAA89"/>
      <c r="XAB89"/>
      <c r="XAC89"/>
      <c r="XAD89"/>
      <c r="XAE89"/>
      <c r="XAF89"/>
      <c r="XAG89"/>
      <c r="XAH89"/>
      <c r="XAI89"/>
      <c r="XAJ89"/>
      <c r="XAK89"/>
      <c r="XAL89"/>
      <c r="XAM89"/>
      <c r="XAN89"/>
      <c r="XAO89"/>
      <c r="XAP89"/>
      <c r="XAQ89"/>
      <c r="XAR89"/>
      <c r="XAS89"/>
      <c r="XAT89"/>
      <c r="XAU89"/>
      <c r="XAV89"/>
      <c r="XAW89"/>
      <c r="XAX89"/>
      <c r="XAY89"/>
      <c r="XAZ89"/>
      <c r="XBA89"/>
      <c r="XBB89"/>
      <c r="XBC89"/>
      <c r="XBD89"/>
      <c r="XBE89"/>
      <c r="XBF89"/>
      <c r="XBG89"/>
      <c r="XBH89"/>
      <c r="XBI89"/>
      <c r="XBJ89" s="5"/>
      <c r="XBK89" s="5"/>
      <c r="XBL89" s="5"/>
      <c r="XBM89" s="5"/>
      <c r="XBN89" s="5"/>
      <c r="XBO89" s="5"/>
      <c r="XBP89" s="5"/>
      <c r="XBQ89" s="5"/>
      <c r="XBR89" s="5"/>
      <c r="XBS89" s="5"/>
      <c r="XBT89" s="5"/>
      <c r="XBU89" s="5"/>
      <c r="XBV89" s="5"/>
      <c r="XBW89" s="5"/>
      <c r="XBX89" s="5"/>
      <c r="XBY89" s="5"/>
      <c r="XBZ89" s="5"/>
      <c r="XCA89" s="5"/>
      <c r="XCB89" s="5"/>
      <c r="XCC89" s="5"/>
      <c r="XCD89" s="5"/>
      <c r="XCE89" s="5"/>
      <c r="XCF89" s="5"/>
      <c r="XCG89" s="5"/>
      <c r="XCH89" s="5"/>
      <c r="XCI89" s="5"/>
      <c r="XCJ89" s="5"/>
      <c r="XCK89" s="5"/>
      <c r="XCL89" s="5"/>
      <c r="XCM89" s="5"/>
      <c r="XCN89" s="5"/>
      <c r="XCO89" s="5"/>
      <c r="XCP89" s="5"/>
      <c r="XCQ89" s="5"/>
      <c r="XCR89" s="5"/>
      <c r="XCS89" s="5"/>
      <c r="XCT89" s="5"/>
      <c r="XCU89" s="5"/>
      <c r="XCV89" s="5"/>
      <c r="XCW89" s="5"/>
      <c r="XCX89" s="5"/>
      <c r="XCY89" s="5"/>
      <c r="XCZ89" s="5"/>
      <c r="XDA89" s="5"/>
      <c r="XDB89" s="5"/>
      <c r="XDC89" s="5"/>
      <c r="XDD89" s="5"/>
      <c r="XDE89" s="5"/>
      <c r="XDF89" s="5"/>
      <c r="XDG89" s="5"/>
      <c r="XDH89" s="5"/>
      <c r="XDI89" s="5"/>
      <c r="XDJ89" s="5"/>
      <c r="XDK89" s="5"/>
      <c r="XDL89" s="5"/>
      <c r="XDM89" s="5"/>
      <c r="XDN89" s="5"/>
      <c r="XDO89" s="5"/>
      <c r="XDP89" s="5"/>
      <c r="XDQ89" s="5"/>
      <c r="XDR89" s="5"/>
      <c r="XDS89" s="5"/>
      <c r="XDT89" s="5"/>
      <c r="XDU89" s="5"/>
      <c r="XDV89" s="5"/>
      <c r="XDW89" s="5"/>
      <c r="XDX89" s="5"/>
      <c r="XDY89" s="5"/>
      <c r="XDZ89" s="5"/>
      <c r="XEA89" s="5"/>
      <c r="XEB89" s="5"/>
      <c r="XEC89" s="5"/>
      <c r="XED89" s="5"/>
      <c r="XEE89" s="5"/>
      <c r="XEF89" s="5"/>
      <c r="XEG89" s="5"/>
      <c r="XEH89" s="5"/>
      <c r="XEI89" s="5"/>
      <c r="XEJ89" s="5"/>
      <c r="XEK89" s="5"/>
      <c r="XEL89" s="5"/>
      <c r="XEM89" s="5"/>
      <c r="XEN89" s="5"/>
      <c r="XEO89" s="5"/>
      <c r="XEP89" s="5"/>
      <c r="XEQ89" s="5"/>
      <c r="XER89" s="5"/>
      <c r="XES89" s="5"/>
      <c r="XET89" s="5"/>
      <c r="XEU89" s="5"/>
      <c r="XEV89" s="5"/>
      <c r="XEW89" s="5"/>
      <c r="XEX89" s="5"/>
      <c r="XEY89" s="5"/>
      <c r="XEZ89" s="5"/>
      <c r="XFA89" s="5"/>
      <c r="XFB89" s="5"/>
    </row>
    <row r="90" s="1" customFormat="1" ht="16.5" spans="1:6 16247:16382">
      <c r="A90" s="8">
        <v>88</v>
      </c>
      <c r="B90" s="9" t="s">
        <v>94</v>
      </c>
      <c r="C90" s="8">
        <v>152</v>
      </c>
      <c r="D90" s="8">
        <v>2</v>
      </c>
      <c r="E90" s="8">
        <v>418</v>
      </c>
      <c r="F90" s="8">
        <v>836</v>
      </c>
      <c r="WZW90"/>
      <c r="WZX90"/>
      <c r="WZY90"/>
      <c r="WZZ90"/>
      <c r="XAA90"/>
      <c r="XAB90"/>
      <c r="XAC90"/>
      <c r="XAD90"/>
      <c r="XAE90"/>
      <c r="XAF90"/>
      <c r="XAG90"/>
      <c r="XAH90"/>
      <c r="XAI90"/>
      <c r="XAJ90"/>
      <c r="XAK90"/>
      <c r="XAL90"/>
      <c r="XAM90"/>
      <c r="XAN90"/>
      <c r="XAO90"/>
      <c r="XAP90"/>
      <c r="XAQ90"/>
      <c r="XAR90"/>
      <c r="XAS90"/>
      <c r="XAT90"/>
      <c r="XAU90"/>
      <c r="XAV90"/>
      <c r="XAW90"/>
      <c r="XAX90"/>
      <c r="XAY90"/>
      <c r="XAZ90"/>
      <c r="XBA90"/>
      <c r="XBB90"/>
      <c r="XBC90"/>
      <c r="XBD90"/>
      <c r="XBE90"/>
      <c r="XBF90"/>
      <c r="XBG90"/>
      <c r="XBH90"/>
      <c r="XBI90"/>
      <c r="XBJ90" s="5"/>
      <c r="XBK90" s="5"/>
      <c r="XBL90" s="5"/>
      <c r="XBM90" s="5"/>
      <c r="XBN90" s="5"/>
      <c r="XBO90" s="5"/>
      <c r="XBP90" s="5"/>
      <c r="XBQ90" s="5"/>
      <c r="XBR90" s="5"/>
      <c r="XBS90" s="5"/>
      <c r="XBT90" s="5"/>
      <c r="XBU90" s="5"/>
      <c r="XBV90" s="5"/>
      <c r="XBW90" s="5"/>
      <c r="XBX90" s="5"/>
      <c r="XBY90" s="5"/>
      <c r="XBZ90" s="5"/>
      <c r="XCA90" s="5"/>
      <c r="XCB90" s="5"/>
      <c r="XCC90" s="5"/>
      <c r="XCD90" s="5"/>
      <c r="XCE90" s="5"/>
      <c r="XCF90" s="5"/>
      <c r="XCG90" s="5"/>
      <c r="XCH90" s="5"/>
      <c r="XCI90" s="5"/>
      <c r="XCJ90" s="5"/>
      <c r="XCK90" s="5"/>
      <c r="XCL90" s="5"/>
      <c r="XCM90" s="5"/>
      <c r="XCN90" s="5"/>
      <c r="XCO90" s="5"/>
      <c r="XCP90" s="5"/>
      <c r="XCQ90" s="5"/>
      <c r="XCR90" s="5"/>
      <c r="XCS90" s="5"/>
      <c r="XCT90" s="5"/>
      <c r="XCU90" s="5"/>
      <c r="XCV90" s="5"/>
      <c r="XCW90" s="5"/>
      <c r="XCX90" s="5"/>
      <c r="XCY90" s="5"/>
      <c r="XCZ90" s="5"/>
      <c r="XDA90" s="5"/>
      <c r="XDB90" s="5"/>
      <c r="XDC90" s="5"/>
      <c r="XDD90" s="5"/>
      <c r="XDE90" s="5"/>
      <c r="XDF90" s="5"/>
      <c r="XDG90" s="5"/>
      <c r="XDH90" s="5"/>
      <c r="XDI90" s="5"/>
      <c r="XDJ90" s="5"/>
      <c r="XDK90" s="5"/>
      <c r="XDL90" s="5"/>
      <c r="XDM90" s="5"/>
      <c r="XDN90" s="5"/>
      <c r="XDO90" s="5"/>
      <c r="XDP90" s="5"/>
      <c r="XDQ90" s="5"/>
      <c r="XDR90" s="5"/>
      <c r="XDS90" s="5"/>
      <c r="XDT90" s="5"/>
      <c r="XDU90" s="5"/>
      <c r="XDV90" s="5"/>
      <c r="XDW90" s="5"/>
      <c r="XDX90" s="5"/>
      <c r="XDY90" s="5"/>
      <c r="XDZ90" s="5"/>
      <c r="XEA90" s="5"/>
      <c r="XEB90" s="5"/>
      <c r="XEC90" s="5"/>
      <c r="XED90" s="5"/>
      <c r="XEE90" s="5"/>
      <c r="XEF90" s="5"/>
      <c r="XEG90" s="5"/>
      <c r="XEH90" s="5"/>
      <c r="XEI90" s="5"/>
      <c r="XEJ90" s="5"/>
      <c r="XEK90" s="5"/>
      <c r="XEL90" s="5"/>
      <c r="XEM90" s="5"/>
      <c r="XEN90" s="5"/>
      <c r="XEO90" s="5"/>
      <c r="XEP90" s="5"/>
      <c r="XEQ90" s="5"/>
      <c r="XER90" s="5"/>
      <c r="XES90" s="5"/>
      <c r="XET90" s="5"/>
      <c r="XEU90" s="5"/>
      <c r="XEV90" s="5"/>
      <c r="XEW90" s="5"/>
      <c r="XEX90" s="5"/>
      <c r="XEY90" s="5"/>
      <c r="XEZ90" s="5"/>
      <c r="XFA90" s="5"/>
      <c r="XFB90" s="5"/>
    </row>
    <row r="91" s="1" customFormat="1" ht="16.5" spans="1:6 16247:16382">
      <c r="A91" s="8">
        <v>89</v>
      </c>
      <c r="B91" s="9" t="s">
        <v>95</v>
      </c>
      <c r="C91" s="8">
        <v>75</v>
      </c>
      <c r="D91" s="8">
        <v>75</v>
      </c>
      <c r="E91" s="8">
        <v>16.5</v>
      </c>
      <c r="F91" s="8">
        <v>1237.5</v>
      </c>
      <c r="WZW91"/>
      <c r="WZX91"/>
      <c r="WZY91"/>
      <c r="WZZ91"/>
      <c r="XAA91"/>
      <c r="XAB91"/>
      <c r="XAC91"/>
      <c r="XAD91"/>
      <c r="XAE91"/>
      <c r="XAF91"/>
      <c r="XAG91"/>
      <c r="XAH91"/>
      <c r="XAI91"/>
      <c r="XAJ91"/>
      <c r="XAK91"/>
      <c r="XAL91"/>
      <c r="XAM91"/>
      <c r="XAN91"/>
      <c r="XAO91"/>
      <c r="XAP91"/>
      <c r="XAQ91"/>
      <c r="XAR91"/>
      <c r="XAS91"/>
      <c r="XAT91"/>
      <c r="XAU91"/>
      <c r="XAV91"/>
      <c r="XAW91"/>
      <c r="XAX91"/>
      <c r="XAY91"/>
      <c r="XAZ91"/>
      <c r="XBA91"/>
      <c r="XBB91"/>
      <c r="XBC91"/>
      <c r="XBD91"/>
      <c r="XBE91"/>
      <c r="XBF91"/>
      <c r="XBG91"/>
      <c r="XBH91"/>
      <c r="XBI91"/>
      <c r="XBJ91" s="5"/>
      <c r="XBK91" s="5"/>
      <c r="XBL91" s="5"/>
      <c r="XBM91" s="5"/>
      <c r="XBN91" s="5"/>
      <c r="XBO91" s="5"/>
      <c r="XBP91" s="5"/>
      <c r="XBQ91" s="5"/>
      <c r="XBR91" s="5"/>
      <c r="XBS91" s="5"/>
      <c r="XBT91" s="5"/>
      <c r="XBU91" s="5"/>
      <c r="XBV91" s="5"/>
      <c r="XBW91" s="5"/>
      <c r="XBX91" s="5"/>
      <c r="XBY91" s="5"/>
      <c r="XBZ91" s="5"/>
      <c r="XCA91" s="5"/>
      <c r="XCB91" s="5"/>
      <c r="XCC91" s="5"/>
      <c r="XCD91" s="5"/>
      <c r="XCE91" s="5"/>
      <c r="XCF91" s="5"/>
      <c r="XCG91" s="5"/>
      <c r="XCH91" s="5"/>
      <c r="XCI91" s="5"/>
      <c r="XCJ91" s="5"/>
      <c r="XCK91" s="5"/>
      <c r="XCL91" s="5"/>
      <c r="XCM91" s="5"/>
      <c r="XCN91" s="5"/>
      <c r="XCO91" s="5"/>
      <c r="XCP91" s="5"/>
      <c r="XCQ91" s="5"/>
      <c r="XCR91" s="5"/>
      <c r="XCS91" s="5"/>
      <c r="XCT91" s="5"/>
      <c r="XCU91" s="5"/>
      <c r="XCV91" s="5"/>
      <c r="XCW91" s="5"/>
      <c r="XCX91" s="5"/>
      <c r="XCY91" s="5"/>
      <c r="XCZ91" s="5"/>
      <c r="XDA91" s="5"/>
      <c r="XDB91" s="5"/>
      <c r="XDC91" s="5"/>
      <c r="XDD91" s="5"/>
      <c r="XDE91" s="5"/>
      <c r="XDF91" s="5"/>
      <c r="XDG91" s="5"/>
      <c r="XDH91" s="5"/>
      <c r="XDI91" s="5"/>
      <c r="XDJ91" s="5"/>
      <c r="XDK91" s="5"/>
      <c r="XDL91" s="5"/>
      <c r="XDM91" s="5"/>
      <c r="XDN91" s="5"/>
      <c r="XDO91" s="5"/>
      <c r="XDP91" s="5"/>
      <c r="XDQ91" s="5"/>
      <c r="XDR91" s="5"/>
      <c r="XDS91" s="5"/>
      <c r="XDT91" s="5"/>
      <c r="XDU91" s="5"/>
      <c r="XDV91" s="5"/>
      <c r="XDW91" s="5"/>
      <c r="XDX91" s="5"/>
      <c r="XDY91" s="5"/>
      <c r="XDZ91" s="5"/>
      <c r="XEA91" s="5"/>
      <c r="XEB91" s="5"/>
      <c r="XEC91" s="5"/>
      <c r="XED91" s="5"/>
      <c r="XEE91" s="5"/>
      <c r="XEF91" s="5"/>
      <c r="XEG91" s="5"/>
      <c r="XEH91" s="5"/>
      <c r="XEI91" s="5"/>
      <c r="XEJ91" s="5"/>
      <c r="XEK91" s="5"/>
      <c r="XEL91" s="5"/>
      <c r="XEM91" s="5"/>
      <c r="XEN91" s="5"/>
      <c r="XEO91" s="5"/>
      <c r="XEP91" s="5"/>
      <c r="XEQ91" s="5"/>
      <c r="XER91" s="5"/>
      <c r="XES91" s="5"/>
      <c r="XET91" s="5"/>
      <c r="XEU91" s="5"/>
      <c r="XEV91" s="5"/>
      <c r="XEW91" s="5"/>
      <c r="XEX91" s="5"/>
      <c r="XEY91" s="5"/>
      <c r="XEZ91" s="5"/>
      <c r="XFA91" s="5"/>
      <c r="XFB91" s="5"/>
    </row>
    <row r="92" s="1" customFormat="1" ht="16.5" spans="1:6 16247:16382">
      <c r="A92" s="8">
        <v>90</v>
      </c>
      <c r="B92" s="9" t="s">
        <v>96</v>
      </c>
      <c r="C92" s="8">
        <v>2</v>
      </c>
      <c r="D92" s="8">
        <v>1</v>
      </c>
      <c r="E92" s="8">
        <v>16.5</v>
      </c>
      <c r="F92" s="8">
        <v>16.5</v>
      </c>
      <c r="WZW92"/>
      <c r="WZX92"/>
      <c r="WZY92"/>
      <c r="WZZ92"/>
      <c r="XAA92"/>
      <c r="XAB92"/>
      <c r="XAC92"/>
      <c r="XAD92"/>
      <c r="XAE92"/>
      <c r="XAF92"/>
      <c r="XAG92"/>
      <c r="XAH92"/>
      <c r="XAI92"/>
      <c r="XAJ92"/>
      <c r="XAK92"/>
      <c r="XAL92"/>
      <c r="XAM92"/>
      <c r="XAN92"/>
      <c r="XAO92"/>
      <c r="XAP92"/>
      <c r="XAQ92"/>
      <c r="XAR92"/>
      <c r="XAS92"/>
      <c r="XAT92"/>
      <c r="XAU92"/>
      <c r="XAV92"/>
      <c r="XAW92"/>
      <c r="XAX92"/>
      <c r="XAY92"/>
      <c r="XAZ92"/>
      <c r="XBA92"/>
      <c r="XBB92"/>
      <c r="XBC92"/>
      <c r="XBD92"/>
      <c r="XBE92"/>
      <c r="XBF92"/>
      <c r="XBG92"/>
      <c r="XBH92"/>
      <c r="XBI92"/>
      <c r="XBJ92" s="5"/>
      <c r="XBK92" s="5"/>
      <c r="XBL92" s="5"/>
      <c r="XBM92" s="5"/>
      <c r="XBN92" s="5"/>
      <c r="XBO92" s="5"/>
      <c r="XBP92" s="5"/>
      <c r="XBQ92" s="5"/>
      <c r="XBR92" s="5"/>
      <c r="XBS92" s="5"/>
      <c r="XBT92" s="5"/>
      <c r="XBU92" s="5"/>
      <c r="XBV92" s="5"/>
      <c r="XBW92" s="5"/>
      <c r="XBX92" s="5"/>
      <c r="XBY92" s="5"/>
      <c r="XBZ92" s="5"/>
      <c r="XCA92" s="5"/>
      <c r="XCB92" s="5"/>
      <c r="XCC92" s="5"/>
      <c r="XCD92" s="5"/>
      <c r="XCE92" s="5"/>
      <c r="XCF92" s="5"/>
      <c r="XCG92" s="5"/>
      <c r="XCH92" s="5"/>
      <c r="XCI92" s="5"/>
      <c r="XCJ92" s="5"/>
      <c r="XCK92" s="5"/>
      <c r="XCL92" s="5"/>
      <c r="XCM92" s="5"/>
      <c r="XCN92" s="5"/>
      <c r="XCO92" s="5"/>
      <c r="XCP92" s="5"/>
      <c r="XCQ92" s="5"/>
      <c r="XCR92" s="5"/>
      <c r="XCS92" s="5"/>
      <c r="XCT92" s="5"/>
      <c r="XCU92" s="5"/>
      <c r="XCV92" s="5"/>
      <c r="XCW92" s="5"/>
      <c r="XCX92" s="5"/>
      <c r="XCY92" s="5"/>
      <c r="XCZ92" s="5"/>
      <c r="XDA92" s="5"/>
      <c r="XDB92" s="5"/>
      <c r="XDC92" s="5"/>
      <c r="XDD92" s="5"/>
      <c r="XDE92" s="5"/>
      <c r="XDF92" s="5"/>
      <c r="XDG92" s="5"/>
      <c r="XDH92" s="5"/>
      <c r="XDI92" s="5"/>
      <c r="XDJ92" s="5"/>
      <c r="XDK92" s="5"/>
      <c r="XDL92" s="5"/>
      <c r="XDM92" s="5"/>
      <c r="XDN92" s="5"/>
      <c r="XDO92" s="5"/>
      <c r="XDP92" s="5"/>
      <c r="XDQ92" s="5"/>
      <c r="XDR92" s="5"/>
      <c r="XDS92" s="5"/>
      <c r="XDT92" s="5"/>
      <c r="XDU92" s="5"/>
      <c r="XDV92" s="5"/>
      <c r="XDW92" s="5"/>
      <c r="XDX92" s="5"/>
      <c r="XDY92" s="5"/>
      <c r="XDZ92" s="5"/>
      <c r="XEA92" s="5"/>
      <c r="XEB92" s="5"/>
      <c r="XEC92" s="5"/>
      <c r="XED92" s="5"/>
      <c r="XEE92" s="5"/>
      <c r="XEF92" s="5"/>
      <c r="XEG92" s="5"/>
      <c r="XEH92" s="5"/>
      <c r="XEI92" s="5"/>
      <c r="XEJ92" s="5"/>
      <c r="XEK92" s="5"/>
      <c r="XEL92" s="5"/>
      <c r="XEM92" s="5"/>
      <c r="XEN92" s="5"/>
      <c r="XEO92" s="5"/>
      <c r="XEP92" s="5"/>
      <c r="XEQ92" s="5"/>
      <c r="XER92" s="5"/>
      <c r="XES92" s="5"/>
      <c r="XET92" s="5"/>
      <c r="XEU92" s="5"/>
      <c r="XEV92" s="5"/>
      <c r="XEW92" s="5"/>
      <c r="XEX92" s="5"/>
      <c r="XEY92" s="5"/>
      <c r="XEZ92" s="5"/>
      <c r="XFA92" s="5"/>
      <c r="XFB92" s="5"/>
    </row>
    <row r="93" s="1" customFormat="1" ht="16.5" spans="1:6 16247:16382">
      <c r="A93" s="8">
        <v>91</v>
      </c>
      <c r="B93" s="9" t="s">
        <v>97</v>
      </c>
      <c r="C93" s="8">
        <f>3*48</f>
        <v>144</v>
      </c>
      <c r="D93" s="8">
        <v>3</v>
      </c>
      <c r="E93" s="8">
        <v>264</v>
      </c>
      <c r="F93" s="8">
        <f>E93*D93</f>
        <v>792</v>
      </c>
      <c r="WZW93"/>
      <c r="WZX93"/>
      <c r="WZY93"/>
      <c r="WZZ93"/>
      <c r="XAA93"/>
      <c r="XAB93"/>
      <c r="XAC93"/>
      <c r="XAD93"/>
      <c r="XAE93"/>
      <c r="XAF93"/>
      <c r="XAG93"/>
      <c r="XAH93"/>
      <c r="XAI93"/>
      <c r="XAJ93"/>
      <c r="XAK93"/>
      <c r="XAL93"/>
      <c r="XAM93"/>
      <c r="XAN93"/>
      <c r="XAO93"/>
      <c r="XAP93"/>
      <c r="XAQ93"/>
      <c r="XAR93"/>
      <c r="XAS93"/>
      <c r="XAT93"/>
      <c r="XAU93"/>
      <c r="XAV93"/>
      <c r="XAW93"/>
      <c r="XAX93"/>
      <c r="XAY93"/>
      <c r="XAZ93"/>
      <c r="XBA93"/>
      <c r="XBB93"/>
      <c r="XBC93"/>
      <c r="XBD93"/>
      <c r="XBE93"/>
      <c r="XBF93"/>
      <c r="XBG93"/>
      <c r="XBH93"/>
      <c r="XBI93"/>
      <c r="XBJ93" s="5"/>
      <c r="XBK93" s="5"/>
      <c r="XBL93" s="5"/>
      <c r="XBM93" s="5"/>
      <c r="XBN93" s="5"/>
      <c r="XBO93" s="5"/>
      <c r="XBP93" s="5"/>
      <c r="XBQ93" s="5"/>
      <c r="XBR93" s="5"/>
      <c r="XBS93" s="5"/>
      <c r="XBT93" s="5"/>
      <c r="XBU93" s="5"/>
      <c r="XBV93" s="5"/>
      <c r="XBW93" s="5"/>
      <c r="XBX93" s="5"/>
      <c r="XBY93" s="5"/>
      <c r="XBZ93" s="5"/>
      <c r="XCA93" s="5"/>
      <c r="XCB93" s="5"/>
      <c r="XCC93" s="5"/>
      <c r="XCD93" s="5"/>
      <c r="XCE93" s="5"/>
      <c r="XCF93" s="5"/>
      <c r="XCG93" s="5"/>
      <c r="XCH93" s="5"/>
      <c r="XCI93" s="5"/>
      <c r="XCJ93" s="5"/>
      <c r="XCK93" s="5"/>
      <c r="XCL93" s="5"/>
      <c r="XCM93" s="5"/>
      <c r="XCN93" s="5"/>
      <c r="XCO93" s="5"/>
      <c r="XCP93" s="5"/>
      <c r="XCQ93" s="5"/>
      <c r="XCR93" s="5"/>
      <c r="XCS93" s="5"/>
      <c r="XCT93" s="5"/>
      <c r="XCU93" s="5"/>
      <c r="XCV93" s="5"/>
      <c r="XCW93" s="5"/>
      <c r="XCX93" s="5"/>
      <c r="XCY93" s="5"/>
      <c r="XCZ93" s="5"/>
      <c r="XDA93" s="5"/>
      <c r="XDB93" s="5"/>
      <c r="XDC93" s="5"/>
      <c r="XDD93" s="5"/>
      <c r="XDE93" s="5"/>
      <c r="XDF93" s="5"/>
      <c r="XDG93" s="5"/>
      <c r="XDH93" s="5"/>
      <c r="XDI93" s="5"/>
      <c r="XDJ93" s="5"/>
      <c r="XDK93" s="5"/>
      <c r="XDL93" s="5"/>
      <c r="XDM93" s="5"/>
      <c r="XDN93" s="5"/>
      <c r="XDO93" s="5"/>
      <c r="XDP93" s="5"/>
      <c r="XDQ93" s="5"/>
      <c r="XDR93" s="5"/>
      <c r="XDS93" s="5"/>
      <c r="XDT93" s="5"/>
      <c r="XDU93" s="5"/>
      <c r="XDV93" s="5"/>
      <c r="XDW93" s="5"/>
      <c r="XDX93" s="5"/>
      <c r="XDY93" s="5"/>
      <c r="XDZ93" s="5"/>
      <c r="XEA93" s="5"/>
      <c r="XEB93" s="5"/>
      <c r="XEC93" s="5"/>
      <c r="XED93" s="5"/>
      <c r="XEE93" s="5"/>
      <c r="XEF93" s="5"/>
      <c r="XEG93" s="5"/>
      <c r="XEH93" s="5"/>
      <c r="XEI93" s="5"/>
      <c r="XEJ93" s="5"/>
      <c r="XEK93" s="5"/>
      <c r="XEL93" s="5"/>
      <c r="XEM93" s="5"/>
      <c r="XEN93" s="5"/>
      <c r="XEO93" s="5"/>
      <c r="XEP93" s="5"/>
      <c r="XEQ93" s="5"/>
      <c r="XER93" s="5"/>
      <c r="XES93" s="5"/>
      <c r="XET93" s="5"/>
      <c r="XEU93" s="5"/>
      <c r="XEV93" s="5"/>
      <c r="XEW93" s="5"/>
      <c r="XEX93" s="5"/>
      <c r="XEY93" s="5"/>
      <c r="XEZ93" s="5"/>
      <c r="XFA93" s="5"/>
      <c r="XFB93" s="5"/>
    </row>
    <row r="94" s="1" customFormat="1" ht="16.5" spans="1:6 16247:16382">
      <c r="A94" s="8">
        <v>92</v>
      </c>
      <c r="B94" s="9" t="s">
        <v>98</v>
      </c>
      <c r="C94" s="8">
        <v>6</v>
      </c>
      <c r="D94" s="8">
        <v>3</v>
      </c>
      <c r="E94" s="8">
        <v>16.5</v>
      </c>
      <c r="F94" s="8">
        <v>49.5</v>
      </c>
      <c r="WZW94"/>
      <c r="WZX94"/>
      <c r="WZY94"/>
      <c r="WZZ94"/>
      <c r="XAA94"/>
      <c r="XAB94"/>
      <c r="XAC94"/>
      <c r="XAD94"/>
      <c r="XAE94"/>
      <c r="XAF94"/>
      <c r="XAG94"/>
      <c r="XAH94"/>
      <c r="XAI94"/>
      <c r="XAJ94"/>
      <c r="XAK94"/>
      <c r="XAL94"/>
      <c r="XAM94"/>
      <c r="XAN94"/>
      <c r="XAO94"/>
      <c r="XAP94"/>
      <c r="XAQ94"/>
      <c r="XAR94"/>
      <c r="XAS94"/>
      <c r="XAT94"/>
      <c r="XAU94"/>
      <c r="XAV94"/>
      <c r="XAW94"/>
      <c r="XAX94"/>
      <c r="XAY94"/>
      <c r="XAZ94"/>
      <c r="XBA94"/>
      <c r="XBB94"/>
      <c r="XBC94"/>
      <c r="XBD94"/>
      <c r="XBE94"/>
      <c r="XBF94"/>
      <c r="XBG94"/>
      <c r="XBH94"/>
      <c r="XBI94"/>
      <c r="XBJ94" s="5"/>
      <c r="XBK94" s="5"/>
      <c r="XBL94" s="5"/>
      <c r="XBM94" s="5"/>
      <c r="XBN94" s="5"/>
      <c r="XBO94" s="5"/>
      <c r="XBP94" s="5"/>
      <c r="XBQ94" s="5"/>
      <c r="XBR94" s="5"/>
      <c r="XBS94" s="5"/>
      <c r="XBT94" s="5"/>
      <c r="XBU94" s="5"/>
      <c r="XBV94" s="5"/>
      <c r="XBW94" s="5"/>
      <c r="XBX94" s="5"/>
      <c r="XBY94" s="5"/>
      <c r="XBZ94" s="5"/>
      <c r="XCA94" s="5"/>
      <c r="XCB94" s="5"/>
      <c r="XCC94" s="5"/>
      <c r="XCD94" s="5"/>
      <c r="XCE94" s="5"/>
      <c r="XCF94" s="5"/>
      <c r="XCG94" s="5"/>
      <c r="XCH94" s="5"/>
      <c r="XCI94" s="5"/>
      <c r="XCJ94" s="5"/>
      <c r="XCK94" s="5"/>
      <c r="XCL94" s="5"/>
      <c r="XCM94" s="5"/>
      <c r="XCN94" s="5"/>
      <c r="XCO94" s="5"/>
      <c r="XCP94" s="5"/>
      <c r="XCQ94" s="5"/>
      <c r="XCR94" s="5"/>
      <c r="XCS94" s="5"/>
      <c r="XCT94" s="5"/>
      <c r="XCU94" s="5"/>
      <c r="XCV94" s="5"/>
      <c r="XCW94" s="5"/>
      <c r="XCX94" s="5"/>
      <c r="XCY94" s="5"/>
      <c r="XCZ94" s="5"/>
      <c r="XDA94" s="5"/>
      <c r="XDB94" s="5"/>
      <c r="XDC94" s="5"/>
      <c r="XDD94" s="5"/>
      <c r="XDE94" s="5"/>
      <c r="XDF94" s="5"/>
      <c r="XDG94" s="5"/>
      <c r="XDH94" s="5"/>
      <c r="XDI94" s="5"/>
      <c r="XDJ94" s="5"/>
      <c r="XDK94" s="5"/>
      <c r="XDL94" s="5"/>
      <c r="XDM94" s="5"/>
      <c r="XDN94" s="5"/>
      <c r="XDO94" s="5"/>
      <c r="XDP94" s="5"/>
      <c r="XDQ94" s="5"/>
      <c r="XDR94" s="5"/>
      <c r="XDS94" s="5"/>
      <c r="XDT94" s="5"/>
      <c r="XDU94" s="5"/>
      <c r="XDV94" s="5"/>
      <c r="XDW94" s="5"/>
      <c r="XDX94" s="5"/>
      <c r="XDY94" s="5"/>
      <c r="XDZ94" s="5"/>
      <c r="XEA94" s="5"/>
      <c r="XEB94" s="5"/>
      <c r="XEC94" s="5"/>
      <c r="XED94" s="5"/>
      <c r="XEE94" s="5"/>
      <c r="XEF94" s="5"/>
      <c r="XEG94" s="5"/>
      <c r="XEH94" s="5"/>
      <c r="XEI94" s="5"/>
      <c r="XEJ94" s="5"/>
      <c r="XEK94" s="5"/>
      <c r="XEL94" s="5"/>
      <c r="XEM94" s="5"/>
      <c r="XEN94" s="5"/>
      <c r="XEO94" s="5"/>
      <c r="XEP94" s="5"/>
      <c r="XEQ94" s="5"/>
      <c r="XER94" s="5"/>
      <c r="XES94" s="5"/>
      <c r="XET94" s="5"/>
      <c r="XEU94" s="5"/>
      <c r="XEV94" s="5"/>
      <c r="XEW94" s="5"/>
      <c r="XEX94" s="5"/>
      <c r="XEY94" s="5"/>
      <c r="XEZ94" s="5"/>
      <c r="XFA94" s="5"/>
      <c r="XFB94" s="5"/>
    </row>
    <row r="95" s="1" customFormat="1" ht="16.5" spans="1:6 16247:16382">
      <c r="A95" s="8">
        <v>93</v>
      </c>
      <c r="B95" s="9" t="s">
        <v>99</v>
      </c>
      <c r="C95" s="8">
        <v>0</v>
      </c>
      <c r="D95" s="8">
        <v>3</v>
      </c>
      <c r="E95" s="8">
        <v>2.5</v>
      </c>
      <c r="F95" s="8">
        <v>7.5</v>
      </c>
      <c r="WZW95"/>
      <c r="WZX95"/>
      <c r="WZY95"/>
      <c r="WZZ95"/>
      <c r="XAA95"/>
      <c r="XAB95"/>
      <c r="XAC95"/>
      <c r="XAD95"/>
      <c r="XAE95"/>
      <c r="XAF95"/>
      <c r="XAG95"/>
      <c r="XAH95"/>
      <c r="XAI95"/>
      <c r="XAJ95"/>
      <c r="XAK95"/>
      <c r="XAL95"/>
      <c r="XAM95"/>
      <c r="XAN95"/>
      <c r="XAO95"/>
      <c r="XAP95"/>
      <c r="XAQ95"/>
      <c r="XAR95"/>
      <c r="XAS95"/>
      <c r="XAT95"/>
      <c r="XAU95"/>
      <c r="XAV95"/>
      <c r="XAW95"/>
      <c r="XAX95"/>
      <c r="XAY95"/>
      <c r="XAZ95"/>
      <c r="XBA95"/>
      <c r="XBB95"/>
      <c r="XBC95"/>
      <c r="XBD95"/>
      <c r="XBE95"/>
      <c r="XBF95"/>
      <c r="XBG95"/>
      <c r="XBH95"/>
      <c r="XBI95"/>
      <c r="XBJ95" s="5"/>
      <c r="XBK95" s="5"/>
      <c r="XBL95" s="5"/>
      <c r="XBM95" s="5"/>
      <c r="XBN95" s="5"/>
      <c r="XBO95" s="5"/>
      <c r="XBP95" s="5"/>
      <c r="XBQ95" s="5"/>
      <c r="XBR95" s="5"/>
      <c r="XBS95" s="5"/>
      <c r="XBT95" s="5"/>
      <c r="XBU95" s="5"/>
      <c r="XBV95" s="5"/>
      <c r="XBW95" s="5"/>
      <c r="XBX95" s="5"/>
      <c r="XBY95" s="5"/>
      <c r="XBZ95" s="5"/>
      <c r="XCA95" s="5"/>
      <c r="XCB95" s="5"/>
      <c r="XCC95" s="5"/>
      <c r="XCD95" s="5"/>
      <c r="XCE95" s="5"/>
      <c r="XCF95" s="5"/>
      <c r="XCG95" s="5"/>
      <c r="XCH95" s="5"/>
      <c r="XCI95" s="5"/>
      <c r="XCJ95" s="5"/>
      <c r="XCK95" s="5"/>
      <c r="XCL95" s="5"/>
      <c r="XCM95" s="5"/>
      <c r="XCN95" s="5"/>
      <c r="XCO95" s="5"/>
      <c r="XCP95" s="5"/>
      <c r="XCQ95" s="5"/>
      <c r="XCR95" s="5"/>
      <c r="XCS95" s="5"/>
      <c r="XCT95" s="5"/>
      <c r="XCU95" s="5"/>
      <c r="XCV95" s="5"/>
      <c r="XCW95" s="5"/>
      <c r="XCX95" s="5"/>
      <c r="XCY95" s="5"/>
      <c r="XCZ95" s="5"/>
      <c r="XDA95" s="5"/>
      <c r="XDB95" s="5"/>
      <c r="XDC95" s="5"/>
      <c r="XDD95" s="5"/>
      <c r="XDE95" s="5"/>
      <c r="XDF95" s="5"/>
      <c r="XDG95" s="5"/>
      <c r="XDH95" s="5"/>
      <c r="XDI95" s="5"/>
      <c r="XDJ95" s="5"/>
      <c r="XDK95" s="5"/>
      <c r="XDL95" s="5"/>
      <c r="XDM95" s="5"/>
      <c r="XDN95" s="5"/>
      <c r="XDO95" s="5"/>
      <c r="XDP95" s="5"/>
      <c r="XDQ95" s="5"/>
      <c r="XDR95" s="5"/>
      <c r="XDS95" s="5"/>
      <c r="XDT95" s="5"/>
      <c r="XDU95" s="5"/>
      <c r="XDV95" s="5"/>
      <c r="XDW95" s="5"/>
      <c r="XDX95" s="5"/>
      <c r="XDY95" s="5"/>
      <c r="XDZ95" s="5"/>
      <c r="XEA95" s="5"/>
      <c r="XEB95" s="5"/>
      <c r="XEC95" s="5"/>
      <c r="XED95" s="5"/>
      <c r="XEE95" s="5"/>
      <c r="XEF95" s="5"/>
      <c r="XEG95" s="5"/>
      <c r="XEH95" s="5"/>
      <c r="XEI95" s="5"/>
      <c r="XEJ95" s="5"/>
      <c r="XEK95" s="5"/>
      <c r="XEL95" s="5"/>
      <c r="XEM95" s="5"/>
      <c r="XEN95" s="5"/>
      <c r="XEO95" s="5"/>
      <c r="XEP95" s="5"/>
      <c r="XEQ95" s="5"/>
      <c r="XER95" s="5"/>
      <c r="XES95" s="5"/>
      <c r="XET95" s="5"/>
      <c r="XEU95" s="5"/>
      <c r="XEV95" s="5"/>
      <c r="XEW95" s="5"/>
      <c r="XEX95" s="5"/>
      <c r="XEY95" s="5"/>
      <c r="XEZ95" s="5"/>
      <c r="XFA95" s="5"/>
      <c r="XFB95" s="5"/>
    </row>
    <row r="96" s="1" customFormat="1" ht="16.5" spans="1:6 16247:16382">
      <c r="A96" s="8">
        <v>94</v>
      </c>
      <c r="B96" s="9" t="s">
        <v>100</v>
      </c>
      <c r="C96" s="8">
        <v>4</v>
      </c>
      <c r="D96" s="8">
        <v>2</v>
      </c>
      <c r="E96" s="8">
        <v>16.5</v>
      </c>
      <c r="F96" s="8">
        <v>33</v>
      </c>
      <c r="WZW96"/>
      <c r="WZX96"/>
      <c r="WZY96"/>
      <c r="WZZ96"/>
      <c r="XAA96"/>
      <c r="XAB96"/>
      <c r="XAC96"/>
      <c r="XAD96"/>
      <c r="XAE96"/>
      <c r="XAF96"/>
      <c r="XAG96"/>
      <c r="XAH96"/>
      <c r="XAI96"/>
      <c r="XAJ96"/>
      <c r="XAK96"/>
      <c r="XAL96"/>
      <c r="XAM96"/>
      <c r="XAN96"/>
      <c r="XAO96"/>
      <c r="XAP96"/>
      <c r="XAQ96"/>
      <c r="XAR96"/>
      <c r="XAS96"/>
      <c r="XAT96"/>
      <c r="XAU96"/>
      <c r="XAV96"/>
      <c r="XAW96"/>
      <c r="XAX96"/>
      <c r="XAY96"/>
      <c r="XAZ96"/>
      <c r="XBA96"/>
      <c r="XBB96"/>
      <c r="XBC96"/>
      <c r="XBD96"/>
      <c r="XBE96"/>
      <c r="XBF96"/>
      <c r="XBG96"/>
      <c r="XBH96"/>
      <c r="XBI96"/>
      <c r="XBJ96" s="5"/>
      <c r="XBK96" s="5"/>
      <c r="XBL96" s="5"/>
      <c r="XBM96" s="5"/>
      <c r="XBN96" s="5"/>
      <c r="XBO96" s="5"/>
      <c r="XBP96" s="5"/>
      <c r="XBQ96" s="5"/>
      <c r="XBR96" s="5"/>
      <c r="XBS96" s="5"/>
      <c r="XBT96" s="5"/>
      <c r="XBU96" s="5"/>
      <c r="XBV96" s="5"/>
      <c r="XBW96" s="5"/>
      <c r="XBX96" s="5"/>
      <c r="XBY96" s="5"/>
      <c r="XBZ96" s="5"/>
      <c r="XCA96" s="5"/>
      <c r="XCB96" s="5"/>
      <c r="XCC96" s="5"/>
      <c r="XCD96" s="5"/>
      <c r="XCE96" s="5"/>
      <c r="XCF96" s="5"/>
      <c r="XCG96" s="5"/>
      <c r="XCH96" s="5"/>
      <c r="XCI96" s="5"/>
      <c r="XCJ96" s="5"/>
      <c r="XCK96" s="5"/>
      <c r="XCL96" s="5"/>
      <c r="XCM96" s="5"/>
      <c r="XCN96" s="5"/>
      <c r="XCO96" s="5"/>
      <c r="XCP96" s="5"/>
      <c r="XCQ96" s="5"/>
      <c r="XCR96" s="5"/>
      <c r="XCS96" s="5"/>
      <c r="XCT96" s="5"/>
      <c r="XCU96" s="5"/>
      <c r="XCV96" s="5"/>
      <c r="XCW96" s="5"/>
      <c r="XCX96" s="5"/>
      <c r="XCY96" s="5"/>
      <c r="XCZ96" s="5"/>
      <c r="XDA96" s="5"/>
      <c r="XDB96" s="5"/>
      <c r="XDC96" s="5"/>
      <c r="XDD96" s="5"/>
      <c r="XDE96" s="5"/>
      <c r="XDF96" s="5"/>
      <c r="XDG96" s="5"/>
      <c r="XDH96" s="5"/>
      <c r="XDI96" s="5"/>
      <c r="XDJ96" s="5"/>
      <c r="XDK96" s="5"/>
      <c r="XDL96" s="5"/>
      <c r="XDM96" s="5"/>
      <c r="XDN96" s="5"/>
      <c r="XDO96" s="5"/>
      <c r="XDP96" s="5"/>
      <c r="XDQ96" s="5"/>
      <c r="XDR96" s="5"/>
      <c r="XDS96" s="5"/>
      <c r="XDT96" s="5"/>
      <c r="XDU96" s="5"/>
      <c r="XDV96" s="5"/>
      <c r="XDW96" s="5"/>
      <c r="XDX96" s="5"/>
      <c r="XDY96" s="5"/>
      <c r="XDZ96" s="5"/>
      <c r="XEA96" s="5"/>
      <c r="XEB96" s="5"/>
      <c r="XEC96" s="5"/>
      <c r="XED96" s="5"/>
      <c r="XEE96" s="5"/>
      <c r="XEF96" s="5"/>
      <c r="XEG96" s="5"/>
      <c r="XEH96" s="5"/>
      <c r="XEI96" s="5"/>
      <c r="XEJ96" s="5"/>
      <c r="XEK96" s="5"/>
      <c r="XEL96" s="5"/>
      <c r="XEM96" s="5"/>
      <c r="XEN96" s="5"/>
      <c r="XEO96" s="5"/>
      <c r="XEP96" s="5"/>
      <c r="XEQ96" s="5"/>
      <c r="XER96" s="5"/>
      <c r="XES96" s="5"/>
      <c r="XET96" s="5"/>
      <c r="XEU96" s="5"/>
      <c r="XEV96" s="5"/>
      <c r="XEW96" s="5"/>
      <c r="XEX96" s="5"/>
      <c r="XEY96" s="5"/>
      <c r="XEZ96" s="5"/>
      <c r="XFA96" s="5"/>
      <c r="XFB96" s="5"/>
    </row>
    <row r="97" s="1" customFormat="1" ht="16.5" spans="1:6 16247:16382">
      <c r="A97" s="8">
        <v>95</v>
      </c>
      <c r="B97" s="9" t="s">
        <v>101</v>
      </c>
      <c r="C97" s="8">
        <v>2</v>
      </c>
      <c r="D97" s="8">
        <v>1</v>
      </c>
      <c r="E97" s="8">
        <v>16.5</v>
      </c>
      <c r="F97" s="8">
        <v>16.5</v>
      </c>
      <c r="WZW97"/>
      <c r="WZX97"/>
      <c r="WZY97"/>
      <c r="WZZ97"/>
      <c r="XAA97"/>
      <c r="XAB97"/>
      <c r="XAC97"/>
      <c r="XAD97"/>
      <c r="XAE97"/>
      <c r="XAF97"/>
      <c r="XAG97"/>
      <c r="XAH97"/>
      <c r="XAI97"/>
      <c r="XAJ97"/>
      <c r="XAK97"/>
      <c r="XAL97"/>
      <c r="XAM97"/>
      <c r="XAN97"/>
      <c r="XAO97"/>
      <c r="XAP97"/>
      <c r="XAQ97"/>
      <c r="XAR97"/>
      <c r="XAS97"/>
      <c r="XAT97"/>
      <c r="XAU97"/>
      <c r="XAV97"/>
      <c r="XAW97"/>
      <c r="XAX97"/>
      <c r="XAY97"/>
      <c r="XAZ97"/>
      <c r="XBA97"/>
      <c r="XBB97"/>
      <c r="XBC97"/>
      <c r="XBD97"/>
      <c r="XBE97"/>
      <c r="XBF97"/>
      <c r="XBG97"/>
      <c r="XBH97"/>
      <c r="XBI97"/>
      <c r="XBJ97" s="5"/>
      <c r="XBK97" s="5"/>
      <c r="XBL97" s="5"/>
      <c r="XBM97" s="5"/>
      <c r="XBN97" s="5"/>
      <c r="XBO97" s="5"/>
      <c r="XBP97" s="5"/>
      <c r="XBQ97" s="5"/>
      <c r="XBR97" s="5"/>
      <c r="XBS97" s="5"/>
      <c r="XBT97" s="5"/>
      <c r="XBU97" s="5"/>
      <c r="XBV97" s="5"/>
      <c r="XBW97" s="5"/>
      <c r="XBX97" s="5"/>
      <c r="XBY97" s="5"/>
      <c r="XBZ97" s="5"/>
      <c r="XCA97" s="5"/>
      <c r="XCB97" s="5"/>
      <c r="XCC97" s="5"/>
      <c r="XCD97" s="5"/>
      <c r="XCE97" s="5"/>
      <c r="XCF97" s="5"/>
      <c r="XCG97" s="5"/>
      <c r="XCH97" s="5"/>
      <c r="XCI97" s="5"/>
      <c r="XCJ97" s="5"/>
      <c r="XCK97" s="5"/>
      <c r="XCL97" s="5"/>
      <c r="XCM97" s="5"/>
      <c r="XCN97" s="5"/>
      <c r="XCO97" s="5"/>
      <c r="XCP97" s="5"/>
      <c r="XCQ97" s="5"/>
      <c r="XCR97" s="5"/>
      <c r="XCS97" s="5"/>
      <c r="XCT97" s="5"/>
      <c r="XCU97" s="5"/>
      <c r="XCV97" s="5"/>
      <c r="XCW97" s="5"/>
      <c r="XCX97" s="5"/>
      <c r="XCY97" s="5"/>
      <c r="XCZ97" s="5"/>
      <c r="XDA97" s="5"/>
      <c r="XDB97" s="5"/>
      <c r="XDC97" s="5"/>
      <c r="XDD97" s="5"/>
      <c r="XDE97" s="5"/>
      <c r="XDF97" s="5"/>
      <c r="XDG97" s="5"/>
      <c r="XDH97" s="5"/>
      <c r="XDI97" s="5"/>
      <c r="XDJ97" s="5"/>
      <c r="XDK97" s="5"/>
      <c r="XDL97" s="5"/>
      <c r="XDM97" s="5"/>
      <c r="XDN97" s="5"/>
      <c r="XDO97" s="5"/>
      <c r="XDP97" s="5"/>
      <c r="XDQ97" s="5"/>
      <c r="XDR97" s="5"/>
      <c r="XDS97" s="5"/>
      <c r="XDT97" s="5"/>
      <c r="XDU97" s="5"/>
      <c r="XDV97" s="5"/>
      <c r="XDW97" s="5"/>
      <c r="XDX97" s="5"/>
      <c r="XDY97" s="5"/>
      <c r="XDZ97" s="5"/>
      <c r="XEA97" s="5"/>
      <c r="XEB97" s="5"/>
      <c r="XEC97" s="5"/>
      <c r="XED97" s="5"/>
      <c r="XEE97" s="5"/>
      <c r="XEF97" s="5"/>
      <c r="XEG97" s="5"/>
      <c r="XEH97" s="5"/>
      <c r="XEI97" s="5"/>
      <c r="XEJ97" s="5"/>
      <c r="XEK97" s="5"/>
      <c r="XEL97" s="5"/>
      <c r="XEM97" s="5"/>
      <c r="XEN97" s="5"/>
      <c r="XEO97" s="5"/>
      <c r="XEP97" s="5"/>
      <c r="XEQ97" s="5"/>
      <c r="XER97" s="5"/>
      <c r="XES97" s="5"/>
      <c r="XET97" s="5"/>
      <c r="XEU97" s="5"/>
      <c r="XEV97" s="5"/>
      <c r="XEW97" s="5"/>
      <c r="XEX97" s="5"/>
      <c r="XEY97" s="5"/>
      <c r="XEZ97" s="5"/>
      <c r="XFA97" s="5"/>
      <c r="XFB97" s="5"/>
    </row>
    <row r="98" s="1" customFormat="1" ht="16.5" spans="1:6 16247:16382">
      <c r="A98" s="8">
        <v>96</v>
      </c>
      <c r="B98" s="9" t="s">
        <v>102</v>
      </c>
      <c r="C98" s="8">
        <v>6</v>
      </c>
      <c r="D98" s="8">
        <v>1</v>
      </c>
      <c r="E98" s="8">
        <v>66</v>
      </c>
      <c r="F98" s="8">
        <v>66</v>
      </c>
      <c r="WZW98"/>
      <c r="WZX98"/>
      <c r="WZY98"/>
      <c r="WZZ98"/>
      <c r="XAA98"/>
      <c r="XAB98"/>
      <c r="XAC98"/>
      <c r="XAD98"/>
      <c r="XAE98"/>
      <c r="XAF98"/>
      <c r="XAG98"/>
      <c r="XAH98"/>
      <c r="XAI98"/>
      <c r="XAJ98"/>
      <c r="XAK98"/>
      <c r="XAL98"/>
      <c r="XAM98"/>
      <c r="XAN98"/>
      <c r="XAO98"/>
      <c r="XAP98"/>
      <c r="XAQ98"/>
      <c r="XAR98"/>
      <c r="XAS98"/>
      <c r="XAT98"/>
      <c r="XAU98"/>
      <c r="XAV98"/>
      <c r="XAW98"/>
      <c r="XAX98"/>
      <c r="XAY98"/>
      <c r="XAZ98"/>
      <c r="XBA98"/>
      <c r="XBB98"/>
      <c r="XBC98"/>
      <c r="XBD98"/>
      <c r="XBE98"/>
      <c r="XBF98"/>
      <c r="XBG98"/>
      <c r="XBH98"/>
      <c r="XBI98"/>
      <c r="XBJ98" s="5"/>
      <c r="XBK98" s="5"/>
      <c r="XBL98" s="5"/>
      <c r="XBM98" s="5"/>
      <c r="XBN98" s="5"/>
      <c r="XBO98" s="5"/>
      <c r="XBP98" s="5"/>
      <c r="XBQ98" s="5"/>
      <c r="XBR98" s="5"/>
      <c r="XBS98" s="5"/>
      <c r="XBT98" s="5"/>
      <c r="XBU98" s="5"/>
      <c r="XBV98" s="5"/>
      <c r="XBW98" s="5"/>
      <c r="XBX98" s="5"/>
      <c r="XBY98" s="5"/>
      <c r="XBZ98" s="5"/>
      <c r="XCA98" s="5"/>
      <c r="XCB98" s="5"/>
      <c r="XCC98" s="5"/>
      <c r="XCD98" s="5"/>
      <c r="XCE98" s="5"/>
      <c r="XCF98" s="5"/>
      <c r="XCG98" s="5"/>
      <c r="XCH98" s="5"/>
      <c r="XCI98" s="5"/>
      <c r="XCJ98" s="5"/>
      <c r="XCK98" s="5"/>
      <c r="XCL98" s="5"/>
      <c r="XCM98" s="5"/>
      <c r="XCN98" s="5"/>
      <c r="XCO98" s="5"/>
      <c r="XCP98" s="5"/>
      <c r="XCQ98" s="5"/>
      <c r="XCR98" s="5"/>
      <c r="XCS98" s="5"/>
      <c r="XCT98" s="5"/>
      <c r="XCU98" s="5"/>
      <c r="XCV98" s="5"/>
      <c r="XCW98" s="5"/>
      <c r="XCX98" s="5"/>
      <c r="XCY98" s="5"/>
      <c r="XCZ98" s="5"/>
      <c r="XDA98" s="5"/>
      <c r="XDB98" s="5"/>
      <c r="XDC98" s="5"/>
      <c r="XDD98" s="5"/>
      <c r="XDE98" s="5"/>
      <c r="XDF98" s="5"/>
      <c r="XDG98" s="5"/>
      <c r="XDH98" s="5"/>
      <c r="XDI98" s="5"/>
      <c r="XDJ98" s="5"/>
      <c r="XDK98" s="5"/>
      <c r="XDL98" s="5"/>
      <c r="XDM98" s="5"/>
      <c r="XDN98" s="5"/>
      <c r="XDO98" s="5"/>
      <c r="XDP98" s="5"/>
      <c r="XDQ98" s="5"/>
      <c r="XDR98" s="5"/>
      <c r="XDS98" s="5"/>
      <c r="XDT98" s="5"/>
      <c r="XDU98" s="5"/>
      <c r="XDV98" s="5"/>
      <c r="XDW98" s="5"/>
      <c r="XDX98" s="5"/>
      <c r="XDY98" s="5"/>
      <c r="XDZ98" s="5"/>
      <c r="XEA98" s="5"/>
      <c r="XEB98" s="5"/>
      <c r="XEC98" s="5"/>
      <c r="XED98" s="5"/>
      <c r="XEE98" s="5"/>
      <c r="XEF98" s="5"/>
      <c r="XEG98" s="5"/>
      <c r="XEH98" s="5"/>
      <c r="XEI98" s="5"/>
      <c r="XEJ98" s="5"/>
      <c r="XEK98" s="5"/>
      <c r="XEL98" s="5"/>
      <c r="XEM98" s="5"/>
      <c r="XEN98" s="5"/>
      <c r="XEO98" s="5"/>
      <c r="XEP98" s="5"/>
      <c r="XEQ98" s="5"/>
      <c r="XER98" s="5"/>
      <c r="XES98" s="5"/>
      <c r="XET98" s="5"/>
      <c r="XEU98" s="5"/>
      <c r="XEV98" s="5"/>
      <c r="XEW98" s="5"/>
      <c r="XEX98" s="5"/>
      <c r="XEY98" s="5"/>
      <c r="XEZ98" s="5"/>
      <c r="XFA98" s="5"/>
      <c r="XFB98" s="5"/>
    </row>
    <row r="99" s="1" customFormat="1" ht="16.5" spans="1:6 16247:16382">
      <c r="A99" s="8">
        <v>97</v>
      </c>
      <c r="B99" s="9" t="s">
        <v>103</v>
      </c>
      <c r="C99" s="8">
        <v>196</v>
      </c>
      <c r="D99" s="8">
        <v>7</v>
      </c>
      <c r="E99" s="8">
        <v>154</v>
      </c>
      <c r="F99" s="8">
        <v>1078</v>
      </c>
      <c r="WZW99"/>
      <c r="WZX99"/>
      <c r="WZY99"/>
      <c r="WZZ99"/>
      <c r="XAA99"/>
      <c r="XAB99"/>
      <c r="XAC99"/>
      <c r="XAD99"/>
      <c r="XAE99"/>
      <c r="XAF99"/>
      <c r="XAG99"/>
      <c r="XAH99"/>
      <c r="XAI99"/>
      <c r="XAJ99"/>
      <c r="XAK99"/>
      <c r="XAL99"/>
      <c r="XAM99"/>
      <c r="XAN99"/>
      <c r="XAO99"/>
      <c r="XAP99"/>
      <c r="XAQ99"/>
      <c r="XAR99"/>
      <c r="XAS99"/>
      <c r="XAT99"/>
      <c r="XAU99"/>
      <c r="XAV99"/>
      <c r="XAW99"/>
      <c r="XAX99"/>
      <c r="XAY99"/>
      <c r="XAZ99"/>
      <c r="XBA99"/>
      <c r="XBB99"/>
      <c r="XBC99"/>
      <c r="XBD99"/>
      <c r="XBE99"/>
      <c r="XBF99"/>
      <c r="XBG99"/>
      <c r="XBH99"/>
      <c r="XBI99"/>
      <c r="XBJ99" s="5"/>
      <c r="XBK99" s="5"/>
      <c r="XBL99" s="5"/>
      <c r="XBM99" s="5"/>
      <c r="XBN99" s="5"/>
      <c r="XBO99" s="5"/>
      <c r="XBP99" s="5"/>
      <c r="XBQ99" s="5"/>
      <c r="XBR99" s="5"/>
      <c r="XBS99" s="5"/>
      <c r="XBT99" s="5"/>
      <c r="XBU99" s="5"/>
      <c r="XBV99" s="5"/>
      <c r="XBW99" s="5"/>
      <c r="XBX99" s="5"/>
      <c r="XBY99" s="5"/>
      <c r="XBZ99" s="5"/>
      <c r="XCA99" s="5"/>
      <c r="XCB99" s="5"/>
      <c r="XCC99" s="5"/>
      <c r="XCD99" s="5"/>
      <c r="XCE99" s="5"/>
      <c r="XCF99" s="5"/>
      <c r="XCG99" s="5"/>
      <c r="XCH99" s="5"/>
      <c r="XCI99" s="5"/>
      <c r="XCJ99" s="5"/>
      <c r="XCK99" s="5"/>
      <c r="XCL99" s="5"/>
      <c r="XCM99" s="5"/>
      <c r="XCN99" s="5"/>
      <c r="XCO99" s="5"/>
      <c r="XCP99" s="5"/>
      <c r="XCQ99" s="5"/>
      <c r="XCR99" s="5"/>
      <c r="XCS99" s="5"/>
      <c r="XCT99" s="5"/>
      <c r="XCU99" s="5"/>
      <c r="XCV99" s="5"/>
      <c r="XCW99" s="5"/>
      <c r="XCX99" s="5"/>
      <c r="XCY99" s="5"/>
      <c r="XCZ99" s="5"/>
      <c r="XDA99" s="5"/>
      <c r="XDB99" s="5"/>
      <c r="XDC99" s="5"/>
      <c r="XDD99" s="5"/>
      <c r="XDE99" s="5"/>
      <c r="XDF99" s="5"/>
      <c r="XDG99" s="5"/>
      <c r="XDH99" s="5"/>
      <c r="XDI99" s="5"/>
      <c r="XDJ99" s="5"/>
      <c r="XDK99" s="5"/>
      <c r="XDL99" s="5"/>
      <c r="XDM99" s="5"/>
      <c r="XDN99" s="5"/>
      <c r="XDO99" s="5"/>
      <c r="XDP99" s="5"/>
      <c r="XDQ99" s="5"/>
      <c r="XDR99" s="5"/>
      <c r="XDS99" s="5"/>
      <c r="XDT99" s="5"/>
      <c r="XDU99" s="5"/>
      <c r="XDV99" s="5"/>
      <c r="XDW99" s="5"/>
      <c r="XDX99" s="5"/>
      <c r="XDY99" s="5"/>
      <c r="XDZ99" s="5"/>
      <c r="XEA99" s="5"/>
      <c r="XEB99" s="5"/>
      <c r="XEC99" s="5"/>
      <c r="XED99" s="5"/>
      <c r="XEE99" s="5"/>
      <c r="XEF99" s="5"/>
      <c r="XEG99" s="5"/>
      <c r="XEH99" s="5"/>
      <c r="XEI99" s="5"/>
      <c r="XEJ99" s="5"/>
      <c r="XEK99" s="5"/>
      <c r="XEL99" s="5"/>
      <c r="XEM99" s="5"/>
      <c r="XEN99" s="5"/>
      <c r="XEO99" s="5"/>
      <c r="XEP99" s="5"/>
      <c r="XEQ99" s="5"/>
      <c r="XER99" s="5"/>
      <c r="XES99" s="5"/>
      <c r="XET99" s="5"/>
      <c r="XEU99" s="5"/>
      <c r="XEV99" s="5"/>
      <c r="XEW99" s="5"/>
      <c r="XEX99" s="5"/>
      <c r="XEY99" s="5"/>
      <c r="XEZ99" s="5"/>
      <c r="XFA99" s="5"/>
      <c r="XFB99" s="5"/>
    </row>
    <row r="100" s="1" customFormat="1" ht="16.5" spans="1:6 16247:16382">
      <c r="A100" s="8">
        <v>98</v>
      </c>
      <c r="B100" s="9" t="s">
        <v>104</v>
      </c>
      <c r="C100" s="8">
        <v>12</v>
      </c>
      <c r="D100" s="8">
        <v>4</v>
      </c>
      <c r="E100" s="8">
        <v>16.5</v>
      </c>
      <c r="F100" s="8">
        <v>66</v>
      </c>
      <c r="WZW100"/>
      <c r="WZX100"/>
      <c r="WZY100"/>
      <c r="WZZ100"/>
      <c r="XAA100"/>
      <c r="XAB100"/>
      <c r="XAC100"/>
      <c r="XAD100"/>
      <c r="XAE100"/>
      <c r="XAF100"/>
      <c r="XAG100"/>
      <c r="XAH100"/>
      <c r="XAI100"/>
      <c r="XAJ100"/>
      <c r="XAK100"/>
      <c r="XAL100"/>
      <c r="XAM100"/>
      <c r="XAN100"/>
      <c r="XAO100"/>
      <c r="XAP100"/>
      <c r="XAQ100"/>
      <c r="XAR100"/>
      <c r="XAS100"/>
      <c r="XAT100"/>
      <c r="XAU100"/>
      <c r="XAV100"/>
      <c r="XAW100"/>
      <c r="XAX100"/>
      <c r="XAY100"/>
      <c r="XAZ100"/>
      <c r="XBA100"/>
      <c r="XBB100"/>
      <c r="XBC100"/>
      <c r="XBD100"/>
      <c r="XBE100"/>
      <c r="XBF100"/>
      <c r="XBG100"/>
      <c r="XBH100"/>
      <c r="XBI100"/>
      <c r="XBJ100" s="5"/>
      <c r="XBK100" s="5"/>
      <c r="XBL100" s="5"/>
      <c r="XBM100" s="5"/>
      <c r="XBN100" s="5"/>
      <c r="XBO100" s="5"/>
      <c r="XBP100" s="5"/>
      <c r="XBQ100" s="5"/>
      <c r="XBR100" s="5"/>
      <c r="XBS100" s="5"/>
      <c r="XBT100" s="5"/>
      <c r="XBU100" s="5"/>
      <c r="XBV100" s="5"/>
      <c r="XBW100" s="5"/>
      <c r="XBX100" s="5"/>
      <c r="XBY100" s="5"/>
      <c r="XBZ100" s="5"/>
      <c r="XCA100" s="5"/>
      <c r="XCB100" s="5"/>
      <c r="XCC100" s="5"/>
      <c r="XCD100" s="5"/>
      <c r="XCE100" s="5"/>
      <c r="XCF100" s="5"/>
      <c r="XCG100" s="5"/>
      <c r="XCH100" s="5"/>
      <c r="XCI100" s="5"/>
      <c r="XCJ100" s="5"/>
      <c r="XCK100" s="5"/>
      <c r="XCL100" s="5"/>
      <c r="XCM100" s="5"/>
      <c r="XCN100" s="5"/>
      <c r="XCO100" s="5"/>
      <c r="XCP100" s="5"/>
      <c r="XCQ100" s="5"/>
      <c r="XCR100" s="5"/>
      <c r="XCS100" s="5"/>
      <c r="XCT100" s="5"/>
      <c r="XCU100" s="5"/>
      <c r="XCV100" s="5"/>
      <c r="XCW100" s="5"/>
      <c r="XCX100" s="5"/>
      <c r="XCY100" s="5"/>
      <c r="XCZ100" s="5"/>
      <c r="XDA100" s="5"/>
      <c r="XDB100" s="5"/>
      <c r="XDC100" s="5"/>
      <c r="XDD100" s="5"/>
      <c r="XDE100" s="5"/>
      <c r="XDF100" s="5"/>
      <c r="XDG100" s="5"/>
      <c r="XDH100" s="5"/>
      <c r="XDI100" s="5"/>
      <c r="XDJ100" s="5"/>
      <c r="XDK100" s="5"/>
      <c r="XDL100" s="5"/>
      <c r="XDM100" s="5"/>
      <c r="XDN100" s="5"/>
      <c r="XDO100" s="5"/>
      <c r="XDP100" s="5"/>
      <c r="XDQ100" s="5"/>
      <c r="XDR100" s="5"/>
      <c r="XDS100" s="5"/>
      <c r="XDT100" s="5"/>
      <c r="XDU100" s="5"/>
      <c r="XDV100" s="5"/>
      <c r="XDW100" s="5"/>
      <c r="XDX100" s="5"/>
      <c r="XDY100" s="5"/>
      <c r="XDZ100" s="5"/>
      <c r="XEA100" s="5"/>
      <c r="XEB100" s="5"/>
      <c r="XEC100" s="5"/>
      <c r="XED100" s="5"/>
      <c r="XEE100" s="5"/>
      <c r="XEF100" s="5"/>
      <c r="XEG100" s="5"/>
      <c r="XEH100" s="5"/>
      <c r="XEI100" s="5"/>
      <c r="XEJ100" s="5"/>
      <c r="XEK100" s="5"/>
      <c r="XEL100" s="5"/>
      <c r="XEM100" s="5"/>
      <c r="XEN100" s="5"/>
      <c r="XEO100" s="5"/>
      <c r="XEP100" s="5"/>
      <c r="XEQ100" s="5"/>
      <c r="XER100" s="5"/>
      <c r="XES100" s="5"/>
      <c r="XET100" s="5"/>
      <c r="XEU100" s="5"/>
      <c r="XEV100" s="5"/>
      <c r="XEW100" s="5"/>
      <c r="XEX100" s="5"/>
      <c r="XEY100" s="5"/>
      <c r="XEZ100" s="5"/>
      <c r="XFA100" s="5"/>
      <c r="XFB100" s="5"/>
    </row>
    <row r="101" s="1" customFormat="1" ht="16.5" spans="1:6 16247:16382">
      <c r="A101" s="8">
        <v>99</v>
      </c>
      <c r="B101" s="9" t="s">
        <v>105</v>
      </c>
      <c r="C101" s="8">
        <v>44</v>
      </c>
      <c r="D101" s="8">
        <v>1</v>
      </c>
      <c r="E101" s="8">
        <v>242</v>
      </c>
      <c r="F101" s="8">
        <v>242</v>
      </c>
      <c r="WZW101"/>
      <c r="WZX101"/>
      <c r="WZY101"/>
      <c r="WZZ101"/>
      <c r="XAA101"/>
      <c r="XAB101"/>
      <c r="XAC101"/>
      <c r="XAD101"/>
      <c r="XAE101"/>
      <c r="XAF101"/>
      <c r="XAG101"/>
      <c r="XAH101"/>
      <c r="XAI101"/>
      <c r="XAJ101"/>
      <c r="XAK101"/>
      <c r="XAL101"/>
      <c r="XAM101"/>
      <c r="XAN101"/>
      <c r="XAO101"/>
      <c r="XAP101"/>
      <c r="XAQ101"/>
      <c r="XAR101"/>
      <c r="XAS101"/>
      <c r="XAT101"/>
      <c r="XAU101"/>
      <c r="XAV101"/>
      <c r="XAW101"/>
      <c r="XAX101"/>
      <c r="XAY101"/>
      <c r="XAZ101"/>
      <c r="XBA101"/>
      <c r="XBB101"/>
      <c r="XBC101"/>
      <c r="XBD101"/>
      <c r="XBE101"/>
      <c r="XBF101"/>
      <c r="XBG101"/>
      <c r="XBH101"/>
      <c r="XBI101"/>
      <c r="XBJ101" s="5"/>
      <c r="XBK101" s="5"/>
      <c r="XBL101" s="5"/>
      <c r="XBM101" s="5"/>
      <c r="XBN101" s="5"/>
      <c r="XBO101" s="5"/>
      <c r="XBP101" s="5"/>
      <c r="XBQ101" s="5"/>
      <c r="XBR101" s="5"/>
      <c r="XBS101" s="5"/>
      <c r="XBT101" s="5"/>
      <c r="XBU101" s="5"/>
      <c r="XBV101" s="5"/>
      <c r="XBW101" s="5"/>
      <c r="XBX101" s="5"/>
      <c r="XBY101" s="5"/>
      <c r="XBZ101" s="5"/>
      <c r="XCA101" s="5"/>
      <c r="XCB101" s="5"/>
      <c r="XCC101" s="5"/>
      <c r="XCD101" s="5"/>
      <c r="XCE101" s="5"/>
      <c r="XCF101" s="5"/>
      <c r="XCG101" s="5"/>
      <c r="XCH101" s="5"/>
      <c r="XCI101" s="5"/>
      <c r="XCJ101" s="5"/>
      <c r="XCK101" s="5"/>
      <c r="XCL101" s="5"/>
      <c r="XCM101" s="5"/>
      <c r="XCN101" s="5"/>
      <c r="XCO101" s="5"/>
      <c r="XCP101" s="5"/>
      <c r="XCQ101" s="5"/>
      <c r="XCR101" s="5"/>
      <c r="XCS101" s="5"/>
      <c r="XCT101" s="5"/>
      <c r="XCU101" s="5"/>
      <c r="XCV101" s="5"/>
      <c r="XCW101" s="5"/>
      <c r="XCX101" s="5"/>
      <c r="XCY101" s="5"/>
      <c r="XCZ101" s="5"/>
      <c r="XDA101" s="5"/>
      <c r="XDB101" s="5"/>
      <c r="XDC101" s="5"/>
      <c r="XDD101" s="5"/>
      <c r="XDE101" s="5"/>
      <c r="XDF101" s="5"/>
      <c r="XDG101" s="5"/>
      <c r="XDH101" s="5"/>
      <c r="XDI101" s="5"/>
      <c r="XDJ101" s="5"/>
      <c r="XDK101" s="5"/>
      <c r="XDL101" s="5"/>
      <c r="XDM101" s="5"/>
      <c r="XDN101" s="5"/>
      <c r="XDO101" s="5"/>
      <c r="XDP101" s="5"/>
      <c r="XDQ101" s="5"/>
      <c r="XDR101" s="5"/>
      <c r="XDS101" s="5"/>
      <c r="XDT101" s="5"/>
      <c r="XDU101" s="5"/>
      <c r="XDV101" s="5"/>
      <c r="XDW101" s="5"/>
      <c r="XDX101" s="5"/>
      <c r="XDY101" s="5"/>
      <c r="XDZ101" s="5"/>
      <c r="XEA101" s="5"/>
      <c r="XEB101" s="5"/>
      <c r="XEC101" s="5"/>
      <c r="XED101" s="5"/>
      <c r="XEE101" s="5"/>
      <c r="XEF101" s="5"/>
      <c r="XEG101" s="5"/>
      <c r="XEH101" s="5"/>
      <c r="XEI101" s="5"/>
      <c r="XEJ101" s="5"/>
      <c r="XEK101" s="5"/>
      <c r="XEL101" s="5"/>
      <c r="XEM101" s="5"/>
      <c r="XEN101" s="5"/>
      <c r="XEO101" s="5"/>
      <c r="XEP101" s="5"/>
      <c r="XEQ101" s="5"/>
      <c r="XER101" s="5"/>
      <c r="XES101" s="5"/>
      <c r="XET101" s="5"/>
      <c r="XEU101" s="5"/>
      <c r="XEV101" s="5"/>
      <c r="XEW101" s="5"/>
      <c r="XEX101" s="5"/>
      <c r="XEY101" s="5"/>
      <c r="XEZ101" s="5"/>
      <c r="XFA101" s="5"/>
      <c r="XFB101" s="5"/>
    </row>
    <row r="102" s="1" customFormat="1" ht="16.5" spans="1:6 16247:16382">
      <c r="A102" s="8">
        <v>100</v>
      </c>
      <c r="B102" s="9" t="s">
        <v>106</v>
      </c>
      <c r="C102" s="8">
        <v>0</v>
      </c>
      <c r="D102" s="8">
        <v>332</v>
      </c>
      <c r="E102" s="8">
        <v>2.5</v>
      </c>
      <c r="F102" s="8">
        <v>830</v>
      </c>
      <c r="WZW102"/>
      <c r="WZX102"/>
      <c r="WZY102"/>
      <c r="WZZ102"/>
      <c r="XAA102"/>
      <c r="XAB102"/>
      <c r="XAC102"/>
      <c r="XAD102"/>
      <c r="XAE102"/>
      <c r="XAF102"/>
      <c r="XAG102"/>
      <c r="XAH102"/>
      <c r="XAI102"/>
      <c r="XAJ102"/>
      <c r="XAK102"/>
      <c r="XAL102"/>
      <c r="XAM102"/>
      <c r="XAN102"/>
      <c r="XAO102"/>
      <c r="XAP102"/>
      <c r="XAQ102"/>
      <c r="XAR102"/>
      <c r="XAS102"/>
      <c r="XAT102"/>
      <c r="XAU102"/>
      <c r="XAV102"/>
      <c r="XAW102"/>
      <c r="XAX102"/>
      <c r="XAY102"/>
      <c r="XAZ102"/>
      <c r="XBA102"/>
      <c r="XBB102"/>
      <c r="XBC102"/>
      <c r="XBD102"/>
      <c r="XBE102"/>
      <c r="XBF102"/>
      <c r="XBG102"/>
      <c r="XBH102"/>
      <c r="XBI102"/>
      <c r="XBJ102" s="5"/>
      <c r="XBK102" s="5"/>
      <c r="XBL102" s="5"/>
      <c r="XBM102" s="5"/>
      <c r="XBN102" s="5"/>
      <c r="XBO102" s="5"/>
      <c r="XBP102" s="5"/>
      <c r="XBQ102" s="5"/>
      <c r="XBR102" s="5"/>
      <c r="XBS102" s="5"/>
      <c r="XBT102" s="5"/>
      <c r="XBU102" s="5"/>
      <c r="XBV102" s="5"/>
      <c r="XBW102" s="5"/>
      <c r="XBX102" s="5"/>
      <c r="XBY102" s="5"/>
      <c r="XBZ102" s="5"/>
      <c r="XCA102" s="5"/>
      <c r="XCB102" s="5"/>
      <c r="XCC102" s="5"/>
      <c r="XCD102" s="5"/>
      <c r="XCE102" s="5"/>
      <c r="XCF102" s="5"/>
      <c r="XCG102" s="5"/>
      <c r="XCH102" s="5"/>
      <c r="XCI102" s="5"/>
      <c r="XCJ102" s="5"/>
      <c r="XCK102" s="5"/>
      <c r="XCL102" s="5"/>
      <c r="XCM102" s="5"/>
      <c r="XCN102" s="5"/>
      <c r="XCO102" s="5"/>
      <c r="XCP102" s="5"/>
      <c r="XCQ102" s="5"/>
      <c r="XCR102" s="5"/>
      <c r="XCS102" s="5"/>
      <c r="XCT102" s="5"/>
      <c r="XCU102" s="5"/>
      <c r="XCV102" s="5"/>
      <c r="XCW102" s="5"/>
      <c r="XCX102" s="5"/>
      <c r="XCY102" s="5"/>
      <c r="XCZ102" s="5"/>
      <c r="XDA102" s="5"/>
      <c r="XDB102" s="5"/>
      <c r="XDC102" s="5"/>
      <c r="XDD102" s="5"/>
      <c r="XDE102" s="5"/>
      <c r="XDF102" s="5"/>
      <c r="XDG102" s="5"/>
      <c r="XDH102" s="5"/>
      <c r="XDI102" s="5"/>
      <c r="XDJ102" s="5"/>
      <c r="XDK102" s="5"/>
      <c r="XDL102" s="5"/>
      <c r="XDM102" s="5"/>
      <c r="XDN102" s="5"/>
      <c r="XDO102" s="5"/>
      <c r="XDP102" s="5"/>
      <c r="XDQ102" s="5"/>
      <c r="XDR102" s="5"/>
      <c r="XDS102" s="5"/>
      <c r="XDT102" s="5"/>
      <c r="XDU102" s="5"/>
      <c r="XDV102" s="5"/>
      <c r="XDW102" s="5"/>
      <c r="XDX102" s="5"/>
      <c r="XDY102" s="5"/>
      <c r="XDZ102" s="5"/>
      <c r="XEA102" s="5"/>
      <c r="XEB102" s="5"/>
      <c r="XEC102" s="5"/>
      <c r="XED102" s="5"/>
      <c r="XEE102" s="5"/>
      <c r="XEF102" s="5"/>
      <c r="XEG102" s="5"/>
      <c r="XEH102" s="5"/>
      <c r="XEI102" s="5"/>
      <c r="XEJ102" s="5"/>
      <c r="XEK102" s="5"/>
      <c r="XEL102" s="5"/>
      <c r="XEM102" s="5"/>
      <c r="XEN102" s="5"/>
      <c r="XEO102" s="5"/>
      <c r="XEP102" s="5"/>
      <c r="XEQ102" s="5"/>
      <c r="XER102" s="5"/>
      <c r="XES102" s="5"/>
      <c r="XET102" s="5"/>
      <c r="XEU102" s="5"/>
      <c r="XEV102" s="5"/>
      <c r="XEW102" s="5"/>
      <c r="XEX102" s="5"/>
      <c r="XEY102" s="5"/>
      <c r="XEZ102" s="5"/>
      <c r="XFA102" s="5"/>
      <c r="XFB102" s="5"/>
    </row>
    <row r="103" s="1" customFormat="1" ht="16.5" spans="1:6 16247:16382">
      <c r="A103" s="8">
        <v>101</v>
      </c>
      <c r="B103" s="9" t="s">
        <v>107</v>
      </c>
      <c r="C103" s="8">
        <v>8</v>
      </c>
      <c r="D103" s="8">
        <v>8</v>
      </c>
      <c r="E103" s="8">
        <v>16.5</v>
      </c>
      <c r="F103" s="8">
        <v>132</v>
      </c>
      <c r="WZW103"/>
      <c r="WZX103"/>
      <c r="WZY103"/>
      <c r="WZZ103"/>
      <c r="XAA103"/>
      <c r="XAB103"/>
      <c r="XAC103"/>
      <c r="XAD103"/>
      <c r="XAE103"/>
      <c r="XAF103"/>
      <c r="XAG103"/>
      <c r="XAH103"/>
      <c r="XAI103"/>
      <c r="XAJ103"/>
      <c r="XAK103"/>
      <c r="XAL103"/>
      <c r="XAM103"/>
      <c r="XAN103"/>
      <c r="XAO103"/>
      <c r="XAP103"/>
      <c r="XAQ103"/>
      <c r="XAR103"/>
      <c r="XAS103"/>
      <c r="XAT103"/>
      <c r="XAU103"/>
      <c r="XAV103"/>
      <c r="XAW103"/>
      <c r="XAX103"/>
      <c r="XAY103"/>
      <c r="XAZ103"/>
      <c r="XBA103"/>
      <c r="XBB103"/>
      <c r="XBC103"/>
      <c r="XBD103"/>
      <c r="XBE103"/>
      <c r="XBF103"/>
      <c r="XBG103"/>
      <c r="XBH103"/>
      <c r="XBI103"/>
      <c r="XBJ103" s="5"/>
      <c r="XBK103" s="5"/>
      <c r="XBL103" s="5"/>
      <c r="XBM103" s="5"/>
      <c r="XBN103" s="5"/>
      <c r="XBO103" s="5"/>
      <c r="XBP103" s="5"/>
      <c r="XBQ103" s="5"/>
      <c r="XBR103" s="5"/>
      <c r="XBS103" s="5"/>
      <c r="XBT103" s="5"/>
      <c r="XBU103" s="5"/>
      <c r="XBV103" s="5"/>
      <c r="XBW103" s="5"/>
      <c r="XBX103" s="5"/>
      <c r="XBY103" s="5"/>
      <c r="XBZ103" s="5"/>
      <c r="XCA103" s="5"/>
      <c r="XCB103" s="5"/>
      <c r="XCC103" s="5"/>
      <c r="XCD103" s="5"/>
      <c r="XCE103" s="5"/>
      <c r="XCF103" s="5"/>
      <c r="XCG103" s="5"/>
      <c r="XCH103" s="5"/>
      <c r="XCI103" s="5"/>
      <c r="XCJ103" s="5"/>
      <c r="XCK103" s="5"/>
      <c r="XCL103" s="5"/>
      <c r="XCM103" s="5"/>
      <c r="XCN103" s="5"/>
      <c r="XCO103" s="5"/>
      <c r="XCP103" s="5"/>
      <c r="XCQ103" s="5"/>
      <c r="XCR103" s="5"/>
      <c r="XCS103" s="5"/>
      <c r="XCT103" s="5"/>
      <c r="XCU103" s="5"/>
      <c r="XCV103" s="5"/>
      <c r="XCW103" s="5"/>
      <c r="XCX103" s="5"/>
      <c r="XCY103" s="5"/>
      <c r="XCZ103" s="5"/>
      <c r="XDA103" s="5"/>
      <c r="XDB103" s="5"/>
      <c r="XDC103" s="5"/>
      <c r="XDD103" s="5"/>
      <c r="XDE103" s="5"/>
      <c r="XDF103" s="5"/>
      <c r="XDG103" s="5"/>
      <c r="XDH103" s="5"/>
      <c r="XDI103" s="5"/>
      <c r="XDJ103" s="5"/>
      <c r="XDK103" s="5"/>
      <c r="XDL103" s="5"/>
      <c r="XDM103" s="5"/>
      <c r="XDN103" s="5"/>
      <c r="XDO103" s="5"/>
      <c r="XDP103" s="5"/>
      <c r="XDQ103" s="5"/>
      <c r="XDR103" s="5"/>
      <c r="XDS103" s="5"/>
      <c r="XDT103" s="5"/>
      <c r="XDU103" s="5"/>
      <c r="XDV103" s="5"/>
      <c r="XDW103" s="5"/>
      <c r="XDX103" s="5"/>
      <c r="XDY103" s="5"/>
      <c r="XDZ103" s="5"/>
      <c r="XEA103" s="5"/>
      <c r="XEB103" s="5"/>
      <c r="XEC103" s="5"/>
      <c r="XED103" s="5"/>
      <c r="XEE103" s="5"/>
      <c r="XEF103" s="5"/>
      <c r="XEG103" s="5"/>
      <c r="XEH103" s="5"/>
      <c r="XEI103" s="5"/>
      <c r="XEJ103" s="5"/>
      <c r="XEK103" s="5"/>
      <c r="XEL103" s="5"/>
      <c r="XEM103" s="5"/>
      <c r="XEN103" s="5"/>
      <c r="XEO103" s="5"/>
      <c r="XEP103" s="5"/>
      <c r="XEQ103" s="5"/>
      <c r="XER103" s="5"/>
      <c r="XES103" s="5"/>
      <c r="XET103" s="5"/>
      <c r="XEU103" s="5"/>
      <c r="XEV103" s="5"/>
      <c r="XEW103" s="5"/>
      <c r="XEX103" s="5"/>
      <c r="XEY103" s="5"/>
      <c r="XEZ103" s="5"/>
      <c r="XFA103" s="5"/>
      <c r="XFB103" s="5"/>
    </row>
    <row r="104" s="1" customFormat="1" ht="16.5" spans="1:6 16247:16382">
      <c r="A104" s="8">
        <v>102</v>
      </c>
      <c r="B104" s="9" t="s">
        <v>108</v>
      </c>
      <c r="C104" s="8">
        <v>1</v>
      </c>
      <c r="D104" s="8">
        <v>1</v>
      </c>
      <c r="E104" s="8">
        <v>16.5</v>
      </c>
      <c r="F104" s="8">
        <v>16.5</v>
      </c>
      <c r="WZW104"/>
      <c r="WZX104"/>
      <c r="WZY104"/>
      <c r="WZZ104"/>
      <c r="XAA104"/>
      <c r="XAB104"/>
      <c r="XAC104"/>
      <c r="XAD104"/>
      <c r="XAE104"/>
      <c r="XAF104"/>
      <c r="XAG104"/>
      <c r="XAH104"/>
      <c r="XAI104"/>
      <c r="XAJ104"/>
      <c r="XAK104"/>
      <c r="XAL104"/>
      <c r="XAM104"/>
      <c r="XAN104"/>
      <c r="XAO104"/>
      <c r="XAP104"/>
      <c r="XAQ104"/>
      <c r="XAR104"/>
      <c r="XAS104"/>
      <c r="XAT104"/>
      <c r="XAU104"/>
      <c r="XAV104"/>
      <c r="XAW104"/>
      <c r="XAX104"/>
      <c r="XAY104"/>
      <c r="XAZ104"/>
      <c r="XBA104"/>
      <c r="XBB104"/>
      <c r="XBC104"/>
      <c r="XBD104"/>
      <c r="XBE104"/>
      <c r="XBF104"/>
      <c r="XBG104"/>
      <c r="XBH104"/>
      <c r="XBI104"/>
      <c r="XBJ104" s="5"/>
      <c r="XBK104" s="5"/>
      <c r="XBL104" s="5"/>
      <c r="XBM104" s="5"/>
      <c r="XBN104" s="5"/>
      <c r="XBO104" s="5"/>
      <c r="XBP104" s="5"/>
      <c r="XBQ104" s="5"/>
      <c r="XBR104" s="5"/>
      <c r="XBS104" s="5"/>
      <c r="XBT104" s="5"/>
      <c r="XBU104" s="5"/>
      <c r="XBV104" s="5"/>
      <c r="XBW104" s="5"/>
      <c r="XBX104" s="5"/>
      <c r="XBY104" s="5"/>
      <c r="XBZ104" s="5"/>
      <c r="XCA104" s="5"/>
      <c r="XCB104" s="5"/>
      <c r="XCC104" s="5"/>
      <c r="XCD104" s="5"/>
      <c r="XCE104" s="5"/>
      <c r="XCF104" s="5"/>
      <c r="XCG104" s="5"/>
      <c r="XCH104" s="5"/>
      <c r="XCI104" s="5"/>
      <c r="XCJ104" s="5"/>
      <c r="XCK104" s="5"/>
      <c r="XCL104" s="5"/>
      <c r="XCM104" s="5"/>
      <c r="XCN104" s="5"/>
      <c r="XCO104" s="5"/>
      <c r="XCP104" s="5"/>
      <c r="XCQ104" s="5"/>
      <c r="XCR104" s="5"/>
      <c r="XCS104" s="5"/>
      <c r="XCT104" s="5"/>
      <c r="XCU104" s="5"/>
      <c r="XCV104" s="5"/>
      <c r="XCW104" s="5"/>
      <c r="XCX104" s="5"/>
      <c r="XCY104" s="5"/>
      <c r="XCZ104" s="5"/>
      <c r="XDA104" s="5"/>
      <c r="XDB104" s="5"/>
      <c r="XDC104" s="5"/>
      <c r="XDD104" s="5"/>
      <c r="XDE104" s="5"/>
      <c r="XDF104" s="5"/>
      <c r="XDG104" s="5"/>
      <c r="XDH104" s="5"/>
      <c r="XDI104" s="5"/>
      <c r="XDJ104" s="5"/>
      <c r="XDK104" s="5"/>
      <c r="XDL104" s="5"/>
      <c r="XDM104" s="5"/>
      <c r="XDN104" s="5"/>
      <c r="XDO104" s="5"/>
      <c r="XDP104" s="5"/>
      <c r="XDQ104" s="5"/>
      <c r="XDR104" s="5"/>
      <c r="XDS104" s="5"/>
      <c r="XDT104" s="5"/>
      <c r="XDU104" s="5"/>
      <c r="XDV104" s="5"/>
      <c r="XDW104" s="5"/>
      <c r="XDX104" s="5"/>
      <c r="XDY104" s="5"/>
      <c r="XDZ104" s="5"/>
      <c r="XEA104" s="5"/>
      <c r="XEB104" s="5"/>
      <c r="XEC104" s="5"/>
      <c r="XED104" s="5"/>
      <c r="XEE104" s="5"/>
      <c r="XEF104" s="5"/>
      <c r="XEG104" s="5"/>
      <c r="XEH104" s="5"/>
      <c r="XEI104" s="5"/>
      <c r="XEJ104" s="5"/>
      <c r="XEK104" s="5"/>
      <c r="XEL104" s="5"/>
      <c r="XEM104" s="5"/>
      <c r="XEN104" s="5"/>
      <c r="XEO104" s="5"/>
      <c r="XEP104" s="5"/>
      <c r="XEQ104" s="5"/>
      <c r="XER104" s="5"/>
      <c r="XES104" s="5"/>
      <c r="XET104" s="5"/>
      <c r="XEU104" s="5"/>
      <c r="XEV104" s="5"/>
      <c r="XEW104" s="5"/>
      <c r="XEX104" s="5"/>
      <c r="XEY104" s="5"/>
      <c r="XEZ104" s="5"/>
      <c r="XFA104" s="5"/>
      <c r="XFB104" s="5"/>
    </row>
    <row r="105" s="1" customFormat="1" ht="16.5" spans="1:6 16247:16382">
      <c r="A105" s="8">
        <v>103</v>
      </c>
      <c r="B105" s="9" t="s">
        <v>109</v>
      </c>
      <c r="C105" s="8">
        <v>14</v>
      </c>
      <c r="D105" s="8">
        <v>1</v>
      </c>
      <c r="E105" s="8">
        <v>77</v>
      </c>
      <c r="F105" s="8">
        <v>77</v>
      </c>
      <c r="WZW105"/>
      <c r="WZX105"/>
      <c r="WZY105"/>
      <c r="WZZ105"/>
      <c r="XAA105"/>
      <c r="XAB105"/>
      <c r="XAC105"/>
      <c r="XAD105"/>
      <c r="XAE105"/>
      <c r="XAF105"/>
      <c r="XAG105"/>
      <c r="XAH105"/>
      <c r="XAI105"/>
      <c r="XAJ105"/>
      <c r="XAK105"/>
      <c r="XAL105"/>
      <c r="XAM105"/>
      <c r="XAN105"/>
      <c r="XAO105"/>
      <c r="XAP105"/>
      <c r="XAQ105"/>
      <c r="XAR105"/>
      <c r="XAS105"/>
      <c r="XAT105"/>
      <c r="XAU105"/>
      <c r="XAV105"/>
      <c r="XAW105"/>
      <c r="XAX105"/>
      <c r="XAY105"/>
      <c r="XAZ105"/>
      <c r="XBA105"/>
      <c r="XBB105"/>
      <c r="XBC105"/>
      <c r="XBD105"/>
      <c r="XBE105"/>
      <c r="XBF105"/>
      <c r="XBG105"/>
      <c r="XBH105"/>
      <c r="XBI105"/>
      <c r="XBJ105" s="5"/>
      <c r="XBK105" s="5"/>
      <c r="XBL105" s="5"/>
      <c r="XBM105" s="5"/>
      <c r="XBN105" s="5"/>
      <c r="XBO105" s="5"/>
      <c r="XBP105" s="5"/>
      <c r="XBQ105" s="5"/>
      <c r="XBR105" s="5"/>
      <c r="XBS105" s="5"/>
      <c r="XBT105" s="5"/>
      <c r="XBU105" s="5"/>
      <c r="XBV105" s="5"/>
      <c r="XBW105" s="5"/>
      <c r="XBX105" s="5"/>
      <c r="XBY105" s="5"/>
      <c r="XBZ105" s="5"/>
      <c r="XCA105" s="5"/>
      <c r="XCB105" s="5"/>
      <c r="XCC105" s="5"/>
      <c r="XCD105" s="5"/>
      <c r="XCE105" s="5"/>
      <c r="XCF105" s="5"/>
      <c r="XCG105" s="5"/>
      <c r="XCH105" s="5"/>
      <c r="XCI105" s="5"/>
      <c r="XCJ105" s="5"/>
      <c r="XCK105" s="5"/>
      <c r="XCL105" s="5"/>
      <c r="XCM105" s="5"/>
      <c r="XCN105" s="5"/>
      <c r="XCO105" s="5"/>
      <c r="XCP105" s="5"/>
      <c r="XCQ105" s="5"/>
      <c r="XCR105" s="5"/>
      <c r="XCS105" s="5"/>
      <c r="XCT105" s="5"/>
      <c r="XCU105" s="5"/>
      <c r="XCV105" s="5"/>
      <c r="XCW105" s="5"/>
      <c r="XCX105" s="5"/>
      <c r="XCY105" s="5"/>
      <c r="XCZ105" s="5"/>
      <c r="XDA105" s="5"/>
      <c r="XDB105" s="5"/>
      <c r="XDC105" s="5"/>
      <c r="XDD105" s="5"/>
      <c r="XDE105" s="5"/>
      <c r="XDF105" s="5"/>
      <c r="XDG105" s="5"/>
      <c r="XDH105" s="5"/>
      <c r="XDI105" s="5"/>
      <c r="XDJ105" s="5"/>
      <c r="XDK105" s="5"/>
      <c r="XDL105" s="5"/>
      <c r="XDM105" s="5"/>
      <c r="XDN105" s="5"/>
      <c r="XDO105" s="5"/>
      <c r="XDP105" s="5"/>
      <c r="XDQ105" s="5"/>
      <c r="XDR105" s="5"/>
      <c r="XDS105" s="5"/>
      <c r="XDT105" s="5"/>
      <c r="XDU105" s="5"/>
      <c r="XDV105" s="5"/>
      <c r="XDW105" s="5"/>
      <c r="XDX105" s="5"/>
      <c r="XDY105" s="5"/>
      <c r="XDZ105" s="5"/>
      <c r="XEA105" s="5"/>
      <c r="XEB105" s="5"/>
      <c r="XEC105" s="5"/>
      <c r="XED105" s="5"/>
      <c r="XEE105" s="5"/>
      <c r="XEF105" s="5"/>
      <c r="XEG105" s="5"/>
      <c r="XEH105" s="5"/>
      <c r="XEI105" s="5"/>
      <c r="XEJ105" s="5"/>
      <c r="XEK105" s="5"/>
      <c r="XEL105" s="5"/>
      <c r="XEM105" s="5"/>
      <c r="XEN105" s="5"/>
      <c r="XEO105" s="5"/>
      <c r="XEP105" s="5"/>
      <c r="XEQ105" s="5"/>
      <c r="XER105" s="5"/>
      <c r="XES105" s="5"/>
      <c r="XET105" s="5"/>
      <c r="XEU105" s="5"/>
      <c r="XEV105" s="5"/>
      <c r="XEW105" s="5"/>
      <c r="XEX105" s="5"/>
      <c r="XEY105" s="5"/>
      <c r="XEZ105" s="5"/>
      <c r="XFA105" s="5"/>
      <c r="XFB105" s="5"/>
    </row>
    <row r="106" s="1" customFormat="1" ht="16.5" spans="1:6 16247:16382">
      <c r="A106" s="8">
        <v>104</v>
      </c>
      <c r="B106" s="9" t="s">
        <v>110</v>
      </c>
      <c r="C106" s="8">
        <v>44</v>
      </c>
      <c r="D106" s="8">
        <v>2</v>
      </c>
      <c r="E106" s="8">
        <v>121</v>
      </c>
      <c r="F106" s="8">
        <v>242</v>
      </c>
      <c r="WZW106"/>
      <c r="WZX106"/>
      <c r="WZY106"/>
      <c r="WZZ106"/>
      <c r="XAA106"/>
      <c r="XAB106"/>
      <c r="XAC106"/>
      <c r="XAD106"/>
      <c r="XAE106"/>
      <c r="XAF106"/>
      <c r="XAG106"/>
      <c r="XAH106"/>
      <c r="XAI106"/>
      <c r="XAJ106"/>
      <c r="XAK106"/>
      <c r="XAL106"/>
      <c r="XAM106"/>
      <c r="XAN106"/>
      <c r="XAO106"/>
      <c r="XAP106"/>
      <c r="XAQ106"/>
      <c r="XAR106"/>
      <c r="XAS106"/>
      <c r="XAT106"/>
      <c r="XAU106"/>
      <c r="XAV106"/>
      <c r="XAW106"/>
      <c r="XAX106"/>
      <c r="XAY106"/>
      <c r="XAZ106"/>
      <c r="XBA106"/>
      <c r="XBB106"/>
      <c r="XBC106"/>
      <c r="XBD106"/>
      <c r="XBE106"/>
      <c r="XBF106"/>
      <c r="XBG106"/>
      <c r="XBH106"/>
      <c r="XBI106"/>
      <c r="XBJ106" s="5"/>
      <c r="XBK106" s="5"/>
      <c r="XBL106" s="5"/>
      <c r="XBM106" s="5"/>
      <c r="XBN106" s="5"/>
      <c r="XBO106" s="5"/>
      <c r="XBP106" s="5"/>
      <c r="XBQ106" s="5"/>
      <c r="XBR106" s="5"/>
      <c r="XBS106" s="5"/>
      <c r="XBT106" s="5"/>
      <c r="XBU106" s="5"/>
      <c r="XBV106" s="5"/>
      <c r="XBW106" s="5"/>
      <c r="XBX106" s="5"/>
      <c r="XBY106" s="5"/>
      <c r="XBZ106" s="5"/>
      <c r="XCA106" s="5"/>
      <c r="XCB106" s="5"/>
      <c r="XCC106" s="5"/>
      <c r="XCD106" s="5"/>
      <c r="XCE106" s="5"/>
      <c r="XCF106" s="5"/>
      <c r="XCG106" s="5"/>
      <c r="XCH106" s="5"/>
      <c r="XCI106" s="5"/>
      <c r="XCJ106" s="5"/>
      <c r="XCK106" s="5"/>
      <c r="XCL106" s="5"/>
      <c r="XCM106" s="5"/>
      <c r="XCN106" s="5"/>
      <c r="XCO106" s="5"/>
      <c r="XCP106" s="5"/>
      <c r="XCQ106" s="5"/>
      <c r="XCR106" s="5"/>
      <c r="XCS106" s="5"/>
      <c r="XCT106" s="5"/>
      <c r="XCU106" s="5"/>
      <c r="XCV106" s="5"/>
      <c r="XCW106" s="5"/>
      <c r="XCX106" s="5"/>
      <c r="XCY106" s="5"/>
      <c r="XCZ106" s="5"/>
      <c r="XDA106" s="5"/>
      <c r="XDB106" s="5"/>
      <c r="XDC106" s="5"/>
      <c r="XDD106" s="5"/>
      <c r="XDE106" s="5"/>
      <c r="XDF106" s="5"/>
      <c r="XDG106" s="5"/>
      <c r="XDH106" s="5"/>
      <c r="XDI106" s="5"/>
      <c r="XDJ106" s="5"/>
      <c r="XDK106" s="5"/>
      <c r="XDL106" s="5"/>
      <c r="XDM106" s="5"/>
      <c r="XDN106" s="5"/>
      <c r="XDO106" s="5"/>
      <c r="XDP106" s="5"/>
      <c r="XDQ106" s="5"/>
      <c r="XDR106" s="5"/>
      <c r="XDS106" s="5"/>
      <c r="XDT106" s="5"/>
      <c r="XDU106" s="5"/>
      <c r="XDV106" s="5"/>
      <c r="XDW106" s="5"/>
      <c r="XDX106" s="5"/>
      <c r="XDY106" s="5"/>
      <c r="XDZ106" s="5"/>
      <c r="XEA106" s="5"/>
      <c r="XEB106" s="5"/>
      <c r="XEC106" s="5"/>
      <c r="XED106" s="5"/>
      <c r="XEE106" s="5"/>
      <c r="XEF106" s="5"/>
      <c r="XEG106" s="5"/>
      <c r="XEH106" s="5"/>
      <c r="XEI106" s="5"/>
      <c r="XEJ106" s="5"/>
      <c r="XEK106" s="5"/>
      <c r="XEL106" s="5"/>
      <c r="XEM106" s="5"/>
      <c r="XEN106" s="5"/>
      <c r="XEO106" s="5"/>
      <c r="XEP106" s="5"/>
      <c r="XEQ106" s="5"/>
      <c r="XER106" s="5"/>
      <c r="XES106" s="5"/>
      <c r="XET106" s="5"/>
      <c r="XEU106" s="5"/>
      <c r="XEV106" s="5"/>
      <c r="XEW106" s="5"/>
      <c r="XEX106" s="5"/>
      <c r="XEY106" s="5"/>
      <c r="XEZ106" s="5"/>
      <c r="XFA106" s="5"/>
      <c r="XFB106" s="5"/>
    </row>
    <row r="107" s="1" customFormat="1" ht="16.5" spans="1:6 16247:16382">
      <c r="A107" s="8">
        <v>105</v>
      </c>
      <c r="B107" s="9" t="s">
        <v>111</v>
      </c>
      <c r="C107" s="8">
        <v>8</v>
      </c>
      <c r="D107" s="8">
        <v>2</v>
      </c>
      <c r="E107" s="8">
        <v>22</v>
      </c>
      <c r="F107" s="8">
        <v>44</v>
      </c>
      <c r="WZW107"/>
      <c r="WZX107"/>
      <c r="WZY107"/>
      <c r="WZZ107"/>
      <c r="XAA107"/>
      <c r="XAB107"/>
      <c r="XAC107"/>
      <c r="XAD107"/>
      <c r="XAE107"/>
      <c r="XAF107"/>
      <c r="XAG107"/>
      <c r="XAH107"/>
      <c r="XAI107"/>
      <c r="XAJ107"/>
      <c r="XAK107"/>
      <c r="XAL107"/>
      <c r="XAM107"/>
      <c r="XAN107"/>
      <c r="XAO107"/>
      <c r="XAP107"/>
      <c r="XAQ107"/>
      <c r="XAR107"/>
      <c r="XAS107"/>
      <c r="XAT107"/>
      <c r="XAU107"/>
      <c r="XAV107"/>
      <c r="XAW107"/>
      <c r="XAX107"/>
      <c r="XAY107"/>
      <c r="XAZ107"/>
      <c r="XBA107"/>
      <c r="XBB107"/>
      <c r="XBC107"/>
      <c r="XBD107"/>
      <c r="XBE107"/>
      <c r="XBF107"/>
      <c r="XBG107"/>
      <c r="XBH107"/>
      <c r="XBI107"/>
      <c r="XBJ107" s="5"/>
      <c r="XBK107" s="5"/>
      <c r="XBL107" s="5"/>
      <c r="XBM107" s="5"/>
      <c r="XBN107" s="5"/>
      <c r="XBO107" s="5"/>
      <c r="XBP107" s="5"/>
      <c r="XBQ107" s="5"/>
      <c r="XBR107" s="5"/>
      <c r="XBS107" s="5"/>
      <c r="XBT107" s="5"/>
      <c r="XBU107" s="5"/>
      <c r="XBV107" s="5"/>
      <c r="XBW107" s="5"/>
      <c r="XBX107" s="5"/>
      <c r="XBY107" s="5"/>
      <c r="XBZ107" s="5"/>
      <c r="XCA107" s="5"/>
      <c r="XCB107" s="5"/>
      <c r="XCC107" s="5"/>
      <c r="XCD107" s="5"/>
      <c r="XCE107" s="5"/>
      <c r="XCF107" s="5"/>
      <c r="XCG107" s="5"/>
      <c r="XCH107" s="5"/>
      <c r="XCI107" s="5"/>
      <c r="XCJ107" s="5"/>
      <c r="XCK107" s="5"/>
      <c r="XCL107" s="5"/>
      <c r="XCM107" s="5"/>
      <c r="XCN107" s="5"/>
      <c r="XCO107" s="5"/>
      <c r="XCP107" s="5"/>
      <c r="XCQ107" s="5"/>
      <c r="XCR107" s="5"/>
      <c r="XCS107" s="5"/>
      <c r="XCT107" s="5"/>
      <c r="XCU107" s="5"/>
      <c r="XCV107" s="5"/>
      <c r="XCW107" s="5"/>
      <c r="XCX107" s="5"/>
      <c r="XCY107" s="5"/>
      <c r="XCZ107" s="5"/>
      <c r="XDA107" s="5"/>
      <c r="XDB107" s="5"/>
      <c r="XDC107" s="5"/>
      <c r="XDD107" s="5"/>
      <c r="XDE107" s="5"/>
      <c r="XDF107" s="5"/>
      <c r="XDG107" s="5"/>
      <c r="XDH107" s="5"/>
      <c r="XDI107" s="5"/>
      <c r="XDJ107" s="5"/>
      <c r="XDK107" s="5"/>
      <c r="XDL107" s="5"/>
      <c r="XDM107" s="5"/>
      <c r="XDN107" s="5"/>
      <c r="XDO107" s="5"/>
      <c r="XDP107" s="5"/>
      <c r="XDQ107" s="5"/>
      <c r="XDR107" s="5"/>
      <c r="XDS107" s="5"/>
      <c r="XDT107" s="5"/>
      <c r="XDU107" s="5"/>
      <c r="XDV107" s="5"/>
      <c r="XDW107" s="5"/>
      <c r="XDX107" s="5"/>
      <c r="XDY107" s="5"/>
      <c r="XDZ107" s="5"/>
      <c r="XEA107" s="5"/>
      <c r="XEB107" s="5"/>
      <c r="XEC107" s="5"/>
      <c r="XED107" s="5"/>
      <c r="XEE107" s="5"/>
      <c r="XEF107" s="5"/>
      <c r="XEG107" s="5"/>
      <c r="XEH107" s="5"/>
      <c r="XEI107" s="5"/>
      <c r="XEJ107" s="5"/>
      <c r="XEK107" s="5"/>
      <c r="XEL107" s="5"/>
      <c r="XEM107" s="5"/>
      <c r="XEN107" s="5"/>
      <c r="XEO107" s="5"/>
      <c r="XEP107" s="5"/>
      <c r="XEQ107" s="5"/>
      <c r="XER107" s="5"/>
      <c r="XES107" s="5"/>
      <c r="XET107" s="5"/>
      <c r="XEU107" s="5"/>
      <c r="XEV107" s="5"/>
      <c r="XEW107" s="5"/>
      <c r="XEX107" s="5"/>
      <c r="XEY107" s="5"/>
      <c r="XEZ107" s="5"/>
      <c r="XFA107" s="5"/>
      <c r="XFB107" s="5"/>
    </row>
    <row r="108" s="1" customFormat="1" ht="16.5" spans="1:6 16247:16382">
      <c r="A108" s="8">
        <v>106</v>
      </c>
      <c r="B108" s="9" t="s">
        <v>112</v>
      </c>
      <c r="C108" s="8">
        <v>12006</v>
      </c>
      <c r="D108" s="8">
        <v>414</v>
      </c>
      <c r="E108" s="8">
        <v>159.5</v>
      </c>
      <c r="F108" s="8">
        <v>66033</v>
      </c>
      <c r="WZW108"/>
      <c r="WZX108"/>
      <c r="WZY108"/>
      <c r="WZZ108"/>
      <c r="XAA108"/>
      <c r="XAB108"/>
      <c r="XAC108"/>
      <c r="XAD108"/>
      <c r="XAE108"/>
      <c r="XAF108"/>
      <c r="XAG108"/>
      <c r="XAH108"/>
      <c r="XAI108"/>
      <c r="XAJ108"/>
      <c r="XAK108"/>
      <c r="XAL108"/>
      <c r="XAM108"/>
      <c r="XAN108"/>
      <c r="XAO108"/>
      <c r="XAP108"/>
      <c r="XAQ108"/>
      <c r="XAR108"/>
      <c r="XAS108"/>
      <c r="XAT108"/>
      <c r="XAU108"/>
      <c r="XAV108"/>
      <c r="XAW108"/>
      <c r="XAX108"/>
      <c r="XAY108"/>
      <c r="XAZ108"/>
      <c r="XBA108"/>
      <c r="XBB108"/>
      <c r="XBC108"/>
      <c r="XBD108"/>
      <c r="XBE108"/>
      <c r="XBF108"/>
      <c r="XBG108"/>
      <c r="XBH108"/>
      <c r="XBI108"/>
      <c r="XBJ108" s="5"/>
      <c r="XBK108" s="5"/>
      <c r="XBL108" s="5"/>
      <c r="XBM108" s="5"/>
      <c r="XBN108" s="5"/>
      <c r="XBO108" s="5"/>
      <c r="XBP108" s="5"/>
      <c r="XBQ108" s="5"/>
      <c r="XBR108" s="5"/>
      <c r="XBS108" s="5"/>
      <c r="XBT108" s="5"/>
      <c r="XBU108" s="5"/>
      <c r="XBV108" s="5"/>
      <c r="XBW108" s="5"/>
      <c r="XBX108" s="5"/>
      <c r="XBY108" s="5"/>
      <c r="XBZ108" s="5"/>
      <c r="XCA108" s="5"/>
      <c r="XCB108" s="5"/>
      <c r="XCC108" s="5"/>
      <c r="XCD108" s="5"/>
      <c r="XCE108" s="5"/>
      <c r="XCF108" s="5"/>
      <c r="XCG108" s="5"/>
      <c r="XCH108" s="5"/>
      <c r="XCI108" s="5"/>
      <c r="XCJ108" s="5"/>
      <c r="XCK108" s="5"/>
      <c r="XCL108" s="5"/>
      <c r="XCM108" s="5"/>
      <c r="XCN108" s="5"/>
      <c r="XCO108" s="5"/>
      <c r="XCP108" s="5"/>
      <c r="XCQ108" s="5"/>
      <c r="XCR108" s="5"/>
      <c r="XCS108" s="5"/>
      <c r="XCT108" s="5"/>
      <c r="XCU108" s="5"/>
      <c r="XCV108" s="5"/>
      <c r="XCW108" s="5"/>
      <c r="XCX108" s="5"/>
      <c r="XCY108" s="5"/>
      <c r="XCZ108" s="5"/>
      <c r="XDA108" s="5"/>
      <c r="XDB108" s="5"/>
      <c r="XDC108" s="5"/>
      <c r="XDD108" s="5"/>
      <c r="XDE108" s="5"/>
      <c r="XDF108" s="5"/>
      <c r="XDG108" s="5"/>
      <c r="XDH108" s="5"/>
      <c r="XDI108" s="5"/>
      <c r="XDJ108" s="5"/>
      <c r="XDK108" s="5"/>
      <c r="XDL108" s="5"/>
      <c r="XDM108" s="5"/>
      <c r="XDN108" s="5"/>
      <c r="XDO108" s="5"/>
      <c r="XDP108" s="5"/>
      <c r="XDQ108" s="5"/>
      <c r="XDR108" s="5"/>
      <c r="XDS108" s="5"/>
      <c r="XDT108" s="5"/>
      <c r="XDU108" s="5"/>
      <c r="XDV108" s="5"/>
      <c r="XDW108" s="5"/>
      <c r="XDX108" s="5"/>
      <c r="XDY108" s="5"/>
      <c r="XDZ108" s="5"/>
      <c r="XEA108" s="5"/>
      <c r="XEB108" s="5"/>
      <c r="XEC108" s="5"/>
      <c r="XED108" s="5"/>
      <c r="XEE108" s="5"/>
      <c r="XEF108" s="5"/>
      <c r="XEG108" s="5"/>
      <c r="XEH108" s="5"/>
      <c r="XEI108" s="5"/>
      <c r="XEJ108" s="5"/>
      <c r="XEK108" s="5"/>
      <c r="XEL108" s="5"/>
      <c r="XEM108" s="5"/>
      <c r="XEN108" s="5"/>
      <c r="XEO108" s="5"/>
      <c r="XEP108" s="5"/>
      <c r="XEQ108" s="5"/>
      <c r="XER108" s="5"/>
      <c r="XES108" s="5"/>
      <c r="XET108" s="5"/>
      <c r="XEU108" s="5"/>
      <c r="XEV108" s="5"/>
      <c r="XEW108" s="5"/>
      <c r="XEX108" s="5"/>
      <c r="XEY108" s="5"/>
      <c r="XEZ108" s="5"/>
      <c r="XFA108" s="5"/>
      <c r="XFB108" s="5"/>
    </row>
    <row r="109" s="1" customFormat="1" ht="16.5" spans="1:6 16247:16382">
      <c r="A109" s="8">
        <v>107</v>
      </c>
      <c r="B109" s="9" t="s">
        <v>113</v>
      </c>
      <c r="C109" s="8">
        <v>333</v>
      </c>
      <c r="D109" s="8">
        <v>111</v>
      </c>
      <c r="E109" s="8">
        <v>16.5</v>
      </c>
      <c r="F109" s="8">
        <v>1831.5</v>
      </c>
      <c r="WZW109"/>
      <c r="WZX109"/>
      <c r="WZY109"/>
      <c r="WZZ109"/>
      <c r="XAA109"/>
      <c r="XAB109"/>
      <c r="XAC109"/>
      <c r="XAD109"/>
      <c r="XAE109"/>
      <c r="XAF109"/>
      <c r="XAG109"/>
      <c r="XAH109"/>
      <c r="XAI109"/>
      <c r="XAJ109"/>
      <c r="XAK109"/>
      <c r="XAL109"/>
      <c r="XAM109"/>
      <c r="XAN109"/>
      <c r="XAO109"/>
      <c r="XAP109"/>
      <c r="XAQ109"/>
      <c r="XAR109"/>
      <c r="XAS109"/>
      <c r="XAT109"/>
      <c r="XAU109"/>
      <c r="XAV109"/>
      <c r="XAW109"/>
      <c r="XAX109"/>
      <c r="XAY109"/>
      <c r="XAZ109"/>
      <c r="XBA109"/>
      <c r="XBB109"/>
      <c r="XBC109"/>
      <c r="XBD109"/>
      <c r="XBE109"/>
      <c r="XBF109"/>
      <c r="XBG109"/>
      <c r="XBH109"/>
      <c r="XBI109"/>
      <c r="XBJ109" s="5"/>
      <c r="XBK109" s="5"/>
      <c r="XBL109" s="5"/>
      <c r="XBM109" s="5"/>
      <c r="XBN109" s="5"/>
      <c r="XBO109" s="5"/>
      <c r="XBP109" s="5"/>
      <c r="XBQ109" s="5"/>
      <c r="XBR109" s="5"/>
      <c r="XBS109" s="5"/>
      <c r="XBT109" s="5"/>
      <c r="XBU109" s="5"/>
      <c r="XBV109" s="5"/>
      <c r="XBW109" s="5"/>
      <c r="XBX109" s="5"/>
      <c r="XBY109" s="5"/>
      <c r="XBZ109" s="5"/>
      <c r="XCA109" s="5"/>
      <c r="XCB109" s="5"/>
      <c r="XCC109" s="5"/>
      <c r="XCD109" s="5"/>
      <c r="XCE109" s="5"/>
      <c r="XCF109" s="5"/>
      <c r="XCG109" s="5"/>
      <c r="XCH109" s="5"/>
      <c r="XCI109" s="5"/>
      <c r="XCJ109" s="5"/>
      <c r="XCK109" s="5"/>
      <c r="XCL109" s="5"/>
      <c r="XCM109" s="5"/>
      <c r="XCN109" s="5"/>
      <c r="XCO109" s="5"/>
      <c r="XCP109" s="5"/>
      <c r="XCQ109" s="5"/>
      <c r="XCR109" s="5"/>
      <c r="XCS109" s="5"/>
      <c r="XCT109" s="5"/>
      <c r="XCU109" s="5"/>
      <c r="XCV109" s="5"/>
      <c r="XCW109" s="5"/>
      <c r="XCX109" s="5"/>
      <c r="XCY109" s="5"/>
      <c r="XCZ109" s="5"/>
      <c r="XDA109" s="5"/>
      <c r="XDB109" s="5"/>
      <c r="XDC109" s="5"/>
      <c r="XDD109" s="5"/>
      <c r="XDE109" s="5"/>
      <c r="XDF109" s="5"/>
      <c r="XDG109" s="5"/>
      <c r="XDH109" s="5"/>
      <c r="XDI109" s="5"/>
      <c r="XDJ109" s="5"/>
      <c r="XDK109" s="5"/>
      <c r="XDL109" s="5"/>
      <c r="XDM109" s="5"/>
      <c r="XDN109" s="5"/>
      <c r="XDO109" s="5"/>
      <c r="XDP109" s="5"/>
      <c r="XDQ109" s="5"/>
      <c r="XDR109" s="5"/>
      <c r="XDS109" s="5"/>
      <c r="XDT109" s="5"/>
      <c r="XDU109" s="5"/>
      <c r="XDV109" s="5"/>
      <c r="XDW109" s="5"/>
      <c r="XDX109" s="5"/>
      <c r="XDY109" s="5"/>
      <c r="XDZ109" s="5"/>
      <c r="XEA109" s="5"/>
      <c r="XEB109" s="5"/>
      <c r="XEC109" s="5"/>
      <c r="XED109" s="5"/>
      <c r="XEE109" s="5"/>
      <c r="XEF109" s="5"/>
      <c r="XEG109" s="5"/>
      <c r="XEH109" s="5"/>
      <c r="XEI109" s="5"/>
      <c r="XEJ109" s="5"/>
      <c r="XEK109" s="5"/>
      <c r="XEL109" s="5"/>
      <c r="XEM109" s="5"/>
      <c r="XEN109" s="5"/>
      <c r="XEO109" s="5"/>
      <c r="XEP109" s="5"/>
      <c r="XEQ109" s="5"/>
      <c r="XER109" s="5"/>
      <c r="XES109" s="5"/>
      <c r="XET109" s="5"/>
      <c r="XEU109" s="5"/>
      <c r="XEV109" s="5"/>
      <c r="XEW109" s="5"/>
      <c r="XEX109" s="5"/>
      <c r="XEY109" s="5"/>
      <c r="XEZ109" s="5"/>
      <c r="XFA109" s="5"/>
      <c r="XFB109" s="5"/>
    </row>
    <row r="110" s="1" customFormat="1" ht="16.5" spans="1:6 16247:16382">
      <c r="A110" s="8">
        <v>108</v>
      </c>
      <c r="B110" s="9" t="s">
        <v>114</v>
      </c>
      <c r="C110" s="8">
        <v>0</v>
      </c>
      <c r="D110" s="8">
        <v>1</v>
      </c>
      <c r="E110" s="8">
        <v>4</v>
      </c>
      <c r="F110" s="8">
        <v>4</v>
      </c>
      <c r="WZW110"/>
      <c r="WZX110"/>
      <c r="WZY110"/>
      <c r="WZZ110"/>
      <c r="XAA110"/>
      <c r="XAB110"/>
      <c r="XAC110"/>
      <c r="XAD110"/>
      <c r="XAE110"/>
      <c r="XAF110"/>
      <c r="XAG110"/>
      <c r="XAH110"/>
      <c r="XAI110"/>
      <c r="XAJ110"/>
      <c r="XAK110"/>
      <c r="XAL110"/>
      <c r="XAM110"/>
      <c r="XAN110"/>
      <c r="XAO110"/>
      <c r="XAP110"/>
      <c r="XAQ110"/>
      <c r="XAR110"/>
      <c r="XAS110"/>
      <c r="XAT110"/>
      <c r="XAU110"/>
      <c r="XAV110"/>
      <c r="XAW110"/>
      <c r="XAX110"/>
      <c r="XAY110"/>
      <c r="XAZ110"/>
      <c r="XBA110"/>
      <c r="XBB110"/>
      <c r="XBC110"/>
      <c r="XBD110"/>
      <c r="XBE110"/>
      <c r="XBF110"/>
      <c r="XBG110"/>
      <c r="XBH110"/>
      <c r="XBI110"/>
      <c r="XBJ110" s="5"/>
      <c r="XBK110" s="5"/>
      <c r="XBL110" s="5"/>
      <c r="XBM110" s="5"/>
      <c r="XBN110" s="5"/>
      <c r="XBO110" s="5"/>
      <c r="XBP110" s="5"/>
      <c r="XBQ110" s="5"/>
      <c r="XBR110" s="5"/>
      <c r="XBS110" s="5"/>
      <c r="XBT110" s="5"/>
      <c r="XBU110" s="5"/>
      <c r="XBV110" s="5"/>
      <c r="XBW110" s="5"/>
      <c r="XBX110" s="5"/>
      <c r="XBY110" s="5"/>
      <c r="XBZ110" s="5"/>
      <c r="XCA110" s="5"/>
      <c r="XCB110" s="5"/>
      <c r="XCC110" s="5"/>
      <c r="XCD110" s="5"/>
      <c r="XCE110" s="5"/>
      <c r="XCF110" s="5"/>
      <c r="XCG110" s="5"/>
      <c r="XCH110" s="5"/>
      <c r="XCI110" s="5"/>
      <c r="XCJ110" s="5"/>
      <c r="XCK110" s="5"/>
      <c r="XCL110" s="5"/>
      <c r="XCM110" s="5"/>
      <c r="XCN110" s="5"/>
      <c r="XCO110" s="5"/>
      <c r="XCP110" s="5"/>
      <c r="XCQ110" s="5"/>
      <c r="XCR110" s="5"/>
      <c r="XCS110" s="5"/>
      <c r="XCT110" s="5"/>
      <c r="XCU110" s="5"/>
      <c r="XCV110" s="5"/>
      <c r="XCW110" s="5"/>
      <c r="XCX110" s="5"/>
      <c r="XCY110" s="5"/>
      <c r="XCZ110" s="5"/>
      <c r="XDA110" s="5"/>
      <c r="XDB110" s="5"/>
      <c r="XDC110" s="5"/>
      <c r="XDD110" s="5"/>
      <c r="XDE110" s="5"/>
      <c r="XDF110" s="5"/>
      <c r="XDG110" s="5"/>
      <c r="XDH110" s="5"/>
      <c r="XDI110" s="5"/>
      <c r="XDJ110" s="5"/>
      <c r="XDK110" s="5"/>
      <c r="XDL110" s="5"/>
      <c r="XDM110" s="5"/>
      <c r="XDN110" s="5"/>
      <c r="XDO110" s="5"/>
      <c r="XDP110" s="5"/>
      <c r="XDQ110" s="5"/>
      <c r="XDR110" s="5"/>
      <c r="XDS110" s="5"/>
      <c r="XDT110" s="5"/>
      <c r="XDU110" s="5"/>
      <c r="XDV110" s="5"/>
      <c r="XDW110" s="5"/>
      <c r="XDX110" s="5"/>
      <c r="XDY110" s="5"/>
      <c r="XDZ110" s="5"/>
      <c r="XEA110" s="5"/>
      <c r="XEB110" s="5"/>
      <c r="XEC110" s="5"/>
      <c r="XED110" s="5"/>
      <c r="XEE110" s="5"/>
      <c r="XEF110" s="5"/>
      <c r="XEG110" s="5"/>
      <c r="XEH110" s="5"/>
      <c r="XEI110" s="5"/>
      <c r="XEJ110" s="5"/>
      <c r="XEK110" s="5"/>
      <c r="XEL110" s="5"/>
      <c r="XEM110" s="5"/>
      <c r="XEN110" s="5"/>
      <c r="XEO110" s="5"/>
      <c r="XEP110" s="5"/>
      <c r="XEQ110" s="5"/>
      <c r="XER110" s="5"/>
      <c r="XES110" s="5"/>
      <c r="XET110" s="5"/>
      <c r="XEU110" s="5"/>
      <c r="XEV110" s="5"/>
      <c r="XEW110" s="5"/>
      <c r="XEX110" s="5"/>
      <c r="XEY110" s="5"/>
      <c r="XEZ110" s="5"/>
      <c r="XFA110" s="5"/>
      <c r="XFB110" s="5"/>
    </row>
    <row r="111" s="1" customFormat="1" ht="16.5" spans="1:6 16247:16382">
      <c r="A111" s="8">
        <v>109</v>
      </c>
      <c r="B111" s="9" t="s">
        <v>115</v>
      </c>
      <c r="C111" s="8">
        <v>6</v>
      </c>
      <c r="D111" s="8">
        <v>3</v>
      </c>
      <c r="E111" s="8">
        <v>16.5</v>
      </c>
      <c r="F111" s="8">
        <v>49.5</v>
      </c>
      <c r="WZW111"/>
      <c r="WZX111"/>
      <c r="WZY111"/>
      <c r="WZZ111"/>
      <c r="XAA111"/>
      <c r="XAB111"/>
      <c r="XAC111"/>
      <c r="XAD111"/>
      <c r="XAE111"/>
      <c r="XAF111"/>
      <c r="XAG111"/>
      <c r="XAH111"/>
      <c r="XAI111"/>
      <c r="XAJ111"/>
      <c r="XAK111"/>
      <c r="XAL111"/>
      <c r="XAM111"/>
      <c r="XAN111"/>
      <c r="XAO111"/>
      <c r="XAP111"/>
      <c r="XAQ111"/>
      <c r="XAR111"/>
      <c r="XAS111"/>
      <c r="XAT111"/>
      <c r="XAU111"/>
      <c r="XAV111"/>
      <c r="XAW111"/>
      <c r="XAX111"/>
      <c r="XAY111"/>
      <c r="XAZ111"/>
      <c r="XBA111"/>
      <c r="XBB111"/>
      <c r="XBC111"/>
      <c r="XBD111"/>
      <c r="XBE111"/>
      <c r="XBF111"/>
      <c r="XBG111"/>
      <c r="XBH111"/>
      <c r="XBI111"/>
      <c r="XBJ111" s="5"/>
      <c r="XBK111" s="5"/>
      <c r="XBL111" s="5"/>
      <c r="XBM111" s="5"/>
      <c r="XBN111" s="5"/>
      <c r="XBO111" s="5"/>
      <c r="XBP111" s="5"/>
      <c r="XBQ111" s="5"/>
      <c r="XBR111" s="5"/>
      <c r="XBS111" s="5"/>
      <c r="XBT111" s="5"/>
      <c r="XBU111" s="5"/>
      <c r="XBV111" s="5"/>
      <c r="XBW111" s="5"/>
      <c r="XBX111" s="5"/>
      <c r="XBY111" s="5"/>
      <c r="XBZ111" s="5"/>
      <c r="XCA111" s="5"/>
      <c r="XCB111" s="5"/>
      <c r="XCC111" s="5"/>
      <c r="XCD111" s="5"/>
      <c r="XCE111" s="5"/>
      <c r="XCF111" s="5"/>
      <c r="XCG111" s="5"/>
      <c r="XCH111" s="5"/>
      <c r="XCI111" s="5"/>
      <c r="XCJ111" s="5"/>
      <c r="XCK111" s="5"/>
      <c r="XCL111" s="5"/>
      <c r="XCM111" s="5"/>
      <c r="XCN111" s="5"/>
      <c r="XCO111" s="5"/>
      <c r="XCP111" s="5"/>
      <c r="XCQ111" s="5"/>
      <c r="XCR111" s="5"/>
      <c r="XCS111" s="5"/>
      <c r="XCT111" s="5"/>
      <c r="XCU111" s="5"/>
      <c r="XCV111" s="5"/>
      <c r="XCW111" s="5"/>
      <c r="XCX111" s="5"/>
      <c r="XCY111" s="5"/>
      <c r="XCZ111" s="5"/>
      <c r="XDA111" s="5"/>
      <c r="XDB111" s="5"/>
      <c r="XDC111" s="5"/>
      <c r="XDD111" s="5"/>
      <c r="XDE111" s="5"/>
      <c r="XDF111" s="5"/>
      <c r="XDG111" s="5"/>
      <c r="XDH111" s="5"/>
      <c r="XDI111" s="5"/>
      <c r="XDJ111" s="5"/>
      <c r="XDK111" s="5"/>
      <c r="XDL111" s="5"/>
      <c r="XDM111" s="5"/>
      <c r="XDN111" s="5"/>
      <c r="XDO111" s="5"/>
      <c r="XDP111" s="5"/>
      <c r="XDQ111" s="5"/>
      <c r="XDR111" s="5"/>
      <c r="XDS111" s="5"/>
      <c r="XDT111" s="5"/>
      <c r="XDU111" s="5"/>
      <c r="XDV111" s="5"/>
      <c r="XDW111" s="5"/>
      <c r="XDX111" s="5"/>
      <c r="XDY111" s="5"/>
      <c r="XDZ111" s="5"/>
      <c r="XEA111" s="5"/>
      <c r="XEB111" s="5"/>
      <c r="XEC111" s="5"/>
      <c r="XED111" s="5"/>
      <c r="XEE111" s="5"/>
      <c r="XEF111" s="5"/>
      <c r="XEG111" s="5"/>
      <c r="XEH111" s="5"/>
      <c r="XEI111" s="5"/>
      <c r="XEJ111" s="5"/>
      <c r="XEK111" s="5"/>
      <c r="XEL111" s="5"/>
      <c r="XEM111" s="5"/>
      <c r="XEN111" s="5"/>
      <c r="XEO111" s="5"/>
      <c r="XEP111" s="5"/>
      <c r="XEQ111" s="5"/>
      <c r="XER111" s="5"/>
      <c r="XES111" s="5"/>
      <c r="XET111" s="5"/>
      <c r="XEU111" s="5"/>
      <c r="XEV111" s="5"/>
      <c r="XEW111" s="5"/>
      <c r="XEX111" s="5"/>
      <c r="XEY111" s="5"/>
      <c r="XEZ111" s="5"/>
      <c r="XFA111" s="5"/>
      <c r="XFB111" s="5"/>
    </row>
    <row r="112" s="1" customFormat="1" ht="16.5" spans="1:6 16247:16382">
      <c r="A112" s="8">
        <v>110</v>
      </c>
      <c r="B112" s="9" t="s">
        <v>116</v>
      </c>
      <c r="C112" s="8">
        <v>154</v>
      </c>
      <c r="D112" s="8">
        <v>7</v>
      </c>
      <c r="E112" s="8">
        <v>121</v>
      </c>
      <c r="F112" s="8">
        <v>847</v>
      </c>
      <c r="WZW112"/>
      <c r="WZX112"/>
      <c r="WZY112"/>
      <c r="WZZ112"/>
      <c r="XAA112"/>
      <c r="XAB112"/>
      <c r="XAC112"/>
      <c r="XAD112"/>
      <c r="XAE112"/>
      <c r="XAF112"/>
      <c r="XAG112"/>
      <c r="XAH112"/>
      <c r="XAI112"/>
      <c r="XAJ112"/>
      <c r="XAK112"/>
      <c r="XAL112"/>
      <c r="XAM112"/>
      <c r="XAN112"/>
      <c r="XAO112"/>
      <c r="XAP112"/>
      <c r="XAQ112"/>
      <c r="XAR112"/>
      <c r="XAS112"/>
      <c r="XAT112"/>
      <c r="XAU112"/>
      <c r="XAV112"/>
      <c r="XAW112"/>
      <c r="XAX112"/>
      <c r="XAY112"/>
      <c r="XAZ112"/>
      <c r="XBA112"/>
      <c r="XBB112"/>
      <c r="XBC112"/>
      <c r="XBD112"/>
      <c r="XBE112"/>
      <c r="XBF112"/>
      <c r="XBG112"/>
      <c r="XBH112"/>
      <c r="XBI112"/>
      <c r="XBJ112" s="5"/>
      <c r="XBK112" s="5"/>
      <c r="XBL112" s="5"/>
      <c r="XBM112" s="5"/>
      <c r="XBN112" s="5"/>
      <c r="XBO112" s="5"/>
      <c r="XBP112" s="5"/>
      <c r="XBQ112" s="5"/>
      <c r="XBR112" s="5"/>
      <c r="XBS112" s="5"/>
      <c r="XBT112" s="5"/>
      <c r="XBU112" s="5"/>
      <c r="XBV112" s="5"/>
      <c r="XBW112" s="5"/>
      <c r="XBX112" s="5"/>
      <c r="XBY112" s="5"/>
      <c r="XBZ112" s="5"/>
      <c r="XCA112" s="5"/>
      <c r="XCB112" s="5"/>
      <c r="XCC112" s="5"/>
      <c r="XCD112" s="5"/>
      <c r="XCE112" s="5"/>
      <c r="XCF112" s="5"/>
      <c r="XCG112" s="5"/>
      <c r="XCH112" s="5"/>
      <c r="XCI112" s="5"/>
      <c r="XCJ112" s="5"/>
      <c r="XCK112" s="5"/>
      <c r="XCL112" s="5"/>
      <c r="XCM112" s="5"/>
      <c r="XCN112" s="5"/>
      <c r="XCO112" s="5"/>
      <c r="XCP112" s="5"/>
      <c r="XCQ112" s="5"/>
      <c r="XCR112" s="5"/>
      <c r="XCS112" s="5"/>
      <c r="XCT112" s="5"/>
      <c r="XCU112" s="5"/>
      <c r="XCV112" s="5"/>
      <c r="XCW112" s="5"/>
      <c r="XCX112" s="5"/>
      <c r="XCY112" s="5"/>
      <c r="XCZ112" s="5"/>
      <c r="XDA112" s="5"/>
      <c r="XDB112" s="5"/>
      <c r="XDC112" s="5"/>
      <c r="XDD112" s="5"/>
      <c r="XDE112" s="5"/>
      <c r="XDF112" s="5"/>
      <c r="XDG112" s="5"/>
      <c r="XDH112" s="5"/>
      <c r="XDI112" s="5"/>
      <c r="XDJ112" s="5"/>
      <c r="XDK112" s="5"/>
      <c r="XDL112" s="5"/>
      <c r="XDM112" s="5"/>
      <c r="XDN112" s="5"/>
      <c r="XDO112" s="5"/>
      <c r="XDP112" s="5"/>
      <c r="XDQ112" s="5"/>
      <c r="XDR112" s="5"/>
      <c r="XDS112" s="5"/>
      <c r="XDT112" s="5"/>
      <c r="XDU112" s="5"/>
      <c r="XDV112" s="5"/>
      <c r="XDW112" s="5"/>
      <c r="XDX112" s="5"/>
      <c r="XDY112" s="5"/>
      <c r="XDZ112" s="5"/>
      <c r="XEA112" s="5"/>
      <c r="XEB112" s="5"/>
      <c r="XEC112" s="5"/>
      <c r="XED112" s="5"/>
      <c r="XEE112" s="5"/>
      <c r="XEF112" s="5"/>
      <c r="XEG112" s="5"/>
      <c r="XEH112" s="5"/>
      <c r="XEI112" s="5"/>
      <c r="XEJ112" s="5"/>
      <c r="XEK112" s="5"/>
      <c r="XEL112" s="5"/>
      <c r="XEM112" s="5"/>
      <c r="XEN112" s="5"/>
      <c r="XEO112" s="5"/>
      <c r="XEP112" s="5"/>
      <c r="XEQ112" s="5"/>
      <c r="XER112" s="5"/>
      <c r="XES112" s="5"/>
      <c r="XET112" s="5"/>
      <c r="XEU112" s="5"/>
      <c r="XEV112" s="5"/>
      <c r="XEW112" s="5"/>
      <c r="XEX112" s="5"/>
      <c r="XEY112" s="5"/>
      <c r="XEZ112" s="5"/>
      <c r="XFA112" s="5"/>
      <c r="XFB112" s="5"/>
    </row>
    <row r="113" s="1" customFormat="1" ht="16.5" spans="1:6 16247:16382">
      <c r="A113" s="8">
        <v>111</v>
      </c>
      <c r="B113" s="9" t="s">
        <v>117</v>
      </c>
      <c r="C113" s="8">
        <v>2</v>
      </c>
      <c r="D113" s="8">
        <v>1</v>
      </c>
      <c r="E113" s="8">
        <v>16.5</v>
      </c>
      <c r="F113" s="8">
        <v>16.5</v>
      </c>
      <c r="WZW113"/>
      <c r="WZX113"/>
      <c r="WZY113"/>
      <c r="WZZ113"/>
      <c r="XAA113"/>
      <c r="XAB113"/>
      <c r="XAC113"/>
      <c r="XAD113"/>
      <c r="XAE113"/>
      <c r="XAF113"/>
      <c r="XAG113"/>
      <c r="XAH113"/>
      <c r="XAI113"/>
      <c r="XAJ113"/>
      <c r="XAK113"/>
      <c r="XAL113"/>
      <c r="XAM113"/>
      <c r="XAN113"/>
      <c r="XAO113"/>
      <c r="XAP113"/>
      <c r="XAQ113"/>
      <c r="XAR113"/>
      <c r="XAS113"/>
      <c r="XAT113"/>
      <c r="XAU113"/>
      <c r="XAV113"/>
      <c r="XAW113"/>
      <c r="XAX113"/>
      <c r="XAY113"/>
      <c r="XAZ113"/>
      <c r="XBA113"/>
      <c r="XBB113"/>
      <c r="XBC113"/>
      <c r="XBD113"/>
      <c r="XBE113"/>
      <c r="XBF113"/>
      <c r="XBG113"/>
      <c r="XBH113"/>
      <c r="XBI113"/>
      <c r="XBJ113" s="5"/>
      <c r="XBK113" s="5"/>
      <c r="XBL113" s="5"/>
      <c r="XBM113" s="5"/>
      <c r="XBN113" s="5"/>
      <c r="XBO113" s="5"/>
      <c r="XBP113" s="5"/>
      <c r="XBQ113" s="5"/>
      <c r="XBR113" s="5"/>
      <c r="XBS113" s="5"/>
      <c r="XBT113" s="5"/>
      <c r="XBU113" s="5"/>
      <c r="XBV113" s="5"/>
      <c r="XBW113" s="5"/>
      <c r="XBX113" s="5"/>
      <c r="XBY113" s="5"/>
      <c r="XBZ113" s="5"/>
      <c r="XCA113" s="5"/>
      <c r="XCB113" s="5"/>
      <c r="XCC113" s="5"/>
      <c r="XCD113" s="5"/>
      <c r="XCE113" s="5"/>
      <c r="XCF113" s="5"/>
      <c r="XCG113" s="5"/>
      <c r="XCH113" s="5"/>
      <c r="XCI113" s="5"/>
      <c r="XCJ113" s="5"/>
      <c r="XCK113" s="5"/>
      <c r="XCL113" s="5"/>
      <c r="XCM113" s="5"/>
      <c r="XCN113" s="5"/>
      <c r="XCO113" s="5"/>
      <c r="XCP113" s="5"/>
      <c r="XCQ113" s="5"/>
      <c r="XCR113" s="5"/>
      <c r="XCS113" s="5"/>
      <c r="XCT113" s="5"/>
      <c r="XCU113" s="5"/>
      <c r="XCV113" s="5"/>
      <c r="XCW113" s="5"/>
      <c r="XCX113" s="5"/>
      <c r="XCY113" s="5"/>
      <c r="XCZ113" s="5"/>
      <c r="XDA113" s="5"/>
      <c r="XDB113" s="5"/>
      <c r="XDC113" s="5"/>
      <c r="XDD113" s="5"/>
      <c r="XDE113" s="5"/>
      <c r="XDF113" s="5"/>
      <c r="XDG113" s="5"/>
      <c r="XDH113" s="5"/>
      <c r="XDI113" s="5"/>
      <c r="XDJ113" s="5"/>
      <c r="XDK113" s="5"/>
      <c r="XDL113" s="5"/>
      <c r="XDM113" s="5"/>
      <c r="XDN113" s="5"/>
      <c r="XDO113" s="5"/>
      <c r="XDP113" s="5"/>
      <c r="XDQ113" s="5"/>
      <c r="XDR113" s="5"/>
      <c r="XDS113" s="5"/>
      <c r="XDT113" s="5"/>
      <c r="XDU113" s="5"/>
      <c r="XDV113" s="5"/>
      <c r="XDW113" s="5"/>
      <c r="XDX113" s="5"/>
      <c r="XDY113" s="5"/>
      <c r="XDZ113" s="5"/>
      <c r="XEA113" s="5"/>
      <c r="XEB113" s="5"/>
      <c r="XEC113" s="5"/>
      <c r="XED113" s="5"/>
      <c r="XEE113" s="5"/>
      <c r="XEF113" s="5"/>
      <c r="XEG113" s="5"/>
      <c r="XEH113" s="5"/>
      <c r="XEI113" s="5"/>
      <c r="XEJ113" s="5"/>
      <c r="XEK113" s="5"/>
      <c r="XEL113" s="5"/>
      <c r="XEM113" s="5"/>
      <c r="XEN113" s="5"/>
      <c r="XEO113" s="5"/>
      <c r="XEP113" s="5"/>
      <c r="XEQ113" s="5"/>
      <c r="XER113" s="5"/>
      <c r="XES113" s="5"/>
      <c r="XET113" s="5"/>
      <c r="XEU113" s="5"/>
      <c r="XEV113" s="5"/>
      <c r="XEW113" s="5"/>
      <c r="XEX113" s="5"/>
      <c r="XEY113" s="5"/>
      <c r="XEZ113" s="5"/>
      <c r="XFA113" s="5"/>
      <c r="XFB113" s="5"/>
    </row>
    <row r="114" s="1" customFormat="1" ht="16.5" spans="1:6 16247:16382">
      <c r="A114" s="8">
        <v>112</v>
      </c>
      <c r="B114" s="9" t="s">
        <v>118</v>
      </c>
      <c r="C114" s="8">
        <v>4</v>
      </c>
      <c r="D114" s="8">
        <v>1</v>
      </c>
      <c r="E114" s="8">
        <v>22</v>
      </c>
      <c r="F114" s="8">
        <v>22</v>
      </c>
      <c r="WZW114"/>
      <c r="WZX114"/>
      <c r="WZY114"/>
      <c r="WZZ114"/>
      <c r="XAA114"/>
      <c r="XAB114"/>
      <c r="XAC114"/>
      <c r="XAD114"/>
      <c r="XAE114"/>
      <c r="XAF114"/>
      <c r="XAG114"/>
      <c r="XAH114"/>
      <c r="XAI114"/>
      <c r="XAJ114"/>
      <c r="XAK114"/>
      <c r="XAL114"/>
      <c r="XAM114"/>
      <c r="XAN114"/>
      <c r="XAO114"/>
      <c r="XAP114"/>
      <c r="XAQ114"/>
      <c r="XAR114"/>
      <c r="XAS114"/>
      <c r="XAT114"/>
      <c r="XAU114"/>
      <c r="XAV114"/>
      <c r="XAW114"/>
      <c r="XAX114"/>
      <c r="XAY114"/>
      <c r="XAZ114"/>
      <c r="XBA114"/>
      <c r="XBB114"/>
      <c r="XBC114"/>
      <c r="XBD114"/>
      <c r="XBE114"/>
      <c r="XBF114"/>
      <c r="XBG114"/>
      <c r="XBH114"/>
      <c r="XBI114"/>
      <c r="XBJ114" s="5"/>
      <c r="XBK114" s="5"/>
      <c r="XBL114" s="5"/>
      <c r="XBM114" s="5"/>
      <c r="XBN114" s="5"/>
      <c r="XBO114" s="5"/>
      <c r="XBP114" s="5"/>
      <c r="XBQ114" s="5"/>
      <c r="XBR114" s="5"/>
      <c r="XBS114" s="5"/>
      <c r="XBT114" s="5"/>
      <c r="XBU114" s="5"/>
      <c r="XBV114" s="5"/>
      <c r="XBW114" s="5"/>
      <c r="XBX114" s="5"/>
      <c r="XBY114" s="5"/>
      <c r="XBZ114" s="5"/>
      <c r="XCA114" s="5"/>
      <c r="XCB114" s="5"/>
      <c r="XCC114" s="5"/>
      <c r="XCD114" s="5"/>
      <c r="XCE114" s="5"/>
      <c r="XCF114" s="5"/>
      <c r="XCG114" s="5"/>
      <c r="XCH114" s="5"/>
      <c r="XCI114" s="5"/>
      <c r="XCJ114" s="5"/>
      <c r="XCK114" s="5"/>
      <c r="XCL114" s="5"/>
      <c r="XCM114" s="5"/>
      <c r="XCN114" s="5"/>
      <c r="XCO114" s="5"/>
      <c r="XCP114" s="5"/>
      <c r="XCQ114" s="5"/>
      <c r="XCR114" s="5"/>
      <c r="XCS114" s="5"/>
      <c r="XCT114" s="5"/>
      <c r="XCU114" s="5"/>
      <c r="XCV114" s="5"/>
      <c r="XCW114" s="5"/>
      <c r="XCX114" s="5"/>
      <c r="XCY114" s="5"/>
      <c r="XCZ114" s="5"/>
      <c r="XDA114" s="5"/>
      <c r="XDB114" s="5"/>
      <c r="XDC114" s="5"/>
      <c r="XDD114" s="5"/>
      <c r="XDE114" s="5"/>
      <c r="XDF114" s="5"/>
      <c r="XDG114" s="5"/>
      <c r="XDH114" s="5"/>
      <c r="XDI114" s="5"/>
      <c r="XDJ114" s="5"/>
      <c r="XDK114" s="5"/>
      <c r="XDL114" s="5"/>
      <c r="XDM114" s="5"/>
      <c r="XDN114" s="5"/>
      <c r="XDO114" s="5"/>
      <c r="XDP114" s="5"/>
      <c r="XDQ114" s="5"/>
      <c r="XDR114" s="5"/>
      <c r="XDS114" s="5"/>
      <c r="XDT114" s="5"/>
      <c r="XDU114" s="5"/>
      <c r="XDV114" s="5"/>
      <c r="XDW114" s="5"/>
      <c r="XDX114" s="5"/>
      <c r="XDY114" s="5"/>
      <c r="XDZ114" s="5"/>
      <c r="XEA114" s="5"/>
      <c r="XEB114" s="5"/>
      <c r="XEC114" s="5"/>
      <c r="XED114" s="5"/>
      <c r="XEE114" s="5"/>
      <c r="XEF114" s="5"/>
      <c r="XEG114" s="5"/>
      <c r="XEH114" s="5"/>
      <c r="XEI114" s="5"/>
      <c r="XEJ114" s="5"/>
      <c r="XEK114" s="5"/>
      <c r="XEL114" s="5"/>
      <c r="XEM114" s="5"/>
      <c r="XEN114" s="5"/>
      <c r="XEO114" s="5"/>
      <c r="XEP114" s="5"/>
      <c r="XEQ114" s="5"/>
      <c r="XER114" s="5"/>
      <c r="XES114" s="5"/>
      <c r="XET114" s="5"/>
      <c r="XEU114" s="5"/>
      <c r="XEV114" s="5"/>
      <c r="XEW114" s="5"/>
      <c r="XEX114" s="5"/>
      <c r="XEY114" s="5"/>
      <c r="XEZ114" s="5"/>
      <c r="XFA114" s="5"/>
      <c r="XFB114" s="5"/>
    </row>
    <row r="115" s="1" customFormat="1" ht="16.5" spans="1:6 16247:16382">
      <c r="A115" s="8">
        <v>113</v>
      </c>
      <c r="B115" s="9" t="s">
        <v>119</v>
      </c>
      <c r="C115" s="8">
        <v>50</v>
      </c>
      <c r="D115" s="8">
        <v>10</v>
      </c>
      <c r="E115" s="8">
        <v>27.5</v>
      </c>
      <c r="F115" s="8">
        <v>275</v>
      </c>
      <c r="WZW115"/>
      <c r="WZX115"/>
      <c r="WZY115"/>
      <c r="WZZ115"/>
      <c r="XAA115"/>
      <c r="XAB115"/>
      <c r="XAC115"/>
      <c r="XAD115"/>
      <c r="XAE115"/>
      <c r="XAF115"/>
      <c r="XAG115"/>
      <c r="XAH115"/>
      <c r="XAI115"/>
      <c r="XAJ115"/>
      <c r="XAK115"/>
      <c r="XAL115"/>
      <c r="XAM115"/>
      <c r="XAN115"/>
      <c r="XAO115"/>
      <c r="XAP115"/>
      <c r="XAQ115"/>
      <c r="XAR115"/>
      <c r="XAS115"/>
      <c r="XAT115"/>
      <c r="XAU115"/>
      <c r="XAV115"/>
      <c r="XAW115"/>
      <c r="XAX115"/>
      <c r="XAY115"/>
      <c r="XAZ115"/>
      <c r="XBA115"/>
      <c r="XBB115"/>
      <c r="XBC115"/>
      <c r="XBD115"/>
      <c r="XBE115"/>
      <c r="XBF115"/>
      <c r="XBG115"/>
      <c r="XBH115"/>
      <c r="XBI115"/>
      <c r="XBJ115" s="5"/>
      <c r="XBK115" s="5"/>
      <c r="XBL115" s="5"/>
      <c r="XBM115" s="5"/>
      <c r="XBN115" s="5"/>
      <c r="XBO115" s="5"/>
      <c r="XBP115" s="5"/>
      <c r="XBQ115" s="5"/>
      <c r="XBR115" s="5"/>
      <c r="XBS115" s="5"/>
      <c r="XBT115" s="5"/>
      <c r="XBU115" s="5"/>
      <c r="XBV115" s="5"/>
      <c r="XBW115" s="5"/>
      <c r="XBX115" s="5"/>
      <c r="XBY115" s="5"/>
      <c r="XBZ115" s="5"/>
      <c r="XCA115" s="5"/>
      <c r="XCB115" s="5"/>
      <c r="XCC115" s="5"/>
      <c r="XCD115" s="5"/>
      <c r="XCE115" s="5"/>
      <c r="XCF115" s="5"/>
      <c r="XCG115" s="5"/>
      <c r="XCH115" s="5"/>
      <c r="XCI115" s="5"/>
      <c r="XCJ115" s="5"/>
      <c r="XCK115" s="5"/>
      <c r="XCL115" s="5"/>
      <c r="XCM115" s="5"/>
      <c r="XCN115" s="5"/>
      <c r="XCO115" s="5"/>
      <c r="XCP115" s="5"/>
      <c r="XCQ115" s="5"/>
      <c r="XCR115" s="5"/>
      <c r="XCS115" s="5"/>
      <c r="XCT115" s="5"/>
      <c r="XCU115" s="5"/>
      <c r="XCV115" s="5"/>
      <c r="XCW115" s="5"/>
      <c r="XCX115" s="5"/>
      <c r="XCY115" s="5"/>
      <c r="XCZ115" s="5"/>
      <c r="XDA115" s="5"/>
      <c r="XDB115" s="5"/>
      <c r="XDC115" s="5"/>
      <c r="XDD115" s="5"/>
      <c r="XDE115" s="5"/>
      <c r="XDF115" s="5"/>
      <c r="XDG115" s="5"/>
      <c r="XDH115" s="5"/>
      <c r="XDI115" s="5"/>
      <c r="XDJ115" s="5"/>
      <c r="XDK115" s="5"/>
      <c r="XDL115" s="5"/>
      <c r="XDM115" s="5"/>
      <c r="XDN115" s="5"/>
      <c r="XDO115" s="5"/>
      <c r="XDP115" s="5"/>
      <c r="XDQ115" s="5"/>
      <c r="XDR115" s="5"/>
      <c r="XDS115" s="5"/>
      <c r="XDT115" s="5"/>
      <c r="XDU115" s="5"/>
      <c r="XDV115" s="5"/>
      <c r="XDW115" s="5"/>
      <c r="XDX115" s="5"/>
      <c r="XDY115" s="5"/>
      <c r="XDZ115" s="5"/>
      <c r="XEA115" s="5"/>
      <c r="XEB115" s="5"/>
      <c r="XEC115" s="5"/>
      <c r="XED115" s="5"/>
      <c r="XEE115" s="5"/>
      <c r="XEF115" s="5"/>
      <c r="XEG115" s="5"/>
      <c r="XEH115" s="5"/>
      <c r="XEI115" s="5"/>
      <c r="XEJ115" s="5"/>
      <c r="XEK115" s="5"/>
      <c r="XEL115" s="5"/>
      <c r="XEM115" s="5"/>
      <c r="XEN115" s="5"/>
      <c r="XEO115" s="5"/>
      <c r="XEP115" s="5"/>
      <c r="XEQ115" s="5"/>
      <c r="XER115" s="5"/>
      <c r="XES115" s="5"/>
      <c r="XET115" s="5"/>
      <c r="XEU115" s="5"/>
      <c r="XEV115" s="5"/>
      <c r="XEW115" s="5"/>
      <c r="XEX115" s="5"/>
      <c r="XEY115" s="5"/>
      <c r="XEZ115" s="5"/>
      <c r="XFA115" s="5"/>
      <c r="XFB115" s="5"/>
    </row>
    <row r="116" s="1" customFormat="1" ht="16.5" spans="1:6 16247:16382">
      <c r="A116" s="8">
        <v>114</v>
      </c>
      <c r="B116" s="9" t="s">
        <v>120</v>
      </c>
      <c r="C116" s="8">
        <v>8</v>
      </c>
      <c r="D116" s="8">
        <v>1</v>
      </c>
      <c r="E116" s="8">
        <v>44</v>
      </c>
      <c r="F116" s="8">
        <v>44</v>
      </c>
      <c r="WZW116"/>
      <c r="WZX116"/>
      <c r="WZY116"/>
      <c r="WZZ116"/>
      <c r="XAA116"/>
      <c r="XAB116"/>
      <c r="XAC116"/>
      <c r="XAD116"/>
      <c r="XAE116"/>
      <c r="XAF116"/>
      <c r="XAG116"/>
      <c r="XAH116"/>
      <c r="XAI116"/>
      <c r="XAJ116"/>
      <c r="XAK116"/>
      <c r="XAL116"/>
      <c r="XAM116"/>
      <c r="XAN116"/>
      <c r="XAO116"/>
      <c r="XAP116"/>
      <c r="XAQ116"/>
      <c r="XAR116"/>
      <c r="XAS116"/>
      <c r="XAT116"/>
      <c r="XAU116"/>
      <c r="XAV116"/>
      <c r="XAW116"/>
      <c r="XAX116"/>
      <c r="XAY116"/>
      <c r="XAZ116"/>
      <c r="XBA116"/>
      <c r="XBB116"/>
      <c r="XBC116"/>
      <c r="XBD116"/>
      <c r="XBE116"/>
      <c r="XBF116"/>
      <c r="XBG116"/>
      <c r="XBH116"/>
      <c r="XBI116"/>
      <c r="XBJ116" s="5"/>
      <c r="XBK116" s="5"/>
      <c r="XBL116" s="5"/>
      <c r="XBM116" s="5"/>
      <c r="XBN116" s="5"/>
      <c r="XBO116" s="5"/>
      <c r="XBP116" s="5"/>
      <c r="XBQ116" s="5"/>
      <c r="XBR116" s="5"/>
      <c r="XBS116" s="5"/>
      <c r="XBT116" s="5"/>
      <c r="XBU116" s="5"/>
      <c r="XBV116" s="5"/>
      <c r="XBW116" s="5"/>
      <c r="XBX116" s="5"/>
      <c r="XBY116" s="5"/>
      <c r="XBZ116" s="5"/>
      <c r="XCA116" s="5"/>
      <c r="XCB116" s="5"/>
      <c r="XCC116" s="5"/>
      <c r="XCD116" s="5"/>
      <c r="XCE116" s="5"/>
      <c r="XCF116" s="5"/>
      <c r="XCG116" s="5"/>
      <c r="XCH116" s="5"/>
      <c r="XCI116" s="5"/>
      <c r="XCJ116" s="5"/>
      <c r="XCK116" s="5"/>
      <c r="XCL116" s="5"/>
      <c r="XCM116" s="5"/>
      <c r="XCN116" s="5"/>
      <c r="XCO116" s="5"/>
      <c r="XCP116" s="5"/>
      <c r="XCQ116" s="5"/>
      <c r="XCR116" s="5"/>
      <c r="XCS116" s="5"/>
      <c r="XCT116" s="5"/>
      <c r="XCU116" s="5"/>
      <c r="XCV116" s="5"/>
      <c r="XCW116" s="5"/>
      <c r="XCX116" s="5"/>
      <c r="XCY116" s="5"/>
      <c r="XCZ116" s="5"/>
      <c r="XDA116" s="5"/>
      <c r="XDB116" s="5"/>
      <c r="XDC116" s="5"/>
      <c r="XDD116" s="5"/>
      <c r="XDE116" s="5"/>
      <c r="XDF116" s="5"/>
      <c r="XDG116" s="5"/>
      <c r="XDH116" s="5"/>
      <c r="XDI116" s="5"/>
      <c r="XDJ116" s="5"/>
      <c r="XDK116" s="5"/>
      <c r="XDL116" s="5"/>
      <c r="XDM116" s="5"/>
      <c r="XDN116" s="5"/>
      <c r="XDO116" s="5"/>
      <c r="XDP116" s="5"/>
      <c r="XDQ116" s="5"/>
      <c r="XDR116" s="5"/>
      <c r="XDS116" s="5"/>
      <c r="XDT116" s="5"/>
      <c r="XDU116" s="5"/>
      <c r="XDV116" s="5"/>
      <c r="XDW116" s="5"/>
      <c r="XDX116" s="5"/>
      <c r="XDY116" s="5"/>
      <c r="XDZ116" s="5"/>
      <c r="XEA116" s="5"/>
      <c r="XEB116" s="5"/>
      <c r="XEC116" s="5"/>
      <c r="XED116" s="5"/>
      <c r="XEE116" s="5"/>
      <c r="XEF116" s="5"/>
      <c r="XEG116" s="5"/>
      <c r="XEH116" s="5"/>
      <c r="XEI116" s="5"/>
      <c r="XEJ116" s="5"/>
      <c r="XEK116" s="5"/>
      <c r="XEL116" s="5"/>
      <c r="XEM116" s="5"/>
      <c r="XEN116" s="5"/>
      <c r="XEO116" s="5"/>
      <c r="XEP116" s="5"/>
      <c r="XEQ116" s="5"/>
      <c r="XER116" s="5"/>
      <c r="XES116" s="5"/>
      <c r="XET116" s="5"/>
      <c r="XEU116" s="5"/>
      <c r="XEV116" s="5"/>
      <c r="XEW116" s="5"/>
      <c r="XEX116" s="5"/>
      <c r="XEY116" s="5"/>
      <c r="XEZ116" s="5"/>
      <c r="XFA116" s="5"/>
      <c r="XFB116" s="5"/>
    </row>
    <row r="117" s="1" customFormat="1" ht="16.5" spans="1:6 16247:16382">
      <c r="A117" s="8">
        <v>115</v>
      </c>
      <c r="B117" s="9" t="s">
        <v>121</v>
      </c>
      <c r="C117" s="8">
        <v>8</v>
      </c>
      <c r="D117" s="8">
        <v>8</v>
      </c>
      <c r="E117" s="8">
        <v>8</v>
      </c>
      <c r="F117" s="8">
        <v>64</v>
      </c>
      <c r="WZW117"/>
      <c r="WZX117"/>
      <c r="WZY117"/>
      <c r="WZZ117"/>
      <c r="XAA117"/>
      <c r="XAB117"/>
      <c r="XAC117"/>
      <c r="XAD117"/>
      <c r="XAE117"/>
      <c r="XAF117"/>
      <c r="XAG117"/>
      <c r="XAH117"/>
      <c r="XAI117"/>
      <c r="XAJ117"/>
      <c r="XAK117"/>
      <c r="XAL117"/>
      <c r="XAM117"/>
      <c r="XAN117"/>
      <c r="XAO117"/>
      <c r="XAP117"/>
      <c r="XAQ117"/>
      <c r="XAR117"/>
      <c r="XAS117"/>
      <c r="XAT117"/>
      <c r="XAU117"/>
      <c r="XAV117"/>
      <c r="XAW117"/>
      <c r="XAX117"/>
      <c r="XAY117"/>
      <c r="XAZ117"/>
      <c r="XBA117"/>
      <c r="XBB117"/>
      <c r="XBC117"/>
      <c r="XBD117"/>
      <c r="XBE117"/>
      <c r="XBF117"/>
      <c r="XBG117"/>
      <c r="XBH117"/>
      <c r="XBI117"/>
      <c r="XBJ117" s="5"/>
      <c r="XBK117" s="5"/>
      <c r="XBL117" s="5"/>
      <c r="XBM117" s="5"/>
      <c r="XBN117" s="5"/>
      <c r="XBO117" s="5"/>
      <c r="XBP117" s="5"/>
      <c r="XBQ117" s="5"/>
      <c r="XBR117" s="5"/>
      <c r="XBS117" s="5"/>
      <c r="XBT117" s="5"/>
      <c r="XBU117" s="5"/>
      <c r="XBV117" s="5"/>
      <c r="XBW117" s="5"/>
      <c r="XBX117" s="5"/>
      <c r="XBY117" s="5"/>
      <c r="XBZ117" s="5"/>
      <c r="XCA117" s="5"/>
      <c r="XCB117" s="5"/>
      <c r="XCC117" s="5"/>
      <c r="XCD117" s="5"/>
      <c r="XCE117" s="5"/>
      <c r="XCF117" s="5"/>
      <c r="XCG117" s="5"/>
      <c r="XCH117" s="5"/>
      <c r="XCI117" s="5"/>
      <c r="XCJ117" s="5"/>
      <c r="XCK117" s="5"/>
      <c r="XCL117" s="5"/>
      <c r="XCM117" s="5"/>
      <c r="XCN117" s="5"/>
      <c r="XCO117" s="5"/>
      <c r="XCP117" s="5"/>
      <c r="XCQ117" s="5"/>
      <c r="XCR117" s="5"/>
      <c r="XCS117" s="5"/>
      <c r="XCT117" s="5"/>
      <c r="XCU117" s="5"/>
      <c r="XCV117" s="5"/>
      <c r="XCW117" s="5"/>
      <c r="XCX117" s="5"/>
      <c r="XCY117" s="5"/>
      <c r="XCZ117" s="5"/>
      <c r="XDA117" s="5"/>
      <c r="XDB117" s="5"/>
      <c r="XDC117" s="5"/>
      <c r="XDD117" s="5"/>
      <c r="XDE117" s="5"/>
      <c r="XDF117" s="5"/>
      <c r="XDG117" s="5"/>
      <c r="XDH117" s="5"/>
      <c r="XDI117" s="5"/>
      <c r="XDJ117" s="5"/>
      <c r="XDK117" s="5"/>
      <c r="XDL117" s="5"/>
      <c r="XDM117" s="5"/>
      <c r="XDN117" s="5"/>
      <c r="XDO117" s="5"/>
      <c r="XDP117" s="5"/>
      <c r="XDQ117" s="5"/>
      <c r="XDR117" s="5"/>
      <c r="XDS117" s="5"/>
      <c r="XDT117" s="5"/>
      <c r="XDU117" s="5"/>
      <c r="XDV117" s="5"/>
      <c r="XDW117" s="5"/>
      <c r="XDX117" s="5"/>
      <c r="XDY117" s="5"/>
      <c r="XDZ117" s="5"/>
      <c r="XEA117" s="5"/>
      <c r="XEB117" s="5"/>
      <c r="XEC117" s="5"/>
      <c r="XED117" s="5"/>
      <c r="XEE117" s="5"/>
      <c r="XEF117" s="5"/>
      <c r="XEG117" s="5"/>
      <c r="XEH117" s="5"/>
      <c r="XEI117" s="5"/>
      <c r="XEJ117" s="5"/>
      <c r="XEK117" s="5"/>
      <c r="XEL117" s="5"/>
      <c r="XEM117" s="5"/>
      <c r="XEN117" s="5"/>
      <c r="XEO117" s="5"/>
      <c r="XEP117" s="5"/>
      <c r="XEQ117" s="5"/>
      <c r="XER117" s="5"/>
      <c r="XES117" s="5"/>
      <c r="XET117" s="5"/>
      <c r="XEU117" s="5"/>
      <c r="XEV117" s="5"/>
      <c r="XEW117" s="5"/>
      <c r="XEX117" s="5"/>
      <c r="XEY117" s="5"/>
      <c r="XEZ117" s="5"/>
      <c r="XFA117" s="5"/>
      <c r="XFB117" s="5"/>
    </row>
    <row r="118" s="1" customFormat="1" ht="16.5" spans="1:6 16247:16382">
      <c r="A118" s="8">
        <v>116</v>
      </c>
      <c r="B118" s="9" t="s">
        <v>122</v>
      </c>
      <c r="C118" s="8">
        <v>48</v>
      </c>
      <c r="D118" s="8">
        <v>6</v>
      </c>
      <c r="E118" s="8">
        <v>44</v>
      </c>
      <c r="F118" s="8">
        <v>264</v>
      </c>
      <c r="WZW118"/>
      <c r="WZX118"/>
      <c r="WZY118"/>
      <c r="WZZ118"/>
      <c r="XAA118"/>
      <c r="XAB118"/>
      <c r="XAC118"/>
      <c r="XAD118"/>
      <c r="XAE118"/>
      <c r="XAF118"/>
      <c r="XAG118"/>
      <c r="XAH118"/>
      <c r="XAI118"/>
      <c r="XAJ118"/>
      <c r="XAK118"/>
      <c r="XAL118"/>
      <c r="XAM118"/>
      <c r="XAN118"/>
      <c r="XAO118"/>
      <c r="XAP118"/>
      <c r="XAQ118"/>
      <c r="XAR118"/>
      <c r="XAS118"/>
      <c r="XAT118"/>
      <c r="XAU118"/>
      <c r="XAV118"/>
      <c r="XAW118"/>
      <c r="XAX118"/>
      <c r="XAY118"/>
      <c r="XAZ118"/>
      <c r="XBA118"/>
      <c r="XBB118"/>
      <c r="XBC118"/>
      <c r="XBD118"/>
      <c r="XBE118"/>
      <c r="XBF118"/>
      <c r="XBG118"/>
      <c r="XBH118"/>
      <c r="XBI118"/>
      <c r="XBJ118" s="5"/>
      <c r="XBK118" s="5"/>
      <c r="XBL118" s="5"/>
      <c r="XBM118" s="5"/>
      <c r="XBN118" s="5"/>
      <c r="XBO118" s="5"/>
      <c r="XBP118" s="5"/>
      <c r="XBQ118" s="5"/>
      <c r="XBR118" s="5"/>
      <c r="XBS118" s="5"/>
      <c r="XBT118" s="5"/>
      <c r="XBU118" s="5"/>
      <c r="XBV118" s="5"/>
      <c r="XBW118" s="5"/>
      <c r="XBX118" s="5"/>
      <c r="XBY118" s="5"/>
      <c r="XBZ118" s="5"/>
      <c r="XCA118" s="5"/>
      <c r="XCB118" s="5"/>
      <c r="XCC118" s="5"/>
      <c r="XCD118" s="5"/>
      <c r="XCE118" s="5"/>
      <c r="XCF118" s="5"/>
      <c r="XCG118" s="5"/>
      <c r="XCH118" s="5"/>
      <c r="XCI118" s="5"/>
      <c r="XCJ118" s="5"/>
      <c r="XCK118" s="5"/>
      <c r="XCL118" s="5"/>
      <c r="XCM118" s="5"/>
      <c r="XCN118" s="5"/>
      <c r="XCO118" s="5"/>
      <c r="XCP118" s="5"/>
      <c r="XCQ118" s="5"/>
      <c r="XCR118" s="5"/>
      <c r="XCS118" s="5"/>
      <c r="XCT118" s="5"/>
      <c r="XCU118" s="5"/>
      <c r="XCV118" s="5"/>
      <c r="XCW118" s="5"/>
      <c r="XCX118" s="5"/>
      <c r="XCY118" s="5"/>
      <c r="XCZ118" s="5"/>
      <c r="XDA118" s="5"/>
      <c r="XDB118" s="5"/>
      <c r="XDC118" s="5"/>
      <c r="XDD118" s="5"/>
      <c r="XDE118" s="5"/>
      <c r="XDF118" s="5"/>
      <c r="XDG118" s="5"/>
      <c r="XDH118" s="5"/>
      <c r="XDI118" s="5"/>
      <c r="XDJ118" s="5"/>
      <c r="XDK118" s="5"/>
      <c r="XDL118" s="5"/>
      <c r="XDM118" s="5"/>
      <c r="XDN118" s="5"/>
      <c r="XDO118" s="5"/>
      <c r="XDP118" s="5"/>
      <c r="XDQ118" s="5"/>
      <c r="XDR118" s="5"/>
      <c r="XDS118" s="5"/>
      <c r="XDT118" s="5"/>
      <c r="XDU118" s="5"/>
      <c r="XDV118" s="5"/>
      <c r="XDW118" s="5"/>
      <c r="XDX118" s="5"/>
      <c r="XDY118" s="5"/>
      <c r="XDZ118" s="5"/>
      <c r="XEA118" s="5"/>
      <c r="XEB118" s="5"/>
      <c r="XEC118" s="5"/>
      <c r="XED118" s="5"/>
      <c r="XEE118" s="5"/>
      <c r="XEF118" s="5"/>
      <c r="XEG118" s="5"/>
      <c r="XEH118" s="5"/>
      <c r="XEI118" s="5"/>
      <c r="XEJ118" s="5"/>
      <c r="XEK118" s="5"/>
      <c r="XEL118" s="5"/>
      <c r="XEM118" s="5"/>
      <c r="XEN118" s="5"/>
      <c r="XEO118" s="5"/>
      <c r="XEP118" s="5"/>
      <c r="XEQ118" s="5"/>
      <c r="XER118" s="5"/>
      <c r="XES118" s="5"/>
      <c r="XET118" s="5"/>
      <c r="XEU118" s="5"/>
      <c r="XEV118" s="5"/>
      <c r="XEW118" s="5"/>
      <c r="XEX118" s="5"/>
      <c r="XEY118" s="5"/>
      <c r="XEZ118" s="5"/>
      <c r="XFA118" s="5"/>
      <c r="XFB118" s="5"/>
    </row>
    <row r="119" s="1" customFormat="1" ht="16.5" spans="1:6 16247:16382">
      <c r="A119" s="8">
        <v>117</v>
      </c>
      <c r="B119" s="9" t="s">
        <v>123</v>
      </c>
      <c r="C119" s="8">
        <v>70</v>
      </c>
      <c r="D119" s="8">
        <v>7</v>
      </c>
      <c r="E119" s="8">
        <v>55</v>
      </c>
      <c r="F119" s="8">
        <v>385</v>
      </c>
      <c r="WZW119"/>
      <c r="WZX119"/>
      <c r="WZY119"/>
      <c r="WZZ119"/>
      <c r="XAA119"/>
      <c r="XAB119"/>
      <c r="XAC119"/>
      <c r="XAD119"/>
      <c r="XAE119"/>
      <c r="XAF119"/>
      <c r="XAG119"/>
      <c r="XAH119"/>
      <c r="XAI119"/>
      <c r="XAJ119"/>
      <c r="XAK119"/>
      <c r="XAL119"/>
      <c r="XAM119"/>
      <c r="XAN119"/>
      <c r="XAO119"/>
      <c r="XAP119"/>
      <c r="XAQ119"/>
      <c r="XAR119"/>
      <c r="XAS119"/>
      <c r="XAT119"/>
      <c r="XAU119"/>
      <c r="XAV119"/>
      <c r="XAW119"/>
      <c r="XAX119"/>
      <c r="XAY119"/>
      <c r="XAZ119"/>
      <c r="XBA119"/>
      <c r="XBB119"/>
      <c r="XBC119"/>
      <c r="XBD119"/>
      <c r="XBE119"/>
      <c r="XBF119"/>
      <c r="XBG119"/>
      <c r="XBH119"/>
      <c r="XBI119"/>
      <c r="XBJ119" s="5"/>
      <c r="XBK119" s="5"/>
      <c r="XBL119" s="5"/>
      <c r="XBM119" s="5"/>
      <c r="XBN119" s="5"/>
      <c r="XBO119" s="5"/>
      <c r="XBP119" s="5"/>
      <c r="XBQ119" s="5"/>
      <c r="XBR119" s="5"/>
      <c r="XBS119" s="5"/>
      <c r="XBT119" s="5"/>
      <c r="XBU119" s="5"/>
      <c r="XBV119" s="5"/>
      <c r="XBW119" s="5"/>
      <c r="XBX119" s="5"/>
      <c r="XBY119" s="5"/>
      <c r="XBZ119" s="5"/>
      <c r="XCA119" s="5"/>
      <c r="XCB119" s="5"/>
      <c r="XCC119" s="5"/>
      <c r="XCD119" s="5"/>
      <c r="XCE119" s="5"/>
      <c r="XCF119" s="5"/>
      <c r="XCG119" s="5"/>
      <c r="XCH119" s="5"/>
      <c r="XCI119" s="5"/>
      <c r="XCJ119" s="5"/>
      <c r="XCK119" s="5"/>
      <c r="XCL119" s="5"/>
      <c r="XCM119" s="5"/>
      <c r="XCN119" s="5"/>
      <c r="XCO119" s="5"/>
      <c r="XCP119" s="5"/>
      <c r="XCQ119" s="5"/>
      <c r="XCR119" s="5"/>
      <c r="XCS119" s="5"/>
      <c r="XCT119" s="5"/>
      <c r="XCU119" s="5"/>
      <c r="XCV119" s="5"/>
      <c r="XCW119" s="5"/>
      <c r="XCX119" s="5"/>
      <c r="XCY119" s="5"/>
      <c r="XCZ119" s="5"/>
      <c r="XDA119" s="5"/>
      <c r="XDB119" s="5"/>
      <c r="XDC119" s="5"/>
      <c r="XDD119" s="5"/>
      <c r="XDE119" s="5"/>
      <c r="XDF119" s="5"/>
      <c r="XDG119" s="5"/>
      <c r="XDH119" s="5"/>
      <c r="XDI119" s="5"/>
      <c r="XDJ119" s="5"/>
      <c r="XDK119" s="5"/>
      <c r="XDL119" s="5"/>
      <c r="XDM119" s="5"/>
      <c r="XDN119" s="5"/>
      <c r="XDO119" s="5"/>
      <c r="XDP119" s="5"/>
      <c r="XDQ119" s="5"/>
      <c r="XDR119" s="5"/>
      <c r="XDS119" s="5"/>
      <c r="XDT119" s="5"/>
      <c r="XDU119" s="5"/>
      <c r="XDV119" s="5"/>
      <c r="XDW119" s="5"/>
      <c r="XDX119" s="5"/>
      <c r="XDY119" s="5"/>
      <c r="XDZ119" s="5"/>
      <c r="XEA119" s="5"/>
      <c r="XEB119" s="5"/>
      <c r="XEC119" s="5"/>
      <c r="XED119" s="5"/>
      <c r="XEE119" s="5"/>
      <c r="XEF119" s="5"/>
      <c r="XEG119" s="5"/>
      <c r="XEH119" s="5"/>
      <c r="XEI119" s="5"/>
      <c r="XEJ119" s="5"/>
      <c r="XEK119" s="5"/>
      <c r="XEL119" s="5"/>
      <c r="XEM119" s="5"/>
      <c r="XEN119" s="5"/>
      <c r="XEO119" s="5"/>
      <c r="XEP119" s="5"/>
      <c r="XEQ119" s="5"/>
      <c r="XER119" s="5"/>
      <c r="XES119" s="5"/>
      <c r="XET119" s="5"/>
      <c r="XEU119" s="5"/>
      <c r="XEV119" s="5"/>
      <c r="XEW119" s="5"/>
      <c r="XEX119" s="5"/>
      <c r="XEY119" s="5"/>
      <c r="XEZ119" s="5"/>
      <c r="XFA119" s="5"/>
      <c r="XFB119" s="5"/>
    </row>
    <row r="120" s="1" customFormat="1" ht="16.5" spans="1:6 16247:16382">
      <c r="A120" s="8">
        <v>118</v>
      </c>
      <c r="B120" s="9" t="s">
        <v>124</v>
      </c>
      <c r="C120" s="8">
        <v>6</v>
      </c>
      <c r="D120" s="8">
        <v>1</v>
      </c>
      <c r="E120" s="8">
        <v>88</v>
      </c>
      <c r="F120" s="8">
        <v>88</v>
      </c>
      <c r="WZW120"/>
      <c r="WZX120"/>
      <c r="WZY120"/>
      <c r="WZZ120"/>
      <c r="XAA120"/>
      <c r="XAB120"/>
      <c r="XAC120"/>
      <c r="XAD120"/>
      <c r="XAE120"/>
      <c r="XAF120"/>
      <c r="XAG120"/>
      <c r="XAH120"/>
      <c r="XAI120"/>
      <c r="XAJ120"/>
      <c r="XAK120"/>
      <c r="XAL120"/>
      <c r="XAM120"/>
      <c r="XAN120"/>
      <c r="XAO120"/>
      <c r="XAP120"/>
      <c r="XAQ120"/>
      <c r="XAR120"/>
      <c r="XAS120"/>
      <c r="XAT120"/>
      <c r="XAU120"/>
      <c r="XAV120"/>
      <c r="XAW120"/>
      <c r="XAX120"/>
      <c r="XAY120"/>
      <c r="XAZ120"/>
      <c r="XBA120"/>
      <c r="XBB120"/>
      <c r="XBC120"/>
      <c r="XBD120"/>
      <c r="XBE120"/>
      <c r="XBF120"/>
      <c r="XBG120"/>
      <c r="XBH120"/>
      <c r="XBI120"/>
      <c r="XBJ120" s="5"/>
      <c r="XBK120" s="5"/>
      <c r="XBL120" s="5"/>
      <c r="XBM120" s="5"/>
      <c r="XBN120" s="5"/>
      <c r="XBO120" s="5"/>
      <c r="XBP120" s="5"/>
      <c r="XBQ120" s="5"/>
      <c r="XBR120" s="5"/>
      <c r="XBS120" s="5"/>
      <c r="XBT120" s="5"/>
      <c r="XBU120" s="5"/>
      <c r="XBV120" s="5"/>
      <c r="XBW120" s="5"/>
      <c r="XBX120" s="5"/>
      <c r="XBY120" s="5"/>
      <c r="XBZ120" s="5"/>
      <c r="XCA120" s="5"/>
      <c r="XCB120" s="5"/>
      <c r="XCC120" s="5"/>
      <c r="XCD120" s="5"/>
      <c r="XCE120" s="5"/>
      <c r="XCF120" s="5"/>
      <c r="XCG120" s="5"/>
      <c r="XCH120" s="5"/>
      <c r="XCI120" s="5"/>
      <c r="XCJ120" s="5"/>
      <c r="XCK120" s="5"/>
      <c r="XCL120" s="5"/>
      <c r="XCM120" s="5"/>
      <c r="XCN120" s="5"/>
      <c r="XCO120" s="5"/>
      <c r="XCP120" s="5"/>
      <c r="XCQ120" s="5"/>
      <c r="XCR120" s="5"/>
      <c r="XCS120" s="5"/>
      <c r="XCT120" s="5"/>
      <c r="XCU120" s="5"/>
      <c r="XCV120" s="5"/>
      <c r="XCW120" s="5"/>
      <c r="XCX120" s="5"/>
      <c r="XCY120" s="5"/>
      <c r="XCZ120" s="5"/>
      <c r="XDA120" s="5"/>
      <c r="XDB120" s="5"/>
      <c r="XDC120" s="5"/>
      <c r="XDD120" s="5"/>
      <c r="XDE120" s="5"/>
      <c r="XDF120" s="5"/>
      <c r="XDG120" s="5"/>
      <c r="XDH120" s="5"/>
      <c r="XDI120" s="5"/>
      <c r="XDJ120" s="5"/>
      <c r="XDK120" s="5"/>
      <c r="XDL120" s="5"/>
      <c r="XDM120" s="5"/>
      <c r="XDN120" s="5"/>
      <c r="XDO120" s="5"/>
      <c r="XDP120" s="5"/>
      <c r="XDQ120" s="5"/>
      <c r="XDR120" s="5"/>
      <c r="XDS120" s="5"/>
      <c r="XDT120" s="5"/>
      <c r="XDU120" s="5"/>
      <c r="XDV120" s="5"/>
      <c r="XDW120" s="5"/>
      <c r="XDX120" s="5"/>
      <c r="XDY120" s="5"/>
      <c r="XDZ120" s="5"/>
      <c r="XEA120" s="5"/>
      <c r="XEB120" s="5"/>
      <c r="XEC120" s="5"/>
      <c r="XED120" s="5"/>
      <c r="XEE120" s="5"/>
      <c r="XEF120" s="5"/>
      <c r="XEG120" s="5"/>
      <c r="XEH120" s="5"/>
      <c r="XEI120" s="5"/>
      <c r="XEJ120" s="5"/>
      <c r="XEK120" s="5"/>
      <c r="XEL120" s="5"/>
      <c r="XEM120" s="5"/>
      <c r="XEN120" s="5"/>
      <c r="XEO120" s="5"/>
      <c r="XEP120" s="5"/>
      <c r="XEQ120" s="5"/>
      <c r="XER120" s="5"/>
      <c r="XES120" s="5"/>
      <c r="XET120" s="5"/>
      <c r="XEU120" s="5"/>
      <c r="XEV120" s="5"/>
      <c r="XEW120" s="5"/>
      <c r="XEX120" s="5"/>
      <c r="XEY120" s="5"/>
      <c r="XEZ120" s="5"/>
      <c r="XFA120" s="5"/>
      <c r="XFB120" s="5"/>
    </row>
    <row r="121" s="1" customFormat="1" ht="16.5" spans="1:6 16247:16382">
      <c r="A121" s="8">
        <v>119</v>
      </c>
      <c r="B121" s="9" t="s">
        <v>125</v>
      </c>
      <c r="C121" s="8">
        <v>4</v>
      </c>
      <c r="D121" s="8">
        <v>2</v>
      </c>
      <c r="E121" s="8">
        <v>16.5</v>
      </c>
      <c r="F121" s="8">
        <v>33</v>
      </c>
      <c r="WZW121"/>
      <c r="WZX121"/>
      <c r="WZY121"/>
      <c r="WZZ121"/>
      <c r="XAA121"/>
      <c r="XAB121"/>
      <c r="XAC121"/>
      <c r="XAD121"/>
      <c r="XAE121"/>
      <c r="XAF121"/>
      <c r="XAG121"/>
      <c r="XAH121"/>
      <c r="XAI121"/>
      <c r="XAJ121"/>
      <c r="XAK121"/>
      <c r="XAL121"/>
      <c r="XAM121"/>
      <c r="XAN121"/>
      <c r="XAO121"/>
      <c r="XAP121"/>
      <c r="XAQ121"/>
      <c r="XAR121"/>
      <c r="XAS121"/>
      <c r="XAT121"/>
      <c r="XAU121"/>
      <c r="XAV121"/>
      <c r="XAW121"/>
      <c r="XAX121"/>
      <c r="XAY121"/>
      <c r="XAZ121"/>
      <c r="XBA121"/>
      <c r="XBB121"/>
      <c r="XBC121"/>
      <c r="XBD121"/>
      <c r="XBE121"/>
      <c r="XBF121"/>
      <c r="XBG121"/>
      <c r="XBH121"/>
      <c r="XBI121"/>
      <c r="XBJ121" s="5"/>
      <c r="XBK121" s="5"/>
      <c r="XBL121" s="5"/>
      <c r="XBM121" s="5"/>
      <c r="XBN121" s="5"/>
      <c r="XBO121" s="5"/>
      <c r="XBP121" s="5"/>
      <c r="XBQ121" s="5"/>
      <c r="XBR121" s="5"/>
      <c r="XBS121" s="5"/>
      <c r="XBT121" s="5"/>
      <c r="XBU121" s="5"/>
      <c r="XBV121" s="5"/>
      <c r="XBW121" s="5"/>
      <c r="XBX121" s="5"/>
      <c r="XBY121" s="5"/>
      <c r="XBZ121" s="5"/>
      <c r="XCA121" s="5"/>
      <c r="XCB121" s="5"/>
      <c r="XCC121" s="5"/>
      <c r="XCD121" s="5"/>
      <c r="XCE121" s="5"/>
      <c r="XCF121" s="5"/>
      <c r="XCG121" s="5"/>
      <c r="XCH121" s="5"/>
      <c r="XCI121" s="5"/>
      <c r="XCJ121" s="5"/>
      <c r="XCK121" s="5"/>
      <c r="XCL121" s="5"/>
      <c r="XCM121" s="5"/>
      <c r="XCN121" s="5"/>
      <c r="XCO121" s="5"/>
      <c r="XCP121" s="5"/>
      <c r="XCQ121" s="5"/>
      <c r="XCR121" s="5"/>
      <c r="XCS121" s="5"/>
      <c r="XCT121" s="5"/>
      <c r="XCU121" s="5"/>
      <c r="XCV121" s="5"/>
      <c r="XCW121" s="5"/>
      <c r="XCX121" s="5"/>
      <c r="XCY121" s="5"/>
      <c r="XCZ121" s="5"/>
      <c r="XDA121" s="5"/>
      <c r="XDB121" s="5"/>
      <c r="XDC121" s="5"/>
      <c r="XDD121" s="5"/>
      <c r="XDE121" s="5"/>
      <c r="XDF121" s="5"/>
      <c r="XDG121" s="5"/>
      <c r="XDH121" s="5"/>
      <c r="XDI121" s="5"/>
      <c r="XDJ121" s="5"/>
      <c r="XDK121" s="5"/>
      <c r="XDL121" s="5"/>
      <c r="XDM121" s="5"/>
      <c r="XDN121" s="5"/>
      <c r="XDO121" s="5"/>
      <c r="XDP121" s="5"/>
      <c r="XDQ121" s="5"/>
      <c r="XDR121" s="5"/>
      <c r="XDS121" s="5"/>
      <c r="XDT121" s="5"/>
      <c r="XDU121" s="5"/>
      <c r="XDV121" s="5"/>
      <c r="XDW121" s="5"/>
      <c r="XDX121" s="5"/>
      <c r="XDY121" s="5"/>
      <c r="XDZ121" s="5"/>
      <c r="XEA121" s="5"/>
      <c r="XEB121" s="5"/>
      <c r="XEC121" s="5"/>
      <c r="XED121" s="5"/>
      <c r="XEE121" s="5"/>
      <c r="XEF121" s="5"/>
      <c r="XEG121" s="5"/>
      <c r="XEH121" s="5"/>
      <c r="XEI121" s="5"/>
      <c r="XEJ121" s="5"/>
      <c r="XEK121" s="5"/>
      <c r="XEL121" s="5"/>
      <c r="XEM121" s="5"/>
      <c r="XEN121" s="5"/>
      <c r="XEO121" s="5"/>
      <c r="XEP121" s="5"/>
      <c r="XEQ121" s="5"/>
      <c r="XER121" s="5"/>
      <c r="XES121" s="5"/>
      <c r="XET121" s="5"/>
      <c r="XEU121" s="5"/>
      <c r="XEV121" s="5"/>
      <c r="XEW121" s="5"/>
      <c r="XEX121" s="5"/>
      <c r="XEY121" s="5"/>
      <c r="XEZ121" s="5"/>
      <c r="XFA121" s="5"/>
      <c r="XFB121" s="5"/>
    </row>
    <row r="122" s="1" customFormat="1" ht="16.5" spans="1:6 16247:16382">
      <c r="A122" s="8">
        <v>120</v>
      </c>
      <c r="B122" s="9" t="s">
        <v>126</v>
      </c>
      <c r="C122" s="8">
        <v>7075</v>
      </c>
      <c r="D122" s="8">
        <v>283</v>
      </c>
      <c r="E122" s="8">
        <v>137.5</v>
      </c>
      <c r="F122" s="8">
        <v>38912.5</v>
      </c>
      <c r="WZW122"/>
      <c r="WZX122"/>
      <c r="WZY122"/>
      <c r="WZZ122"/>
      <c r="XAA122"/>
      <c r="XAB122"/>
      <c r="XAC122"/>
      <c r="XAD122"/>
      <c r="XAE122"/>
      <c r="XAF122"/>
      <c r="XAG122"/>
      <c r="XAH122"/>
      <c r="XAI122"/>
      <c r="XAJ122"/>
      <c r="XAK122"/>
      <c r="XAL122"/>
      <c r="XAM122"/>
      <c r="XAN122"/>
      <c r="XAO122"/>
      <c r="XAP122"/>
      <c r="XAQ122"/>
      <c r="XAR122"/>
      <c r="XAS122"/>
      <c r="XAT122"/>
      <c r="XAU122"/>
      <c r="XAV122"/>
      <c r="XAW122"/>
      <c r="XAX122"/>
      <c r="XAY122"/>
      <c r="XAZ122"/>
      <c r="XBA122"/>
      <c r="XBB122"/>
      <c r="XBC122"/>
      <c r="XBD122"/>
      <c r="XBE122"/>
      <c r="XBF122"/>
      <c r="XBG122"/>
      <c r="XBH122"/>
      <c r="XBI122"/>
      <c r="XBJ122" s="5"/>
      <c r="XBK122" s="5"/>
      <c r="XBL122" s="5"/>
      <c r="XBM122" s="5"/>
      <c r="XBN122" s="5"/>
      <c r="XBO122" s="5"/>
      <c r="XBP122" s="5"/>
      <c r="XBQ122" s="5"/>
      <c r="XBR122" s="5"/>
      <c r="XBS122" s="5"/>
      <c r="XBT122" s="5"/>
      <c r="XBU122" s="5"/>
      <c r="XBV122" s="5"/>
      <c r="XBW122" s="5"/>
      <c r="XBX122" s="5"/>
      <c r="XBY122" s="5"/>
      <c r="XBZ122" s="5"/>
      <c r="XCA122" s="5"/>
      <c r="XCB122" s="5"/>
      <c r="XCC122" s="5"/>
      <c r="XCD122" s="5"/>
      <c r="XCE122" s="5"/>
      <c r="XCF122" s="5"/>
      <c r="XCG122" s="5"/>
      <c r="XCH122" s="5"/>
      <c r="XCI122" s="5"/>
      <c r="XCJ122" s="5"/>
      <c r="XCK122" s="5"/>
      <c r="XCL122" s="5"/>
      <c r="XCM122" s="5"/>
      <c r="XCN122" s="5"/>
      <c r="XCO122" s="5"/>
      <c r="XCP122" s="5"/>
      <c r="XCQ122" s="5"/>
      <c r="XCR122" s="5"/>
      <c r="XCS122" s="5"/>
      <c r="XCT122" s="5"/>
      <c r="XCU122" s="5"/>
      <c r="XCV122" s="5"/>
      <c r="XCW122" s="5"/>
      <c r="XCX122" s="5"/>
      <c r="XCY122" s="5"/>
      <c r="XCZ122" s="5"/>
      <c r="XDA122" s="5"/>
      <c r="XDB122" s="5"/>
      <c r="XDC122" s="5"/>
      <c r="XDD122" s="5"/>
      <c r="XDE122" s="5"/>
      <c r="XDF122" s="5"/>
      <c r="XDG122" s="5"/>
      <c r="XDH122" s="5"/>
      <c r="XDI122" s="5"/>
      <c r="XDJ122" s="5"/>
      <c r="XDK122" s="5"/>
      <c r="XDL122" s="5"/>
      <c r="XDM122" s="5"/>
      <c r="XDN122" s="5"/>
      <c r="XDO122" s="5"/>
      <c r="XDP122" s="5"/>
      <c r="XDQ122" s="5"/>
      <c r="XDR122" s="5"/>
      <c r="XDS122" s="5"/>
      <c r="XDT122" s="5"/>
      <c r="XDU122" s="5"/>
      <c r="XDV122" s="5"/>
      <c r="XDW122" s="5"/>
      <c r="XDX122" s="5"/>
      <c r="XDY122" s="5"/>
      <c r="XDZ122" s="5"/>
      <c r="XEA122" s="5"/>
      <c r="XEB122" s="5"/>
      <c r="XEC122" s="5"/>
      <c r="XED122" s="5"/>
      <c r="XEE122" s="5"/>
      <c r="XEF122" s="5"/>
      <c r="XEG122" s="5"/>
      <c r="XEH122" s="5"/>
      <c r="XEI122" s="5"/>
      <c r="XEJ122" s="5"/>
      <c r="XEK122" s="5"/>
      <c r="XEL122" s="5"/>
      <c r="XEM122" s="5"/>
      <c r="XEN122" s="5"/>
      <c r="XEO122" s="5"/>
      <c r="XEP122" s="5"/>
      <c r="XEQ122" s="5"/>
      <c r="XER122" s="5"/>
      <c r="XES122" s="5"/>
      <c r="XET122" s="5"/>
      <c r="XEU122" s="5"/>
      <c r="XEV122" s="5"/>
      <c r="XEW122" s="5"/>
      <c r="XEX122" s="5"/>
      <c r="XEY122" s="5"/>
      <c r="XEZ122" s="5"/>
      <c r="XFA122" s="5"/>
      <c r="XFB122" s="5"/>
    </row>
    <row r="123" s="1" customFormat="1" ht="16.5" spans="1:6 16247:16382">
      <c r="A123" s="8">
        <v>121</v>
      </c>
      <c r="B123" s="9" t="s">
        <v>127</v>
      </c>
      <c r="C123" s="8">
        <v>2</v>
      </c>
      <c r="D123" s="8">
        <v>2</v>
      </c>
      <c r="E123" s="8">
        <v>8</v>
      </c>
      <c r="F123" s="8">
        <v>16</v>
      </c>
      <c r="WZW123"/>
      <c r="WZX123"/>
      <c r="WZY123"/>
      <c r="WZZ123"/>
      <c r="XAA123"/>
      <c r="XAB123"/>
      <c r="XAC123"/>
      <c r="XAD123"/>
      <c r="XAE123"/>
      <c r="XAF123"/>
      <c r="XAG123"/>
      <c r="XAH123"/>
      <c r="XAI123"/>
      <c r="XAJ123"/>
      <c r="XAK123"/>
      <c r="XAL123"/>
      <c r="XAM123"/>
      <c r="XAN123"/>
      <c r="XAO123"/>
      <c r="XAP123"/>
      <c r="XAQ123"/>
      <c r="XAR123"/>
      <c r="XAS123"/>
      <c r="XAT123"/>
      <c r="XAU123"/>
      <c r="XAV123"/>
      <c r="XAW123"/>
      <c r="XAX123"/>
      <c r="XAY123"/>
      <c r="XAZ123"/>
      <c r="XBA123"/>
      <c r="XBB123"/>
      <c r="XBC123"/>
      <c r="XBD123"/>
      <c r="XBE123"/>
      <c r="XBF123"/>
      <c r="XBG123"/>
      <c r="XBH123"/>
      <c r="XBI123"/>
      <c r="XBJ123" s="5"/>
      <c r="XBK123" s="5"/>
      <c r="XBL123" s="5"/>
      <c r="XBM123" s="5"/>
      <c r="XBN123" s="5"/>
      <c r="XBO123" s="5"/>
      <c r="XBP123" s="5"/>
      <c r="XBQ123" s="5"/>
      <c r="XBR123" s="5"/>
      <c r="XBS123" s="5"/>
      <c r="XBT123" s="5"/>
      <c r="XBU123" s="5"/>
      <c r="XBV123" s="5"/>
      <c r="XBW123" s="5"/>
      <c r="XBX123" s="5"/>
      <c r="XBY123" s="5"/>
      <c r="XBZ123" s="5"/>
      <c r="XCA123" s="5"/>
      <c r="XCB123" s="5"/>
      <c r="XCC123" s="5"/>
      <c r="XCD123" s="5"/>
      <c r="XCE123" s="5"/>
      <c r="XCF123" s="5"/>
      <c r="XCG123" s="5"/>
      <c r="XCH123" s="5"/>
      <c r="XCI123" s="5"/>
      <c r="XCJ123" s="5"/>
      <c r="XCK123" s="5"/>
      <c r="XCL123" s="5"/>
      <c r="XCM123" s="5"/>
      <c r="XCN123" s="5"/>
      <c r="XCO123" s="5"/>
      <c r="XCP123" s="5"/>
      <c r="XCQ123" s="5"/>
      <c r="XCR123" s="5"/>
      <c r="XCS123" s="5"/>
      <c r="XCT123" s="5"/>
      <c r="XCU123" s="5"/>
      <c r="XCV123" s="5"/>
      <c r="XCW123" s="5"/>
      <c r="XCX123" s="5"/>
      <c r="XCY123" s="5"/>
      <c r="XCZ123" s="5"/>
      <c r="XDA123" s="5"/>
      <c r="XDB123" s="5"/>
      <c r="XDC123" s="5"/>
      <c r="XDD123" s="5"/>
      <c r="XDE123" s="5"/>
      <c r="XDF123" s="5"/>
      <c r="XDG123" s="5"/>
      <c r="XDH123" s="5"/>
      <c r="XDI123" s="5"/>
      <c r="XDJ123" s="5"/>
      <c r="XDK123" s="5"/>
      <c r="XDL123" s="5"/>
      <c r="XDM123" s="5"/>
      <c r="XDN123" s="5"/>
      <c r="XDO123" s="5"/>
      <c r="XDP123" s="5"/>
      <c r="XDQ123" s="5"/>
      <c r="XDR123" s="5"/>
      <c r="XDS123" s="5"/>
      <c r="XDT123" s="5"/>
      <c r="XDU123" s="5"/>
      <c r="XDV123" s="5"/>
      <c r="XDW123" s="5"/>
      <c r="XDX123" s="5"/>
      <c r="XDY123" s="5"/>
      <c r="XDZ123" s="5"/>
      <c r="XEA123" s="5"/>
      <c r="XEB123" s="5"/>
      <c r="XEC123" s="5"/>
      <c r="XED123" s="5"/>
      <c r="XEE123" s="5"/>
      <c r="XEF123" s="5"/>
      <c r="XEG123" s="5"/>
      <c r="XEH123" s="5"/>
      <c r="XEI123" s="5"/>
      <c r="XEJ123" s="5"/>
      <c r="XEK123" s="5"/>
      <c r="XEL123" s="5"/>
      <c r="XEM123" s="5"/>
      <c r="XEN123" s="5"/>
      <c r="XEO123" s="5"/>
      <c r="XEP123" s="5"/>
      <c r="XEQ123" s="5"/>
      <c r="XER123" s="5"/>
      <c r="XES123" s="5"/>
      <c r="XET123" s="5"/>
      <c r="XEU123" s="5"/>
      <c r="XEV123" s="5"/>
      <c r="XEW123" s="5"/>
      <c r="XEX123" s="5"/>
      <c r="XEY123" s="5"/>
      <c r="XEZ123" s="5"/>
      <c r="XFA123" s="5"/>
      <c r="XFB123" s="5"/>
    </row>
    <row r="124" s="1" customFormat="1" ht="16.5" spans="1:6 16247:16382">
      <c r="A124" s="8">
        <v>122</v>
      </c>
      <c r="B124" s="9" t="s">
        <v>128</v>
      </c>
      <c r="C124" s="8">
        <v>162</v>
      </c>
      <c r="D124" s="8">
        <v>81</v>
      </c>
      <c r="E124" s="8">
        <v>16.5</v>
      </c>
      <c r="F124" s="8">
        <v>1336.5</v>
      </c>
      <c r="WZW124"/>
      <c r="WZX124"/>
      <c r="WZY124"/>
      <c r="WZZ124"/>
      <c r="XAA124"/>
      <c r="XAB124"/>
      <c r="XAC124"/>
      <c r="XAD124"/>
      <c r="XAE124"/>
      <c r="XAF124"/>
      <c r="XAG124"/>
      <c r="XAH124"/>
      <c r="XAI124"/>
      <c r="XAJ124"/>
      <c r="XAK124"/>
      <c r="XAL124"/>
      <c r="XAM124"/>
      <c r="XAN124"/>
      <c r="XAO124"/>
      <c r="XAP124"/>
      <c r="XAQ124"/>
      <c r="XAR124"/>
      <c r="XAS124"/>
      <c r="XAT124"/>
      <c r="XAU124"/>
      <c r="XAV124"/>
      <c r="XAW124"/>
      <c r="XAX124"/>
      <c r="XAY124"/>
      <c r="XAZ124"/>
      <c r="XBA124"/>
      <c r="XBB124"/>
      <c r="XBC124"/>
      <c r="XBD124"/>
      <c r="XBE124"/>
      <c r="XBF124"/>
      <c r="XBG124"/>
      <c r="XBH124"/>
      <c r="XBI124"/>
      <c r="XBJ124" s="5"/>
      <c r="XBK124" s="5"/>
      <c r="XBL124" s="5"/>
      <c r="XBM124" s="5"/>
      <c r="XBN124" s="5"/>
      <c r="XBO124" s="5"/>
      <c r="XBP124" s="5"/>
      <c r="XBQ124" s="5"/>
      <c r="XBR124" s="5"/>
      <c r="XBS124" s="5"/>
      <c r="XBT124" s="5"/>
      <c r="XBU124" s="5"/>
      <c r="XBV124" s="5"/>
      <c r="XBW124" s="5"/>
      <c r="XBX124" s="5"/>
      <c r="XBY124" s="5"/>
      <c r="XBZ124" s="5"/>
      <c r="XCA124" s="5"/>
      <c r="XCB124" s="5"/>
      <c r="XCC124" s="5"/>
      <c r="XCD124" s="5"/>
      <c r="XCE124" s="5"/>
      <c r="XCF124" s="5"/>
      <c r="XCG124" s="5"/>
      <c r="XCH124" s="5"/>
      <c r="XCI124" s="5"/>
      <c r="XCJ124" s="5"/>
      <c r="XCK124" s="5"/>
      <c r="XCL124" s="5"/>
      <c r="XCM124" s="5"/>
      <c r="XCN124" s="5"/>
      <c r="XCO124" s="5"/>
      <c r="XCP124" s="5"/>
      <c r="XCQ124" s="5"/>
      <c r="XCR124" s="5"/>
      <c r="XCS124" s="5"/>
      <c r="XCT124" s="5"/>
      <c r="XCU124" s="5"/>
      <c r="XCV124" s="5"/>
      <c r="XCW124" s="5"/>
      <c r="XCX124" s="5"/>
      <c r="XCY124" s="5"/>
      <c r="XCZ124" s="5"/>
      <c r="XDA124" s="5"/>
      <c r="XDB124" s="5"/>
      <c r="XDC124" s="5"/>
      <c r="XDD124" s="5"/>
      <c r="XDE124" s="5"/>
      <c r="XDF124" s="5"/>
      <c r="XDG124" s="5"/>
      <c r="XDH124" s="5"/>
      <c r="XDI124" s="5"/>
      <c r="XDJ124" s="5"/>
      <c r="XDK124" s="5"/>
      <c r="XDL124" s="5"/>
      <c r="XDM124" s="5"/>
      <c r="XDN124" s="5"/>
      <c r="XDO124" s="5"/>
      <c r="XDP124" s="5"/>
      <c r="XDQ124" s="5"/>
      <c r="XDR124" s="5"/>
      <c r="XDS124" s="5"/>
      <c r="XDT124" s="5"/>
      <c r="XDU124" s="5"/>
      <c r="XDV124" s="5"/>
      <c r="XDW124" s="5"/>
      <c r="XDX124" s="5"/>
      <c r="XDY124" s="5"/>
      <c r="XDZ124" s="5"/>
      <c r="XEA124" s="5"/>
      <c r="XEB124" s="5"/>
      <c r="XEC124" s="5"/>
      <c r="XED124" s="5"/>
      <c r="XEE124" s="5"/>
      <c r="XEF124" s="5"/>
      <c r="XEG124" s="5"/>
      <c r="XEH124" s="5"/>
      <c r="XEI124" s="5"/>
      <c r="XEJ124" s="5"/>
      <c r="XEK124" s="5"/>
      <c r="XEL124" s="5"/>
      <c r="XEM124" s="5"/>
      <c r="XEN124" s="5"/>
      <c r="XEO124" s="5"/>
      <c r="XEP124" s="5"/>
      <c r="XEQ124" s="5"/>
      <c r="XER124" s="5"/>
      <c r="XES124" s="5"/>
      <c r="XET124" s="5"/>
      <c r="XEU124" s="5"/>
      <c r="XEV124" s="5"/>
      <c r="XEW124" s="5"/>
      <c r="XEX124" s="5"/>
      <c r="XEY124" s="5"/>
      <c r="XEZ124" s="5"/>
      <c r="XFA124" s="5"/>
      <c r="XFB124" s="5"/>
    </row>
    <row r="125" s="1" customFormat="1" ht="16.5" spans="1:6 16247:16382">
      <c r="A125" s="8">
        <v>123</v>
      </c>
      <c r="B125" s="9" t="s">
        <v>129</v>
      </c>
      <c r="C125" s="8">
        <v>152</v>
      </c>
      <c r="D125" s="8">
        <v>38</v>
      </c>
      <c r="E125" s="8">
        <v>22</v>
      </c>
      <c r="F125" s="8">
        <v>836</v>
      </c>
      <c r="WZW125"/>
      <c r="WZX125"/>
      <c r="WZY125"/>
      <c r="WZZ125"/>
      <c r="XAA125"/>
      <c r="XAB125"/>
      <c r="XAC125"/>
      <c r="XAD125"/>
      <c r="XAE125"/>
      <c r="XAF125"/>
      <c r="XAG125"/>
      <c r="XAH125"/>
      <c r="XAI125"/>
      <c r="XAJ125"/>
      <c r="XAK125"/>
      <c r="XAL125"/>
      <c r="XAM125"/>
      <c r="XAN125"/>
      <c r="XAO125"/>
      <c r="XAP125"/>
      <c r="XAQ125"/>
      <c r="XAR125"/>
      <c r="XAS125"/>
      <c r="XAT125"/>
      <c r="XAU125"/>
      <c r="XAV125"/>
      <c r="XAW125"/>
      <c r="XAX125"/>
      <c r="XAY125"/>
      <c r="XAZ125"/>
      <c r="XBA125"/>
      <c r="XBB125"/>
      <c r="XBC125"/>
      <c r="XBD125"/>
      <c r="XBE125"/>
      <c r="XBF125"/>
      <c r="XBG125"/>
      <c r="XBH125"/>
      <c r="XBI125"/>
      <c r="XBJ125" s="5"/>
      <c r="XBK125" s="5"/>
      <c r="XBL125" s="5"/>
      <c r="XBM125" s="5"/>
      <c r="XBN125" s="5"/>
      <c r="XBO125" s="5"/>
      <c r="XBP125" s="5"/>
      <c r="XBQ125" s="5"/>
      <c r="XBR125" s="5"/>
      <c r="XBS125" s="5"/>
      <c r="XBT125" s="5"/>
      <c r="XBU125" s="5"/>
      <c r="XBV125" s="5"/>
      <c r="XBW125" s="5"/>
      <c r="XBX125" s="5"/>
      <c r="XBY125" s="5"/>
      <c r="XBZ125" s="5"/>
      <c r="XCA125" s="5"/>
      <c r="XCB125" s="5"/>
      <c r="XCC125" s="5"/>
      <c r="XCD125" s="5"/>
      <c r="XCE125" s="5"/>
      <c r="XCF125" s="5"/>
      <c r="XCG125" s="5"/>
      <c r="XCH125" s="5"/>
      <c r="XCI125" s="5"/>
      <c r="XCJ125" s="5"/>
      <c r="XCK125" s="5"/>
      <c r="XCL125" s="5"/>
      <c r="XCM125" s="5"/>
      <c r="XCN125" s="5"/>
      <c r="XCO125" s="5"/>
      <c r="XCP125" s="5"/>
      <c r="XCQ125" s="5"/>
      <c r="XCR125" s="5"/>
      <c r="XCS125" s="5"/>
      <c r="XCT125" s="5"/>
      <c r="XCU125" s="5"/>
      <c r="XCV125" s="5"/>
      <c r="XCW125" s="5"/>
      <c r="XCX125" s="5"/>
      <c r="XCY125" s="5"/>
      <c r="XCZ125" s="5"/>
      <c r="XDA125" s="5"/>
      <c r="XDB125" s="5"/>
      <c r="XDC125" s="5"/>
      <c r="XDD125" s="5"/>
      <c r="XDE125" s="5"/>
      <c r="XDF125" s="5"/>
      <c r="XDG125" s="5"/>
      <c r="XDH125" s="5"/>
      <c r="XDI125" s="5"/>
      <c r="XDJ125" s="5"/>
      <c r="XDK125" s="5"/>
      <c r="XDL125" s="5"/>
      <c r="XDM125" s="5"/>
      <c r="XDN125" s="5"/>
      <c r="XDO125" s="5"/>
      <c r="XDP125" s="5"/>
      <c r="XDQ125" s="5"/>
      <c r="XDR125" s="5"/>
      <c r="XDS125" s="5"/>
      <c r="XDT125" s="5"/>
      <c r="XDU125" s="5"/>
      <c r="XDV125" s="5"/>
      <c r="XDW125" s="5"/>
      <c r="XDX125" s="5"/>
      <c r="XDY125" s="5"/>
      <c r="XDZ125" s="5"/>
      <c r="XEA125" s="5"/>
      <c r="XEB125" s="5"/>
      <c r="XEC125" s="5"/>
      <c r="XED125" s="5"/>
      <c r="XEE125" s="5"/>
      <c r="XEF125" s="5"/>
      <c r="XEG125" s="5"/>
      <c r="XEH125" s="5"/>
      <c r="XEI125" s="5"/>
      <c r="XEJ125" s="5"/>
      <c r="XEK125" s="5"/>
      <c r="XEL125" s="5"/>
      <c r="XEM125" s="5"/>
      <c r="XEN125" s="5"/>
      <c r="XEO125" s="5"/>
      <c r="XEP125" s="5"/>
      <c r="XEQ125" s="5"/>
      <c r="XER125" s="5"/>
      <c r="XES125" s="5"/>
      <c r="XET125" s="5"/>
      <c r="XEU125" s="5"/>
      <c r="XEV125" s="5"/>
      <c r="XEW125" s="5"/>
      <c r="XEX125" s="5"/>
      <c r="XEY125" s="5"/>
      <c r="XEZ125" s="5"/>
      <c r="XFA125" s="5"/>
      <c r="XFB125" s="5"/>
    </row>
    <row r="126" s="1" customFormat="1" ht="16.5" spans="1:6 16247:16382">
      <c r="A126" s="8">
        <v>124</v>
      </c>
      <c r="B126" s="9" t="s">
        <v>130</v>
      </c>
      <c r="C126" s="8">
        <v>0</v>
      </c>
      <c r="D126" s="8">
        <v>58</v>
      </c>
      <c r="E126" s="8">
        <v>30</v>
      </c>
      <c r="F126" s="8">
        <v>1740</v>
      </c>
      <c r="WZW126"/>
      <c r="WZX126"/>
      <c r="WZY126"/>
      <c r="WZZ126"/>
      <c r="XAA126"/>
      <c r="XAB126"/>
      <c r="XAC126"/>
      <c r="XAD126"/>
      <c r="XAE126"/>
      <c r="XAF126"/>
      <c r="XAG126"/>
      <c r="XAH126"/>
      <c r="XAI126"/>
      <c r="XAJ126"/>
      <c r="XAK126"/>
      <c r="XAL126"/>
      <c r="XAM126"/>
      <c r="XAN126"/>
      <c r="XAO126"/>
      <c r="XAP126"/>
      <c r="XAQ126"/>
      <c r="XAR126"/>
      <c r="XAS126"/>
      <c r="XAT126"/>
      <c r="XAU126"/>
      <c r="XAV126"/>
      <c r="XAW126"/>
      <c r="XAX126"/>
      <c r="XAY126"/>
      <c r="XAZ126"/>
      <c r="XBA126"/>
      <c r="XBB126"/>
      <c r="XBC126"/>
      <c r="XBD126"/>
      <c r="XBE126"/>
      <c r="XBF126"/>
      <c r="XBG126"/>
      <c r="XBH126"/>
      <c r="XBI126"/>
      <c r="XBJ126" s="5"/>
      <c r="XBK126" s="5"/>
      <c r="XBL126" s="5"/>
      <c r="XBM126" s="5"/>
      <c r="XBN126" s="5"/>
      <c r="XBO126" s="5"/>
      <c r="XBP126" s="5"/>
      <c r="XBQ126" s="5"/>
      <c r="XBR126" s="5"/>
      <c r="XBS126" s="5"/>
      <c r="XBT126" s="5"/>
      <c r="XBU126" s="5"/>
      <c r="XBV126" s="5"/>
      <c r="XBW126" s="5"/>
      <c r="XBX126" s="5"/>
      <c r="XBY126" s="5"/>
      <c r="XBZ126" s="5"/>
      <c r="XCA126" s="5"/>
      <c r="XCB126" s="5"/>
      <c r="XCC126" s="5"/>
      <c r="XCD126" s="5"/>
      <c r="XCE126" s="5"/>
      <c r="XCF126" s="5"/>
      <c r="XCG126" s="5"/>
      <c r="XCH126" s="5"/>
      <c r="XCI126" s="5"/>
      <c r="XCJ126" s="5"/>
      <c r="XCK126" s="5"/>
      <c r="XCL126" s="5"/>
      <c r="XCM126" s="5"/>
      <c r="XCN126" s="5"/>
      <c r="XCO126" s="5"/>
      <c r="XCP126" s="5"/>
      <c r="XCQ126" s="5"/>
      <c r="XCR126" s="5"/>
      <c r="XCS126" s="5"/>
      <c r="XCT126" s="5"/>
      <c r="XCU126" s="5"/>
      <c r="XCV126" s="5"/>
      <c r="XCW126" s="5"/>
      <c r="XCX126" s="5"/>
      <c r="XCY126" s="5"/>
      <c r="XCZ126" s="5"/>
      <c r="XDA126" s="5"/>
      <c r="XDB126" s="5"/>
      <c r="XDC126" s="5"/>
      <c r="XDD126" s="5"/>
      <c r="XDE126" s="5"/>
      <c r="XDF126" s="5"/>
      <c r="XDG126" s="5"/>
      <c r="XDH126" s="5"/>
      <c r="XDI126" s="5"/>
      <c r="XDJ126" s="5"/>
      <c r="XDK126" s="5"/>
      <c r="XDL126" s="5"/>
      <c r="XDM126" s="5"/>
      <c r="XDN126" s="5"/>
      <c r="XDO126" s="5"/>
      <c r="XDP126" s="5"/>
      <c r="XDQ126" s="5"/>
      <c r="XDR126" s="5"/>
      <c r="XDS126" s="5"/>
      <c r="XDT126" s="5"/>
      <c r="XDU126" s="5"/>
      <c r="XDV126" s="5"/>
      <c r="XDW126" s="5"/>
      <c r="XDX126" s="5"/>
      <c r="XDY126" s="5"/>
      <c r="XDZ126" s="5"/>
      <c r="XEA126" s="5"/>
      <c r="XEB126" s="5"/>
      <c r="XEC126" s="5"/>
      <c r="XED126" s="5"/>
      <c r="XEE126" s="5"/>
      <c r="XEF126" s="5"/>
      <c r="XEG126" s="5"/>
      <c r="XEH126" s="5"/>
      <c r="XEI126" s="5"/>
      <c r="XEJ126" s="5"/>
      <c r="XEK126" s="5"/>
      <c r="XEL126" s="5"/>
      <c r="XEM126" s="5"/>
      <c r="XEN126" s="5"/>
      <c r="XEO126" s="5"/>
      <c r="XEP126" s="5"/>
      <c r="XEQ126" s="5"/>
      <c r="XER126" s="5"/>
      <c r="XES126" s="5"/>
      <c r="XET126" s="5"/>
      <c r="XEU126" s="5"/>
      <c r="XEV126" s="5"/>
      <c r="XEW126" s="5"/>
      <c r="XEX126" s="5"/>
      <c r="XEY126" s="5"/>
      <c r="XEZ126" s="5"/>
      <c r="XFA126" s="5"/>
      <c r="XFB126" s="5"/>
    </row>
    <row r="127" s="1" customFormat="1" ht="16.5" spans="1:6 16247:16382">
      <c r="A127" s="8">
        <v>125</v>
      </c>
      <c r="B127" s="9" t="s">
        <v>131</v>
      </c>
      <c r="C127" s="8">
        <v>0</v>
      </c>
      <c r="D127" s="8">
        <v>133</v>
      </c>
      <c r="E127" s="8">
        <v>2.5</v>
      </c>
      <c r="F127" s="8">
        <v>332.5</v>
      </c>
      <c r="WZW127"/>
      <c r="WZX127"/>
      <c r="WZY127"/>
      <c r="WZZ127"/>
      <c r="XAA127"/>
      <c r="XAB127"/>
      <c r="XAC127"/>
      <c r="XAD127"/>
      <c r="XAE127"/>
      <c r="XAF127"/>
      <c r="XAG127"/>
      <c r="XAH127"/>
      <c r="XAI127"/>
      <c r="XAJ127"/>
      <c r="XAK127"/>
      <c r="XAL127"/>
      <c r="XAM127"/>
      <c r="XAN127"/>
      <c r="XAO127"/>
      <c r="XAP127"/>
      <c r="XAQ127"/>
      <c r="XAR127"/>
      <c r="XAS127"/>
      <c r="XAT127"/>
      <c r="XAU127"/>
      <c r="XAV127"/>
      <c r="XAW127"/>
      <c r="XAX127"/>
      <c r="XAY127"/>
      <c r="XAZ127"/>
      <c r="XBA127"/>
      <c r="XBB127"/>
      <c r="XBC127"/>
      <c r="XBD127"/>
      <c r="XBE127"/>
      <c r="XBF127"/>
      <c r="XBG127"/>
      <c r="XBH127"/>
      <c r="XBI127"/>
      <c r="XBJ127" s="5"/>
      <c r="XBK127" s="5"/>
      <c r="XBL127" s="5"/>
      <c r="XBM127" s="5"/>
      <c r="XBN127" s="5"/>
      <c r="XBO127" s="5"/>
      <c r="XBP127" s="5"/>
      <c r="XBQ127" s="5"/>
      <c r="XBR127" s="5"/>
      <c r="XBS127" s="5"/>
      <c r="XBT127" s="5"/>
      <c r="XBU127" s="5"/>
      <c r="XBV127" s="5"/>
      <c r="XBW127" s="5"/>
      <c r="XBX127" s="5"/>
      <c r="XBY127" s="5"/>
      <c r="XBZ127" s="5"/>
      <c r="XCA127" s="5"/>
      <c r="XCB127" s="5"/>
      <c r="XCC127" s="5"/>
      <c r="XCD127" s="5"/>
      <c r="XCE127" s="5"/>
      <c r="XCF127" s="5"/>
      <c r="XCG127" s="5"/>
      <c r="XCH127" s="5"/>
      <c r="XCI127" s="5"/>
      <c r="XCJ127" s="5"/>
      <c r="XCK127" s="5"/>
      <c r="XCL127" s="5"/>
      <c r="XCM127" s="5"/>
      <c r="XCN127" s="5"/>
      <c r="XCO127" s="5"/>
      <c r="XCP127" s="5"/>
      <c r="XCQ127" s="5"/>
      <c r="XCR127" s="5"/>
      <c r="XCS127" s="5"/>
      <c r="XCT127" s="5"/>
      <c r="XCU127" s="5"/>
      <c r="XCV127" s="5"/>
      <c r="XCW127" s="5"/>
      <c r="XCX127" s="5"/>
      <c r="XCY127" s="5"/>
      <c r="XCZ127" s="5"/>
      <c r="XDA127" s="5"/>
      <c r="XDB127" s="5"/>
      <c r="XDC127" s="5"/>
      <c r="XDD127" s="5"/>
      <c r="XDE127" s="5"/>
      <c r="XDF127" s="5"/>
      <c r="XDG127" s="5"/>
      <c r="XDH127" s="5"/>
      <c r="XDI127" s="5"/>
      <c r="XDJ127" s="5"/>
      <c r="XDK127" s="5"/>
      <c r="XDL127" s="5"/>
      <c r="XDM127" s="5"/>
      <c r="XDN127" s="5"/>
      <c r="XDO127" s="5"/>
      <c r="XDP127" s="5"/>
      <c r="XDQ127" s="5"/>
      <c r="XDR127" s="5"/>
      <c r="XDS127" s="5"/>
      <c r="XDT127" s="5"/>
      <c r="XDU127" s="5"/>
      <c r="XDV127" s="5"/>
      <c r="XDW127" s="5"/>
      <c r="XDX127" s="5"/>
      <c r="XDY127" s="5"/>
      <c r="XDZ127" s="5"/>
      <c r="XEA127" s="5"/>
      <c r="XEB127" s="5"/>
      <c r="XEC127" s="5"/>
      <c r="XED127" s="5"/>
      <c r="XEE127" s="5"/>
      <c r="XEF127" s="5"/>
      <c r="XEG127" s="5"/>
      <c r="XEH127" s="5"/>
      <c r="XEI127" s="5"/>
      <c r="XEJ127" s="5"/>
      <c r="XEK127" s="5"/>
      <c r="XEL127" s="5"/>
      <c r="XEM127" s="5"/>
      <c r="XEN127" s="5"/>
      <c r="XEO127" s="5"/>
      <c r="XEP127" s="5"/>
      <c r="XEQ127" s="5"/>
      <c r="XER127" s="5"/>
      <c r="XES127" s="5"/>
      <c r="XET127" s="5"/>
      <c r="XEU127" s="5"/>
      <c r="XEV127" s="5"/>
      <c r="XEW127" s="5"/>
      <c r="XEX127" s="5"/>
      <c r="XEY127" s="5"/>
      <c r="XEZ127" s="5"/>
      <c r="XFA127" s="5"/>
      <c r="XFB127" s="5"/>
    </row>
    <row r="128" s="1" customFormat="1" ht="16.5" spans="1:6 16247:16382">
      <c r="A128" s="8">
        <v>126</v>
      </c>
      <c r="B128" s="9" t="s">
        <v>132</v>
      </c>
      <c r="C128" s="8">
        <v>0</v>
      </c>
      <c r="D128" s="8">
        <v>150</v>
      </c>
      <c r="E128" s="8">
        <v>25</v>
      </c>
      <c r="F128" s="8">
        <v>3750</v>
      </c>
      <c r="WZW128"/>
      <c r="WZX128"/>
      <c r="WZY128"/>
      <c r="WZZ128"/>
      <c r="XAA128"/>
      <c r="XAB128"/>
      <c r="XAC128"/>
      <c r="XAD128"/>
      <c r="XAE128"/>
      <c r="XAF128"/>
      <c r="XAG128"/>
      <c r="XAH128"/>
      <c r="XAI128"/>
      <c r="XAJ128"/>
      <c r="XAK128"/>
      <c r="XAL128"/>
      <c r="XAM128"/>
      <c r="XAN128"/>
      <c r="XAO128"/>
      <c r="XAP128"/>
      <c r="XAQ128"/>
      <c r="XAR128"/>
      <c r="XAS128"/>
      <c r="XAT128"/>
      <c r="XAU128"/>
      <c r="XAV128"/>
      <c r="XAW128"/>
      <c r="XAX128"/>
      <c r="XAY128"/>
      <c r="XAZ128"/>
      <c r="XBA128"/>
      <c r="XBB128"/>
      <c r="XBC128"/>
      <c r="XBD128"/>
      <c r="XBE128"/>
      <c r="XBF128"/>
      <c r="XBG128"/>
      <c r="XBH128"/>
      <c r="XBI128"/>
      <c r="XBJ128" s="5"/>
      <c r="XBK128" s="5"/>
      <c r="XBL128" s="5"/>
      <c r="XBM128" s="5"/>
      <c r="XBN128" s="5"/>
      <c r="XBO128" s="5"/>
      <c r="XBP128" s="5"/>
      <c r="XBQ128" s="5"/>
      <c r="XBR128" s="5"/>
      <c r="XBS128" s="5"/>
      <c r="XBT128" s="5"/>
      <c r="XBU128" s="5"/>
      <c r="XBV128" s="5"/>
      <c r="XBW128" s="5"/>
      <c r="XBX128" s="5"/>
      <c r="XBY128" s="5"/>
      <c r="XBZ128" s="5"/>
      <c r="XCA128" s="5"/>
      <c r="XCB128" s="5"/>
      <c r="XCC128" s="5"/>
      <c r="XCD128" s="5"/>
      <c r="XCE128" s="5"/>
      <c r="XCF128" s="5"/>
      <c r="XCG128" s="5"/>
      <c r="XCH128" s="5"/>
      <c r="XCI128" s="5"/>
      <c r="XCJ128" s="5"/>
      <c r="XCK128" s="5"/>
      <c r="XCL128" s="5"/>
      <c r="XCM128" s="5"/>
      <c r="XCN128" s="5"/>
      <c r="XCO128" s="5"/>
      <c r="XCP128" s="5"/>
      <c r="XCQ128" s="5"/>
      <c r="XCR128" s="5"/>
      <c r="XCS128" s="5"/>
      <c r="XCT128" s="5"/>
      <c r="XCU128" s="5"/>
      <c r="XCV128" s="5"/>
      <c r="XCW128" s="5"/>
      <c r="XCX128" s="5"/>
      <c r="XCY128" s="5"/>
      <c r="XCZ128" s="5"/>
      <c r="XDA128" s="5"/>
      <c r="XDB128" s="5"/>
      <c r="XDC128" s="5"/>
      <c r="XDD128" s="5"/>
      <c r="XDE128" s="5"/>
      <c r="XDF128" s="5"/>
      <c r="XDG128" s="5"/>
      <c r="XDH128" s="5"/>
      <c r="XDI128" s="5"/>
      <c r="XDJ128" s="5"/>
      <c r="XDK128" s="5"/>
      <c r="XDL128" s="5"/>
      <c r="XDM128" s="5"/>
      <c r="XDN128" s="5"/>
      <c r="XDO128" s="5"/>
      <c r="XDP128" s="5"/>
      <c r="XDQ128" s="5"/>
      <c r="XDR128" s="5"/>
      <c r="XDS128" s="5"/>
      <c r="XDT128" s="5"/>
      <c r="XDU128" s="5"/>
      <c r="XDV128" s="5"/>
      <c r="XDW128" s="5"/>
      <c r="XDX128" s="5"/>
      <c r="XDY128" s="5"/>
      <c r="XDZ128" s="5"/>
      <c r="XEA128" s="5"/>
      <c r="XEB128" s="5"/>
      <c r="XEC128" s="5"/>
      <c r="XED128" s="5"/>
      <c r="XEE128" s="5"/>
      <c r="XEF128" s="5"/>
      <c r="XEG128" s="5"/>
      <c r="XEH128" s="5"/>
      <c r="XEI128" s="5"/>
      <c r="XEJ128" s="5"/>
      <c r="XEK128" s="5"/>
      <c r="XEL128" s="5"/>
      <c r="XEM128" s="5"/>
      <c r="XEN128" s="5"/>
      <c r="XEO128" s="5"/>
      <c r="XEP128" s="5"/>
      <c r="XEQ128" s="5"/>
      <c r="XER128" s="5"/>
      <c r="XES128" s="5"/>
      <c r="XET128" s="5"/>
      <c r="XEU128" s="5"/>
      <c r="XEV128" s="5"/>
      <c r="XEW128" s="5"/>
      <c r="XEX128" s="5"/>
      <c r="XEY128" s="5"/>
      <c r="XEZ128" s="5"/>
      <c r="XFA128" s="5"/>
      <c r="XFB128" s="5"/>
    </row>
    <row r="129" s="1" customFormat="1" ht="16.5" spans="1:6 16247:16382">
      <c r="A129" s="8">
        <v>127</v>
      </c>
      <c r="B129" s="9" t="s">
        <v>133</v>
      </c>
      <c r="C129" s="8">
        <v>646</v>
      </c>
      <c r="D129" s="8">
        <v>19</v>
      </c>
      <c r="E129" s="8">
        <v>187</v>
      </c>
      <c r="F129" s="8">
        <v>3553</v>
      </c>
      <c r="WZW129"/>
      <c r="WZX129"/>
      <c r="WZY129"/>
      <c r="WZZ129"/>
      <c r="XAA129"/>
      <c r="XAB129"/>
      <c r="XAC129"/>
      <c r="XAD129"/>
      <c r="XAE129"/>
      <c r="XAF129"/>
      <c r="XAG129"/>
      <c r="XAH129"/>
      <c r="XAI129"/>
      <c r="XAJ129"/>
      <c r="XAK129"/>
      <c r="XAL129"/>
      <c r="XAM129"/>
      <c r="XAN129"/>
      <c r="XAO129"/>
      <c r="XAP129"/>
      <c r="XAQ129"/>
      <c r="XAR129"/>
      <c r="XAS129"/>
      <c r="XAT129"/>
      <c r="XAU129"/>
      <c r="XAV129"/>
      <c r="XAW129"/>
      <c r="XAX129"/>
      <c r="XAY129"/>
      <c r="XAZ129"/>
      <c r="XBA129"/>
      <c r="XBB129"/>
      <c r="XBC129"/>
      <c r="XBD129"/>
      <c r="XBE129"/>
      <c r="XBF129"/>
      <c r="XBG129"/>
      <c r="XBH129"/>
      <c r="XBI129"/>
      <c r="XBJ129" s="5"/>
      <c r="XBK129" s="5"/>
      <c r="XBL129" s="5"/>
      <c r="XBM129" s="5"/>
      <c r="XBN129" s="5"/>
      <c r="XBO129" s="5"/>
      <c r="XBP129" s="5"/>
      <c r="XBQ129" s="5"/>
      <c r="XBR129" s="5"/>
      <c r="XBS129" s="5"/>
      <c r="XBT129" s="5"/>
      <c r="XBU129" s="5"/>
      <c r="XBV129" s="5"/>
      <c r="XBW129" s="5"/>
      <c r="XBX129" s="5"/>
      <c r="XBY129" s="5"/>
      <c r="XBZ129" s="5"/>
      <c r="XCA129" s="5"/>
      <c r="XCB129" s="5"/>
      <c r="XCC129" s="5"/>
      <c r="XCD129" s="5"/>
      <c r="XCE129" s="5"/>
      <c r="XCF129" s="5"/>
      <c r="XCG129" s="5"/>
      <c r="XCH129" s="5"/>
      <c r="XCI129" s="5"/>
      <c r="XCJ129" s="5"/>
      <c r="XCK129" s="5"/>
      <c r="XCL129" s="5"/>
      <c r="XCM129" s="5"/>
      <c r="XCN129" s="5"/>
      <c r="XCO129" s="5"/>
      <c r="XCP129" s="5"/>
      <c r="XCQ129" s="5"/>
      <c r="XCR129" s="5"/>
      <c r="XCS129" s="5"/>
      <c r="XCT129" s="5"/>
      <c r="XCU129" s="5"/>
      <c r="XCV129" s="5"/>
      <c r="XCW129" s="5"/>
      <c r="XCX129" s="5"/>
      <c r="XCY129" s="5"/>
      <c r="XCZ129" s="5"/>
      <c r="XDA129" s="5"/>
      <c r="XDB129" s="5"/>
      <c r="XDC129" s="5"/>
      <c r="XDD129" s="5"/>
      <c r="XDE129" s="5"/>
      <c r="XDF129" s="5"/>
      <c r="XDG129" s="5"/>
      <c r="XDH129" s="5"/>
      <c r="XDI129" s="5"/>
      <c r="XDJ129" s="5"/>
      <c r="XDK129" s="5"/>
      <c r="XDL129" s="5"/>
      <c r="XDM129" s="5"/>
      <c r="XDN129" s="5"/>
      <c r="XDO129" s="5"/>
      <c r="XDP129" s="5"/>
      <c r="XDQ129" s="5"/>
      <c r="XDR129" s="5"/>
      <c r="XDS129" s="5"/>
      <c r="XDT129" s="5"/>
      <c r="XDU129" s="5"/>
      <c r="XDV129" s="5"/>
      <c r="XDW129" s="5"/>
      <c r="XDX129" s="5"/>
      <c r="XDY129" s="5"/>
      <c r="XDZ129" s="5"/>
      <c r="XEA129" s="5"/>
      <c r="XEB129" s="5"/>
      <c r="XEC129" s="5"/>
      <c r="XED129" s="5"/>
      <c r="XEE129" s="5"/>
      <c r="XEF129" s="5"/>
      <c r="XEG129" s="5"/>
      <c r="XEH129" s="5"/>
      <c r="XEI129" s="5"/>
      <c r="XEJ129" s="5"/>
      <c r="XEK129" s="5"/>
      <c r="XEL129" s="5"/>
      <c r="XEM129" s="5"/>
      <c r="XEN129" s="5"/>
      <c r="XEO129" s="5"/>
      <c r="XEP129" s="5"/>
      <c r="XEQ129" s="5"/>
      <c r="XER129" s="5"/>
      <c r="XES129" s="5"/>
      <c r="XET129" s="5"/>
      <c r="XEU129" s="5"/>
      <c r="XEV129" s="5"/>
      <c r="XEW129" s="5"/>
      <c r="XEX129" s="5"/>
      <c r="XEY129" s="5"/>
      <c r="XEZ129" s="5"/>
      <c r="XFA129" s="5"/>
      <c r="XFB129" s="5"/>
    </row>
    <row r="130" s="1" customFormat="1" ht="16.5" spans="1:6 16247:16382">
      <c r="A130" s="8">
        <v>128</v>
      </c>
      <c r="B130" s="9" t="s">
        <v>134</v>
      </c>
      <c r="C130" s="8">
        <v>1</v>
      </c>
      <c r="D130" s="8">
        <v>1</v>
      </c>
      <c r="E130" s="8">
        <v>35</v>
      </c>
      <c r="F130" s="8">
        <v>35</v>
      </c>
      <c r="WZW130"/>
      <c r="WZX130"/>
      <c r="WZY130"/>
      <c r="WZZ130"/>
      <c r="XAA130"/>
      <c r="XAB130"/>
      <c r="XAC130"/>
      <c r="XAD130"/>
      <c r="XAE130"/>
      <c r="XAF130"/>
      <c r="XAG130"/>
      <c r="XAH130"/>
      <c r="XAI130"/>
      <c r="XAJ130"/>
      <c r="XAK130"/>
      <c r="XAL130"/>
      <c r="XAM130"/>
      <c r="XAN130"/>
      <c r="XAO130"/>
      <c r="XAP130"/>
      <c r="XAQ130"/>
      <c r="XAR130"/>
      <c r="XAS130"/>
      <c r="XAT130"/>
      <c r="XAU130"/>
      <c r="XAV130"/>
      <c r="XAW130"/>
      <c r="XAX130"/>
      <c r="XAY130"/>
      <c r="XAZ130"/>
      <c r="XBA130"/>
      <c r="XBB130"/>
      <c r="XBC130"/>
      <c r="XBD130"/>
      <c r="XBE130"/>
      <c r="XBF130"/>
      <c r="XBG130"/>
      <c r="XBH130"/>
      <c r="XBI130"/>
      <c r="XBJ130" s="5"/>
      <c r="XBK130" s="5"/>
      <c r="XBL130" s="5"/>
      <c r="XBM130" s="5"/>
      <c r="XBN130" s="5"/>
      <c r="XBO130" s="5"/>
      <c r="XBP130" s="5"/>
      <c r="XBQ130" s="5"/>
      <c r="XBR130" s="5"/>
      <c r="XBS130" s="5"/>
      <c r="XBT130" s="5"/>
      <c r="XBU130" s="5"/>
      <c r="XBV130" s="5"/>
      <c r="XBW130" s="5"/>
      <c r="XBX130" s="5"/>
      <c r="XBY130" s="5"/>
      <c r="XBZ130" s="5"/>
      <c r="XCA130" s="5"/>
      <c r="XCB130" s="5"/>
      <c r="XCC130" s="5"/>
      <c r="XCD130" s="5"/>
      <c r="XCE130" s="5"/>
      <c r="XCF130" s="5"/>
      <c r="XCG130" s="5"/>
      <c r="XCH130" s="5"/>
      <c r="XCI130" s="5"/>
      <c r="XCJ130" s="5"/>
      <c r="XCK130" s="5"/>
      <c r="XCL130" s="5"/>
      <c r="XCM130" s="5"/>
      <c r="XCN130" s="5"/>
      <c r="XCO130" s="5"/>
      <c r="XCP130" s="5"/>
      <c r="XCQ130" s="5"/>
      <c r="XCR130" s="5"/>
      <c r="XCS130" s="5"/>
      <c r="XCT130" s="5"/>
      <c r="XCU130" s="5"/>
      <c r="XCV130" s="5"/>
      <c r="XCW130" s="5"/>
      <c r="XCX130" s="5"/>
      <c r="XCY130" s="5"/>
      <c r="XCZ130" s="5"/>
      <c r="XDA130" s="5"/>
      <c r="XDB130" s="5"/>
      <c r="XDC130" s="5"/>
      <c r="XDD130" s="5"/>
      <c r="XDE130" s="5"/>
      <c r="XDF130" s="5"/>
      <c r="XDG130" s="5"/>
      <c r="XDH130" s="5"/>
      <c r="XDI130" s="5"/>
      <c r="XDJ130" s="5"/>
      <c r="XDK130" s="5"/>
      <c r="XDL130" s="5"/>
      <c r="XDM130" s="5"/>
      <c r="XDN130" s="5"/>
      <c r="XDO130" s="5"/>
      <c r="XDP130" s="5"/>
      <c r="XDQ130" s="5"/>
      <c r="XDR130" s="5"/>
      <c r="XDS130" s="5"/>
      <c r="XDT130" s="5"/>
      <c r="XDU130" s="5"/>
      <c r="XDV130" s="5"/>
      <c r="XDW130" s="5"/>
      <c r="XDX130" s="5"/>
      <c r="XDY130" s="5"/>
      <c r="XDZ130" s="5"/>
      <c r="XEA130" s="5"/>
      <c r="XEB130" s="5"/>
      <c r="XEC130" s="5"/>
      <c r="XED130" s="5"/>
      <c r="XEE130" s="5"/>
      <c r="XEF130" s="5"/>
      <c r="XEG130" s="5"/>
      <c r="XEH130" s="5"/>
      <c r="XEI130" s="5"/>
      <c r="XEJ130" s="5"/>
      <c r="XEK130" s="5"/>
      <c r="XEL130" s="5"/>
      <c r="XEM130" s="5"/>
      <c r="XEN130" s="5"/>
      <c r="XEO130" s="5"/>
      <c r="XEP130" s="5"/>
      <c r="XEQ130" s="5"/>
      <c r="XER130" s="5"/>
      <c r="XES130" s="5"/>
      <c r="XET130" s="5"/>
      <c r="XEU130" s="5"/>
      <c r="XEV130" s="5"/>
      <c r="XEW130" s="5"/>
      <c r="XEX130" s="5"/>
      <c r="XEY130" s="5"/>
      <c r="XEZ130" s="5"/>
      <c r="XFA130" s="5"/>
      <c r="XFB130" s="5"/>
    </row>
    <row r="131" s="1" customFormat="1" ht="16.5" spans="1:6 16247:16382">
      <c r="A131" s="8">
        <v>129</v>
      </c>
      <c r="B131" s="9" t="s">
        <v>135</v>
      </c>
      <c r="C131" s="8">
        <v>2</v>
      </c>
      <c r="D131" s="8">
        <v>1</v>
      </c>
      <c r="E131" s="8">
        <v>44</v>
      </c>
      <c r="F131" s="8">
        <v>44</v>
      </c>
      <c r="WZW131"/>
      <c r="WZX131"/>
      <c r="WZY131"/>
      <c r="WZZ131"/>
      <c r="XAA131"/>
      <c r="XAB131"/>
      <c r="XAC131"/>
      <c r="XAD131"/>
      <c r="XAE131"/>
      <c r="XAF131"/>
      <c r="XAG131"/>
      <c r="XAH131"/>
      <c r="XAI131"/>
      <c r="XAJ131"/>
      <c r="XAK131"/>
      <c r="XAL131"/>
      <c r="XAM131"/>
      <c r="XAN131"/>
      <c r="XAO131"/>
      <c r="XAP131"/>
      <c r="XAQ131"/>
      <c r="XAR131"/>
      <c r="XAS131"/>
      <c r="XAT131"/>
      <c r="XAU131"/>
      <c r="XAV131"/>
      <c r="XAW131"/>
      <c r="XAX131"/>
      <c r="XAY131"/>
      <c r="XAZ131"/>
      <c r="XBA131"/>
      <c r="XBB131"/>
      <c r="XBC131"/>
      <c r="XBD131"/>
      <c r="XBE131"/>
      <c r="XBF131"/>
      <c r="XBG131"/>
      <c r="XBH131"/>
      <c r="XBI131"/>
      <c r="XBJ131" s="5"/>
      <c r="XBK131" s="5"/>
      <c r="XBL131" s="5"/>
      <c r="XBM131" s="5"/>
      <c r="XBN131" s="5"/>
      <c r="XBO131" s="5"/>
      <c r="XBP131" s="5"/>
      <c r="XBQ131" s="5"/>
      <c r="XBR131" s="5"/>
      <c r="XBS131" s="5"/>
      <c r="XBT131" s="5"/>
      <c r="XBU131" s="5"/>
      <c r="XBV131" s="5"/>
      <c r="XBW131" s="5"/>
      <c r="XBX131" s="5"/>
      <c r="XBY131" s="5"/>
      <c r="XBZ131" s="5"/>
      <c r="XCA131" s="5"/>
      <c r="XCB131" s="5"/>
      <c r="XCC131" s="5"/>
      <c r="XCD131" s="5"/>
      <c r="XCE131" s="5"/>
      <c r="XCF131" s="5"/>
      <c r="XCG131" s="5"/>
      <c r="XCH131" s="5"/>
      <c r="XCI131" s="5"/>
      <c r="XCJ131" s="5"/>
      <c r="XCK131" s="5"/>
      <c r="XCL131" s="5"/>
      <c r="XCM131" s="5"/>
      <c r="XCN131" s="5"/>
      <c r="XCO131" s="5"/>
      <c r="XCP131" s="5"/>
      <c r="XCQ131" s="5"/>
      <c r="XCR131" s="5"/>
      <c r="XCS131" s="5"/>
      <c r="XCT131" s="5"/>
      <c r="XCU131" s="5"/>
      <c r="XCV131" s="5"/>
      <c r="XCW131" s="5"/>
      <c r="XCX131" s="5"/>
      <c r="XCY131" s="5"/>
      <c r="XCZ131" s="5"/>
      <c r="XDA131" s="5"/>
      <c r="XDB131" s="5"/>
      <c r="XDC131" s="5"/>
      <c r="XDD131" s="5"/>
      <c r="XDE131" s="5"/>
      <c r="XDF131" s="5"/>
      <c r="XDG131" s="5"/>
      <c r="XDH131" s="5"/>
      <c r="XDI131" s="5"/>
      <c r="XDJ131" s="5"/>
      <c r="XDK131" s="5"/>
      <c r="XDL131" s="5"/>
      <c r="XDM131" s="5"/>
      <c r="XDN131" s="5"/>
      <c r="XDO131" s="5"/>
      <c r="XDP131" s="5"/>
      <c r="XDQ131" s="5"/>
      <c r="XDR131" s="5"/>
      <c r="XDS131" s="5"/>
      <c r="XDT131" s="5"/>
      <c r="XDU131" s="5"/>
      <c r="XDV131" s="5"/>
      <c r="XDW131" s="5"/>
      <c r="XDX131" s="5"/>
      <c r="XDY131" s="5"/>
      <c r="XDZ131" s="5"/>
      <c r="XEA131" s="5"/>
      <c r="XEB131" s="5"/>
      <c r="XEC131" s="5"/>
      <c r="XED131" s="5"/>
      <c r="XEE131" s="5"/>
      <c r="XEF131" s="5"/>
      <c r="XEG131" s="5"/>
      <c r="XEH131" s="5"/>
      <c r="XEI131" s="5"/>
      <c r="XEJ131" s="5"/>
      <c r="XEK131" s="5"/>
      <c r="XEL131" s="5"/>
      <c r="XEM131" s="5"/>
      <c r="XEN131" s="5"/>
      <c r="XEO131" s="5"/>
      <c r="XEP131" s="5"/>
      <c r="XEQ131" s="5"/>
      <c r="XER131" s="5"/>
      <c r="XES131" s="5"/>
      <c r="XET131" s="5"/>
      <c r="XEU131" s="5"/>
      <c r="XEV131" s="5"/>
      <c r="XEW131" s="5"/>
      <c r="XEX131" s="5"/>
      <c r="XEY131" s="5"/>
      <c r="XEZ131" s="5"/>
      <c r="XFA131" s="5"/>
      <c r="XFB131" s="5"/>
    </row>
    <row r="132" s="1" customFormat="1" ht="16.5" spans="1:6 16247:16382">
      <c r="A132" s="8">
        <v>130</v>
      </c>
      <c r="B132" s="9" t="s">
        <v>136</v>
      </c>
      <c r="C132" s="8">
        <v>2</v>
      </c>
      <c r="D132" s="8">
        <v>2</v>
      </c>
      <c r="E132" s="8">
        <v>25</v>
      </c>
      <c r="F132" s="8">
        <v>50</v>
      </c>
      <c r="WZW132"/>
      <c r="WZX132"/>
      <c r="WZY132"/>
      <c r="WZZ132"/>
      <c r="XAA132"/>
      <c r="XAB132"/>
      <c r="XAC132"/>
      <c r="XAD132"/>
      <c r="XAE132"/>
      <c r="XAF132"/>
      <c r="XAG132"/>
      <c r="XAH132"/>
      <c r="XAI132"/>
      <c r="XAJ132"/>
      <c r="XAK132"/>
      <c r="XAL132"/>
      <c r="XAM132"/>
      <c r="XAN132"/>
      <c r="XAO132"/>
      <c r="XAP132"/>
      <c r="XAQ132"/>
      <c r="XAR132"/>
      <c r="XAS132"/>
      <c r="XAT132"/>
      <c r="XAU132"/>
      <c r="XAV132"/>
      <c r="XAW132"/>
      <c r="XAX132"/>
      <c r="XAY132"/>
      <c r="XAZ132"/>
      <c r="XBA132"/>
      <c r="XBB132"/>
      <c r="XBC132"/>
      <c r="XBD132"/>
      <c r="XBE132"/>
      <c r="XBF132"/>
      <c r="XBG132"/>
      <c r="XBH132"/>
      <c r="XBI132"/>
      <c r="XBJ132" s="5"/>
      <c r="XBK132" s="5"/>
      <c r="XBL132" s="5"/>
      <c r="XBM132" s="5"/>
      <c r="XBN132" s="5"/>
      <c r="XBO132" s="5"/>
      <c r="XBP132" s="5"/>
      <c r="XBQ132" s="5"/>
      <c r="XBR132" s="5"/>
      <c r="XBS132" s="5"/>
      <c r="XBT132" s="5"/>
      <c r="XBU132" s="5"/>
      <c r="XBV132" s="5"/>
      <c r="XBW132" s="5"/>
      <c r="XBX132" s="5"/>
      <c r="XBY132" s="5"/>
      <c r="XBZ132" s="5"/>
      <c r="XCA132" s="5"/>
      <c r="XCB132" s="5"/>
      <c r="XCC132" s="5"/>
      <c r="XCD132" s="5"/>
      <c r="XCE132" s="5"/>
      <c r="XCF132" s="5"/>
      <c r="XCG132" s="5"/>
      <c r="XCH132" s="5"/>
      <c r="XCI132" s="5"/>
      <c r="XCJ132" s="5"/>
      <c r="XCK132" s="5"/>
      <c r="XCL132" s="5"/>
      <c r="XCM132" s="5"/>
      <c r="XCN132" s="5"/>
      <c r="XCO132" s="5"/>
      <c r="XCP132" s="5"/>
      <c r="XCQ132" s="5"/>
      <c r="XCR132" s="5"/>
      <c r="XCS132" s="5"/>
      <c r="XCT132" s="5"/>
      <c r="XCU132" s="5"/>
      <c r="XCV132" s="5"/>
      <c r="XCW132" s="5"/>
      <c r="XCX132" s="5"/>
      <c r="XCY132" s="5"/>
      <c r="XCZ132" s="5"/>
      <c r="XDA132" s="5"/>
      <c r="XDB132" s="5"/>
      <c r="XDC132" s="5"/>
      <c r="XDD132" s="5"/>
      <c r="XDE132" s="5"/>
      <c r="XDF132" s="5"/>
      <c r="XDG132" s="5"/>
      <c r="XDH132" s="5"/>
      <c r="XDI132" s="5"/>
      <c r="XDJ132" s="5"/>
      <c r="XDK132" s="5"/>
      <c r="XDL132" s="5"/>
      <c r="XDM132" s="5"/>
      <c r="XDN132" s="5"/>
      <c r="XDO132" s="5"/>
      <c r="XDP132" s="5"/>
      <c r="XDQ132" s="5"/>
      <c r="XDR132" s="5"/>
      <c r="XDS132" s="5"/>
      <c r="XDT132" s="5"/>
      <c r="XDU132" s="5"/>
      <c r="XDV132" s="5"/>
      <c r="XDW132" s="5"/>
      <c r="XDX132" s="5"/>
      <c r="XDY132" s="5"/>
      <c r="XDZ132" s="5"/>
      <c r="XEA132" s="5"/>
      <c r="XEB132" s="5"/>
      <c r="XEC132" s="5"/>
      <c r="XED132" s="5"/>
      <c r="XEE132" s="5"/>
      <c r="XEF132" s="5"/>
      <c r="XEG132" s="5"/>
      <c r="XEH132" s="5"/>
      <c r="XEI132" s="5"/>
      <c r="XEJ132" s="5"/>
      <c r="XEK132" s="5"/>
      <c r="XEL132" s="5"/>
      <c r="XEM132" s="5"/>
      <c r="XEN132" s="5"/>
      <c r="XEO132" s="5"/>
      <c r="XEP132" s="5"/>
      <c r="XEQ132" s="5"/>
      <c r="XER132" s="5"/>
      <c r="XES132" s="5"/>
      <c r="XET132" s="5"/>
      <c r="XEU132" s="5"/>
      <c r="XEV132" s="5"/>
      <c r="XEW132" s="5"/>
      <c r="XEX132" s="5"/>
      <c r="XEY132" s="5"/>
      <c r="XEZ132" s="5"/>
      <c r="XFA132" s="5"/>
      <c r="XFB132" s="5"/>
    </row>
    <row r="133" s="1" customFormat="1" ht="16.5" spans="1:6 16247:16382">
      <c r="A133" s="8">
        <v>131</v>
      </c>
      <c r="B133" s="9" t="s">
        <v>137</v>
      </c>
      <c r="C133" s="8">
        <v>6</v>
      </c>
      <c r="D133" s="8">
        <v>1</v>
      </c>
      <c r="E133" s="8">
        <v>33</v>
      </c>
      <c r="F133" s="8">
        <v>33</v>
      </c>
      <c r="WZW133"/>
      <c r="WZX133"/>
      <c r="WZY133"/>
      <c r="WZZ133"/>
      <c r="XAA133"/>
      <c r="XAB133"/>
      <c r="XAC133"/>
      <c r="XAD133"/>
      <c r="XAE133"/>
      <c r="XAF133"/>
      <c r="XAG133"/>
      <c r="XAH133"/>
      <c r="XAI133"/>
      <c r="XAJ133"/>
      <c r="XAK133"/>
      <c r="XAL133"/>
      <c r="XAM133"/>
      <c r="XAN133"/>
      <c r="XAO133"/>
      <c r="XAP133"/>
      <c r="XAQ133"/>
      <c r="XAR133"/>
      <c r="XAS133"/>
      <c r="XAT133"/>
      <c r="XAU133"/>
      <c r="XAV133"/>
      <c r="XAW133"/>
      <c r="XAX133"/>
      <c r="XAY133"/>
      <c r="XAZ133"/>
      <c r="XBA133"/>
      <c r="XBB133"/>
      <c r="XBC133"/>
      <c r="XBD133"/>
      <c r="XBE133"/>
      <c r="XBF133"/>
      <c r="XBG133"/>
      <c r="XBH133"/>
      <c r="XBI133"/>
      <c r="XBJ133" s="5"/>
      <c r="XBK133" s="5"/>
      <c r="XBL133" s="5"/>
      <c r="XBM133" s="5"/>
      <c r="XBN133" s="5"/>
      <c r="XBO133" s="5"/>
      <c r="XBP133" s="5"/>
      <c r="XBQ133" s="5"/>
      <c r="XBR133" s="5"/>
      <c r="XBS133" s="5"/>
      <c r="XBT133" s="5"/>
      <c r="XBU133" s="5"/>
      <c r="XBV133" s="5"/>
      <c r="XBW133" s="5"/>
      <c r="XBX133" s="5"/>
      <c r="XBY133" s="5"/>
      <c r="XBZ133" s="5"/>
      <c r="XCA133" s="5"/>
      <c r="XCB133" s="5"/>
      <c r="XCC133" s="5"/>
      <c r="XCD133" s="5"/>
      <c r="XCE133" s="5"/>
      <c r="XCF133" s="5"/>
      <c r="XCG133" s="5"/>
      <c r="XCH133" s="5"/>
      <c r="XCI133" s="5"/>
      <c r="XCJ133" s="5"/>
      <c r="XCK133" s="5"/>
      <c r="XCL133" s="5"/>
      <c r="XCM133" s="5"/>
      <c r="XCN133" s="5"/>
      <c r="XCO133" s="5"/>
      <c r="XCP133" s="5"/>
      <c r="XCQ133" s="5"/>
      <c r="XCR133" s="5"/>
      <c r="XCS133" s="5"/>
      <c r="XCT133" s="5"/>
      <c r="XCU133" s="5"/>
      <c r="XCV133" s="5"/>
      <c r="XCW133" s="5"/>
      <c r="XCX133" s="5"/>
      <c r="XCY133" s="5"/>
      <c r="XCZ133" s="5"/>
      <c r="XDA133" s="5"/>
      <c r="XDB133" s="5"/>
      <c r="XDC133" s="5"/>
      <c r="XDD133" s="5"/>
      <c r="XDE133" s="5"/>
      <c r="XDF133" s="5"/>
      <c r="XDG133" s="5"/>
      <c r="XDH133" s="5"/>
      <c r="XDI133" s="5"/>
      <c r="XDJ133" s="5"/>
      <c r="XDK133" s="5"/>
      <c r="XDL133" s="5"/>
      <c r="XDM133" s="5"/>
      <c r="XDN133" s="5"/>
      <c r="XDO133" s="5"/>
      <c r="XDP133" s="5"/>
      <c r="XDQ133" s="5"/>
      <c r="XDR133" s="5"/>
      <c r="XDS133" s="5"/>
      <c r="XDT133" s="5"/>
      <c r="XDU133" s="5"/>
      <c r="XDV133" s="5"/>
      <c r="XDW133" s="5"/>
      <c r="XDX133" s="5"/>
      <c r="XDY133" s="5"/>
      <c r="XDZ133" s="5"/>
      <c r="XEA133" s="5"/>
      <c r="XEB133" s="5"/>
      <c r="XEC133" s="5"/>
      <c r="XED133" s="5"/>
      <c r="XEE133" s="5"/>
      <c r="XEF133" s="5"/>
      <c r="XEG133" s="5"/>
      <c r="XEH133" s="5"/>
      <c r="XEI133" s="5"/>
      <c r="XEJ133" s="5"/>
      <c r="XEK133" s="5"/>
      <c r="XEL133" s="5"/>
      <c r="XEM133" s="5"/>
      <c r="XEN133" s="5"/>
      <c r="XEO133" s="5"/>
      <c r="XEP133" s="5"/>
      <c r="XEQ133" s="5"/>
      <c r="XER133" s="5"/>
      <c r="XES133" s="5"/>
      <c r="XET133" s="5"/>
      <c r="XEU133" s="5"/>
      <c r="XEV133" s="5"/>
      <c r="XEW133" s="5"/>
      <c r="XEX133" s="5"/>
      <c r="XEY133" s="5"/>
      <c r="XEZ133" s="5"/>
      <c r="XFA133" s="5"/>
      <c r="XFB133" s="5"/>
    </row>
    <row r="134" s="1" customFormat="1" ht="16.5" spans="1:6 16247:16382">
      <c r="A134" s="8">
        <v>132</v>
      </c>
      <c r="B134" s="9" t="s">
        <v>138</v>
      </c>
      <c r="C134" s="8">
        <v>22</v>
      </c>
      <c r="D134" s="8">
        <v>1</v>
      </c>
      <c r="E134" s="8">
        <v>121</v>
      </c>
      <c r="F134" s="8">
        <v>121</v>
      </c>
      <c r="WZW134"/>
      <c r="WZX134"/>
      <c r="WZY134"/>
      <c r="WZZ134"/>
      <c r="XAA134"/>
      <c r="XAB134"/>
      <c r="XAC134"/>
      <c r="XAD134"/>
      <c r="XAE134"/>
      <c r="XAF134"/>
      <c r="XAG134"/>
      <c r="XAH134"/>
      <c r="XAI134"/>
      <c r="XAJ134"/>
      <c r="XAK134"/>
      <c r="XAL134"/>
      <c r="XAM134"/>
      <c r="XAN134"/>
      <c r="XAO134"/>
      <c r="XAP134"/>
      <c r="XAQ134"/>
      <c r="XAR134"/>
      <c r="XAS134"/>
      <c r="XAT134"/>
      <c r="XAU134"/>
      <c r="XAV134"/>
      <c r="XAW134"/>
      <c r="XAX134"/>
      <c r="XAY134"/>
      <c r="XAZ134"/>
      <c r="XBA134"/>
      <c r="XBB134"/>
      <c r="XBC134"/>
      <c r="XBD134"/>
      <c r="XBE134"/>
      <c r="XBF134"/>
      <c r="XBG134"/>
      <c r="XBH134"/>
      <c r="XBI134"/>
      <c r="XBJ134" s="5"/>
      <c r="XBK134" s="5"/>
      <c r="XBL134" s="5"/>
      <c r="XBM134" s="5"/>
      <c r="XBN134" s="5"/>
      <c r="XBO134" s="5"/>
      <c r="XBP134" s="5"/>
      <c r="XBQ134" s="5"/>
      <c r="XBR134" s="5"/>
      <c r="XBS134" s="5"/>
      <c r="XBT134" s="5"/>
      <c r="XBU134" s="5"/>
      <c r="XBV134" s="5"/>
      <c r="XBW134" s="5"/>
      <c r="XBX134" s="5"/>
      <c r="XBY134" s="5"/>
      <c r="XBZ134" s="5"/>
      <c r="XCA134" s="5"/>
      <c r="XCB134" s="5"/>
      <c r="XCC134" s="5"/>
      <c r="XCD134" s="5"/>
      <c r="XCE134" s="5"/>
      <c r="XCF134" s="5"/>
      <c r="XCG134" s="5"/>
      <c r="XCH134" s="5"/>
      <c r="XCI134" s="5"/>
      <c r="XCJ134" s="5"/>
      <c r="XCK134" s="5"/>
      <c r="XCL134" s="5"/>
      <c r="XCM134" s="5"/>
      <c r="XCN134" s="5"/>
      <c r="XCO134" s="5"/>
      <c r="XCP134" s="5"/>
      <c r="XCQ134" s="5"/>
      <c r="XCR134" s="5"/>
      <c r="XCS134" s="5"/>
      <c r="XCT134" s="5"/>
      <c r="XCU134" s="5"/>
      <c r="XCV134" s="5"/>
      <c r="XCW134" s="5"/>
      <c r="XCX134" s="5"/>
      <c r="XCY134" s="5"/>
      <c r="XCZ134" s="5"/>
      <c r="XDA134" s="5"/>
      <c r="XDB134" s="5"/>
      <c r="XDC134" s="5"/>
      <c r="XDD134" s="5"/>
      <c r="XDE134" s="5"/>
      <c r="XDF134" s="5"/>
      <c r="XDG134" s="5"/>
      <c r="XDH134" s="5"/>
      <c r="XDI134" s="5"/>
      <c r="XDJ134" s="5"/>
      <c r="XDK134" s="5"/>
      <c r="XDL134" s="5"/>
      <c r="XDM134" s="5"/>
      <c r="XDN134" s="5"/>
      <c r="XDO134" s="5"/>
      <c r="XDP134" s="5"/>
      <c r="XDQ134" s="5"/>
      <c r="XDR134" s="5"/>
      <c r="XDS134" s="5"/>
      <c r="XDT134" s="5"/>
      <c r="XDU134" s="5"/>
      <c r="XDV134" s="5"/>
      <c r="XDW134" s="5"/>
      <c r="XDX134" s="5"/>
      <c r="XDY134" s="5"/>
      <c r="XDZ134" s="5"/>
      <c r="XEA134" s="5"/>
      <c r="XEB134" s="5"/>
      <c r="XEC134" s="5"/>
      <c r="XED134" s="5"/>
      <c r="XEE134" s="5"/>
      <c r="XEF134" s="5"/>
      <c r="XEG134" s="5"/>
      <c r="XEH134" s="5"/>
      <c r="XEI134" s="5"/>
      <c r="XEJ134" s="5"/>
      <c r="XEK134" s="5"/>
      <c r="XEL134" s="5"/>
      <c r="XEM134" s="5"/>
      <c r="XEN134" s="5"/>
      <c r="XEO134" s="5"/>
      <c r="XEP134" s="5"/>
      <c r="XEQ134" s="5"/>
      <c r="XER134" s="5"/>
      <c r="XES134" s="5"/>
      <c r="XET134" s="5"/>
      <c r="XEU134" s="5"/>
      <c r="XEV134" s="5"/>
      <c r="XEW134" s="5"/>
      <c r="XEX134" s="5"/>
      <c r="XEY134" s="5"/>
      <c r="XEZ134" s="5"/>
      <c r="XFA134" s="5"/>
      <c r="XFB134" s="5"/>
    </row>
    <row r="135" ht="16.5" spans="1:6 16247:16382">
      <c r="A135" s="8">
        <v>133</v>
      </c>
      <c r="B135" s="9" t="s">
        <v>139</v>
      </c>
      <c r="C135" s="8">
        <v>44</v>
      </c>
      <c r="D135" s="8">
        <v>11</v>
      </c>
      <c r="E135" s="8">
        <v>22</v>
      </c>
      <c r="F135" s="8">
        <v>242</v>
      </c>
    </row>
    <row r="136" ht="16.5" spans="1:6 16247:16382">
      <c r="A136" s="8">
        <v>134</v>
      </c>
      <c r="B136" s="9" t="s">
        <v>140</v>
      </c>
      <c r="C136" s="8">
        <v>3</v>
      </c>
      <c r="D136" s="8">
        <v>1</v>
      </c>
      <c r="E136" s="8">
        <v>16.5</v>
      </c>
      <c r="F136" s="8">
        <v>16.5</v>
      </c>
    </row>
    <row r="137" ht="16.5" spans="1:6 16247:16382">
      <c r="A137" s="8">
        <v>135</v>
      </c>
      <c r="B137" s="9" t="s">
        <v>141</v>
      </c>
      <c r="C137" s="8">
        <v>13</v>
      </c>
      <c r="D137" s="8">
        <v>13</v>
      </c>
      <c r="E137" s="8">
        <v>16.5</v>
      </c>
      <c r="F137" s="8">
        <v>214.5</v>
      </c>
    </row>
    <row r="138" ht="16.5" spans="1:6 16247:16382">
      <c r="A138" s="8">
        <v>136</v>
      </c>
      <c r="B138" s="9" t="s">
        <v>142</v>
      </c>
      <c r="C138" s="8">
        <v>8</v>
      </c>
      <c r="D138" s="8">
        <v>8</v>
      </c>
      <c r="E138" s="8">
        <v>16.5</v>
      </c>
      <c r="F138" s="8">
        <v>132</v>
      </c>
    </row>
    <row r="139" ht="16.5" spans="1:6 16247:16382">
      <c r="A139" s="8">
        <v>137</v>
      </c>
      <c r="B139" s="9" t="s">
        <v>143</v>
      </c>
      <c r="C139" s="8">
        <v>2</v>
      </c>
      <c r="D139" s="8">
        <v>1</v>
      </c>
      <c r="E139" s="8">
        <v>13.5</v>
      </c>
      <c r="F139" s="8">
        <v>13.5</v>
      </c>
    </row>
    <row r="140" ht="16.5" spans="1:6 16247:16382">
      <c r="A140" s="8">
        <v>138</v>
      </c>
      <c r="B140" s="9" t="s">
        <v>144</v>
      </c>
      <c r="C140" s="8">
        <v>0</v>
      </c>
      <c r="D140" s="8">
        <v>11</v>
      </c>
      <c r="E140" s="8">
        <v>25</v>
      </c>
      <c r="F140" s="8">
        <v>275</v>
      </c>
    </row>
    <row r="141" ht="16.5" spans="1:6 16247:16382">
      <c r="A141" s="8">
        <v>139</v>
      </c>
      <c r="B141" s="9" t="s">
        <v>145</v>
      </c>
      <c r="C141" s="8">
        <v>0</v>
      </c>
      <c r="D141" s="8">
        <v>210</v>
      </c>
      <c r="E141" s="8">
        <v>35</v>
      </c>
      <c r="F141" s="8">
        <v>7350</v>
      </c>
    </row>
    <row r="142" ht="16.5" spans="1:6 16247:16382">
      <c r="A142" s="8">
        <v>140</v>
      </c>
      <c r="B142" s="9" t="s">
        <v>146</v>
      </c>
      <c r="C142" s="8">
        <v>16416</v>
      </c>
      <c r="D142" s="8">
        <v>513</v>
      </c>
      <c r="E142" s="8">
        <v>176</v>
      </c>
      <c r="F142" s="8">
        <v>90288</v>
      </c>
    </row>
    <row r="143" ht="16.5" spans="1:6 16247:16382">
      <c r="A143" s="8">
        <v>141</v>
      </c>
      <c r="B143" s="9" t="s">
        <v>147</v>
      </c>
      <c r="C143" s="8">
        <v>0</v>
      </c>
      <c r="D143" s="8">
        <v>10</v>
      </c>
      <c r="E143" s="8">
        <v>4</v>
      </c>
      <c r="F143" s="8">
        <v>40</v>
      </c>
    </row>
    <row r="144" ht="16.5" spans="1:6 16247:16382">
      <c r="A144" s="8">
        <v>142</v>
      </c>
      <c r="B144" s="9" t="s">
        <v>148</v>
      </c>
      <c r="C144" s="8">
        <v>0</v>
      </c>
      <c r="D144" s="8">
        <v>20</v>
      </c>
      <c r="E144" s="8">
        <v>25</v>
      </c>
      <c r="F144" s="8">
        <v>500</v>
      </c>
    </row>
    <row r="145" ht="16.5" spans="1:6">
      <c r="A145" s="8">
        <v>143</v>
      </c>
      <c r="B145" s="9" t="s">
        <v>149</v>
      </c>
      <c r="C145" s="8">
        <v>22</v>
      </c>
      <c r="D145" s="8">
        <v>1</v>
      </c>
      <c r="E145" s="8">
        <v>121</v>
      </c>
      <c r="F145" s="8">
        <v>121</v>
      </c>
    </row>
    <row r="146" ht="16.5" spans="1:6">
      <c r="A146" s="8">
        <v>144</v>
      </c>
      <c r="B146" s="9" t="s">
        <v>150</v>
      </c>
      <c r="C146" s="8">
        <v>3</v>
      </c>
      <c r="D146" s="8">
        <v>1</v>
      </c>
      <c r="E146" s="8">
        <v>16.5</v>
      </c>
      <c r="F146" s="8">
        <v>16.5</v>
      </c>
    </row>
    <row r="147" ht="16.5" spans="1:6">
      <c r="A147" s="8">
        <v>145</v>
      </c>
      <c r="B147" s="9" t="s">
        <v>151</v>
      </c>
      <c r="C147" s="8">
        <v>33</v>
      </c>
      <c r="D147" s="8">
        <v>3</v>
      </c>
      <c r="E147" s="8">
        <v>60.5</v>
      </c>
      <c r="F147" s="8">
        <v>181.5</v>
      </c>
    </row>
    <row r="148" ht="16.5" spans="1:6">
      <c r="A148" s="8">
        <v>146</v>
      </c>
      <c r="B148" s="9" t="s">
        <v>152</v>
      </c>
      <c r="C148" s="8">
        <v>88</v>
      </c>
      <c r="D148" s="8">
        <v>8</v>
      </c>
      <c r="E148" s="8">
        <v>60.5</v>
      </c>
      <c r="F148" s="8">
        <v>484</v>
      </c>
    </row>
    <row r="149" ht="16.5" spans="1:6">
      <c r="A149" s="8">
        <v>147</v>
      </c>
      <c r="B149" s="9" t="s">
        <v>153</v>
      </c>
      <c r="C149" s="8">
        <v>75</v>
      </c>
      <c r="D149" s="8">
        <v>3</v>
      </c>
      <c r="E149" s="8">
        <v>137.5</v>
      </c>
      <c r="F149" s="8">
        <v>412.5</v>
      </c>
    </row>
    <row r="150" ht="16.5" spans="1:6">
      <c r="A150" s="8">
        <v>148</v>
      </c>
      <c r="B150" s="9" t="s">
        <v>154</v>
      </c>
      <c r="C150" s="8">
        <v>26</v>
      </c>
      <c r="D150" s="8">
        <v>2</v>
      </c>
      <c r="E150" s="8">
        <v>71.5</v>
      </c>
      <c r="F150" s="8">
        <v>143</v>
      </c>
    </row>
    <row r="151" ht="16.5" spans="1:6">
      <c r="A151" s="8">
        <v>149</v>
      </c>
      <c r="B151" s="9" t="s">
        <v>155</v>
      </c>
      <c r="C151" s="8">
        <v>98</v>
      </c>
      <c r="D151" s="8">
        <v>5</v>
      </c>
      <c r="E151" s="8">
        <v>99</v>
      </c>
      <c r="F151" s="8">
        <v>495</v>
      </c>
    </row>
    <row r="152" ht="16.5" spans="1:6">
      <c r="A152" s="8">
        <v>150</v>
      </c>
      <c r="B152" s="9" t="s">
        <v>156</v>
      </c>
      <c r="C152" s="8">
        <v>13</v>
      </c>
      <c r="D152" s="8">
        <v>1</v>
      </c>
      <c r="E152" s="8">
        <v>71.5</v>
      </c>
      <c r="F152" s="8">
        <v>71.5</v>
      </c>
    </row>
    <row r="153" ht="16.5" spans="1:6">
      <c r="A153" s="8">
        <v>151</v>
      </c>
      <c r="B153" s="9" t="s">
        <v>157</v>
      </c>
      <c r="C153" s="8">
        <v>1</v>
      </c>
      <c r="D153" s="8">
        <v>1</v>
      </c>
      <c r="E153" s="8">
        <v>16.5</v>
      </c>
      <c r="F153" s="8">
        <v>16.5</v>
      </c>
    </row>
    <row r="154" ht="16.5" spans="1:6">
      <c r="A154" s="8">
        <v>152</v>
      </c>
      <c r="B154" s="9" t="s">
        <v>158</v>
      </c>
      <c r="C154" s="8">
        <v>12</v>
      </c>
      <c r="D154" s="8">
        <v>1</v>
      </c>
      <c r="E154" s="8">
        <v>66</v>
      </c>
      <c r="F154" s="8">
        <v>66</v>
      </c>
    </row>
    <row r="155" ht="16.5" spans="1:6">
      <c r="A155" s="8">
        <v>153</v>
      </c>
      <c r="B155" s="9" t="s">
        <v>159</v>
      </c>
      <c r="C155" s="8">
        <v>51</v>
      </c>
      <c r="D155" s="8">
        <v>17</v>
      </c>
      <c r="E155" s="8">
        <v>16.5</v>
      </c>
      <c r="F155" s="8">
        <v>280.5</v>
      </c>
    </row>
    <row r="156" ht="16.5" spans="1:6">
      <c r="A156" s="8">
        <v>154</v>
      </c>
      <c r="B156" s="9" t="s">
        <v>160</v>
      </c>
      <c r="C156" s="8">
        <v>34</v>
      </c>
      <c r="D156" s="8">
        <v>17</v>
      </c>
      <c r="E156" s="8">
        <v>16.5</v>
      </c>
      <c r="F156" s="8">
        <v>280.5</v>
      </c>
    </row>
    <row r="157" ht="16.5" spans="1:6">
      <c r="A157" s="8">
        <v>155</v>
      </c>
      <c r="B157" s="9" t="s">
        <v>161</v>
      </c>
      <c r="C157" s="8">
        <v>240</v>
      </c>
      <c r="D157" s="8">
        <v>120</v>
      </c>
      <c r="E157" s="8">
        <v>16.5</v>
      </c>
      <c r="F157" s="8">
        <v>1980</v>
      </c>
    </row>
    <row r="158" ht="16.5" spans="1:6">
      <c r="A158" s="8">
        <v>156</v>
      </c>
      <c r="B158" s="9" t="s">
        <v>162</v>
      </c>
      <c r="C158" s="8">
        <v>61</v>
      </c>
      <c r="D158" s="8">
        <v>61</v>
      </c>
      <c r="E158" s="8">
        <v>16.5</v>
      </c>
      <c r="F158" s="8">
        <v>1006.5</v>
      </c>
    </row>
    <row r="159" ht="16.5" spans="1:6">
      <c r="A159" s="8">
        <v>157</v>
      </c>
      <c r="B159" s="9" t="s">
        <v>163</v>
      </c>
      <c r="C159" s="8">
        <v>6</v>
      </c>
      <c r="D159" s="8">
        <v>1</v>
      </c>
      <c r="E159" s="8">
        <v>33</v>
      </c>
      <c r="F159" s="8">
        <v>33</v>
      </c>
    </row>
    <row r="160" ht="16.5" spans="1:6">
      <c r="A160" s="8">
        <v>158</v>
      </c>
      <c r="B160" s="9" t="s">
        <v>164</v>
      </c>
      <c r="C160" s="8">
        <v>16</v>
      </c>
      <c r="D160" s="8">
        <v>8</v>
      </c>
      <c r="E160" s="8">
        <v>16.5</v>
      </c>
      <c r="F160" s="8">
        <v>132</v>
      </c>
    </row>
    <row r="161" ht="16.5" spans="1:6">
      <c r="A161" s="8">
        <v>159</v>
      </c>
      <c r="B161" s="9" t="s">
        <v>165</v>
      </c>
      <c r="C161" s="8">
        <v>3</v>
      </c>
      <c r="D161" s="8">
        <v>1</v>
      </c>
      <c r="E161" s="8">
        <v>16.5</v>
      </c>
      <c r="F161" s="8">
        <v>16.5</v>
      </c>
    </row>
    <row r="162" ht="16.5" spans="1:6">
      <c r="A162" s="8">
        <v>160</v>
      </c>
      <c r="B162" s="9" t="s">
        <v>166</v>
      </c>
      <c r="C162" s="8">
        <v>1</v>
      </c>
      <c r="D162" s="8">
        <v>1</v>
      </c>
      <c r="E162" s="8">
        <v>35</v>
      </c>
      <c r="F162" s="8">
        <v>35</v>
      </c>
    </row>
    <row r="163" ht="16.5" spans="1:6">
      <c r="A163" s="8">
        <v>161</v>
      </c>
      <c r="B163" s="9" t="s">
        <v>167</v>
      </c>
      <c r="C163" s="8">
        <v>34</v>
      </c>
      <c r="D163" s="8">
        <v>17</v>
      </c>
      <c r="E163" s="8">
        <v>16.5</v>
      </c>
      <c r="F163" s="8">
        <v>280.5</v>
      </c>
    </row>
    <row r="164" ht="16.5" spans="1:6">
      <c r="A164" s="8">
        <v>162</v>
      </c>
      <c r="B164" s="9" t="s">
        <v>168</v>
      </c>
      <c r="C164" s="8">
        <v>38</v>
      </c>
      <c r="D164" s="8">
        <v>19</v>
      </c>
      <c r="E164" s="8">
        <v>16.5</v>
      </c>
      <c r="F164" s="8">
        <v>313.5</v>
      </c>
    </row>
    <row r="165" ht="16.5" spans="1:6">
      <c r="A165" s="8">
        <v>163</v>
      </c>
      <c r="B165" s="9" t="s">
        <v>169</v>
      </c>
      <c r="C165" s="8">
        <v>3</v>
      </c>
      <c r="D165" s="8">
        <v>3</v>
      </c>
      <c r="E165" s="8">
        <v>16.5</v>
      </c>
      <c r="F165" s="8">
        <v>49.5</v>
      </c>
    </row>
    <row r="166" ht="16.5" spans="1:6">
      <c r="A166" s="8">
        <v>164</v>
      </c>
      <c r="B166" s="9" t="s">
        <v>170</v>
      </c>
      <c r="C166" s="8">
        <v>374</v>
      </c>
      <c r="D166" s="8">
        <v>11</v>
      </c>
      <c r="E166" s="8">
        <v>187</v>
      </c>
      <c r="F166" s="8">
        <v>2057</v>
      </c>
    </row>
    <row r="167" ht="16.5" spans="1:6">
      <c r="A167" s="8">
        <v>165</v>
      </c>
      <c r="B167" s="9" t="s">
        <v>171</v>
      </c>
      <c r="C167" s="8">
        <v>672</v>
      </c>
      <c r="D167" s="8">
        <v>56</v>
      </c>
      <c r="E167" s="8">
        <v>66</v>
      </c>
      <c r="F167" s="8">
        <v>3696</v>
      </c>
    </row>
    <row r="168" ht="16.5" spans="1:6">
      <c r="A168" s="8">
        <v>166</v>
      </c>
      <c r="B168" s="9" t="s">
        <v>172</v>
      </c>
      <c r="C168" s="8">
        <v>101</v>
      </c>
      <c r="D168" s="8">
        <v>1</v>
      </c>
      <c r="E168" s="8">
        <v>555.5</v>
      </c>
      <c r="F168" s="8">
        <v>555.5</v>
      </c>
    </row>
    <row r="169" ht="16.5" spans="1:6">
      <c r="A169" s="8">
        <v>167</v>
      </c>
      <c r="B169" s="9" t="s">
        <v>173</v>
      </c>
      <c r="C169" s="8">
        <v>2</v>
      </c>
      <c r="D169" s="8">
        <v>1</v>
      </c>
      <c r="E169" s="8">
        <v>16.5</v>
      </c>
      <c r="F169" s="8">
        <v>16.5</v>
      </c>
    </row>
    <row r="170" ht="16.5" customHeight="1" spans="1:6">
      <c r="A170" s="8">
        <v>168</v>
      </c>
      <c r="B170" s="9" t="s">
        <v>174</v>
      </c>
      <c r="C170" s="8">
        <v>3</v>
      </c>
      <c r="D170" s="8">
        <v>1</v>
      </c>
      <c r="E170" s="8">
        <v>16.5</v>
      </c>
      <c r="F170" s="8">
        <v>16.5</v>
      </c>
    </row>
    <row r="171" ht="16.5" customHeight="1" spans="1:6">
      <c r="A171" s="16" t="s">
        <v>175</v>
      </c>
      <c r="B171" s="17"/>
      <c r="C171" s="17"/>
      <c r="D171" s="17"/>
      <c r="E171" s="18"/>
      <c r="F171" s="8">
        <f>SUM(F3:F170)</f>
        <v>262891</v>
      </c>
    </row>
    <row r="172" ht="16.5" customHeight="1"/>
    <row r="173" ht="16.5" customHeight="1"/>
    <row r="174" ht="16.5" customHeight="1"/>
  </sheetData>
  <autoFilter xmlns:etc="http://www.wps.cn/officeDocument/2017/etCustomData" ref="A2:XFD171" etc:filterBottomFollowUsedRange="0">
    <extLst/>
  </autoFilter>
  <mergeCells count="2">
    <mergeCell ref="A1:F1"/>
    <mergeCell ref="A171:E171"/>
  </mergeCells>
  <pageMargins left="0.25" right="0.25" top="0.75" bottom="0.75" header="0.298611111111111" footer="0.298611111111111"/>
  <pageSetup paperSize="9" scale="9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76"/>
  <sheetViews>
    <sheetView view="pageBreakPreview" zoomScaleNormal="100" workbookViewId="0">
      <selection activeCell="C3" sqref="C3"/>
    </sheetView>
  </sheetViews>
  <sheetFormatPr defaultColWidth="9" defaultRowHeight="13.5"/>
  <cols>
    <col min="1" max="1" width="7.5" style="3" customWidth="1"/>
    <col min="2" max="2" width="33.375" style="4" customWidth="1"/>
    <col min="3" max="3" width="19.125" style="3" customWidth="1"/>
    <col min="4" max="4" width="13" style="3" customWidth="1"/>
    <col min="5" max="5" width="13.7583333333333" style="3" customWidth="1"/>
    <col min="6" max="6" width="14.4583333333333" style="3" customWidth="1"/>
    <col min="7" max="16243" width="9" style="1"/>
    <col min="16283" max="16384" width="9" style="5"/>
  </cols>
  <sheetData>
    <row r="1" s="1" customFormat="1" ht="21" spans="1:6 16244:16356">
      <c r="A1" s="6" t="s">
        <v>176</v>
      </c>
      <c r="B1" s="7"/>
      <c r="C1" s="6"/>
      <c r="D1" s="6"/>
      <c r="E1" s="6"/>
      <c r="F1" s="6"/>
    </row>
    <row r="2" s="2" customFormat="1" ht="16.5" customHeight="1" spans="1:6 16244:1635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6 16244:16356">
      <c r="A3" s="8">
        <v>1</v>
      </c>
      <c r="B3" s="9" t="s">
        <v>177</v>
      </c>
      <c r="C3" s="8">
        <v>1</v>
      </c>
      <c r="D3" s="8">
        <v>1</v>
      </c>
      <c r="E3" s="8">
        <v>8</v>
      </c>
      <c r="F3" s="8">
        <v>8</v>
      </c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</row>
    <row r="4" s="1" customFormat="1" ht="16.5" spans="1:6 16244:16356">
      <c r="A4" s="8">
        <v>2</v>
      </c>
      <c r="B4" s="9" t="s">
        <v>178</v>
      </c>
      <c r="C4" s="8">
        <v>9</v>
      </c>
      <c r="D4" s="8">
        <v>9</v>
      </c>
      <c r="E4" s="8">
        <v>8</v>
      </c>
      <c r="F4" s="8">
        <v>72</v>
      </c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</row>
    <row r="5" s="1" customFormat="1" ht="16.5" spans="1:6 16244:16356">
      <c r="A5" s="8">
        <v>3</v>
      </c>
      <c r="B5" s="9" t="s">
        <v>26</v>
      </c>
      <c r="C5" s="8">
        <v>386</v>
      </c>
      <c r="D5" s="8">
        <v>193</v>
      </c>
      <c r="E5" s="8">
        <v>16.5</v>
      </c>
      <c r="F5" s="8">
        <v>3184.5</v>
      </c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 s="5"/>
      <c r="XBH5" s="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</row>
    <row r="6" s="1" customFormat="1" ht="16.5" spans="1:6 16244:16356">
      <c r="A6" s="8">
        <v>4</v>
      </c>
      <c r="B6" s="9" t="s">
        <v>179</v>
      </c>
      <c r="C6" s="8">
        <v>10</v>
      </c>
      <c r="D6" s="8">
        <v>10</v>
      </c>
      <c r="E6" s="8">
        <v>8</v>
      </c>
      <c r="F6" s="8">
        <v>80</v>
      </c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 s="5"/>
      <c r="XBH6" s="5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</row>
    <row r="7" s="1" customFormat="1" ht="16.5" spans="1:6 16244:16356">
      <c r="A7" s="8">
        <v>5</v>
      </c>
      <c r="B7" s="9" t="s">
        <v>27</v>
      </c>
      <c r="C7" s="8">
        <v>16</v>
      </c>
      <c r="D7" s="8">
        <v>16</v>
      </c>
      <c r="E7" s="8">
        <v>16.5</v>
      </c>
      <c r="F7" s="8">
        <v>264</v>
      </c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 s="5"/>
      <c r="XBH7" s="5"/>
      <c r="XBI7" s="5"/>
      <c r="XBJ7" s="5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</row>
    <row r="8" s="1" customFormat="1" ht="16.5" spans="1:6 16244:16356">
      <c r="A8" s="8">
        <v>6</v>
      </c>
      <c r="B8" s="9" t="s">
        <v>180</v>
      </c>
      <c r="C8" s="8">
        <v>5</v>
      </c>
      <c r="D8" s="8">
        <v>5</v>
      </c>
      <c r="E8" s="8">
        <v>16.5</v>
      </c>
      <c r="F8" s="8">
        <v>82.5</v>
      </c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 s="5"/>
      <c r="XBH8" s="5"/>
      <c r="XBI8" s="5"/>
      <c r="XBJ8" s="5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</row>
    <row r="9" s="1" customFormat="1" ht="16.5" spans="1:6 16244:16356">
      <c r="A9" s="8">
        <v>7</v>
      </c>
      <c r="B9" s="9" t="s">
        <v>181</v>
      </c>
      <c r="C9" s="8">
        <v>672</v>
      </c>
      <c r="D9" s="8">
        <v>14</v>
      </c>
      <c r="E9" s="8">
        <v>264</v>
      </c>
      <c r="F9" s="8">
        <v>3696</v>
      </c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</row>
    <row r="10" s="1" customFormat="1" ht="16.5" spans="1:6 16244:16356">
      <c r="A10" s="8">
        <v>8</v>
      </c>
      <c r="B10" s="9" t="s">
        <v>182</v>
      </c>
      <c r="C10" s="8">
        <v>32</v>
      </c>
      <c r="D10" s="8">
        <v>16</v>
      </c>
      <c r="E10" s="8">
        <v>16.5</v>
      </c>
      <c r="F10" s="8">
        <v>264</v>
      </c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</row>
    <row r="11" s="1" customFormat="1" ht="16.5" spans="1:6 16244:16356">
      <c r="A11" s="8">
        <v>9</v>
      </c>
      <c r="B11" s="9" t="s">
        <v>52</v>
      </c>
      <c r="C11" s="8">
        <v>0</v>
      </c>
      <c r="D11" s="8">
        <v>20</v>
      </c>
      <c r="E11" s="8">
        <v>15</v>
      </c>
      <c r="F11" s="8">
        <v>300</v>
      </c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</row>
    <row r="12" s="1" customFormat="1" ht="16.5" spans="1:6 16244:16356">
      <c r="A12" s="8">
        <v>10</v>
      </c>
      <c r="B12" s="9" t="s">
        <v>183</v>
      </c>
      <c r="C12" s="8">
        <v>238</v>
      </c>
      <c r="D12" s="8">
        <v>34</v>
      </c>
      <c r="E12" s="8">
        <v>38.5</v>
      </c>
      <c r="F12" s="8">
        <v>1309</v>
      </c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</row>
    <row r="13" s="1" customFormat="1" ht="16.5" spans="1:6 16244:16356">
      <c r="A13" s="8">
        <v>11</v>
      </c>
      <c r="B13" s="9" t="s">
        <v>184</v>
      </c>
      <c r="C13" s="8">
        <v>126</v>
      </c>
      <c r="D13" s="8">
        <v>126</v>
      </c>
      <c r="E13" s="8">
        <v>16.5</v>
      </c>
      <c r="F13" s="8">
        <v>2079</v>
      </c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</row>
    <row r="14" s="1" customFormat="1" ht="16.5" spans="1:6 16244:16356">
      <c r="A14" s="8">
        <v>12</v>
      </c>
      <c r="B14" s="9" t="s">
        <v>185</v>
      </c>
      <c r="C14" s="8">
        <v>8608</v>
      </c>
      <c r="D14" s="8">
        <v>538</v>
      </c>
      <c r="E14" s="8">
        <v>88</v>
      </c>
      <c r="F14" s="8">
        <v>47344</v>
      </c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</row>
    <row r="15" s="1" customFormat="1" ht="16.5" spans="1:6 16244:16356">
      <c r="A15" s="8">
        <v>13</v>
      </c>
      <c r="B15" s="9" t="s">
        <v>186</v>
      </c>
      <c r="C15" s="8">
        <v>76</v>
      </c>
      <c r="D15" s="8">
        <v>4</v>
      </c>
      <c r="E15" s="8">
        <v>104.5</v>
      </c>
      <c r="F15" s="8">
        <v>418</v>
      </c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</row>
    <row r="16" s="1" customFormat="1" ht="16.5" spans="1:6 16244:16356">
      <c r="A16" s="8">
        <v>14</v>
      </c>
      <c r="B16" s="9" t="s">
        <v>187</v>
      </c>
      <c r="C16" s="8">
        <v>1</v>
      </c>
      <c r="D16" s="8">
        <v>1</v>
      </c>
      <c r="E16" s="8">
        <v>8</v>
      </c>
      <c r="F16" s="8">
        <v>8</v>
      </c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</row>
    <row r="17" s="1" customFormat="1" ht="16.5" spans="1:6 16244:16358">
      <c r="A17" s="8">
        <v>15</v>
      </c>
      <c r="B17" s="9" t="s">
        <v>59</v>
      </c>
      <c r="C17" s="8">
        <v>12</v>
      </c>
      <c r="D17" s="8">
        <v>6</v>
      </c>
      <c r="E17" s="8">
        <v>16.5</v>
      </c>
      <c r="F17" s="8">
        <v>99</v>
      </c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</row>
    <row r="18" s="1" customFormat="1" ht="16.5" spans="1:6 16244:16358">
      <c r="A18" s="8">
        <v>16</v>
      </c>
      <c r="B18" s="9" t="s">
        <v>188</v>
      </c>
      <c r="C18" s="8">
        <v>1</v>
      </c>
      <c r="D18" s="8">
        <v>1</v>
      </c>
      <c r="E18" s="8">
        <v>8</v>
      </c>
      <c r="F18" s="8">
        <v>8</v>
      </c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</row>
    <row r="19" s="1" customFormat="1" ht="16.5" spans="1:6 16244:16358">
      <c r="A19" s="8">
        <v>17</v>
      </c>
      <c r="B19" s="9" t="s">
        <v>62</v>
      </c>
      <c r="C19" s="8">
        <v>7</v>
      </c>
      <c r="D19" s="8">
        <v>7</v>
      </c>
      <c r="E19" s="8">
        <v>16.5</v>
      </c>
      <c r="F19" s="8">
        <v>115.5</v>
      </c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</row>
    <row r="20" s="1" customFormat="1" ht="16.5" spans="1:6 16244:16358">
      <c r="A20" s="8">
        <v>18</v>
      </c>
      <c r="B20" s="9" t="s">
        <v>189</v>
      </c>
      <c r="C20" s="8">
        <v>29</v>
      </c>
      <c r="D20" s="8">
        <v>29</v>
      </c>
      <c r="E20" s="8">
        <v>8</v>
      </c>
      <c r="F20" s="8">
        <v>232</v>
      </c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</row>
    <row r="21" s="1" customFormat="1" ht="16.5" spans="1:6 16244:16358">
      <c r="A21" s="8">
        <v>19</v>
      </c>
      <c r="B21" s="9" t="s">
        <v>190</v>
      </c>
      <c r="C21" s="8">
        <v>13</v>
      </c>
      <c r="D21" s="8">
        <v>13</v>
      </c>
      <c r="E21" s="8">
        <v>16.5</v>
      </c>
      <c r="F21" s="8">
        <v>214.5</v>
      </c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</row>
    <row r="22" s="1" customFormat="1" ht="16.5" spans="1:6 16244:16358">
      <c r="A22" s="8">
        <v>20</v>
      </c>
      <c r="B22" s="10" t="s">
        <v>191</v>
      </c>
      <c r="C22" s="8">
        <v>39</v>
      </c>
      <c r="D22" s="8">
        <v>39</v>
      </c>
      <c r="E22" s="8">
        <v>8</v>
      </c>
      <c r="F22" s="8">
        <v>312</v>
      </c>
      <c r="WZT22" s="11"/>
      <c r="WZU22" s="11"/>
      <c r="WZV22" s="11"/>
      <c r="WZW22" s="11"/>
      <c r="WZX22" s="11"/>
      <c r="WZY22" s="11"/>
      <c r="WZZ22" s="11"/>
      <c r="XAA22" s="11"/>
      <c r="XAB22" s="11"/>
      <c r="XAC22" s="11"/>
      <c r="XAD22" s="11"/>
      <c r="XAE22" s="11"/>
      <c r="XAF22" s="11"/>
      <c r="XAG22" s="11"/>
      <c r="XAH22" s="11"/>
      <c r="XAI22" s="11"/>
      <c r="XAJ22" s="11"/>
      <c r="XAK22" s="11"/>
      <c r="XAL22" s="11"/>
      <c r="XAM22" s="11"/>
      <c r="XAN22" s="11"/>
      <c r="XAO22" s="11"/>
      <c r="XAP22" s="11"/>
      <c r="XAQ22" s="11"/>
      <c r="XAR22" s="11"/>
      <c r="XAS22" s="11"/>
      <c r="XAT22" s="11"/>
      <c r="XAU22" s="11"/>
      <c r="XAV22" s="11"/>
      <c r="XAW22" s="11"/>
      <c r="XAX22" s="11"/>
      <c r="XAY22" s="11"/>
      <c r="XAZ22" s="11"/>
      <c r="XBA22" s="11"/>
      <c r="XBB22" s="11"/>
      <c r="XBC22" s="11"/>
      <c r="XBD22" s="11"/>
      <c r="XBE22" s="11"/>
      <c r="XBF22" s="11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</row>
    <row r="23" s="1" customFormat="1" ht="16.5" spans="1:6 16244:16358">
      <c r="A23" s="8">
        <v>21</v>
      </c>
      <c r="B23" s="9" t="s">
        <v>192</v>
      </c>
      <c r="C23" s="8">
        <v>35</v>
      </c>
      <c r="D23" s="8">
        <v>35</v>
      </c>
      <c r="E23" s="8">
        <v>16.5</v>
      </c>
      <c r="F23" s="8">
        <v>577.5</v>
      </c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</row>
    <row r="24" s="1" customFormat="1" ht="16.5" spans="1:6 16244:16358">
      <c r="A24" s="8">
        <v>22</v>
      </c>
      <c r="B24" s="9" t="s">
        <v>193</v>
      </c>
      <c r="C24" s="8">
        <v>146</v>
      </c>
      <c r="D24" s="8">
        <v>73</v>
      </c>
      <c r="E24" s="8">
        <v>13.5</v>
      </c>
      <c r="F24" s="8">
        <v>985.5</v>
      </c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 s="5"/>
      <c r="XBH24" s="5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</row>
    <row r="25" s="1" customFormat="1" ht="16.5" spans="1:6 16244:16358">
      <c r="A25" s="8">
        <v>23</v>
      </c>
      <c r="B25" s="9" t="s">
        <v>194</v>
      </c>
      <c r="C25" s="8">
        <v>10</v>
      </c>
      <c r="D25" s="8">
        <v>10</v>
      </c>
      <c r="E25" s="8">
        <v>11</v>
      </c>
      <c r="F25" s="8">
        <v>110</v>
      </c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 s="5"/>
      <c r="XBH25" s="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</row>
    <row r="26" s="1" customFormat="1" ht="16.5" spans="1:6 16244:16358">
      <c r="A26" s="8">
        <v>24</v>
      </c>
      <c r="B26" s="9" t="s">
        <v>195</v>
      </c>
      <c r="C26" s="8">
        <v>23</v>
      </c>
      <c r="D26" s="8">
        <v>23</v>
      </c>
      <c r="E26" s="8">
        <v>11</v>
      </c>
      <c r="F26" s="8">
        <v>253</v>
      </c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 s="5"/>
      <c r="XBH26" s="5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</row>
    <row r="27" s="1" customFormat="1" ht="16.5" spans="1:6 16244:16358">
      <c r="A27" s="8">
        <v>25</v>
      </c>
      <c r="B27" s="9" t="s">
        <v>196</v>
      </c>
      <c r="C27" s="8">
        <v>12</v>
      </c>
      <c r="D27" s="8">
        <v>12</v>
      </c>
      <c r="E27" s="8">
        <v>8</v>
      </c>
      <c r="F27" s="8">
        <v>96</v>
      </c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 s="5"/>
      <c r="XBH27" s="5"/>
      <c r="XBI27" s="5"/>
      <c r="XBJ27" s="5"/>
      <c r="XBK27" s="5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</row>
    <row r="28" s="1" customFormat="1" ht="16.5" spans="1:6 16244:16358">
      <c r="A28" s="8">
        <v>26</v>
      </c>
      <c r="B28" s="9" t="s">
        <v>87</v>
      </c>
      <c r="C28" s="8">
        <v>4</v>
      </c>
      <c r="D28" s="8">
        <v>4</v>
      </c>
      <c r="E28" s="8">
        <v>8</v>
      </c>
      <c r="F28" s="8">
        <v>32</v>
      </c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 s="5"/>
      <c r="XBH28" s="5"/>
      <c r="XBI28" s="5"/>
      <c r="XBJ28" s="5"/>
      <c r="XBK28" s="5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</row>
    <row r="29" s="1" customFormat="1" ht="16.5" spans="1:6 16244:16358">
      <c r="A29" s="8">
        <v>27</v>
      </c>
      <c r="B29" s="9" t="s">
        <v>197</v>
      </c>
      <c r="C29" s="8">
        <v>8</v>
      </c>
      <c r="D29" s="8">
        <v>8</v>
      </c>
      <c r="E29" s="8">
        <v>8</v>
      </c>
      <c r="F29" s="8">
        <v>64</v>
      </c>
      <c r="WZT29"/>
      <c r="WZU29"/>
      <c r="WZV29"/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 s="5"/>
      <c r="XBH29" s="5"/>
      <c r="XBI29" s="5"/>
      <c r="XBJ29" s="5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</row>
    <row r="30" s="1" customFormat="1" ht="16.5" spans="1:6 16244:16358">
      <c r="A30" s="8">
        <v>28</v>
      </c>
      <c r="B30" s="9" t="s">
        <v>198</v>
      </c>
      <c r="C30" s="8">
        <v>3</v>
      </c>
      <c r="D30" s="8">
        <v>1</v>
      </c>
      <c r="E30" s="8">
        <v>16.5</v>
      </c>
      <c r="F30" s="8">
        <v>16.5</v>
      </c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 s="5"/>
      <c r="XBH30" s="5"/>
      <c r="XBI30" s="5"/>
      <c r="XBJ30" s="5"/>
      <c r="XBK30" s="5"/>
      <c r="XBL30" s="5"/>
      <c r="XBM30" s="5"/>
      <c r="XBN30" s="5"/>
      <c r="XBO30" s="5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</row>
    <row r="31" s="1" customFormat="1" ht="16.5" spans="1:6 16244:16358">
      <c r="A31" s="8">
        <v>29</v>
      </c>
      <c r="B31" s="9" t="s">
        <v>199</v>
      </c>
      <c r="C31" s="8">
        <v>3</v>
      </c>
      <c r="D31" s="8">
        <v>1</v>
      </c>
      <c r="E31" s="8">
        <v>16.5</v>
      </c>
      <c r="F31" s="8">
        <v>16.5</v>
      </c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 s="5"/>
      <c r="XBH31" s="5"/>
      <c r="XBI31" s="5"/>
      <c r="XBJ31" s="5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</row>
    <row r="32" s="1" customFormat="1" ht="16.5" spans="1:6 16244:16358">
      <c r="A32" s="8">
        <v>30</v>
      </c>
      <c r="B32" s="9" t="s">
        <v>200</v>
      </c>
      <c r="C32" s="8">
        <v>5</v>
      </c>
      <c r="D32" s="8">
        <v>1</v>
      </c>
      <c r="E32" s="8">
        <v>33</v>
      </c>
      <c r="F32" s="8">
        <v>33</v>
      </c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 s="5"/>
      <c r="XBH32" s="5"/>
      <c r="XBI32" s="5"/>
      <c r="XBJ32" s="5"/>
      <c r="XBK32" s="5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</row>
    <row r="33" s="1" customFormat="1" ht="16.5" spans="1:6 16244:16372">
      <c r="A33" s="8">
        <v>31</v>
      </c>
      <c r="B33" s="9" t="s">
        <v>201</v>
      </c>
      <c r="C33" s="8">
        <v>29</v>
      </c>
      <c r="D33" s="8">
        <v>29</v>
      </c>
      <c r="E33" s="8">
        <v>13.5</v>
      </c>
      <c r="F33" s="8">
        <v>391.5</v>
      </c>
      <c r="WZT33"/>
      <c r="WZU33"/>
      <c r="WZV33"/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 s="5"/>
      <c r="XBH33" s="5"/>
      <c r="XBI33" s="5"/>
      <c r="XBJ33" s="5"/>
      <c r="XBK33" s="5"/>
      <c r="XBL33" s="5"/>
      <c r="XBM33" s="5"/>
      <c r="XBN33" s="5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</row>
    <row r="34" s="1" customFormat="1" ht="16.5" spans="1:6 16244:16372">
      <c r="A34" s="8">
        <v>32</v>
      </c>
      <c r="B34" s="9" t="s">
        <v>202</v>
      </c>
      <c r="C34" s="8">
        <v>1</v>
      </c>
      <c r="D34" s="8">
        <v>1</v>
      </c>
      <c r="E34" s="8">
        <v>16.5</v>
      </c>
      <c r="F34" s="8">
        <v>16.5</v>
      </c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 s="5"/>
      <c r="XBH34" s="5"/>
      <c r="XBI34" s="5"/>
      <c r="XBJ34" s="5"/>
      <c r="XBK34" s="5"/>
      <c r="XBL34" s="5"/>
      <c r="XBM34" s="5"/>
      <c r="XBN34" s="5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</row>
    <row r="35" s="1" customFormat="1" ht="16.5" spans="1:6 16244:16372">
      <c r="A35" s="8">
        <v>33</v>
      </c>
      <c r="B35" s="9" t="s">
        <v>203</v>
      </c>
      <c r="C35" s="8">
        <v>1</v>
      </c>
      <c r="D35" s="8">
        <v>1</v>
      </c>
      <c r="E35" s="8">
        <v>11</v>
      </c>
      <c r="F35" s="8">
        <v>11</v>
      </c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 s="5"/>
      <c r="XBH35" s="5"/>
      <c r="XBI35" s="5"/>
      <c r="XBJ35" s="5"/>
      <c r="XBK35" s="5"/>
      <c r="XBL35" s="5"/>
      <c r="XBM35" s="5"/>
      <c r="XBN35" s="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</row>
    <row r="36" s="1" customFormat="1" ht="16.5" customHeight="1" spans="1:6 16244:16372">
      <c r="A36" s="8">
        <v>34</v>
      </c>
      <c r="B36" s="9" t="s">
        <v>204</v>
      </c>
      <c r="C36" s="8">
        <v>162</v>
      </c>
      <c r="D36" s="8">
        <v>6</v>
      </c>
      <c r="E36" s="8">
        <v>148.5</v>
      </c>
      <c r="F36" s="8">
        <v>891</v>
      </c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 s="5"/>
      <c r="XBH36" s="5"/>
      <c r="XBI36" s="5"/>
      <c r="XBJ36" s="5"/>
      <c r="XBK36" s="5"/>
      <c r="XBL36" s="5"/>
      <c r="XBM36" s="5"/>
      <c r="XBN36" s="5"/>
      <c r="XBO36" s="5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</row>
    <row r="37" s="1" customFormat="1" ht="16.5" customHeight="1" spans="1:6 16244:16372">
      <c r="A37" s="8">
        <v>35</v>
      </c>
      <c r="B37" s="9" t="s">
        <v>205</v>
      </c>
      <c r="C37" s="8">
        <v>72</v>
      </c>
      <c r="D37" s="8">
        <v>6</v>
      </c>
      <c r="E37" s="8">
        <v>66</v>
      </c>
      <c r="F37" s="8">
        <v>396</v>
      </c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 s="5"/>
      <c r="XBH37" s="5"/>
      <c r="XBI37" s="5"/>
      <c r="XBJ37" s="5"/>
      <c r="XBK37" s="5"/>
      <c r="XBL37" s="5"/>
      <c r="XBM37" s="5"/>
      <c r="XBN37" s="5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</row>
    <row r="38" s="1" customFormat="1" ht="16.5" customHeight="1" spans="1:6 16244:16372">
      <c r="A38" s="8">
        <v>36</v>
      </c>
      <c r="B38" s="9" t="s">
        <v>206</v>
      </c>
      <c r="C38" s="8">
        <v>96</v>
      </c>
      <c r="D38" s="8">
        <v>8</v>
      </c>
      <c r="E38" s="8">
        <v>66</v>
      </c>
      <c r="F38" s="8">
        <v>528</v>
      </c>
      <c r="WZT38"/>
      <c r="WZU38"/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 s="5"/>
      <c r="XBH38" s="5"/>
      <c r="XBI38" s="5"/>
      <c r="XBJ38" s="5"/>
      <c r="XBK38" s="5"/>
      <c r="XBL38" s="5"/>
      <c r="XBM38" s="5"/>
      <c r="XBN38" s="5"/>
      <c r="XBO38" s="5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</row>
    <row r="39" s="1" customFormat="1" ht="16.5" customHeight="1" spans="1:6 16244:16372">
      <c r="A39" s="8">
        <v>37</v>
      </c>
      <c r="B39" s="9" t="s">
        <v>207</v>
      </c>
      <c r="C39" s="8">
        <v>216</v>
      </c>
      <c r="D39" s="8">
        <v>18</v>
      </c>
      <c r="E39" s="8">
        <v>66</v>
      </c>
      <c r="F39" s="8">
        <v>1188</v>
      </c>
      <c r="WZT39"/>
      <c r="WZU39"/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 s="5"/>
      <c r="XBH39" s="5"/>
      <c r="XBI39" s="5"/>
      <c r="XBJ39" s="5"/>
      <c r="XBK39" s="5"/>
      <c r="XBL39" s="5"/>
      <c r="XBM39" s="5"/>
      <c r="XBN39" s="5"/>
      <c r="XBO39" s="5"/>
      <c r="XBP39" s="5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</row>
    <row r="40" s="1" customFormat="1" ht="16.5" customHeight="1" spans="1:6 16244:16372">
      <c r="A40" s="8">
        <v>38</v>
      </c>
      <c r="B40" s="9" t="s">
        <v>208</v>
      </c>
      <c r="C40" s="8">
        <v>132</v>
      </c>
      <c r="D40" s="8">
        <v>11</v>
      </c>
      <c r="E40" s="8">
        <v>66</v>
      </c>
      <c r="F40" s="8">
        <v>726</v>
      </c>
      <c r="WZT40"/>
      <c r="WZU40"/>
      <c r="WZV40"/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 s="5"/>
      <c r="XBH40" s="5"/>
      <c r="XBI40" s="5"/>
      <c r="XBJ40" s="5"/>
      <c r="XBK40" s="5"/>
      <c r="XBL40" s="5"/>
      <c r="XBM40" s="5"/>
      <c r="XBN40" s="5"/>
      <c r="XBO40" s="5"/>
      <c r="XBP40" s="5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</row>
    <row r="41" s="1" customFormat="1" ht="16.5" customHeight="1" spans="1:6 16244:16372">
      <c r="A41" s="8">
        <v>39</v>
      </c>
      <c r="B41" s="9" t="s">
        <v>209</v>
      </c>
      <c r="C41" s="8">
        <v>192</v>
      </c>
      <c r="D41" s="8">
        <v>12</v>
      </c>
      <c r="E41" s="8">
        <v>88</v>
      </c>
      <c r="F41" s="8">
        <v>1056</v>
      </c>
      <c r="WZT41"/>
      <c r="WZU41"/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 s="5"/>
      <c r="XBH41" s="5"/>
      <c r="XBI41" s="5"/>
      <c r="XBJ41" s="5"/>
      <c r="XBK41" s="5"/>
      <c r="XBL41" s="5"/>
      <c r="XBM41" s="5"/>
      <c r="XBN41" s="5"/>
      <c r="XBO41" s="5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  <c r="XEG41" s="5"/>
      <c r="XEH41" s="5"/>
      <c r="XEI41" s="5"/>
      <c r="XEJ41" s="5"/>
      <c r="XEK41" s="5"/>
      <c r="XEL41" s="5"/>
      <c r="XEM41" s="5"/>
      <c r="XEN41" s="5"/>
      <c r="XEO41" s="5"/>
      <c r="XEP41" s="5"/>
      <c r="XEQ41" s="5"/>
      <c r="XER41" s="5"/>
    </row>
    <row r="42" s="1" customFormat="1" ht="16.5" customHeight="1" spans="1:6 16244:16372">
      <c r="A42" s="8">
        <v>40</v>
      </c>
      <c r="B42" s="9" t="s">
        <v>210</v>
      </c>
      <c r="C42" s="8">
        <v>3</v>
      </c>
      <c r="D42" s="8">
        <v>3</v>
      </c>
      <c r="E42" s="8">
        <v>8</v>
      </c>
      <c r="F42" s="8">
        <v>24</v>
      </c>
      <c r="WZT42"/>
      <c r="WZU42"/>
      <c r="WZV42"/>
      <c r="WZW42"/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 s="5"/>
      <c r="XBH42" s="5"/>
      <c r="XBI42" s="5"/>
      <c r="XBJ42" s="5"/>
      <c r="XBK42" s="5"/>
      <c r="XBL42" s="5"/>
      <c r="XBM42" s="5"/>
      <c r="XBN42" s="5"/>
      <c r="XBO42" s="5"/>
      <c r="XBP42" s="5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  <c r="XEK42" s="5"/>
      <c r="XEL42" s="5"/>
      <c r="XEM42" s="5"/>
      <c r="XEN42" s="5"/>
      <c r="XEO42" s="5"/>
      <c r="XEP42" s="5"/>
      <c r="XEQ42" s="5"/>
      <c r="XER42" s="5"/>
    </row>
    <row r="43" s="1" customFormat="1" ht="16.5" customHeight="1" spans="1:6 16244:16372">
      <c r="A43" s="8">
        <v>41</v>
      </c>
      <c r="B43" s="9" t="s">
        <v>211</v>
      </c>
      <c r="C43" s="8">
        <v>31</v>
      </c>
      <c r="D43" s="8">
        <v>1</v>
      </c>
      <c r="E43" s="8">
        <v>170.5</v>
      </c>
      <c r="F43" s="8">
        <v>170.5</v>
      </c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 s="5"/>
      <c r="XBH43" s="5"/>
      <c r="XBI43" s="5"/>
      <c r="XBJ43" s="5"/>
      <c r="XBK43" s="5"/>
      <c r="XBL43" s="5"/>
      <c r="XBM43" s="5"/>
      <c r="XBN43" s="5"/>
      <c r="XBO43" s="5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  <c r="XEG43" s="5"/>
      <c r="XEH43" s="5"/>
      <c r="XEI43" s="5"/>
      <c r="XEJ43" s="5"/>
      <c r="XEK43" s="5"/>
      <c r="XEL43" s="5"/>
      <c r="XEM43" s="5"/>
      <c r="XEN43" s="5"/>
      <c r="XEO43" s="5"/>
      <c r="XEP43" s="5"/>
      <c r="XEQ43" s="5"/>
      <c r="XER43" s="5"/>
    </row>
    <row r="44" s="1" customFormat="1" ht="16.5" spans="1:6 16244:16372">
      <c r="A44" s="8">
        <v>42</v>
      </c>
      <c r="B44" s="9" t="s">
        <v>212</v>
      </c>
      <c r="C44" s="8">
        <v>820</v>
      </c>
      <c r="D44" s="8">
        <v>82</v>
      </c>
      <c r="E44" s="8">
        <v>55</v>
      </c>
      <c r="F44" s="8">
        <v>4510</v>
      </c>
      <c r="WZT44"/>
      <c r="WZU44"/>
      <c r="WZV44"/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 s="5"/>
      <c r="XBH44" s="5"/>
      <c r="XBI44" s="5"/>
      <c r="XBJ44" s="5"/>
      <c r="XBK44" s="5"/>
      <c r="XBL44" s="5"/>
      <c r="XBM44" s="5"/>
      <c r="XBN44" s="5"/>
      <c r="XBO44" s="5"/>
      <c r="XBP44" s="5"/>
      <c r="XBQ44" s="5"/>
      <c r="XBR44" s="5"/>
      <c r="XBS44" s="5"/>
      <c r="XBT44" s="5"/>
      <c r="XBU44" s="5"/>
      <c r="XBV44" s="5"/>
      <c r="XBW44" s="5"/>
      <c r="XBX44" s="5"/>
      <c r="XBY44" s="5"/>
      <c r="XBZ44" s="5"/>
      <c r="XCA44" s="5"/>
      <c r="XCB44" s="5"/>
      <c r="XCC44" s="5"/>
      <c r="XCD44" s="5"/>
      <c r="XCE44" s="5"/>
      <c r="XCF44" s="5"/>
      <c r="XCG44" s="5"/>
      <c r="XCH44" s="5"/>
      <c r="XCI44" s="5"/>
      <c r="XCJ44" s="5"/>
      <c r="XCK44" s="5"/>
      <c r="XCL44" s="5"/>
      <c r="XCM44" s="5"/>
      <c r="XCN44" s="5"/>
      <c r="XCO44" s="5"/>
      <c r="XCP44" s="5"/>
      <c r="XCQ44" s="5"/>
      <c r="XCR44" s="5"/>
      <c r="XCS44" s="5"/>
      <c r="XCT44" s="5"/>
      <c r="XCU44" s="5"/>
      <c r="XCV44" s="5"/>
      <c r="XCW44" s="5"/>
      <c r="XCX44" s="5"/>
      <c r="XCY44" s="5"/>
      <c r="XCZ44" s="5"/>
      <c r="XDA44" s="5"/>
      <c r="XDB44" s="5"/>
      <c r="XDC44" s="5"/>
      <c r="XDD44" s="5"/>
      <c r="XDE44" s="5"/>
      <c r="XDF44" s="5"/>
      <c r="XDG44" s="5"/>
      <c r="XDH44" s="5"/>
      <c r="XDI44" s="5"/>
      <c r="XDJ44" s="5"/>
      <c r="XDK44" s="5"/>
      <c r="XDL44" s="5"/>
      <c r="XDM44" s="5"/>
      <c r="XDN44" s="5"/>
      <c r="XDO44" s="5"/>
      <c r="XDP44" s="5"/>
      <c r="XDQ44" s="5"/>
      <c r="XDR44" s="5"/>
      <c r="XDS44" s="5"/>
      <c r="XDT44" s="5"/>
      <c r="XDU44" s="5"/>
      <c r="XDV44" s="5"/>
      <c r="XDW44" s="5"/>
      <c r="XDX44" s="5"/>
      <c r="XDY44" s="5"/>
      <c r="XDZ44" s="5"/>
      <c r="XEA44" s="5"/>
      <c r="XEB44" s="5"/>
      <c r="XEC44" s="5"/>
      <c r="XED44" s="5"/>
      <c r="XEE44" s="5"/>
      <c r="XEF44" s="5"/>
      <c r="XEG44" s="5"/>
      <c r="XEH44" s="5"/>
      <c r="XEI44" s="5"/>
      <c r="XEJ44" s="5"/>
      <c r="XEK44" s="5"/>
      <c r="XEL44" s="5"/>
      <c r="XEM44" s="5"/>
      <c r="XEN44" s="5"/>
      <c r="XEO44" s="5"/>
      <c r="XEP44" s="5"/>
      <c r="XEQ44" s="5"/>
      <c r="XER44" s="5"/>
    </row>
    <row r="45" s="1" customFormat="1" ht="16.5" spans="1:6 16244:16372">
      <c r="A45" s="8">
        <v>43</v>
      </c>
      <c r="B45" s="9" t="s">
        <v>106</v>
      </c>
      <c r="C45" s="8">
        <v>0</v>
      </c>
      <c r="D45" s="8">
        <v>38</v>
      </c>
      <c r="E45" s="8">
        <v>2.5</v>
      </c>
      <c r="F45" s="8">
        <v>95</v>
      </c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 s="5"/>
      <c r="XBH45" s="5"/>
      <c r="XBI45" s="5"/>
      <c r="XBJ45" s="5"/>
      <c r="XBK45" s="5"/>
      <c r="XBL45" s="5"/>
      <c r="XBM45" s="5"/>
      <c r="XBN45" s="5"/>
      <c r="XBO45" s="5"/>
      <c r="XBP45" s="5"/>
      <c r="XBQ45" s="5"/>
      <c r="XBR45" s="5"/>
      <c r="XBS45" s="5"/>
      <c r="XBT45" s="5"/>
      <c r="XBU45" s="5"/>
      <c r="XBV45" s="5"/>
      <c r="XBW45" s="5"/>
      <c r="XBX45" s="5"/>
      <c r="XBY45" s="5"/>
      <c r="XBZ45" s="5"/>
      <c r="XCA45" s="5"/>
      <c r="XCB45" s="5"/>
      <c r="XCC45" s="5"/>
      <c r="XCD45" s="5"/>
      <c r="XCE45" s="5"/>
      <c r="XCF45" s="5"/>
      <c r="XCG45" s="5"/>
      <c r="XCH45" s="5"/>
      <c r="XCI45" s="5"/>
      <c r="XCJ45" s="5"/>
      <c r="XCK45" s="5"/>
      <c r="XCL45" s="5"/>
      <c r="XCM45" s="5"/>
      <c r="XCN45" s="5"/>
      <c r="XCO45" s="5"/>
      <c r="XCP45" s="5"/>
      <c r="XCQ45" s="5"/>
      <c r="XCR45" s="5"/>
      <c r="XCS45" s="5"/>
      <c r="XCT45" s="5"/>
      <c r="XCU45" s="5"/>
      <c r="XCV45" s="5"/>
      <c r="XCW45" s="5"/>
      <c r="XCX45" s="5"/>
      <c r="XCY45" s="5"/>
      <c r="XCZ45" s="5"/>
      <c r="XDA45" s="5"/>
      <c r="XDB45" s="5"/>
      <c r="XDC45" s="5"/>
      <c r="XDD45" s="5"/>
      <c r="XDE45" s="5"/>
      <c r="XDF45" s="5"/>
      <c r="XDG45" s="5"/>
      <c r="XDH45" s="5"/>
      <c r="XDI45" s="5"/>
      <c r="XDJ45" s="5"/>
      <c r="XDK45" s="5"/>
      <c r="XDL45" s="5"/>
      <c r="XDM45" s="5"/>
      <c r="XDN45" s="5"/>
      <c r="XDO45" s="5"/>
      <c r="XDP45" s="5"/>
      <c r="XDQ45" s="5"/>
      <c r="XDR45" s="5"/>
      <c r="XDS45" s="5"/>
      <c r="XDT45" s="5"/>
      <c r="XDU45" s="5"/>
      <c r="XDV45" s="5"/>
      <c r="XDW45" s="5"/>
      <c r="XDX45" s="5"/>
      <c r="XDY45" s="5"/>
      <c r="XDZ45" s="5"/>
      <c r="XEA45" s="5"/>
      <c r="XEB45" s="5"/>
      <c r="XEC45" s="5"/>
      <c r="XED45" s="5"/>
      <c r="XEE45" s="5"/>
      <c r="XEF45" s="5"/>
      <c r="XEG45" s="5"/>
      <c r="XEH45" s="5"/>
      <c r="XEI45" s="5"/>
      <c r="XEJ45" s="5"/>
      <c r="XEK45" s="5"/>
      <c r="XEL45" s="5"/>
      <c r="XEM45" s="5"/>
      <c r="XEN45" s="5"/>
      <c r="XEO45" s="5"/>
      <c r="XEP45" s="5"/>
      <c r="XEQ45" s="5"/>
      <c r="XER45" s="5"/>
    </row>
    <row r="46" s="1" customFormat="1" ht="16.5" customHeight="1" spans="1:6 16244:16372">
      <c r="A46" s="8">
        <v>44</v>
      </c>
      <c r="B46" s="9" t="s">
        <v>126</v>
      </c>
      <c r="C46" s="8">
        <v>756</v>
      </c>
      <c r="D46" s="8">
        <v>27</v>
      </c>
      <c r="E46" s="8">
        <v>154</v>
      </c>
      <c r="F46" s="8">
        <v>4158</v>
      </c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 s="5"/>
      <c r="XBH46" s="5"/>
      <c r="XBI46" s="5"/>
      <c r="XBJ46" s="5"/>
      <c r="XBK46" s="5"/>
      <c r="XBL46" s="5"/>
      <c r="XBM46" s="5"/>
      <c r="XBN46" s="5"/>
      <c r="XBO46" s="5"/>
      <c r="XBP46" s="5"/>
      <c r="XBQ46" s="5"/>
      <c r="XBR46" s="5"/>
      <c r="XBS46" s="5"/>
      <c r="XBT46" s="5"/>
      <c r="XBU46" s="5"/>
      <c r="XBV46" s="5"/>
      <c r="XBW46" s="5"/>
      <c r="XBX46" s="5"/>
      <c r="XBY46" s="5"/>
      <c r="XBZ46" s="5"/>
      <c r="XCA46" s="5"/>
      <c r="XCB46" s="5"/>
      <c r="XCC46" s="5"/>
      <c r="XCD46" s="5"/>
      <c r="XCE46" s="5"/>
      <c r="XCF46" s="5"/>
      <c r="XCG46" s="5"/>
      <c r="XCH46" s="5"/>
      <c r="XCI46" s="5"/>
      <c r="XCJ46" s="5"/>
      <c r="XCK46" s="5"/>
      <c r="XCL46" s="5"/>
      <c r="XCM46" s="5"/>
      <c r="XCN46" s="5"/>
      <c r="XCO46" s="5"/>
      <c r="XCP46" s="5"/>
      <c r="XCQ46" s="5"/>
      <c r="XCR46" s="5"/>
      <c r="XCS46" s="5"/>
      <c r="XCT46" s="5"/>
      <c r="XCU46" s="5"/>
      <c r="XCV46" s="5"/>
      <c r="XCW46" s="5"/>
      <c r="XCX46" s="5"/>
      <c r="XCY46" s="5"/>
      <c r="XCZ46" s="5"/>
      <c r="XDA46" s="5"/>
      <c r="XDB46" s="5"/>
      <c r="XDC46" s="5"/>
      <c r="XDD46" s="5"/>
      <c r="XDE46" s="5"/>
      <c r="XDF46" s="5"/>
      <c r="XDG46" s="5"/>
      <c r="XDH46" s="5"/>
      <c r="XDI46" s="5"/>
      <c r="XDJ46" s="5"/>
      <c r="XDK46" s="5"/>
      <c r="XDL46" s="5"/>
      <c r="XDM46" s="5"/>
      <c r="XDN46" s="5"/>
      <c r="XDO46" s="5"/>
      <c r="XDP46" s="5"/>
      <c r="XDQ46" s="5"/>
      <c r="XDR46" s="5"/>
      <c r="XDS46" s="5"/>
      <c r="XDT46" s="5"/>
      <c r="XDU46" s="5"/>
      <c r="XDV46" s="5"/>
      <c r="XDW46" s="5"/>
      <c r="XDX46" s="5"/>
      <c r="XDY46" s="5"/>
      <c r="XDZ46" s="5"/>
      <c r="XEA46" s="5"/>
      <c r="XEB46" s="5"/>
      <c r="XEC46" s="5"/>
      <c r="XED46" s="5"/>
      <c r="XEE46" s="5"/>
      <c r="XEF46" s="5"/>
      <c r="XEG46" s="5"/>
      <c r="XEH46" s="5"/>
      <c r="XEI46" s="5"/>
      <c r="XEJ46" s="5"/>
      <c r="XEK46" s="5"/>
      <c r="XEL46" s="5"/>
      <c r="XEM46" s="5"/>
      <c r="XEN46" s="5"/>
      <c r="XEO46" s="5"/>
      <c r="XEP46" s="5"/>
      <c r="XEQ46" s="5"/>
      <c r="XER46" s="5"/>
    </row>
    <row r="47" s="1" customFormat="1" ht="16.5" customHeight="1" spans="1:6 16244:16372">
      <c r="A47" s="8">
        <v>45</v>
      </c>
      <c r="B47" s="12" t="s">
        <v>127</v>
      </c>
      <c r="C47" s="8">
        <v>22</v>
      </c>
      <c r="D47" s="8">
        <v>22</v>
      </c>
      <c r="E47" s="8">
        <v>8</v>
      </c>
      <c r="F47" s="8">
        <v>176</v>
      </c>
      <c r="WZT47"/>
      <c r="WZU47"/>
      <c r="WZV47"/>
      <c r="WZW47"/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 s="5"/>
      <c r="XBH47" s="5"/>
      <c r="XBI47" s="5"/>
      <c r="XBJ47" s="5"/>
      <c r="XBK47" s="5"/>
      <c r="XBL47" s="5"/>
      <c r="XBM47" s="5"/>
      <c r="XBN47" s="5"/>
      <c r="XBO47" s="5"/>
      <c r="XBP47" s="5"/>
      <c r="XBQ47" s="5"/>
      <c r="XBR47" s="5"/>
      <c r="XBS47" s="5"/>
      <c r="XBT47" s="5"/>
      <c r="XBU47" s="5"/>
      <c r="XBV47" s="5"/>
      <c r="XBW47" s="5"/>
      <c r="XBX47" s="5"/>
      <c r="XBY47" s="5"/>
      <c r="XBZ47" s="5"/>
      <c r="XCA47" s="5"/>
      <c r="XCB47" s="5"/>
      <c r="XCC47" s="5"/>
      <c r="XCD47" s="5"/>
      <c r="XCE47" s="5"/>
      <c r="XCF47" s="5"/>
      <c r="XCG47" s="5"/>
      <c r="XCH47" s="5"/>
      <c r="XCI47" s="5"/>
      <c r="XCJ47" s="5"/>
      <c r="XCK47" s="5"/>
      <c r="XCL47" s="5"/>
      <c r="XCM47" s="5"/>
      <c r="XCN47" s="5"/>
      <c r="XCO47" s="5"/>
      <c r="XCP47" s="5"/>
      <c r="XCQ47" s="5"/>
      <c r="XCR47" s="5"/>
      <c r="XCS47" s="5"/>
      <c r="XCT47" s="5"/>
      <c r="XCU47" s="5"/>
      <c r="XCV47" s="5"/>
      <c r="XCW47" s="5"/>
      <c r="XCX47" s="5"/>
      <c r="XCY47" s="5"/>
      <c r="XCZ47" s="5"/>
      <c r="XDA47" s="5"/>
      <c r="XDB47" s="5"/>
      <c r="XDC47" s="5"/>
      <c r="XDD47" s="5"/>
      <c r="XDE47" s="5"/>
      <c r="XDF47" s="5"/>
      <c r="XDG47" s="5"/>
      <c r="XDH47" s="5"/>
      <c r="XDI47" s="5"/>
      <c r="XDJ47" s="5"/>
      <c r="XDK47" s="5"/>
      <c r="XDL47" s="5"/>
      <c r="XDM47" s="5"/>
      <c r="XDN47" s="5"/>
      <c r="XDO47" s="5"/>
      <c r="XDP47" s="5"/>
      <c r="XDQ47" s="5"/>
      <c r="XDR47" s="5"/>
      <c r="XDS47" s="5"/>
      <c r="XDT47" s="5"/>
      <c r="XDU47" s="5"/>
      <c r="XDV47" s="5"/>
      <c r="XDW47" s="5"/>
      <c r="XDX47" s="5"/>
      <c r="XDY47" s="5"/>
      <c r="XDZ47" s="5"/>
      <c r="XEA47" s="5"/>
      <c r="XEB47" s="5"/>
      <c r="XEC47" s="5"/>
      <c r="XED47" s="5"/>
      <c r="XEE47" s="5"/>
      <c r="XEF47" s="5"/>
      <c r="XEG47" s="5"/>
      <c r="XEH47" s="5"/>
      <c r="XEI47" s="5"/>
      <c r="XEJ47" s="5"/>
      <c r="XEK47" s="5"/>
      <c r="XEL47" s="5"/>
      <c r="XEM47" s="5"/>
      <c r="XEN47" s="5"/>
      <c r="XEO47" s="5"/>
      <c r="XEP47" s="5"/>
      <c r="XEQ47" s="5"/>
      <c r="XER47" s="5"/>
    </row>
    <row r="48" s="1" customFormat="1" ht="16.5" spans="1:6 16244:16372">
      <c r="A48" s="8">
        <v>46</v>
      </c>
      <c r="B48" s="9" t="s">
        <v>213</v>
      </c>
      <c r="C48" s="8">
        <v>1</v>
      </c>
      <c r="D48" s="8">
        <v>1</v>
      </c>
      <c r="E48" s="8">
        <v>8</v>
      </c>
      <c r="F48" s="8">
        <v>8</v>
      </c>
      <c r="WZT48"/>
      <c r="WZU48"/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 s="5"/>
      <c r="XBH48" s="5"/>
      <c r="XBI48" s="5"/>
      <c r="XBJ48" s="5"/>
      <c r="XBK48" s="5"/>
      <c r="XBL48" s="5"/>
      <c r="XBM48" s="5"/>
      <c r="XBN48" s="5"/>
      <c r="XBO48" s="5"/>
      <c r="XBP48" s="5"/>
      <c r="XBQ48" s="5"/>
      <c r="XBR48" s="5"/>
      <c r="XBS48" s="5"/>
      <c r="XBT48" s="5"/>
      <c r="XBU48" s="5"/>
      <c r="XBV48" s="5"/>
      <c r="XBW48" s="5"/>
      <c r="XBX48" s="5"/>
      <c r="XBY48" s="5"/>
      <c r="XBZ48" s="5"/>
      <c r="XCA48" s="5"/>
      <c r="XCB48" s="5"/>
      <c r="XCC48" s="5"/>
      <c r="XCD48" s="5"/>
      <c r="XCE48" s="5"/>
      <c r="XCF48" s="5"/>
      <c r="XCG48" s="5"/>
      <c r="XCH48" s="5"/>
      <c r="XCI48" s="5"/>
      <c r="XCJ48" s="5"/>
      <c r="XCK48" s="5"/>
      <c r="XCL48" s="5"/>
      <c r="XCM48" s="5"/>
      <c r="XCN48" s="5"/>
      <c r="XCO48" s="5"/>
      <c r="XCP48" s="5"/>
      <c r="XCQ48" s="5"/>
      <c r="XCR48" s="5"/>
      <c r="XCS48" s="5"/>
      <c r="XCT48" s="5"/>
      <c r="XCU48" s="5"/>
      <c r="XCV48" s="5"/>
      <c r="XCW48" s="5"/>
      <c r="XCX48" s="5"/>
      <c r="XCY48" s="5"/>
      <c r="XCZ48" s="5"/>
      <c r="XDA48" s="5"/>
      <c r="XDB48" s="5"/>
      <c r="XDC48" s="5"/>
      <c r="XDD48" s="5"/>
      <c r="XDE48" s="5"/>
      <c r="XDF48" s="5"/>
      <c r="XDG48" s="5"/>
      <c r="XDH48" s="5"/>
      <c r="XDI48" s="5"/>
      <c r="XDJ48" s="5"/>
      <c r="XDK48" s="5"/>
      <c r="XDL48" s="5"/>
      <c r="XDM48" s="5"/>
      <c r="XDN48" s="5"/>
      <c r="XDO48" s="5"/>
      <c r="XDP48" s="5"/>
      <c r="XDQ48" s="5"/>
      <c r="XDR48" s="5"/>
      <c r="XDS48" s="5"/>
      <c r="XDT48" s="5"/>
      <c r="XDU48" s="5"/>
      <c r="XDV48" s="5"/>
      <c r="XDW48" s="5"/>
      <c r="XDX48" s="5"/>
      <c r="XDY48" s="5"/>
      <c r="XDZ48" s="5"/>
      <c r="XEA48" s="5"/>
      <c r="XEB48" s="5"/>
      <c r="XEC48" s="5"/>
      <c r="XED48" s="5"/>
      <c r="XEE48" s="5"/>
      <c r="XEF48" s="5"/>
      <c r="XEG48" s="5"/>
      <c r="XEH48" s="5"/>
      <c r="XEI48" s="5"/>
      <c r="XEJ48" s="5"/>
      <c r="XEK48" s="5"/>
      <c r="XEL48" s="5"/>
      <c r="XEM48" s="5"/>
      <c r="XEN48" s="5"/>
      <c r="XEO48" s="5"/>
      <c r="XEP48" s="5"/>
      <c r="XEQ48" s="5"/>
      <c r="XER48" s="5"/>
    </row>
    <row r="49" s="1" customFormat="1" ht="16.5" spans="1:6 16244:16382">
      <c r="A49" s="8">
        <v>47</v>
      </c>
      <c r="B49" s="9" t="s">
        <v>214</v>
      </c>
      <c r="C49" s="8">
        <v>32</v>
      </c>
      <c r="D49" s="8">
        <v>32</v>
      </c>
      <c r="E49" s="8">
        <v>8</v>
      </c>
      <c r="F49" s="8">
        <v>256</v>
      </c>
      <c r="WZT49"/>
      <c r="WZU49"/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 s="5"/>
      <c r="XBH49" s="5"/>
      <c r="XBI49" s="5"/>
      <c r="XBJ49" s="5"/>
      <c r="XBK49" s="5"/>
      <c r="XBL49" s="5"/>
      <c r="XBM49" s="5"/>
      <c r="XBN49" s="5"/>
      <c r="XBO49" s="5"/>
      <c r="XBP49" s="5"/>
      <c r="XBQ49" s="5"/>
      <c r="XBR49" s="5"/>
      <c r="XBS49" s="5"/>
      <c r="XBT49" s="5"/>
      <c r="XBU49" s="5"/>
      <c r="XBV49" s="5"/>
      <c r="XBW49" s="5"/>
      <c r="XBX49" s="5"/>
      <c r="XBY49" s="5"/>
      <c r="XBZ49" s="5"/>
      <c r="XCA49" s="5"/>
      <c r="XCB49" s="5"/>
      <c r="XCC49" s="5"/>
      <c r="XCD49" s="5"/>
      <c r="XCE49" s="5"/>
      <c r="XCF49" s="5"/>
      <c r="XCG49" s="5"/>
      <c r="XCH49" s="5"/>
      <c r="XCI49" s="5"/>
      <c r="XCJ49" s="5"/>
      <c r="XCK49" s="5"/>
      <c r="XCL49" s="5"/>
      <c r="XCM49" s="5"/>
      <c r="XCN49" s="5"/>
      <c r="XCO49" s="5"/>
      <c r="XCP49" s="5"/>
      <c r="XCQ49" s="5"/>
      <c r="XCR49" s="5"/>
      <c r="XCS49" s="5"/>
      <c r="XCT49" s="5"/>
      <c r="XCU49" s="5"/>
      <c r="XCV49" s="5"/>
      <c r="XCW49" s="5"/>
      <c r="XCX49" s="5"/>
      <c r="XCY49" s="5"/>
      <c r="XCZ49" s="5"/>
      <c r="XDA49" s="5"/>
      <c r="XDB49" s="5"/>
      <c r="XDC49" s="5"/>
      <c r="XDD49" s="5"/>
      <c r="XDE49" s="5"/>
      <c r="XDF49" s="5"/>
      <c r="XDG49" s="5"/>
      <c r="XDH49" s="5"/>
      <c r="XDI49" s="5"/>
      <c r="XDJ49" s="5"/>
      <c r="XDK49" s="5"/>
      <c r="XDL49" s="5"/>
      <c r="XDM49" s="5"/>
      <c r="XDN49" s="5"/>
      <c r="XDO49" s="5"/>
      <c r="XDP49" s="5"/>
      <c r="XDQ49" s="5"/>
      <c r="XDR49" s="5"/>
      <c r="XDS49" s="5"/>
      <c r="XDT49" s="5"/>
      <c r="XDU49" s="5"/>
      <c r="XDV49" s="5"/>
      <c r="XDW49" s="5"/>
      <c r="XDX49" s="5"/>
      <c r="XDY49" s="5"/>
      <c r="XDZ49" s="5"/>
      <c r="XEA49" s="5"/>
      <c r="XEB49" s="5"/>
      <c r="XEC49" s="5"/>
      <c r="XED49" s="5"/>
      <c r="XEE49" s="5"/>
      <c r="XEF49" s="5"/>
      <c r="XEG49" s="5"/>
      <c r="XEH49" s="5"/>
      <c r="XEI49" s="5"/>
      <c r="XEJ49" s="5"/>
      <c r="XEK49" s="5"/>
      <c r="XEL49" s="5"/>
      <c r="XEM49" s="5"/>
      <c r="XEN49" s="5"/>
      <c r="XEO49" s="5"/>
      <c r="XEP49" s="5"/>
      <c r="XEQ49" s="5"/>
      <c r="XER49" s="5"/>
    </row>
    <row r="50" s="1" customFormat="1" ht="16.5" spans="1:6 16244:16382">
      <c r="A50" s="8">
        <v>48</v>
      </c>
      <c r="B50" s="9" t="s">
        <v>215</v>
      </c>
      <c r="C50" s="8">
        <v>64</v>
      </c>
      <c r="D50" s="8">
        <v>32</v>
      </c>
      <c r="E50" s="8">
        <v>16.5</v>
      </c>
      <c r="F50" s="8">
        <v>528</v>
      </c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 s="5"/>
      <c r="XBH50" s="5"/>
      <c r="XBI50" s="5"/>
      <c r="XBJ50" s="5"/>
      <c r="XBK50" s="5"/>
      <c r="XBL50" s="5"/>
      <c r="XBM50" s="5"/>
      <c r="XBN50" s="5"/>
      <c r="XBO50" s="5"/>
      <c r="XBP50" s="5"/>
      <c r="XBQ50" s="5"/>
      <c r="XBR50" s="5"/>
      <c r="XBS50" s="5"/>
      <c r="XBT50" s="5"/>
      <c r="XBU50" s="5"/>
      <c r="XBV50" s="5"/>
      <c r="XBW50" s="5"/>
      <c r="XBX50" s="5"/>
      <c r="XBY50" s="5"/>
      <c r="XBZ50" s="5"/>
      <c r="XCA50" s="5"/>
      <c r="XCB50" s="5"/>
      <c r="XCC50" s="5"/>
      <c r="XCD50" s="5"/>
      <c r="XCE50" s="5"/>
      <c r="XCF50" s="5"/>
      <c r="XCG50" s="5"/>
      <c r="XCH50" s="5"/>
      <c r="XCI50" s="5"/>
      <c r="XCJ50" s="5"/>
      <c r="XCK50" s="5"/>
      <c r="XCL50" s="5"/>
      <c r="XCM50" s="5"/>
      <c r="XCN50" s="5"/>
      <c r="XCO50" s="5"/>
      <c r="XCP50" s="5"/>
      <c r="XCQ50" s="5"/>
      <c r="XCR50" s="5"/>
      <c r="XCS50" s="5"/>
      <c r="XCT50" s="5"/>
      <c r="XCU50" s="5"/>
      <c r="XCV50" s="5"/>
      <c r="XCW50" s="5"/>
      <c r="XCX50" s="5"/>
      <c r="XCY50" s="5"/>
      <c r="XCZ50" s="5"/>
      <c r="XDA50" s="5"/>
      <c r="XDB50" s="5"/>
      <c r="XDC50" s="5"/>
      <c r="XDD50" s="5"/>
      <c r="XDE50" s="5"/>
      <c r="XDF50" s="5"/>
      <c r="XDG50" s="5"/>
      <c r="XDH50" s="5"/>
      <c r="XDI50" s="5"/>
      <c r="XDJ50" s="5"/>
      <c r="XDK50" s="5"/>
      <c r="XDL50" s="5"/>
      <c r="XDM50" s="5"/>
      <c r="XDN50" s="5"/>
      <c r="XDO50" s="5"/>
      <c r="XDP50" s="5"/>
      <c r="XDQ50" s="5"/>
      <c r="XDR50" s="5"/>
      <c r="XDS50" s="5"/>
      <c r="XDT50" s="5"/>
      <c r="XDU50" s="5"/>
      <c r="XDV50" s="5"/>
      <c r="XDW50" s="5"/>
      <c r="XDX50" s="5"/>
      <c r="XDY50" s="5"/>
      <c r="XDZ50" s="5"/>
      <c r="XEA50" s="5"/>
      <c r="XEB50" s="5"/>
      <c r="XEC50" s="5"/>
      <c r="XED50" s="5"/>
      <c r="XEE50" s="5"/>
      <c r="XEF50" s="5"/>
      <c r="XEG50" s="5"/>
      <c r="XEH50" s="5"/>
      <c r="XEI50" s="5"/>
      <c r="XEJ50" s="5"/>
      <c r="XEK50" s="5"/>
      <c r="XEL50" s="5"/>
      <c r="XEM50" s="5"/>
      <c r="XEN50" s="5"/>
      <c r="XEO50" s="5"/>
      <c r="XEP50" s="5"/>
      <c r="XEQ50" s="5"/>
      <c r="XER50" s="5"/>
    </row>
    <row r="51" s="1" customFormat="1" ht="16.5" spans="1:6 16244:16382">
      <c r="A51" s="8">
        <v>49</v>
      </c>
      <c r="B51" s="9" t="s">
        <v>130</v>
      </c>
      <c r="C51" s="8">
        <v>0</v>
      </c>
      <c r="D51" s="8">
        <v>1</v>
      </c>
      <c r="E51" s="8">
        <v>30</v>
      </c>
      <c r="F51" s="8">
        <v>30</v>
      </c>
      <c r="WZT51"/>
      <c r="WZU51"/>
      <c r="WZV51"/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 s="5"/>
      <c r="XBH51" s="5"/>
      <c r="XBI51" s="5"/>
      <c r="XBJ51" s="5"/>
      <c r="XBK51" s="5"/>
      <c r="XBL51" s="5"/>
      <c r="XBM51" s="5"/>
      <c r="XBN51" s="5"/>
      <c r="XBO51" s="5"/>
      <c r="XBP51" s="5"/>
      <c r="XBQ51" s="5"/>
      <c r="XBR51" s="5"/>
      <c r="XBS51" s="5"/>
      <c r="XBT51" s="5"/>
      <c r="XBU51" s="5"/>
      <c r="XBV51" s="5"/>
      <c r="XBW51" s="5"/>
      <c r="XBX51" s="5"/>
      <c r="XBY51" s="5"/>
      <c r="XBZ51" s="5"/>
      <c r="XCA51" s="5"/>
      <c r="XCB51" s="5"/>
      <c r="XCC51" s="5"/>
      <c r="XCD51" s="5"/>
      <c r="XCE51" s="5"/>
      <c r="XCF51" s="5"/>
      <c r="XCG51" s="5"/>
      <c r="XCH51" s="5"/>
      <c r="XCI51" s="5"/>
      <c r="XCJ51" s="5"/>
      <c r="XCK51" s="5"/>
      <c r="XCL51" s="5"/>
      <c r="XCM51" s="5"/>
      <c r="XCN51" s="5"/>
      <c r="XCO51" s="5"/>
      <c r="XCP51" s="5"/>
      <c r="XCQ51" s="5"/>
      <c r="XCR51" s="5"/>
      <c r="XCS51" s="5"/>
      <c r="XCT51" s="5"/>
      <c r="XCU51" s="5"/>
      <c r="XCV51" s="5"/>
      <c r="XCW51" s="5"/>
      <c r="XCX51" s="5"/>
      <c r="XCY51" s="5"/>
      <c r="XCZ51" s="5"/>
      <c r="XDA51" s="5"/>
      <c r="XDB51" s="5"/>
      <c r="XDC51" s="5"/>
      <c r="XDD51" s="5"/>
      <c r="XDE51" s="5"/>
      <c r="XDF51" s="5"/>
      <c r="XDG51" s="5"/>
      <c r="XDH51" s="5"/>
      <c r="XDI51" s="5"/>
      <c r="XDJ51" s="5"/>
      <c r="XDK51" s="5"/>
      <c r="XDL51" s="5"/>
      <c r="XDM51" s="5"/>
      <c r="XDN51" s="5"/>
      <c r="XDO51" s="5"/>
      <c r="XDP51" s="5"/>
      <c r="XDQ51" s="5"/>
      <c r="XDR51" s="5"/>
      <c r="XDS51" s="5"/>
      <c r="XDT51" s="5"/>
      <c r="XDU51" s="5"/>
      <c r="XDV51" s="5"/>
      <c r="XDW51" s="5"/>
      <c r="XDX51" s="5"/>
      <c r="XDY51" s="5"/>
      <c r="XDZ51" s="5"/>
      <c r="XEA51" s="5"/>
      <c r="XEB51" s="5"/>
      <c r="XEC51" s="5"/>
      <c r="XED51" s="5"/>
      <c r="XEE51" s="5"/>
      <c r="XEF51" s="5"/>
      <c r="XEG51" s="5"/>
      <c r="XEH51" s="5"/>
      <c r="XEI51" s="5"/>
      <c r="XEJ51" s="5"/>
      <c r="XEK51" s="5"/>
      <c r="XEL51" s="5"/>
      <c r="XEM51" s="5"/>
      <c r="XEN51" s="5"/>
      <c r="XEO51" s="5"/>
      <c r="XEP51" s="5"/>
      <c r="XEQ51" s="5"/>
      <c r="XER51" s="5"/>
    </row>
    <row r="52" s="1" customFormat="1" ht="16.5" spans="1:6 16244:16382">
      <c r="A52" s="8">
        <v>50</v>
      </c>
      <c r="B52" s="9" t="s">
        <v>216</v>
      </c>
      <c r="C52" s="8">
        <v>2</v>
      </c>
      <c r="D52" s="8">
        <v>2</v>
      </c>
      <c r="E52" s="8">
        <v>11</v>
      </c>
      <c r="F52" s="8">
        <v>22</v>
      </c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 s="5"/>
      <c r="XBH52" s="5"/>
      <c r="XBI52" s="5"/>
      <c r="XBJ52" s="5"/>
      <c r="XBK52" s="5"/>
      <c r="XBL52" s="5"/>
      <c r="XBM52" s="5"/>
      <c r="XBN52" s="5"/>
      <c r="XBO52" s="5"/>
      <c r="XBP52" s="5"/>
      <c r="XBQ52" s="5"/>
      <c r="XBR52" s="5"/>
      <c r="XBS52" s="5"/>
      <c r="XBT52" s="5"/>
      <c r="XBU52" s="5"/>
      <c r="XBV52" s="5"/>
      <c r="XBW52" s="5"/>
      <c r="XBX52" s="5"/>
      <c r="XBY52" s="5"/>
      <c r="XBZ52" s="5"/>
      <c r="XCA52" s="5"/>
      <c r="XCB52" s="5"/>
      <c r="XCC52" s="5"/>
      <c r="XCD52" s="5"/>
      <c r="XCE52" s="5"/>
      <c r="XCF52" s="5"/>
      <c r="XCG52" s="5"/>
      <c r="XCH52" s="5"/>
      <c r="XCI52" s="5"/>
      <c r="XCJ52" s="5"/>
      <c r="XCK52" s="5"/>
      <c r="XCL52" s="5"/>
      <c r="XCM52" s="5"/>
      <c r="XCN52" s="5"/>
      <c r="XCO52" s="5"/>
      <c r="XCP52" s="5"/>
      <c r="XCQ52" s="5"/>
      <c r="XCR52" s="5"/>
      <c r="XCS52" s="5"/>
      <c r="XCT52" s="5"/>
      <c r="XCU52" s="5"/>
      <c r="XCV52" s="5"/>
      <c r="XCW52" s="5"/>
      <c r="XCX52" s="5"/>
      <c r="XCY52" s="5"/>
      <c r="XCZ52" s="5"/>
      <c r="XDA52" s="5"/>
      <c r="XDB52" s="5"/>
      <c r="XDC52" s="5"/>
      <c r="XDD52" s="5"/>
      <c r="XDE52" s="5"/>
      <c r="XDF52" s="5"/>
      <c r="XDG52" s="5"/>
      <c r="XDH52" s="5"/>
      <c r="XDI52" s="5"/>
      <c r="XDJ52" s="5"/>
      <c r="XDK52" s="5"/>
      <c r="XDL52" s="5"/>
      <c r="XDM52" s="5"/>
      <c r="XDN52" s="5"/>
      <c r="XDO52" s="5"/>
      <c r="XDP52" s="5"/>
      <c r="XDQ52" s="5"/>
      <c r="XDR52" s="5"/>
      <c r="XDS52" s="5"/>
      <c r="XDT52" s="5"/>
      <c r="XDU52" s="5"/>
      <c r="XDV52" s="5"/>
      <c r="XDW52" s="5"/>
      <c r="XDX52" s="5"/>
      <c r="XDY52" s="5"/>
      <c r="XDZ52" s="5"/>
      <c r="XEA52" s="5"/>
      <c r="XEB52" s="5"/>
      <c r="XEC52" s="5"/>
      <c r="XED52" s="5"/>
      <c r="XEE52" s="5"/>
      <c r="XEF52" s="5"/>
      <c r="XEG52" s="5"/>
      <c r="XEH52" s="5"/>
      <c r="XEI52" s="5"/>
      <c r="XEJ52" s="5"/>
      <c r="XEK52" s="5"/>
      <c r="XEL52" s="5"/>
      <c r="XEM52" s="5"/>
      <c r="XEN52" s="5"/>
      <c r="XEO52" s="5"/>
      <c r="XEP52" s="5"/>
      <c r="XEQ52" s="5"/>
      <c r="XER52" s="5"/>
    </row>
    <row r="53" s="1" customFormat="1" ht="16.5" spans="1:6 16244:16382">
      <c r="A53" s="8">
        <v>51</v>
      </c>
      <c r="B53" s="9" t="s">
        <v>217</v>
      </c>
      <c r="C53" s="8">
        <v>132</v>
      </c>
      <c r="D53" s="8">
        <v>66</v>
      </c>
      <c r="E53" s="8">
        <v>16.5</v>
      </c>
      <c r="F53" s="8">
        <v>1089</v>
      </c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 s="5"/>
      <c r="XBH53" s="5"/>
      <c r="XBI53" s="5"/>
      <c r="XBJ53" s="5"/>
      <c r="XBK53" s="5"/>
      <c r="XBL53" s="5"/>
      <c r="XBM53" s="5"/>
      <c r="XBN53" s="5"/>
      <c r="XBO53" s="5"/>
      <c r="XBP53" s="5"/>
      <c r="XBQ53" s="5"/>
      <c r="XBR53" s="5"/>
      <c r="XBS53" s="5"/>
      <c r="XBT53" s="5"/>
      <c r="XBU53" s="5"/>
      <c r="XBV53" s="5"/>
      <c r="XBW53" s="5"/>
      <c r="XBX53" s="5"/>
      <c r="XBY53" s="5"/>
      <c r="XBZ53" s="5"/>
      <c r="XCA53" s="5"/>
      <c r="XCB53" s="5"/>
      <c r="XCC53" s="5"/>
      <c r="XCD53" s="5"/>
      <c r="XCE53" s="5"/>
      <c r="XCF53" s="5"/>
      <c r="XCG53" s="5"/>
      <c r="XCH53" s="5"/>
      <c r="XCI53" s="5"/>
      <c r="XCJ53" s="5"/>
      <c r="XCK53" s="5"/>
      <c r="XCL53" s="5"/>
      <c r="XCM53" s="5"/>
      <c r="XCN53" s="5"/>
      <c r="XCO53" s="5"/>
      <c r="XCP53" s="5"/>
      <c r="XCQ53" s="5"/>
      <c r="XCR53" s="5"/>
      <c r="XCS53" s="5"/>
      <c r="XCT53" s="5"/>
      <c r="XCU53" s="5"/>
      <c r="XCV53" s="5"/>
      <c r="XCW53" s="5"/>
      <c r="XCX53" s="5"/>
      <c r="XCY53" s="5"/>
      <c r="XCZ53" s="5"/>
      <c r="XDA53" s="5"/>
      <c r="XDB53" s="5"/>
      <c r="XDC53" s="5"/>
      <c r="XDD53" s="5"/>
      <c r="XDE53" s="5"/>
      <c r="XDF53" s="5"/>
      <c r="XDG53" s="5"/>
      <c r="XDH53" s="5"/>
      <c r="XDI53" s="5"/>
      <c r="XDJ53" s="5"/>
      <c r="XDK53" s="5"/>
      <c r="XDL53" s="5"/>
      <c r="XDM53" s="5"/>
      <c r="XDN53" s="5"/>
      <c r="XDO53" s="5"/>
      <c r="XDP53" s="5"/>
      <c r="XDQ53" s="5"/>
      <c r="XDR53" s="5"/>
      <c r="XDS53" s="5"/>
      <c r="XDT53" s="5"/>
      <c r="XDU53" s="5"/>
      <c r="XDV53" s="5"/>
      <c r="XDW53" s="5"/>
      <c r="XDX53" s="5"/>
      <c r="XDY53" s="5"/>
      <c r="XDZ53" s="5"/>
      <c r="XEA53" s="5"/>
      <c r="XEB53" s="5"/>
      <c r="XEC53" s="5"/>
      <c r="XED53" s="5"/>
      <c r="XEE53" s="5"/>
      <c r="XEF53" s="5"/>
      <c r="XEG53" s="5"/>
      <c r="XEH53" s="5"/>
      <c r="XEI53" s="5"/>
      <c r="XEJ53" s="5"/>
      <c r="XEK53" s="5"/>
      <c r="XEL53" s="5"/>
      <c r="XEM53" s="5"/>
      <c r="XEN53" s="5"/>
      <c r="XEO53" s="5"/>
      <c r="XEP53" s="5"/>
      <c r="XEQ53" s="5"/>
      <c r="XER53" s="5"/>
    </row>
    <row r="54" s="1" customFormat="1" ht="16.5" spans="1:6 16244:16382">
      <c r="A54" s="8">
        <v>52</v>
      </c>
      <c r="B54" s="9" t="s">
        <v>218</v>
      </c>
      <c r="C54" s="8">
        <v>10</v>
      </c>
      <c r="D54" s="8">
        <v>10</v>
      </c>
      <c r="E54" s="8">
        <v>8</v>
      </c>
      <c r="F54" s="8">
        <v>80</v>
      </c>
      <c r="WZT54"/>
      <c r="WZU54"/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 s="5"/>
      <c r="XBH54" s="5"/>
      <c r="XBI54" s="5"/>
      <c r="XBJ54" s="5"/>
      <c r="XBK54" s="5"/>
      <c r="XBL54" s="5"/>
      <c r="XBM54" s="5"/>
      <c r="XBN54" s="5"/>
      <c r="XBO54" s="5"/>
      <c r="XBP54" s="5"/>
      <c r="XBQ54" s="5"/>
      <c r="XBR54" s="5"/>
      <c r="XBS54" s="5"/>
      <c r="XBT54" s="5"/>
      <c r="XBU54" s="5"/>
      <c r="XBV54" s="5"/>
      <c r="XBW54" s="5"/>
      <c r="XBX54" s="5"/>
      <c r="XBY54" s="5"/>
      <c r="XBZ54" s="5"/>
      <c r="XCA54" s="5"/>
      <c r="XCB54" s="5"/>
      <c r="XCC54" s="5"/>
      <c r="XCD54" s="5"/>
      <c r="XCE54" s="5"/>
      <c r="XCF54" s="5"/>
      <c r="XCG54" s="5"/>
      <c r="XCH54" s="5"/>
      <c r="XCI54" s="5"/>
      <c r="XCJ54" s="5"/>
      <c r="XCK54" s="5"/>
      <c r="XCL54" s="5"/>
      <c r="XCM54" s="5"/>
      <c r="XCN54" s="5"/>
      <c r="XCO54" s="5"/>
      <c r="XCP54" s="5"/>
      <c r="XCQ54" s="5"/>
      <c r="XCR54" s="5"/>
      <c r="XCS54" s="5"/>
      <c r="XCT54" s="5"/>
      <c r="XCU54" s="5"/>
      <c r="XCV54" s="5"/>
      <c r="XCW54" s="5"/>
      <c r="XCX54" s="5"/>
      <c r="XCY54" s="5"/>
      <c r="XCZ54" s="5"/>
      <c r="XDA54" s="5"/>
      <c r="XDB54" s="5"/>
      <c r="XDC54" s="5"/>
      <c r="XDD54" s="5"/>
      <c r="XDE54" s="5"/>
      <c r="XDF54" s="5"/>
      <c r="XDG54" s="5"/>
      <c r="XDH54" s="5"/>
      <c r="XDI54" s="5"/>
      <c r="XDJ54" s="5"/>
      <c r="XDK54" s="5"/>
      <c r="XDL54" s="5"/>
      <c r="XDM54" s="5"/>
      <c r="XDN54" s="5"/>
      <c r="XDO54" s="5"/>
      <c r="XDP54" s="5"/>
      <c r="XDQ54" s="5"/>
      <c r="XDR54" s="5"/>
      <c r="XDS54" s="5"/>
      <c r="XDT54" s="5"/>
      <c r="XDU54" s="5"/>
      <c r="XDV54" s="5"/>
      <c r="XDW54" s="5"/>
      <c r="XDX54" s="5"/>
      <c r="XDY54" s="5"/>
      <c r="XDZ54" s="5"/>
      <c r="XEA54" s="5"/>
      <c r="XEB54" s="5"/>
      <c r="XEC54" s="5"/>
      <c r="XED54" s="5"/>
      <c r="XEE54" s="5"/>
      <c r="XEF54" s="5"/>
      <c r="XEG54" s="5"/>
      <c r="XEH54" s="5"/>
      <c r="XEI54" s="5"/>
      <c r="XEJ54" s="5"/>
      <c r="XEK54" s="5"/>
      <c r="XEL54" s="5"/>
      <c r="XEM54" s="5"/>
      <c r="XEN54" s="5"/>
      <c r="XEO54" s="5"/>
      <c r="XEP54" s="5"/>
      <c r="XEQ54" s="5"/>
      <c r="XER54" s="5"/>
      <c r="XES54" s="5"/>
      <c r="XET54" s="5"/>
      <c r="XEU54" s="5"/>
      <c r="XEV54" s="5"/>
      <c r="XEW54" s="5"/>
      <c r="XEX54" s="5"/>
      <c r="XEY54" s="5"/>
      <c r="XEZ54" s="5"/>
      <c r="XFA54" s="5"/>
      <c r="XFB54" s="5"/>
    </row>
    <row r="55" s="1" customFormat="1" ht="16.5" spans="1:6 16244:16382">
      <c r="A55" s="8">
        <v>53</v>
      </c>
      <c r="B55" s="9" t="s">
        <v>219</v>
      </c>
      <c r="C55" s="8">
        <v>450</v>
      </c>
      <c r="D55" s="8">
        <v>15</v>
      </c>
      <c r="E55" s="8">
        <v>165</v>
      </c>
      <c r="F55" s="8">
        <v>2475</v>
      </c>
      <c r="WZT55"/>
      <c r="WZU55"/>
      <c r="WZV55"/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 s="5"/>
      <c r="XBH55" s="5"/>
      <c r="XBI55" s="5"/>
      <c r="XBJ55" s="5"/>
      <c r="XBK55" s="5"/>
      <c r="XBL55" s="5"/>
      <c r="XBM55" s="5"/>
      <c r="XBN55" s="5"/>
      <c r="XBO55" s="5"/>
      <c r="XBP55" s="5"/>
      <c r="XBQ55" s="5"/>
      <c r="XBR55" s="5"/>
      <c r="XBS55" s="5"/>
      <c r="XBT55" s="5"/>
      <c r="XBU55" s="5"/>
      <c r="XBV55" s="5"/>
      <c r="XBW55" s="5"/>
      <c r="XBX55" s="5"/>
      <c r="XBY55" s="5"/>
      <c r="XBZ55" s="5"/>
      <c r="XCA55" s="5"/>
      <c r="XCB55" s="5"/>
      <c r="XCC55" s="5"/>
      <c r="XCD55" s="5"/>
      <c r="XCE55" s="5"/>
      <c r="XCF55" s="5"/>
      <c r="XCG55" s="5"/>
      <c r="XCH55" s="5"/>
      <c r="XCI55" s="5"/>
      <c r="XCJ55" s="5"/>
      <c r="XCK55" s="5"/>
      <c r="XCL55" s="5"/>
      <c r="XCM55" s="5"/>
      <c r="XCN55" s="5"/>
      <c r="XCO55" s="5"/>
      <c r="XCP55" s="5"/>
      <c r="XCQ55" s="5"/>
      <c r="XCR55" s="5"/>
      <c r="XCS55" s="5"/>
      <c r="XCT55" s="5"/>
      <c r="XCU55" s="5"/>
      <c r="XCV55" s="5"/>
      <c r="XCW55" s="5"/>
      <c r="XCX55" s="5"/>
      <c r="XCY55" s="5"/>
      <c r="XCZ55" s="5"/>
      <c r="XDA55" s="5"/>
      <c r="XDB55" s="5"/>
      <c r="XDC55" s="5"/>
      <c r="XDD55" s="5"/>
      <c r="XDE55" s="5"/>
      <c r="XDF55" s="5"/>
      <c r="XDG55" s="5"/>
      <c r="XDH55" s="5"/>
      <c r="XDI55" s="5"/>
      <c r="XDJ55" s="5"/>
      <c r="XDK55" s="5"/>
      <c r="XDL55" s="5"/>
      <c r="XDM55" s="5"/>
      <c r="XDN55" s="5"/>
      <c r="XDO55" s="5"/>
      <c r="XDP55" s="5"/>
      <c r="XDQ55" s="5"/>
      <c r="XDR55" s="5"/>
      <c r="XDS55" s="5"/>
      <c r="XDT55" s="5"/>
      <c r="XDU55" s="5"/>
      <c r="XDV55" s="5"/>
      <c r="XDW55" s="5"/>
      <c r="XDX55" s="5"/>
      <c r="XDY55" s="5"/>
      <c r="XDZ55" s="5"/>
      <c r="XEA55" s="5"/>
      <c r="XEB55" s="5"/>
      <c r="XEC55" s="5"/>
      <c r="XED55" s="5"/>
      <c r="XEE55" s="5"/>
      <c r="XEF55" s="5"/>
      <c r="XEG55" s="5"/>
      <c r="XEH55" s="5"/>
      <c r="XEI55" s="5"/>
      <c r="XEJ55" s="5"/>
      <c r="XEK55" s="5"/>
      <c r="XEL55" s="5"/>
      <c r="XEM55" s="5"/>
      <c r="XEN55" s="5"/>
      <c r="XEO55" s="5"/>
      <c r="XEP55" s="5"/>
      <c r="XEQ55" s="5"/>
      <c r="XER55" s="5"/>
      <c r="XES55" s="5"/>
      <c r="XET55" s="5"/>
      <c r="XEU55" s="5"/>
      <c r="XEV55" s="5"/>
      <c r="XEW55" s="5"/>
      <c r="XEX55" s="5"/>
      <c r="XEY55" s="5"/>
      <c r="XEZ55" s="5"/>
      <c r="XFA55" s="5"/>
      <c r="XFB55" s="5"/>
    </row>
    <row r="56" s="1" customFormat="1" ht="16.5" spans="1:6 16244:16382">
      <c r="A56" s="8">
        <v>54</v>
      </c>
      <c r="B56" s="9" t="s">
        <v>220</v>
      </c>
      <c r="C56" s="8">
        <v>16</v>
      </c>
      <c r="D56" s="8">
        <v>4</v>
      </c>
      <c r="E56" s="8">
        <v>22</v>
      </c>
      <c r="F56" s="8">
        <v>88</v>
      </c>
      <c r="WZT56"/>
      <c r="WZU56"/>
      <c r="WZV56"/>
      <c r="WZW56"/>
      <c r="WZX56"/>
      <c r="WZY56"/>
      <c r="WZZ56"/>
      <c r="XAA56"/>
      <c r="XAB56"/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 s="5"/>
      <c r="XBH56" s="5"/>
      <c r="XBI56" s="5"/>
      <c r="XBJ56" s="5"/>
      <c r="XBK56" s="5"/>
      <c r="XBL56" s="5"/>
      <c r="XBM56" s="5"/>
      <c r="XBN56" s="5"/>
      <c r="XBO56" s="5"/>
      <c r="XBP56" s="5"/>
      <c r="XBQ56" s="5"/>
      <c r="XBR56" s="5"/>
      <c r="XBS56" s="5"/>
      <c r="XBT56" s="5"/>
      <c r="XBU56" s="5"/>
      <c r="XBV56" s="5"/>
      <c r="XBW56" s="5"/>
      <c r="XBX56" s="5"/>
      <c r="XBY56" s="5"/>
      <c r="XBZ56" s="5"/>
      <c r="XCA56" s="5"/>
      <c r="XCB56" s="5"/>
      <c r="XCC56" s="5"/>
      <c r="XCD56" s="5"/>
      <c r="XCE56" s="5"/>
      <c r="XCF56" s="5"/>
      <c r="XCG56" s="5"/>
      <c r="XCH56" s="5"/>
      <c r="XCI56" s="5"/>
      <c r="XCJ56" s="5"/>
      <c r="XCK56" s="5"/>
      <c r="XCL56" s="5"/>
      <c r="XCM56" s="5"/>
      <c r="XCN56" s="5"/>
      <c r="XCO56" s="5"/>
      <c r="XCP56" s="5"/>
      <c r="XCQ56" s="5"/>
      <c r="XCR56" s="5"/>
      <c r="XCS56" s="5"/>
      <c r="XCT56" s="5"/>
      <c r="XCU56" s="5"/>
      <c r="XCV56" s="5"/>
      <c r="XCW56" s="5"/>
      <c r="XCX56" s="5"/>
      <c r="XCY56" s="5"/>
      <c r="XCZ56" s="5"/>
      <c r="XDA56" s="5"/>
      <c r="XDB56" s="5"/>
      <c r="XDC56" s="5"/>
      <c r="XDD56" s="5"/>
      <c r="XDE56" s="5"/>
      <c r="XDF56" s="5"/>
      <c r="XDG56" s="5"/>
      <c r="XDH56" s="5"/>
      <c r="XDI56" s="5"/>
      <c r="XDJ56" s="5"/>
      <c r="XDK56" s="5"/>
      <c r="XDL56" s="5"/>
      <c r="XDM56" s="5"/>
      <c r="XDN56" s="5"/>
      <c r="XDO56" s="5"/>
      <c r="XDP56" s="5"/>
      <c r="XDQ56" s="5"/>
      <c r="XDR56" s="5"/>
      <c r="XDS56" s="5"/>
      <c r="XDT56" s="5"/>
      <c r="XDU56" s="5"/>
      <c r="XDV56" s="5"/>
      <c r="XDW56" s="5"/>
      <c r="XDX56" s="5"/>
      <c r="XDY56" s="5"/>
      <c r="XDZ56" s="5"/>
      <c r="XEA56" s="5"/>
      <c r="XEB56" s="5"/>
      <c r="XEC56" s="5"/>
      <c r="XED56" s="5"/>
      <c r="XEE56" s="5"/>
      <c r="XEF56" s="5"/>
      <c r="XEG56" s="5"/>
      <c r="XEH56" s="5"/>
      <c r="XEI56" s="5"/>
      <c r="XEJ56" s="5"/>
      <c r="XEK56" s="5"/>
      <c r="XEL56" s="5"/>
      <c r="XEM56" s="5"/>
      <c r="XEN56" s="5"/>
      <c r="XEO56" s="5"/>
      <c r="XEP56" s="5"/>
      <c r="XEQ56" s="5"/>
      <c r="XER56" s="5"/>
      <c r="XES56" s="5"/>
      <c r="XET56" s="5"/>
      <c r="XEU56" s="5"/>
      <c r="XEV56" s="5"/>
      <c r="XEW56" s="5"/>
      <c r="XEX56" s="5"/>
      <c r="XEY56" s="5"/>
      <c r="XEZ56" s="5"/>
      <c r="XFA56" s="5"/>
      <c r="XFB56" s="5"/>
    </row>
    <row r="57" s="1" customFormat="1" ht="16.5" spans="1:6 16244:16382">
      <c r="A57" s="8">
        <v>55</v>
      </c>
      <c r="B57" s="9" t="s">
        <v>221</v>
      </c>
      <c r="C57" s="8">
        <v>6</v>
      </c>
      <c r="D57" s="8">
        <v>3</v>
      </c>
      <c r="E57" s="8">
        <v>13.5</v>
      </c>
      <c r="F57" s="8">
        <v>40.5</v>
      </c>
      <c r="WZT57"/>
      <c r="WZU57"/>
      <c r="WZV57"/>
      <c r="WZW57"/>
      <c r="WZX57"/>
      <c r="WZY57"/>
      <c r="WZZ57"/>
      <c r="XAA57"/>
      <c r="XAB57"/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 s="5"/>
      <c r="XBH57" s="5"/>
      <c r="XBI57" s="5"/>
      <c r="XBJ57" s="5"/>
      <c r="XBK57" s="5"/>
      <c r="XBL57" s="5"/>
      <c r="XBM57" s="5"/>
      <c r="XBN57" s="5"/>
      <c r="XBO57" s="5"/>
      <c r="XBP57" s="5"/>
      <c r="XBQ57" s="5"/>
      <c r="XBR57" s="5"/>
      <c r="XBS57" s="5"/>
      <c r="XBT57" s="5"/>
      <c r="XBU57" s="5"/>
      <c r="XBV57" s="5"/>
      <c r="XBW57" s="5"/>
      <c r="XBX57" s="5"/>
      <c r="XBY57" s="5"/>
      <c r="XBZ57" s="5"/>
      <c r="XCA57" s="5"/>
      <c r="XCB57" s="5"/>
      <c r="XCC57" s="5"/>
      <c r="XCD57" s="5"/>
      <c r="XCE57" s="5"/>
      <c r="XCF57" s="5"/>
      <c r="XCG57" s="5"/>
      <c r="XCH57" s="5"/>
      <c r="XCI57" s="5"/>
      <c r="XCJ57" s="5"/>
      <c r="XCK57" s="5"/>
      <c r="XCL57" s="5"/>
      <c r="XCM57" s="5"/>
      <c r="XCN57" s="5"/>
      <c r="XCO57" s="5"/>
      <c r="XCP57" s="5"/>
      <c r="XCQ57" s="5"/>
      <c r="XCR57" s="5"/>
      <c r="XCS57" s="5"/>
      <c r="XCT57" s="5"/>
      <c r="XCU57" s="5"/>
      <c r="XCV57" s="5"/>
      <c r="XCW57" s="5"/>
      <c r="XCX57" s="5"/>
      <c r="XCY57" s="5"/>
      <c r="XCZ57" s="5"/>
      <c r="XDA57" s="5"/>
      <c r="XDB57" s="5"/>
      <c r="XDC57" s="5"/>
      <c r="XDD57" s="5"/>
      <c r="XDE57" s="5"/>
      <c r="XDF57" s="5"/>
      <c r="XDG57" s="5"/>
      <c r="XDH57" s="5"/>
      <c r="XDI57" s="5"/>
      <c r="XDJ57" s="5"/>
      <c r="XDK57" s="5"/>
      <c r="XDL57" s="5"/>
      <c r="XDM57" s="5"/>
      <c r="XDN57" s="5"/>
      <c r="XDO57" s="5"/>
      <c r="XDP57" s="5"/>
      <c r="XDQ57" s="5"/>
      <c r="XDR57" s="5"/>
      <c r="XDS57" s="5"/>
      <c r="XDT57" s="5"/>
      <c r="XDU57" s="5"/>
      <c r="XDV57" s="5"/>
      <c r="XDW57" s="5"/>
      <c r="XDX57" s="5"/>
      <c r="XDY57" s="5"/>
      <c r="XDZ57" s="5"/>
      <c r="XEA57" s="5"/>
      <c r="XEB57" s="5"/>
      <c r="XEC57" s="5"/>
      <c r="XED57" s="5"/>
      <c r="XEE57" s="5"/>
      <c r="XEF57" s="5"/>
      <c r="XEG57" s="5"/>
      <c r="XEH57" s="5"/>
      <c r="XEI57" s="5"/>
      <c r="XEJ57" s="5"/>
      <c r="XEK57" s="5"/>
      <c r="XEL57" s="5"/>
      <c r="XEM57" s="5"/>
      <c r="XEN57" s="5"/>
      <c r="XEO57" s="5"/>
      <c r="XEP57" s="5"/>
      <c r="XEQ57" s="5"/>
      <c r="XER57" s="5"/>
      <c r="XES57" s="5"/>
      <c r="XET57" s="5"/>
      <c r="XEU57" s="5"/>
      <c r="XEV57" s="5"/>
      <c r="XEW57" s="5"/>
      <c r="XEX57" s="5"/>
      <c r="XEY57" s="5"/>
      <c r="XEZ57" s="5"/>
      <c r="XFA57" s="5"/>
      <c r="XFB57" s="5"/>
    </row>
    <row r="58" s="1" customFormat="1" ht="16.5" spans="1:6 16244:16382">
      <c r="A58" s="8">
        <v>56</v>
      </c>
      <c r="B58" s="9" t="s">
        <v>222</v>
      </c>
      <c r="C58" s="8">
        <v>15</v>
      </c>
      <c r="D58" s="8">
        <v>5</v>
      </c>
      <c r="E58" s="8">
        <v>16.5</v>
      </c>
      <c r="F58" s="8">
        <v>82.5</v>
      </c>
      <c r="WZT58"/>
      <c r="WZU58"/>
      <c r="WZV58"/>
      <c r="WZW58"/>
      <c r="WZX58"/>
      <c r="WZY58"/>
      <c r="WZZ58"/>
      <c r="XAA58"/>
      <c r="XAB58"/>
      <c r="XAC58"/>
      <c r="XAD58"/>
      <c r="XAE58"/>
      <c r="XAF58"/>
      <c r="XAG58"/>
      <c r="XAH58"/>
      <c r="XAI58"/>
      <c r="XAJ58"/>
      <c r="XAK58"/>
      <c r="XAL58"/>
      <c r="XAM58"/>
      <c r="XAN58"/>
      <c r="XAO58"/>
      <c r="XAP58"/>
      <c r="XAQ58"/>
      <c r="XAR58"/>
      <c r="XAS58"/>
      <c r="XAT58"/>
      <c r="XAU58"/>
      <c r="XAV58"/>
      <c r="XAW58"/>
      <c r="XAX58"/>
      <c r="XAY58"/>
      <c r="XAZ58"/>
      <c r="XBA58"/>
      <c r="XBB58"/>
      <c r="XBC58"/>
      <c r="XBD58"/>
      <c r="XBE58"/>
      <c r="XBF58"/>
      <c r="XBG58" s="5"/>
      <c r="XBH58" s="5"/>
      <c r="XBI58" s="5"/>
      <c r="XBJ58" s="5"/>
      <c r="XBK58" s="5"/>
      <c r="XBL58" s="5"/>
      <c r="XBM58" s="5"/>
      <c r="XBN58" s="5"/>
      <c r="XBO58" s="5"/>
      <c r="XBP58" s="5"/>
      <c r="XBQ58" s="5"/>
      <c r="XBR58" s="5"/>
      <c r="XBS58" s="5"/>
      <c r="XBT58" s="5"/>
      <c r="XBU58" s="5"/>
      <c r="XBV58" s="5"/>
      <c r="XBW58" s="5"/>
      <c r="XBX58" s="5"/>
      <c r="XBY58" s="5"/>
      <c r="XBZ58" s="5"/>
      <c r="XCA58" s="5"/>
      <c r="XCB58" s="5"/>
      <c r="XCC58" s="5"/>
      <c r="XCD58" s="5"/>
      <c r="XCE58" s="5"/>
      <c r="XCF58" s="5"/>
      <c r="XCG58" s="5"/>
      <c r="XCH58" s="5"/>
      <c r="XCI58" s="5"/>
      <c r="XCJ58" s="5"/>
      <c r="XCK58" s="5"/>
      <c r="XCL58" s="5"/>
      <c r="XCM58" s="5"/>
      <c r="XCN58" s="5"/>
      <c r="XCO58" s="5"/>
      <c r="XCP58" s="5"/>
      <c r="XCQ58" s="5"/>
      <c r="XCR58" s="5"/>
      <c r="XCS58" s="5"/>
      <c r="XCT58" s="5"/>
      <c r="XCU58" s="5"/>
      <c r="XCV58" s="5"/>
      <c r="XCW58" s="5"/>
      <c r="XCX58" s="5"/>
      <c r="XCY58" s="5"/>
      <c r="XCZ58" s="5"/>
      <c r="XDA58" s="5"/>
      <c r="XDB58" s="5"/>
      <c r="XDC58" s="5"/>
      <c r="XDD58" s="5"/>
      <c r="XDE58" s="5"/>
      <c r="XDF58" s="5"/>
      <c r="XDG58" s="5"/>
      <c r="XDH58" s="5"/>
      <c r="XDI58" s="5"/>
      <c r="XDJ58" s="5"/>
      <c r="XDK58" s="5"/>
      <c r="XDL58" s="5"/>
      <c r="XDM58" s="5"/>
      <c r="XDN58" s="5"/>
      <c r="XDO58" s="5"/>
      <c r="XDP58" s="5"/>
      <c r="XDQ58" s="5"/>
      <c r="XDR58" s="5"/>
      <c r="XDS58" s="5"/>
      <c r="XDT58" s="5"/>
      <c r="XDU58" s="5"/>
      <c r="XDV58" s="5"/>
      <c r="XDW58" s="5"/>
      <c r="XDX58" s="5"/>
      <c r="XDY58" s="5"/>
      <c r="XDZ58" s="5"/>
      <c r="XEA58" s="5"/>
      <c r="XEB58" s="5"/>
      <c r="XEC58" s="5"/>
      <c r="XED58" s="5"/>
      <c r="XEE58" s="5"/>
      <c r="XEF58" s="5"/>
      <c r="XEG58" s="5"/>
      <c r="XEH58" s="5"/>
      <c r="XEI58" s="5"/>
      <c r="XEJ58" s="5"/>
      <c r="XEK58" s="5"/>
      <c r="XEL58" s="5"/>
      <c r="XEM58" s="5"/>
      <c r="XEN58" s="5"/>
      <c r="XEO58" s="5"/>
      <c r="XEP58" s="5"/>
      <c r="XEQ58" s="5"/>
      <c r="XER58" s="5"/>
      <c r="XES58" s="5"/>
      <c r="XET58" s="5"/>
      <c r="XEU58" s="5"/>
      <c r="XEV58" s="5"/>
      <c r="XEW58" s="5"/>
      <c r="XEX58" s="5"/>
      <c r="XEY58" s="5"/>
      <c r="XEZ58" s="5"/>
      <c r="XFA58" s="5"/>
      <c r="XFB58" s="5"/>
    </row>
    <row r="59" s="1" customFormat="1" ht="16.5" spans="1:6 16244:16382">
      <c r="A59" s="8">
        <v>57</v>
      </c>
      <c r="B59" s="9" t="s">
        <v>223</v>
      </c>
      <c r="C59" s="8">
        <v>10</v>
      </c>
      <c r="D59" s="8">
        <v>2</v>
      </c>
      <c r="E59" s="8">
        <v>27.5</v>
      </c>
      <c r="F59" s="8">
        <v>55</v>
      </c>
      <c r="WZT59"/>
      <c r="WZU59"/>
      <c r="WZV59"/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 s="5"/>
      <c r="XBH59" s="5"/>
      <c r="XBI59" s="5"/>
      <c r="XBJ59" s="5"/>
      <c r="XBK59" s="5"/>
      <c r="XBL59" s="5"/>
      <c r="XBM59" s="5"/>
      <c r="XBN59" s="5"/>
      <c r="XBO59" s="5"/>
      <c r="XBP59" s="5"/>
      <c r="XBQ59" s="5"/>
      <c r="XBR59" s="5"/>
      <c r="XBS59" s="5"/>
      <c r="XBT59" s="5"/>
      <c r="XBU59" s="5"/>
      <c r="XBV59" s="5"/>
      <c r="XBW59" s="5"/>
      <c r="XBX59" s="5"/>
      <c r="XBY59" s="5"/>
      <c r="XBZ59" s="5"/>
      <c r="XCA59" s="5"/>
      <c r="XCB59" s="5"/>
      <c r="XCC59" s="5"/>
      <c r="XCD59" s="5"/>
      <c r="XCE59" s="5"/>
      <c r="XCF59" s="5"/>
      <c r="XCG59" s="5"/>
      <c r="XCH59" s="5"/>
      <c r="XCI59" s="5"/>
      <c r="XCJ59" s="5"/>
      <c r="XCK59" s="5"/>
      <c r="XCL59" s="5"/>
      <c r="XCM59" s="5"/>
      <c r="XCN59" s="5"/>
      <c r="XCO59" s="5"/>
      <c r="XCP59" s="5"/>
      <c r="XCQ59" s="5"/>
      <c r="XCR59" s="5"/>
      <c r="XCS59" s="5"/>
      <c r="XCT59" s="5"/>
      <c r="XCU59" s="5"/>
      <c r="XCV59" s="5"/>
      <c r="XCW59" s="5"/>
      <c r="XCX59" s="5"/>
      <c r="XCY59" s="5"/>
      <c r="XCZ59" s="5"/>
      <c r="XDA59" s="5"/>
      <c r="XDB59" s="5"/>
      <c r="XDC59" s="5"/>
      <c r="XDD59" s="5"/>
      <c r="XDE59" s="5"/>
      <c r="XDF59" s="5"/>
      <c r="XDG59" s="5"/>
      <c r="XDH59" s="5"/>
      <c r="XDI59" s="5"/>
      <c r="XDJ59" s="5"/>
      <c r="XDK59" s="5"/>
      <c r="XDL59" s="5"/>
      <c r="XDM59" s="5"/>
      <c r="XDN59" s="5"/>
      <c r="XDO59" s="5"/>
      <c r="XDP59" s="5"/>
      <c r="XDQ59" s="5"/>
      <c r="XDR59" s="5"/>
      <c r="XDS59" s="5"/>
      <c r="XDT59" s="5"/>
      <c r="XDU59" s="5"/>
      <c r="XDV59" s="5"/>
      <c r="XDW59" s="5"/>
      <c r="XDX59" s="5"/>
      <c r="XDY59" s="5"/>
      <c r="XDZ59" s="5"/>
      <c r="XEA59" s="5"/>
      <c r="XEB59" s="5"/>
      <c r="XEC59" s="5"/>
      <c r="XED59" s="5"/>
      <c r="XEE59" s="5"/>
      <c r="XEF59" s="5"/>
      <c r="XEG59" s="5"/>
      <c r="XEH59" s="5"/>
      <c r="XEI59" s="5"/>
      <c r="XEJ59" s="5"/>
      <c r="XEK59" s="5"/>
      <c r="XEL59" s="5"/>
      <c r="XEM59" s="5"/>
      <c r="XEN59" s="5"/>
      <c r="XEO59" s="5"/>
      <c r="XEP59" s="5"/>
      <c r="XEQ59" s="5"/>
      <c r="XER59" s="5"/>
      <c r="XES59" s="5"/>
      <c r="XET59" s="5"/>
      <c r="XEU59" s="5"/>
      <c r="XEV59" s="5"/>
      <c r="XEW59" s="5"/>
      <c r="XEX59" s="5"/>
      <c r="XEY59" s="5"/>
      <c r="XEZ59" s="5"/>
      <c r="XFA59" s="5"/>
      <c r="XFB59" s="5"/>
    </row>
    <row r="60" s="1" customFormat="1" ht="16.5" spans="1:6 16244:16382">
      <c r="A60" s="8">
        <v>58</v>
      </c>
      <c r="B60" s="9" t="s">
        <v>224</v>
      </c>
      <c r="C60" s="8">
        <v>21</v>
      </c>
      <c r="D60" s="8">
        <v>7</v>
      </c>
      <c r="E60" s="8">
        <v>16.5</v>
      </c>
      <c r="F60" s="8">
        <v>115.5</v>
      </c>
      <c r="WZT60"/>
      <c r="WZU60"/>
      <c r="WZV60"/>
      <c r="WZW60"/>
      <c r="WZX60"/>
      <c r="WZY60"/>
      <c r="WZZ60"/>
      <c r="XAA60"/>
      <c r="XAB60"/>
      <c r="XAC60"/>
      <c r="XAD60"/>
      <c r="XAE60"/>
      <c r="XAF60"/>
      <c r="XAG60"/>
      <c r="XAH60"/>
      <c r="XAI60"/>
      <c r="XAJ60"/>
      <c r="XAK60"/>
      <c r="XAL60"/>
      <c r="XAM60"/>
      <c r="XAN60"/>
      <c r="XAO60"/>
      <c r="XAP60"/>
      <c r="XAQ60"/>
      <c r="XAR60"/>
      <c r="XAS60"/>
      <c r="XAT60"/>
      <c r="XAU60"/>
      <c r="XAV60"/>
      <c r="XAW60"/>
      <c r="XAX60"/>
      <c r="XAY60"/>
      <c r="XAZ60"/>
      <c r="XBA60"/>
      <c r="XBB60"/>
      <c r="XBC60"/>
      <c r="XBD60"/>
      <c r="XBE60"/>
      <c r="XBF60"/>
      <c r="XBG60" s="5"/>
      <c r="XBH60" s="5"/>
      <c r="XBI60" s="5"/>
      <c r="XBJ60" s="5"/>
      <c r="XBK60" s="5"/>
      <c r="XBL60" s="5"/>
      <c r="XBM60" s="5"/>
      <c r="XBN60" s="5"/>
      <c r="XBO60" s="5"/>
      <c r="XBP60" s="5"/>
      <c r="XBQ60" s="5"/>
      <c r="XBR60" s="5"/>
      <c r="XBS60" s="5"/>
      <c r="XBT60" s="5"/>
      <c r="XBU60" s="5"/>
      <c r="XBV60" s="5"/>
      <c r="XBW60" s="5"/>
      <c r="XBX60" s="5"/>
      <c r="XBY60" s="5"/>
      <c r="XBZ60" s="5"/>
      <c r="XCA60" s="5"/>
      <c r="XCB60" s="5"/>
      <c r="XCC60" s="5"/>
      <c r="XCD60" s="5"/>
      <c r="XCE60" s="5"/>
      <c r="XCF60" s="5"/>
      <c r="XCG60" s="5"/>
      <c r="XCH60" s="5"/>
      <c r="XCI60" s="5"/>
      <c r="XCJ60" s="5"/>
      <c r="XCK60" s="5"/>
      <c r="XCL60" s="5"/>
      <c r="XCM60" s="5"/>
      <c r="XCN60" s="5"/>
      <c r="XCO60" s="5"/>
      <c r="XCP60" s="5"/>
      <c r="XCQ60" s="5"/>
      <c r="XCR60" s="5"/>
      <c r="XCS60" s="5"/>
      <c r="XCT60" s="5"/>
      <c r="XCU60" s="5"/>
      <c r="XCV60" s="5"/>
      <c r="XCW60" s="5"/>
      <c r="XCX60" s="5"/>
      <c r="XCY60" s="5"/>
      <c r="XCZ60" s="5"/>
      <c r="XDA60" s="5"/>
      <c r="XDB60" s="5"/>
      <c r="XDC60" s="5"/>
      <c r="XDD60" s="5"/>
      <c r="XDE60" s="5"/>
      <c r="XDF60" s="5"/>
      <c r="XDG60" s="5"/>
      <c r="XDH60" s="5"/>
      <c r="XDI60" s="5"/>
      <c r="XDJ60" s="5"/>
      <c r="XDK60" s="5"/>
      <c r="XDL60" s="5"/>
      <c r="XDM60" s="5"/>
      <c r="XDN60" s="5"/>
      <c r="XDO60" s="5"/>
      <c r="XDP60" s="5"/>
      <c r="XDQ60" s="5"/>
      <c r="XDR60" s="5"/>
      <c r="XDS60" s="5"/>
      <c r="XDT60" s="5"/>
      <c r="XDU60" s="5"/>
      <c r="XDV60" s="5"/>
      <c r="XDW60" s="5"/>
      <c r="XDX60" s="5"/>
      <c r="XDY60" s="5"/>
      <c r="XDZ60" s="5"/>
      <c r="XEA60" s="5"/>
      <c r="XEB60" s="5"/>
      <c r="XEC60" s="5"/>
      <c r="XED60" s="5"/>
      <c r="XEE60" s="5"/>
      <c r="XEF60" s="5"/>
      <c r="XEG60" s="5"/>
      <c r="XEH60" s="5"/>
      <c r="XEI60" s="5"/>
      <c r="XEJ60" s="5"/>
      <c r="XEK60" s="5"/>
      <c r="XEL60" s="5"/>
      <c r="XEM60" s="5"/>
      <c r="XEN60" s="5"/>
      <c r="XEO60" s="5"/>
      <c r="XEP60" s="5"/>
      <c r="XEQ60" s="5"/>
      <c r="XER60" s="5"/>
      <c r="XES60" s="5"/>
      <c r="XET60" s="5"/>
      <c r="XEU60" s="5"/>
      <c r="XEV60" s="5"/>
      <c r="XEW60" s="5"/>
      <c r="XEX60" s="5"/>
      <c r="XEY60" s="5"/>
      <c r="XEZ60" s="5"/>
      <c r="XFA60" s="5"/>
      <c r="XFB60" s="5"/>
    </row>
    <row r="61" s="1" customFormat="1" ht="16.5" spans="1:6 16244:16382">
      <c r="A61" s="8">
        <v>59</v>
      </c>
      <c r="B61" s="9" t="s">
        <v>159</v>
      </c>
      <c r="C61" s="8">
        <v>15</v>
      </c>
      <c r="D61" s="8">
        <v>5</v>
      </c>
      <c r="E61" s="8">
        <v>16.5</v>
      </c>
      <c r="F61" s="8">
        <v>82.5</v>
      </c>
      <c r="WZT61"/>
      <c r="WZU61"/>
      <c r="WZV61"/>
      <c r="WZW61"/>
      <c r="WZX61"/>
      <c r="WZY61"/>
      <c r="WZZ61"/>
      <c r="XAA61"/>
      <c r="XAB61"/>
      <c r="XAC61"/>
      <c r="XAD61"/>
      <c r="XAE61"/>
      <c r="XAF61"/>
      <c r="XAG61"/>
      <c r="XAH61"/>
      <c r="XAI61"/>
      <c r="XAJ61"/>
      <c r="XAK61"/>
      <c r="XAL61"/>
      <c r="XAM61"/>
      <c r="XAN61"/>
      <c r="XAO61"/>
      <c r="XAP61"/>
      <c r="XAQ61"/>
      <c r="XAR61"/>
      <c r="XAS61"/>
      <c r="XAT61"/>
      <c r="XAU61"/>
      <c r="XAV61"/>
      <c r="XAW61"/>
      <c r="XAX61"/>
      <c r="XAY61"/>
      <c r="XAZ61"/>
      <c r="XBA61"/>
      <c r="XBB61"/>
      <c r="XBC61"/>
      <c r="XBD61"/>
      <c r="XBE61"/>
      <c r="XBF61"/>
      <c r="XBG61" s="5"/>
      <c r="XBH61" s="5"/>
      <c r="XBI61" s="5"/>
      <c r="XBJ61" s="5"/>
      <c r="XBK61" s="5"/>
      <c r="XBL61" s="5"/>
      <c r="XBM61" s="5"/>
      <c r="XBN61" s="5"/>
      <c r="XBO61" s="5"/>
      <c r="XBP61" s="5"/>
      <c r="XBQ61" s="5"/>
      <c r="XBR61" s="5"/>
      <c r="XBS61" s="5"/>
      <c r="XBT61" s="5"/>
      <c r="XBU61" s="5"/>
      <c r="XBV61" s="5"/>
      <c r="XBW61" s="5"/>
      <c r="XBX61" s="5"/>
      <c r="XBY61" s="5"/>
      <c r="XBZ61" s="5"/>
      <c r="XCA61" s="5"/>
      <c r="XCB61" s="5"/>
      <c r="XCC61" s="5"/>
      <c r="XCD61" s="5"/>
      <c r="XCE61" s="5"/>
      <c r="XCF61" s="5"/>
      <c r="XCG61" s="5"/>
      <c r="XCH61" s="5"/>
      <c r="XCI61" s="5"/>
      <c r="XCJ61" s="5"/>
      <c r="XCK61" s="5"/>
      <c r="XCL61" s="5"/>
      <c r="XCM61" s="5"/>
      <c r="XCN61" s="5"/>
      <c r="XCO61" s="5"/>
      <c r="XCP61" s="5"/>
      <c r="XCQ61" s="5"/>
      <c r="XCR61" s="5"/>
      <c r="XCS61" s="5"/>
      <c r="XCT61" s="5"/>
      <c r="XCU61" s="5"/>
      <c r="XCV61" s="5"/>
      <c r="XCW61" s="5"/>
      <c r="XCX61" s="5"/>
      <c r="XCY61" s="5"/>
      <c r="XCZ61" s="5"/>
      <c r="XDA61" s="5"/>
      <c r="XDB61" s="5"/>
      <c r="XDC61" s="5"/>
      <c r="XDD61" s="5"/>
      <c r="XDE61" s="5"/>
      <c r="XDF61" s="5"/>
      <c r="XDG61" s="5"/>
      <c r="XDH61" s="5"/>
      <c r="XDI61" s="5"/>
      <c r="XDJ61" s="5"/>
      <c r="XDK61" s="5"/>
      <c r="XDL61" s="5"/>
      <c r="XDM61" s="5"/>
      <c r="XDN61" s="5"/>
      <c r="XDO61" s="5"/>
      <c r="XDP61" s="5"/>
      <c r="XDQ61" s="5"/>
      <c r="XDR61" s="5"/>
      <c r="XDS61" s="5"/>
      <c r="XDT61" s="5"/>
      <c r="XDU61" s="5"/>
      <c r="XDV61" s="5"/>
      <c r="XDW61" s="5"/>
      <c r="XDX61" s="5"/>
      <c r="XDY61" s="5"/>
      <c r="XDZ61" s="5"/>
      <c r="XEA61" s="5"/>
      <c r="XEB61" s="5"/>
      <c r="XEC61" s="5"/>
      <c r="XED61" s="5"/>
      <c r="XEE61" s="5"/>
      <c r="XEF61" s="5"/>
      <c r="XEG61" s="5"/>
      <c r="XEH61" s="5"/>
      <c r="XEI61" s="5"/>
      <c r="XEJ61" s="5"/>
      <c r="XEK61" s="5"/>
      <c r="XEL61" s="5"/>
      <c r="XEM61" s="5"/>
      <c r="XEN61" s="5"/>
      <c r="XEO61" s="5"/>
      <c r="XEP61" s="5"/>
      <c r="XEQ61" s="5"/>
      <c r="XER61" s="5"/>
      <c r="XES61" s="5"/>
      <c r="XET61" s="5"/>
      <c r="XEU61" s="5"/>
      <c r="XEV61" s="5"/>
      <c r="XEW61" s="5"/>
      <c r="XEX61" s="5"/>
      <c r="XEY61" s="5"/>
      <c r="XEZ61" s="5"/>
      <c r="XFA61" s="5"/>
      <c r="XFB61" s="5"/>
    </row>
    <row r="62" s="1" customFormat="1" ht="16.5" spans="1:6 16244:16382">
      <c r="A62" s="8">
        <v>60</v>
      </c>
      <c r="B62" s="9" t="s">
        <v>225</v>
      </c>
      <c r="C62" s="8">
        <v>1</v>
      </c>
      <c r="D62" s="8">
        <v>1</v>
      </c>
      <c r="E62" s="8">
        <v>13</v>
      </c>
      <c r="F62" s="8">
        <v>13</v>
      </c>
      <c r="WZT62"/>
      <c r="WZU62"/>
      <c r="WZV62"/>
      <c r="WZW62"/>
      <c r="WZX62"/>
      <c r="WZY62"/>
      <c r="WZZ62"/>
      <c r="XAA62"/>
      <c r="XAB62"/>
      <c r="XAC62"/>
      <c r="XAD62"/>
      <c r="XAE62"/>
      <c r="XAF62"/>
      <c r="XAG62"/>
      <c r="XAH62"/>
      <c r="XAI62"/>
      <c r="XAJ62"/>
      <c r="XAK62"/>
      <c r="XAL62"/>
      <c r="XAM62"/>
      <c r="XAN62"/>
      <c r="XAO62"/>
      <c r="XAP62"/>
      <c r="XAQ62"/>
      <c r="XAR62"/>
      <c r="XAS62"/>
      <c r="XAT62"/>
      <c r="XAU62"/>
      <c r="XAV62"/>
      <c r="XAW62"/>
      <c r="XAX62"/>
      <c r="XAY62"/>
      <c r="XAZ62"/>
      <c r="XBA62"/>
      <c r="XBB62"/>
      <c r="XBC62"/>
      <c r="XBD62"/>
      <c r="XBE62"/>
      <c r="XBF62"/>
      <c r="XBG62" s="5"/>
      <c r="XBH62" s="5"/>
      <c r="XBI62" s="5"/>
      <c r="XBJ62" s="5"/>
      <c r="XBK62" s="5"/>
      <c r="XBL62" s="5"/>
      <c r="XBM62" s="5"/>
      <c r="XBN62" s="5"/>
      <c r="XBO62" s="5"/>
      <c r="XBP62" s="5"/>
      <c r="XBQ62" s="5"/>
      <c r="XBR62" s="5"/>
      <c r="XBS62" s="5"/>
      <c r="XBT62" s="5"/>
      <c r="XBU62" s="5"/>
      <c r="XBV62" s="5"/>
      <c r="XBW62" s="5"/>
      <c r="XBX62" s="5"/>
      <c r="XBY62" s="5"/>
      <c r="XBZ62" s="5"/>
      <c r="XCA62" s="5"/>
      <c r="XCB62" s="5"/>
      <c r="XCC62" s="5"/>
      <c r="XCD62" s="5"/>
      <c r="XCE62" s="5"/>
      <c r="XCF62" s="5"/>
      <c r="XCG62" s="5"/>
      <c r="XCH62" s="5"/>
      <c r="XCI62" s="5"/>
      <c r="XCJ62" s="5"/>
      <c r="XCK62" s="5"/>
      <c r="XCL62" s="5"/>
      <c r="XCM62" s="5"/>
      <c r="XCN62" s="5"/>
      <c r="XCO62" s="5"/>
      <c r="XCP62" s="5"/>
      <c r="XCQ62" s="5"/>
      <c r="XCR62" s="5"/>
      <c r="XCS62" s="5"/>
      <c r="XCT62" s="5"/>
      <c r="XCU62" s="5"/>
      <c r="XCV62" s="5"/>
      <c r="XCW62" s="5"/>
      <c r="XCX62" s="5"/>
      <c r="XCY62" s="5"/>
      <c r="XCZ62" s="5"/>
      <c r="XDA62" s="5"/>
      <c r="XDB62" s="5"/>
      <c r="XDC62" s="5"/>
      <c r="XDD62" s="5"/>
      <c r="XDE62" s="5"/>
      <c r="XDF62" s="5"/>
      <c r="XDG62" s="5"/>
      <c r="XDH62" s="5"/>
      <c r="XDI62" s="5"/>
      <c r="XDJ62" s="5"/>
      <c r="XDK62" s="5"/>
      <c r="XDL62" s="5"/>
      <c r="XDM62" s="5"/>
      <c r="XDN62" s="5"/>
      <c r="XDO62" s="5"/>
      <c r="XDP62" s="5"/>
      <c r="XDQ62" s="5"/>
      <c r="XDR62" s="5"/>
      <c r="XDS62" s="5"/>
      <c r="XDT62" s="5"/>
      <c r="XDU62" s="5"/>
      <c r="XDV62" s="5"/>
      <c r="XDW62" s="5"/>
      <c r="XDX62" s="5"/>
      <c r="XDY62" s="5"/>
      <c r="XDZ62" s="5"/>
      <c r="XEA62" s="5"/>
      <c r="XEB62" s="5"/>
      <c r="XEC62" s="5"/>
      <c r="XED62" s="5"/>
      <c r="XEE62" s="5"/>
      <c r="XEF62" s="5"/>
      <c r="XEG62" s="5"/>
      <c r="XEH62" s="5"/>
      <c r="XEI62" s="5"/>
      <c r="XEJ62" s="5"/>
      <c r="XEK62" s="5"/>
      <c r="XEL62" s="5"/>
      <c r="XEM62" s="5"/>
      <c r="XEN62" s="5"/>
      <c r="XEO62" s="5"/>
      <c r="XEP62" s="5"/>
      <c r="XEQ62" s="5"/>
      <c r="XER62" s="5"/>
      <c r="XES62" s="5"/>
      <c r="XET62" s="5"/>
      <c r="XEU62" s="5"/>
      <c r="XEV62" s="5"/>
      <c r="XEW62" s="5"/>
      <c r="XEX62" s="5"/>
      <c r="XEY62" s="5"/>
      <c r="XEZ62" s="5"/>
      <c r="XFA62" s="5"/>
      <c r="XFB62" s="5"/>
    </row>
    <row r="63" ht="16.5" spans="1:6 16244:16382">
      <c r="A63" s="8">
        <v>61</v>
      </c>
      <c r="B63" s="9" t="s">
        <v>226</v>
      </c>
      <c r="C63" s="8">
        <v>138</v>
      </c>
      <c r="D63" s="8">
        <v>138</v>
      </c>
      <c r="E63" s="8">
        <v>13</v>
      </c>
      <c r="F63" s="8">
        <v>1794</v>
      </c>
    </row>
    <row r="64" ht="16.5" spans="1:6 16244:16382">
      <c r="A64" s="8">
        <v>62</v>
      </c>
      <c r="B64" s="9" t="s">
        <v>227</v>
      </c>
      <c r="C64" s="8">
        <v>91</v>
      </c>
      <c r="D64" s="8">
        <v>91</v>
      </c>
      <c r="E64" s="8">
        <v>16.5</v>
      </c>
      <c r="F64" s="8">
        <v>1501.5</v>
      </c>
    </row>
    <row r="65" ht="16.5" spans="1:6">
      <c r="A65" s="8">
        <v>63</v>
      </c>
      <c r="B65" s="9" t="s">
        <v>228</v>
      </c>
      <c r="C65" s="8">
        <v>70</v>
      </c>
      <c r="D65" s="8">
        <v>35</v>
      </c>
      <c r="E65" s="8">
        <v>16.5</v>
      </c>
      <c r="F65" s="8">
        <v>577.5</v>
      </c>
    </row>
    <row r="66" ht="16.5" spans="1:6">
      <c r="A66" s="8">
        <v>64</v>
      </c>
      <c r="B66" s="9" t="s">
        <v>229</v>
      </c>
      <c r="C66" s="8">
        <v>6</v>
      </c>
      <c r="D66" s="8">
        <v>2</v>
      </c>
      <c r="E66" s="8">
        <v>16.5</v>
      </c>
      <c r="F66" s="8">
        <v>33</v>
      </c>
    </row>
    <row r="67" ht="16.5" spans="1:6">
      <c r="A67" s="8">
        <v>65</v>
      </c>
      <c r="B67" s="9" t="s">
        <v>230</v>
      </c>
      <c r="C67" s="8">
        <v>6</v>
      </c>
      <c r="D67" s="8">
        <v>3</v>
      </c>
      <c r="E67" s="8">
        <v>16.5</v>
      </c>
      <c r="F67" s="8">
        <v>49.5</v>
      </c>
    </row>
    <row r="68" ht="16.5" spans="1:6">
      <c r="A68" s="8">
        <v>66</v>
      </c>
      <c r="B68" s="9" t="s">
        <v>231</v>
      </c>
      <c r="C68" s="8">
        <v>16</v>
      </c>
      <c r="D68" s="8">
        <v>4</v>
      </c>
      <c r="E68" s="8">
        <v>22</v>
      </c>
      <c r="F68" s="8">
        <v>88</v>
      </c>
    </row>
    <row r="69" ht="16.5" spans="1:6">
      <c r="A69" s="8">
        <v>67</v>
      </c>
      <c r="B69" s="9" t="s">
        <v>232</v>
      </c>
      <c r="C69" s="8">
        <v>2</v>
      </c>
      <c r="D69" s="8">
        <v>1</v>
      </c>
      <c r="E69" s="8">
        <v>13.5</v>
      </c>
      <c r="F69" s="8">
        <v>13.5</v>
      </c>
    </row>
    <row r="70" ht="16.5" spans="1:6">
      <c r="A70" s="8">
        <v>68</v>
      </c>
      <c r="B70" s="9" t="s">
        <v>233</v>
      </c>
      <c r="C70" s="8">
        <v>32</v>
      </c>
      <c r="D70" s="8">
        <v>1</v>
      </c>
      <c r="E70" s="8">
        <v>176</v>
      </c>
      <c r="F70" s="8">
        <v>176</v>
      </c>
    </row>
    <row r="71" ht="16.5" spans="1:6">
      <c r="A71" s="8">
        <v>69</v>
      </c>
      <c r="B71" s="9" t="s">
        <v>234</v>
      </c>
      <c r="C71" s="8">
        <v>40</v>
      </c>
      <c r="D71" s="8">
        <v>40</v>
      </c>
      <c r="E71" s="8">
        <v>8</v>
      </c>
      <c r="F71" s="8">
        <v>320</v>
      </c>
    </row>
    <row r="72" ht="16.5" spans="1:6">
      <c r="A72" s="8">
        <v>70</v>
      </c>
      <c r="B72" s="9" t="s">
        <v>235</v>
      </c>
      <c r="C72" s="8">
        <v>120</v>
      </c>
      <c r="D72" s="8">
        <v>30</v>
      </c>
      <c r="E72" s="8">
        <v>22</v>
      </c>
      <c r="F72" s="8">
        <v>660</v>
      </c>
    </row>
    <row r="73" ht="16.5" spans="1:6">
      <c r="A73" s="8">
        <v>71</v>
      </c>
      <c r="B73" s="9" t="s">
        <v>236</v>
      </c>
      <c r="C73" s="8">
        <v>28</v>
      </c>
      <c r="D73" s="8">
        <v>14</v>
      </c>
      <c r="E73" s="8">
        <v>16.5</v>
      </c>
      <c r="F73" s="8">
        <v>231</v>
      </c>
    </row>
    <row r="74" ht="16.5" spans="1:6">
      <c r="A74" s="8">
        <v>72</v>
      </c>
      <c r="B74" s="9" t="s">
        <v>167</v>
      </c>
      <c r="C74" s="8">
        <v>10</v>
      </c>
      <c r="D74" s="8">
        <v>5</v>
      </c>
      <c r="E74" s="8">
        <v>16.5</v>
      </c>
      <c r="F74" s="8">
        <v>82.5</v>
      </c>
    </row>
    <row r="75" ht="16.5" spans="1:6">
      <c r="A75" s="8">
        <v>73</v>
      </c>
      <c r="B75" s="9" t="s">
        <v>237</v>
      </c>
      <c r="C75" s="8">
        <v>15</v>
      </c>
      <c r="D75" s="8">
        <v>15</v>
      </c>
      <c r="E75" s="8">
        <v>8</v>
      </c>
      <c r="F75" s="8">
        <v>120</v>
      </c>
    </row>
    <row r="76" ht="16.5" spans="1:6">
      <c r="A76" s="13" t="s">
        <v>175</v>
      </c>
      <c r="B76" s="14"/>
      <c r="C76" s="14"/>
      <c r="D76" s="14"/>
      <c r="E76" s="15"/>
      <c r="F76" s="8">
        <f>SUM(F3:F75)</f>
        <v>87223</v>
      </c>
    </row>
  </sheetData>
  <autoFilter xmlns:etc="http://www.wps.cn/officeDocument/2017/etCustomData" ref="A2:XFB76" etc:filterBottomFollowUsedRange="0">
    <extLst/>
  </autoFilter>
  <mergeCells count="2">
    <mergeCell ref="A1:F1"/>
    <mergeCell ref="A76:E76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手术一区</vt:lpstr>
      <vt:lpstr>手术二区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2024-05-24T05:02:00Z</dcterms:created>
  <dcterms:modified xsi:type="dcterms:W3CDTF">2026-06-29T02:59:31Z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F1744860E2094B0789663F3592E93797_13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