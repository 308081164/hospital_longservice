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960" windowHeight="11370" firstSheet="5"/>
  </bookViews>
  <sheets>
    <sheet name="Sheet2" sheetId="6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<sst xmlns="http://schemas.openxmlformats.org/spreadsheetml/2006/main" count="61" uniqueCount="61">
  <si>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哈尔滨市第五医院2026年1月9日-2026年2月8日科室灭菌价格汇总</t>
  </si>
  <si>
    <t>科室</t>
  </si>
  <si>
    <t>基础器械</t>
  </si>
  <si>
    <t>低温器械</t>
  </si>
  <si>
    <t>外来器械</t>
  </si>
  <si>
    <t>物流费用</t>
  </si>
  <si>
    <t>价格</t>
  </si>
  <si>
    <t>确认签字</t>
  </si>
  <si>
    <t>总灭菌费</t>
  </si>
  <si>
    <t>各科室占比</t>
  </si>
  <si>
    <t>总物流费</t>
  </si>
  <si>
    <t>合计费用</t>
  </si>
  <si>
    <t>（一）手术室</t>
  </si>
  <si>
    <t>（二）手术室</t>
  </si>
  <si>
    <t>骨一(一病区)</t>
  </si>
  <si>
    <t>骨一(二病区)</t>
  </si>
  <si>
    <t>骨二</t>
  </si>
  <si>
    <t>骨三</t>
  </si>
  <si>
    <t>骨四</t>
  </si>
  <si>
    <t>骨四（二）</t>
  </si>
  <si>
    <t>骨五</t>
  </si>
  <si>
    <t>骨六</t>
  </si>
  <si>
    <t>骨七</t>
  </si>
  <si>
    <t>骨八</t>
  </si>
  <si>
    <t>骨九</t>
  </si>
  <si>
    <t>骨十</t>
  </si>
  <si>
    <t>骨十一</t>
  </si>
  <si>
    <t>胸外科</t>
  </si>
  <si>
    <t>创伤外科</t>
  </si>
  <si>
    <t>普外二</t>
  </si>
  <si>
    <t>普外三</t>
  </si>
  <si>
    <t>神外病区</t>
  </si>
  <si>
    <t>偏瘫科</t>
  </si>
  <si>
    <t>烧伤一科</t>
  </si>
  <si>
    <t>烧伤二科</t>
  </si>
  <si>
    <t>烧伤三科</t>
  </si>
  <si>
    <t>慢创</t>
  </si>
  <si>
    <t>ICU</t>
  </si>
  <si>
    <t>妇产科</t>
  </si>
  <si>
    <t>产科分娩室</t>
  </si>
  <si>
    <t>呼吸</t>
  </si>
  <si>
    <t>肾内科</t>
  </si>
  <si>
    <t>急诊科</t>
  </si>
  <si>
    <t>耳鼻喉手术室</t>
  </si>
  <si>
    <t>耳鼻喉门诊</t>
  </si>
  <si>
    <t>眼科门诊</t>
  </si>
  <si>
    <t>口内</t>
  </si>
  <si>
    <t>口外</t>
  </si>
  <si>
    <t>妇科门诊</t>
  </si>
  <si>
    <t>美容科</t>
  </si>
  <si>
    <t>门诊换药室</t>
  </si>
  <si>
    <t>疼痛门诊</t>
  </si>
  <si>
    <t>腔镜室</t>
  </si>
  <si>
    <t>肛肠门诊</t>
  </si>
  <si>
    <t>冲击波门诊</t>
  </si>
  <si>
    <t>内分泌</t>
  </si>
  <si>
    <t>全科</t>
  </si>
  <si>
    <t>二门诊口腔科</t>
  </si>
  <si>
    <t>二门诊美容科</t>
  </si>
  <si>
    <t>二门诊手术室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</si>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</sst>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000000000_ "/>
    <numFmt numFmtId="179" formatCode="[$-10804]0.00;\(0.00\)"/>
    <numFmt numFmtId="180" formatCode="0.00_);\(0.00\)"/>
  </numFmts>
  <fonts count="30">
    <font>
      <sz val="1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b/>
      <sz val="14"/>
      <color rgb="FF000000"/>
      <name val="微软雅黑"/>
      <charset val="134"/>
    </font>
    <font>
      <sz val="11"/>
      <name val="微软雅黑"/>
      <charset val="134"/>
    </font>
    <font>
      <b/>
      <sz val="14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32">
    <xf numFmtId="0" fontId="0" fillId="0" borderId="0" xfId="0" applyFont="1" applyFill="1" applyBorder="1" applyAlignment="1"/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178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left" vertical="center" wrapText="1" readingOrder="1"/>
    </xf>
    <xf numFmtId="0" fontId="6" fillId="0" borderId="1" xfId="0" applyNumberFormat="1" applyFont="1" applyFill="1" applyBorder="1" applyAlignment="1">
      <alignment horizontal="left" vertical="center" wrapText="1" readingOrder="1"/>
    </xf>
    <xf numFmtId="0" fontId="2" fillId="0" borderId="1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 wrapText="1" readingOrder="1"/>
    </xf>
    <xf numFmtId="180" fontId="2" fillId="0" borderId="1" xfId="0" applyNumberFormat="1" applyFont="1" applyFill="1" applyBorder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 wrapText="1" readingOrder="1"/>
    </xf>
    <xf numFmtId="176" fontId="8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abSelected="1" view="pageBreakPreview" zoomScaleNormal="100" workbookViewId="0">
      <pane xSplit="7" ySplit="3" topLeftCell="H42" activePane="bottomRight" state="frozen"/>
      <selection/>
      <selection pane="topRight"/>
      <selection pane="bottomLeft"/>
      <selection pane="bottomRight" activeCell="J56" sqref="J56"/>
    </sheetView>
  </sheetViews>
  <sheetFormatPr defaultColWidth="9" defaultRowHeight="16.5"/>
  <cols>
    <col min="1" max="1" width="11" style="1" hidden="1" customWidth="1"/>
    <col min="2" max="2" width="17.5" style="4" hidden="1" customWidth="1"/>
    <col min="3" max="3" width="21.5" style="1" hidden="1" customWidth="1"/>
    <col min="4" max="4" width="17.7545454545455" style="1" hidden="1" customWidth="1"/>
    <col min="5" max="5" width="9.63636363636364" style="1" hidden="1" customWidth="1"/>
    <col min="6" max="6" width="10" style="1" hidden="1" customWidth="1"/>
    <col min="7" max="7" width="9.68181818181818" style="1" hidden="1" customWidth="1"/>
    <col min="8" max="8" width="22.2545454545455" style="5" customWidth="1"/>
    <col min="9" max="9" width="13.6272727272727" style="6" customWidth="1"/>
    <col min="10" max="11" width="12.8727272727273" style="7" customWidth="1"/>
    <col min="12" max="12" width="11.2545454545455" style="8" customWidth="1"/>
    <col min="13" max="13" width="14.5" style="9" customWidth="1"/>
    <col min="14" max="14" width="11.2545454545455" style="10" customWidth="1"/>
    <col min="15" max="16231" width="11" style="1"/>
    <col min="16232" max="16384" width="9" style="1"/>
  </cols>
  <sheetData>
    <row r="1" s="1" customFormat="1" ht="22" customHeight="1" spans="2:14">
      <c r="B1" s="4"/>
      <c r="H1" s="11" t="s">
        <v>0</v>
      </c>
      <c r="I1" s="20"/>
      <c r="J1" s="21"/>
      <c r="K1" s="21"/>
      <c r="L1" s="22"/>
      <c r="M1" s="23"/>
      <c r="N1" s="11"/>
    </row>
    <row r="2" s="2" customFormat="1" ht="22" customHeight="1" spans="1:14">
      <c r="A2" s="12"/>
      <c r="B2" s="12"/>
      <c r="C2" s="12"/>
      <c r="D2" s="12"/>
      <c r="H2" s="13" t="s">
        <v>1</v>
      </c>
      <c r="I2" s="24" t="s">
        <v>2</v>
      </c>
      <c r="J2" s="25" t="s">
        <v>3</v>
      </c>
      <c r="K2" s="26" t="s">
        <v>4</v>
      </c>
      <c r="L2" s="27" t="s">
        <v>5</v>
      </c>
      <c r="M2" s="26" t="s">
        <v>6</v>
      </c>
      <c r="N2" s="13" t="s">
        <v>7</v>
      </c>
    </row>
    <row r="3" s="2" customFormat="1" ht="22" customHeight="1" spans="1:14">
      <c r="A3" s="12"/>
      <c r="B3" s="12" t="s">
        <v>8</v>
      </c>
      <c r="C3" s="12" t="s">
        <v>9</v>
      </c>
      <c r="D3" s="12" t="s">
        <v>10</v>
      </c>
      <c r="H3" s="13"/>
      <c r="I3" s="24"/>
      <c r="J3" s="25"/>
      <c r="K3" s="26"/>
      <c r="L3" s="27"/>
      <c r="M3" s="26" t="s">
        <v>11</v>
      </c>
      <c r="N3" s="13"/>
    </row>
    <row r="4" s="3" customFormat="1" ht="22" customHeight="1" spans="1:14">
      <c r="A4" s="14"/>
      <c r="B4" s="15">
        <v>653353</v>
      </c>
      <c r="C4" s="16">
        <f>(I4+J4+K4)/B4</f>
        <v>0.3692215387</v>
      </c>
      <c r="D4" s="14">
        <v>900</v>
      </c>
      <c r="E4" s="3">
        <f>C4*D4</f>
        <v>332.29938483</v>
      </c>
      <c r="H4" s="17" t="s">
        <v>12</v>
      </c>
      <c r="I4" s="28">
        <f>240878.5-J4</f>
        <v>239995.5</v>
      </c>
      <c r="J4" s="25">
        <v>883</v>
      </c>
      <c r="K4" s="25">
        <v>353.5</v>
      </c>
      <c r="L4" s="27">
        <v>332.3</v>
      </c>
      <c r="M4" s="29">
        <f>I4+J4+K4+L4</f>
        <v>241564.3</v>
      </c>
      <c r="N4" s="13"/>
    </row>
    <row r="5" s="3" customFormat="1" ht="22" customHeight="1" spans="1:14">
      <c r="A5" s="14"/>
      <c r="B5" s="15">
        <v>653353</v>
      </c>
      <c r="C5" s="16">
        <f t="shared" ref="C5:C51" si="0">(I5+J5+K5)/B5</f>
        <v>0.0995564419</v>
      </c>
      <c r="D5" s="14">
        <v>900</v>
      </c>
      <c r="E5" s="3">
        <f t="shared" ref="E5:E51" si="1">C5*D5</f>
        <v>89.60079771</v>
      </c>
      <c r="H5" s="17" t="s">
        <v>13</v>
      </c>
      <c r="I5" s="28">
        <v>64934.5</v>
      </c>
      <c r="J5" s="25"/>
      <c r="K5" s="25">
        <v>111</v>
      </c>
      <c r="L5" s="27">
        <v>89.6</v>
      </c>
      <c r="M5" s="29">
        <f t="shared" ref="M5:M52" si="2">I5+J5+K5+L5</f>
        <v>65135.1</v>
      </c>
      <c r="N5" s="13"/>
    </row>
    <row r="6" s="3" customFormat="1" ht="22" customHeight="1" spans="1:14">
      <c r="A6" s="14"/>
      <c r="B6" s="15">
        <v>653353</v>
      </c>
      <c r="C6" s="16">
        <f t="shared" si="0"/>
        <v>0.027247139</v>
      </c>
      <c r="D6" s="14">
        <v>900</v>
      </c>
      <c r="E6" s="3">
        <f t="shared" si="1"/>
        <v>24.5224251</v>
      </c>
      <c r="H6" s="17" t="s">
        <v>14</v>
      </c>
      <c r="I6" s="28">
        <f>88+396</f>
        <v>484</v>
      </c>
      <c r="J6" s="25">
        <v>236</v>
      </c>
      <c r="K6" s="25">
        <f>1309+583+378+2560.5+12251.5</f>
        <v>17082</v>
      </c>
      <c r="L6" s="27">
        <v>24.5</v>
      </c>
      <c r="M6" s="29">
        <f t="shared" si="2"/>
        <v>17826.5</v>
      </c>
      <c r="N6" s="13"/>
    </row>
    <row r="7" s="3" customFormat="1" ht="22" customHeight="1" spans="1:14">
      <c r="A7" s="14"/>
      <c r="B7" s="15">
        <v>653353</v>
      </c>
      <c r="C7" s="16">
        <f t="shared" si="0"/>
        <v>0.0175816136</v>
      </c>
      <c r="D7" s="14">
        <v>900</v>
      </c>
      <c r="E7" s="3">
        <f t="shared" si="1"/>
        <v>15.82345224</v>
      </c>
      <c r="H7" s="17" t="s">
        <v>15</v>
      </c>
      <c r="I7" s="28">
        <v>55</v>
      </c>
      <c r="J7" s="25"/>
      <c r="K7" s="25">
        <f>1094.5+1237.5+9100</f>
        <v>11432</v>
      </c>
      <c r="L7" s="27">
        <v>15.82</v>
      </c>
      <c r="M7" s="29">
        <f t="shared" si="2"/>
        <v>11502.82</v>
      </c>
      <c r="N7" s="13"/>
    </row>
    <row r="8" s="3" customFormat="1" ht="22" customHeight="1" spans="1:14">
      <c r="A8" s="14"/>
      <c r="B8" s="15">
        <v>653353</v>
      </c>
      <c r="C8" s="16">
        <f t="shared" si="0"/>
        <v>0.0447170213</v>
      </c>
      <c r="D8" s="14">
        <v>900</v>
      </c>
      <c r="E8" s="3">
        <f t="shared" si="1"/>
        <v>40.24531917</v>
      </c>
      <c r="H8" s="17" t="s">
        <v>16</v>
      </c>
      <c r="I8" s="28"/>
      <c r="J8" s="25">
        <v>682</v>
      </c>
      <c r="K8" s="25">
        <f>60.5+1023+27450.5</f>
        <v>28534</v>
      </c>
      <c r="L8" s="27">
        <v>40.25</v>
      </c>
      <c r="M8" s="29">
        <f t="shared" si="2"/>
        <v>29256.25</v>
      </c>
      <c r="N8" s="13"/>
    </row>
    <row r="9" s="3" customFormat="1" ht="22" customHeight="1" spans="2:14">
      <c r="B9" s="15">
        <v>653353</v>
      </c>
      <c r="C9" s="16">
        <f t="shared" si="0"/>
        <v>0.0136824963</v>
      </c>
      <c r="D9" s="14">
        <v>900</v>
      </c>
      <c r="E9" s="3">
        <f t="shared" si="1"/>
        <v>12.31424667</v>
      </c>
      <c r="H9" s="17" t="s">
        <v>17</v>
      </c>
      <c r="I9" s="28"/>
      <c r="J9" s="2">
        <v>110</v>
      </c>
      <c r="K9" s="25">
        <f>852.5+7977</f>
        <v>8829.5</v>
      </c>
      <c r="L9" s="27">
        <v>12.31</v>
      </c>
      <c r="M9" s="29">
        <f t="shared" si="2"/>
        <v>8951.81</v>
      </c>
      <c r="N9" s="13"/>
    </row>
    <row r="10" s="3" customFormat="1" ht="22" customHeight="1" spans="2:14">
      <c r="B10" s="15">
        <v>653353</v>
      </c>
      <c r="C10" s="16">
        <f t="shared" si="0"/>
        <v>0.0435224144</v>
      </c>
      <c r="D10" s="14">
        <v>900</v>
      </c>
      <c r="E10" s="3">
        <f t="shared" si="1"/>
        <v>39.17017296</v>
      </c>
      <c r="H10" s="17" t="s">
        <v>18</v>
      </c>
      <c r="I10" s="28">
        <f>88</f>
        <v>88</v>
      </c>
      <c r="J10" s="25">
        <f>8572+1034</f>
        <v>9606</v>
      </c>
      <c r="K10" s="25">
        <f>357.5+14793+4625-1034</f>
        <v>18741.5</v>
      </c>
      <c r="L10" s="27">
        <v>39.3</v>
      </c>
      <c r="M10" s="29">
        <f t="shared" si="2"/>
        <v>28474.8</v>
      </c>
      <c r="N10" s="13"/>
    </row>
    <row r="11" s="3" customFormat="1" ht="22" customHeight="1" spans="2:14">
      <c r="B11" s="15">
        <v>653353</v>
      </c>
      <c r="C11" s="16">
        <f t="shared" si="0"/>
        <v>0.0251074075</v>
      </c>
      <c r="D11" s="14">
        <v>900</v>
      </c>
      <c r="E11" s="3">
        <f t="shared" si="1"/>
        <v>22.59666675</v>
      </c>
      <c r="H11" s="17" t="s">
        <v>19</v>
      </c>
      <c r="I11" s="28"/>
      <c r="J11" s="25">
        <v>6290</v>
      </c>
      <c r="K11" s="25">
        <f>9850+264</f>
        <v>10114</v>
      </c>
      <c r="L11" s="27">
        <v>22.6</v>
      </c>
      <c r="M11" s="29">
        <f t="shared" si="2"/>
        <v>16426.6</v>
      </c>
      <c r="N11" s="13"/>
    </row>
    <row r="12" s="3" customFormat="1" ht="22" customHeight="1" spans="2:14">
      <c r="B12" s="15">
        <v>653353</v>
      </c>
      <c r="C12" s="16">
        <f t="shared" si="0"/>
        <v>0.0236304111</v>
      </c>
      <c r="D12" s="14">
        <v>900</v>
      </c>
      <c r="E12" s="3">
        <f t="shared" si="1"/>
        <v>21.26736999</v>
      </c>
      <c r="H12" s="17" t="s">
        <v>20</v>
      </c>
      <c r="I12" s="28">
        <f>44+44</f>
        <v>88</v>
      </c>
      <c r="J12" s="25">
        <v>176</v>
      </c>
      <c r="K12" s="25">
        <f>627+14548</f>
        <v>15175</v>
      </c>
      <c r="L12" s="27">
        <v>21.27</v>
      </c>
      <c r="M12" s="29">
        <f t="shared" si="2"/>
        <v>15460.27</v>
      </c>
      <c r="N12" s="13"/>
    </row>
    <row r="13" s="3" customFormat="1" ht="22" customHeight="1" spans="2:14">
      <c r="B13" s="15">
        <v>653353</v>
      </c>
      <c r="C13" s="16">
        <f t="shared" si="0"/>
        <v>0.056184023</v>
      </c>
      <c r="D13" s="14">
        <v>900</v>
      </c>
      <c r="E13" s="3">
        <f t="shared" si="1"/>
        <v>50.5656207</v>
      </c>
      <c r="H13" s="17" t="s">
        <v>21</v>
      </c>
      <c r="I13" s="28"/>
      <c r="J13" s="25">
        <v>8227</v>
      </c>
      <c r="K13" s="25">
        <f>621.5+918.5+275+26666</f>
        <v>28481</v>
      </c>
      <c r="L13" s="27">
        <v>50.43</v>
      </c>
      <c r="M13" s="29">
        <f t="shared" si="2"/>
        <v>36758.43</v>
      </c>
      <c r="N13" s="13"/>
    </row>
    <row r="14" s="3" customFormat="1" ht="22" customHeight="1" spans="2:14">
      <c r="B14" s="15">
        <v>653353</v>
      </c>
      <c r="C14" s="16">
        <f t="shared" si="0"/>
        <v>0.0130258834</v>
      </c>
      <c r="D14" s="14">
        <v>900</v>
      </c>
      <c r="E14" s="3">
        <f t="shared" si="1"/>
        <v>11.72329506</v>
      </c>
      <c r="H14" s="17" t="s">
        <v>22</v>
      </c>
      <c r="I14" s="28">
        <v>88</v>
      </c>
      <c r="J14" s="25"/>
      <c r="K14" s="25">
        <f>308+8114.5</f>
        <v>8422.5</v>
      </c>
      <c r="L14" s="27">
        <v>11.72</v>
      </c>
      <c r="M14" s="29">
        <f t="shared" si="2"/>
        <v>8522.22</v>
      </c>
      <c r="N14" s="13"/>
    </row>
    <row r="15" s="3" customFormat="1" ht="22" customHeight="1" spans="2:14">
      <c r="B15" s="15">
        <v>653353</v>
      </c>
      <c r="C15" s="16">
        <f t="shared" si="0"/>
        <v>0.0500724723</v>
      </c>
      <c r="D15" s="14">
        <v>900</v>
      </c>
      <c r="E15" s="3">
        <f t="shared" si="1"/>
        <v>45.06522507</v>
      </c>
      <c r="H15" s="17" t="s">
        <v>23</v>
      </c>
      <c r="I15" s="28">
        <v>44</v>
      </c>
      <c r="J15" s="25">
        <v>1584</v>
      </c>
      <c r="K15" s="25">
        <f>264+30823</f>
        <v>31087</v>
      </c>
      <c r="L15" s="27">
        <v>45.07</v>
      </c>
      <c r="M15" s="29">
        <f t="shared" si="2"/>
        <v>32760.07</v>
      </c>
      <c r="N15" s="13"/>
    </row>
    <row r="16" s="3" customFormat="1" ht="22" customHeight="1" spans="2:14">
      <c r="B16" s="15">
        <v>653353</v>
      </c>
      <c r="C16" s="16">
        <f t="shared" si="0"/>
        <v>0.1000806608</v>
      </c>
      <c r="D16" s="14">
        <v>900</v>
      </c>
      <c r="E16" s="3">
        <f t="shared" si="1"/>
        <v>90.07259472</v>
      </c>
      <c r="H16" s="17" t="s">
        <v>24</v>
      </c>
      <c r="I16" s="28">
        <v>90.5</v>
      </c>
      <c r="J16" s="25">
        <v>8201</v>
      </c>
      <c r="K16" s="25">
        <f>16.5+211.5+1014.5+55854</f>
        <v>57096.5</v>
      </c>
      <c r="L16" s="27">
        <v>90.07</v>
      </c>
      <c r="M16" s="29">
        <f t="shared" si="2"/>
        <v>65478.07</v>
      </c>
      <c r="N16" s="13"/>
    </row>
    <row r="17" s="3" customFormat="1" ht="22" customHeight="1" spans="2:14">
      <c r="B17" s="15">
        <v>653353</v>
      </c>
      <c r="C17" s="16">
        <f t="shared" si="0"/>
        <v>0.0164114958</v>
      </c>
      <c r="D17" s="14">
        <v>900</v>
      </c>
      <c r="E17" s="3">
        <f t="shared" si="1"/>
        <v>14.77034622</v>
      </c>
      <c r="H17" s="17" t="s">
        <v>25</v>
      </c>
      <c r="I17" s="28"/>
      <c r="J17" s="25">
        <v>264</v>
      </c>
      <c r="K17" s="25">
        <f>280.5+10178</f>
        <v>10458.5</v>
      </c>
      <c r="L17" s="27">
        <v>14.77</v>
      </c>
      <c r="M17" s="29">
        <f t="shared" si="2"/>
        <v>10737.27</v>
      </c>
      <c r="N17" s="13"/>
    </row>
    <row r="18" s="3" customFormat="1" ht="22" customHeight="1" spans="2:14">
      <c r="B18" s="15">
        <v>653353</v>
      </c>
      <c r="C18" s="16">
        <f t="shared" si="0"/>
        <v>0.0208960547</v>
      </c>
      <c r="D18" s="14">
        <v>900</v>
      </c>
      <c r="E18" s="3">
        <f t="shared" si="1"/>
        <v>18.80644923</v>
      </c>
      <c r="H18" s="17" t="s">
        <v>26</v>
      </c>
      <c r="I18" s="28"/>
      <c r="J18" s="28">
        <v>817</v>
      </c>
      <c r="K18" s="25">
        <f>313.5+12522</f>
        <v>12835.5</v>
      </c>
      <c r="L18" s="27">
        <v>18.81</v>
      </c>
      <c r="M18" s="29">
        <f t="shared" si="2"/>
        <v>13671.31</v>
      </c>
      <c r="N18" s="13"/>
    </row>
    <row r="19" s="3" customFormat="1" ht="22" customHeight="1" spans="2:14">
      <c r="B19" s="15">
        <v>653353</v>
      </c>
      <c r="C19" s="16">
        <f t="shared" si="0"/>
        <v>0.0055352926</v>
      </c>
      <c r="D19" s="14">
        <v>900</v>
      </c>
      <c r="E19" s="3">
        <f t="shared" si="1"/>
        <v>4.98176334</v>
      </c>
      <c r="H19" s="17" t="s">
        <v>27</v>
      </c>
      <c r="I19" s="28">
        <v>220</v>
      </c>
      <c r="J19" s="25">
        <v>65</v>
      </c>
      <c r="K19" s="25">
        <v>3331.5</v>
      </c>
      <c r="L19" s="27">
        <v>4.98</v>
      </c>
      <c r="M19" s="29">
        <f t="shared" si="2"/>
        <v>3621.48</v>
      </c>
      <c r="N19" s="13"/>
    </row>
    <row r="20" s="3" customFormat="1" ht="22" customHeight="1" spans="2:14">
      <c r="B20" s="15">
        <v>653353</v>
      </c>
      <c r="C20" s="16">
        <f t="shared" si="0"/>
        <v>0.0058345182</v>
      </c>
      <c r="D20" s="14">
        <v>900</v>
      </c>
      <c r="E20" s="3">
        <f t="shared" si="1"/>
        <v>5.25106638</v>
      </c>
      <c r="H20" s="17" t="s">
        <v>28</v>
      </c>
      <c r="I20" s="28"/>
      <c r="J20" s="25"/>
      <c r="K20" s="25">
        <v>3812</v>
      </c>
      <c r="L20" s="27">
        <v>5.25</v>
      </c>
      <c r="M20" s="29">
        <f t="shared" si="2"/>
        <v>3817.25</v>
      </c>
      <c r="N20" s="13"/>
    </row>
    <row r="21" s="3" customFormat="1" ht="22" customHeight="1" spans="2:14">
      <c r="B21" s="15">
        <v>653353</v>
      </c>
      <c r="C21" s="16">
        <f t="shared" si="0"/>
        <v>0.002441253</v>
      </c>
      <c r="D21" s="14">
        <v>900</v>
      </c>
      <c r="E21" s="3">
        <f t="shared" si="1"/>
        <v>2.1971277</v>
      </c>
      <c r="H21" s="17" t="s">
        <v>29</v>
      </c>
      <c r="I21" s="28">
        <v>88</v>
      </c>
      <c r="J21" s="25">
        <v>90</v>
      </c>
      <c r="K21" s="25">
        <v>1417</v>
      </c>
      <c r="L21" s="27">
        <v>2.2</v>
      </c>
      <c r="M21" s="29">
        <f t="shared" si="2"/>
        <v>1597.2</v>
      </c>
      <c r="N21" s="13"/>
    </row>
    <row r="22" s="3" customFormat="1" ht="22" customHeight="1" spans="2:14">
      <c r="B22" s="15">
        <v>653353</v>
      </c>
      <c r="C22" s="16">
        <f t="shared" si="0"/>
        <v>0</v>
      </c>
      <c r="D22" s="14">
        <v>900</v>
      </c>
      <c r="E22" s="3">
        <f t="shared" si="1"/>
        <v>0</v>
      </c>
      <c r="H22" s="17" t="s">
        <v>30</v>
      </c>
      <c r="I22" s="28"/>
      <c r="J22" s="25"/>
      <c r="K22" s="25"/>
      <c r="L22" s="27">
        <v>0</v>
      </c>
      <c r="M22" s="29">
        <f t="shared" si="2"/>
        <v>0</v>
      </c>
      <c r="N22" s="13"/>
    </row>
    <row r="23" s="3" customFormat="1" ht="22" customHeight="1" spans="2:14">
      <c r="B23" s="15">
        <v>653353</v>
      </c>
      <c r="C23" s="16">
        <f t="shared" si="0"/>
        <v>5.05087e-5</v>
      </c>
      <c r="D23" s="14">
        <v>900</v>
      </c>
      <c r="E23" s="3">
        <f t="shared" si="1"/>
        <v>0.04545783</v>
      </c>
      <c r="H23" s="17" t="s">
        <v>31</v>
      </c>
      <c r="I23" s="25"/>
      <c r="J23" s="25"/>
      <c r="K23" s="25">
        <f>16.5+16.5</f>
        <v>33</v>
      </c>
      <c r="L23" s="27">
        <v>0.05</v>
      </c>
      <c r="M23" s="29">
        <f t="shared" si="2"/>
        <v>33.05</v>
      </c>
      <c r="N23" s="13"/>
    </row>
    <row r="24" s="3" customFormat="1" ht="22" customHeight="1" spans="2:14">
      <c r="B24" s="15">
        <v>653353</v>
      </c>
      <c r="C24" s="16">
        <f t="shared" si="0"/>
        <v>0.0010775186</v>
      </c>
      <c r="D24" s="14">
        <v>900</v>
      </c>
      <c r="E24" s="3">
        <f t="shared" si="1"/>
        <v>0.96976674</v>
      </c>
      <c r="H24" s="17" t="s">
        <v>32</v>
      </c>
      <c r="I24" s="28">
        <v>71.5</v>
      </c>
      <c r="J24" s="25"/>
      <c r="K24" s="25">
        <f>616+16.5</f>
        <v>632.5</v>
      </c>
      <c r="L24" s="27">
        <v>0.97</v>
      </c>
      <c r="M24" s="29">
        <f t="shared" si="2"/>
        <v>704.97</v>
      </c>
      <c r="N24" s="13"/>
    </row>
    <row r="25" s="3" customFormat="1" ht="22" customHeight="1" spans="2:14">
      <c r="B25" s="15">
        <v>653353</v>
      </c>
      <c r="C25" s="16">
        <f t="shared" si="0"/>
        <v>0.003000675</v>
      </c>
      <c r="D25" s="14">
        <v>900</v>
      </c>
      <c r="E25" s="3">
        <f t="shared" si="1"/>
        <v>2.7006075</v>
      </c>
      <c r="H25" s="17" t="s">
        <v>33</v>
      </c>
      <c r="I25" s="28">
        <v>1960.5</v>
      </c>
      <c r="J25" s="25"/>
      <c r="K25" s="25"/>
      <c r="L25" s="27">
        <v>2.7</v>
      </c>
      <c r="M25" s="29">
        <f t="shared" si="2"/>
        <v>1963.2</v>
      </c>
      <c r="N25" s="13"/>
    </row>
    <row r="26" s="3" customFormat="1" ht="22" customHeight="1" spans="2:14">
      <c r="B26" s="15">
        <v>653353</v>
      </c>
      <c r="C26" s="16">
        <f t="shared" si="0"/>
        <v>0.0025713512</v>
      </c>
      <c r="D26" s="14">
        <v>900</v>
      </c>
      <c r="E26" s="3">
        <f t="shared" si="1"/>
        <v>2.31421608</v>
      </c>
      <c r="H26" s="17" t="s">
        <v>34</v>
      </c>
      <c r="I26" s="28">
        <v>1680</v>
      </c>
      <c r="J26" s="25"/>
      <c r="K26" s="25"/>
      <c r="L26" s="27">
        <v>2.31</v>
      </c>
      <c r="M26" s="29">
        <f t="shared" si="2"/>
        <v>1682.31</v>
      </c>
      <c r="N26" s="13"/>
    </row>
    <row r="27" s="3" customFormat="1" ht="22" customHeight="1" spans="2:14">
      <c r="B27" s="15">
        <v>653353</v>
      </c>
      <c r="C27" s="16">
        <f t="shared" si="0"/>
        <v>0.0013537858</v>
      </c>
      <c r="D27" s="14">
        <v>900</v>
      </c>
      <c r="E27" s="3">
        <f t="shared" si="1"/>
        <v>1.21840722</v>
      </c>
      <c r="H27" s="17" t="s">
        <v>35</v>
      </c>
      <c r="I27" s="28">
        <f>781+11</f>
        <v>792</v>
      </c>
      <c r="J27" s="25"/>
      <c r="K27" s="25">
        <v>92.5</v>
      </c>
      <c r="L27" s="27">
        <v>1.24</v>
      </c>
      <c r="M27" s="29">
        <f t="shared" si="2"/>
        <v>885.74</v>
      </c>
      <c r="N27" s="13"/>
    </row>
    <row r="28" s="3" customFormat="1" ht="22" customHeight="1" spans="2:14">
      <c r="B28" s="15">
        <v>653353</v>
      </c>
      <c r="C28" s="16">
        <f t="shared" si="0"/>
        <v>0.0007071216</v>
      </c>
      <c r="D28" s="14">
        <v>900</v>
      </c>
      <c r="E28" s="3">
        <f t="shared" si="1"/>
        <v>0.63640944</v>
      </c>
      <c r="H28" s="17" t="s">
        <v>36</v>
      </c>
      <c r="I28" s="28">
        <v>462</v>
      </c>
      <c r="J28" s="25"/>
      <c r="K28" s="25"/>
      <c r="L28" s="27">
        <v>0.64</v>
      </c>
      <c r="M28" s="29">
        <f t="shared" si="2"/>
        <v>462.64</v>
      </c>
      <c r="N28" s="13"/>
    </row>
    <row r="29" s="3" customFormat="1" ht="22" customHeight="1" spans="2:14">
      <c r="B29" s="15">
        <v>653353</v>
      </c>
      <c r="C29" s="16">
        <f t="shared" si="0"/>
        <v>0.00032448</v>
      </c>
      <c r="D29" s="14">
        <v>900</v>
      </c>
      <c r="E29" s="3">
        <f t="shared" si="1"/>
        <v>0.292032</v>
      </c>
      <c r="H29" s="17" t="s">
        <v>37</v>
      </c>
      <c r="I29" s="28">
        <v>212</v>
      </c>
      <c r="J29" s="25"/>
      <c r="K29" s="25"/>
      <c r="L29" s="27">
        <v>0.29</v>
      </c>
      <c r="M29" s="29">
        <f t="shared" si="2"/>
        <v>212.29</v>
      </c>
      <c r="N29" s="13"/>
    </row>
    <row r="30" s="3" customFormat="1" ht="22" customHeight="1" spans="2:14">
      <c r="B30" s="15">
        <v>653353</v>
      </c>
      <c r="C30" s="16">
        <f t="shared" si="0"/>
        <v>0.002751958</v>
      </c>
      <c r="D30" s="14">
        <v>900</v>
      </c>
      <c r="E30" s="3">
        <f t="shared" si="1"/>
        <v>2.4767622</v>
      </c>
      <c r="H30" s="17" t="s">
        <v>38</v>
      </c>
      <c r="I30" s="28"/>
      <c r="J30" s="25">
        <v>1798</v>
      </c>
      <c r="K30" s="25"/>
      <c r="L30" s="27">
        <v>2.48</v>
      </c>
      <c r="M30" s="29">
        <f t="shared" si="2"/>
        <v>1800.48</v>
      </c>
      <c r="N30" s="13"/>
    </row>
    <row r="31" s="3" customFormat="1" ht="22" customHeight="1" spans="2:14">
      <c r="B31" s="15">
        <v>653353</v>
      </c>
      <c r="C31" s="16">
        <f t="shared" si="0"/>
        <v>0.0007101827</v>
      </c>
      <c r="D31" s="14">
        <v>900</v>
      </c>
      <c r="E31" s="3">
        <f t="shared" si="1"/>
        <v>0.63916443</v>
      </c>
      <c r="H31" s="17" t="s">
        <v>39</v>
      </c>
      <c r="I31" s="28">
        <v>464</v>
      </c>
      <c r="J31" s="25"/>
      <c r="K31" s="25"/>
      <c r="L31" s="27">
        <v>0.64</v>
      </c>
      <c r="M31" s="29">
        <f t="shared" si="2"/>
        <v>464.64</v>
      </c>
      <c r="N31" s="13"/>
    </row>
    <row r="32" s="3" customFormat="1" ht="22" customHeight="1" spans="2:14">
      <c r="B32" s="15">
        <v>653353</v>
      </c>
      <c r="C32" s="16">
        <f t="shared" si="0"/>
        <v>0</v>
      </c>
      <c r="D32" s="14">
        <v>900</v>
      </c>
      <c r="E32" s="3">
        <f t="shared" si="1"/>
        <v>0</v>
      </c>
      <c r="H32" s="17" t="s">
        <v>40</v>
      </c>
      <c r="I32" s="28"/>
      <c r="J32" s="25"/>
      <c r="K32" s="25"/>
      <c r="L32" s="27">
        <v>0</v>
      </c>
      <c r="M32" s="29">
        <f t="shared" si="2"/>
        <v>0</v>
      </c>
      <c r="N32" s="13"/>
    </row>
    <row r="33" s="3" customFormat="1" ht="22" customHeight="1" spans="2:14">
      <c r="B33" s="15">
        <v>653353</v>
      </c>
      <c r="C33" s="16">
        <f t="shared" si="0"/>
        <v>0.0005464121</v>
      </c>
      <c r="D33" s="14">
        <v>900</v>
      </c>
      <c r="E33" s="3">
        <f t="shared" si="1"/>
        <v>0.49177089</v>
      </c>
      <c r="H33" s="17" t="s">
        <v>41</v>
      </c>
      <c r="I33" s="28">
        <f>132+225</f>
        <v>357</v>
      </c>
      <c r="J33" s="25"/>
      <c r="K33" s="25"/>
      <c r="L33" s="27">
        <v>0.49</v>
      </c>
      <c r="M33" s="29">
        <f t="shared" si="2"/>
        <v>357.49</v>
      </c>
      <c r="N33" s="13"/>
    </row>
    <row r="34" s="3" customFormat="1" ht="22" customHeight="1" spans="2:14">
      <c r="B34" s="15">
        <v>653353</v>
      </c>
      <c r="C34" s="16">
        <f t="shared" si="0"/>
        <v>0.0067605108</v>
      </c>
      <c r="D34" s="14">
        <v>900</v>
      </c>
      <c r="E34" s="3">
        <f t="shared" si="1"/>
        <v>6.08445972</v>
      </c>
      <c r="H34" s="17" t="s">
        <v>42</v>
      </c>
      <c r="I34" s="28">
        <f>104.5+644+3668.5-J34</f>
        <v>4389</v>
      </c>
      <c r="J34" s="25">
        <v>28</v>
      </c>
      <c r="K34" s="25"/>
      <c r="L34" s="27">
        <v>6.08</v>
      </c>
      <c r="M34" s="29">
        <f t="shared" si="2"/>
        <v>4423.08</v>
      </c>
      <c r="N34" s="13"/>
    </row>
    <row r="35" s="3" customFormat="1" ht="22" customHeight="1" spans="2:14">
      <c r="B35" s="15">
        <v>653353</v>
      </c>
      <c r="C35" s="16">
        <f t="shared" si="0"/>
        <v>0.0017831096</v>
      </c>
      <c r="D35" s="14">
        <v>900</v>
      </c>
      <c r="E35" s="3">
        <f t="shared" si="1"/>
        <v>1.60479864</v>
      </c>
      <c r="H35" s="18" t="s">
        <v>43</v>
      </c>
      <c r="I35" s="30">
        <f>1165-J35</f>
        <v>609</v>
      </c>
      <c r="J35" s="31">
        <v>556</v>
      </c>
      <c r="K35" s="25"/>
      <c r="L35" s="27">
        <v>1.6</v>
      </c>
      <c r="M35" s="29">
        <f t="shared" si="2"/>
        <v>1166.6</v>
      </c>
      <c r="N35" s="13"/>
    </row>
    <row r="36" s="3" customFormat="1" ht="22" customHeight="1" spans="2:14">
      <c r="B36" s="15">
        <v>653353</v>
      </c>
      <c r="C36" s="16">
        <f t="shared" si="0"/>
        <v>0.002157333</v>
      </c>
      <c r="D36" s="14">
        <v>900</v>
      </c>
      <c r="E36" s="3">
        <f t="shared" si="1"/>
        <v>1.9415997</v>
      </c>
      <c r="H36" s="17" t="s">
        <v>44</v>
      </c>
      <c r="I36" s="30">
        <f>1384.5-J36+25</f>
        <v>1319.5</v>
      </c>
      <c r="J36" s="31">
        <v>90</v>
      </c>
      <c r="K36" s="25"/>
      <c r="L36" s="27">
        <v>1.94</v>
      </c>
      <c r="M36" s="29">
        <f t="shared" si="2"/>
        <v>1411.44</v>
      </c>
      <c r="N36" s="13"/>
    </row>
    <row r="37" s="3" customFormat="1" ht="22" customHeight="1" spans="2:14">
      <c r="B37" s="15">
        <v>653353</v>
      </c>
      <c r="C37" s="16">
        <f t="shared" si="0"/>
        <v>0.0007277842</v>
      </c>
      <c r="D37" s="14">
        <v>900</v>
      </c>
      <c r="E37" s="3">
        <f t="shared" si="1"/>
        <v>0.65500578</v>
      </c>
      <c r="H37" s="17" t="s">
        <v>45</v>
      </c>
      <c r="I37" s="30">
        <f>25+450.5</f>
        <v>475.5</v>
      </c>
      <c r="J37" s="31"/>
      <c r="K37" s="25"/>
      <c r="L37" s="27">
        <v>0.66</v>
      </c>
      <c r="M37" s="29">
        <f t="shared" si="2"/>
        <v>476.16</v>
      </c>
      <c r="N37" s="13"/>
    </row>
    <row r="38" s="3" customFormat="1" ht="22" customHeight="1" spans="2:14">
      <c r="B38" s="15">
        <v>653353</v>
      </c>
      <c r="C38" s="16">
        <f t="shared" si="0"/>
        <v>0.0159546218</v>
      </c>
      <c r="D38" s="14">
        <v>900</v>
      </c>
      <c r="E38" s="3">
        <f t="shared" si="1"/>
        <v>14.35915962</v>
      </c>
      <c r="H38" s="17" t="s">
        <v>46</v>
      </c>
      <c r="I38" s="30">
        <f>25+10399</f>
        <v>10424</v>
      </c>
      <c r="J38" s="31"/>
      <c r="K38" s="25"/>
      <c r="L38" s="27">
        <v>14.36</v>
      </c>
      <c r="M38" s="29">
        <f t="shared" si="2"/>
        <v>10438.36</v>
      </c>
      <c r="N38" s="13"/>
    </row>
    <row r="39" s="3" customFormat="1" ht="22" customHeight="1" spans="2:14">
      <c r="B39" s="15">
        <v>653353</v>
      </c>
      <c r="C39" s="16">
        <f t="shared" si="0"/>
        <v>0.0133786789</v>
      </c>
      <c r="D39" s="14">
        <v>900</v>
      </c>
      <c r="E39" s="3">
        <f t="shared" si="1"/>
        <v>12.04081101</v>
      </c>
      <c r="H39" s="17" t="s">
        <v>47</v>
      </c>
      <c r="I39" s="30">
        <f>25+8716</f>
        <v>8741</v>
      </c>
      <c r="J39" s="31"/>
      <c r="K39" s="25"/>
      <c r="L39" s="27">
        <v>12.04</v>
      </c>
      <c r="M39" s="29">
        <f t="shared" si="2"/>
        <v>8753.04</v>
      </c>
      <c r="N39" s="13"/>
    </row>
    <row r="40" s="3" customFormat="1" ht="22" customHeight="1" spans="2:14">
      <c r="B40" s="15">
        <v>653353</v>
      </c>
      <c r="C40" s="16">
        <f t="shared" si="0"/>
        <v>0.0057197258</v>
      </c>
      <c r="D40" s="14">
        <v>900</v>
      </c>
      <c r="E40" s="3">
        <f t="shared" si="1"/>
        <v>5.14775322</v>
      </c>
      <c r="H40" s="17" t="s">
        <v>48</v>
      </c>
      <c r="I40" s="30">
        <f>3737-J40</f>
        <v>2021</v>
      </c>
      <c r="J40" s="31">
        <v>1716</v>
      </c>
      <c r="K40" s="25"/>
      <c r="L40" s="27">
        <v>5.15</v>
      </c>
      <c r="M40" s="29">
        <f t="shared" si="2"/>
        <v>3742.15</v>
      </c>
      <c r="N40" s="13"/>
    </row>
    <row r="41" s="3" customFormat="1" ht="22" customHeight="1" spans="2:14">
      <c r="B41" s="15">
        <v>653353</v>
      </c>
      <c r="C41" s="16">
        <f t="shared" si="0"/>
        <v>0.0030144501</v>
      </c>
      <c r="D41" s="14">
        <v>900</v>
      </c>
      <c r="E41" s="3">
        <f t="shared" si="1"/>
        <v>2.71300509</v>
      </c>
      <c r="H41" s="17" t="s">
        <v>49</v>
      </c>
      <c r="I41" s="30">
        <v>1969.5</v>
      </c>
      <c r="J41" s="31"/>
      <c r="K41" s="25"/>
      <c r="L41" s="27">
        <v>2.71</v>
      </c>
      <c r="M41" s="29">
        <f t="shared" si="2"/>
        <v>1972.21</v>
      </c>
      <c r="N41" s="13"/>
    </row>
    <row r="42" s="3" customFormat="1" ht="22" customHeight="1" spans="2:14">
      <c r="B42" s="15">
        <v>653353</v>
      </c>
      <c r="C42" s="16">
        <f t="shared" si="0"/>
        <v>0.0001300981</v>
      </c>
      <c r="D42" s="14">
        <v>900</v>
      </c>
      <c r="E42" s="3">
        <f t="shared" si="1"/>
        <v>0.11708829</v>
      </c>
      <c r="H42" s="17" t="s">
        <v>50</v>
      </c>
      <c r="I42" s="30">
        <v>85</v>
      </c>
      <c r="J42" s="31"/>
      <c r="K42" s="25"/>
      <c r="L42" s="27">
        <v>0.12</v>
      </c>
      <c r="M42" s="29">
        <f t="shared" si="2"/>
        <v>85.12</v>
      </c>
      <c r="N42" s="13"/>
    </row>
    <row r="43" s="3" customFormat="1" ht="22" customHeight="1" spans="2:14">
      <c r="B43" s="15">
        <v>653353</v>
      </c>
      <c r="C43" s="16">
        <f t="shared" si="0"/>
        <v>0</v>
      </c>
      <c r="D43" s="14">
        <v>900</v>
      </c>
      <c r="E43" s="3">
        <f t="shared" si="1"/>
        <v>0</v>
      </c>
      <c r="H43" s="17" t="s">
        <v>51</v>
      </c>
      <c r="I43" s="28"/>
      <c r="J43" s="25"/>
      <c r="K43" s="25"/>
      <c r="L43" s="27">
        <v>0</v>
      </c>
      <c r="M43" s="29">
        <f t="shared" si="2"/>
        <v>0</v>
      </c>
      <c r="N43" s="13"/>
    </row>
    <row r="44" s="3" customFormat="1" ht="22" customHeight="1" spans="2:14">
      <c r="B44" s="15">
        <v>653353</v>
      </c>
      <c r="C44" s="16">
        <f t="shared" si="0"/>
        <v>0</v>
      </c>
      <c r="D44" s="14">
        <v>900</v>
      </c>
      <c r="E44" s="3">
        <f t="shared" si="1"/>
        <v>0</v>
      </c>
      <c r="H44" s="17" t="s">
        <v>52</v>
      </c>
      <c r="I44" s="28"/>
      <c r="J44" s="25"/>
      <c r="K44" s="25"/>
      <c r="L44" s="27">
        <v>0</v>
      </c>
      <c r="M44" s="29">
        <f t="shared" si="2"/>
        <v>0</v>
      </c>
      <c r="N44" s="13"/>
    </row>
    <row r="45" s="3" customFormat="1" ht="22" customHeight="1" spans="2:14">
      <c r="B45" s="15">
        <v>653353</v>
      </c>
      <c r="C45" s="16">
        <f t="shared" si="0"/>
        <v>0</v>
      </c>
      <c r="D45" s="14">
        <v>900</v>
      </c>
      <c r="E45" s="3">
        <f t="shared" si="1"/>
        <v>0</v>
      </c>
      <c r="H45" s="17" t="s">
        <v>53</v>
      </c>
      <c r="I45" s="28"/>
      <c r="J45" s="25"/>
      <c r="K45" s="25"/>
      <c r="L45" s="27">
        <v>0</v>
      </c>
      <c r="M45" s="29">
        <f t="shared" si="2"/>
        <v>0</v>
      </c>
      <c r="N45" s="13"/>
    </row>
    <row r="46" s="3" customFormat="1" ht="22" customHeight="1" spans="2:14">
      <c r="B46" s="15">
        <v>653353</v>
      </c>
      <c r="C46" s="16">
        <f t="shared" si="0"/>
        <v>0.0020876923</v>
      </c>
      <c r="D46" s="14">
        <v>900</v>
      </c>
      <c r="E46" s="3">
        <f t="shared" si="1"/>
        <v>1.87892307</v>
      </c>
      <c r="H46" s="17" t="s">
        <v>54</v>
      </c>
      <c r="I46" s="28">
        <v>1364</v>
      </c>
      <c r="J46" s="25"/>
      <c r="K46" s="25"/>
      <c r="L46" s="27">
        <v>1.88</v>
      </c>
      <c r="M46" s="29">
        <f t="shared" si="2"/>
        <v>1365.88</v>
      </c>
      <c r="N46" s="13"/>
    </row>
    <row r="47" s="3" customFormat="1" ht="22" customHeight="1" spans="2:14">
      <c r="B47" s="15">
        <v>653353</v>
      </c>
      <c r="C47" s="16">
        <f t="shared" si="0"/>
        <v>0</v>
      </c>
      <c r="D47" s="14">
        <v>900</v>
      </c>
      <c r="E47" s="3">
        <f t="shared" si="1"/>
        <v>0</v>
      </c>
      <c r="H47" s="17" t="s">
        <v>55</v>
      </c>
      <c r="I47" s="28"/>
      <c r="J47" s="25"/>
      <c r="K47" s="25"/>
      <c r="L47" s="27">
        <v>0</v>
      </c>
      <c r="M47" s="29">
        <f t="shared" si="2"/>
        <v>0</v>
      </c>
      <c r="N47" s="13"/>
    </row>
    <row r="48" s="3" customFormat="1" ht="22" customHeight="1" spans="2:14">
      <c r="B48" s="15">
        <v>653353</v>
      </c>
      <c r="C48" s="16">
        <f t="shared" si="0"/>
        <v>6.73449e-5</v>
      </c>
      <c r="D48" s="14">
        <v>900</v>
      </c>
      <c r="E48" s="3">
        <f t="shared" si="1"/>
        <v>0.06061041</v>
      </c>
      <c r="H48" s="17" t="s">
        <v>56</v>
      </c>
      <c r="I48" s="28">
        <v>44</v>
      </c>
      <c r="J48" s="25"/>
      <c r="K48" s="25"/>
      <c r="L48" s="27">
        <v>0.06</v>
      </c>
      <c r="M48" s="29">
        <f t="shared" si="2"/>
        <v>44.06</v>
      </c>
      <c r="N48" s="13"/>
    </row>
    <row r="49" s="3" customFormat="1" ht="22" customHeight="1" spans="2:14">
      <c r="B49" s="15">
        <v>653353</v>
      </c>
      <c r="C49" s="16">
        <f t="shared" si="0"/>
        <v>0</v>
      </c>
      <c r="D49" s="14">
        <v>900</v>
      </c>
      <c r="E49" s="3">
        <f t="shared" si="1"/>
        <v>0</v>
      </c>
      <c r="H49" s="17" t="s">
        <v>57</v>
      </c>
      <c r="I49" s="28"/>
      <c r="J49" s="25"/>
      <c r="K49" s="25"/>
      <c r="L49" s="27">
        <v>0</v>
      </c>
      <c r="M49" s="29">
        <f t="shared" si="2"/>
        <v>0</v>
      </c>
      <c r="N49" s="13"/>
    </row>
    <row r="50" s="3" customFormat="1" ht="22" customHeight="1" spans="2:14">
      <c r="B50" s="15">
        <v>653353</v>
      </c>
      <c r="C50" s="16">
        <f t="shared" si="0"/>
        <v>0</v>
      </c>
      <c r="D50" s="14">
        <v>900</v>
      </c>
      <c r="E50" s="3">
        <f t="shared" si="1"/>
        <v>0</v>
      </c>
      <c r="H50" s="17" t="s">
        <v>58</v>
      </c>
      <c r="I50" s="28"/>
      <c r="J50" s="25"/>
      <c r="K50" s="25"/>
      <c r="L50" s="27">
        <v>0</v>
      </c>
      <c r="M50" s="29">
        <f t="shared" si="2"/>
        <v>0</v>
      </c>
      <c r="N50" s="13"/>
    </row>
    <row r="51" s="3" customFormat="1" ht="22" customHeight="1" spans="2:14">
      <c r="B51" s="15">
        <v>653353</v>
      </c>
      <c r="C51" s="16">
        <f t="shared" si="0"/>
        <v>0.0003765193</v>
      </c>
      <c r="D51" s="14">
        <v>900</v>
      </c>
      <c r="E51" s="3">
        <f t="shared" si="1"/>
        <v>0.33886737</v>
      </c>
      <c r="H51" s="17" t="s">
        <v>59</v>
      </c>
      <c r="I51" s="28">
        <v>246</v>
      </c>
      <c r="J51" s="25"/>
      <c r="K51" s="25"/>
      <c r="L51" s="27">
        <v>0.34</v>
      </c>
      <c r="M51" s="29">
        <f t="shared" si="2"/>
        <v>246.34</v>
      </c>
      <c r="N51" s="13"/>
    </row>
    <row r="52" s="3" customFormat="1" ht="22" customHeight="1" spans="2:14">
      <c r="B52" s="15"/>
      <c r="C52" s="16"/>
      <c r="D52" s="14"/>
      <c r="H52" s="19" t="s">
        <v>60</v>
      </c>
      <c r="I52" s="24">
        <f>SUM(I4:I51)</f>
        <v>343862</v>
      </c>
      <c r="J52" s="24">
        <f>SUM(J4:J51)</f>
        <v>41419</v>
      </c>
      <c r="K52" s="24">
        <f>SUM(K4:K51)</f>
        <v>268072</v>
      </c>
      <c r="L52" s="24">
        <f>50*18</f>
        <v>900</v>
      </c>
      <c r="M52" s="29">
        <f t="shared" si="2"/>
        <v>654253</v>
      </c>
      <c r="N52" s="24"/>
    </row>
  </sheetData>
  <mergeCells count="7">
    <mergeCell ref="H1:N1"/>
    <mergeCell ref="H2:H3"/>
    <mergeCell ref="I2:I3"/>
    <mergeCell ref="J2:J3"/>
    <mergeCell ref="K2:K3"/>
    <mergeCell ref="L2:L3"/>
    <mergeCell ref="N2:N3"/>
  </mergeCells>
  <printOptions gridLines="1"/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2023-10-18T01:38:00Z</dcterms:created>
  <dcterms:modified xsi:type="dcterms:W3CDTF">2026-02-28T00:45:48Z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6FF89DF4C90241C3A6AC2D0BB3F02F93_13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