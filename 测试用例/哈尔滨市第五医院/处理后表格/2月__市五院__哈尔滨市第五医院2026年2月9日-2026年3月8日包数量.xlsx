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/>
  </bookViews>
  <sheets>
    <sheet name="哈尔滨市第五医院" sheetId="4" r:id="rId1"/>
  </sheets>
  <definedNames>
    <definedName name="_xlnm._FilterDatabase" localSheetId="0" hidden="1">哈尔滨市第五医院!$A$3:$F$56</definedName>
    <definedName name="_xlnm.Print_Titles" localSheetId="0">哈尔滨市第五医院!$1:$2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<sst xmlns="http://schemas.openxmlformats.org/spreadsheetml/2006/main" count="61" uniqueCount="61">
  <si>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哈尔滨市第五医院2026年2月9日-2026年3月8日科室灭菌包数量汇总</t>
  </si>
  <si>
    <t>序号</t>
  </si>
  <si>
    <t>科室</t>
  </si>
  <si>
    <t>基础器械（包数量）</t>
  </si>
  <si>
    <t>低温器械（包数量）</t>
  </si>
  <si>
    <t>外来器械（包数量）</t>
  </si>
  <si>
    <t>合计（包数量）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</si>
  <si>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</si>
  <si>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</si>
  <si>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</si>
  <si>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</si>
  <si>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</si>
  <si>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</si>
  <si>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</si>
  <si>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</si>
  <si>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</si>
  <si>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</si>
  <si>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</si>
  <si>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</si>
  <si>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</si>
  <si>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</si>
  <si>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</si>
  <si>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胸外科</t>
  </si>
  <si>
    <t>泌尿外科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</si>
  <si>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</si>
  <si>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</si>
  <si>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</si>
  <si>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</si>
  <si>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</si>
  <si>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</si>
  <si>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</si>
  <si>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</si>
  <si>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</si>
  <si>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急诊科</t>
  </si>
  <si>
    <t>ICU</t>
  </si>
  <si>
    <t>妇产科</t>
  </si>
  <si>
    <t>产科分娩室</t>
  </si>
  <si>
    <t>五官科</t>
  </si>
  <si>
    <t>五官科（口腔外科）</t>
  </si>
  <si>
    <t>耳鼻喉手术室</t>
  </si>
  <si>
    <t>耳鼻喉门诊</t>
  </si>
  <si>
    <t>眼科门诊</t>
  </si>
  <si>
    <t>口内</t>
  </si>
  <si>
    <t>口外</t>
  </si>
  <si>
    <t>口腔门诊</t>
  </si>
  <si>
    <t>妇科门诊</t>
  </si>
  <si>
    <t>美容科</t>
  </si>
  <si>
    <t>门诊换药室</t>
  </si>
  <si>
    <t>疼痛门诊</t>
  </si>
  <si>
    <t>腔镜室</t>
  </si>
  <si>
    <t>肛肠门诊</t>
  </si>
  <si>
    <t>透析科</t>
  </si>
  <si>
    <t>呼吸</t>
  </si>
  <si>
    <t>肾内科</t>
  </si>
  <si>
    <t>冲击波门诊</t>
  </si>
  <si>
    <t>内分泌</t>
  </si>
  <si>
    <t>康复科</t>
  </si>
  <si>
    <t>二门诊口腔科</t>
  </si>
  <si>
    <t>二门诊美容科</t>
  </si>
  <si>
    <t>二门诊手术室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</si>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</sst>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</numFmts>
  <fonts count="28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4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8"/>
      <color rgb="FF000000"/>
      <name val="微软雅黑"/>
      <charset val="134"/>
    </font>
    <font>
      <sz val="1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20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 readingOrder="1"/>
    </xf>
    <xf numFmtId="178" fontId="6" fillId="0" borderId="1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Fill="1" applyBorder="1" applyAlignment="1">
      <alignment horizontal="left" vertical="center" wrapText="1" readingOrder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showGridLines="0" tabSelected="1" view="pageBreakPreview" zoomScale="80" zoomScaleNormal="100" topLeftCell="B1" workbookViewId="0">
      <selection activeCell="J10" sqref="J10"/>
    </sheetView>
  </sheetViews>
  <sheetFormatPr defaultColWidth="9" defaultRowHeight="17.25" outlineLevelCol="5"/>
  <cols>
    <col min="1" max="1" width="10.625" style="4" customWidth="1"/>
    <col min="2" max="2" width="28.275" style="5" customWidth="1"/>
    <col min="3" max="3" width="25.625" style="6" customWidth="1"/>
    <col min="4" max="5" width="25.625" style="7" customWidth="1"/>
    <col min="6" max="6" width="25.625" style="8" customWidth="1"/>
    <col min="7" max="16234" width="11" style="1"/>
    <col min="16235" max="16384" width="9" style="1"/>
  </cols>
  <sheetData>
    <row r="1" s="1" customFormat="1" ht="31" customHeight="1" spans="1:6">
      <c r="A1" s="9" t="s">
        <v>0</v>
      </c>
      <c r="B1" s="9"/>
      <c r="C1" s="9"/>
      <c r="D1" s="9"/>
      <c r="E1" s="9"/>
      <c r="F1" s="9"/>
    </row>
    <row r="2" s="2" customFormat="1" ht="20.35" customHeight="1" spans="1:6">
      <c r="A2" s="10" t="s">
        <v>1</v>
      </c>
      <c r="B2" s="10" t="s">
        <v>2</v>
      </c>
      <c r="C2" s="11" t="s">
        <v>3</v>
      </c>
      <c r="D2" s="12" t="s">
        <v>4</v>
      </c>
      <c r="E2" s="13" t="s">
        <v>5</v>
      </c>
      <c r="F2" s="14" t="s">
        <v>6</v>
      </c>
    </row>
    <row r="3" s="3" customFormat="1" ht="20.35" customHeight="1" spans="1:6">
      <c r="A3" s="10">
        <v>1</v>
      </c>
      <c r="B3" s="15" t="s">
        <v>7</v>
      </c>
      <c r="C3" s="16">
        <f>2418-3</f>
        <v>2415</v>
      </c>
      <c r="D3" s="16">
        <f>3</f>
        <v>3</v>
      </c>
      <c r="E3" s="16">
        <v>3</v>
      </c>
      <c r="F3" s="16">
        <f>C3+D3+E3</f>
        <v>2421</v>
      </c>
    </row>
    <row r="4" s="3" customFormat="1" ht="20.35" customHeight="1" spans="1:6">
      <c r="A4" s="10">
        <v>2</v>
      </c>
      <c r="B4" s="15" t="s">
        <v>8</v>
      </c>
      <c r="C4" s="16">
        <v>1040</v>
      </c>
      <c r="D4" s="16"/>
      <c r="E4" s="16"/>
      <c r="F4" s="16">
        <f t="shared" ref="F4:F35" si="0">C4+D4+E4</f>
        <v>1040</v>
      </c>
    </row>
    <row r="5" s="3" customFormat="1" ht="20.35" customHeight="1" spans="1:6">
      <c r="A5" s="10">
        <v>3</v>
      </c>
      <c r="B5" s="15" t="s">
        <v>9</v>
      </c>
      <c r="C5" s="16">
        <f>1+2</f>
        <v>3</v>
      </c>
      <c r="D5" s="16">
        <v>1</v>
      </c>
      <c r="E5" s="16">
        <f>43+18+1+44+87</f>
        <v>193</v>
      </c>
      <c r="F5" s="16">
        <f t="shared" si="0"/>
        <v>197</v>
      </c>
    </row>
    <row r="6" s="3" customFormat="1" ht="20.35" customHeight="1" spans="1:6">
      <c r="A6" s="10">
        <v>4</v>
      </c>
      <c r="B6" s="15" t="s">
        <v>10</v>
      </c>
      <c r="C6" s="16">
        <v>1</v>
      </c>
      <c r="D6" s="16">
        <v>2</v>
      </c>
      <c r="E6" s="16">
        <f>30+2+13+78</f>
        <v>123</v>
      </c>
      <c r="F6" s="16">
        <f t="shared" si="0"/>
        <v>126</v>
      </c>
    </row>
    <row r="7" s="3" customFormat="1" ht="20.35" customHeight="1" spans="1:6">
      <c r="A7" s="10">
        <v>5</v>
      </c>
      <c r="B7" s="15" t="s">
        <v>11</v>
      </c>
      <c r="C7" s="16">
        <v>1</v>
      </c>
      <c r="D7" s="16">
        <v>10</v>
      </c>
      <c r="E7" s="16">
        <f>1+6+340</f>
        <v>347</v>
      </c>
      <c r="F7" s="16">
        <f t="shared" si="0"/>
        <v>358</v>
      </c>
    </row>
    <row r="8" s="3" customFormat="1" ht="20.35" customHeight="1" spans="1:6">
      <c r="A8" s="10">
        <v>6</v>
      </c>
      <c r="B8" s="15" t="s">
        <v>12</v>
      </c>
      <c r="C8" s="16">
        <v>2</v>
      </c>
      <c r="D8" s="16"/>
      <c r="E8" s="16">
        <v>109</v>
      </c>
      <c r="F8" s="16">
        <f t="shared" si="0"/>
        <v>111</v>
      </c>
    </row>
    <row r="9" s="3" customFormat="1" ht="20.35" customHeight="1" spans="1:6">
      <c r="A9" s="10">
        <v>7</v>
      </c>
      <c r="B9" s="15" t="s">
        <v>13</v>
      </c>
      <c r="C9" s="16">
        <v>5</v>
      </c>
      <c r="D9" s="16">
        <f>57+11</f>
        <v>68</v>
      </c>
      <c r="E9" s="16">
        <f>1+21+79</f>
        <v>101</v>
      </c>
      <c r="F9" s="16">
        <f t="shared" si="0"/>
        <v>174</v>
      </c>
    </row>
    <row r="10" s="3" customFormat="1" ht="20.35" customHeight="1" spans="1:6">
      <c r="A10" s="10">
        <v>8</v>
      </c>
      <c r="B10" s="15" t="s">
        <v>14</v>
      </c>
      <c r="C10" s="16">
        <v>1</v>
      </c>
      <c r="D10" s="16">
        <v>16</v>
      </c>
      <c r="E10" s="16">
        <v>44</v>
      </c>
      <c r="F10" s="16">
        <f t="shared" si="0"/>
        <v>61</v>
      </c>
    </row>
    <row r="11" s="3" customFormat="1" ht="20.35" customHeight="1" spans="1:6">
      <c r="A11" s="10">
        <v>9</v>
      </c>
      <c r="B11" s="15" t="s">
        <v>15</v>
      </c>
      <c r="C11" s="16">
        <v>2</v>
      </c>
      <c r="D11" s="16">
        <v>7</v>
      </c>
      <c r="E11" s="16">
        <f>2+2+154</f>
        <v>158</v>
      </c>
      <c r="F11" s="16">
        <f t="shared" si="0"/>
        <v>167</v>
      </c>
    </row>
    <row r="12" s="3" customFormat="1" ht="20.35" customHeight="1" spans="1:6">
      <c r="A12" s="10">
        <v>10</v>
      </c>
      <c r="B12" s="15" t="s">
        <v>16</v>
      </c>
      <c r="C12" s="16">
        <v>2</v>
      </c>
      <c r="D12" s="16">
        <v>58</v>
      </c>
      <c r="E12" s="16">
        <f>1+1+263</f>
        <v>265</v>
      </c>
      <c r="F12" s="16">
        <f t="shared" si="0"/>
        <v>325</v>
      </c>
    </row>
    <row r="13" s="3" customFormat="1" ht="20.35" customHeight="1" spans="1:6">
      <c r="A13" s="10">
        <v>11</v>
      </c>
      <c r="B13" s="15" t="s">
        <v>17</v>
      </c>
      <c r="C13" s="16"/>
      <c r="D13" s="16">
        <v>3</v>
      </c>
      <c r="E13" s="16">
        <v>68</v>
      </c>
      <c r="F13" s="16">
        <f t="shared" si="0"/>
        <v>71</v>
      </c>
    </row>
    <row r="14" s="3" customFormat="1" ht="20.35" customHeight="1" spans="1:6">
      <c r="A14" s="10">
        <v>12</v>
      </c>
      <c r="B14" s="15" t="s">
        <v>18</v>
      </c>
      <c r="C14" s="16">
        <v>1</v>
      </c>
      <c r="D14" s="16">
        <v>10</v>
      </c>
      <c r="E14" s="16">
        <f>1+270</f>
        <v>271</v>
      </c>
      <c r="F14" s="16">
        <f t="shared" si="0"/>
        <v>282</v>
      </c>
    </row>
    <row r="15" s="3" customFormat="1" ht="20.35" customHeight="1" spans="1:6">
      <c r="A15" s="10">
        <v>13</v>
      </c>
      <c r="B15" s="15" t="s">
        <v>19</v>
      </c>
      <c r="C15" s="16">
        <v>1</v>
      </c>
      <c r="D15" s="16">
        <v>67</v>
      </c>
      <c r="E15" s="16">
        <f>7+2+331</f>
        <v>340</v>
      </c>
      <c r="F15" s="16">
        <f t="shared" si="0"/>
        <v>408</v>
      </c>
    </row>
    <row r="16" s="3" customFormat="1" ht="20.35" customHeight="1" spans="1:6">
      <c r="A16" s="10">
        <v>14</v>
      </c>
      <c r="B16" s="15" t="s">
        <v>20</v>
      </c>
      <c r="C16" s="16"/>
      <c r="D16" s="16">
        <v>1</v>
      </c>
      <c r="E16" s="16">
        <f>1+108</f>
        <v>109</v>
      </c>
      <c r="F16" s="16">
        <f t="shared" si="0"/>
        <v>110</v>
      </c>
    </row>
    <row r="17" s="3" customFormat="1" ht="20.35" customHeight="1" spans="1:6">
      <c r="A17" s="10">
        <v>15</v>
      </c>
      <c r="B17" s="15" t="s">
        <v>21</v>
      </c>
      <c r="C17" s="16"/>
      <c r="D17" s="16">
        <v>8</v>
      </c>
      <c r="E17" s="16">
        <f>4+2+144</f>
        <v>150</v>
      </c>
      <c r="F17" s="16">
        <f t="shared" si="0"/>
        <v>158</v>
      </c>
    </row>
    <row r="18" s="3" customFormat="1" ht="20.35" customHeight="1" spans="1:6">
      <c r="A18" s="10">
        <v>16</v>
      </c>
      <c r="B18" s="15" t="s">
        <v>22</v>
      </c>
      <c r="C18" s="16">
        <v>2</v>
      </c>
      <c r="D18" s="16">
        <v>16</v>
      </c>
      <c r="E18" s="16">
        <v>25</v>
      </c>
      <c r="F18" s="16">
        <f t="shared" si="0"/>
        <v>43</v>
      </c>
    </row>
    <row r="19" s="3" customFormat="1" ht="20.35" customHeight="1" spans="1:6">
      <c r="A19" s="10">
        <v>17</v>
      </c>
      <c r="B19" s="15" t="s">
        <v>23</v>
      </c>
      <c r="C19" s="16"/>
      <c r="D19" s="16"/>
      <c r="E19" s="16"/>
      <c r="F19" s="16">
        <f t="shared" si="0"/>
        <v>0</v>
      </c>
    </row>
    <row r="20" s="3" customFormat="1" ht="20.35" customHeight="1" spans="1:6">
      <c r="A20" s="10">
        <v>18</v>
      </c>
      <c r="B20" s="15" t="s">
        <v>24</v>
      </c>
      <c r="C20" s="16"/>
      <c r="D20" s="16">
        <v>1</v>
      </c>
      <c r="E20" s="16">
        <v>16</v>
      </c>
      <c r="F20" s="16">
        <f t="shared" si="0"/>
        <v>17</v>
      </c>
    </row>
    <row r="21" s="3" customFormat="1" ht="20.35" customHeight="1" spans="1:6">
      <c r="A21" s="10">
        <v>19</v>
      </c>
      <c r="B21" s="15" t="s">
        <v>25</v>
      </c>
      <c r="C21" s="16">
        <v>2</v>
      </c>
      <c r="D21" s="16"/>
      <c r="E21" s="16">
        <v>12</v>
      </c>
      <c r="F21" s="16">
        <f t="shared" si="0"/>
        <v>14</v>
      </c>
    </row>
    <row r="22" s="3" customFormat="1" ht="20.35" customHeight="1" spans="1:6">
      <c r="A22" s="10">
        <v>20</v>
      </c>
      <c r="B22" s="15" t="s">
        <v>26</v>
      </c>
      <c r="C22" s="16">
        <v>1</v>
      </c>
      <c r="D22" s="16"/>
      <c r="E22" s="16"/>
      <c r="F22" s="16">
        <f t="shared" si="0"/>
        <v>1</v>
      </c>
    </row>
    <row r="23" s="3" customFormat="1" ht="20.35" customHeight="1" spans="1:6">
      <c r="A23" s="10">
        <v>21</v>
      </c>
      <c r="B23" s="15" t="s">
        <v>27</v>
      </c>
      <c r="C23" s="16"/>
      <c r="D23" s="16"/>
      <c r="E23" s="16">
        <v>3</v>
      </c>
      <c r="F23" s="16">
        <f t="shared" si="0"/>
        <v>3</v>
      </c>
    </row>
    <row r="24" s="3" customFormat="1" ht="20.35" customHeight="1" spans="1:6">
      <c r="A24" s="10">
        <v>22</v>
      </c>
      <c r="B24" s="15" t="s">
        <v>28</v>
      </c>
      <c r="C24" s="16">
        <v>2</v>
      </c>
      <c r="D24" s="16"/>
      <c r="E24" s="16">
        <f>3</f>
        <v>3</v>
      </c>
      <c r="F24" s="16"/>
    </row>
    <row r="25" s="3" customFormat="1" ht="20.35" customHeight="1" spans="1:6">
      <c r="A25" s="10">
        <v>23</v>
      </c>
      <c r="B25" s="15" t="s">
        <v>29</v>
      </c>
      <c r="C25" s="16">
        <f>64</f>
        <v>64</v>
      </c>
      <c r="D25" s="16"/>
      <c r="E25" s="16">
        <f>2</f>
        <v>2</v>
      </c>
      <c r="F25" s="16">
        <f t="shared" ref="F25:F36" si="1">C25+D25+E25</f>
        <v>66</v>
      </c>
    </row>
    <row r="26" s="3" customFormat="1" ht="20.35" customHeight="1" spans="1:6">
      <c r="A26" s="10">
        <v>24</v>
      </c>
      <c r="B26" s="15" t="s">
        <v>30</v>
      </c>
      <c r="C26" s="16">
        <f>1+48</f>
        <v>49</v>
      </c>
      <c r="D26" s="16"/>
      <c r="E26" s="16">
        <f>1</f>
        <v>1</v>
      </c>
      <c r="F26" s="16">
        <f t="shared" si="1"/>
        <v>50</v>
      </c>
    </row>
    <row r="27" s="3" customFormat="1" ht="20.35" customHeight="1" spans="1:6">
      <c r="A27" s="10">
        <v>25</v>
      </c>
      <c r="B27" s="15" t="s">
        <v>31</v>
      </c>
      <c r="C27" s="16">
        <f>1+1+1</f>
        <v>3</v>
      </c>
      <c r="D27" s="16"/>
      <c r="E27" s="16">
        <f>4</f>
        <v>4</v>
      </c>
      <c r="F27" s="16">
        <f t="shared" si="1"/>
        <v>7</v>
      </c>
    </row>
    <row r="28" s="3" customFormat="1" ht="20.35" customHeight="1" spans="1:6">
      <c r="A28" s="10">
        <v>26</v>
      </c>
      <c r="B28" s="15" t="s">
        <v>32</v>
      </c>
      <c r="C28" s="16">
        <v>14</v>
      </c>
      <c r="D28" s="16"/>
      <c r="E28" s="16">
        <f>1</f>
        <v>1</v>
      </c>
      <c r="F28" s="16">
        <f t="shared" si="1"/>
        <v>15</v>
      </c>
    </row>
    <row r="29" s="3" customFormat="1" ht="20.35" customHeight="1" spans="1:6">
      <c r="A29" s="10">
        <v>27</v>
      </c>
      <c r="B29" s="15" t="s">
        <v>33</v>
      </c>
      <c r="C29" s="16">
        <f>6+84+24</f>
        <v>114</v>
      </c>
      <c r="D29" s="16"/>
      <c r="E29" s="16"/>
      <c r="F29" s="16">
        <f t="shared" si="1"/>
        <v>114</v>
      </c>
    </row>
    <row r="30" s="3" customFormat="1" ht="20.35" customHeight="1" spans="1:6">
      <c r="A30" s="10">
        <v>28</v>
      </c>
      <c r="B30" s="15" t="s">
        <v>34</v>
      </c>
      <c r="C30" s="16">
        <f>1+12+1</f>
        <v>14</v>
      </c>
      <c r="D30" s="16"/>
      <c r="E30" s="16"/>
      <c r="F30" s="16">
        <f t="shared" si="1"/>
        <v>14</v>
      </c>
    </row>
    <row r="31" s="3" customFormat="1" ht="20.35" customHeight="1" spans="1:6">
      <c r="A31" s="10">
        <v>29</v>
      </c>
      <c r="B31" s="15" t="s">
        <v>35</v>
      </c>
      <c r="C31" s="16"/>
      <c r="D31" s="16"/>
      <c r="E31" s="16"/>
      <c r="F31" s="16">
        <f t="shared" si="1"/>
        <v>0</v>
      </c>
    </row>
    <row r="32" s="3" customFormat="1" ht="20.35" customHeight="1" spans="1:6">
      <c r="A32" s="10">
        <v>30</v>
      </c>
      <c r="B32" s="15" t="s">
        <v>36</v>
      </c>
      <c r="C32" s="16">
        <v>5</v>
      </c>
      <c r="D32" s="16"/>
      <c r="E32" s="16"/>
      <c r="F32" s="16">
        <f t="shared" si="1"/>
        <v>5</v>
      </c>
    </row>
    <row r="33" s="3" customFormat="1" ht="20.35" customHeight="1" spans="1:6">
      <c r="A33" s="10">
        <v>31</v>
      </c>
      <c r="B33" s="15" t="s">
        <v>37</v>
      </c>
      <c r="C33" s="16"/>
      <c r="D33" s="16"/>
      <c r="E33" s="16"/>
      <c r="F33" s="16">
        <f t="shared" si="1"/>
        <v>0</v>
      </c>
    </row>
    <row r="34" s="3" customFormat="1" ht="20.35" customHeight="1" spans="1:6">
      <c r="A34" s="10">
        <v>32</v>
      </c>
      <c r="B34" s="15" t="s">
        <v>38</v>
      </c>
      <c r="C34" s="16"/>
      <c r="D34" s="16"/>
      <c r="E34" s="16"/>
      <c r="F34" s="16">
        <f t="shared" si="1"/>
        <v>0</v>
      </c>
    </row>
    <row r="35" s="3" customFormat="1" ht="20.35" customHeight="1" spans="1:6">
      <c r="A35" s="10">
        <v>33</v>
      </c>
      <c r="B35" s="17" t="s">
        <v>39</v>
      </c>
      <c r="C35" s="16">
        <v>38</v>
      </c>
      <c r="D35" s="16"/>
      <c r="E35" s="16"/>
      <c r="F35" s="16">
        <f t="shared" si="1"/>
        <v>38</v>
      </c>
    </row>
    <row r="36" s="3" customFormat="1" ht="20.35" customHeight="1" spans="1:6">
      <c r="A36" s="10">
        <v>34</v>
      </c>
      <c r="B36" s="15" t="s">
        <v>40</v>
      </c>
      <c r="C36" s="16">
        <f>42+20</f>
        <v>62</v>
      </c>
      <c r="D36" s="16"/>
      <c r="E36" s="16"/>
      <c r="F36" s="16">
        <f t="shared" si="1"/>
        <v>62</v>
      </c>
    </row>
    <row r="37" s="3" customFormat="1" ht="20.35" customHeight="1" spans="1:6">
      <c r="A37" s="10">
        <v>35</v>
      </c>
      <c r="B37" s="15" t="s">
        <v>41</v>
      </c>
      <c r="C37" s="16">
        <v>42</v>
      </c>
      <c r="D37" s="16"/>
      <c r="E37" s="16"/>
      <c r="F37" s="16">
        <f t="shared" ref="F37:F56" si="2">C37+D37+E37</f>
        <v>42</v>
      </c>
    </row>
    <row r="38" s="3" customFormat="1" ht="20.35" customHeight="1" spans="1:6">
      <c r="A38" s="10">
        <v>36</v>
      </c>
      <c r="B38" s="15" t="s">
        <v>42</v>
      </c>
      <c r="C38" s="16">
        <f>10+634</f>
        <v>644</v>
      </c>
      <c r="D38" s="16"/>
      <c r="E38" s="16"/>
      <c r="F38" s="16">
        <f t="shared" si="2"/>
        <v>644</v>
      </c>
    </row>
    <row r="39" s="3" customFormat="1" ht="20.35" customHeight="1" spans="1:6">
      <c r="A39" s="10">
        <v>37</v>
      </c>
      <c r="B39" s="15" t="s">
        <v>43</v>
      </c>
      <c r="C39" s="16">
        <f>10+511</f>
        <v>521</v>
      </c>
      <c r="D39" s="16"/>
      <c r="E39" s="16"/>
      <c r="F39" s="16">
        <f t="shared" si="2"/>
        <v>521</v>
      </c>
    </row>
    <row r="40" s="3" customFormat="1" ht="20.35" customHeight="1" spans="1:6">
      <c r="A40" s="10">
        <v>38</v>
      </c>
      <c r="B40" s="15" t="s">
        <v>44</v>
      </c>
      <c r="C40" s="16"/>
      <c r="D40" s="16"/>
      <c r="E40" s="16"/>
      <c r="F40" s="16">
        <f t="shared" si="2"/>
        <v>0</v>
      </c>
    </row>
    <row r="41" s="3" customFormat="1" ht="20.35" customHeight="1" spans="1:6">
      <c r="A41" s="10">
        <v>39</v>
      </c>
      <c r="B41" s="15" t="s">
        <v>45</v>
      </c>
      <c r="C41" s="16">
        <v>67</v>
      </c>
      <c r="D41" s="16"/>
      <c r="E41" s="16"/>
      <c r="F41" s="16">
        <f t="shared" si="2"/>
        <v>67</v>
      </c>
    </row>
    <row r="42" s="3" customFormat="1" ht="20.35" customHeight="1" spans="1:6">
      <c r="A42" s="10">
        <v>40</v>
      </c>
      <c r="B42" s="15" t="s">
        <v>46</v>
      </c>
      <c r="C42" s="16">
        <v>76</v>
      </c>
      <c r="D42" s="16"/>
      <c r="E42" s="16"/>
      <c r="F42" s="16">
        <f t="shared" si="2"/>
        <v>76</v>
      </c>
    </row>
    <row r="43" s="3" customFormat="1" ht="20.35" customHeight="1" spans="1:6">
      <c r="A43" s="10">
        <v>41</v>
      </c>
      <c r="B43" s="15" t="s">
        <v>47</v>
      </c>
      <c r="C43" s="16">
        <v>3</v>
      </c>
      <c r="D43" s="16"/>
      <c r="E43" s="16"/>
      <c r="F43" s="16">
        <f t="shared" si="2"/>
        <v>3</v>
      </c>
    </row>
    <row r="44" s="3" customFormat="1" ht="20.35" customHeight="1" spans="1:6">
      <c r="A44" s="10">
        <v>42</v>
      </c>
      <c r="B44" s="15" t="s">
        <v>48</v>
      </c>
      <c r="C44" s="16"/>
      <c r="D44" s="16"/>
      <c r="E44" s="16"/>
      <c r="F44" s="16">
        <f t="shared" si="2"/>
        <v>0</v>
      </c>
    </row>
    <row r="45" s="3" customFormat="1" ht="20.35" customHeight="1" spans="1:6">
      <c r="A45" s="10">
        <v>43</v>
      </c>
      <c r="B45" s="15" t="s">
        <v>49</v>
      </c>
      <c r="C45" s="16"/>
      <c r="D45" s="16"/>
      <c r="E45" s="16"/>
      <c r="F45" s="16">
        <f t="shared" si="2"/>
        <v>0</v>
      </c>
    </row>
    <row r="46" s="3" customFormat="1" ht="20.35" customHeight="1" spans="1:6">
      <c r="A46" s="10">
        <v>44</v>
      </c>
      <c r="B46" s="15" t="s">
        <v>50</v>
      </c>
      <c r="C46" s="16"/>
      <c r="D46" s="16"/>
      <c r="E46" s="16"/>
      <c r="F46" s="16">
        <f t="shared" si="2"/>
        <v>0</v>
      </c>
    </row>
    <row r="47" s="3" customFormat="1" ht="20.35" customHeight="1" spans="1:6">
      <c r="A47" s="10">
        <v>45</v>
      </c>
      <c r="B47" s="15" t="s">
        <v>51</v>
      </c>
      <c r="C47" s="16"/>
      <c r="D47" s="16"/>
      <c r="E47" s="16"/>
      <c r="F47" s="16">
        <f t="shared" si="2"/>
        <v>0</v>
      </c>
    </row>
    <row r="48" s="3" customFormat="1" ht="20.35" customHeight="1" spans="1:6">
      <c r="A48" s="10">
        <v>46</v>
      </c>
      <c r="B48" s="15" t="s">
        <v>52</v>
      </c>
      <c r="C48" s="16"/>
      <c r="D48" s="16"/>
      <c r="E48" s="16"/>
      <c r="F48" s="16">
        <f t="shared" si="2"/>
        <v>0</v>
      </c>
    </row>
    <row r="49" s="3" customFormat="1" ht="20.35" customHeight="1" spans="1:6">
      <c r="A49" s="10">
        <v>47</v>
      </c>
      <c r="B49" s="15" t="s">
        <v>53</v>
      </c>
      <c r="C49" s="16">
        <f>2</f>
        <v>2</v>
      </c>
      <c r="D49" s="16"/>
      <c r="E49" s="16"/>
      <c r="F49" s="16">
        <f t="shared" si="2"/>
        <v>2</v>
      </c>
    </row>
    <row r="50" s="3" customFormat="1" ht="20.35" customHeight="1" spans="1:6">
      <c r="A50" s="10">
        <v>48</v>
      </c>
      <c r="B50" s="15" t="s">
        <v>54</v>
      </c>
      <c r="C50" s="16">
        <v>40</v>
      </c>
      <c r="D50" s="16"/>
      <c r="E50" s="16"/>
      <c r="F50" s="16">
        <f t="shared" si="2"/>
        <v>40</v>
      </c>
    </row>
    <row r="51" s="3" customFormat="1" ht="20.35" customHeight="1" spans="1:6">
      <c r="A51" s="10">
        <v>49</v>
      </c>
      <c r="B51" s="15" t="s">
        <v>55</v>
      </c>
      <c r="C51" s="16"/>
      <c r="D51" s="16"/>
      <c r="E51" s="16"/>
      <c r="F51" s="16">
        <f t="shared" si="2"/>
        <v>0</v>
      </c>
    </row>
    <row r="52" s="3" customFormat="1" ht="20.35" customHeight="1" spans="1:6">
      <c r="A52" s="10">
        <v>50</v>
      </c>
      <c r="B52" s="15" t="s">
        <v>56</v>
      </c>
      <c r="C52" s="16"/>
      <c r="D52" s="16"/>
      <c r="E52" s="16"/>
      <c r="F52" s="16">
        <f t="shared" si="2"/>
        <v>0</v>
      </c>
    </row>
    <row r="53" s="3" customFormat="1" ht="20.35" customHeight="1" spans="1:6">
      <c r="A53" s="10">
        <v>51</v>
      </c>
      <c r="B53" s="15" t="s">
        <v>57</v>
      </c>
      <c r="C53" s="16"/>
      <c r="D53" s="16"/>
      <c r="E53" s="16"/>
      <c r="F53" s="16">
        <f t="shared" si="2"/>
        <v>0</v>
      </c>
    </row>
    <row r="54" s="3" customFormat="1" ht="20.35" customHeight="1" spans="1:6">
      <c r="A54" s="10">
        <v>52</v>
      </c>
      <c r="B54" s="15" t="s">
        <v>58</v>
      </c>
      <c r="C54" s="16"/>
      <c r="D54" s="16"/>
      <c r="E54" s="16"/>
      <c r="F54" s="16">
        <f t="shared" si="2"/>
        <v>0</v>
      </c>
    </row>
    <row r="55" s="3" customFormat="1" ht="20.35" customHeight="1" spans="1:6">
      <c r="A55" s="10">
        <v>53</v>
      </c>
      <c r="B55" s="15" t="s">
        <v>59</v>
      </c>
      <c r="C55" s="16">
        <v>5</v>
      </c>
      <c r="D55" s="16"/>
      <c r="E55" s="16"/>
      <c r="F55" s="16">
        <f t="shared" si="2"/>
        <v>5</v>
      </c>
    </row>
    <row r="56" s="3" customFormat="1" ht="20.35" customHeight="1" spans="1:6">
      <c r="A56" s="18" t="s">
        <v>60</v>
      </c>
      <c r="B56" s="19"/>
      <c r="C56" s="11">
        <f>SUM(C3:C55)</f>
        <v>5244</v>
      </c>
      <c r="D56" s="11">
        <f>SUM(D3:D55)</f>
        <v>271</v>
      </c>
      <c r="E56" s="11">
        <f>SUM(E3:E55)</f>
        <v>2348</v>
      </c>
      <c r="F56" s="16">
        <f t="shared" si="2"/>
        <v>7863</v>
      </c>
    </row>
  </sheetData>
  <mergeCells count="2">
    <mergeCell ref="A1:F1"/>
    <mergeCell ref="A56:B56"/>
  </mergeCells>
  <printOptions gridLines="1"/>
  <pageMargins left="0.432638888888889" right="0.25" top="0.314583333333333" bottom="0.275" header="0.298611111111111" footer="0.298611111111111"/>
  <pageSetup paperSize="9" scale="68" orientation="portrait" horizontalDpi="300" verticalDpi="300"/>
  <headerFooter alignWithMargins="0"/>
  <rowBreaks count="1" manualBreakCount="1"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哈尔滨市第五医院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2026-03-31T04:26:23Z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35D04DE06E9342A08F5A5D40CAB72078_13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