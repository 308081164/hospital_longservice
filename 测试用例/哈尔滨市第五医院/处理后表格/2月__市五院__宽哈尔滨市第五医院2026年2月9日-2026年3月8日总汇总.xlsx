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85" windowHeight="12255" firstSheet="5"/>
  </bookViews>
  <sheets>
    <sheet name="Sheet2" sheetId="6" r:id="rId1"/>
  </sheets>
  <definedNames>
    <definedName name="_xlnm._FilterDatabase" localSheetId="0" hidden="1">Sheet2!$A$3:$G$43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<sst xmlns="http://schemas.openxmlformats.org/spreadsheetml/2006/main" count="49" uniqueCount="49">
  <si>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哈尔滨市第五医院2026年2月9日-2026年3月8日科室灭菌价格汇总</t>
  </si>
  <si>
    <t>科室</t>
  </si>
  <si>
    <t>基础器械</t>
  </si>
  <si>
    <t>低温器械</t>
  </si>
  <si>
    <t>外来器械</t>
  </si>
  <si>
    <t>物流费用</t>
  </si>
  <si>
    <t>价格</t>
  </si>
  <si>
    <t>确认签字</t>
  </si>
  <si>
    <t>合计费用</t>
  </si>
  <si>
    <t>（一）手术室</t>
  </si>
  <si>
    <t>（二）手术室</t>
  </si>
  <si>
    <t>骨一(一病区)</t>
  </si>
  <si>
    <t>骨一(二病区)</t>
  </si>
  <si>
    <t>骨二</t>
  </si>
  <si>
    <t>骨三</t>
  </si>
  <si>
    <t>骨四</t>
  </si>
  <si>
    <t>骨四（二）</t>
  </si>
  <si>
    <t>骨五</t>
  </si>
  <si>
    <t>骨六</t>
  </si>
  <si>
    <t>骨七</t>
  </si>
  <si>
    <t>骨八</t>
  </si>
  <si>
    <t>骨九</t>
  </si>
  <si>
    <t>骨十</t>
  </si>
  <si>
    <t>骨十一</t>
  </si>
  <si>
    <t>胸外科</t>
  </si>
  <si>
    <t>创伤外科</t>
  </si>
  <si>
    <t>普外二</t>
  </si>
  <si>
    <t>普外三</t>
  </si>
  <si>
    <t>神外病区</t>
  </si>
  <si>
    <t>偏瘫科</t>
  </si>
  <si>
    <t>烧伤一科</t>
  </si>
  <si>
    <t>烧伤二科</t>
  </si>
  <si>
    <t>烧伤三科</t>
  </si>
  <si>
    <t>慢创</t>
  </si>
  <si>
    <t>ICU</t>
  </si>
  <si>
    <t>产科分娩室</t>
  </si>
  <si>
    <t>肾内科</t>
  </si>
  <si>
    <t>急诊科</t>
  </si>
  <si>
    <t>耳鼻喉手术室</t>
  </si>
  <si>
    <t>耳鼻喉门诊</t>
  </si>
  <si>
    <t>眼科门诊</t>
  </si>
  <si>
    <t>口内</t>
  </si>
  <si>
    <t>口外</t>
  </si>
  <si>
    <t>妇科门诊</t>
  </si>
  <si>
    <t>美容科</t>
  </si>
  <si>
    <t>门诊换药室</t>
  </si>
  <si>
    <t>冲击波门诊</t>
  </si>
  <si>
    <t>二门诊手术室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</si>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</sst>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[$-10804]0.00;\(0.00\)"/>
    <numFmt numFmtId="179" formatCode="0.00_);\(0.00\)"/>
  </numFmts>
  <fonts count="30"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 readingOrder="1"/>
    </xf>
    <xf numFmtId="178" fontId="7" fillId="0" borderId="1" xfId="0" applyNumberFormat="1" applyFont="1" applyFill="1" applyBorder="1" applyAlignment="1">
      <alignment horizontal="center" vertical="center" wrapText="1" readingOrder="1"/>
    </xf>
    <xf numFmtId="179" fontId="2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 vertical="center" wrapText="1" readingOrder="1"/>
    </xf>
    <xf numFmtId="178" fontId="8" fillId="0" borderId="1" xfId="0" applyNumberFormat="1" applyFont="1" applyFill="1" applyBorder="1" applyAlignment="1">
      <alignment horizontal="center" vertical="center" wrapText="1" readingOrder="1"/>
    </xf>
    <xf numFmtId="176" fontId="8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view="pageBreakPreview" zoomScaleNormal="100" workbookViewId="0">
      <pane xSplit="1" ySplit="3" topLeftCell="B38" activePane="bottomRight" state="frozen"/>
      <selection/>
      <selection pane="topRight"/>
      <selection pane="bottomLeft"/>
      <selection pane="bottomRight" activeCell="B43" sqref="B43:C43"/>
    </sheetView>
  </sheetViews>
  <sheetFormatPr defaultColWidth="9" defaultRowHeight="17.25" outlineLevelCol="6"/>
  <cols>
    <col min="1" max="1" width="22.2583333333333" style="4" customWidth="1"/>
    <col min="2" max="2" width="13.625" style="5" customWidth="1"/>
    <col min="3" max="4" width="12.875" style="6" customWidth="1"/>
    <col min="5" max="5" width="11.2583333333333" style="7" customWidth="1"/>
    <col min="6" max="6" width="14.5" style="8" customWidth="1"/>
    <col min="7" max="7" width="11.2583333333333" style="9" customWidth="1"/>
    <col min="8" max="16224" width="11" style="1"/>
    <col min="16225" max="16384" width="9" style="1"/>
  </cols>
  <sheetData>
    <row r="1" s="1" customFormat="1" ht="22" customHeight="1" spans="1:7">
      <c r="A1" s="10" t="s">
        <v>0</v>
      </c>
      <c r="B1" s="11"/>
      <c r="C1" s="12"/>
      <c r="D1" s="12"/>
      <c r="E1" s="13"/>
      <c r="F1" s="14"/>
      <c r="G1" s="10"/>
    </row>
    <row r="2" s="2" customFormat="1" ht="22" customHeight="1" spans="1:7">
      <c r="A2" s="15" t="s">
        <v>1</v>
      </c>
      <c r="B2" s="16" t="s">
        <v>2</v>
      </c>
      <c r="C2" s="17" t="s">
        <v>3</v>
      </c>
      <c r="D2" s="18" t="s">
        <v>4</v>
      </c>
      <c r="E2" s="19" t="s">
        <v>5</v>
      </c>
      <c r="F2" s="18" t="s">
        <v>6</v>
      </c>
      <c r="G2" s="15" t="s">
        <v>7</v>
      </c>
    </row>
    <row r="3" s="2" customFormat="1" ht="22" customHeight="1" spans="1:7">
      <c r="A3" s="15"/>
      <c r="B3" s="16"/>
      <c r="C3" s="17"/>
      <c r="D3" s="18"/>
      <c r="E3" s="19"/>
      <c r="F3" s="18" t="s">
        <v>8</v>
      </c>
      <c r="G3" s="15"/>
    </row>
    <row r="4" s="3" customFormat="1" ht="50" customHeight="1" spans="1:7">
      <c r="A4" s="20" t="s">
        <v>9</v>
      </c>
      <c r="B4" s="21">
        <v>167936.5</v>
      </c>
      <c r="C4" s="17">
        <v>231</v>
      </c>
      <c r="D4" s="17">
        <v>414</v>
      </c>
      <c r="E4" s="19">
        <v>238.77</v>
      </c>
      <c r="F4" s="22">
        <f>B4+C4+D4+E4</f>
        <v>168820.27</v>
      </c>
      <c r="G4" s="15"/>
    </row>
    <row r="5" s="3" customFormat="1" ht="50" customHeight="1" spans="1:7">
      <c r="A5" s="20" t="s">
        <v>10</v>
      </c>
      <c r="B5" s="21">
        <v>43131</v>
      </c>
      <c r="C5" s="17"/>
      <c r="D5" s="17"/>
      <c r="E5" s="19">
        <v>61.09</v>
      </c>
      <c r="F5" s="22">
        <f t="shared" ref="F5:F52" si="0">B5+C5+D5+E5</f>
        <v>43192.09</v>
      </c>
      <c r="G5" s="15"/>
    </row>
    <row r="6" s="3" customFormat="1" ht="50" customHeight="1" spans="1:7">
      <c r="A6" s="20" t="s">
        <v>11</v>
      </c>
      <c r="B6" s="21">
        <f>88+44</f>
        <v>132</v>
      </c>
      <c r="C6" s="17">
        <v>88</v>
      </c>
      <c r="D6" s="17">
        <f>786.5+215+16.5+1079.5+7986</f>
        <v>10083.5</v>
      </c>
      <c r="E6" s="19">
        <v>14.59</v>
      </c>
      <c r="F6" s="22">
        <f t="shared" si="0"/>
        <v>10318.09</v>
      </c>
      <c r="G6" s="15"/>
    </row>
    <row r="7" s="3" customFormat="1" ht="50" customHeight="1" spans="1:7">
      <c r="A7" s="20" t="s">
        <v>12</v>
      </c>
      <c r="B7" s="21">
        <v>55</v>
      </c>
      <c r="C7" s="17">
        <v>264</v>
      </c>
      <c r="D7" s="17">
        <f>572+33+726+6296.5</f>
        <v>7627.5</v>
      </c>
      <c r="E7" s="19">
        <v>11.25</v>
      </c>
      <c r="F7" s="22">
        <f t="shared" si="0"/>
        <v>7957.75</v>
      </c>
      <c r="G7" s="15"/>
    </row>
    <row r="8" s="3" customFormat="1" ht="50" customHeight="1" spans="1:7">
      <c r="A8" s="20" t="s">
        <v>13</v>
      </c>
      <c r="B8" s="21">
        <v>44</v>
      </c>
      <c r="C8" s="17">
        <v>844</v>
      </c>
      <c r="D8" s="17">
        <f>22+1298+35994.5</f>
        <v>37314.5</v>
      </c>
      <c r="E8" s="19">
        <v>54.11</v>
      </c>
      <c r="F8" s="22">
        <f t="shared" si="0"/>
        <v>38256.61</v>
      </c>
      <c r="G8" s="15"/>
    </row>
    <row r="9" s="3" customFormat="1" ht="50" customHeight="1" spans="1:7">
      <c r="A9" s="20" t="s">
        <v>14</v>
      </c>
      <c r="B9" s="21">
        <v>88</v>
      </c>
      <c r="C9" s="2"/>
      <c r="D9" s="17">
        <v>8425.5</v>
      </c>
      <c r="E9" s="19">
        <v>12.06</v>
      </c>
      <c r="F9" s="22">
        <f t="shared" si="0"/>
        <v>8525.56</v>
      </c>
      <c r="G9" s="15"/>
    </row>
    <row r="10" s="3" customFormat="1" ht="50" customHeight="1" spans="1:7">
      <c r="A10" s="20" t="s">
        <v>15</v>
      </c>
      <c r="B10" s="21">
        <f>192.5</f>
        <v>192.5</v>
      </c>
      <c r="C10" s="17">
        <f>6401+616</f>
        <v>7017</v>
      </c>
      <c r="D10" s="17">
        <f>181.5+2361+12570.5</f>
        <v>15113</v>
      </c>
      <c r="E10" s="19">
        <v>31.62</v>
      </c>
      <c r="F10" s="22">
        <f t="shared" si="0"/>
        <v>22354.12</v>
      </c>
      <c r="G10" s="15"/>
    </row>
    <row r="11" s="3" customFormat="1" ht="50" customHeight="1" spans="1:7">
      <c r="A11" s="20" t="s">
        <v>16</v>
      </c>
      <c r="B11" s="21">
        <v>44</v>
      </c>
      <c r="C11" s="17">
        <v>2464</v>
      </c>
      <c r="D11" s="17">
        <v>5658</v>
      </c>
      <c r="E11" s="19">
        <v>11.57</v>
      </c>
      <c r="F11" s="22">
        <f t="shared" si="0"/>
        <v>8177.57</v>
      </c>
      <c r="G11" s="15"/>
    </row>
    <row r="12" s="3" customFormat="1" ht="50" customHeight="1" spans="1:7">
      <c r="A12" s="20" t="s">
        <v>17</v>
      </c>
      <c r="B12" s="21">
        <v>88</v>
      </c>
      <c r="C12" s="17">
        <v>817</v>
      </c>
      <c r="D12" s="17">
        <f>44+291.5+14748</f>
        <v>15083.5</v>
      </c>
      <c r="E12" s="19">
        <v>22.65</v>
      </c>
      <c r="F12" s="22">
        <f t="shared" si="0"/>
        <v>16011.15</v>
      </c>
      <c r="G12" s="15"/>
    </row>
    <row r="13" s="3" customFormat="1" ht="50" customHeight="1" spans="1:7">
      <c r="A13" s="20" t="s">
        <v>18</v>
      </c>
      <c r="B13" s="21">
        <v>88</v>
      </c>
      <c r="C13" s="17">
        <v>2889</v>
      </c>
      <c r="D13" s="17">
        <f>280.5+55+24548</f>
        <v>24883.5</v>
      </c>
      <c r="E13" s="19">
        <v>39.46</v>
      </c>
      <c r="F13" s="22">
        <f t="shared" si="0"/>
        <v>27899.96</v>
      </c>
      <c r="G13" s="15"/>
    </row>
    <row r="14" s="3" customFormat="1" ht="50" customHeight="1" spans="1:7">
      <c r="A14" s="20" t="s">
        <v>19</v>
      </c>
      <c r="B14" s="21"/>
      <c r="C14" s="17">
        <v>264</v>
      </c>
      <c r="D14" s="17">
        <v>6787</v>
      </c>
      <c r="E14" s="19">
        <v>9.99</v>
      </c>
      <c r="F14" s="22">
        <f t="shared" si="0"/>
        <v>7060.99</v>
      </c>
      <c r="G14" s="15"/>
    </row>
    <row r="15" s="3" customFormat="1" ht="50" customHeight="1" spans="1:7">
      <c r="A15" s="20" t="s">
        <v>20</v>
      </c>
      <c r="B15" s="21">
        <v>44</v>
      </c>
      <c r="C15" s="17">
        <v>1320</v>
      </c>
      <c r="D15" s="17">
        <f>16.5+31635.5</f>
        <v>31652</v>
      </c>
      <c r="E15" s="19">
        <v>46.76</v>
      </c>
      <c r="F15" s="22">
        <f t="shared" si="0"/>
        <v>33062.76</v>
      </c>
      <c r="G15" s="15"/>
    </row>
    <row r="16" s="3" customFormat="1" ht="50" customHeight="1" spans="1:7">
      <c r="A16" s="20" t="s">
        <v>21</v>
      </c>
      <c r="B16" s="21">
        <v>44</v>
      </c>
      <c r="C16" s="17">
        <v>3292</v>
      </c>
      <c r="D16" s="17">
        <f>121+583+34324</f>
        <v>35028</v>
      </c>
      <c r="E16" s="19">
        <v>54.34</v>
      </c>
      <c r="F16" s="22">
        <f t="shared" si="0"/>
        <v>38418.34</v>
      </c>
      <c r="G16" s="15"/>
    </row>
    <row r="17" s="3" customFormat="1" ht="50" customHeight="1" spans="1:7">
      <c r="A17" s="20" t="s">
        <v>22</v>
      </c>
      <c r="B17" s="21"/>
      <c r="C17" s="17">
        <v>22</v>
      </c>
      <c r="D17" s="17">
        <f>357.5+11208</f>
        <v>11565.5</v>
      </c>
      <c r="E17" s="19">
        <v>16.41</v>
      </c>
      <c r="F17" s="22">
        <f t="shared" si="0"/>
        <v>11603.91</v>
      </c>
      <c r="G17" s="15"/>
    </row>
    <row r="18" s="3" customFormat="1" ht="50" customHeight="1" spans="1:7">
      <c r="A18" s="20" t="s">
        <v>23</v>
      </c>
      <c r="B18" s="21"/>
      <c r="C18" s="21">
        <v>1012</v>
      </c>
      <c r="D18" s="17">
        <f>335.5+583+12693</f>
        <v>13611.5</v>
      </c>
      <c r="E18" s="19">
        <v>20.71</v>
      </c>
      <c r="F18" s="22">
        <f t="shared" si="0"/>
        <v>14644.21</v>
      </c>
      <c r="G18" s="15"/>
    </row>
    <row r="19" s="3" customFormat="1" ht="50" customHeight="1" spans="1:7">
      <c r="A19" s="20" t="s">
        <v>24</v>
      </c>
      <c r="B19" s="21">
        <v>88</v>
      </c>
      <c r="C19" s="17">
        <v>1030</v>
      </c>
      <c r="D19" s="17">
        <v>3277</v>
      </c>
      <c r="E19" s="19">
        <v>6.22</v>
      </c>
      <c r="F19" s="22">
        <f t="shared" si="0"/>
        <v>4401.22</v>
      </c>
      <c r="G19" s="15"/>
    </row>
    <row r="20" s="3" customFormat="1" ht="50" customHeight="1" spans="1:7">
      <c r="A20" s="20" t="s">
        <v>25</v>
      </c>
      <c r="B20" s="21"/>
      <c r="C20" s="17">
        <v>132</v>
      </c>
      <c r="D20" s="17">
        <v>1719.5</v>
      </c>
      <c r="E20" s="19">
        <v>2.62</v>
      </c>
      <c r="F20" s="22">
        <f t="shared" si="0"/>
        <v>1854.12</v>
      </c>
      <c r="G20" s="15"/>
    </row>
    <row r="21" s="3" customFormat="1" ht="50" customHeight="1" spans="1:7">
      <c r="A21" s="20" t="s">
        <v>26</v>
      </c>
      <c r="B21" s="21">
        <v>88</v>
      </c>
      <c r="C21" s="17"/>
      <c r="D21" s="17">
        <v>1982.5</v>
      </c>
      <c r="E21" s="19">
        <v>2.93</v>
      </c>
      <c r="F21" s="22">
        <f t="shared" si="0"/>
        <v>2073.43</v>
      </c>
      <c r="G21" s="15"/>
    </row>
    <row r="22" s="3" customFormat="1" ht="50" customHeight="1" spans="1:7">
      <c r="A22" s="20" t="s">
        <v>27</v>
      </c>
      <c r="B22" s="21">
        <v>44</v>
      </c>
      <c r="C22" s="17"/>
      <c r="D22" s="17"/>
      <c r="E22" s="19">
        <v>0.06</v>
      </c>
      <c r="F22" s="22">
        <f t="shared" si="0"/>
        <v>44.06</v>
      </c>
      <c r="G22" s="15"/>
    </row>
    <row r="23" s="3" customFormat="1" ht="50" customHeight="1" spans="1:7">
      <c r="A23" s="20" t="s">
        <v>28</v>
      </c>
      <c r="B23" s="17"/>
      <c r="C23" s="17"/>
      <c r="D23" s="17">
        <v>369.5</v>
      </c>
      <c r="E23" s="19">
        <v>0.52</v>
      </c>
      <c r="F23" s="22">
        <f t="shared" si="0"/>
        <v>370.02</v>
      </c>
      <c r="G23" s="15"/>
    </row>
    <row r="24" s="3" customFormat="1" ht="50" customHeight="1" spans="1:7">
      <c r="A24" s="20" t="s">
        <v>29</v>
      </c>
      <c r="B24" s="21">
        <v>143</v>
      </c>
      <c r="C24" s="17"/>
      <c r="D24" s="17">
        <v>264</v>
      </c>
      <c r="E24" s="19">
        <v>0.58</v>
      </c>
      <c r="F24" s="22">
        <f t="shared" si="0"/>
        <v>407.58</v>
      </c>
      <c r="G24" s="15"/>
    </row>
    <row r="25" s="3" customFormat="1" ht="50" customHeight="1" spans="1:7">
      <c r="A25" s="20" t="s">
        <v>30</v>
      </c>
      <c r="B25" s="21">
        <v>1430</v>
      </c>
      <c r="C25" s="17"/>
      <c r="D25" s="17">
        <v>38.5</v>
      </c>
      <c r="E25" s="19">
        <v>2.08</v>
      </c>
      <c r="F25" s="22">
        <f t="shared" si="0"/>
        <v>1470.58</v>
      </c>
      <c r="G25" s="15"/>
    </row>
    <row r="26" s="3" customFormat="1" ht="50" customHeight="1" spans="1:7">
      <c r="A26" s="20" t="s">
        <v>31</v>
      </c>
      <c r="B26" s="21">
        <f>16.5+874.5</f>
        <v>891</v>
      </c>
      <c r="C26" s="17">
        <v>176</v>
      </c>
      <c r="D26" s="17">
        <v>22</v>
      </c>
      <c r="E26" s="19">
        <v>1.54</v>
      </c>
      <c r="F26" s="22">
        <f t="shared" si="0"/>
        <v>1090.54</v>
      </c>
      <c r="G26" s="15"/>
    </row>
    <row r="27" s="3" customFormat="1" ht="50" customHeight="1" spans="1:7">
      <c r="A27" s="20" t="s">
        <v>32</v>
      </c>
      <c r="B27" s="21">
        <f>44+11+55</f>
        <v>110</v>
      </c>
      <c r="C27" s="17"/>
      <c r="D27" s="17">
        <v>37.5</v>
      </c>
      <c r="E27" s="19">
        <v>0.21</v>
      </c>
      <c r="F27" s="22">
        <f t="shared" si="0"/>
        <v>147.71</v>
      </c>
      <c r="G27" s="15"/>
    </row>
    <row r="28" s="3" customFormat="1" ht="50" customHeight="1" spans="1:7">
      <c r="A28" s="20" t="s">
        <v>33</v>
      </c>
      <c r="B28" s="21">
        <v>294</v>
      </c>
      <c r="C28" s="17"/>
      <c r="D28" s="17">
        <v>16.5</v>
      </c>
      <c r="E28" s="19">
        <v>0.44</v>
      </c>
      <c r="F28" s="22">
        <f t="shared" si="0"/>
        <v>310.94</v>
      </c>
      <c r="G28" s="15"/>
    </row>
    <row r="29" s="3" customFormat="1" ht="50" customHeight="1" spans="1:7">
      <c r="A29" s="20" t="s">
        <v>34</v>
      </c>
      <c r="B29" s="21">
        <f>16.5+273+2.5</f>
        <v>292</v>
      </c>
      <c r="C29" s="17">
        <v>35</v>
      </c>
      <c r="D29" s="17"/>
      <c r="E29" s="19">
        <v>0.46</v>
      </c>
      <c r="F29" s="22">
        <f t="shared" si="0"/>
        <v>327.46</v>
      </c>
      <c r="G29" s="15"/>
    </row>
    <row r="30" s="3" customFormat="1" ht="50" customHeight="1" spans="1:7">
      <c r="A30" s="20" t="s">
        <v>35</v>
      </c>
      <c r="B30" s="21">
        <v>148.5</v>
      </c>
      <c r="C30" s="17"/>
      <c r="D30" s="17"/>
      <c r="E30" s="19">
        <v>0.21</v>
      </c>
      <c r="F30" s="22">
        <f>B30+C30+D30+E30</f>
        <v>148.71</v>
      </c>
      <c r="G30" s="15"/>
    </row>
    <row r="31" s="3" customFormat="1" ht="50" customHeight="1" spans="1:7">
      <c r="A31" s="20" t="s">
        <v>36</v>
      </c>
      <c r="B31" s="21">
        <v>88</v>
      </c>
      <c r="C31" s="17"/>
      <c r="D31" s="17"/>
      <c r="E31" s="19">
        <v>0.12</v>
      </c>
      <c r="F31" s="22">
        <f>B31+C31+D31+E31</f>
        <v>88.12</v>
      </c>
      <c r="G31" s="15"/>
    </row>
    <row r="32" s="3" customFormat="1" ht="50" customHeight="1" spans="1:7">
      <c r="A32" s="20" t="s">
        <v>37</v>
      </c>
      <c r="B32" s="21">
        <f>110+3696+500.5</f>
        <v>4306.5</v>
      </c>
      <c r="C32" s="17">
        <v>28</v>
      </c>
      <c r="D32" s="17"/>
      <c r="E32" s="19">
        <v>6.14</v>
      </c>
      <c r="F32" s="22">
        <f>B32+C32+D32+E32</f>
        <v>4340.64</v>
      </c>
      <c r="G32" s="15"/>
    </row>
    <row r="33" s="3" customFormat="1" ht="50" customHeight="1" spans="1:7">
      <c r="A33" s="23" t="s">
        <v>38</v>
      </c>
      <c r="B33" s="24">
        <f>706</f>
        <v>706</v>
      </c>
      <c r="C33" s="25">
        <v>866</v>
      </c>
      <c r="D33" s="17"/>
      <c r="E33" s="19">
        <v>2.23</v>
      </c>
      <c r="F33" s="22">
        <f>B33+C33+D33+E33</f>
        <v>1574.23</v>
      </c>
      <c r="G33" s="15"/>
    </row>
    <row r="34" s="3" customFormat="1" ht="50" customHeight="1" spans="1:7">
      <c r="A34" s="20" t="s">
        <v>39</v>
      </c>
      <c r="B34" s="24">
        <f>913.5+50</f>
        <v>963.5</v>
      </c>
      <c r="C34" s="25"/>
      <c r="D34" s="17"/>
      <c r="E34" s="19">
        <v>1.36</v>
      </c>
      <c r="F34" s="22">
        <f>B34+C34+D34+E34</f>
        <v>964.86</v>
      </c>
      <c r="G34" s="15"/>
    </row>
    <row r="35" s="3" customFormat="1" ht="50" customHeight="1" spans="1:7">
      <c r="A35" s="20" t="s">
        <v>40</v>
      </c>
      <c r="B35" s="24">
        <v>412</v>
      </c>
      <c r="C35" s="25"/>
      <c r="D35" s="17"/>
      <c r="E35" s="19">
        <v>0.58</v>
      </c>
      <c r="F35" s="22">
        <f>B35+C35+D35+E35</f>
        <v>412.58</v>
      </c>
      <c r="G35" s="15"/>
    </row>
    <row r="36" s="3" customFormat="1" ht="50" customHeight="1" spans="1:7">
      <c r="A36" s="20" t="s">
        <v>41</v>
      </c>
      <c r="B36" s="24">
        <f>25+7164.5</f>
        <v>7189.5</v>
      </c>
      <c r="C36" s="25"/>
      <c r="D36" s="17"/>
      <c r="E36" s="19">
        <v>10.18</v>
      </c>
      <c r="F36" s="22">
        <f>B36+C36+D36+E36</f>
        <v>7199.68</v>
      </c>
      <c r="G36" s="15"/>
    </row>
    <row r="37" s="3" customFormat="1" ht="50" customHeight="1" spans="1:7">
      <c r="A37" s="20" t="s">
        <v>42</v>
      </c>
      <c r="B37" s="24">
        <f>25+5755</f>
        <v>5780</v>
      </c>
      <c r="C37" s="25"/>
      <c r="D37" s="17"/>
      <c r="E37" s="19">
        <v>8.19</v>
      </c>
      <c r="F37" s="22">
        <f>B37+C37+D37+E37</f>
        <v>5788.19</v>
      </c>
      <c r="G37" s="15"/>
    </row>
    <row r="38" s="3" customFormat="1" ht="50" customHeight="1" spans="1:7">
      <c r="A38" s="20" t="s">
        <v>43</v>
      </c>
      <c r="B38" s="24">
        <v>1816.5</v>
      </c>
      <c r="C38" s="25">
        <v>1672</v>
      </c>
      <c r="D38" s="17"/>
      <c r="E38" s="19">
        <v>4.94</v>
      </c>
      <c r="F38" s="22">
        <f>B38+C38+D38+E38</f>
        <v>3493.44</v>
      </c>
      <c r="G38" s="15"/>
    </row>
    <row r="39" s="3" customFormat="1" ht="50" customHeight="1" spans="1:7">
      <c r="A39" s="20" t="s">
        <v>44</v>
      </c>
      <c r="B39" s="24">
        <v>1036</v>
      </c>
      <c r="C39" s="25"/>
      <c r="D39" s="17"/>
      <c r="E39" s="19">
        <v>1.47</v>
      </c>
      <c r="F39" s="22">
        <f>B39+C39+D39+E39</f>
        <v>1037.47</v>
      </c>
      <c r="G39" s="15"/>
    </row>
    <row r="40" s="3" customFormat="1" ht="50" customHeight="1" spans="1:7">
      <c r="A40" s="20" t="s">
        <v>45</v>
      </c>
      <c r="B40" s="24">
        <v>54.5</v>
      </c>
      <c r="C40" s="25"/>
      <c r="D40" s="17"/>
      <c r="E40" s="19">
        <v>0.08</v>
      </c>
      <c r="F40" s="22">
        <f>B40+C40+D40+E40</f>
        <v>54.58</v>
      </c>
      <c r="G40" s="15"/>
    </row>
    <row r="41" s="3" customFormat="1" ht="50" customHeight="1" spans="1:7">
      <c r="A41" s="20" t="s">
        <v>46</v>
      </c>
      <c r="B41" s="21">
        <v>880</v>
      </c>
      <c r="C41" s="17"/>
      <c r="D41" s="17"/>
      <c r="E41" s="19">
        <v>1.25</v>
      </c>
      <c r="F41" s="22">
        <f>B41+C41+D41+E41</f>
        <v>881.25</v>
      </c>
      <c r="G41" s="15"/>
    </row>
    <row r="42" s="3" customFormat="1" ht="50" customHeight="1" spans="1:7">
      <c r="A42" s="20" t="s">
        <v>47</v>
      </c>
      <c r="B42" s="21">
        <v>148</v>
      </c>
      <c r="C42" s="17"/>
      <c r="D42" s="17"/>
      <c r="E42" s="19">
        <v>0.21</v>
      </c>
      <c r="F42" s="22">
        <f>B42+C42+D42+E42</f>
        <v>148.21</v>
      </c>
      <c r="G42" s="15"/>
    </row>
    <row r="43" s="3" customFormat="1" ht="50" customHeight="1" spans="1:7">
      <c r="A43" s="26" t="s">
        <v>48</v>
      </c>
      <c r="B43" s="16">
        <f>SUM(B4:B42)</f>
        <v>238796</v>
      </c>
      <c r="C43" s="16">
        <f>SUM(C4:C42)</f>
        <v>24463</v>
      </c>
      <c r="D43" s="16">
        <f>SUM(D4:D42)</f>
        <v>230974</v>
      </c>
      <c r="E43" s="16">
        <f>50*14</f>
        <v>700</v>
      </c>
      <c r="F43" s="22">
        <f>B43+C43+D43+E43</f>
        <v>494933</v>
      </c>
      <c r="G43" s="16"/>
    </row>
  </sheetData>
  <autoFilter xmlns:etc="http://www.wps.cn/officeDocument/2017/etCustomData" ref="A3:G43" etc:filterBottomFollowUsedRange="0">
    <extLst/>
  </autoFilter>
  <mergeCells count="7">
    <mergeCell ref="A1:G1"/>
    <mergeCell ref="A2:A3"/>
    <mergeCell ref="B2:B3"/>
    <mergeCell ref="C2:C3"/>
    <mergeCell ref="D2:D3"/>
    <mergeCell ref="E2:E3"/>
    <mergeCell ref="G2:G3"/>
  </mergeCells>
  <printOptions gridLines="1"/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2023-10-18T01:38:00Z</dcterms:created>
  <dcterms:modified xsi:type="dcterms:W3CDTF">2026-03-26T03:29:36Z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FAF992D0CCDB493BACB4C277CC6505C7_13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