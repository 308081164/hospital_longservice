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130" windowHeight="11970"/>
  </bookViews>
  <sheets>
    <sheet name="手术一区" sheetId="16" r:id="rId1"/>
    <sheet name="手术二区" sheetId="14" r:id="rId2"/>
  </sheets>
  <definedNames>
    <definedName name="_xlnm._FilterDatabase" localSheetId="0" hidden="1">手术一区!$A$2:$XET$153</definedName>
    <definedName name="_xlnm._FilterDatabase" localSheetId="1" hidden="1">手术二区!$A$2:$XEO$79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<sst xmlns="http://schemas.openxmlformats.org/spreadsheetml/2006/main" count="244" uniqueCount="225">
  <si>
    <t>哈尔滨市第五医院2026年3月9日-2026年4月8日器械数量及费用汇总（手术一区）</t>
  </si>
  <si>
    <t>序号</t>
  </si>
  <si>
    <t>包名称</t>
  </si>
  <si>
    <t>包内器械数量（把）</t>
  </si>
  <si>
    <t>数量（包）</t>
  </si>
  <si>
    <t>单价（元/包）</t>
  </si>
  <si>
    <t>合计金额（元）</t>
  </si>
  <si>
    <t>261机器人-6件（带盒7件）</t>
  </si>
  <si>
    <t>263机器人-9件（高温）</t>
  </si>
  <si>
    <t>264机器人-8件（高温）</t>
  </si>
  <si>
    <t>40001机器人-8件（高温）</t>
  </si>
  <si>
    <t>5.0固定针-1</t>
  </si>
  <si>
    <t>AR房玉立新镜头-1/双/Z1035</t>
  </si>
  <si>
    <t>AR水管-2件/双/Z1530</t>
  </si>
  <si>
    <t>UBE拇外翻线-1/双/Z2530</t>
  </si>
  <si>
    <t>半月板缝合器械-10/Z1020</t>
  </si>
  <si>
    <t>半月板钩-6/W605060</t>
  </si>
  <si>
    <t>备用钻头（科荣）12件/1029</t>
  </si>
  <si>
    <t>闭合包</t>
  </si>
  <si>
    <t>博进骨动力-8件（盒1）/W1205060</t>
  </si>
  <si>
    <t>叉勾-7/W605060</t>
  </si>
  <si>
    <t>产科手术器械包</t>
  </si>
  <si>
    <t>超声骨动力系统</t>
  </si>
  <si>
    <t>持物钳罐-2件/W605060</t>
  </si>
  <si>
    <t>尺-1/W605060</t>
  </si>
  <si>
    <t>尺桡复位器-2/W405060</t>
  </si>
  <si>
    <t>穿刺针（带芯）-2/Z7520</t>
  </si>
  <si>
    <t>锤子1凿子1剥离质1/W605060</t>
  </si>
  <si>
    <t>打孔器-1/W605060</t>
  </si>
  <si>
    <t>大盆-1/w1205060</t>
  </si>
  <si>
    <t>单齿钩-2件/W705060</t>
  </si>
  <si>
    <t>弹钩-2/W605060</t>
  </si>
  <si>
    <t>德美2号刨刀-1/双/Z2550</t>
  </si>
  <si>
    <t>德美4K1号刨刀-1/W6050</t>
  </si>
  <si>
    <t>德美刨刀（高温）-1/Z2044</t>
  </si>
  <si>
    <t>德美刨刀3号-1/双Z2550</t>
  </si>
  <si>
    <t>德美器械</t>
  </si>
  <si>
    <t>德美水管-2件/W505060</t>
  </si>
  <si>
    <t>德美膝器械11件盒1（二）</t>
  </si>
  <si>
    <t>德美膝器械11件盒1（一）</t>
  </si>
  <si>
    <t>德美膝器械12件盒1（三）</t>
  </si>
  <si>
    <t>德美膝器械12件盒1（四）</t>
  </si>
  <si>
    <t>德美新1水管-2/双/Z1526</t>
  </si>
  <si>
    <t>德美新2水管-2件/Z1530</t>
  </si>
  <si>
    <t>德美新3水管 -2件/Z2530</t>
  </si>
  <si>
    <t>骶棘拉钩-2/W605060</t>
  </si>
  <si>
    <t>动力转换器-1/Z1526</t>
  </si>
  <si>
    <t>妇产科布袋/ W6050</t>
  </si>
  <si>
    <t>肱骨复位器-2/W5050</t>
  </si>
  <si>
    <t>宫腔镜镜头-1/W9050</t>
  </si>
  <si>
    <t>骨把持器1钢板折弯器2/W605060</t>
  </si>
  <si>
    <t>骨锉-1/W605060</t>
  </si>
  <si>
    <t>骨动力-8 盒1/w1205060</t>
  </si>
  <si>
    <t>骨动力-8件（盒1）/W1205060</t>
  </si>
  <si>
    <t>骨动力-9件（盒1）/W1205060</t>
  </si>
  <si>
    <t>骨动力-带盒9件</t>
  </si>
  <si>
    <t>骨二李琛万能取-49件</t>
  </si>
  <si>
    <t xml:space="preserve">骨十一赵德来常备万能取 </t>
  </si>
  <si>
    <t>骨十一赵德来常备万能取 -64件/W1205060</t>
  </si>
  <si>
    <t xml:space="preserve">骨十赵立强常备万能取 </t>
  </si>
  <si>
    <t>滚轴-1/W6050</t>
  </si>
  <si>
    <t>机器人套筒-2/W405060</t>
  </si>
  <si>
    <t>肌钩-2/W5050</t>
  </si>
  <si>
    <t>脊柱常备器械</t>
  </si>
  <si>
    <t>脊柱常备器械髓核少1</t>
  </si>
  <si>
    <t>脊柱加件-6件/W605060</t>
  </si>
  <si>
    <t>甲状腺拉钩-2/W505060</t>
  </si>
  <si>
    <t>尖嘴复位器-2/W605060</t>
  </si>
  <si>
    <t>肩钩-1/W505060</t>
  </si>
  <si>
    <t>剪切钳-1/W505060</t>
  </si>
  <si>
    <t>解剖剪刀-1/Z1029</t>
  </si>
  <si>
    <t>胫腓骨拉勾-2/W605060</t>
  </si>
  <si>
    <t>胫骨平台顶棒器-3/W405060</t>
  </si>
  <si>
    <t>靖泽通钻头-3/Z7530</t>
  </si>
  <si>
    <t>静脉探子-6/W6050</t>
  </si>
  <si>
    <t>镜骨九（1）</t>
  </si>
  <si>
    <t>镜骨九（2）</t>
  </si>
  <si>
    <t>镜骨九（3）</t>
  </si>
  <si>
    <t>镜头-房玉立-1件/W9050</t>
  </si>
  <si>
    <t>旧水管-3件/W605060</t>
  </si>
  <si>
    <t>鞠超杰缝合钩导丝-1</t>
  </si>
  <si>
    <t>克氏钳-1/W405060</t>
  </si>
  <si>
    <t>阑尾加件（阑1，扣2）/W505060</t>
  </si>
  <si>
    <t>刘断钉取（蓝)-51件（盒1）</t>
  </si>
  <si>
    <t>米氏钳-2/W605060</t>
  </si>
  <si>
    <t>脑外颅骨钻洗钻-4件/W905060</t>
  </si>
  <si>
    <t>脑外专用包</t>
  </si>
  <si>
    <t>尿道探子-19/W7050</t>
  </si>
  <si>
    <t>盘1碗2/w9050</t>
  </si>
  <si>
    <t>平镊-1/Z7530</t>
  </si>
  <si>
    <t>驱血带</t>
  </si>
  <si>
    <t>取腱钳(小直角)-1/W505060</t>
  </si>
  <si>
    <t>取针钳-1/W505060</t>
  </si>
  <si>
    <t>取针咬骨钳-1件/W505060</t>
  </si>
  <si>
    <t>软骨转移器械-13件/W605060</t>
  </si>
  <si>
    <t>纱布/W5050</t>
  </si>
  <si>
    <t>上肢包</t>
  </si>
  <si>
    <t>上肢加件-3/W605060</t>
  </si>
  <si>
    <t>上肢止血带</t>
  </si>
  <si>
    <t>深钩-2/W605060</t>
  </si>
  <si>
    <t>施乐辉肩镜器械</t>
  </si>
  <si>
    <t>史赛克3.2克氏针钻-带盒4件</t>
  </si>
  <si>
    <t>史赛克摆锯-4（带盒5件）</t>
  </si>
  <si>
    <t>史赛克多功能锯钻-7（带盒8件）</t>
  </si>
  <si>
    <t>史赛克锯片-1/Z1020</t>
  </si>
  <si>
    <t>史赛克磨钻-9件 筐1/W1205060</t>
  </si>
  <si>
    <t>手科包</t>
  </si>
  <si>
    <t>手科剥离质-1/Z7530</t>
  </si>
  <si>
    <t>手科咬骨钳1 刮勺1/W505060</t>
  </si>
  <si>
    <t>手科爪鞍钩-4件/W505060</t>
  </si>
  <si>
    <t>手刷盒/w9050</t>
  </si>
  <si>
    <t>手套</t>
  </si>
  <si>
    <t>手外A显微器械-6（带盒7件）</t>
  </si>
  <si>
    <t>刷手服</t>
  </si>
  <si>
    <t>外科包</t>
  </si>
  <si>
    <t>腕关节导光束-1/Z2545</t>
  </si>
  <si>
    <t>腕关节镜器械-26件 筐1/W1205060</t>
  </si>
  <si>
    <t>腕关节镜头-2</t>
  </si>
  <si>
    <t>腕新镜头30度-1/W6050</t>
  </si>
  <si>
    <t>胃肠包</t>
  </si>
  <si>
    <t>蚊式2 中弯2/Z1530</t>
  </si>
  <si>
    <t>西山UBE线/W505060</t>
  </si>
  <si>
    <t>西山摆锯-3件/W6050</t>
  </si>
  <si>
    <t>西山刨刀-1/Z2530</t>
  </si>
  <si>
    <t>吸引器头1芯1/Z7530</t>
  </si>
  <si>
    <t>膝关节缝合枪-1/W605060</t>
  </si>
  <si>
    <t>洗毛盒</t>
  </si>
  <si>
    <t>洗手巾/W12050</t>
  </si>
  <si>
    <t>下肢包</t>
  </si>
  <si>
    <t>下肢止血带</t>
  </si>
  <si>
    <t>小布袋/w6050</t>
  </si>
  <si>
    <t>新膝镜（二）-10件/W9050</t>
  </si>
  <si>
    <t>新膝镜（一）-10件/W9050</t>
  </si>
  <si>
    <t>新腰备</t>
  </si>
  <si>
    <t>胸骨磨钻-带盒13件</t>
  </si>
  <si>
    <t>胸骨磨钻头5.0-1/Z7526</t>
  </si>
  <si>
    <t>胸腔镜-11件（筐1）</t>
  </si>
  <si>
    <t>咬钉器-1手柄-2/W6050</t>
  </si>
  <si>
    <t>咬骨剪子1刮勺1/W605060</t>
  </si>
  <si>
    <t>咬骨钳1刮勺1/W605060</t>
  </si>
  <si>
    <t>咬丝器-1/W6050</t>
  </si>
  <si>
    <t>阴道拉钩-6/W7050</t>
  </si>
  <si>
    <t>鹰嘴咬骨钳1刮勺1/W605060</t>
  </si>
  <si>
    <t>凿子-3/W605060</t>
  </si>
  <si>
    <t>张伟镜头-1/W6050</t>
  </si>
  <si>
    <t>植皮刀片-1/Z7530</t>
  </si>
  <si>
    <t>指套-8</t>
  </si>
  <si>
    <t>中心持骨器-2/w6050</t>
  </si>
  <si>
    <t>中直钳-2/Z1530</t>
  </si>
  <si>
    <t>肘腕刨刀线-带盒2件/W1205060</t>
  </si>
  <si>
    <t>抓线钳-1/W4550</t>
  </si>
  <si>
    <t>专家器械（二）-2件/双/Z1526</t>
  </si>
  <si>
    <t>专家器械（一）-5件/双/Z1526</t>
  </si>
  <si>
    <t>椎间孔镜（二）</t>
  </si>
  <si>
    <t>椎间孔镜（三）</t>
  </si>
  <si>
    <t>椎间孔镜（一）</t>
  </si>
  <si>
    <t>子宫包</t>
  </si>
  <si>
    <t>阻伤器-3/W605060</t>
  </si>
  <si>
    <t>合计</t>
  </si>
  <si>
    <t>哈尔滨市第五医院2026年3月9日-2026年4月8日器械数量及费用汇总（手术二区）</t>
  </si>
  <si>
    <t>持针器-1/Z1026</t>
  </si>
  <si>
    <t>锤子-1/双z1535</t>
  </si>
  <si>
    <t>大烧伤</t>
  </si>
  <si>
    <t>弹钩-2/W6050</t>
  </si>
  <si>
    <t>刀柄-1/z7526</t>
  </si>
  <si>
    <t>地巾</t>
  </si>
  <si>
    <t>电动取皮机-6件 筐1/W12050</t>
  </si>
  <si>
    <t>方盘-1/W9050</t>
  </si>
  <si>
    <t>缝合包</t>
  </si>
  <si>
    <t>肛肠包</t>
  </si>
  <si>
    <t>肛肠拉钩-1/双/z2025</t>
  </si>
  <si>
    <t>肛肠拉钩-2/双/z2025</t>
  </si>
  <si>
    <t>肛肠探针-1/Z7520</t>
  </si>
  <si>
    <t>肛门镜-2/z2025</t>
  </si>
  <si>
    <t>肛门镜-2/Z2032</t>
  </si>
  <si>
    <t>骨科剥离质-1/Z7534</t>
  </si>
  <si>
    <t>固指板-1/W7050</t>
  </si>
  <si>
    <t>刮勺-1/Z7526</t>
  </si>
  <si>
    <t>滚轴(植皮刀)-1件/W6050</t>
  </si>
  <si>
    <t>肌钩-2/Z1026</t>
  </si>
  <si>
    <t>尖嘴复位器-1/Z1535</t>
  </si>
  <si>
    <t>剪刀-1/Z1530</t>
  </si>
  <si>
    <t>剪刀小-1/Z1026</t>
  </si>
  <si>
    <t>巾钳子-1/Z1026</t>
  </si>
  <si>
    <t>克氏钳-1/双z1029</t>
  </si>
  <si>
    <t>阑尾包</t>
  </si>
  <si>
    <t>慢创包</t>
  </si>
  <si>
    <t>门诊整形（四）</t>
  </si>
  <si>
    <t>门诊整形（五）</t>
  </si>
  <si>
    <t>门诊整形（一）</t>
  </si>
  <si>
    <t>门诊整形.</t>
  </si>
  <si>
    <t>门诊整形包</t>
  </si>
  <si>
    <t>门诊整形包（二）</t>
  </si>
  <si>
    <t>门诊整形包（三）</t>
  </si>
  <si>
    <t>密克二-8件 筐1/W12050</t>
  </si>
  <si>
    <t>密克一  -4件 盒1/W12050</t>
  </si>
  <si>
    <t>气管切开包</t>
  </si>
  <si>
    <t>切开包-10件</t>
  </si>
  <si>
    <t>驱血带（棉布）</t>
  </si>
  <si>
    <t>深勾-2/W6050</t>
  </si>
  <si>
    <t>手科骨锉-1/Z7526</t>
  </si>
  <si>
    <t>手科爪鞍钩-1 /Z7526</t>
  </si>
  <si>
    <t>手科爪钩-2/Z1535</t>
  </si>
  <si>
    <t>头皮止血带-1/Z1530</t>
  </si>
  <si>
    <t>弯盘1小碗1/W9050</t>
  </si>
  <si>
    <t>显微器械-6件</t>
  </si>
  <si>
    <t>线锯-1/Z1026</t>
  </si>
  <si>
    <t>小烧伤</t>
  </si>
  <si>
    <t>小弯止血钳-4/Z1530</t>
  </si>
  <si>
    <t>小止血钳-2/z1026</t>
  </si>
  <si>
    <t>新轧皮机1号-2件（盒1）</t>
  </si>
  <si>
    <t>新轧皮机2号-2件（盒1）</t>
  </si>
  <si>
    <t>咬骨剪-1/Z2032</t>
  </si>
  <si>
    <t>咬骨钳-1/Z2032</t>
  </si>
  <si>
    <t>咬丝器-1/Z双2032</t>
  </si>
  <si>
    <t>咬丝器1持针器1/W6050</t>
  </si>
  <si>
    <t>凿子-3/双z1029</t>
  </si>
  <si>
    <t>扎皮机板-2件/z2025</t>
  </si>
  <si>
    <t>爪鞍钩-2 /Z7526</t>
  </si>
  <si>
    <t>整形包</t>
  </si>
  <si>
    <t>植皮刀片-1/Z7520</t>
  </si>
  <si>
    <t>止血钳-4/Z1530</t>
  </si>
  <si>
    <t>止血钳大-2/Z1535</t>
  </si>
  <si>
    <t>中弯-2/z1535</t>
  </si>
  <si>
    <t>组织钳-1/Z1026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</si>
</sst>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Microsoft YaHei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</cellStyleXfs>
  <cellXfs count="1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>
      <alignment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T154"/>
  <sheetViews>
    <sheetView tabSelected="1" view="pageBreakPreview" zoomScaleNormal="100" topLeftCell="A122" workbookViewId="0">
      <selection activeCell="G149" sqref="G149"/>
    </sheetView>
  </sheetViews>
  <sheetFormatPr defaultColWidth="9" defaultRowHeight="13.5"/>
  <cols>
    <col min="1" max="1" width="7.5" style="3" customWidth="1"/>
    <col min="2" max="2" width="33.375" style="4" customWidth="1"/>
    <col min="3" max="3" width="19.125" style="3" customWidth="1"/>
    <col min="4" max="4" width="13" style="3" customWidth="1"/>
    <col min="5" max="5" width="13.7583333333333" style="3" customWidth="1"/>
    <col min="6" max="6" width="14.4583333333333" style="3" customWidth="1"/>
    <col min="7" max="16245" width="9" style="1"/>
    <col min="16285" max="16384" width="9" style="5"/>
  </cols>
  <sheetData>
    <row r="1" s="1" customFormat="1" ht="21" spans="1:6 16246:16358">
      <c r="A1" s="6" t="s">
        <v>0</v>
      </c>
      <c r="B1" s="7"/>
      <c r="C1" s="6"/>
      <c r="D1" s="6"/>
      <c r="E1" s="6"/>
      <c r="F1" s="6"/>
    </row>
    <row r="2" s="2" customFormat="1" ht="16.5" customHeight="1" spans="1:6 16246:1635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="1" customFormat="1" ht="16.5" spans="1:6 16246:16358">
      <c r="A3" s="8">
        <v>1</v>
      </c>
      <c r="B3" s="9" t="s">
        <v>7</v>
      </c>
      <c r="C3" s="8">
        <v>7</v>
      </c>
      <c r="D3" s="8">
        <v>1</v>
      </c>
      <c r="E3" s="8">
        <v>38.5</v>
      </c>
      <c r="F3" s="8">
        <v>38.5</v>
      </c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 s="5"/>
      <c r="XBJ3" s="5"/>
      <c r="XBK3" s="5"/>
      <c r="XBL3" s="5"/>
      <c r="XBM3" s="5"/>
      <c r="XBN3" s="5"/>
      <c r="XBO3" s="5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</row>
    <row r="4" s="1" customFormat="1" ht="16.5" spans="1:6 16246:16358">
      <c r="A4" s="8">
        <v>2</v>
      </c>
      <c r="B4" s="9" t="s">
        <v>8</v>
      </c>
      <c r="C4" s="8">
        <v>140</v>
      </c>
      <c r="D4" s="8">
        <v>14</v>
      </c>
      <c r="E4" s="8">
        <v>55</v>
      </c>
      <c r="F4" s="8">
        <v>770</v>
      </c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 s="5"/>
      <c r="XBJ4" s="5"/>
      <c r="XBK4" s="5"/>
      <c r="XBL4" s="5"/>
      <c r="XBM4" s="5"/>
      <c r="XBN4" s="5"/>
      <c r="XBO4" s="5"/>
      <c r="XBP4" s="5"/>
      <c r="XBQ4" s="5"/>
      <c r="XBR4" s="5"/>
      <c r="XBS4" s="5"/>
      <c r="XBT4" s="5"/>
      <c r="XBU4" s="5"/>
      <c r="XBV4" s="5"/>
      <c r="XBW4" s="5"/>
      <c r="XBX4" s="5"/>
      <c r="XBY4" s="5"/>
      <c r="XBZ4" s="5"/>
      <c r="XCA4" s="5"/>
      <c r="XCB4" s="5"/>
      <c r="XCC4" s="5"/>
      <c r="XCD4" s="5"/>
      <c r="XCE4" s="5"/>
      <c r="XCF4" s="5"/>
      <c r="XCG4" s="5"/>
      <c r="XCH4" s="5"/>
      <c r="XCI4" s="5"/>
      <c r="XCJ4" s="5"/>
      <c r="XCK4" s="5"/>
      <c r="XCL4" s="5"/>
      <c r="XCM4" s="5"/>
      <c r="XCN4" s="5"/>
      <c r="XCO4" s="5"/>
      <c r="XCP4" s="5"/>
      <c r="XCQ4" s="5"/>
      <c r="XCR4" s="5"/>
      <c r="XCS4" s="5"/>
      <c r="XCT4" s="5"/>
      <c r="XCU4" s="5"/>
      <c r="XCV4" s="5"/>
      <c r="XCW4" s="5"/>
      <c r="XCX4" s="5"/>
      <c r="XCY4" s="5"/>
      <c r="XCZ4" s="5"/>
      <c r="XDA4" s="5"/>
      <c r="XDB4" s="5"/>
      <c r="XDC4" s="5"/>
      <c r="XDD4" s="5"/>
      <c r="XDE4" s="5"/>
      <c r="XDF4" s="5"/>
      <c r="XDG4" s="5"/>
      <c r="XDH4" s="5"/>
      <c r="XDI4" s="5"/>
      <c r="XDJ4" s="5"/>
      <c r="XDK4" s="5"/>
      <c r="XDL4" s="5"/>
      <c r="XDM4" s="5"/>
      <c r="XDN4" s="5"/>
      <c r="XDO4" s="5"/>
      <c r="XDP4" s="5"/>
      <c r="XDQ4" s="5"/>
      <c r="XDR4" s="5"/>
      <c r="XDS4" s="5"/>
      <c r="XDT4" s="5"/>
      <c r="XDU4" s="5"/>
      <c r="XDV4" s="5"/>
      <c r="XDW4" s="5"/>
      <c r="XDX4" s="5"/>
      <c r="XDY4" s="5"/>
      <c r="XDZ4" s="5"/>
      <c r="XEA4" s="5"/>
      <c r="XEB4" s="5"/>
      <c r="XEC4" s="5"/>
      <c r="XED4" s="5"/>
    </row>
    <row r="5" s="1" customFormat="1" ht="16.5" spans="1:6 16246:16358">
      <c r="A5" s="8">
        <v>3</v>
      </c>
      <c r="B5" s="9" t="s">
        <v>9</v>
      </c>
      <c r="C5" s="8">
        <v>144</v>
      </c>
      <c r="D5" s="8">
        <v>16</v>
      </c>
      <c r="E5" s="8">
        <v>49.5</v>
      </c>
      <c r="F5" s="8">
        <v>792</v>
      </c>
      <c r="WZV5"/>
      <c r="WZW5"/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 s="5"/>
      <c r="XBJ5" s="5"/>
      <c r="XBK5" s="5"/>
      <c r="XBL5" s="5"/>
      <c r="XBM5" s="5"/>
      <c r="XBN5" s="5"/>
      <c r="XBO5" s="5"/>
      <c r="XBP5" s="5"/>
      <c r="XBQ5" s="5"/>
      <c r="XBR5" s="5"/>
      <c r="XBS5" s="5"/>
      <c r="XBT5" s="5"/>
      <c r="XBU5" s="5"/>
      <c r="XBV5" s="5"/>
      <c r="XBW5" s="5"/>
      <c r="XBX5" s="5"/>
      <c r="XBY5" s="5"/>
      <c r="XBZ5" s="5"/>
      <c r="XCA5" s="5"/>
      <c r="XCB5" s="5"/>
      <c r="XCC5" s="5"/>
      <c r="XCD5" s="5"/>
      <c r="XCE5" s="5"/>
      <c r="XCF5" s="5"/>
      <c r="XCG5" s="5"/>
      <c r="XCH5" s="5"/>
      <c r="XCI5" s="5"/>
      <c r="XCJ5" s="5"/>
      <c r="XCK5" s="5"/>
      <c r="XCL5" s="5"/>
      <c r="XCM5" s="5"/>
      <c r="XCN5" s="5"/>
      <c r="XCO5" s="5"/>
      <c r="XCP5" s="5"/>
      <c r="XCQ5" s="5"/>
      <c r="XCR5" s="5"/>
      <c r="XCS5" s="5"/>
      <c r="XCT5" s="5"/>
      <c r="XCU5" s="5"/>
      <c r="XCV5" s="5"/>
      <c r="XCW5" s="5"/>
      <c r="XCX5" s="5"/>
      <c r="XCY5" s="5"/>
      <c r="XCZ5" s="5"/>
      <c r="XDA5" s="5"/>
      <c r="XDB5" s="5"/>
      <c r="XDC5" s="5"/>
      <c r="XDD5" s="5"/>
      <c r="XDE5" s="5"/>
      <c r="XDF5" s="5"/>
      <c r="XDG5" s="5"/>
      <c r="XDH5" s="5"/>
      <c r="XDI5" s="5"/>
      <c r="XDJ5" s="5"/>
      <c r="XDK5" s="5"/>
      <c r="XDL5" s="5"/>
      <c r="XDM5" s="5"/>
      <c r="XDN5" s="5"/>
      <c r="XDO5" s="5"/>
      <c r="XDP5" s="5"/>
      <c r="XDQ5" s="5"/>
      <c r="XDR5" s="5"/>
      <c r="XDS5" s="5"/>
      <c r="XDT5" s="5"/>
      <c r="XDU5" s="5"/>
      <c r="XDV5" s="5"/>
      <c r="XDW5" s="5"/>
      <c r="XDX5" s="5"/>
      <c r="XDY5" s="5"/>
      <c r="XDZ5" s="5"/>
      <c r="XEA5" s="5"/>
      <c r="XEB5" s="5"/>
      <c r="XEC5" s="5"/>
      <c r="XED5" s="5"/>
    </row>
    <row r="6" s="1" customFormat="1" ht="16.5" spans="1:6 16246:16358">
      <c r="A6" s="8">
        <v>4</v>
      </c>
      <c r="B6" s="9" t="s">
        <v>10</v>
      </c>
      <c r="C6" s="8">
        <v>162</v>
      </c>
      <c r="D6" s="8">
        <v>18</v>
      </c>
      <c r="E6" s="8">
        <v>49.5</v>
      </c>
      <c r="F6" s="8">
        <v>891</v>
      </c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 s="5"/>
      <c r="XBJ6" s="5"/>
      <c r="XBK6" s="5"/>
      <c r="XBL6" s="5"/>
      <c r="XBM6" s="5"/>
      <c r="XBN6" s="5"/>
      <c r="XBO6" s="5"/>
      <c r="XBP6" s="5"/>
      <c r="XBQ6" s="5"/>
      <c r="XBR6" s="5"/>
      <c r="XBS6" s="5"/>
      <c r="XBT6" s="5"/>
      <c r="XBU6" s="5"/>
      <c r="XBV6" s="5"/>
      <c r="XBW6" s="5"/>
      <c r="XBX6" s="5"/>
      <c r="XBY6" s="5"/>
      <c r="XBZ6" s="5"/>
      <c r="XCA6" s="5"/>
      <c r="XCB6" s="5"/>
      <c r="XCC6" s="5"/>
      <c r="XCD6" s="5"/>
      <c r="XCE6" s="5"/>
      <c r="XCF6" s="5"/>
      <c r="XCG6" s="5"/>
      <c r="XCH6" s="5"/>
      <c r="XCI6" s="5"/>
      <c r="XCJ6" s="5"/>
      <c r="XCK6" s="5"/>
      <c r="XCL6" s="5"/>
      <c r="XCM6" s="5"/>
      <c r="XCN6" s="5"/>
      <c r="XCO6" s="5"/>
      <c r="XCP6" s="5"/>
      <c r="XCQ6" s="5"/>
      <c r="XCR6" s="5"/>
      <c r="XCS6" s="5"/>
      <c r="XCT6" s="5"/>
      <c r="XCU6" s="5"/>
      <c r="XCV6" s="5"/>
      <c r="XCW6" s="5"/>
      <c r="XCX6" s="5"/>
      <c r="XCY6" s="5"/>
      <c r="XCZ6" s="5"/>
      <c r="XDA6" s="5"/>
      <c r="XDB6" s="5"/>
      <c r="XDC6" s="5"/>
      <c r="XDD6" s="5"/>
      <c r="XDE6" s="5"/>
      <c r="XDF6" s="5"/>
      <c r="XDG6" s="5"/>
      <c r="XDH6" s="5"/>
      <c r="XDI6" s="5"/>
      <c r="XDJ6" s="5"/>
      <c r="XDK6" s="5"/>
      <c r="XDL6" s="5"/>
      <c r="XDM6" s="5"/>
      <c r="XDN6" s="5"/>
      <c r="XDO6" s="5"/>
      <c r="XDP6" s="5"/>
      <c r="XDQ6" s="5"/>
      <c r="XDR6" s="5"/>
      <c r="XDS6" s="5"/>
      <c r="XDT6" s="5"/>
      <c r="XDU6" s="5"/>
      <c r="XDV6" s="5"/>
      <c r="XDW6" s="5"/>
      <c r="XDX6" s="5"/>
      <c r="XDY6" s="5"/>
      <c r="XDZ6" s="5"/>
      <c r="XEA6" s="5"/>
      <c r="XEB6" s="5"/>
      <c r="XEC6" s="5"/>
      <c r="XED6" s="5"/>
    </row>
    <row r="7" s="1" customFormat="1" ht="16.5" spans="1:6 16246:16358">
      <c r="A7" s="8">
        <v>5</v>
      </c>
      <c r="B7" s="9" t="s">
        <v>11</v>
      </c>
      <c r="C7" s="8">
        <v>1</v>
      </c>
      <c r="D7" s="8">
        <v>1</v>
      </c>
      <c r="E7" s="8">
        <v>8</v>
      </c>
      <c r="F7" s="8">
        <v>8</v>
      </c>
      <c r="WZV7"/>
      <c r="WZW7"/>
      <c r="WZX7"/>
      <c r="WZY7"/>
      <c r="WZZ7"/>
      <c r="XAA7"/>
      <c r="XAB7"/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 s="5"/>
      <c r="XBJ7" s="5"/>
      <c r="XBK7" s="5"/>
      <c r="XBL7" s="5"/>
      <c r="XBM7" s="5"/>
      <c r="XBN7" s="5"/>
      <c r="XBO7" s="5"/>
      <c r="XBP7" s="5"/>
      <c r="XBQ7" s="5"/>
      <c r="XBR7" s="5"/>
      <c r="XBS7" s="5"/>
      <c r="XBT7" s="5"/>
      <c r="XBU7" s="5"/>
      <c r="XBV7" s="5"/>
      <c r="XBW7" s="5"/>
      <c r="XBX7" s="5"/>
      <c r="XBY7" s="5"/>
      <c r="XBZ7" s="5"/>
      <c r="XCA7" s="5"/>
      <c r="XCB7" s="5"/>
      <c r="XCC7" s="5"/>
      <c r="XCD7" s="5"/>
      <c r="XCE7" s="5"/>
      <c r="XCF7" s="5"/>
      <c r="XCG7" s="5"/>
      <c r="XCH7" s="5"/>
      <c r="XCI7" s="5"/>
      <c r="XCJ7" s="5"/>
      <c r="XCK7" s="5"/>
      <c r="XCL7" s="5"/>
      <c r="XCM7" s="5"/>
      <c r="XCN7" s="5"/>
      <c r="XCO7" s="5"/>
      <c r="XCP7" s="5"/>
      <c r="XCQ7" s="5"/>
      <c r="XCR7" s="5"/>
      <c r="XCS7" s="5"/>
      <c r="XCT7" s="5"/>
      <c r="XCU7" s="5"/>
      <c r="XCV7" s="5"/>
      <c r="XCW7" s="5"/>
      <c r="XCX7" s="5"/>
      <c r="XCY7" s="5"/>
      <c r="XCZ7" s="5"/>
      <c r="XDA7" s="5"/>
      <c r="XDB7" s="5"/>
      <c r="XDC7" s="5"/>
      <c r="XDD7" s="5"/>
      <c r="XDE7" s="5"/>
      <c r="XDF7" s="5"/>
      <c r="XDG7" s="5"/>
      <c r="XDH7" s="5"/>
      <c r="XDI7" s="5"/>
      <c r="XDJ7" s="5"/>
      <c r="XDK7" s="5"/>
      <c r="XDL7" s="5"/>
      <c r="XDM7" s="5"/>
      <c r="XDN7" s="5"/>
      <c r="XDO7" s="5"/>
      <c r="XDP7" s="5"/>
      <c r="XDQ7" s="5"/>
      <c r="XDR7" s="5"/>
      <c r="XDS7" s="5"/>
      <c r="XDT7" s="5"/>
      <c r="XDU7" s="5"/>
      <c r="XDV7" s="5"/>
      <c r="XDW7" s="5"/>
      <c r="XDX7" s="5"/>
      <c r="XDY7" s="5"/>
      <c r="XDZ7" s="5"/>
      <c r="XEA7" s="5"/>
      <c r="XEB7" s="5"/>
      <c r="XEC7" s="5"/>
      <c r="XED7" s="5"/>
    </row>
    <row r="8" s="1" customFormat="1" ht="16.5" spans="1:6 16246:16358">
      <c r="A8" s="8">
        <v>6</v>
      </c>
      <c r="B8" s="9" t="s">
        <v>12</v>
      </c>
      <c r="C8" s="8">
        <v>1</v>
      </c>
      <c r="D8" s="8">
        <v>1</v>
      </c>
      <c r="E8" s="8">
        <v>35</v>
      </c>
      <c r="F8" s="8">
        <v>35</v>
      </c>
      <c r="WZV8"/>
      <c r="WZW8"/>
      <c r="WZX8"/>
      <c r="WZY8"/>
      <c r="WZZ8"/>
      <c r="XAA8"/>
      <c r="XAB8"/>
      <c r="XAC8"/>
      <c r="XAD8"/>
      <c r="XAE8"/>
      <c r="XAF8"/>
      <c r="XAG8"/>
      <c r="XAH8"/>
      <c r="XAI8"/>
      <c r="XAJ8"/>
      <c r="XAK8"/>
      <c r="XAL8"/>
      <c r="XAM8"/>
      <c r="XAN8"/>
      <c r="XAO8"/>
      <c r="XAP8"/>
      <c r="XAQ8"/>
      <c r="XAR8"/>
      <c r="XAS8"/>
      <c r="XAT8"/>
      <c r="XAU8"/>
      <c r="XAV8"/>
      <c r="XAW8"/>
      <c r="XAX8"/>
      <c r="XAY8"/>
      <c r="XAZ8"/>
      <c r="XBA8"/>
      <c r="XBB8"/>
      <c r="XBC8"/>
      <c r="XBD8"/>
      <c r="XBE8"/>
      <c r="XBF8"/>
      <c r="XBG8"/>
      <c r="XBH8"/>
      <c r="XBI8" s="5"/>
      <c r="XBJ8" s="5"/>
      <c r="XBK8" s="5"/>
      <c r="XBL8" s="5"/>
      <c r="XBM8" s="5"/>
      <c r="XBN8" s="5"/>
      <c r="XBO8" s="5"/>
      <c r="XBP8" s="5"/>
      <c r="XBQ8" s="5"/>
      <c r="XBR8" s="5"/>
      <c r="XBS8" s="5"/>
      <c r="XBT8" s="5"/>
      <c r="XBU8" s="5"/>
      <c r="XBV8" s="5"/>
      <c r="XBW8" s="5"/>
      <c r="XBX8" s="5"/>
      <c r="XBY8" s="5"/>
      <c r="XBZ8" s="5"/>
      <c r="XCA8" s="5"/>
      <c r="XCB8" s="5"/>
      <c r="XCC8" s="5"/>
      <c r="XCD8" s="5"/>
      <c r="XCE8" s="5"/>
      <c r="XCF8" s="5"/>
      <c r="XCG8" s="5"/>
      <c r="XCH8" s="5"/>
      <c r="XCI8" s="5"/>
      <c r="XCJ8" s="5"/>
      <c r="XCK8" s="5"/>
      <c r="XCL8" s="5"/>
      <c r="XCM8" s="5"/>
      <c r="XCN8" s="5"/>
      <c r="XCO8" s="5"/>
      <c r="XCP8" s="5"/>
      <c r="XCQ8" s="5"/>
      <c r="XCR8" s="5"/>
      <c r="XCS8" s="5"/>
      <c r="XCT8" s="5"/>
      <c r="XCU8" s="5"/>
      <c r="XCV8" s="5"/>
      <c r="XCW8" s="5"/>
      <c r="XCX8" s="5"/>
      <c r="XCY8" s="5"/>
      <c r="XCZ8" s="5"/>
      <c r="XDA8" s="5"/>
      <c r="XDB8" s="5"/>
      <c r="XDC8" s="5"/>
      <c r="XDD8" s="5"/>
      <c r="XDE8" s="5"/>
      <c r="XDF8" s="5"/>
      <c r="XDG8" s="5"/>
      <c r="XDH8" s="5"/>
      <c r="XDI8" s="5"/>
      <c r="XDJ8" s="5"/>
      <c r="XDK8" s="5"/>
      <c r="XDL8" s="5"/>
      <c r="XDM8" s="5"/>
      <c r="XDN8" s="5"/>
      <c r="XDO8" s="5"/>
      <c r="XDP8" s="5"/>
      <c r="XDQ8" s="5"/>
      <c r="XDR8" s="5"/>
      <c r="XDS8" s="5"/>
      <c r="XDT8" s="5"/>
      <c r="XDU8" s="5"/>
      <c r="XDV8" s="5"/>
      <c r="XDW8" s="5"/>
      <c r="XDX8" s="5"/>
      <c r="XDY8" s="5"/>
      <c r="XDZ8" s="5"/>
      <c r="XEA8" s="5"/>
      <c r="XEB8" s="5"/>
      <c r="XEC8" s="5"/>
      <c r="XED8" s="5"/>
    </row>
    <row r="9" s="1" customFormat="1" ht="16.5" spans="1:6 16246:16358">
      <c r="A9" s="8">
        <v>7</v>
      </c>
      <c r="B9" s="9" t="s">
        <v>13</v>
      </c>
      <c r="C9" s="8">
        <v>2</v>
      </c>
      <c r="D9" s="8">
        <v>1</v>
      </c>
      <c r="E9" s="8">
        <v>16.5</v>
      </c>
      <c r="F9" s="8">
        <v>16.5</v>
      </c>
      <c r="WZV9"/>
      <c r="WZW9"/>
      <c r="WZX9"/>
      <c r="WZY9"/>
      <c r="WZZ9"/>
      <c r="XAA9"/>
      <c r="XAB9"/>
      <c r="XAC9"/>
      <c r="XAD9"/>
      <c r="XAE9"/>
      <c r="XAF9"/>
      <c r="XAG9"/>
      <c r="XAH9"/>
      <c r="XAI9"/>
      <c r="XAJ9"/>
      <c r="XAK9"/>
      <c r="XAL9"/>
      <c r="XAM9"/>
      <c r="XAN9"/>
      <c r="XAO9"/>
      <c r="XAP9"/>
      <c r="XAQ9"/>
      <c r="XAR9"/>
      <c r="XAS9"/>
      <c r="XAT9"/>
      <c r="XAU9"/>
      <c r="XAV9"/>
      <c r="XAW9"/>
      <c r="XAX9"/>
      <c r="XAY9"/>
      <c r="XAZ9"/>
      <c r="XBA9"/>
      <c r="XBB9"/>
      <c r="XBC9"/>
      <c r="XBD9"/>
      <c r="XBE9"/>
      <c r="XBF9"/>
      <c r="XBG9"/>
      <c r="XBH9"/>
      <c r="XBI9" s="5"/>
      <c r="XBJ9" s="5"/>
      <c r="XBK9" s="5"/>
      <c r="XBL9" s="5"/>
      <c r="XBM9" s="5"/>
      <c r="XBN9" s="5"/>
      <c r="XBO9" s="5"/>
      <c r="XBP9" s="5"/>
      <c r="XBQ9" s="5"/>
      <c r="XBR9" s="5"/>
      <c r="XBS9" s="5"/>
      <c r="XBT9" s="5"/>
      <c r="XBU9" s="5"/>
      <c r="XBV9" s="5"/>
      <c r="XBW9" s="5"/>
      <c r="XBX9" s="5"/>
      <c r="XBY9" s="5"/>
      <c r="XBZ9" s="5"/>
      <c r="XCA9" s="5"/>
      <c r="XCB9" s="5"/>
      <c r="XCC9" s="5"/>
      <c r="XCD9" s="5"/>
      <c r="XCE9" s="5"/>
      <c r="XCF9" s="5"/>
      <c r="XCG9" s="5"/>
      <c r="XCH9" s="5"/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  <c r="XDE9" s="5"/>
      <c r="XDF9" s="5"/>
      <c r="XDG9" s="5"/>
      <c r="XDH9" s="5"/>
      <c r="XDI9" s="5"/>
      <c r="XDJ9" s="5"/>
      <c r="XDK9" s="5"/>
      <c r="XDL9" s="5"/>
      <c r="XDM9" s="5"/>
      <c r="XDN9" s="5"/>
      <c r="XDO9" s="5"/>
      <c r="XDP9" s="5"/>
      <c r="XDQ9" s="5"/>
      <c r="XDR9" s="5"/>
      <c r="XDS9" s="5"/>
      <c r="XDT9" s="5"/>
      <c r="XDU9" s="5"/>
      <c r="XDV9" s="5"/>
      <c r="XDW9" s="5"/>
      <c r="XDX9" s="5"/>
      <c r="XDY9" s="5"/>
      <c r="XDZ9" s="5"/>
      <c r="XEA9" s="5"/>
      <c r="XEB9" s="5"/>
      <c r="XEC9" s="5"/>
      <c r="XED9" s="5"/>
    </row>
    <row r="10" s="1" customFormat="1" ht="16.5" spans="1:6 16246:16358">
      <c r="A10" s="8">
        <v>8</v>
      </c>
      <c r="B10" s="9" t="s">
        <v>14</v>
      </c>
      <c r="C10" s="8">
        <v>3</v>
      </c>
      <c r="D10" s="8">
        <v>3</v>
      </c>
      <c r="E10" s="8">
        <v>16</v>
      </c>
      <c r="F10" s="8">
        <v>48</v>
      </c>
      <c r="WZV10"/>
      <c r="WZW10"/>
      <c r="WZX10"/>
      <c r="WZY10"/>
      <c r="WZZ10"/>
      <c r="XAA10"/>
      <c r="XAB10"/>
      <c r="XAC10"/>
      <c r="XAD10"/>
      <c r="XAE10"/>
      <c r="XAF10"/>
      <c r="XAG10"/>
      <c r="XAH10"/>
      <c r="XAI10"/>
      <c r="XAJ10"/>
      <c r="XAK10"/>
      <c r="XAL10"/>
      <c r="XAM10"/>
      <c r="XAN10"/>
      <c r="XAO10"/>
      <c r="XAP10"/>
      <c r="XAQ10"/>
      <c r="XAR10"/>
      <c r="XAS10"/>
      <c r="XAT10"/>
      <c r="XAU10"/>
      <c r="XAV10"/>
      <c r="XAW10"/>
      <c r="XAX10"/>
      <c r="XAY10"/>
      <c r="XAZ10"/>
      <c r="XBA10"/>
      <c r="XBB10"/>
      <c r="XBC10"/>
      <c r="XBD10"/>
      <c r="XBE10"/>
      <c r="XBF10"/>
      <c r="XBG10"/>
      <c r="XBH10"/>
      <c r="XBI10" s="5"/>
      <c r="XBJ10" s="5"/>
      <c r="XBK10" s="5"/>
      <c r="XBL10" s="5"/>
      <c r="XBM10" s="5"/>
      <c r="XBN10" s="5"/>
      <c r="XBO10" s="5"/>
      <c r="XBP10" s="5"/>
      <c r="XBQ10" s="5"/>
      <c r="XBR10" s="5"/>
      <c r="XBS10" s="5"/>
      <c r="XBT10" s="5"/>
      <c r="XBU10" s="5"/>
      <c r="XBV10" s="5"/>
      <c r="XBW10" s="5"/>
      <c r="XBX10" s="5"/>
      <c r="XBY10" s="5"/>
      <c r="XBZ10" s="5"/>
      <c r="XCA10" s="5"/>
      <c r="XCB10" s="5"/>
      <c r="XCC10" s="5"/>
      <c r="XCD10" s="5"/>
      <c r="XCE10" s="5"/>
      <c r="XCF10" s="5"/>
      <c r="XCG10" s="5"/>
      <c r="XCH10" s="5"/>
      <c r="XCI10" s="5"/>
      <c r="XCJ10" s="5"/>
      <c r="XCK10" s="5"/>
      <c r="XCL10" s="5"/>
      <c r="XCM10" s="5"/>
      <c r="XCN10" s="5"/>
      <c r="XCO10" s="5"/>
      <c r="XCP10" s="5"/>
      <c r="XCQ10" s="5"/>
      <c r="XCR10" s="5"/>
      <c r="XCS10" s="5"/>
      <c r="XCT10" s="5"/>
      <c r="XCU10" s="5"/>
      <c r="XCV10" s="5"/>
      <c r="XCW10" s="5"/>
      <c r="XCX10" s="5"/>
      <c r="XCY10" s="5"/>
      <c r="XCZ10" s="5"/>
      <c r="XDA10" s="5"/>
      <c r="XDB10" s="5"/>
      <c r="XDC10" s="5"/>
      <c r="XDD10" s="5"/>
      <c r="XDE10" s="5"/>
      <c r="XDF10" s="5"/>
      <c r="XDG10" s="5"/>
      <c r="XDH10" s="5"/>
      <c r="XDI10" s="5"/>
      <c r="XDJ10" s="5"/>
      <c r="XDK10" s="5"/>
      <c r="XDL10" s="5"/>
      <c r="XDM10" s="5"/>
      <c r="XDN10" s="5"/>
      <c r="XDO10" s="5"/>
      <c r="XDP10" s="5"/>
      <c r="XDQ10" s="5"/>
      <c r="XDR10" s="5"/>
      <c r="XDS10" s="5"/>
      <c r="XDT10" s="5"/>
      <c r="XDU10" s="5"/>
      <c r="XDV10" s="5"/>
      <c r="XDW10" s="5"/>
      <c r="XDX10" s="5"/>
      <c r="XDY10" s="5"/>
      <c r="XDZ10" s="5"/>
      <c r="XEA10" s="5"/>
      <c r="XEB10" s="5"/>
      <c r="XEC10" s="5"/>
      <c r="XED10" s="5"/>
    </row>
    <row r="11" s="1" customFormat="1" ht="16.5" spans="1:6 16246:16358">
      <c r="A11" s="8">
        <v>9</v>
      </c>
      <c r="B11" s="9" t="s">
        <v>15</v>
      </c>
      <c r="C11" s="8">
        <v>10</v>
      </c>
      <c r="D11" s="8">
        <v>1</v>
      </c>
      <c r="E11" s="8">
        <v>55</v>
      </c>
      <c r="F11" s="8">
        <v>55</v>
      </c>
      <c r="WZV11"/>
      <c r="WZW11"/>
      <c r="WZX11"/>
      <c r="WZY11"/>
      <c r="WZZ11"/>
      <c r="XAA11"/>
      <c r="XAB11"/>
      <c r="XAC11"/>
      <c r="XAD11"/>
      <c r="XAE11"/>
      <c r="XAF11"/>
      <c r="XAG11"/>
      <c r="XAH11"/>
      <c r="XAI11"/>
      <c r="XAJ11"/>
      <c r="XAK11"/>
      <c r="XAL11"/>
      <c r="XAM11"/>
      <c r="XAN11"/>
      <c r="XAO11"/>
      <c r="XAP11"/>
      <c r="XAQ11"/>
      <c r="XAR11"/>
      <c r="XAS11"/>
      <c r="XAT11"/>
      <c r="XAU11"/>
      <c r="XAV11"/>
      <c r="XAW11"/>
      <c r="XAX11"/>
      <c r="XAY11"/>
      <c r="XAZ11"/>
      <c r="XBA11"/>
      <c r="XBB11"/>
      <c r="XBC11"/>
      <c r="XBD11"/>
      <c r="XBE11"/>
      <c r="XBF11"/>
      <c r="XBG11"/>
      <c r="XBH11"/>
      <c r="XBI11" s="5"/>
      <c r="XBJ11" s="5"/>
      <c r="XBK11" s="5"/>
      <c r="XBL11" s="5"/>
      <c r="XBM11" s="5"/>
      <c r="XBN11" s="5"/>
      <c r="XBO11" s="5"/>
      <c r="XBP11" s="5"/>
      <c r="XBQ11" s="5"/>
      <c r="XBR11" s="5"/>
      <c r="XBS11" s="5"/>
      <c r="XBT11" s="5"/>
      <c r="XBU11" s="5"/>
      <c r="XBV11" s="5"/>
      <c r="XBW11" s="5"/>
      <c r="XBX11" s="5"/>
      <c r="XBY11" s="5"/>
      <c r="XBZ11" s="5"/>
      <c r="XCA11" s="5"/>
      <c r="XCB11" s="5"/>
      <c r="XCC11" s="5"/>
      <c r="XCD11" s="5"/>
      <c r="XCE11" s="5"/>
      <c r="XCF11" s="5"/>
      <c r="XCG11" s="5"/>
      <c r="XCH11" s="5"/>
      <c r="XCI11" s="5"/>
      <c r="XCJ11" s="5"/>
      <c r="XCK11" s="5"/>
      <c r="XCL11" s="5"/>
      <c r="XCM11" s="5"/>
      <c r="XCN11" s="5"/>
      <c r="XCO11" s="5"/>
      <c r="XCP11" s="5"/>
      <c r="XCQ11" s="5"/>
      <c r="XCR11" s="5"/>
      <c r="XCS11" s="5"/>
      <c r="XCT11" s="5"/>
      <c r="XCU11" s="5"/>
      <c r="XCV11" s="5"/>
      <c r="XCW11" s="5"/>
      <c r="XCX11" s="5"/>
      <c r="XCY11" s="5"/>
      <c r="XCZ11" s="5"/>
      <c r="XDA11" s="5"/>
      <c r="XDB11" s="5"/>
      <c r="XDC11" s="5"/>
      <c r="XDD11" s="5"/>
      <c r="XDE11" s="5"/>
      <c r="XDF11" s="5"/>
      <c r="XDG11" s="5"/>
      <c r="XDH11" s="5"/>
      <c r="XDI11" s="5"/>
      <c r="XDJ11" s="5"/>
      <c r="XDK11" s="5"/>
      <c r="XDL11" s="5"/>
      <c r="XDM11" s="5"/>
      <c r="XDN11" s="5"/>
      <c r="XDO11" s="5"/>
      <c r="XDP11" s="5"/>
      <c r="XDQ11" s="5"/>
      <c r="XDR11" s="5"/>
      <c r="XDS11" s="5"/>
      <c r="XDT11" s="5"/>
      <c r="XDU11" s="5"/>
      <c r="XDV11" s="5"/>
      <c r="XDW11" s="5"/>
      <c r="XDX11" s="5"/>
      <c r="XDY11" s="5"/>
      <c r="XDZ11" s="5"/>
      <c r="XEA11" s="5"/>
      <c r="XEB11" s="5"/>
      <c r="XEC11" s="5"/>
      <c r="XED11" s="5"/>
    </row>
    <row r="12" s="1" customFormat="1" ht="16.5" spans="1:6 16246:16358">
      <c r="A12" s="8">
        <v>10</v>
      </c>
      <c r="B12" s="9" t="s">
        <v>16</v>
      </c>
      <c r="C12" s="8">
        <v>6</v>
      </c>
      <c r="D12" s="8">
        <v>1</v>
      </c>
      <c r="E12" s="8">
        <v>33</v>
      </c>
      <c r="F12" s="8">
        <v>33</v>
      </c>
      <c r="WZV12"/>
      <c r="WZW12"/>
      <c r="WZX12"/>
      <c r="WZY12"/>
      <c r="WZZ12"/>
      <c r="XAA12"/>
      <c r="XAB12"/>
      <c r="XAC12"/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 s="5"/>
      <c r="XBJ12" s="5"/>
      <c r="XBK12" s="5"/>
      <c r="XBL12" s="5"/>
      <c r="XBM12" s="5"/>
      <c r="XBN12" s="5"/>
      <c r="XBO12" s="5"/>
      <c r="XBP12" s="5"/>
      <c r="XBQ12" s="5"/>
      <c r="XBR12" s="5"/>
      <c r="XBS12" s="5"/>
      <c r="XBT12" s="5"/>
      <c r="XBU12" s="5"/>
      <c r="XBV12" s="5"/>
      <c r="XBW12" s="5"/>
      <c r="XBX12" s="5"/>
      <c r="XBY12" s="5"/>
      <c r="XBZ12" s="5"/>
      <c r="XCA12" s="5"/>
      <c r="XCB12" s="5"/>
      <c r="XCC12" s="5"/>
      <c r="XCD12" s="5"/>
      <c r="XCE12" s="5"/>
      <c r="XCF12" s="5"/>
      <c r="XCG12" s="5"/>
      <c r="XCH12" s="5"/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  <c r="XEC12" s="5"/>
      <c r="XED12" s="5"/>
    </row>
    <row r="13" s="1" customFormat="1" ht="16.5" spans="1:6 16246:16358">
      <c r="A13" s="8">
        <v>11</v>
      </c>
      <c r="B13" s="9" t="s">
        <v>17</v>
      </c>
      <c r="C13" s="8">
        <v>12</v>
      </c>
      <c r="D13" s="8">
        <v>1</v>
      </c>
      <c r="E13" s="8">
        <v>66</v>
      </c>
      <c r="F13" s="8">
        <v>66</v>
      </c>
      <c r="WZV13"/>
      <c r="WZW13"/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 s="5"/>
      <c r="XBJ13" s="5"/>
      <c r="XBK13" s="5"/>
      <c r="XBL13" s="5"/>
      <c r="XBM13" s="5"/>
      <c r="XBN13" s="5"/>
      <c r="XBO13" s="5"/>
      <c r="XBP13" s="5"/>
      <c r="XBQ13" s="5"/>
      <c r="XBR13" s="5"/>
      <c r="XBS13" s="5"/>
      <c r="XBT13" s="5"/>
      <c r="XBU13" s="5"/>
      <c r="XBV13" s="5"/>
      <c r="XBW13" s="5"/>
      <c r="XBX13" s="5"/>
      <c r="XBY13" s="5"/>
      <c r="XBZ13" s="5"/>
      <c r="XCA13" s="5"/>
      <c r="XCB13" s="5"/>
      <c r="XCC13" s="5"/>
      <c r="XCD13" s="5"/>
      <c r="XCE13" s="5"/>
      <c r="XCF13" s="5"/>
      <c r="XCG13" s="5"/>
      <c r="XCH13" s="5"/>
      <c r="XCI13" s="5"/>
      <c r="XCJ13" s="5"/>
      <c r="XCK13" s="5"/>
      <c r="XCL13" s="5"/>
      <c r="XCM13" s="5"/>
      <c r="XCN13" s="5"/>
      <c r="XCO13" s="5"/>
      <c r="XCP13" s="5"/>
      <c r="XCQ13" s="5"/>
      <c r="XCR13" s="5"/>
      <c r="XCS13" s="5"/>
      <c r="XCT13" s="5"/>
      <c r="XCU13" s="5"/>
      <c r="XCV13" s="5"/>
      <c r="XCW13" s="5"/>
      <c r="XCX13" s="5"/>
      <c r="XCY13" s="5"/>
      <c r="XCZ13" s="5"/>
      <c r="XDA13" s="5"/>
      <c r="XDB13" s="5"/>
      <c r="XDC13" s="5"/>
      <c r="XDD13" s="5"/>
      <c r="XDE13" s="5"/>
      <c r="XDF13" s="5"/>
      <c r="XDG13" s="5"/>
      <c r="XDH13" s="5"/>
      <c r="XDI13" s="5"/>
      <c r="XDJ13" s="5"/>
      <c r="XDK13" s="5"/>
      <c r="XDL13" s="5"/>
      <c r="XDM13" s="5"/>
      <c r="XDN13" s="5"/>
      <c r="XDO13" s="5"/>
      <c r="XDP13" s="5"/>
      <c r="XDQ13" s="5"/>
      <c r="XDR13" s="5"/>
      <c r="XDS13" s="5"/>
      <c r="XDT13" s="5"/>
      <c r="XDU13" s="5"/>
      <c r="XDV13" s="5"/>
      <c r="XDW13" s="5"/>
      <c r="XDX13" s="5"/>
      <c r="XDY13" s="5"/>
      <c r="XDZ13" s="5"/>
      <c r="XEA13" s="5"/>
      <c r="XEB13" s="5"/>
      <c r="XEC13" s="5"/>
      <c r="XED13" s="5"/>
    </row>
    <row r="14" s="1" customFormat="1" ht="16.5" spans="1:6 16246:16358">
      <c r="A14" s="8">
        <v>12</v>
      </c>
      <c r="B14" s="9" t="s">
        <v>18</v>
      </c>
      <c r="C14" s="8">
        <v>420</v>
      </c>
      <c r="D14" s="8">
        <v>42</v>
      </c>
      <c r="E14" s="8">
        <v>55</v>
      </c>
      <c r="F14" s="8">
        <v>2310</v>
      </c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 s="5"/>
      <c r="XBJ14" s="5"/>
      <c r="XBK14" s="5"/>
      <c r="XBL14" s="5"/>
      <c r="XBM14" s="5"/>
      <c r="XBN14" s="5"/>
      <c r="XBO14" s="5"/>
      <c r="XBP14" s="5"/>
      <c r="XBQ14" s="5"/>
      <c r="XBR14" s="5"/>
      <c r="XBS14" s="5"/>
      <c r="XBT14" s="5"/>
      <c r="XBU14" s="5"/>
      <c r="XBV14" s="5"/>
      <c r="XBW14" s="5"/>
      <c r="XBX14" s="5"/>
      <c r="XBY14" s="5"/>
      <c r="XBZ14" s="5"/>
      <c r="XCA14" s="5"/>
      <c r="XCB14" s="5"/>
      <c r="XCC14" s="5"/>
      <c r="XCD14" s="5"/>
      <c r="XCE14" s="5"/>
      <c r="XCF14" s="5"/>
      <c r="XCG14" s="5"/>
      <c r="XCH14" s="5"/>
      <c r="XCI14" s="5"/>
      <c r="XCJ14" s="5"/>
      <c r="XCK14" s="5"/>
      <c r="XCL14" s="5"/>
      <c r="XCM14" s="5"/>
      <c r="XCN14" s="5"/>
      <c r="XCO14" s="5"/>
      <c r="XCP14" s="5"/>
      <c r="XCQ14" s="5"/>
      <c r="XCR14" s="5"/>
      <c r="XCS14" s="5"/>
      <c r="XCT14" s="5"/>
      <c r="XCU14" s="5"/>
      <c r="XCV14" s="5"/>
      <c r="XCW14" s="5"/>
      <c r="XCX14" s="5"/>
      <c r="XCY14" s="5"/>
      <c r="XCZ14" s="5"/>
      <c r="XDA14" s="5"/>
      <c r="XDB14" s="5"/>
      <c r="XDC14" s="5"/>
      <c r="XDD14" s="5"/>
      <c r="XDE14" s="5"/>
      <c r="XDF14" s="5"/>
      <c r="XDG14" s="5"/>
      <c r="XDH14" s="5"/>
      <c r="XDI14" s="5"/>
      <c r="XDJ14" s="5"/>
      <c r="XDK14" s="5"/>
      <c r="XDL14" s="5"/>
      <c r="XDM14" s="5"/>
      <c r="XDN14" s="5"/>
      <c r="XDO14" s="5"/>
      <c r="XDP14" s="5"/>
      <c r="XDQ14" s="5"/>
      <c r="XDR14" s="5"/>
      <c r="XDS14" s="5"/>
      <c r="XDT14" s="5"/>
      <c r="XDU14" s="5"/>
      <c r="XDV14" s="5"/>
      <c r="XDW14" s="5"/>
      <c r="XDX14" s="5"/>
      <c r="XDY14" s="5"/>
      <c r="XDZ14" s="5"/>
      <c r="XEA14" s="5"/>
      <c r="XEB14" s="5"/>
      <c r="XEC14" s="5"/>
      <c r="XED14" s="5"/>
    </row>
    <row r="15" s="1" customFormat="1" ht="16.5" spans="1:6 16246:16358">
      <c r="A15" s="8">
        <v>13</v>
      </c>
      <c r="B15" s="9" t="s">
        <v>19</v>
      </c>
      <c r="C15" s="8">
        <v>18</v>
      </c>
      <c r="D15" s="8">
        <v>2</v>
      </c>
      <c r="E15" s="8">
        <v>49.5</v>
      </c>
      <c r="F15" s="8">
        <v>99</v>
      </c>
      <c r="WZV15"/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 s="5"/>
      <c r="XBJ15" s="5"/>
      <c r="XBK15" s="5"/>
      <c r="XBL15" s="5"/>
      <c r="XBM15" s="5"/>
      <c r="XBN15" s="5"/>
      <c r="XBO15" s="5"/>
      <c r="XBP15" s="5"/>
      <c r="XBQ15" s="5"/>
      <c r="XBR15" s="5"/>
      <c r="XBS15" s="5"/>
      <c r="XBT15" s="5"/>
      <c r="XBU15" s="5"/>
      <c r="XBV15" s="5"/>
      <c r="XBW15" s="5"/>
      <c r="XBX15" s="5"/>
      <c r="XBY15" s="5"/>
      <c r="XBZ15" s="5"/>
      <c r="XCA15" s="5"/>
      <c r="XCB15" s="5"/>
      <c r="XCC15" s="5"/>
      <c r="XCD15" s="5"/>
      <c r="XCE15" s="5"/>
      <c r="XCF15" s="5"/>
      <c r="XCG15" s="5"/>
      <c r="XCH15" s="5"/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  <c r="XEC15" s="5"/>
      <c r="XED15" s="5"/>
    </row>
    <row r="16" s="1" customFormat="1" ht="16.5" spans="1:6 16246:16358">
      <c r="A16" s="8">
        <v>14</v>
      </c>
      <c r="B16" s="9" t="s">
        <v>20</v>
      </c>
      <c r="C16" s="8">
        <v>7</v>
      </c>
      <c r="D16" s="8">
        <v>1</v>
      </c>
      <c r="E16" s="8">
        <v>38.5</v>
      </c>
      <c r="F16" s="8">
        <v>38.5</v>
      </c>
      <c r="WZV16"/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 s="5"/>
      <c r="XBJ16" s="5"/>
      <c r="XBK16" s="5"/>
      <c r="XBL16" s="5"/>
      <c r="XBM16" s="5"/>
      <c r="XBN16" s="5"/>
      <c r="XBO16" s="5"/>
      <c r="XBP16" s="5"/>
      <c r="XBQ16" s="5"/>
      <c r="XBR16" s="5"/>
      <c r="XBS16" s="5"/>
      <c r="XBT16" s="5"/>
      <c r="XBU16" s="5"/>
      <c r="XBV16" s="5"/>
      <c r="XBW16" s="5"/>
      <c r="XBX16" s="5"/>
      <c r="XBY16" s="5"/>
      <c r="XBZ16" s="5"/>
      <c r="XCA16" s="5"/>
      <c r="XCB16" s="5"/>
      <c r="XCC16" s="5"/>
      <c r="XCD16" s="5"/>
      <c r="XCE16" s="5"/>
      <c r="XCF16" s="5"/>
      <c r="XCG16" s="5"/>
      <c r="XCH16" s="5"/>
      <c r="XCI16" s="5"/>
      <c r="XCJ16" s="5"/>
      <c r="XCK16" s="5"/>
      <c r="XCL16" s="5"/>
      <c r="XCM16" s="5"/>
      <c r="XCN16" s="5"/>
      <c r="XCO16" s="5"/>
      <c r="XCP16" s="5"/>
      <c r="XCQ16" s="5"/>
      <c r="XCR16" s="5"/>
      <c r="XCS16" s="5"/>
      <c r="XCT16" s="5"/>
      <c r="XCU16" s="5"/>
      <c r="XCV16" s="5"/>
      <c r="XCW16" s="5"/>
      <c r="XCX16" s="5"/>
      <c r="XCY16" s="5"/>
      <c r="XCZ16" s="5"/>
      <c r="XDA16" s="5"/>
      <c r="XDB16" s="5"/>
      <c r="XDC16" s="5"/>
      <c r="XDD16" s="5"/>
      <c r="XDE16" s="5"/>
      <c r="XDF16" s="5"/>
      <c r="XDG16" s="5"/>
      <c r="XDH16" s="5"/>
      <c r="XDI16" s="5"/>
      <c r="XDJ16" s="5"/>
      <c r="XDK16" s="5"/>
      <c r="XDL16" s="5"/>
      <c r="XDM16" s="5"/>
      <c r="XDN16" s="5"/>
      <c r="XDO16" s="5"/>
      <c r="XDP16" s="5"/>
      <c r="XDQ16" s="5"/>
      <c r="XDR16" s="5"/>
      <c r="XDS16" s="5"/>
      <c r="XDT16" s="5"/>
      <c r="XDU16" s="5"/>
      <c r="XDV16" s="5"/>
      <c r="XDW16" s="5"/>
      <c r="XDX16" s="5"/>
      <c r="XDY16" s="5"/>
      <c r="XDZ16" s="5"/>
      <c r="XEA16" s="5"/>
      <c r="XEB16" s="5"/>
      <c r="XEC16" s="5"/>
      <c r="XED16" s="5"/>
    </row>
    <row r="17" s="1" customFormat="1" ht="16.5" spans="1:6 16246:16360">
      <c r="A17" s="8">
        <v>15</v>
      </c>
      <c r="B17" s="9" t="s">
        <v>21</v>
      </c>
      <c r="C17" s="8">
        <v>308</v>
      </c>
      <c r="D17" s="8">
        <v>8</v>
      </c>
      <c r="E17" s="8">
        <v>214.5</v>
      </c>
      <c r="F17" s="8">
        <f>D17*E17</f>
        <v>1716</v>
      </c>
      <c r="WZV17"/>
      <c r="WZW17"/>
      <c r="WZX17"/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 s="5"/>
      <c r="XBJ17" s="5"/>
      <c r="XBK17" s="5"/>
      <c r="XBL17" s="5"/>
      <c r="XBM17" s="5"/>
      <c r="XBN17" s="5"/>
      <c r="XBO17" s="5"/>
      <c r="XBP17" s="5"/>
      <c r="XBQ17" s="5"/>
      <c r="XBR17" s="5"/>
      <c r="XBS17" s="5"/>
      <c r="XBT17" s="5"/>
      <c r="XBU17" s="5"/>
      <c r="XBV17" s="5"/>
      <c r="XBW17" s="5"/>
      <c r="XBX17" s="5"/>
      <c r="XBY17" s="5"/>
      <c r="XBZ17" s="5"/>
      <c r="XCA17" s="5"/>
      <c r="XCB17" s="5"/>
      <c r="XCC17" s="5"/>
      <c r="XCD17" s="5"/>
      <c r="XCE17" s="5"/>
      <c r="XCF17" s="5"/>
      <c r="XCG17" s="5"/>
      <c r="XCH17" s="5"/>
      <c r="XCI17" s="5"/>
      <c r="XCJ17" s="5"/>
      <c r="XCK17" s="5"/>
      <c r="XCL17" s="5"/>
      <c r="XCM17" s="5"/>
      <c r="XCN17" s="5"/>
      <c r="XCO17" s="5"/>
      <c r="XCP17" s="5"/>
      <c r="XCQ17" s="5"/>
      <c r="XCR17" s="5"/>
      <c r="XCS17" s="5"/>
      <c r="XCT17" s="5"/>
      <c r="XCU17" s="5"/>
      <c r="XCV17" s="5"/>
      <c r="XCW17" s="5"/>
      <c r="XCX17" s="5"/>
      <c r="XCY17" s="5"/>
      <c r="XCZ17" s="5"/>
      <c r="XDA17" s="5"/>
      <c r="XDB17" s="5"/>
      <c r="XDC17" s="5"/>
      <c r="XDD17" s="5"/>
      <c r="XDE17" s="5"/>
      <c r="XDF17" s="5"/>
      <c r="XDG17" s="5"/>
      <c r="XDH17" s="5"/>
      <c r="XDI17" s="5"/>
      <c r="XDJ17" s="5"/>
      <c r="XDK17" s="5"/>
      <c r="XDL17" s="5"/>
      <c r="XDM17" s="5"/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  <c r="XEC17" s="5"/>
      <c r="XED17" s="5"/>
    </row>
    <row r="18" s="1" customFormat="1" ht="16.5" spans="1:6 16246:16360">
      <c r="A18" s="8">
        <v>16</v>
      </c>
      <c r="B18" s="9" t="s">
        <v>22</v>
      </c>
      <c r="C18" s="8">
        <v>18</v>
      </c>
      <c r="D18" s="8">
        <v>2</v>
      </c>
      <c r="E18" s="8">
        <v>49.5</v>
      </c>
      <c r="F18" s="8">
        <v>99</v>
      </c>
      <c r="WZV18"/>
      <c r="WZW18"/>
      <c r="WZX18"/>
      <c r="WZY18"/>
      <c r="WZZ18"/>
      <c r="XAA18"/>
      <c r="XAB18"/>
      <c r="XAC18"/>
      <c r="XAD18"/>
      <c r="XAE18"/>
      <c r="XAF18"/>
      <c r="XAG18"/>
      <c r="XAH18"/>
      <c r="XAI18"/>
      <c r="XAJ18"/>
      <c r="XAK18"/>
      <c r="XAL18"/>
      <c r="XAM18"/>
      <c r="XAN18"/>
      <c r="XAO18"/>
      <c r="XAP18"/>
      <c r="XAQ18"/>
      <c r="XAR18"/>
      <c r="XAS18"/>
      <c r="XAT18"/>
      <c r="XAU18"/>
      <c r="XAV18"/>
      <c r="XAW18"/>
      <c r="XAX18"/>
      <c r="XAY18"/>
      <c r="XAZ18"/>
      <c r="XBA18"/>
      <c r="XBB18"/>
      <c r="XBC18"/>
      <c r="XBD18"/>
      <c r="XBE18"/>
      <c r="XBF18"/>
      <c r="XBG18"/>
      <c r="XBH18"/>
      <c r="XBI18" s="5"/>
      <c r="XBJ18" s="5"/>
      <c r="XBK18" s="5"/>
      <c r="XBL18" s="5"/>
      <c r="XBM18" s="5"/>
      <c r="XBN18" s="5"/>
      <c r="XBO18" s="5"/>
      <c r="XBP18" s="5"/>
      <c r="XBQ18" s="5"/>
      <c r="XBR18" s="5"/>
      <c r="XBS18" s="5"/>
      <c r="XBT18" s="5"/>
      <c r="XBU18" s="5"/>
      <c r="XBV18" s="5"/>
      <c r="XBW18" s="5"/>
      <c r="XBX18" s="5"/>
      <c r="XBY18" s="5"/>
      <c r="XBZ18" s="5"/>
      <c r="XCA18" s="5"/>
      <c r="XCB18" s="5"/>
      <c r="XCC18" s="5"/>
      <c r="XCD18" s="5"/>
      <c r="XCE18" s="5"/>
      <c r="XCF18" s="5"/>
      <c r="XCG18" s="5"/>
      <c r="XCH18" s="5"/>
      <c r="XCI18" s="5"/>
      <c r="XCJ18" s="5"/>
      <c r="XCK18" s="5"/>
      <c r="XCL18" s="5"/>
      <c r="XCM18" s="5"/>
      <c r="XCN18" s="5"/>
      <c r="XCO18" s="5"/>
      <c r="XCP18" s="5"/>
      <c r="XCQ18" s="5"/>
      <c r="XCR18" s="5"/>
      <c r="XCS18" s="5"/>
      <c r="XCT18" s="5"/>
      <c r="XCU18" s="5"/>
      <c r="XCV18" s="5"/>
      <c r="XCW18" s="5"/>
      <c r="XCX18" s="5"/>
      <c r="XCY18" s="5"/>
      <c r="XCZ18" s="5"/>
      <c r="XDA18" s="5"/>
      <c r="XDB18" s="5"/>
      <c r="XDC18" s="5"/>
      <c r="XDD18" s="5"/>
      <c r="XDE18" s="5"/>
      <c r="XDF18" s="5"/>
      <c r="XDG18" s="5"/>
      <c r="XDH18" s="5"/>
      <c r="XDI18" s="5"/>
      <c r="XDJ18" s="5"/>
      <c r="XDK18" s="5"/>
      <c r="XDL18" s="5"/>
      <c r="XDM18" s="5"/>
      <c r="XDN18" s="5"/>
      <c r="XDO18" s="5"/>
      <c r="XDP18" s="5"/>
      <c r="XDQ18" s="5"/>
      <c r="XDR18" s="5"/>
      <c r="XDS18" s="5"/>
      <c r="XDT18" s="5"/>
      <c r="XDU18" s="5"/>
      <c r="XDV18" s="5"/>
      <c r="XDW18" s="5"/>
      <c r="XDX18" s="5"/>
      <c r="XDY18" s="5"/>
      <c r="XDZ18" s="5"/>
      <c r="XEA18" s="5"/>
      <c r="XEB18" s="5"/>
      <c r="XEC18" s="5"/>
      <c r="XED18" s="5"/>
    </row>
    <row r="19" s="1" customFormat="1" ht="16.5" spans="1:6 16246:16360">
      <c r="A19" s="8">
        <v>17</v>
      </c>
      <c r="B19" s="9" t="s">
        <v>23</v>
      </c>
      <c r="C19" s="8">
        <v>658</v>
      </c>
      <c r="D19" s="8">
        <v>329</v>
      </c>
      <c r="E19" s="8">
        <v>16.5</v>
      </c>
      <c r="F19" s="8">
        <v>5428.5</v>
      </c>
      <c r="WZV19"/>
      <c r="WZW19"/>
      <c r="WZX19"/>
      <c r="WZY19"/>
      <c r="WZZ19"/>
      <c r="XAA19"/>
      <c r="XAB19"/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 s="5"/>
      <c r="XBJ19" s="5"/>
      <c r="XBK19" s="5"/>
      <c r="XBL19" s="5"/>
      <c r="XBM19" s="5"/>
      <c r="XBN19" s="5"/>
      <c r="XBO19" s="5"/>
      <c r="XBP19" s="5"/>
      <c r="XBQ19" s="5"/>
      <c r="XBR19" s="5"/>
      <c r="XBS19" s="5"/>
      <c r="XBT19" s="5"/>
      <c r="XBU19" s="5"/>
      <c r="XBV19" s="5"/>
      <c r="XBW19" s="5"/>
      <c r="XBX19" s="5"/>
      <c r="XBY19" s="5"/>
      <c r="XBZ19" s="5"/>
      <c r="XCA19" s="5"/>
      <c r="XCB19" s="5"/>
      <c r="XCC19" s="5"/>
      <c r="XCD19" s="5"/>
      <c r="XCE19" s="5"/>
      <c r="XCF19" s="5"/>
      <c r="XCG19" s="5"/>
      <c r="XCH19" s="5"/>
      <c r="XCI19" s="5"/>
      <c r="XCJ19" s="5"/>
      <c r="XCK19" s="5"/>
      <c r="XCL19" s="5"/>
      <c r="XCM19" s="5"/>
      <c r="XCN19" s="5"/>
      <c r="XCO19" s="5"/>
      <c r="XCP19" s="5"/>
      <c r="XCQ19" s="5"/>
      <c r="XCR19" s="5"/>
      <c r="XCS19" s="5"/>
      <c r="XCT19" s="5"/>
      <c r="XCU19" s="5"/>
      <c r="XCV19" s="5"/>
      <c r="XCW19" s="5"/>
      <c r="XCX19" s="5"/>
      <c r="XCY19" s="5"/>
      <c r="XCZ19" s="5"/>
      <c r="XDA19" s="5"/>
      <c r="XDB19" s="5"/>
      <c r="XDC19" s="5"/>
      <c r="XDD19" s="5"/>
      <c r="XDE19" s="5"/>
      <c r="XDF19" s="5"/>
      <c r="XDG19" s="5"/>
      <c r="XDH19" s="5"/>
      <c r="XDI19" s="5"/>
      <c r="XDJ19" s="5"/>
      <c r="XDK19" s="5"/>
      <c r="XDL19" s="5"/>
      <c r="XDM19" s="5"/>
      <c r="XDN19" s="5"/>
      <c r="XDO19" s="5"/>
      <c r="XDP19" s="5"/>
      <c r="XDQ19" s="5"/>
      <c r="XDR19" s="5"/>
      <c r="XDS19" s="5"/>
      <c r="XDT19" s="5"/>
      <c r="XDU19" s="5"/>
      <c r="XDV19" s="5"/>
      <c r="XDW19" s="5"/>
      <c r="XDX19" s="5"/>
      <c r="XDY19" s="5"/>
      <c r="XDZ19" s="5"/>
      <c r="XEA19" s="5"/>
      <c r="XEB19" s="5"/>
      <c r="XEC19" s="5"/>
      <c r="XED19" s="5"/>
    </row>
    <row r="20" s="1" customFormat="1" ht="16.5" spans="1:6 16246:16360">
      <c r="A20" s="8">
        <v>18</v>
      </c>
      <c r="B20" s="9" t="s">
        <v>24</v>
      </c>
      <c r="C20" s="8">
        <v>2</v>
      </c>
      <c r="D20" s="8">
        <v>2</v>
      </c>
      <c r="E20" s="8">
        <v>16.5</v>
      </c>
      <c r="F20" s="8">
        <v>33</v>
      </c>
      <c r="WZV20"/>
      <c r="WZW20"/>
      <c r="WZX20"/>
      <c r="WZY20"/>
      <c r="WZZ20"/>
      <c r="XAA20"/>
      <c r="XAB20"/>
      <c r="XAC20"/>
      <c r="XAD20"/>
      <c r="XAE20"/>
      <c r="XAF20"/>
      <c r="XAG20"/>
      <c r="XAH20"/>
      <c r="XAI20"/>
      <c r="XAJ20"/>
      <c r="XAK20"/>
      <c r="XAL20"/>
      <c r="XAM20"/>
      <c r="XAN20"/>
      <c r="XAO20"/>
      <c r="XAP20"/>
      <c r="XAQ20"/>
      <c r="XAR20"/>
      <c r="XAS20"/>
      <c r="XAT20"/>
      <c r="XAU20"/>
      <c r="XAV20"/>
      <c r="XAW20"/>
      <c r="XAX20"/>
      <c r="XAY20"/>
      <c r="XAZ20"/>
      <c r="XBA20"/>
      <c r="XBB20"/>
      <c r="XBC20"/>
      <c r="XBD20"/>
      <c r="XBE20"/>
      <c r="XBF20"/>
      <c r="XBG20"/>
      <c r="XBH20"/>
      <c r="XBI20" s="5"/>
      <c r="XBJ20" s="5"/>
      <c r="XBK20" s="5"/>
      <c r="XBL20" s="5"/>
      <c r="XBM20" s="5"/>
      <c r="XBN20" s="5"/>
      <c r="XBO20" s="5"/>
      <c r="XBP20" s="5"/>
      <c r="XBQ20" s="5"/>
      <c r="XBR20" s="5"/>
      <c r="XBS20" s="5"/>
      <c r="XBT20" s="5"/>
      <c r="XBU20" s="5"/>
      <c r="XBV20" s="5"/>
      <c r="XBW20" s="5"/>
      <c r="XBX20" s="5"/>
      <c r="XBY20" s="5"/>
      <c r="XBZ20" s="5"/>
      <c r="XCA20" s="5"/>
      <c r="XCB20" s="5"/>
      <c r="XCC20" s="5"/>
      <c r="XCD20" s="5"/>
      <c r="XCE20" s="5"/>
      <c r="XCF20" s="5"/>
      <c r="XCG20" s="5"/>
      <c r="XCH20" s="5"/>
      <c r="XCI20" s="5"/>
      <c r="XCJ20" s="5"/>
      <c r="XCK20" s="5"/>
      <c r="XCL20" s="5"/>
      <c r="XCM20" s="5"/>
      <c r="XCN20" s="5"/>
      <c r="XCO20" s="5"/>
      <c r="XCP20" s="5"/>
      <c r="XCQ20" s="5"/>
      <c r="XCR20" s="5"/>
      <c r="XCS20" s="5"/>
      <c r="XCT20" s="5"/>
      <c r="XCU20" s="5"/>
      <c r="XCV20" s="5"/>
      <c r="XCW20" s="5"/>
      <c r="XCX20" s="5"/>
      <c r="XCY20" s="5"/>
      <c r="XCZ20" s="5"/>
      <c r="XDA20" s="5"/>
      <c r="XDB20" s="5"/>
      <c r="XDC20" s="5"/>
      <c r="XDD20" s="5"/>
      <c r="XDE20" s="5"/>
      <c r="XDF20" s="5"/>
      <c r="XDG20" s="5"/>
      <c r="XDH20" s="5"/>
      <c r="XDI20" s="5"/>
      <c r="XDJ20" s="5"/>
      <c r="XDK20" s="5"/>
      <c r="XDL20" s="5"/>
      <c r="XDM20" s="5"/>
      <c r="XDN20" s="5"/>
      <c r="XDO20" s="5"/>
      <c r="XDP20" s="5"/>
      <c r="XDQ20" s="5"/>
      <c r="XDR20" s="5"/>
      <c r="XDS20" s="5"/>
      <c r="XDT20" s="5"/>
      <c r="XDU20" s="5"/>
      <c r="XDV20" s="5"/>
      <c r="XDW20" s="5"/>
      <c r="XDX20" s="5"/>
      <c r="XDY20" s="5"/>
      <c r="XDZ20" s="5"/>
      <c r="XEA20" s="5"/>
      <c r="XEB20" s="5"/>
      <c r="XEC20" s="5"/>
      <c r="XED20" s="5"/>
    </row>
    <row r="21" s="1" customFormat="1" ht="16.5" spans="1:6 16246:16360">
      <c r="A21" s="8">
        <v>19</v>
      </c>
      <c r="B21" s="9" t="s">
        <v>25</v>
      </c>
      <c r="C21" s="8">
        <v>10</v>
      </c>
      <c r="D21" s="8">
        <v>5</v>
      </c>
      <c r="E21" s="8">
        <v>16.5</v>
      </c>
      <c r="F21" s="8">
        <v>82.5</v>
      </c>
      <c r="WZV21"/>
      <c r="WZW21"/>
      <c r="WZX21"/>
      <c r="WZY21"/>
      <c r="WZZ21"/>
      <c r="XAA21"/>
      <c r="XAB21"/>
      <c r="XAC21"/>
      <c r="XAD21"/>
      <c r="XAE21"/>
      <c r="XAF21"/>
      <c r="XAG21"/>
      <c r="XAH21"/>
      <c r="XAI21"/>
      <c r="XAJ21"/>
      <c r="XAK21"/>
      <c r="XAL21"/>
      <c r="XAM21"/>
      <c r="XAN21"/>
      <c r="XAO21"/>
      <c r="XAP21"/>
      <c r="XAQ21"/>
      <c r="XAR21"/>
      <c r="XAS21"/>
      <c r="XAT21"/>
      <c r="XAU21"/>
      <c r="XAV21"/>
      <c r="XAW21"/>
      <c r="XAX21"/>
      <c r="XAY21"/>
      <c r="XAZ21"/>
      <c r="XBA21"/>
      <c r="XBB21"/>
      <c r="XBC21"/>
      <c r="XBD21"/>
      <c r="XBE21"/>
      <c r="XBF21"/>
      <c r="XBG21"/>
      <c r="XBH21"/>
      <c r="XBI21" s="5"/>
      <c r="XBJ21" s="5"/>
      <c r="XBK21" s="5"/>
      <c r="XBL21" s="5"/>
      <c r="XBM21" s="5"/>
      <c r="XBN21" s="5"/>
      <c r="XBO21" s="5"/>
      <c r="XBP21" s="5"/>
      <c r="XBQ21" s="5"/>
      <c r="XBR21" s="5"/>
      <c r="XBS21" s="5"/>
      <c r="XBT21" s="5"/>
      <c r="XBU21" s="5"/>
      <c r="XBV21" s="5"/>
      <c r="XBW21" s="5"/>
      <c r="XBX21" s="5"/>
      <c r="XBY21" s="5"/>
      <c r="XBZ21" s="5"/>
      <c r="XCA21" s="5"/>
      <c r="XCB21" s="5"/>
      <c r="XCC21" s="5"/>
      <c r="XCD21" s="5"/>
      <c r="XCE21" s="5"/>
      <c r="XCF21" s="5"/>
      <c r="XCG21" s="5"/>
      <c r="XCH21" s="5"/>
      <c r="XCI21" s="5"/>
      <c r="XCJ21" s="5"/>
      <c r="XCK21" s="5"/>
      <c r="XCL21" s="5"/>
      <c r="XCM21" s="5"/>
      <c r="XCN21" s="5"/>
      <c r="XCO21" s="5"/>
      <c r="XCP21" s="5"/>
      <c r="XCQ21" s="5"/>
      <c r="XCR21" s="5"/>
      <c r="XCS21" s="5"/>
      <c r="XCT21" s="5"/>
      <c r="XCU21" s="5"/>
      <c r="XCV21" s="5"/>
      <c r="XCW21" s="5"/>
      <c r="XCX21" s="5"/>
      <c r="XCY21" s="5"/>
      <c r="XCZ21" s="5"/>
      <c r="XDA21" s="5"/>
      <c r="XDB21" s="5"/>
      <c r="XDC21" s="5"/>
      <c r="XDD21" s="5"/>
      <c r="XDE21" s="5"/>
      <c r="XDF21" s="5"/>
      <c r="XDG21" s="5"/>
      <c r="XDH21" s="5"/>
      <c r="XDI21" s="5"/>
      <c r="XDJ21" s="5"/>
      <c r="XDK21" s="5"/>
      <c r="XDL21" s="5"/>
      <c r="XDM21" s="5"/>
      <c r="XDN21" s="5"/>
      <c r="XDO21" s="5"/>
      <c r="XDP21" s="5"/>
      <c r="XDQ21" s="5"/>
      <c r="XDR21" s="5"/>
      <c r="XDS21" s="5"/>
      <c r="XDT21" s="5"/>
      <c r="XDU21" s="5"/>
      <c r="XDV21" s="5"/>
      <c r="XDW21" s="5"/>
      <c r="XDX21" s="5"/>
      <c r="XDY21" s="5"/>
      <c r="XDZ21" s="5"/>
      <c r="XEA21" s="5"/>
      <c r="XEB21" s="5"/>
      <c r="XEC21" s="5"/>
      <c r="XED21" s="5"/>
    </row>
    <row r="22" s="1" customFormat="1" ht="16.5" spans="1:6 16246:16360">
      <c r="A22" s="8">
        <v>20</v>
      </c>
      <c r="B22" s="9" t="s">
        <v>26</v>
      </c>
      <c r="C22" s="8">
        <v>16</v>
      </c>
      <c r="D22" s="8">
        <v>8</v>
      </c>
      <c r="E22" s="8">
        <v>13.5</v>
      </c>
      <c r="F22" s="8">
        <v>108</v>
      </c>
      <c r="WZV22"/>
      <c r="WZW22"/>
      <c r="WZX22"/>
      <c r="WZY22"/>
      <c r="WZZ22"/>
      <c r="XAA22"/>
      <c r="XAB22"/>
      <c r="XAC22"/>
      <c r="XAD22"/>
      <c r="XAE22"/>
      <c r="XAF22"/>
      <c r="XAG22"/>
      <c r="XAH22"/>
      <c r="XAI22"/>
      <c r="XAJ22"/>
      <c r="XAK22"/>
      <c r="XAL22"/>
      <c r="XAM22"/>
      <c r="XAN22"/>
      <c r="XAO22"/>
      <c r="XAP22"/>
      <c r="XAQ22"/>
      <c r="XAR22"/>
      <c r="XAS22"/>
      <c r="XAT22"/>
      <c r="XAU22"/>
      <c r="XAV22"/>
      <c r="XAW22"/>
      <c r="XAX22"/>
      <c r="XAY22"/>
      <c r="XAZ22"/>
      <c r="XBA22"/>
      <c r="XBB22"/>
      <c r="XBC22"/>
      <c r="XBD22"/>
      <c r="XBE22"/>
      <c r="XBF22"/>
      <c r="XBG22"/>
      <c r="XBH22"/>
      <c r="XBI22" s="5"/>
      <c r="XBJ22" s="5"/>
      <c r="XBK22" s="5"/>
      <c r="XBL22" s="5"/>
      <c r="XBM22" s="5"/>
      <c r="XBN22" s="5"/>
      <c r="XBO22" s="5"/>
      <c r="XBP22" s="5"/>
      <c r="XBQ22" s="5"/>
      <c r="XBR22" s="5"/>
      <c r="XBS22" s="5"/>
      <c r="XBT22" s="5"/>
      <c r="XBU22" s="5"/>
      <c r="XBV22" s="5"/>
      <c r="XBW22" s="5"/>
      <c r="XBX22" s="5"/>
      <c r="XBY22" s="5"/>
      <c r="XBZ22" s="5"/>
      <c r="XCA22" s="5"/>
      <c r="XCB22" s="5"/>
      <c r="XCC22" s="5"/>
      <c r="XCD22" s="5"/>
      <c r="XCE22" s="5"/>
      <c r="XCF22" s="5"/>
      <c r="XCG22" s="5"/>
      <c r="XCH22" s="5"/>
      <c r="XCI22" s="5"/>
      <c r="XCJ22" s="5"/>
      <c r="XCK22" s="5"/>
      <c r="XCL22" s="5"/>
      <c r="XCM22" s="5"/>
      <c r="XCN22" s="5"/>
      <c r="XCO22" s="5"/>
      <c r="XCP22" s="5"/>
      <c r="XCQ22" s="5"/>
      <c r="XCR22" s="5"/>
      <c r="XCS22" s="5"/>
      <c r="XCT22" s="5"/>
      <c r="XCU22" s="5"/>
      <c r="XCV22" s="5"/>
      <c r="XCW22" s="5"/>
      <c r="XCX22" s="5"/>
      <c r="XCY22" s="5"/>
      <c r="XCZ22" s="5"/>
      <c r="XDA22" s="5"/>
      <c r="XDB22" s="5"/>
      <c r="XDC22" s="5"/>
      <c r="XDD22" s="5"/>
      <c r="XDE22" s="5"/>
      <c r="XDF22" s="5"/>
      <c r="XDG22" s="5"/>
      <c r="XDH22" s="5"/>
      <c r="XDI22" s="5"/>
      <c r="XDJ22" s="5"/>
      <c r="XDK22" s="5"/>
      <c r="XDL22" s="5"/>
      <c r="XDM22" s="5"/>
      <c r="XDN22" s="5"/>
      <c r="XDO22" s="5"/>
      <c r="XDP22" s="5"/>
      <c r="XDQ22" s="5"/>
      <c r="XDR22" s="5"/>
      <c r="XDS22" s="5"/>
      <c r="XDT22" s="5"/>
      <c r="XDU22" s="5"/>
      <c r="XDV22" s="5"/>
      <c r="XDW22" s="5"/>
      <c r="XDX22" s="5"/>
      <c r="XDY22" s="5"/>
      <c r="XDZ22" s="5"/>
      <c r="XEA22" s="5"/>
      <c r="XEB22" s="5"/>
      <c r="XEC22" s="5"/>
      <c r="XED22" s="5"/>
    </row>
    <row r="23" s="1" customFormat="1" ht="16.5" spans="1:6 16246:16360">
      <c r="A23" s="8">
        <v>21</v>
      </c>
      <c r="B23" s="9" t="s">
        <v>27</v>
      </c>
      <c r="C23" s="8">
        <v>57</v>
      </c>
      <c r="D23" s="8">
        <v>19</v>
      </c>
      <c r="E23" s="8">
        <v>16.5</v>
      </c>
      <c r="F23" s="8">
        <v>313.5</v>
      </c>
      <c r="WZV23"/>
      <c r="WZW23"/>
      <c r="WZX23"/>
      <c r="WZY23"/>
      <c r="WZZ23"/>
      <c r="XAA23"/>
      <c r="XAB23"/>
      <c r="XAC23"/>
      <c r="XAD23"/>
      <c r="XAE23"/>
      <c r="XAF23"/>
      <c r="XAG23"/>
      <c r="XAH23"/>
      <c r="XAI23"/>
      <c r="XAJ23"/>
      <c r="XAK23"/>
      <c r="XAL23"/>
      <c r="XAM23"/>
      <c r="XAN23"/>
      <c r="XAO23"/>
      <c r="XAP23"/>
      <c r="XAQ23"/>
      <c r="XAR23"/>
      <c r="XAS23"/>
      <c r="XAT23"/>
      <c r="XAU23"/>
      <c r="XAV23"/>
      <c r="XAW23"/>
      <c r="XAX23"/>
      <c r="XAY23"/>
      <c r="XAZ23"/>
      <c r="XBA23"/>
      <c r="XBB23"/>
      <c r="XBC23"/>
      <c r="XBD23"/>
      <c r="XBE23"/>
      <c r="XBF23"/>
      <c r="XBG23"/>
      <c r="XBH23"/>
      <c r="XBI23" s="5"/>
      <c r="XBJ23" s="5"/>
      <c r="XBK23" s="5"/>
      <c r="XBL23" s="5"/>
      <c r="XBM23" s="5"/>
      <c r="XBN23" s="5"/>
      <c r="XBO23" s="5"/>
      <c r="XBP23" s="5"/>
      <c r="XBQ23" s="5"/>
      <c r="XBR23" s="5"/>
      <c r="XBS23" s="5"/>
      <c r="XBT23" s="5"/>
      <c r="XBU23" s="5"/>
      <c r="XBV23" s="5"/>
      <c r="XBW23" s="5"/>
      <c r="XBX23" s="5"/>
      <c r="XBY23" s="5"/>
      <c r="XBZ23" s="5"/>
      <c r="XCA23" s="5"/>
      <c r="XCB23" s="5"/>
      <c r="XCC23" s="5"/>
      <c r="XCD23" s="5"/>
      <c r="XCE23" s="5"/>
      <c r="XCF23" s="5"/>
      <c r="XCG23" s="5"/>
      <c r="XCH23" s="5"/>
      <c r="XCI23" s="5"/>
      <c r="XCJ23" s="5"/>
      <c r="XCK23" s="5"/>
      <c r="XCL23" s="5"/>
      <c r="XCM23" s="5"/>
      <c r="XCN23" s="5"/>
      <c r="XCO23" s="5"/>
      <c r="XCP23" s="5"/>
      <c r="XCQ23" s="5"/>
      <c r="XCR23" s="5"/>
      <c r="XCS23" s="5"/>
      <c r="XCT23" s="5"/>
      <c r="XCU23" s="5"/>
      <c r="XCV23" s="5"/>
      <c r="XCW23" s="5"/>
      <c r="XCX23" s="5"/>
      <c r="XCY23" s="5"/>
      <c r="XCZ23" s="5"/>
      <c r="XDA23" s="5"/>
      <c r="XDB23" s="5"/>
      <c r="XDC23" s="5"/>
      <c r="XDD23" s="5"/>
      <c r="XDE23" s="5"/>
      <c r="XDF23" s="5"/>
      <c r="XDG23" s="5"/>
      <c r="XDH23" s="5"/>
      <c r="XDI23" s="5"/>
      <c r="XDJ23" s="5"/>
      <c r="XDK23" s="5"/>
      <c r="XDL23" s="5"/>
      <c r="XDM23" s="5"/>
      <c r="XDN23" s="5"/>
      <c r="XDO23" s="5"/>
      <c r="XDP23" s="5"/>
      <c r="XDQ23" s="5"/>
      <c r="XDR23" s="5"/>
      <c r="XDS23" s="5"/>
      <c r="XDT23" s="5"/>
      <c r="XDU23" s="5"/>
      <c r="XDV23" s="5"/>
      <c r="XDW23" s="5"/>
      <c r="XDX23" s="5"/>
      <c r="XDY23" s="5"/>
      <c r="XDZ23" s="5"/>
      <c r="XEA23" s="5"/>
      <c r="XEB23" s="5"/>
      <c r="XEC23" s="5"/>
      <c r="XED23" s="5"/>
    </row>
    <row r="24" s="1" customFormat="1" ht="16.5" spans="1:6 16246:16360">
      <c r="A24" s="8">
        <v>22</v>
      </c>
      <c r="B24" s="9" t="s">
        <v>28</v>
      </c>
      <c r="C24" s="8">
        <v>1</v>
      </c>
      <c r="D24" s="8">
        <v>1</v>
      </c>
      <c r="E24" s="8">
        <v>16.5</v>
      </c>
      <c r="F24" s="8">
        <v>16.5</v>
      </c>
      <c r="WZV24"/>
      <c r="WZW24"/>
      <c r="WZX24"/>
      <c r="WZY24"/>
      <c r="WZZ24"/>
      <c r="XAA24"/>
      <c r="XAB24"/>
      <c r="XAC24"/>
      <c r="XAD24"/>
      <c r="XAE24"/>
      <c r="XAF24"/>
      <c r="XAG24"/>
      <c r="XAH24"/>
      <c r="XAI24"/>
      <c r="XAJ24"/>
      <c r="XAK24"/>
      <c r="XAL24"/>
      <c r="XAM24"/>
      <c r="XAN24"/>
      <c r="XAO24"/>
      <c r="XAP24"/>
      <c r="XAQ24"/>
      <c r="XAR24"/>
      <c r="XAS24"/>
      <c r="XAT24"/>
      <c r="XAU24"/>
      <c r="XAV24"/>
      <c r="XAW24"/>
      <c r="XAX24"/>
      <c r="XAY24"/>
      <c r="XAZ24"/>
      <c r="XBA24"/>
      <c r="XBB24"/>
      <c r="XBC24"/>
      <c r="XBD24"/>
      <c r="XBE24"/>
      <c r="XBF24"/>
      <c r="XBG24"/>
      <c r="XBH24"/>
      <c r="XBI24" s="5"/>
      <c r="XBJ24" s="5"/>
      <c r="XBK24" s="5"/>
      <c r="XBL24" s="5"/>
      <c r="XBM24" s="5"/>
      <c r="XBN24" s="5"/>
      <c r="XBO24" s="5"/>
      <c r="XBP24" s="5"/>
      <c r="XBQ24" s="5"/>
      <c r="XBR24" s="5"/>
      <c r="XBS24" s="5"/>
      <c r="XBT24" s="5"/>
      <c r="XBU24" s="5"/>
      <c r="XBV24" s="5"/>
      <c r="XBW24" s="5"/>
      <c r="XBX24" s="5"/>
      <c r="XBY24" s="5"/>
      <c r="XBZ24" s="5"/>
      <c r="XCA24" s="5"/>
      <c r="XCB24" s="5"/>
      <c r="XCC24" s="5"/>
      <c r="XCD24" s="5"/>
      <c r="XCE24" s="5"/>
      <c r="XCF24" s="5"/>
      <c r="XCG24" s="5"/>
      <c r="XCH24" s="5"/>
      <c r="XCI24" s="5"/>
      <c r="XCJ24" s="5"/>
      <c r="XCK24" s="5"/>
      <c r="XCL24" s="5"/>
      <c r="XCM24" s="5"/>
      <c r="XCN24" s="5"/>
      <c r="XCO24" s="5"/>
      <c r="XCP24" s="5"/>
      <c r="XCQ24" s="5"/>
      <c r="XCR24" s="5"/>
      <c r="XCS24" s="5"/>
      <c r="XCT24" s="5"/>
      <c r="XCU24" s="5"/>
      <c r="XCV24" s="5"/>
      <c r="XCW24" s="5"/>
      <c r="XCX24" s="5"/>
      <c r="XCY24" s="5"/>
      <c r="XCZ24" s="5"/>
      <c r="XDA24" s="5"/>
      <c r="XDB24" s="5"/>
      <c r="XDC24" s="5"/>
      <c r="XDD24" s="5"/>
      <c r="XDE24" s="5"/>
      <c r="XDF24" s="5"/>
      <c r="XDG24" s="5"/>
      <c r="XDH24" s="5"/>
      <c r="XDI24" s="5"/>
      <c r="XDJ24" s="5"/>
      <c r="XDK24" s="5"/>
      <c r="XDL24" s="5"/>
      <c r="XDM24" s="5"/>
      <c r="XDN24" s="5"/>
      <c r="XDO24" s="5"/>
      <c r="XDP24" s="5"/>
      <c r="XDQ24" s="5"/>
      <c r="XDR24" s="5"/>
      <c r="XDS24" s="5"/>
      <c r="XDT24" s="5"/>
      <c r="XDU24" s="5"/>
      <c r="XDV24" s="5"/>
      <c r="XDW24" s="5"/>
      <c r="XDX24" s="5"/>
      <c r="XDY24" s="5"/>
      <c r="XDZ24" s="5"/>
      <c r="XEA24" s="5"/>
      <c r="XEB24" s="5"/>
      <c r="XEC24" s="5"/>
      <c r="XED24" s="5"/>
    </row>
    <row r="25" s="1" customFormat="1" ht="16.5" spans="1:6 16246:16360">
      <c r="A25" s="8">
        <v>23</v>
      </c>
      <c r="B25" s="9" t="s">
        <v>29</v>
      </c>
      <c r="C25" s="8">
        <v>72</v>
      </c>
      <c r="D25" s="8">
        <v>72</v>
      </c>
      <c r="E25" s="8">
        <v>16.5</v>
      </c>
      <c r="F25" s="8">
        <v>1188</v>
      </c>
      <c r="WZV25"/>
      <c r="WZW25"/>
      <c r="WZX25"/>
      <c r="WZY25"/>
      <c r="WZZ25"/>
      <c r="XAA25"/>
      <c r="XAB25"/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 s="5"/>
      <c r="XBJ25" s="5"/>
      <c r="XBK25" s="5"/>
      <c r="XBL25" s="5"/>
      <c r="XBM25" s="5"/>
      <c r="XBN25" s="5"/>
      <c r="XBO25" s="5"/>
      <c r="XBP25" s="5"/>
      <c r="XBQ25" s="5"/>
      <c r="XBR25" s="5"/>
      <c r="XBS25" s="5"/>
      <c r="XBT25" s="5"/>
      <c r="XBU25" s="5"/>
      <c r="XBV25" s="5"/>
      <c r="XBW25" s="5"/>
      <c r="XBX25" s="5"/>
      <c r="XBY25" s="5"/>
      <c r="XBZ25" s="5"/>
      <c r="XCA25" s="5"/>
      <c r="XCB25" s="5"/>
      <c r="XCC25" s="5"/>
      <c r="XCD25" s="5"/>
      <c r="XCE25" s="5"/>
      <c r="XCF25" s="5"/>
      <c r="XCG25" s="5"/>
      <c r="XCH25" s="5"/>
      <c r="XCI25" s="5"/>
      <c r="XCJ25" s="5"/>
      <c r="XCK25" s="5"/>
      <c r="XCL25" s="5"/>
      <c r="XCM25" s="5"/>
      <c r="XCN25" s="5"/>
      <c r="XCO25" s="5"/>
      <c r="XCP25" s="5"/>
      <c r="XCQ25" s="5"/>
      <c r="XCR25" s="5"/>
      <c r="XCS25" s="5"/>
      <c r="XCT25" s="5"/>
      <c r="XCU25" s="5"/>
      <c r="XCV25" s="5"/>
      <c r="XCW25" s="5"/>
      <c r="XCX25" s="5"/>
      <c r="XCY25" s="5"/>
      <c r="XCZ25" s="5"/>
      <c r="XDA25" s="5"/>
      <c r="XDB25" s="5"/>
      <c r="XDC25" s="5"/>
      <c r="XDD25" s="5"/>
      <c r="XDE25" s="5"/>
      <c r="XDF25" s="5"/>
      <c r="XDG25" s="5"/>
      <c r="XDH25" s="5"/>
      <c r="XDI25" s="5"/>
      <c r="XDJ25" s="5"/>
      <c r="XDK25" s="5"/>
      <c r="XDL25" s="5"/>
      <c r="XDM25" s="5"/>
      <c r="XDN25" s="5"/>
      <c r="XDO25" s="5"/>
      <c r="XDP25" s="5"/>
      <c r="XDQ25" s="5"/>
      <c r="XDR25" s="5"/>
      <c r="XDS25" s="5"/>
      <c r="XDT25" s="5"/>
      <c r="XDU25" s="5"/>
      <c r="XDV25" s="5"/>
      <c r="XDW25" s="5"/>
      <c r="XDX25" s="5"/>
      <c r="XDY25" s="5"/>
      <c r="XDZ25" s="5"/>
      <c r="XEA25" s="5"/>
      <c r="XEB25" s="5"/>
      <c r="XEC25" s="5"/>
      <c r="XED25" s="5"/>
    </row>
    <row r="26" s="1" customFormat="1" ht="16.5" spans="1:6 16246:16360">
      <c r="A26" s="8">
        <v>24</v>
      </c>
      <c r="B26" s="9" t="s">
        <v>30</v>
      </c>
      <c r="C26" s="8">
        <v>2</v>
      </c>
      <c r="D26" s="8">
        <v>1</v>
      </c>
      <c r="E26" s="8">
        <v>16.5</v>
      </c>
      <c r="F26" s="8">
        <v>16.5</v>
      </c>
      <c r="WZV26"/>
      <c r="WZW26"/>
      <c r="WZX26"/>
      <c r="WZY26"/>
      <c r="WZZ26"/>
      <c r="XAA26"/>
      <c r="XAB26"/>
      <c r="XAC26"/>
      <c r="XAD26"/>
      <c r="XAE26"/>
      <c r="XAF26"/>
      <c r="XAG26"/>
      <c r="XAH26"/>
      <c r="XAI26"/>
      <c r="XAJ26"/>
      <c r="XAK26"/>
      <c r="XAL26"/>
      <c r="XAM26"/>
      <c r="XAN26"/>
      <c r="XAO26"/>
      <c r="XAP26"/>
      <c r="XAQ26"/>
      <c r="XAR26"/>
      <c r="XAS26"/>
      <c r="XAT26"/>
      <c r="XAU26"/>
      <c r="XAV26"/>
      <c r="XAW26"/>
      <c r="XAX26"/>
      <c r="XAY26"/>
      <c r="XAZ26"/>
      <c r="XBA26"/>
      <c r="XBB26"/>
      <c r="XBC26"/>
      <c r="XBD26"/>
      <c r="XBE26"/>
      <c r="XBF26"/>
      <c r="XBG26"/>
      <c r="XBH26"/>
      <c r="XBI26" s="5"/>
      <c r="XBJ26" s="5"/>
      <c r="XBK26" s="5"/>
      <c r="XBL26" s="5"/>
      <c r="XBM26" s="5"/>
      <c r="XBN26" s="5"/>
      <c r="XBO26" s="5"/>
      <c r="XBP26" s="5"/>
      <c r="XBQ26" s="5"/>
      <c r="XBR26" s="5"/>
      <c r="XBS26" s="5"/>
      <c r="XBT26" s="5"/>
      <c r="XBU26" s="5"/>
      <c r="XBV26" s="5"/>
      <c r="XBW26" s="5"/>
      <c r="XBX26" s="5"/>
      <c r="XBY26" s="5"/>
      <c r="XBZ26" s="5"/>
      <c r="XCA26" s="5"/>
      <c r="XCB26" s="5"/>
      <c r="XCC26" s="5"/>
      <c r="XCD26" s="5"/>
      <c r="XCE26" s="5"/>
      <c r="XCF26" s="5"/>
      <c r="XCG26" s="5"/>
      <c r="XCH26" s="5"/>
      <c r="XCI26" s="5"/>
      <c r="XCJ26" s="5"/>
      <c r="XCK26" s="5"/>
      <c r="XCL26" s="5"/>
      <c r="XCM26" s="5"/>
      <c r="XCN26" s="5"/>
      <c r="XCO26" s="5"/>
      <c r="XCP26" s="5"/>
      <c r="XCQ26" s="5"/>
      <c r="XCR26" s="5"/>
      <c r="XCS26" s="5"/>
      <c r="XCT26" s="5"/>
      <c r="XCU26" s="5"/>
      <c r="XCV26" s="5"/>
      <c r="XCW26" s="5"/>
      <c r="XCX26" s="5"/>
      <c r="XCY26" s="5"/>
      <c r="XCZ26" s="5"/>
      <c r="XDA26" s="5"/>
      <c r="XDB26" s="5"/>
      <c r="XDC26" s="5"/>
      <c r="XDD26" s="5"/>
      <c r="XDE26" s="5"/>
      <c r="XDF26" s="5"/>
      <c r="XDG26" s="5"/>
      <c r="XDH26" s="5"/>
      <c r="XDI26" s="5"/>
      <c r="XDJ26" s="5"/>
      <c r="XDK26" s="5"/>
      <c r="XDL26" s="5"/>
      <c r="XDM26" s="5"/>
      <c r="XDN26" s="5"/>
      <c r="XDO26" s="5"/>
      <c r="XDP26" s="5"/>
      <c r="XDQ26" s="5"/>
      <c r="XDR26" s="5"/>
      <c r="XDS26" s="5"/>
      <c r="XDT26" s="5"/>
      <c r="XDU26" s="5"/>
      <c r="XDV26" s="5"/>
      <c r="XDW26" s="5"/>
      <c r="XDX26" s="5"/>
      <c r="XDY26" s="5"/>
      <c r="XDZ26" s="5"/>
      <c r="XEA26" s="5"/>
      <c r="XEB26" s="5"/>
      <c r="XEC26" s="5"/>
      <c r="XED26" s="5"/>
    </row>
    <row r="27" s="1" customFormat="1" ht="16.5" spans="1:6 16246:16360">
      <c r="A27" s="8">
        <v>25</v>
      </c>
      <c r="B27" s="9" t="s">
        <v>31</v>
      </c>
      <c r="C27" s="8">
        <v>27</v>
      </c>
      <c r="D27" s="8">
        <v>27</v>
      </c>
      <c r="E27" s="8">
        <v>16.5</v>
      </c>
      <c r="F27" s="8">
        <v>445.5</v>
      </c>
      <c r="WZV27"/>
      <c r="WZW27"/>
      <c r="WZX27"/>
      <c r="WZY27"/>
      <c r="WZZ27"/>
      <c r="XAA27"/>
      <c r="XAB27"/>
      <c r="XAC27"/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 s="5"/>
      <c r="XBJ27" s="5"/>
      <c r="XBK27" s="5"/>
      <c r="XBL27" s="5"/>
      <c r="XBM27" s="5"/>
      <c r="XBN27" s="5"/>
      <c r="XBO27" s="5"/>
      <c r="XBP27" s="5"/>
      <c r="XBQ27" s="5"/>
      <c r="XBR27" s="5"/>
      <c r="XBS27" s="5"/>
      <c r="XBT27" s="5"/>
      <c r="XBU27" s="5"/>
      <c r="XBV27" s="5"/>
      <c r="XBW27" s="5"/>
      <c r="XBX27" s="5"/>
      <c r="XBY27" s="5"/>
      <c r="XBZ27" s="5"/>
      <c r="XCA27" s="5"/>
      <c r="XCB27" s="5"/>
      <c r="XCC27" s="5"/>
      <c r="XCD27" s="5"/>
      <c r="XCE27" s="5"/>
      <c r="XCF27" s="5"/>
      <c r="XCG27" s="5"/>
      <c r="XCH27" s="5"/>
      <c r="XCI27" s="5"/>
      <c r="XCJ27" s="5"/>
      <c r="XCK27" s="5"/>
      <c r="XCL27" s="5"/>
      <c r="XCM27" s="5"/>
      <c r="XCN27" s="5"/>
      <c r="XCO27" s="5"/>
      <c r="XCP27" s="5"/>
      <c r="XCQ27" s="5"/>
      <c r="XCR27" s="5"/>
      <c r="XCS27" s="5"/>
      <c r="XCT27" s="5"/>
      <c r="XCU27" s="5"/>
      <c r="XCV27" s="5"/>
      <c r="XCW27" s="5"/>
      <c r="XCX27" s="5"/>
      <c r="XCY27" s="5"/>
      <c r="XCZ27" s="5"/>
      <c r="XDA27" s="5"/>
      <c r="XDB27" s="5"/>
      <c r="XDC27" s="5"/>
      <c r="XDD27" s="5"/>
      <c r="XDE27" s="5"/>
      <c r="XDF27" s="5"/>
      <c r="XDG27" s="5"/>
      <c r="XDH27" s="5"/>
      <c r="XDI27" s="5"/>
      <c r="XDJ27" s="5"/>
      <c r="XDK27" s="5"/>
      <c r="XDL27" s="5"/>
      <c r="XDM27" s="5"/>
      <c r="XDN27" s="5"/>
      <c r="XDO27" s="5"/>
      <c r="XDP27" s="5"/>
      <c r="XDQ27" s="5"/>
      <c r="XDR27" s="5"/>
      <c r="XDS27" s="5"/>
      <c r="XDT27" s="5"/>
      <c r="XDU27" s="5"/>
      <c r="XDV27" s="5"/>
      <c r="XDW27" s="5"/>
      <c r="XDX27" s="5"/>
      <c r="XDY27" s="5"/>
      <c r="XDZ27" s="5"/>
      <c r="XEA27" s="5"/>
      <c r="XEB27" s="5"/>
      <c r="XEC27" s="5"/>
      <c r="XED27" s="5"/>
    </row>
    <row r="28" s="1" customFormat="1" ht="16.5" spans="1:6 16246:16360">
      <c r="A28" s="8">
        <v>26</v>
      </c>
      <c r="B28" s="9" t="s">
        <v>32</v>
      </c>
      <c r="C28" s="8">
        <v>3</v>
      </c>
      <c r="D28" s="8">
        <v>3</v>
      </c>
      <c r="E28" s="8">
        <v>16</v>
      </c>
      <c r="F28" s="8">
        <v>48</v>
      </c>
      <c r="WZV28"/>
      <c r="WZW28"/>
      <c r="WZX28"/>
      <c r="WZY28"/>
      <c r="WZZ28"/>
      <c r="XAA28"/>
      <c r="XAB28"/>
      <c r="XAC28"/>
      <c r="XAD28"/>
      <c r="XAE28"/>
      <c r="XAF28"/>
      <c r="XAG28"/>
      <c r="XAH28"/>
      <c r="XAI28"/>
      <c r="XAJ28"/>
      <c r="XAK28"/>
      <c r="XAL28"/>
      <c r="XAM28"/>
      <c r="XAN28"/>
      <c r="XAO28"/>
      <c r="XAP28"/>
      <c r="XAQ28"/>
      <c r="XAR28"/>
      <c r="XAS28"/>
      <c r="XAT28"/>
      <c r="XAU28"/>
      <c r="XAV28"/>
      <c r="XAW28"/>
      <c r="XAX28"/>
      <c r="XAY28"/>
      <c r="XAZ28"/>
      <c r="XBA28"/>
      <c r="XBB28"/>
      <c r="XBC28"/>
      <c r="XBD28"/>
      <c r="XBE28"/>
      <c r="XBF28"/>
      <c r="XBG28"/>
      <c r="XBH28"/>
      <c r="XBI28" s="5"/>
      <c r="XBJ28" s="5"/>
      <c r="XBK28" s="5"/>
      <c r="XBL28" s="5"/>
      <c r="XBM28" s="5"/>
      <c r="XBN28" s="5"/>
      <c r="XBO28" s="5"/>
      <c r="XBP28" s="5"/>
      <c r="XBQ28" s="5"/>
      <c r="XBR28" s="5"/>
      <c r="XBS28" s="5"/>
      <c r="XBT28" s="5"/>
      <c r="XBU28" s="5"/>
      <c r="XBV28" s="5"/>
      <c r="XBW28" s="5"/>
      <c r="XBX28" s="5"/>
      <c r="XBY28" s="5"/>
      <c r="XBZ28" s="5"/>
      <c r="XCA28" s="5"/>
      <c r="XCB28" s="5"/>
      <c r="XCC28" s="5"/>
      <c r="XCD28" s="5"/>
      <c r="XCE28" s="5"/>
      <c r="XCF28" s="5"/>
      <c r="XCG28" s="5"/>
      <c r="XCH28" s="5"/>
      <c r="XCI28" s="5"/>
      <c r="XCJ28" s="5"/>
      <c r="XCK28" s="5"/>
      <c r="XCL28" s="5"/>
      <c r="XCM28" s="5"/>
      <c r="XCN28" s="5"/>
      <c r="XCO28" s="5"/>
      <c r="XCP28" s="5"/>
      <c r="XCQ28" s="5"/>
      <c r="XCR28" s="5"/>
      <c r="XCS28" s="5"/>
      <c r="XCT28" s="5"/>
      <c r="XCU28" s="5"/>
      <c r="XCV28" s="5"/>
      <c r="XCW28" s="5"/>
      <c r="XCX28" s="5"/>
      <c r="XCY28" s="5"/>
      <c r="XCZ28" s="5"/>
      <c r="XDA28" s="5"/>
      <c r="XDB28" s="5"/>
      <c r="XDC28" s="5"/>
      <c r="XDD28" s="5"/>
      <c r="XDE28" s="5"/>
      <c r="XDF28" s="5"/>
      <c r="XDG28" s="5"/>
      <c r="XDH28" s="5"/>
      <c r="XDI28" s="5"/>
      <c r="XDJ28" s="5"/>
      <c r="XDK28" s="5"/>
      <c r="XDL28" s="5"/>
      <c r="XDM28" s="5"/>
      <c r="XDN28" s="5"/>
      <c r="XDO28" s="5"/>
      <c r="XDP28" s="5"/>
      <c r="XDQ28" s="5"/>
      <c r="XDR28" s="5"/>
      <c r="XDS28" s="5"/>
      <c r="XDT28" s="5"/>
      <c r="XDU28" s="5"/>
      <c r="XDV28" s="5"/>
      <c r="XDW28" s="5"/>
      <c r="XDX28" s="5"/>
      <c r="XDY28" s="5"/>
      <c r="XDZ28" s="5"/>
      <c r="XEA28" s="5"/>
      <c r="XEB28" s="5"/>
      <c r="XEC28" s="5"/>
      <c r="XED28" s="5"/>
    </row>
    <row r="29" s="1" customFormat="1" ht="16.5" spans="1:6 16246:16360">
      <c r="A29" s="8">
        <v>27</v>
      </c>
      <c r="B29" s="10" t="s">
        <v>33</v>
      </c>
      <c r="C29" s="8">
        <v>2</v>
      </c>
      <c r="D29" s="8">
        <v>2</v>
      </c>
      <c r="E29" s="8">
        <v>35</v>
      </c>
      <c r="F29" s="8">
        <v>70</v>
      </c>
      <c r="WZV29" s="11"/>
      <c r="WZW29" s="11"/>
      <c r="WZX29" s="11"/>
      <c r="WZY29" s="11"/>
      <c r="WZZ29" s="11"/>
      <c r="XAA29" s="11"/>
      <c r="XAB29" s="11"/>
      <c r="XAC29" s="11"/>
      <c r="XAD29" s="11"/>
      <c r="XAE29" s="11"/>
      <c r="XAF29" s="11"/>
      <c r="XAG29" s="11"/>
      <c r="XAH29" s="11"/>
      <c r="XAI29" s="11"/>
      <c r="XAJ29" s="11"/>
      <c r="XAK29" s="11"/>
      <c r="XAL29" s="11"/>
      <c r="XAM29" s="11"/>
      <c r="XAN29" s="11"/>
      <c r="XAO29" s="11"/>
      <c r="XAP29" s="11"/>
      <c r="XAQ29" s="11"/>
      <c r="XAR29" s="11"/>
      <c r="XAS29" s="11"/>
      <c r="XAT29" s="11"/>
      <c r="XAU29" s="11"/>
      <c r="XAV29" s="11"/>
      <c r="XAW29" s="11"/>
      <c r="XAX29" s="11"/>
      <c r="XAY29" s="11"/>
      <c r="XAZ29" s="11"/>
      <c r="XBA29" s="11"/>
      <c r="XBB29" s="11"/>
      <c r="XBC29" s="11"/>
      <c r="XBD29" s="11"/>
      <c r="XBE29" s="11"/>
      <c r="XBF29" s="11"/>
      <c r="XBG29" s="11"/>
      <c r="XBH29" s="11"/>
      <c r="XBI29" s="5"/>
      <c r="XBJ29" s="5"/>
      <c r="XBK29" s="5"/>
      <c r="XBL29" s="5"/>
      <c r="XBM29" s="5"/>
      <c r="XBN29" s="5"/>
      <c r="XBO29" s="5"/>
      <c r="XBP29" s="5"/>
      <c r="XBQ29" s="5"/>
      <c r="XBR29" s="5"/>
      <c r="XBS29" s="5"/>
      <c r="XBT29" s="5"/>
      <c r="XBU29" s="5"/>
      <c r="XBV29" s="5"/>
      <c r="XBW29" s="5"/>
      <c r="XBX29" s="5"/>
      <c r="XBY29" s="5"/>
      <c r="XBZ29" s="5"/>
      <c r="XCA29" s="5"/>
      <c r="XCB29" s="5"/>
      <c r="XCC29" s="5"/>
      <c r="XCD29" s="5"/>
      <c r="XCE29" s="5"/>
      <c r="XCF29" s="5"/>
      <c r="XCG29" s="5"/>
      <c r="XCH29" s="5"/>
      <c r="XCI29" s="5"/>
      <c r="XCJ29" s="5"/>
      <c r="XCK29" s="5"/>
      <c r="XCL29" s="5"/>
      <c r="XCM29" s="5"/>
      <c r="XCN29" s="5"/>
      <c r="XCO29" s="5"/>
      <c r="XCP29" s="5"/>
      <c r="XCQ29" s="5"/>
      <c r="XCR29" s="5"/>
      <c r="XCS29" s="5"/>
      <c r="XCT29" s="5"/>
      <c r="XCU29" s="5"/>
      <c r="XCV29" s="5"/>
      <c r="XCW29" s="5"/>
      <c r="XCX29" s="5"/>
      <c r="XCY29" s="5"/>
      <c r="XCZ29" s="5"/>
      <c r="XDA29" s="5"/>
      <c r="XDB29" s="5"/>
      <c r="XDC29" s="5"/>
      <c r="XDD29" s="5"/>
      <c r="XDE29" s="5"/>
      <c r="XDF29" s="5"/>
      <c r="XDG29" s="5"/>
      <c r="XDH29" s="5"/>
      <c r="XDI29" s="5"/>
      <c r="XDJ29" s="5"/>
      <c r="XDK29" s="5"/>
      <c r="XDL29" s="5"/>
      <c r="XDM29" s="5"/>
      <c r="XDN29" s="5"/>
      <c r="XDO29" s="5"/>
      <c r="XDP29" s="5"/>
      <c r="XDQ29" s="5"/>
      <c r="XDR29" s="5"/>
      <c r="XDS29" s="5"/>
      <c r="XDT29" s="5"/>
      <c r="XDU29" s="5"/>
      <c r="XDV29" s="5"/>
      <c r="XDW29" s="5"/>
      <c r="XDX29" s="5"/>
      <c r="XDY29" s="5"/>
      <c r="XDZ29" s="5"/>
      <c r="XEA29" s="5"/>
      <c r="XEB29" s="5"/>
      <c r="XEC29" s="5"/>
      <c r="XED29" s="5"/>
      <c r="XEE29" s="5"/>
      <c r="XEF29" s="5"/>
    </row>
    <row r="30" s="1" customFormat="1" ht="16.5" spans="1:6 16246:16360">
      <c r="A30" s="8">
        <v>28</v>
      </c>
      <c r="B30" s="9" t="s">
        <v>34</v>
      </c>
      <c r="C30" s="8">
        <v>6</v>
      </c>
      <c r="D30" s="8">
        <v>6</v>
      </c>
      <c r="E30" s="8">
        <v>16.5</v>
      </c>
      <c r="F30" s="8">
        <v>99</v>
      </c>
      <c r="WZV30"/>
      <c r="WZW30"/>
      <c r="WZX30"/>
      <c r="WZY30"/>
      <c r="WZZ30"/>
      <c r="XAA30"/>
      <c r="XAB30"/>
      <c r="XAC30"/>
      <c r="XAD30"/>
      <c r="XAE30"/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/>
      <c r="XBH30"/>
      <c r="XBI30" s="5"/>
      <c r="XBJ30" s="5"/>
      <c r="XBK30" s="5"/>
      <c r="XBL30" s="5"/>
      <c r="XBM30" s="5"/>
      <c r="XBN30" s="5"/>
      <c r="XBO30" s="5"/>
      <c r="XBP30" s="5"/>
      <c r="XBQ30" s="5"/>
      <c r="XBR30" s="5"/>
      <c r="XBS30" s="5"/>
      <c r="XBT30" s="5"/>
      <c r="XBU30" s="5"/>
      <c r="XBV30" s="5"/>
      <c r="XBW30" s="5"/>
      <c r="XBX30" s="5"/>
      <c r="XBY30" s="5"/>
      <c r="XBZ30" s="5"/>
      <c r="XCA30" s="5"/>
      <c r="XCB30" s="5"/>
      <c r="XCC30" s="5"/>
      <c r="XCD30" s="5"/>
      <c r="XCE30" s="5"/>
      <c r="XCF30" s="5"/>
      <c r="XCG30" s="5"/>
      <c r="XCH30" s="5"/>
      <c r="XCI30" s="5"/>
      <c r="XCJ30" s="5"/>
      <c r="XCK30" s="5"/>
      <c r="XCL30" s="5"/>
      <c r="XCM30" s="5"/>
      <c r="XCN30" s="5"/>
      <c r="XCO30" s="5"/>
      <c r="XCP30" s="5"/>
      <c r="XCQ30" s="5"/>
      <c r="XCR30" s="5"/>
      <c r="XCS30" s="5"/>
      <c r="XCT30" s="5"/>
      <c r="XCU30" s="5"/>
      <c r="XCV30" s="5"/>
      <c r="XCW30" s="5"/>
      <c r="XCX30" s="5"/>
      <c r="XCY30" s="5"/>
      <c r="XCZ30" s="5"/>
      <c r="XDA30" s="5"/>
      <c r="XDB30" s="5"/>
      <c r="XDC30" s="5"/>
      <c r="XDD30" s="5"/>
      <c r="XDE30" s="5"/>
      <c r="XDF30" s="5"/>
      <c r="XDG30" s="5"/>
      <c r="XDH30" s="5"/>
      <c r="XDI30" s="5"/>
      <c r="XDJ30" s="5"/>
      <c r="XDK30" s="5"/>
      <c r="XDL30" s="5"/>
      <c r="XDM30" s="5"/>
      <c r="XDN30" s="5"/>
      <c r="XDO30" s="5"/>
      <c r="XDP30" s="5"/>
      <c r="XDQ30" s="5"/>
      <c r="XDR30" s="5"/>
      <c r="XDS30" s="5"/>
      <c r="XDT30" s="5"/>
      <c r="XDU30" s="5"/>
      <c r="XDV30" s="5"/>
      <c r="XDW30" s="5"/>
      <c r="XDX30" s="5"/>
      <c r="XDY30" s="5"/>
      <c r="XDZ30" s="5"/>
      <c r="XEA30" s="5"/>
      <c r="XEB30" s="5"/>
      <c r="XEC30" s="5"/>
      <c r="XED30" s="5"/>
    </row>
    <row r="31" s="1" customFormat="1" ht="16.5" spans="1:6 16246:16360">
      <c r="A31" s="8">
        <v>29</v>
      </c>
      <c r="B31" s="9" t="s">
        <v>35</v>
      </c>
      <c r="C31" s="8">
        <v>7</v>
      </c>
      <c r="D31" s="8">
        <v>7</v>
      </c>
      <c r="E31" s="8">
        <v>16.5</v>
      </c>
      <c r="F31" s="8">
        <v>115.5</v>
      </c>
      <c r="WZV31"/>
      <c r="WZW31"/>
      <c r="WZX31"/>
      <c r="WZY31"/>
      <c r="WZZ31"/>
      <c r="XAA31"/>
      <c r="XAB31"/>
      <c r="XAC31"/>
      <c r="XAD31"/>
      <c r="XAE31"/>
      <c r="XAF31"/>
      <c r="XAG31"/>
      <c r="XAH31"/>
      <c r="XAI31"/>
      <c r="XAJ31"/>
      <c r="XAK31"/>
      <c r="XAL31"/>
      <c r="XAM31"/>
      <c r="XAN31"/>
      <c r="XAO31"/>
      <c r="XAP31"/>
      <c r="XAQ31"/>
      <c r="XAR31"/>
      <c r="XAS31"/>
      <c r="XAT31"/>
      <c r="XAU31"/>
      <c r="XAV31"/>
      <c r="XAW31"/>
      <c r="XAX31"/>
      <c r="XAY31"/>
      <c r="XAZ31"/>
      <c r="XBA31"/>
      <c r="XBB31"/>
      <c r="XBC31"/>
      <c r="XBD31"/>
      <c r="XBE31"/>
      <c r="XBF31"/>
      <c r="XBG31"/>
      <c r="XBH31"/>
      <c r="XBI31" s="5"/>
      <c r="XBJ31" s="5"/>
      <c r="XBK31" s="5"/>
      <c r="XBL31" s="5"/>
      <c r="XBM31" s="5"/>
      <c r="XBN31" s="5"/>
      <c r="XBO31" s="5"/>
      <c r="XBP31" s="5"/>
      <c r="XBQ31" s="5"/>
      <c r="XBR31" s="5"/>
      <c r="XBS31" s="5"/>
      <c r="XBT31" s="5"/>
      <c r="XBU31" s="5"/>
      <c r="XBV31" s="5"/>
      <c r="XBW31" s="5"/>
      <c r="XBX31" s="5"/>
      <c r="XBY31" s="5"/>
      <c r="XBZ31" s="5"/>
      <c r="XCA31" s="5"/>
      <c r="XCB31" s="5"/>
      <c r="XCC31" s="5"/>
      <c r="XCD31" s="5"/>
      <c r="XCE31" s="5"/>
      <c r="XCF31" s="5"/>
      <c r="XCG31" s="5"/>
      <c r="XCH31" s="5"/>
      <c r="XCI31" s="5"/>
      <c r="XCJ31" s="5"/>
      <c r="XCK31" s="5"/>
      <c r="XCL31" s="5"/>
      <c r="XCM31" s="5"/>
      <c r="XCN31" s="5"/>
      <c r="XCO31" s="5"/>
      <c r="XCP31" s="5"/>
      <c r="XCQ31" s="5"/>
      <c r="XCR31" s="5"/>
      <c r="XCS31" s="5"/>
      <c r="XCT31" s="5"/>
      <c r="XCU31" s="5"/>
      <c r="XCV31" s="5"/>
      <c r="XCW31" s="5"/>
      <c r="XCX31" s="5"/>
      <c r="XCY31" s="5"/>
      <c r="XCZ31" s="5"/>
      <c r="XDA31" s="5"/>
      <c r="XDB31" s="5"/>
      <c r="XDC31" s="5"/>
      <c r="XDD31" s="5"/>
      <c r="XDE31" s="5"/>
      <c r="XDF31" s="5"/>
      <c r="XDG31" s="5"/>
      <c r="XDH31" s="5"/>
      <c r="XDI31" s="5"/>
      <c r="XDJ31" s="5"/>
      <c r="XDK31" s="5"/>
      <c r="XDL31" s="5"/>
      <c r="XDM31" s="5"/>
      <c r="XDN31" s="5"/>
      <c r="XDO31" s="5"/>
      <c r="XDP31" s="5"/>
      <c r="XDQ31" s="5"/>
      <c r="XDR31" s="5"/>
      <c r="XDS31" s="5"/>
      <c r="XDT31" s="5"/>
      <c r="XDU31" s="5"/>
      <c r="XDV31" s="5"/>
      <c r="XDW31" s="5"/>
      <c r="XDX31" s="5"/>
      <c r="XDY31" s="5"/>
      <c r="XDZ31" s="5"/>
      <c r="XEA31" s="5"/>
      <c r="XEB31" s="5"/>
      <c r="XEC31" s="5"/>
      <c r="XED31" s="5"/>
    </row>
    <row r="32" s="1" customFormat="1" ht="16.5" spans="1:6 16246:16360">
      <c r="A32" s="8">
        <v>30</v>
      </c>
      <c r="B32" s="9" t="s">
        <v>36</v>
      </c>
      <c r="C32" s="8">
        <v>22</v>
      </c>
      <c r="D32" s="8">
        <v>1</v>
      </c>
      <c r="E32" s="8">
        <v>121</v>
      </c>
      <c r="F32" s="8">
        <v>121</v>
      </c>
      <c r="WZV32"/>
      <c r="WZW32"/>
      <c r="WZX32"/>
      <c r="WZY32"/>
      <c r="WZZ32"/>
      <c r="XAA32"/>
      <c r="XAB32"/>
      <c r="XAC32"/>
      <c r="XAD32"/>
      <c r="XAE32"/>
      <c r="XAF32"/>
      <c r="XAG32"/>
      <c r="XAH32"/>
      <c r="XAI32"/>
      <c r="XAJ32"/>
      <c r="XAK32"/>
      <c r="XAL32"/>
      <c r="XAM32"/>
      <c r="XAN32"/>
      <c r="XAO32"/>
      <c r="XAP32"/>
      <c r="XAQ32"/>
      <c r="XAR32"/>
      <c r="XAS32"/>
      <c r="XAT32"/>
      <c r="XAU32"/>
      <c r="XAV32"/>
      <c r="XAW32"/>
      <c r="XAX32"/>
      <c r="XAY32"/>
      <c r="XAZ32"/>
      <c r="XBA32"/>
      <c r="XBB32"/>
      <c r="XBC32"/>
      <c r="XBD32"/>
      <c r="XBE32"/>
      <c r="XBF32"/>
      <c r="XBG32"/>
      <c r="XBH32"/>
      <c r="XBI32" s="5"/>
      <c r="XBJ32" s="5"/>
      <c r="XBK32" s="5"/>
      <c r="XBL32" s="5"/>
      <c r="XBM32" s="5"/>
      <c r="XBN32" s="5"/>
      <c r="XBO32" s="5"/>
      <c r="XBP32" s="5"/>
      <c r="XBQ32" s="5"/>
      <c r="XBR32" s="5"/>
      <c r="XBS32" s="5"/>
      <c r="XBT32" s="5"/>
      <c r="XBU32" s="5"/>
      <c r="XBV32" s="5"/>
      <c r="XBW32" s="5"/>
      <c r="XBX32" s="5"/>
      <c r="XBY32" s="5"/>
      <c r="XBZ32" s="5"/>
      <c r="XCA32" s="5"/>
      <c r="XCB32" s="5"/>
      <c r="XCC32" s="5"/>
      <c r="XCD32" s="5"/>
      <c r="XCE32" s="5"/>
      <c r="XCF32" s="5"/>
      <c r="XCG32" s="5"/>
      <c r="XCH32" s="5"/>
      <c r="XCI32" s="5"/>
      <c r="XCJ32" s="5"/>
      <c r="XCK32" s="5"/>
      <c r="XCL32" s="5"/>
      <c r="XCM32" s="5"/>
      <c r="XCN32" s="5"/>
      <c r="XCO32" s="5"/>
      <c r="XCP32" s="5"/>
      <c r="XCQ32" s="5"/>
      <c r="XCR32" s="5"/>
      <c r="XCS32" s="5"/>
      <c r="XCT32" s="5"/>
      <c r="XCU32" s="5"/>
      <c r="XCV32" s="5"/>
      <c r="XCW32" s="5"/>
      <c r="XCX32" s="5"/>
      <c r="XCY32" s="5"/>
      <c r="XCZ32" s="5"/>
      <c r="XDA32" s="5"/>
      <c r="XDB32" s="5"/>
      <c r="XDC32" s="5"/>
      <c r="XDD32" s="5"/>
      <c r="XDE32" s="5"/>
      <c r="XDF32" s="5"/>
      <c r="XDG32" s="5"/>
      <c r="XDH32" s="5"/>
      <c r="XDI32" s="5"/>
      <c r="XDJ32" s="5"/>
      <c r="XDK32" s="5"/>
      <c r="XDL32" s="5"/>
      <c r="XDM32" s="5"/>
      <c r="XDN32" s="5"/>
      <c r="XDO32" s="5"/>
      <c r="XDP32" s="5"/>
      <c r="XDQ32" s="5"/>
      <c r="XDR32" s="5"/>
      <c r="XDS32" s="5"/>
      <c r="XDT32" s="5"/>
      <c r="XDU32" s="5"/>
      <c r="XDV32" s="5"/>
      <c r="XDW32" s="5"/>
      <c r="XDX32" s="5"/>
      <c r="XDY32" s="5"/>
      <c r="XDZ32" s="5"/>
      <c r="XEA32" s="5"/>
      <c r="XEB32" s="5"/>
      <c r="XEC32" s="5"/>
      <c r="XED32" s="5"/>
    </row>
    <row r="33" s="1" customFormat="1" ht="16.5" spans="1:6 16246:16374">
      <c r="A33" s="8">
        <v>31</v>
      </c>
      <c r="B33" s="9" t="s">
        <v>37</v>
      </c>
      <c r="C33" s="8">
        <v>6</v>
      </c>
      <c r="D33" s="8">
        <v>3</v>
      </c>
      <c r="E33" s="8">
        <v>16.5</v>
      </c>
      <c r="F33" s="8">
        <v>49.5</v>
      </c>
      <c r="WZV33"/>
      <c r="WZW33"/>
      <c r="WZX33"/>
      <c r="WZY33"/>
      <c r="WZZ33"/>
      <c r="XAA33"/>
      <c r="XAB33"/>
      <c r="XAC33"/>
      <c r="XAD33"/>
      <c r="XAE33"/>
      <c r="XAF33"/>
      <c r="XAG33"/>
      <c r="XAH33"/>
      <c r="XAI33"/>
      <c r="XAJ33"/>
      <c r="XAK33"/>
      <c r="XAL33"/>
      <c r="XAM33"/>
      <c r="XAN33"/>
      <c r="XAO33"/>
      <c r="XAP33"/>
      <c r="XAQ33"/>
      <c r="XAR33"/>
      <c r="XAS33"/>
      <c r="XAT33"/>
      <c r="XAU33"/>
      <c r="XAV33"/>
      <c r="XAW33"/>
      <c r="XAX33"/>
      <c r="XAY33"/>
      <c r="XAZ33"/>
      <c r="XBA33"/>
      <c r="XBB33"/>
      <c r="XBC33"/>
      <c r="XBD33"/>
      <c r="XBE33"/>
      <c r="XBF33"/>
      <c r="XBG33"/>
      <c r="XBH33"/>
      <c r="XBI33" s="5"/>
      <c r="XBJ33" s="5"/>
      <c r="XBK33" s="5"/>
      <c r="XBL33" s="5"/>
      <c r="XBM33" s="5"/>
      <c r="XBN33" s="5"/>
      <c r="XBO33" s="5"/>
      <c r="XBP33" s="5"/>
      <c r="XBQ33" s="5"/>
      <c r="XBR33" s="5"/>
      <c r="XBS33" s="5"/>
      <c r="XBT33" s="5"/>
      <c r="XBU33" s="5"/>
      <c r="XBV33" s="5"/>
      <c r="XBW33" s="5"/>
      <c r="XBX33" s="5"/>
      <c r="XBY33" s="5"/>
      <c r="XBZ33" s="5"/>
      <c r="XCA33" s="5"/>
      <c r="XCB33" s="5"/>
      <c r="XCC33" s="5"/>
      <c r="XCD33" s="5"/>
      <c r="XCE33" s="5"/>
      <c r="XCF33" s="5"/>
      <c r="XCG33" s="5"/>
      <c r="XCH33" s="5"/>
      <c r="XCI33" s="5"/>
      <c r="XCJ33" s="5"/>
      <c r="XCK33" s="5"/>
      <c r="XCL33" s="5"/>
      <c r="XCM33" s="5"/>
      <c r="XCN33" s="5"/>
      <c r="XCO33" s="5"/>
      <c r="XCP33" s="5"/>
      <c r="XCQ33" s="5"/>
      <c r="XCR33" s="5"/>
      <c r="XCS33" s="5"/>
      <c r="XCT33" s="5"/>
      <c r="XCU33" s="5"/>
      <c r="XCV33" s="5"/>
      <c r="XCW33" s="5"/>
      <c r="XCX33" s="5"/>
      <c r="XCY33" s="5"/>
      <c r="XCZ33" s="5"/>
      <c r="XDA33" s="5"/>
      <c r="XDB33" s="5"/>
      <c r="XDC33" s="5"/>
      <c r="XDD33" s="5"/>
      <c r="XDE33" s="5"/>
      <c r="XDF33" s="5"/>
      <c r="XDG33" s="5"/>
      <c r="XDH33" s="5"/>
      <c r="XDI33" s="5"/>
      <c r="XDJ33" s="5"/>
      <c r="XDK33" s="5"/>
      <c r="XDL33" s="5"/>
      <c r="XDM33" s="5"/>
      <c r="XDN33" s="5"/>
      <c r="XDO33" s="5"/>
      <c r="XDP33" s="5"/>
      <c r="XDQ33" s="5"/>
      <c r="XDR33" s="5"/>
      <c r="XDS33" s="5"/>
      <c r="XDT33" s="5"/>
      <c r="XDU33" s="5"/>
      <c r="XDV33" s="5"/>
      <c r="XDW33" s="5"/>
      <c r="XDX33" s="5"/>
      <c r="XDY33" s="5"/>
      <c r="XDZ33" s="5"/>
      <c r="XEA33" s="5"/>
      <c r="XEB33" s="5"/>
      <c r="XEC33" s="5"/>
      <c r="XED33" s="5"/>
    </row>
    <row r="34" s="1" customFormat="1" ht="16.5" spans="1:6 16246:16374">
      <c r="A34" s="8">
        <v>32</v>
      </c>
      <c r="B34" s="9" t="s">
        <v>38</v>
      </c>
      <c r="C34" s="8">
        <v>84</v>
      </c>
      <c r="D34" s="8">
        <v>7</v>
      </c>
      <c r="E34" s="8">
        <v>66</v>
      </c>
      <c r="F34" s="8">
        <v>462</v>
      </c>
      <c r="WZV34"/>
      <c r="WZW34"/>
      <c r="WZX34"/>
      <c r="WZY34"/>
      <c r="WZZ34"/>
      <c r="XAA34"/>
      <c r="XAB34"/>
      <c r="XAC34"/>
      <c r="XAD34"/>
      <c r="XAE34"/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/>
      <c r="XBH34"/>
      <c r="XBI34" s="5"/>
      <c r="XBJ34" s="5"/>
      <c r="XBK34" s="5"/>
      <c r="XBL34" s="5"/>
      <c r="XBM34" s="5"/>
      <c r="XBN34" s="5"/>
      <c r="XBO34" s="5"/>
      <c r="XBP34" s="5"/>
      <c r="XBQ34" s="5"/>
      <c r="XBR34" s="5"/>
      <c r="XBS34" s="5"/>
      <c r="XBT34" s="5"/>
      <c r="XBU34" s="5"/>
      <c r="XBV34" s="5"/>
      <c r="XBW34" s="5"/>
      <c r="XBX34" s="5"/>
      <c r="XBY34" s="5"/>
      <c r="XBZ34" s="5"/>
      <c r="XCA34" s="5"/>
      <c r="XCB34" s="5"/>
      <c r="XCC34" s="5"/>
      <c r="XCD34" s="5"/>
      <c r="XCE34" s="5"/>
      <c r="XCF34" s="5"/>
      <c r="XCG34" s="5"/>
      <c r="XCH34" s="5"/>
      <c r="XCI34" s="5"/>
      <c r="XCJ34" s="5"/>
      <c r="XCK34" s="5"/>
      <c r="XCL34" s="5"/>
      <c r="XCM34" s="5"/>
      <c r="XCN34" s="5"/>
      <c r="XCO34" s="5"/>
      <c r="XCP34" s="5"/>
      <c r="XCQ34" s="5"/>
      <c r="XCR34" s="5"/>
      <c r="XCS34" s="5"/>
      <c r="XCT34" s="5"/>
      <c r="XCU34" s="5"/>
      <c r="XCV34" s="5"/>
      <c r="XCW34" s="5"/>
      <c r="XCX34" s="5"/>
      <c r="XCY34" s="5"/>
      <c r="XCZ34" s="5"/>
      <c r="XDA34" s="5"/>
      <c r="XDB34" s="5"/>
      <c r="XDC34" s="5"/>
      <c r="XDD34" s="5"/>
      <c r="XDE34" s="5"/>
      <c r="XDF34" s="5"/>
      <c r="XDG34" s="5"/>
      <c r="XDH34" s="5"/>
      <c r="XDI34" s="5"/>
      <c r="XDJ34" s="5"/>
      <c r="XDK34" s="5"/>
      <c r="XDL34" s="5"/>
      <c r="XDM34" s="5"/>
      <c r="XDN34" s="5"/>
      <c r="XDO34" s="5"/>
      <c r="XDP34" s="5"/>
      <c r="XDQ34" s="5"/>
      <c r="XDR34" s="5"/>
      <c r="XDS34" s="5"/>
      <c r="XDT34" s="5"/>
      <c r="XDU34" s="5"/>
      <c r="XDV34" s="5"/>
      <c r="XDW34" s="5"/>
      <c r="XDX34" s="5"/>
      <c r="XDY34" s="5"/>
      <c r="XDZ34" s="5"/>
      <c r="XEA34" s="5"/>
      <c r="XEB34" s="5"/>
      <c r="XEC34" s="5"/>
      <c r="XED34" s="5"/>
    </row>
    <row r="35" s="1" customFormat="1" ht="16.5" spans="1:6 16246:16374">
      <c r="A35" s="8">
        <v>33</v>
      </c>
      <c r="B35" s="9" t="s">
        <v>39</v>
      </c>
      <c r="C35" s="8">
        <v>72</v>
      </c>
      <c r="D35" s="8">
        <v>6</v>
      </c>
      <c r="E35" s="8">
        <v>66</v>
      </c>
      <c r="F35" s="8">
        <v>396</v>
      </c>
      <c r="WZV35"/>
      <c r="WZW35"/>
      <c r="WZX35"/>
      <c r="WZY35"/>
      <c r="WZZ35"/>
      <c r="XAA35"/>
      <c r="XAB35"/>
      <c r="XAC35"/>
      <c r="XAD35"/>
      <c r="XAE35"/>
      <c r="XAF35"/>
      <c r="XAG35"/>
      <c r="XAH35"/>
      <c r="XAI35"/>
      <c r="XAJ35"/>
      <c r="XAK35"/>
      <c r="XAL35"/>
      <c r="XAM35"/>
      <c r="XAN35"/>
      <c r="XAO35"/>
      <c r="XAP35"/>
      <c r="XAQ35"/>
      <c r="XAR35"/>
      <c r="XAS35"/>
      <c r="XAT35"/>
      <c r="XAU35"/>
      <c r="XAV35"/>
      <c r="XAW35"/>
      <c r="XAX35"/>
      <c r="XAY35"/>
      <c r="XAZ35"/>
      <c r="XBA35"/>
      <c r="XBB35"/>
      <c r="XBC35"/>
      <c r="XBD35"/>
      <c r="XBE35"/>
      <c r="XBF35"/>
      <c r="XBG35"/>
      <c r="XBH35"/>
      <c r="XBI35" s="5"/>
      <c r="XBJ35" s="5"/>
      <c r="XBK35" s="5"/>
      <c r="XBL35" s="5"/>
      <c r="XBM35" s="5"/>
      <c r="XBN35" s="5"/>
      <c r="XBO35" s="5"/>
      <c r="XBP35" s="5"/>
      <c r="XBQ35" s="5"/>
      <c r="XBR35" s="5"/>
      <c r="XBS35" s="5"/>
      <c r="XBT35" s="5"/>
      <c r="XBU35" s="5"/>
      <c r="XBV35" s="5"/>
      <c r="XBW35" s="5"/>
      <c r="XBX35" s="5"/>
      <c r="XBY35" s="5"/>
      <c r="XBZ35" s="5"/>
      <c r="XCA35" s="5"/>
      <c r="XCB35" s="5"/>
      <c r="XCC35" s="5"/>
      <c r="XCD35" s="5"/>
      <c r="XCE35" s="5"/>
      <c r="XCF35" s="5"/>
      <c r="XCG35" s="5"/>
      <c r="XCH35" s="5"/>
      <c r="XCI35" s="5"/>
      <c r="XCJ35" s="5"/>
      <c r="XCK35" s="5"/>
      <c r="XCL35" s="5"/>
      <c r="XCM35" s="5"/>
      <c r="XCN35" s="5"/>
      <c r="XCO35" s="5"/>
      <c r="XCP35" s="5"/>
      <c r="XCQ35" s="5"/>
      <c r="XCR35" s="5"/>
      <c r="XCS35" s="5"/>
      <c r="XCT35" s="5"/>
      <c r="XCU35" s="5"/>
      <c r="XCV35" s="5"/>
      <c r="XCW35" s="5"/>
      <c r="XCX35" s="5"/>
      <c r="XCY35" s="5"/>
      <c r="XCZ35" s="5"/>
      <c r="XDA35" s="5"/>
      <c r="XDB35" s="5"/>
      <c r="XDC35" s="5"/>
      <c r="XDD35" s="5"/>
      <c r="XDE35" s="5"/>
      <c r="XDF35" s="5"/>
      <c r="XDG35" s="5"/>
      <c r="XDH35" s="5"/>
      <c r="XDI35" s="5"/>
      <c r="XDJ35" s="5"/>
      <c r="XDK35" s="5"/>
      <c r="XDL35" s="5"/>
      <c r="XDM35" s="5"/>
      <c r="XDN35" s="5"/>
      <c r="XDO35" s="5"/>
      <c r="XDP35" s="5"/>
      <c r="XDQ35" s="5"/>
      <c r="XDR35" s="5"/>
      <c r="XDS35" s="5"/>
      <c r="XDT35" s="5"/>
      <c r="XDU35" s="5"/>
      <c r="XDV35" s="5"/>
      <c r="XDW35" s="5"/>
      <c r="XDX35" s="5"/>
      <c r="XDY35" s="5"/>
      <c r="XDZ35" s="5"/>
      <c r="XEA35" s="5"/>
      <c r="XEB35" s="5"/>
      <c r="XEC35" s="5"/>
      <c r="XED35" s="5"/>
    </row>
    <row r="36" s="1" customFormat="1" ht="16.5" spans="1:6 16246:16374">
      <c r="A36" s="8">
        <v>34</v>
      </c>
      <c r="B36" s="9" t="s">
        <v>40</v>
      </c>
      <c r="C36" s="8">
        <v>104</v>
      </c>
      <c r="D36" s="8">
        <v>8</v>
      </c>
      <c r="E36" s="8">
        <v>71.5</v>
      </c>
      <c r="F36" s="8">
        <v>572</v>
      </c>
      <c r="WZV36"/>
      <c r="WZW36"/>
      <c r="WZX36"/>
      <c r="WZY36"/>
      <c r="WZZ36"/>
      <c r="XAA36"/>
      <c r="XAB36"/>
      <c r="XAC36"/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 s="5"/>
      <c r="XBJ36" s="5"/>
      <c r="XBK36" s="5"/>
      <c r="XBL36" s="5"/>
      <c r="XBM36" s="5"/>
      <c r="XBN36" s="5"/>
      <c r="XBO36" s="5"/>
      <c r="XBP36" s="5"/>
      <c r="XBQ36" s="5"/>
      <c r="XBR36" s="5"/>
      <c r="XBS36" s="5"/>
      <c r="XBT36" s="5"/>
      <c r="XBU36" s="5"/>
      <c r="XBV36" s="5"/>
      <c r="XBW36" s="5"/>
      <c r="XBX36" s="5"/>
      <c r="XBY36" s="5"/>
      <c r="XBZ36" s="5"/>
      <c r="XCA36" s="5"/>
      <c r="XCB36" s="5"/>
      <c r="XCC36" s="5"/>
      <c r="XCD36" s="5"/>
      <c r="XCE36" s="5"/>
      <c r="XCF36" s="5"/>
      <c r="XCG36" s="5"/>
      <c r="XCH36" s="5"/>
      <c r="XCI36" s="5"/>
      <c r="XCJ36" s="5"/>
      <c r="XCK36" s="5"/>
      <c r="XCL36" s="5"/>
      <c r="XCM36" s="5"/>
      <c r="XCN36" s="5"/>
      <c r="XCO36" s="5"/>
      <c r="XCP36" s="5"/>
      <c r="XCQ36" s="5"/>
      <c r="XCR36" s="5"/>
      <c r="XCS36" s="5"/>
      <c r="XCT36" s="5"/>
      <c r="XCU36" s="5"/>
      <c r="XCV36" s="5"/>
      <c r="XCW36" s="5"/>
      <c r="XCX36" s="5"/>
      <c r="XCY36" s="5"/>
      <c r="XCZ36" s="5"/>
      <c r="XDA36" s="5"/>
      <c r="XDB36" s="5"/>
      <c r="XDC36" s="5"/>
      <c r="XDD36" s="5"/>
      <c r="XDE36" s="5"/>
      <c r="XDF36" s="5"/>
      <c r="XDG36" s="5"/>
      <c r="XDH36" s="5"/>
      <c r="XDI36" s="5"/>
      <c r="XDJ36" s="5"/>
      <c r="XDK36" s="5"/>
      <c r="XDL36" s="5"/>
      <c r="XDM36" s="5"/>
      <c r="XDN36" s="5"/>
      <c r="XDO36" s="5"/>
      <c r="XDP36" s="5"/>
      <c r="XDQ36" s="5"/>
      <c r="XDR36" s="5"/>
      <c r="XDS36" s="5"/>
      <c r="XDT36" s="5"/>
      <c r="XDU36" s="5"/>
      <c r="XDV36" s="5"/>
      <c r="XDW36" s="5"/>
      <c r="XDX36" s="5"/>
      <c r="XDY36" s="5"/>
      <c r="XDZ36" s="5"/>
      <c r="XEA36" s="5"/>
      <c r="XEB36" s="5"/>
      <c r="XEC36" s="5"/>
      <c r="XED36" s="5"/>
    </row>
    <row r="37" s="1" customFormat="1" ht="16.5" spans="1:6 16246:16374">
      <c r="A37" s="8">
        <v>35</v>
      </c>
      <c r="B37" s="9" t="s">
        <v>41</v>
      </c>
      <c r="C37" s="8">
        <v>130</v>
      </c>
      <c r="D37" s="8">
        <v>10</v>
      </c>
      <c r="E37" s="8">
        <v>71.5</v>
      </c>
      <c r="F37" s="8">
        <v>715</v>
      </c>
      <c r="WZV37"/>
      <c r="WZW37"/>
      <c r="WZX37"/>
      <c r="WZY37"/>
      <c r="WZZ37"/>
      <c r="XAA37"/>
      <c r="XAB37"/>
      <c r="XAC37"/>
      <c r="XAD37"/>
      <c r="XAE37"/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/>
      <c r="XBH37"/>
      <c r="XBI37" s="5"/>
      <c r="XBJ37" s="5"/>
      <c r="XBK37" s="5"/>
      <c r="XBL37" s="5"/>
      <c r="XBM37" s="5"/>
      <c r="XBN37" s="5"/>
      <c r="XBO37" s="5"/>
      <c r="XBP37" s="5"/>
      <c r="XBQ37" s="5"/>
      <c r="XBR37" s="5"/>
      <c r="XBS37" s="5"/>
      <c r="XBT37" s="5"/>
      <c r="XBU37" s="5"/>
      <c r="XBV37" s="5"/>
      <c r="XBW37" s="5"/>
      <c r="XBX37" s="5"/>
      <c r="XBY37" s="5"/>
      <c r="XBZ37" s="5"/>
      <c r="XCA37" s="5"/>
      <c r="XCB37" s="5"/>
      <c r="XCC37" s="5"/>
      <c r="XCD37" s="5"/>
      <c r="XCE37" s="5"/>
      <c r="XCF37" s="5"/>
      <c r="XCG37" s="5"/>
      <c r="XCH37" s="5"/>
      <c r="XCI37" s="5"/>
      <c r="XCJ37" s="5"/>
      <c r="XCK37" s="5"/>
      <c r="XCL37" s="5"/>
      <c r="XCM37" s="5"/>
      <c r="XCN37" s="5"/>
      <c r="XCO37" s="5"/>
      <c r="XCP37" s="5"/>
      <c r="XCQ37" s="5"/>
      <c r="XCR37" s="5"/>
      <c r="XCS37" s="5"/>
      <c r="XCT37" s="5"/>
      <c r="XCU37" s="5"/>
      <c r="XCV37" s="5"/>
      <c r="XCW37" s="5"/>
      <c r="XCX37" s="5"/>
      <c r="XCY37" s="5"/>
      <c r="XCZ37" s="5"/>
      <c r="XDA37" s="5"/>
      <c r="XDB37" s="5"/>
      <c r="XDC37" s="5"/>
      <c r="XDD37" s="5"/>
      <c r="XDE37" s="5"/>
      <c r="XDF37" s="5"/>
      <c r="XDG37" s="5"/>
      <c r="XDH37" s="5"/>
      <c r="XDI37" s="5"/>
      <c r="XDJ37" s="5"/>
      <c r="XDK37" s="5"/>
      <c r="XDL37" s="5"/>
      <c r="XDM37" s="5"/>
      <c r="XDN37" s="5"/>
      <c r="XDO37" s="5"/>
      <c r="XDP37" s="5"/>
      <c r="XDQ37" s="5"/>
      <c r="XDR37" s="5"/>
      <c r="XDS37" s="5"/>
      <c r="XDT37" s="5"/>
      <c r="XDU37" s="5"/>
      <c r="XDV37" s="5"/>
      <c r="XDW37" s="5"/>
      <c r="XDX37" s="5"/>
      <c r="XDY37" s="5"/>
      <c r="XDZ37" s="5"/>
      <c r="XEA37" s="5"/>
      <c r="XEB37" s="5"/>
      <c r="XEC37" s="5"/>
      <c r="XED37" s="5"/>
    </row>
    <row r="38" s="1" customFormat="1" ht="16.5" spans="1:6 16246:16374">
      <c r="A38" s="8">
        <v>36</v>
      </c>
      <c r="B38" s="9" t="s">
        <v>42</v>
      </c>
      <c r="C38" s="8">
        <v>12</v>
      </c>
      <c r="D38" s="8">
        <v>6</v>
      </c>
      <c r="E38" s="8">
        <v>16.5</v>
      </c>
      <c r="F38" s="8">
        <v>99</v>
      </c>
      <c r="WZV38"/>
      <c r="WZW38"/>
      <c r="WZX38"/>
      <c r="WZY38"/>
      <c r="WZZ38"/>
      <c r="XAA38"/>
      <c r="XAB38"/>
      <c r="XAC38"/>
      <c r="XAD38"/>
      <c r="XAE38"/>
      <c r="XAF38"/>
      <c r="XAG38"/>
      <c r="XAH38"/>
      <c r="XAI38"/>
      <c r="XAJ38"/>
      <c r="XAK38"/>
      <c r="XAL38"/>
      <c r="XAM38"/>
      <c r="XAN38"/>
      <c r="XAO38"/>
      <c r="XAP38"/>
      <c r="XAQ38"/>
      <c r="XAR38"/>
      <c r="XAS38"/>
      <c r="XAT38"/>
      <c r="XAU38"/>
      <c r="XAV38"/>
      <c r="XAW38"/>
      <c r="XAX38"/>
      <c r="XAY38"/>
      <c r="XAZ38"/>
      <c r="XBA38"/>
      <c r="XBB38"/>
      <c r="XBC38"/>
      <c r="XBD38"/>
      <c r="XBE38"/>
      <c r="XBF38"/>
      <c r="XBG38"/>
      <c r="XBH38"/>
      <c r="XBI38" s="5"/>
      <c r="XBJ38" s="5"/>
      <c r="XBK38" s="5"/>
      <c r="XBL38" s="5"/>
      <c r="XBM38" s="5"/>
      <c r="XBN38" s="5"/>
      <c r="XBO38" s="5"/>
      <c r="XBP38" s="5"/>
      <c r="XBQ38" s="5"/>
      <c r="XBR38" s="5"/>
      <c r="XBS38" s="5"/>
      <c r="XBT38" s="5"/>
      <c r="XBU38" s="5"/>
      <c r="XBV38" s="5"/>
      <c r="XBW38" s="5"/>
      <c r="XBX38" s="5"/>
      <c r="XBY38" s="5"/>
      <c r="XBZ38" s="5"/>
      <c r="XCA38" s="5"/>
      <c r="XCB38" s="5"/>
      <c r="XCC38" s="5"/>
      <c r="XCD38" s="5"/>
      <c r="XCE38" s="5"/>
      <c r="XCF38" s="5"/>
      <c r="XCG38" s="5"/>
      <c r="XCH38" s="5"/>
      <c r="XCI38" s="5"/>
      <c r="XCJ38" s="5"/>
      <c r="XCK38" s="5"/>
      <c r="XCL38" s="5"/>
      <c r="XCM38" s="5"/>
      <c r="XCN38" s="5"/>
      <c r="XCO38" s="5"/>
      <c r="XCP38" s="5"/>
      <c r="XCQ38" s="5"/>
      <c r="XCR38" s="5"/>
      <c r="XCS38" s="5"/>
      <c r="XCT38" s="5"/>
      <c r="XCU38" s="5"/>
      <c r="XCV38" s="5"/>
      <c r="XCW38" s="5"/>
      <c r="XCX38" s="5"/>
      <c r="XCY38" s="5"/>
      <c r="XCZ38" s="5"/>
      <c r="XDA38" s="5"/>
      <c r="XDB38" s="5"/>
      <c r="XDC38" s="5"/>
      <c r="XDD38" s="5"/>
      <c r="XDE38" s="5"/>
      <c r="XDF38" s="5"/>
      <c r="XDG38" s="5"/>
      <c r="XDH38" s="5"/>
      <c r="XDI38" s="5"/>
      <c r="XDJ38" s="5"/>
      <c r="XDK38" s="5"/>
      <c r="XDL38" s="5"/>
      <c r="XDM38" s="5"/>
      <c r="XDN38" s="5"/>
      <c r="XDO38" s="5"/>
      <c r="XDP38" s="5"/>
      <c r="XDQ38" s="5"/>
      <c r="XDR38" s="5"/>
      <c r="XDS38" s="5"/>
      <c r="XDT38" s="5"/>
      <c r="XDU38" s="5"/>
      <c r="XDV38" s="5"/>
      <c r="XDW38" s="5"/>
      <c r="XDX38" s="5"/>
      <c r="XDY38" s="5"/>
      <c r="XDZ38" s="5"/>
      <c r="XEA38" s="5"/>
      <c r="XEB38" s="5"/>
      <c r="XEC38" s="5"/>
      <c r="XED38" s="5"/>
    </row>
    <row r="39" s="1" customFormat="1" ht="16.5" spans="1:6 16246:16374">
      <c r="A39" s="8">
        <v>37</v>
      </c>
      <c r="B39" s="9" t="s">
        <v>43</v>
      </c>
      <c r="C39" s="8">
        <v>12</v>
      </c>
      <c r="D39" s="8">
        <v>6</v>
      </c>
      <c r="E39" s="8">
        <v>16.5</v>
      </c>
      <c r="F39" s="8">
        <v>99</v>
      </c>
      <c r="WZV39"/>
      <c r="WZW39"/>
      <c r="WZX39"/>
      <c r="WZY39"/>
      <c r="WZZ39"/>
      <c r="XAA39"/>
      <c r="XAB39"/>
      <c r="XAC39"/>
      <c r="XAD39"/>
      <c r="XAE39"/>
      <c r="XAF39"/>
      <c r="XAG39"/>
      <c r="XAH39"/>
      <c r="XAI39"/>
      <c r="XAJ39"/>
      <c r="XAK39"/>
      <c r="XAL39"/>
      <c r="XAM39"/>
      <c r="XAN39"/>
      <c r="XAO39"/>
      <c r="XAP39"/>
      <c r="XAQ39"/>
      <c r="XAR39"/>
      <c r="XAS39"/>
      <c r="XAT39"/>
      <c r="XAU39"/>
      <c r="XAV39"/>
      <c r="XAW39"/>
      <c r="XAX39"/>
      <c r="XAY39"/>
      <c r="XAZ39"/>
      <c r="XBA39"/>
      <c r="XBB39"/>
      <c r="XBC39"/>
      <c r="XBD39"/>
      <c r="XBE39"/>
      <c r="XBF39"/>
      <c r="XBG39"/>
      <c r="XBH39"/>
      <c r="XBI39" s="5"/>
      <c r="XBJ39" s="5"/>
      <c r="XBK39" s="5"/>
      <c r="XBL39" s="5"/>
      <c r="XBM39" s="5"/>
      <c r="XBN39" s="5"/>
      <c r="XBO39" s="5"/>
      <c r="XBP39" s="5"/>
      <c r="XBQ39" s="5"/>
      <c r="XBR39" s="5"/>
      <c r="XBS39" s="5"/>
      <c r="XBT39" s="5"/>
      <c r="XBU39" s="5"/>
      <c r="XBV39" s="5"/>
      <c r="XBW39" s="5"/>
      <c r="XBX39" s="5"/>
      <c r="XBY39" s="5"/>
      <c r="XBZ39" s="5"/>
      <c r="XCA39" s="5"/>
      <c r="XCB39" s="5"/>
      <c r="XCC39" s="5"/>
      <c r="XCD39" s="5"/>
      <c r="XCE39" s="5"/>
      <c r="XCF39" s="5"/>
      <c r="XCG39" s="5"/>
      <c r="XCH39" s="5"/>
      <c r="XCI39" s="5"/>
      <c r="XCJ39" s="5"/>
      <c r="XCK39" s="5"/>
      <c r="XCL39" s="5"/>
      <c r="XCM39" s="5"/>
      <c r="XCN39" s="5"/>
      <c r="XCO39" s="5"/>
      <c r="XCP39" s="5"/>
      <c r="XCQ39" s="5"/>
      <c r="XCR39" s="5"/>
      <c r="XCS39" s="5"/>
      <c r="XCT39" s="5"/>
      <c r="XCU39" s="5"/>
      <c r="XCV39" s="5"/>
      <c r="XCW39" s="5"/>
      <c r="XCX39" s="5"/>
      <c r="XCY39" s="5"/>
      <c r="XCZ39" s="5"/>
      <c r="XDA39" s="5"/>
      <c r="XDB39" s="5"/>
      <c r="XDC39" s="5"/>
      <c r="XDD39" s="5"/>
      <c r="XDE39" s="5"/>
      <c r="XDF39" s="5"/>
      <c r="XDG39" s="5"/>
      <c r="XDH39" s="5"/>
      <c r="XDI39" s="5"/>
      <c r="XDJ39" s="5"/>
      <c r="XDK39" s="5"/>
      <c r="XDL39" s="5"/>
      <c r="XDM39" s="5"/>
      <c r="XDN39" s="5"/>
      <c r="XDO39" s="5"/>
      <c r="XDP39" s="5"/>
      <c r="XDQ39" s="5"/>
      <c r="XDR39" s="5"/>
      <c r="XDS39" s="5"/>
      <c r="XDT39" s="5"/>
      <c r="XDU39" s="5"/>
      <c r="XDV39" s="5"/>
      <c r="XDW39" s="5"/>
      <c r="XDX39" s="5"/>
      <c r="XDY39" s="5"/>
      <c r="XDZ39" s="5"/>
      <c r="XEA39" s="5"/>
      <c r="XEB39" s="5"/>
      <c r="XEC39" s="5"/>
      <c r="XED39" s="5"/>
    </row>
    <row r="40" s="1" customFormat="1" ht="16.5" spans="1:6 16246:16374">
      <c r="A40" s="8">
        <v>38</v>
      </c>
      <c r="B40" s="9" t="s">
        <v>44</v>
      </c>
      <c r="C40" s="8">
        <v>20</v>
      </c>
      <c r="D40" s="8">
        <v>10</v>
      </c>
      <c r="E40" s="8">
        <v>16.5</v>
      </c>
      <c r="F40" s="8">
        <v>165</v>
      </c>
      <c r="WZV40"/>
      <c r="WZW40"/>
      <c r="WZX40"/>
      <c r="WZY40"/>
      <c r="WZZ40"/>
      <c r="XAA40"/>
      <c r="XAB40"/>
      <c r="XAC40"/>
      <c r="XAD40"/>
      <c r="XAE40"/>
      <c r="XAF40"/>
      <c r="XAG40"/>
      <c r="XAH40"/>
      <c r="XAI40"/>
      <c r="XAJ40"/>
      <c r="XAK40"/>
      <c r="XAL40"/>
      <c r="XAM40"/>
      <c r="XAN40"/>
      <c r="XAO40"/>
      <c r="XAP40"/>
      <c r="XAQ40"/>
      <c r="XAR40"/>
      <c r="XAS40"/>
      <c r="XAT40"/>
      <c r="XAU40"/>
      <c r="XAV40"/>
      <c r="XAW40"/>
      <c r="XAX40"/>
      <c r="XAY40"/>
      <c r="XAZ40"/>
      <c r="XBA40"/>
      <c r="XBB40"/>
      <c r="XBC40"/>
      <c r="XBD40"/>
      <c r="XBE40"/>
      <c r="XBF40"/>
      <c r="XBG40"/>
      <c r="XBH40"/>
      <c r="XBI40" s="5"/>
      <c r="XBJ40" s="5"/>
      <c r="XBK40" s="5"/>
      <c r="XBL40" s="5"/>
      <c r="XBM40" s="5"/>
      <c r="XBN40" s="5"/>
      <c r="XBO40" s="5"/>
      <c r="XBP40" s="5"/>
      <c r="XBQ40" s="5"/>
      <c r="XBR40" s="5"/>
      <c r="XBS40" s="5"/>
      <c r="XBT40" s="5"/>
      <c r="XBU40" s="5"/>
      <c r="XBV40" s="5"/>
      <c r="XBW40" s="5"/>
      <c r="XBX40" s="5"/>
      <c r="XBY40" s="5"/>
      <c r="XBZ40" s="5"/>
      <c r="XCA40" s="5"/>
      <c r="XCB40" s="5"/>
      <c r="XCC40" s="5"/>
      <c r="XCD40" s="5"/>
      <c r="XCE40" s="5"/>
      <c r="XCF40" s="5"/>
      <c r="XCG40" s="5"/>
      <c r="XCH40" s="5"/>
      <c r="XCI40" s="5"/>
      <c r="XCJ40" s="5"/>
      <c r="XCK40" s="5"/>
      <c r="XCL40" s="5"/>
      <c r="XCM40" s="5"/>
      <c r="XCN40" s="5"/>
      <c r="XCO40" s="5"/>
      <c r="XCP40" s="5"/>
      <c r="XCQ40" s="5"/>
      <c r="XCR40" s="5"/>
      <c r="XCS40" s="5"/>
      <c r="XCT40" s="5"/>
      <c r="XCU40" s="5"/>
      <c r="XCV40" s="5"/>
      <c r="XCW40" s="5"/>
      <c r="XCX40" s="5"/>
      <c r="XCY40" s="5"/>
      <c r="XCZ40" s="5"/>
      <c r="XDA40" s="5"/>
      <c r="XDB40" s="5"/>
      <c r="XDC40" s="5"/>
      <c r="XDD40" s="5"/>
      <c r="XDE40" s="5"/>
      <c r="XDF40" s="5"/>
      <c r="XDG40" s="5"/>
      <c r="XDH40" s="5"/>
      <c r="XDI40" s="5"/>
      <c r="XDJ40" s="5"/>
      <c r="XDK40" s="5"/>
      <c r="XDL40" s="5"/>
      <c r="XDM40" s="5"/>
      <c r="XDN40" s="5"/>
      <c r="XDO40" s="5"/>
      <c r="XDP40" s="5"/>
      <c r="XDQ40" s="5"/>
      <c r="XDR40" s="5"/>
      <c r="XDS40" s="5"/>
      <c r="XDT40" s="5"/>
      <c r="XDU40" s="5"/>
      <c r="XDV40" s="5"/>
      <c r="XDW40" s="5"/>
      <c r="XDX40" s="5"/>
      <c r="XDY40" s="5"/>
      <c r="XDZ40" s="5"/>
      <c r="XEA40" s="5"/>
      <c r="XEB40" s="5"/>
      <c r="XEC40" s="5"/>
      <c r="XED40" s="5"/>
    </row>
    <row r="41" s="1" customFormat="1" ht="16.5" spans="1:6 16246:16374">
      <c r="A41" s="8">
        <v>39</v>
      </c>
      <c r="B41" s="9" t="s">
        <v>45</v>
      </c>
      <c r="C41" s="8">
        <v>6</v>
      </c>
      <c r="D41" s="8">
        <v>3</v>
      </c>
      <c r="E41" s="8">
        <v>16.5</v>
      </c>
      <c r="F41" s="8">
        <v>49.5</v>
      </c>
      <c r="WZV41"/>
      <c r="WZW41"/>
      <c r="WZX41"/>
      <c r="WZY41"/>
      <c r="WZZ41"/>
      <c r="XAA41"/>
      <c r="XAB41"/>
      <c r="XAC41"/>
      <c r="XAD41"/>
      <c r="XAE41"/>
      <c r="XAF41"/>
      <c r="XAG41"/>
      <c r="XAH41"/>
      <c r="XAI41"/>
      <c r="XAJ41"/>
      <c r="XAK41"/>
      <c r="XAL41"/>
      <c r="XAM41"/>
      <c r="XAN41"/>
      <c r="XAO41"/>
      <c r="XAP41"/>
      <c r="XAQ41"/>
      <c r="XAR41"/>
      <c r="XAS41"/>
      <c r="XAT41"/>
      <c r="XAU41"/>
      <c r="XAV41"/>
      <c r="XAW41"/>
      <c r="XAX41"/>
      <c r="XAY41"/>
      <c r="XAZ41"/>
      <c r="XBA41"/>
      <c r="XBB41"/>
      <c r="XBC41"/>
      <c r="XBD41"/>
      <c r="XBE41"/>
      <c r="XBF41"/>
      <c r="XBG41"/>
      <c r="XBH41"/>
      <c r="XBI41" s="5"/>
      <c r="XBJ41" s="5"/>
      <c r="XBK41" s="5"/>
      <c r="XBL41" s="5"/>
      <c r="XBM41" s="5"/>
      <c r="XBN41" s="5"/>
      <c r="XBO41" s="5"/>
      <c r="XBP41" s="5"/>
      <c r="XBQ41" s="5"/>
      <c r="XBR41" s="5"/>
      <c r="XBS41" s="5"/>
      <c r="XBT41" s="5"/>
      <c r="XBU41" s="5"/>
      <c r="XBV41" s="5"/>
      <c r="XBW41" s="5"/>
      <c r="XBX41" s="5"/>
      <c r="XBY41" s="5"/>
      <c r="XBZ41" s="5"/>
      <c r="XCA41" s="5"/>
      <c r="XCB41" s="5"/>
      <c r="XCC41" s="5"/>
      <c r="XCD41" s="5"/>
      <c r="XCE41" s="5"/>
      <c r="XCF41" s="5"/>
      <c r="XCG41" s="5"/>
      <c r="XCH41" s="5"/>
      <c r="XCI41" s="5"/>
      <c r="XCJ41" s="5"/>
      <c r="XCK41" s="5"/>
      <c r="XCL41" s="5"/>
      <c r="XCM41" s="5"/>
      <c r="XCN41" s="5"/>
      <c r="XCO41" s="5"/>
      <c r="XCP41" s="5"/>
      <c r="XCQ41" s="5"/>
      <c r="XCR41" s="5"/>
      <c r="XCS41" s="5"/>
      <c r="XCT41" s="5"/>
      <c r="XCU41" s="5"/>
      <c r="XCV41" s="5"/>
      <c r="XCW41" s="5"/>
      <c r="XCX41" s="5"/>
      <c r="XCY41" s="5"/>
      <c r="XCZ41" s="5"/>
      <c r="XDA41" s="5"/>
      <c r="XDB41" s="5"/>
      <c r="XDC41" s="5"/>
      <c r="XDD41" s="5"/>
      <c r="XDE41" s="5"/>
      <c r="XDF41" s="5"/>
      <c r="XDG41" s="5"/>
      <c r="XDH41" s="5"/>
      <c r="XDI41" s="5"/>
      <c r="XDJ41" s="5"/>
      <c r="XDK41" s="5"/>
      <c r="XDL41" s="5"/>
      <c r="XDM41" s="5"/>
      <c r="XDN41" s="5"/>
      <c r="XDO41" s="5"/>
      <c r="XDP41" s="5"/>
      <c r="XDQ41" s="5"/>
      <c r="XDR41" s="5"/>
      <c r="XDS41" s="5"/>
      <c r="XDT41" s="5"/>
      <c r="XDU41" s="5"/>
      <c r="XDV41" s="5"/>
      <c r="XDW41" s="5"/>
      <c r="XDX41" s="5"/>
      <c r="XDY41" s="5"/>
      <c r="XDZ41" s="5"/>
      <c r="XEA41" s="5"/>
      <c r="XEB41" s="5"/>
      <c r="XEC41" s="5"/>
      <c r="XED41" s="5"/>
    </row>
    <row r="42" s="1" customFormat="1" ht="16.5" spans="1:6 16246:16374">
      <c r="A42" s="8">
        <v>40</v>
      </c>
      <c r="B42" s="9" t="s">
        <v>46</v>
      </c>
      <c r="C42" s="8">
        <v>1</v>
      </c>
      <c r="D42" s="8">
        <v>1</v>
      </c>
      <c r="E42" s="8">
        <v>25</v>
      </c>
      <c r="F42" s="8">
        <v>25</v>
      </c>
      <c r="WZV42"/>
      <c r="WZW42"/>
      <c r="WZX42"/>
      <c r="WZY42"/>
      <c r="WZZ42"/>
      <c r="XAA42"/>
      <c r="XAB42"/>
      <c r="XAC42"/>
      <c r="XAD42"/>
      <c r="XAE42"/>
      <c r="XAF42"/>
      <c r="XAG42"/>
      <c r="XAH42"/>
      <c r="XAI42"/>
      <c r="XAJ42"/>
      <c r="XAK42"/>
      <c r="XAL42"/>
      <c r="XAM42"/>
      <c r="XAN42"/>
      <c r="XAO42"/>
      <c r="XAP42"/>
      <c r="XAQ42"/>
      <c r="XAR42"/>
      <c r="XAS42"/>
      <c r="XAT42"/>
      <c r="XAU42"/>
      <c r="XAV42"/>
      <c r="XAW42"/>
      <c r="XAX42"/>
      <c r="XAY42"/>
      <c r="XAZ42"/>
      <c r="XBA42"/>
      <c r="XBB42"/>
      <c r="XBC42"/>
      <c r="XBD42"/>
      <c r="XBE42"/>
      <c r="XBF42"/>
      <c r="XBG42"/>
      <c r="XBH42"/>
      <c r="XBI42" s="5"/>
      <c r="XBJ42" s="5"/>
      <c r="XBK42" s="5"/>
      <c r="XBL42" s="5"/>
      <c r="XBM42" s="5"/>
      <c r="XBN42" s="5"/>
      <c r="XBO42" s="5"/>
      <c r="XBP42" s="5"/>
      <c r="XBQ42" s="5"/>
      <c r="XBR42" s="5"/>
      <c r="XBS42" s="5"/>
      <c r="XBT42" s="5"/>
      <c r="XBU42" s="5"/>
      <c r="XBV42" s="5"/>
      <c r="XBW42" s="5"/>
      <c r="XBX42" s="5"/>
      <c r="XBY42" s="5"/>
      <c r="XBZ42" s="5"/>
      <c r="XCA42" s="5"/>
      <c r="XCB42" s="5"/>
      <c r="XCC42" s="5"/>
      <c r="XCD42" s="5"/>
      <c r="XCE42" s="5"/>
      <c r="XCF42" s="5"/>
      <c r="XCG42" s="5"/>
      <c r="XCH42" s="5"/>
      <c r="XCI42" s="5"/>
      <c r="XCJ42" s="5"/>
      <c r="XCK42" s="5"/>
      <c r="XCL42" s="5"/>
      <c r="XCM42" s="5"/>
      <c r="XCN42" s="5"/>
      <c r="XCO42" s="5"/>
      <c r="XCP42" s="5"/>
      <c r="XCQ42" s="5"/>
      <c r="XCR42" s="5"/>
      <c r="XCS42" s="5"/>
      <c r="XCT42" s="5"/>
      <c r="XCU42" s="5"/>
      <c r="XCV42" s="5"/>
      <c r="XCW42" s="5"/>
      <c r="XCX42" s="5"/>
      <c r="XCY42" s="5"/>
      <c r="XCZ42" s="5"/>
      <c r="XDA42" s="5"/>
      <c r="XDB42" s="5"/>
      <c r="XDC42" s="5"/>
      <c r="XDD42" s="5"/>
      <c r="XDE42" s="5"/>
      <c r="XDF42" s="5"/>
      <c r="XDG42" s="5"/>
      <c r="XDH42" s="5"/>
      <c r="XDI42" s="5"/>
      <c r="XDJ42" s="5"/>
      <c r="XDK42" s="5"/>
      <c r="XDL42" s="5"/>
      <c r="XDM42" s="5"/>
      <c r="XDN42" s="5"/>
      <c r="XDO42" s="5"/>
      <c r="XDP42" s="5"/>
      <c r="XDQ42" s="5"/>
      <c r="XDR42" s="5"/>
      <c r="XDS42" s="5"/>
      <c r="XDT42" s="5"/>
      <c r="XDU42" s="5"/>
      <c r="XDV42" s="5"/>
      <c r="XDW42" s="5"/>
      <c r="XDX42" s="5"/>
      <c r="XDY42" s="5"/>
      <c r="XDZ42" s="5"/>
      <c r="XEA42" s="5"/>
      <c r="XEB42" s="5"/>
      <c r="XEC42" s="5"/>
      <c r="XED42" s="5"/>
    </row>
    <row r="43" s="1" customFormat="1" ht="16.5" customHeight="1" spans="1:6 16246:16374">
      <c r="A43" s="8">
        <v>41</v>
      </c>
      <c r="B43" s="9" t="s">
        <v>47</v>
      </c>
      <c r="C43" s="8">
        <v>0</v>
      </c>
      <c r="D43" s="8">
        <v>5</v>
      </c>
      <c r="E43" s="8">
        <v>25</v>
      </c>
      <c r="F43" s="8">
        <v>125</v>
      </c>
      <c r="WZV43"/>
      <c r="WZW43"/>
      <c r="WZX43"/>
      <c r="WZY43"/>
      <c r="WZZ43"/>
      <c r="XAA43"/>
      <c r="XAB43"/>
      <c r="XAC43"/>
      <c r="XAD43"/>
      <c r="XAE43"/>
      <c r="XAF43"/>
      <c r="XAG43"/>
      <c r="XAH43"/>
      <c r="XAI43"/>
      <c r="XAJ43"/>
      <c r="XAK43"/>
      <c r="XAL43"/>
      <c r="XAM43"/>
      <c r="XAN43"/>
      <c r="XAO43"/>
      <c r="XAP43"/>
      <c r="XAQ43"/>
      <c r="XAR43"/>
      <c r="XAS43"/>
      <c r="XAT43"/>
      <c r="XAU43"/>
      <c r="XAV43"/>
      <c r="XAW43"/>
      <c r="XAX43"/>
      <c r="XAY43"/>
      <c r="XAZ43"/>
      <c r="XBA43"/>
      <c r="XBB43"/>
      <c r="XBC43"/>
      <c r="XBD43"/>
      <c r="XBE43"/>
      <c r="XBF43"/>
      <c r="XBG43"/>
      <c r="XBH43"/>
      <c r="XBI43" s="5"/>
      <c r="XBJ43" s="5"/>
      <c r="XBK43" s="5"/>
      <c r="XBL43" s="5"/>
      <c r="XBM43" s="5"/>
      <c r="XBN43" s="5"/>
      <c r="XBO43" s="5"/>
      <c r="XBP43" s="5"/>
      <c r="XBQ43" s="5"/>
      <c r="XBR43" s="5"/>
      <c r="XBS43" s="5"/>
      <c r="XBT43" s="5"/>
      <c r="XBU43" s="5"/>
      <c r="XBV43" s="5"/>
      <c r="XBW43" s="5"/>
      <c r="XBX43" s="5"/>
      <c r="XBY43" s="5"/>
      <c r="XBZ43" s="5"/>
      <c r="XCA43" s="5"/>
      <c r="XCB43" s="5"/>
      <c r="XCC43" s="5"/>
      <c r="XCD43" s="5"/>
      <c r="XCE43" s="5"/>
      <c r="XCF43" s="5"/>
      <c r="XCG43" s="5"/>
      <c r="XCH43" s="5"/>
      <c r="XCI43" s="5"/>
      <c r="XCJ43" s="5"/>
      <c r="XCK43" s="5"/>
      <c r="XCL43" s="5"/>
      <c r="XCM43" s="5"/>
      <c r="XCN43" s="5"/>
      <c r="XCO43" s="5"/>
      <c r="XCP43" s="5"/>
      <c r="XCQ43" s="5"/>
      <c r="XCR43" s="5"/>
      <c r="XCS43" s="5"/>
      <c r="XCT43" s="5"/>
      <c r="XCU43" s="5"/>
      <c r="XCV43" s="5"/>
      <c r="XCW43" s="5"/>
      <c r="XCX43" s="5"/>
      <c r="XCY43" s="5"/>
      <c r="XCZ43" s="5"/>
      <c r="XDA43" s="5"/>
      <c r="XDB43" s="5"/>
      <c r="XDC43" s="5"/>
      <c r="XDD43" s="5"/>
      <c r="XDE43" s="5"/>
      <c r="XDF43" s="5"/>
      <c r="XDG43" s="5"/>
      <c r="XDH43" s="5"/>
      <c r="XDI43" s="5"/>
      <c r="XDJ43" s="5"/>
      <c r="XDK43" s="5"/>
      <c r="XDL43" s="5"/>
      <c r="XDM43" s="5"/>
      <c r="XDN43" s="5"/>
      <c r="XDO43" s="5"/>
      <c r="XDP43" s="5"/>
      <c r="XDQ43" s="5"/>
      <c r="XDR43" s="5"/>
      <c r="XDS43" s="5"/>
      <c r="XDT43" s="5"/>
      <c r="XDU43" s="5"/>
      <c r="XDV43" s="5"/>
      <c r="XDW43" s="5"/>
      <c r="XDX43" s="5"/>
      <c r="XDY43" s="5"/>
      <c r="XDZ43" s="5"/>
      <c r="XEA43" s="5"/>
      <c r="XEB43" s="5"/>
      <c r="XEC43" s="5"/>
      <c r="XED43" s="5"/>
    </row>
    <row r="44" s="1" customFormat="1" ht="16.5" customHeight="1" spans="1:6 16246:16374">
      <c r="A44" s="8">
        <v>42</v>
      </c>
      <c r="B44" s="9" t="s">
        <v>48</v>
      </c>
      <c r="C44" s="8">
        <v>12</v>
      </c>
      <c r="D44" s="8">
        <v>6</v>
      </c>
      <c r="E44" s="8">
        <v>16.5</v>
      </c>
      <c r="F44" s="8">
        <v>99</v>
      </c>
      <c r="WZV44"/>
      <c r="WZW44"/>
      <c r="WZX44"/>
      <c r="WZY44"/>
      <c r="WZZ44"/>
      <c r="XAA44"/>
      <c r="XAB44"/>
      <c r="XAC44"/>
      <c r="XAD44"/>
      <c r="XAE44"/>
      <c r="XAF44"/>
      <c r="XAG44"/>
      <c r="XAH44"/>
      <c r="XAI44"/>
      <c r="XAJ44"/>
      <c r="XAK44"/>
      <c r="XAL44"/>
      <c r="XAM44"/>
      <c r="XAN44"/>
      <c r="XAO44"/>
      <c r="XAP44"/>
      <c r="XAQ44"/>
      <c r="XAR44"/>
      <c r="XAS44"/>
      <c r="XAT44"/>
      <c r="XAU44"/>
      <c r="XAV44"/>
      <c r="XAW44"/>
      <c r="XAX44"/>
      <c r="XAY44"/>
      <c r="XAZ44"/>
      <c r="XBA44"/>
      <c r="XBB44"/>
      <c r="XBC44"/>
      <c r="XBD44"/>
      <c r="XBE44"/>
      <c r="XBF44"/>
      <c r="XBG44"/>
      <c r="XBH44"/>
      <c r="XBI44" s="5"/>
      <c r="XBJ44" s="5"/>
      <c r="XBK44" s="5"/>
      <c r="XBL44" s="5"/>
      <c r="XBM44" s="5"/>
      <c r="XBN44" s="5"/>
      <c r="XBO44" s="5"/>
      <c r="XBP44" s="5"/>
      <c r="XBQ44" s="5"/>
      <c r="XBR44" s="5"/>
      <c r="XBS44" s="5"/>
      <c r="XBT44" s="5"/>
      <c r="XBU44" s="5"/>
      <c r="XBV44" s="5"/>
      <c r="XBW44" s="5"/>
      <c r="XBX44" s="5"/>
      <c r="XBY44" s="5"/>
      <c r="XBZ44" s="5"/>
      <c r="XCA44" s="5"/>
      <c r="XCB44" s="5"/>
      <c r="XCC44" s="5"/>
      <c r="XCD44" s="5"/>
      <c r="XCE44" s="5"/>
      <c r="XCF44" s="5"/>
      <c r="XCG44" s="5"/>
      <c r="XCH44" s="5"/>
      <c r="XCI44" s="5"/>
      <c r="XCJ44" s="5"/>
      <c r="XCK44" s="5"/>
      <c r="XCL44" s="5"/>
      <c r="XCM44" s="5"/>
      <c r="XCN44" s="5"/>
      <c r="XCO44" s="5"/>
      <c r="XCP44" s="5"/>
      <c r="XCQ44" s="5"/>
      <c r="XCR44" s="5"/>
      <c r="XCS44" s="5"/>
      <c r="XCT44" s="5"/>
      <c r="XCU44" s="5"/>
      <c r="XCV44" s="5"/>
      <c r="XCW44" s="5"/>
      <c r="XCX44" s="5"/>
      <c r="XCY44" s="5"/>
      <c r="XCZ44" s="5"/>
      <c r="XDA44" s="5"/>
      <c r="XDB44" s="5"/>
      <c r="XDC44" s="5"/>
      <c r="XDD44" s="5"/>
      <c r="XDE44" s="5"/>
      <c r="XDF44" s="5"/>
      <c r="XDG44" s="5"/>
      <c r="XDH44" s="5"/>
      <c r="XDI44" s="5"/>
      <c r="XDJ44" s="5"/>
      <c r="XDK44" s="5"/>
      <c r="XDL44" s="5"/>
      <c r="XDM44" s="5"/>
      <c r="XDN44" s="5"/>
      <c r="XDO44" s="5"/>
      <c r="XDP44" s="5"/>
      <c r="XDQ44" s="5"/>
      <c r="XDR44" s="5"/>
      <c r="XDS44" s="5"/>
      <c r="XDT44" s="5"/>
      <c r="XDU44" s="5"/>
      <c r="XDV44" s="5"/>
      <c r="XDW44" s="5"/>
      <c r="XDX44" s="5"/>
      <c r="XDY44" s="5"/>
      <c r="XDZ44" s="5"/>
      <c r="XEA44" s="5"/>
      <c r="XEB44" s="5"/>
      <c r="XEC44" s="5"/>
      <c r="XED44" s="5"/>
    </row>
    <row r="45" s="1" customFormat="1" ht="16.5" customHeight="1" spans="1:6 16246:16374">
      <c r="A45" s="8">
        <v>43</v>
      </c>
      <c r="B45" s="9" t="s">
        <v>49</v>
      </c>
      <c r="C45" s="8">
        <v>1</v>
      </c>
      <c r="D45" s="8">
        <v>1</v>
      </c>
      <c r="E45" s="8">
        <v>35</v>
      </c>
      <c r="F45" s="8">
        <v>35</v>
      </c>
      <c r="WZV45"/>
      <c r="WZW45"/>
      <c r="WZX45"/>
      <c r="WZY45"/>
      <c r="WZZ45"/>
      <c r="XAA45"/>
      <c r="XAB45"/>
      <c r="XAC45"/>
      <c r="XAD45"/>
      <c r="XAE45"/>
      <c r="XAF45"/>
      <c r="XAG45"/>
      <c r="XAH45"/>
      <c r="XAI45"/>
      <c r="XAJ45"/>
      <c r="XAK45"/>
      <c r="XAL45"/>
      <c r="XAM45"/>
      <c r="XAN45"/>
      <c r="XAO45"/>
      <c r="XAP45"/>
      <c r="XAQ45"/>
      <c r="XAR45"/>
      <c r="XAS45"/>
      <c r="XAT45"/>
      <c r="XAU45"/>
      <c r="XAV45"/>
      <c r="XAW45"/>
      <c r="XAX45"/>
      <c r="XAY45"/>
      <c r="XAZ45"/>
      <c r="XBA45"/>
      <c r="XBB45"/>
      <c r="XBC45"/>
      <c r="XBD45"/>
      <c r="XBE45"/>
      <c r="XBF45"/>
      <c r="XBG45"/>
      <c r="XBH45"/>
      <c r="XBI45" s="5"/>
      <c r="XBJ45" s="5"/>
      <c r="XBK45" s="5"/>
      <c r="XBL45" s="5"/>
      <c r="XBM45" s="5"/>
      <c r="XBN45" s="5"/>
      <c r="XBO45" s="5"/>
      <c r="XBP45" s="5"/>
      <c r="XBQ45" s="5"/>
      <c r="XBR45" s="5"/>
      <c r="XBS45" s="5"/>
      <c r="XBT45" s="5"/>
      <c r="XBU45" s="5"/>
      <c r="XBV45" s="5"/>
      <c r="XBW45" s="5"/>
      <c r="XBX45" s="5"/>
      <c r="XBY45" s="5"/>
      <c r="XBZ45" s="5"/>
      <c r="XCA45" s="5"/>
      <c r="XCB45" s="5"/>
      <c r="XCC45" s="5"/>
      <c r="XCD45" s="5"/>
      <c r="XCE45" s="5"/>
      <c r="XCF45" s="5"/>
      <c r="XCG45" s="5"/>
      <c r="XCH45" s="5"/>
      <c r="XCI45" s="5"/>
      <c r="XCJ45" s="5"/>
      <c r="XCK45" s="5"/>
      <c r="XCL45" s="5"/>
      <c r="XCM45" s="5"/>
      <c r="XCN45" s="5"/>
      <c r="XCO45" s="5"/>
      <c r="XCP45" s="5"/>
      <c r="XCQ45" s="5"/>
      <c r="XCR45" s="5"/>
      <c r="XCS45" s="5"/>
      <c r="XCT45" s="5"/>
      <c r="XCU45" s="5"/>
      <c r="XCV45" s="5"/>
      <c r="XCW45" s="5"/>
      <c r="XCX45" s="5"/>
      <c r="XCY45" s="5"/>
      <c r="XCZ45" s="5"/>
      <c r="XDA45" s="5"/>
      <c r="XDB45" s="5"/>
      <c r="XDC45" s="5"/>
      <c r="XDD45" s="5"/>
      <c r="XDE45" s="5"/>
      <c r="XDF45" s="5"/>
      <c r="XDG45" s="5"/>
      <c r="XDH45" s="5"/>
      <c r="XDI45" s="5"/>
      <c r="XDJ45" s="5"/>
      <c r="XDK45" s="5"/>
      <c r="XDL45" s="5"/>
      <c r="XDM45" s="5"/>
      <c r="XDN45" s="5"/>
      <c r="XDO45" s="5"/>
      <c r="XDP45" s="5"/>
      <c r="XDQ45" s="5"/>
      <c r="XDR45" s="5"/>
      <c r="XDS45" s="5"/>
      <c r="XDT45" s="5"/>
      <c r="XDU45" s="5"/>
      <c r="XDV45" s="5"/>
      <c r="XDW45" s="5"/>
      <c r="XDX45" s="5"/>
      <c r="XDY45" s="5"/>
      <c r="XDZ45" s="5"/>
      <c r="XEA45" s="5"/>
      <c r="XEB45" s="5"/>
      <c r="XEC45" s="5"/>
      <c r="XED45" s="5"/>
    </row>
    <row r="46" s="1" customFormat="1" ht="16.5" customHeight="1" spans="1:6 16246:16374">
      <c r="A46" s="8">
        <v>44</v>
      </c>
      <c r="B46" s="9" t="s">
        <v>50</v>
      </c>
      <c r="C46" s="8">
        <v>6</v>
      </c>
      <c r="D46" s="8">
        <v>2</v>
      </c>
      <c r="E46" s="8">
        <v>16.5</v>
      </c>
      <c r="F46" s="8">
        <v>33</v>
      </c>
      <c r="WZV46"/>
      <c r="WZW46"/>
      <c r="WZX46"/>
      <c r="WZY46"/>
      <c r="WZZ46"/>
      <c r="XAA46"/>
      <c r="XAB46"/>
      <c r="XAC46"/>
      <c r="XAD46"/>
      <c r="XAE46"/>
      <c r="XAF46"/>
      <c r="XAG46"/>
      <c r="XAH46"/>
      <c r="XAI46"/>
      <c r="XAJ46"/>
      <c r="XAK46"/>
      <c r="XAL46"/>
      <c r="XAM46"/>
      <c r="XAN46"/>
      <c r="XAO46"/>
      <c r="XAP46"/>
      <c r="XAQ46"/>
      <c r="XAR46"/>
      <c r="XAS46"/>
      <c r="XAT46"/>
      <c r="XAU46"/>
      <c r="XAV46"/>
      <c r="XAW46"/>
      <c r="XAX46"/>
      <c r="XAY46"/>
      <c r="XAZ46"/>
      <c r="XBA46"/>
      <c r="XBB46"/>
      <c r="XBC46"/>
      <c r="XBD46"/>
      <c r="XBE46"/>
      <c r="XBF46"/>
      <c r="XBG46"/>
      <c r="XBH46"/>
      <c r="XBI46" s="5"/>
      <c r="XBJ46" s="5"/>
      <c r="XBK46" s="5"/>
      <c r="XBL46" s="5"/>
      <c r="XBM46" s="5"/>
      <c r="XBN46" s="5"/>
      <c r="XBO46" s="5"/>
      <c r="XBP46" s="5"/>
      <c r="XBQ46" s="5"/>
      <c r="XBR46" s="5"/>
      <c r="XBS46" s="5"/>
      <c r="XBT46" s="5"/>
      <c r="XBU46" s="5"/>
      <c r="XBV46" s="5"/>
      <c r="XBW46" s="5"/>
      <c r="XBX46" s="5"/>
      <c r="XBY46" s="5"/>
      <c r="XBZ46" s="5"/>
      <c r="XCA46" s="5"/>
      <c r="XCB46" s="5"/>
      <c r="XCC46" s="5"/>
      <c r="XCD46" s="5"/>
      <c r="XCE46" s="5"/>
      <c r="XCF46" s="5"/>
      <c r="XCG46" s="5"/>
      <c r="XCH46" s="5"/>
      <c r="XCI46" s="5"/>
      <c r="XCJ46" s="5"/>
      <c r="XCK46" s="5"/>
      <c r="XCL46" s="5"/>
      <c r="XCM46" s="5"/>
      <c r="XCN46" s="5"/>
      <c r="XCO46" s="5"/>
      <c r="XCP46" s="5"/>
      <c r="XCQ46" s="5"/>
      <c r="XCR46" s="5"/>
      <c r="XCS46" s="5"/>
      <c r="XCT46" s="5"/>
      <c r="XCU46" s="5"/>
      <c r="XCV46" s="5"/>
      <c r="XCW46" s="5"/>
      <c r="XCX46" s="5"/>
      <c r="XCY46" s="5"/>
      <c r="XCZ46" s="5"/>
      <c r="XDA46" s="5"/>
      <c r="XDB46" s="5"/>
      <c r="XDC46" s="5"/>
      <c r="XDD46" s="5"/>
      <c r="XDE46" s="5"/>
      <c r="XDF46" s="5"/>
      <c r="XDG46" s="5"/>
      <c r="XDH46" s="5"/>
      <c r="XDI46" s="5"/>
      <c r="XDJ46" s="5"/>
      <c r="XDK46" s="5"/>
      <c r="XDL46" s="5"/>
      <c r="XDM46" s="5"/>
      <c r="XDN46" s="5"/>
      <c r="XDO46" s="5"/>
      <c r="XDP46" s="5"/>
      <c r="XDQ46" s="5"/>
      <c r="XDR46" s="5"/>
      <c r="XDS46" s="5"/>
      <c r="XDT46" s="5"/>
      <c r="XDU46" s="5"/>
      <c r="XDV46" s="5"/>
      <c r="XDW46" s="5"/>
      <c r="XDX46" s="5"/>
      <c r="XDY46" s="5"/>
      <c r="XDZ46" s="5"/>
      <c r="XEA46" s="5"/>
      <c r="XEB46" s="5"/>
      <c r="XEC46" s="5"/>
      <c r="XED46" s="5"/>
    </row>
    <row r="47" s="1" customFormat="1" ht="16.5" customHeight="1" spans="1:6 16246:16374">
      <c r="A47" s="8">
        <v>45</v>
      </c>
      <c r="B47" s="9" t="s">
        <v>51</v>
      </c>
      <c r="C47" s="8">
        <v>3</v>
      </c>
      <c r="D47" s="8">
        <v>3</v>
      </c>
      <c r="E47" s="8">
        <v>16.5</v>
      </c>
      <c r="F47" s="8">
        <v>49.5</v>
      </c>
      <c r="WZV47"/>
      <c r="WZW47"/>
      <c r="WZX47"/>
      <c r="WZY47"/>
      <c r="WZZ47"/>
      <c r="XAA47"/>
      <c r="XAB47"/>
      <c r="XAC47"/>
      <c r="XAD47"/>
      <c r="XAE47"/>
      <c r="XAF47"/>
      <c r="XAG47"/>
      <c r="XAH47"/>
      <c r="XAI47"/>
      <c r="XAJ47"/>
      <c r="XAK47"/>
      <c r="XAL47"/>
      <c r="XAM47"/>
      <c r="XAN47"/>
      <c r="XAO47"/>
      <c r="XAP47"/>
      <c r="XAQ47"/>
      <c r="XAR47"/>
      <c r="XAS47"/>
      <c r="XAT47"/>
      <c r="XAU47"/>
      <c r="XAV47"/>
      <c r="XAW47"/>
      <c r="XAX47"/>
      <c r="XAY47"/>
      <c r="XAZ47"/>
      <c r="XBA47"/>
      <c r="XBB47"/>
      <c r="XBC47"/>
      <c r="XBD47"/>
      <c r="XBE47"/>
      <c r="XBF47"/>
      <c r="XBG47"/>
      <c r="XBH47"/>
      <c r="XBI47" s="5"/>
      <c r="XBJ47" s="5"/>
      <c r="XBK47" s="5"/>
      <c r="XBL47" s="5"/>
      <c r="XBM47" s="5"/>
      <c r="XBN47" s="5"/>
      <c r="XBO47" s="5"/>
      <c r="XBP47" s="5"/>
      <c r="XBQ47" s="5"/>
      <c r="XBR47" s="5"/>
      <c r="XBS47" s="5"/>
      <c r="XBT47" s="5"/>
      <c r="XBU47" s="5"/>
      <c r="XBV47" s="5"/>
      <c r="XBW47" s="5"/>
      <c r="XBX47" s="5"/>
      <c r="XBY47" s="5"/>
      <c r="XBZ47" s="5"/>
      <c r="XCA47" s="5"/>
      <c r="XCB47" s="5"/>
      <c r="XCC47" s="5"/>
      <c r="XCD47" s="5"/>
      <c r="XCE47" s="5"/>
      <c r="XCF47" s="5"/>
      <c r="XCG47" s="5"/>
      <c r="XCH47" s="5"/>
      <c r="XCI47" s="5"/>
      <c r="XCJ47" s="5"/>
      <c r="XCK47" s="5"/>
      <c r="XCL47" s="5"/>
      <c r="XCM47" s="5"/>
      <c r="XCN47" s="5"/>
      <c r="XCO47" s="5"/>
      <c r="XCP47" s="5"/>
      <c r="XCQ47" s="5"/>
      <c r="XCR47" s="5"/>
      <c r="XCS47" s="5"/>
      <c r="XCT47" s="5"/>
      <c r="XCU47" s="5"/>
      <c r="XCV47" s="5"/>
      <c r="XCW47" s="5"/>
      <c r="XCX47" s="5"/>
      <c r="XCY47" s="5"/>
      <c r="XCZ47" s="5"/>
      <c r="XDA47" s="5"/>
      <c r="XDB47" s="5"/>
      <c r="XDC47" s="5"/>
      <c r="XDD47" s="5"/>
      <c r="XDE47" s="5"/>
      <c r="XDF47" s="5"/>
      <c r="XDG47" s="5"/>
      <c r="XDH47" s="5"/>
      <c r="XDI47" s="5"/>
      <c r="XDJ47" s="5"/>
      <c r="XDK47" s="5"/>
      <c r="XDL47" s="5"/>
      <c r="XDM47" s="5"/>
      <c r="XDN47" s="5"/>
      <c r="XDO47" s="5"/>
      <c r="XDP47" s="5"/>
      <c r="XDQ47" s="5"/>
      <c r="XDR47" s="5"/>
      <c r="XDS47" s="5"/>
      <c r="XDT47" s="5"/>
      <c r="XDU47" s="5"/>
      <c r="XDV47" s="5"/>
      <c r="XDW47" s="5"/>
      <c r="XDX47" s="5"/>
      <c r="XDY47" s="5"/>
      <c r="XDZ47" s="5"/>
      <c r="XEA47" s="5"/>
      <c r="XEB47" s="5"/>
      <c r="XEC47" s="5"/>
      <c r="XED47" s="5"/>
    </row>
    <row r="48" s="1" customFormat="1" ht="16.5" customHeight="1" spans="1:6 16246:16374">
      <c r="A48" s="8">
        <v>46</v>
      </c>
      <c r="B48" s="9" t="s">
        <v>52</v>
      </c>
      <c r="C48" s="8">
        <v>36</v>
      </c>
      <c r="D48" s="8">
        <v>4</v>
      </c>
      <c r="E48" s="8">
        <v>49.5</v>
      </c>
      <c r="F48" s="8">
        <v>198</v>
      </c>
      <c r="WZV48"/>
      <c r="WZW48"/>
      <c r="WZX48"/>
      <c r="WZY48"/>
      <c r="WZZ48"/>
      <c r="XAA48"/>
      <c r="XAB48"/>
      <c r="XAC48"/>
      <c r="XAD48"/>
      <c r="XAE48"/>
      <c r="XAF48"/>
      <c r="XAG48"/>
      <c r="XAH48"/>
      <c r="XAI48"/>
      <c r="XAJ48"/>
      <c r="XAK48"/>
      <c r="XAL48"/>
      <c r="XAM48"/>
      <c r="XAN48"/>
      <c r="XAO48"/>
      <c r="XAP48"/>
      <c r="XAQ48"/>
      <c r="XAR48"/>
      <c r="XAS48"/>
      <c r="XAT48"/>
      <c r="XAU48"/>
      <c r="XAV48"/>
      <c r="XAW48"/>
      <c r="XAX48"/>
      <c r="XAY48"/>
      <c r="XAZ48"/>
      <c r="XBA48"/>
      <c r="XBB48"/>
      <c r="XBC48"/>
      <c r="XBD48"/>
      <c r="XBE48"/>
      <c r="XBF48"/>
      <c r="XBG48"/>
      <c r="XBH48"/>
      <c r="XBI48" s="5"/>
      <c r="XBJ48" s="5"/>
      <c r="XBK48" s="5"/>
      <c r="XBL48" s="5"/>
      <c r="XBM48" s="5"/>
      <c r="XBN48" s="5"/>
      <c r="XBO48" s="5"/>
      <c r="XBP48" s="5"/>
      <c r="XBQ48" s="5"/>
      <c r="XBR48" s="5"/>
      <c r="XBS48" s="5"/>
      <c r="XBT48" s="5"/>
      <c r="XBU48" s="5"/>
      <c r="XBV48" s="5"/>
      <c r="XBW48" s="5"/>
      <c r="XBX48" s="5"/>
      <c r="XBY48" s="5"/>
      <c r="XBZ48" s="5"/>
      <c r="XCA48" s="5"/>
      <c r="XCB48" s="5"/>
      <c r="XCC48" s="5"/>
      <c r="XCD48" s="5"/>
      <c r="XCE48" s="5"/>
      <c r="XCF48" s="5"/>
      <c r="XCG48" s="5"/>
      <c r="XCH48" s="5"/>
      <c r="XCI48" s="5"/>
      <c r="XCJ48" s="5"/>
      <c r="XCK48" s="5"/>
      <c r="XCL48" s="5"/>
      <c r="XCM48" s="5"/>
      <c r="XCN48" s="5"/>
      <c r="XCO48" s="5"/>
      <c r="XCP48" s="5"/>
      <c r="XCQ48" s="5"/>
      <c r="XCR48" s="5"/>
      <c r="XCS48" s="5"/>
      <c r="XCT48" s="5"/>
      <c r="XCU48" s="5"/>
      <c r="XCV48" s="5"/>
      <c r="XCW48" s="5"/>
      <c r="XCX48" s="5"/>
      <c r="XCY48" s="5"/>
      <c r="XCZ48" s="5"/>
      <c r="XDA48" s="5"/>
      <c r="XDB48" s="5"/>
      <c r="XDC48" s="5"/>
      <c r="XDD48" s="5"/>
      <c r="XDE48" s="5"/>
      <c r="XDF48" s="5"/>
      <c r="XDG48" s="5"/>
      <c r="XDH48" s="5"/>
      <c r="XDI48" s="5"/>
      <c r="XDJ48" s="5"/>
      <c r="XDK48" s="5"/>
      <c r="XDL48" s="5"/>
      <c r="XDM48" s="5"/>
      <c r="XDN48" s="5"/>
      <c r="XDO48" s="5"/>
      <c r="XDP48" s="5"/>
      <c r="XDQ48" s="5"/>
      <c r="XDR48" s="5"/>
      <c r="XDS48" s="5"/>
      <c r="XDT48" s="5"/>
      <c r="XDU48" s="5"/>
      <c r="XDV48" s="5"/>
      <c r="XDW48" s="5"/>
      <c r="XDX48" s="5"/>
      <c r="XDY48" s="5"/>
      <c r="XDZ48" s="5"/>
      <c r="XEA48" s="5"/>
      <c r="XEB48" s="5"/>
      <c r="XEC48" s="5"/>
      <c r="XED48" s="5"/>
      <c r="XEE48" s="5"/>
      <c r="XEF48" s="5"/>
      <c r="XEG48" s="5"/>
      <c r="XEH48" s="5"/>
      <c r="XEI48" s="5"/>
      <c r="XEJ48" s="5"/>
      <c r="XEK48" s="5"/>
      <c r="XEL48" s="5"/>
      <c r="XEM48" s="5"/>
      <c r="XEN48" s="5"/>
      <c r="XEO48" s="5"/>
      <c r="XEP48" s="5"/>
      <c r="XEQ48" s="5"/>
      <c r="XER48" s="5"/>
      <c r="XES48" s="5"/>
      <c r="XET48" s="5"/>
    </row>
    <row r="49" s="1" customFormat="1" ht="16.5" customHeight="1" spans="1:6 16246:16374">
      <c r="A49" s="8">
        <v>47</v>
      </c>
      <c r="B49" s="9" t="s">
        <v>53</v>
      </c>
      <c r="C49" s="8">
        <v>54</v>
      </c>
      <c r="D49" s="8">
        <v>6</v>
      </c>
      <c r="E49" s="8">
        <v>49.5</v>
      </c>
      <c r="F49" s="8">
        <v>297</v>
      </c>
      <c r="WZV49"/>
      <c r="WZW49"/>
      <c r="WZX49"/>
      <c r="WZY49"/>
      <c r="WZZ49"/>
      <c r="XAA49"/>
      <c r="XAB49"/>
      <c r="XAC49"/>
      <c r="XAD49"/>
      <c r="XAE49"/>
      <c r="XAF49"/>
      <c r="XAG49"/>
      <c r="XAH49"/>
      <c r="XAI49"/>
      <c r="XAJ49"/>
      <c r="XAK49"/>
      <c r="XAL49"/>
      <c r="XAM49"/>
      <c r="XAN49"/>
      <c r="XAO49"/>
      <c r="XAP49"/>
      <c r="XAQ49"/>
      <c r="XAR49"/>
      <c r="XAS49"/>
      <c r="XAT49"/>
      <c r="XAU49"/>
      <c r="XAV49"/>
      <c r="XAW49"/>
      <c r="XAX49"/>
      <c r="XAY49"/>
      <c r="XAZ49"/>
      <c r="XBA49"/>
      <c r="XBB49"/>
      <c r="XBC49"/>
      <c r="XBD49"/>
      <c r="XBE49"/>
      <c r="XBF49"/>
      <c r="XBG49"/>
      <c r="XBH49"/>
      <c r="XBI49" s="5"/>
      <c r="XBJ49" s="5"/>
      <c r="XBK49" s="5"/>
      <c r="XBL49" s="5"/>
      <c r="XBM49" s="5"/>
      <c r="XBN49" s="5"/>
      <c r="XBO49" s="5"/>
      <c r="XBP49" s="5"/>
      <c r="XBQ49" s="5"/>
      <c r="XBR49" s="5"/>
      <c r="XBS49" s="5"/>
      <c r="XBT49" s="5"/>
      <c r="XBU49" s="5"/>
      <c r="XBV49" s="5"/>
      <c r="XBW49" s="5"/>
      <c r="XBX49" s="5"/>
      <c r="XBY49" s="5"/>
      <c r="XBZ49" s="5"/>
      <c r="XCA49" s="5"/>
      <c r="XCB49" s="5"/>
      <c r="XCC49" s="5"/>
      <c r="XCD49" s="5"/>
      <c r="XCE49" s="5"/>
      <c r="XCF49" s="5"/>
      <c r="XCG49" s="5"/>
      <c r="XCH49" s="5"/>
      <c r="XCI49" s="5"/>
      <c r="XCJ49" s="5"/>
      <c r="XCK49" s="5"/>
      <c r="XCL49" s="5"/>
      <c r="XCM49" s="5"/>
      <c r="XCN49" s="5"/>
      <c r="XCO49" s="5"/>
      <c r="XCP49" s="5"/>
      <c r="XCQ49" s="5"/>
      <c r="XCR49" s="5"/>
      <c r="XCS49" s="5"/>
      <c r="XCT49" s="5"/>
      <c r="XCU49" s="5"/>
      <c r="XCV49" s="5"/>
      <c r="XCW49" s="5"/>
      <c r="XCX49" s="5"/>
      <c r="XCY49" s="5"/>
      <c r="XCZ49" s="5"/>
      <c r="XDA49" s="5"/>
      <c r="XDB49" s="5"/>
      <c r="XDC49" s="5"/>
      <c r="XDD49" s="5"/>
      <c r="XDE49" s="5"/>
      <c r="XDF49" s="5"/>
      <c r="XDG49" s="5"/>
      <c r="XDH49" s="5"/>
      <c r="XDI49" s="5"/>
      <c r="XDJ49" s="5"/>
      <c r="XDK49" s="5"/>
      <c r="XDL49" s="5"/>
      <c r="XDM49" s="5"/>
      <c r="XDN49" s="5"/>
      <c r="XDO49" s="5"/>
      <c r="XDP49" s="5"/>
      <c r="XDQ49" s="5"/>
      <c r="XDR49" s="5"/>
      <c r="XDS49" s="5"/>
      <c r="XDT49" s="5"/>
      <c r="XDU49" s="5"/>
      <c r="XDV49" s="5"/>
      <c r="XDW49" s="5"/>
      <c r="XDX49" s="5"/>
      <c r="XDY49" s="5"/>
      <c r="XDZ49" s="5"/>
      <c r="XEA49" s="5"/>
      <c r="XEB49" s="5"/>
      <c r="XEC49" s="5"/>
      <c r="XED49" s="5"/>
      <c r="XEE49" s="5"/>
      <c r="XEF49" s="5"/>
      <c r="XEG49" s="5"/>
      <c r="XEH49" s="5"/>
      <c r="XEI49" s="5"/>
      <c r="XEJ49" s="5"/>
      <c r="XEK49" s="5"/>
      <c r="XEL49" s="5"/>
      <c r="XEM49" s="5"/>
      <c r="XEN49" s="5"/>
      <c r="XEO49" s="5"/>
      <c r="XEP49" s="5"/>
      <c r="XEQ49" s="5"/>
      <c r="XER49" s="5"/>
      <c r="XES49" s="5"/>
      <c r="XET49" s="5"/>
    </row>
    <row r="50" s="1" customFormat="1" ht="16.5" customHeight="1" spans="1:6 16246:16374">
      <c r="A50" s="8">
        <v>48</v>
      </c>
      <c r="B50" s="9" t="s">
        <v>54</v>
      </c>
      <c r="C50" s="8">
        <v>10</v>
      </c>
      <c r="D50" s="8">
        <v>1</v>
      </c>
      <c r="E50" s="8">
        <v>55</v>
      </c>
      <c r="F50" s="8">
        <v>55</v>
      </c>
      <c r="WZV50"/>
      <c r="WZW50"/>
      <c r="WZX50"/>
      <c r="WZY50"/>
      <c r="WZZ50"/>
      <c r="XAA50"/>
      <c r="XAB50"/>
      <c r="XAC50"/>
      <c r="XAD50"/>
      <c r="XAE50"/>
      <c r="XAF50"/>
      <c r="XAG50"/>
      <c r="XAH50"/>
      <c r="XAI50"/>
      <c r="XAJ50"/>
      <c r="XAK50"/>
      <c r="XAL50"/>
      <c r="XAM50"/>
      <c r="XAN50"/>
      <c r="XAO50"/>
      <c r="XAP50"/>
      <c r="XAQ50"/>
      <c r="XAR50"/>
      <c r="XAS50"/>
      <c r="XAT50"/>
      <c r="XAU50"/>
      <c r="XAV50"/>
      <c r="XAW50"/>
      <c r="XAX50"/>
      <c r="XAY50"/>
      <c r="XAZ50"/>
      <c r="XBA50"/>
      <c r="XBB50"/>
      <c r="XBC50"/>
      <c r="XBD50"/>
      <c r="XBE50"/>
      <c r="XBF50"/>
      <c r="XBG50"/>
      <c r="XBH50"/>
      <c r="XBI50" s="5"/>
      <c r="XBJ50" s="5"/>
      <c r="XBK50" s="5"/>
      <c r="XBL50" s="5"/>
      <c r="XBM50" s="5"/>
      <c r="XBN50" s="5"/>
      <c r="XBO50" s="5"/>
      <c r="XBP50" s="5"/>
      <c r="XBQ50" s="5"/>
      <c r="XBR50" s="5"/>
      <c r="XBS50" s="5"/>
      <c r="XBT50" s="5"/>
      <c r="XBU50" s="5"/>
      <c r="XBV50" s="5"/>
      <c r="XBW50" s="5"/>
      <c r="XBX50" s="5"/>
      <c r="XBY50" s="5"/>
      <c r="XBZ50" s="5"/>
      <c r="XCA50" s="5"/>
      <c r="XCB50" s="5"/>
      <c r="XCC50" s="5"/>
      <c r="XCD50" s="5"/>
      <c r="XCE50" s="5"/>
      <c r="XCF50" s="5"/>
      <c r="XCG50" s="5"/>
      <c r="XCH50" s="5"/>
      <c r="XCI50" s="5"/>
      <c r="XCJ50" s="5"/>
      <c r="XCK50" s="5"/>
      <c r="XCL50" s="5"/>
      <c r="XCM50" s="5"/>
      <c r="XCN50" s="5"/>
      <c r="XCO50" s="5"/>
      <c r="XCP50" s="5"/>
      <c r="XCQ50" s="5"/>
      <c r="XCR50" s="5"/>
      <c r="XCS50" s="5"/>
      <c r="XCT50" s="5"/>
      <c r="XCU50" s="5"/>
      <c r="XCV50" s="5"/>
      <c r="XCW50" s="5"/>
      <c r="XCX50" s="5"/>
      <c r="XCY50" s="5"/>
      <c r="XCZ50" s="5"/>
      <c r="XDA50" s="5"/>
      <c r="XDB50" s="5"/>
      <c r="XDC50" s="5"/>
      <c r="XDD50" s="5"/>
      <c r="XDE50" s="5"/>
      <c r="XDF50" s="5"/>
      <c r="XDG50" s="5"/>
      <c r="XDH50" s="5"/>
      <c r="XDI50" s="5"/>
      <c r="XDJ50" s="5"/>
      <c r="XDK50" s="5"/>
      <c r="XDL50" s="5"/>
      <c r="XDM50" s="5"/>
      <c r="XDN50" s="5"/>
      <c r="XDO50" s="5"/>
      <c r="XDP50" s="5"/>
      <c r="XDQ50" s="5"/>
      <c r="XDR50" s="5"/>
      <c r="XDS50" s="5"/>
      <c r="XDT50" s="5"/>
      <c r="XDU50" s="5"/>
      <c r="XDV50" s="5"/>
      <c r="XDW50" s="5"/>
      <c r="XDX50" s="5"/>
      <c r="XDY50" s="5"/>
      <c r="XDZ50" s="5"/>
      <c r="XEA50" s="5"/>
      <c r="XEB50" s="5"/>
      <c r="XEC50" s="5"/>
      <c r="XED50" s="5"/>
      <c r="XEE50" s="5"/>
      <c r="XEF50" s="5"/>
      <c r="XEG50" s="5"/>
      <c r="XEH50" s="5"/>
      <c r="XEI50" s="5"/>
      <c r="XEJ50" s="5"/>
      <c r="XEK50" s="5"/>
      <c r="XEL50" s="5"/>
      <c r="XEM50" s="5"/>
      <c r="XEN50" s="5"/>
      <c r="XEO50" s="5"/>
      <c r="XEP50" s="5"/>
      <c r="XEQ50" s="5"/>
      <c r="XER50" s="5"/>
      <c r="XES50" s="5"/>
      <c r="XET50" s="5"/>
    </row>
    <row r="51" s="1" customFormat="1" ht="16.5" spans="1:6 16246:16374">
      <c r="A51" s="8">
        <v>49</v>
      </c>
      <c r="B51" s="9" t="s">
        <v>55</v>
      </c>
      <c r="C51" s="8">
        <v>18</v>
      </c>
      <c r="D51" s="8">
        <v>2</v>
      </c>
      <c r="E51" s="8">
        <v>49.5</v>
      </c>
      <c r="F51" s="8">
        <v>99</v>
      </c>
      <c r="WZV51"/>
      <c r="WZW51"/>
      <c r="WZX51"/>
      <c r="WZY51"/>
      <c r="WZZ51"/>
      <c r="XAA51"/>
      <c r="XAB51"/>
      <c r="XAC51"/>
      <c r="XAD51"/>
      <c r="XAE51"/>
      <c r="XAF51"/>
      <c r="XAG51"/>
      <c r="XAH51"/>
      <c r="XAI51"/>
      <c r="XAJ51"/>
      <c r="XAK51"/>
      <c r="XAL51"/>
      <c r="XAM51"/>
      <c r="XAN51"/>
      <c r="XAO51"/>
      <c r="XAP51"/>
      <c r="XAQ51"/>
      <c r="XAR51"/>
      <c r="XAS51"/>
      <c r="XAT51"/>
      <c r="XAU51"/>
      <c r="XAV51"/>
      <c r="XAW51"/>
      <c r="XAX51"/>
      <c r="XAY51"/>
      <c r="XAZ51"/>
      <c r="XBA51"/>
      <c r="XBB51"/>
      <c r="XBC51"/>
      <c r="XBD51"/>
      <c r="XBE51"/>
      <c r="XBF51"/>
      <c r="XBG51"/>
      <c r="XBH51"/>
      <c r="XBI51" s="5"/>
      <c r="XBJ51" s="5"/>
      <c r="XBK51" s="5"/>
      <c r="XBL51" s="5"/>
      <c r="XBM51" s="5"/>
      <c r="XBN51" s="5"/>
      <c r="XBO51" s="5"/>
      <c r="XBP51" s="5"/>
      <c r="XBQ51" s="5"/>
      <c r="XBR51" s="5"/>
      <c r="XBS51" s="5"/>
      <c r="XBT51" s="5"/>
      <c r="XBU51" s="5"/>
      <c r="XBV51" s="5"/>
      <c r="XBW51" s="5"/>
      <c r="XBX51" s="5"/>
      <c r="XBY51" s="5"/>
      <c r="XBZ51" s="5"/>
      <c r="XCA51" s="5"/>
      <c r="XCB51" s="5"/>
      <c r="XCC51" s="5"/>
      <c r="XCD51" s="5"/>
      <c r="XCE51" s="5"/>
      <c r="XCF51" s="5"/>
      <c r="XCG51" s="5"/>
      <c r="XCH51" s="5"/>
      <c r="XCI51" s="5"/>
      <c r="XCJ51" s="5"/>
      <c r="XCK51" s="5"/>
      <c r="XCL51" s="5"/>
      <c r="XCM51" s="5"/>
      <c r="XCN51" s="5"/>
      <c r="XCO51" s="5"/>
      <c r="XCP51" s="5"/>
      <c r="XCQ51" s="5"/>
      <c r="XCR51" s="5"/>
      <c r="XCS51" s="5"/>
      <c r="XCT51" s="5"/>
      <c r="XCU51" s="5"/>
      <c r="XCV51" s="5"/>
      <c r="XCW51" s="5"/>
      <c r="XCX51" s="5"/>
      <c r="XCY51" s="5"/>
      <c r="XCZ51" s="5"/>
      <c r="XDA51" s="5"/>
      <c r="XDB51" s="5"/>
      <c r="XDC51" s="5"/>
      <c r="XDD51" s="5"/>
      <c r="XDE51" s="5"/>
      <c r="XDF51" s="5"/>
      <c r="XDG51" s="5"/>
      <c r="XDH51" s="5"/>
      <c r="XDI51" s="5"/>
      <c r="XDJ51" s="5"/>
      <c r="XDK51" s="5"/>
      <c r="XDL51" s="5"/>
      <c r="XDM51" s="5"/>
      <c r="XDN51" s="5"/>
      <c r="XDO51" s="5"/>
      <c r="XDP51" s="5"/>
      <c r="XDQ51" s="5"/>
      <c r="XDR51" s="5"/>
      <c r="XDS51" s="5"/>
      <c r="XDT51" s="5"/>
      <c r="XDU51" s="5"/>
      <c r="XDV51" s="5"/>
      <c r="XDW51" s="5"/>
      <c r="XDX51" s="5"/>
      <c r="XDY51" s="5"/>
      <c r="XDZ51" s="5"/>
      <c r="XEA51" s="5"/>
      <c r="XEB51" s="5"/>
      <c r="XEC51" s="5"/>
      <c r="XED51" s="5"/>
      <c r="XEE51" s="5"/>
      <c r="XEF51" s="5"/>
      <c r="XEG51" s="5"/>
      <c r="XEH51" s="5"/>
      <c r="XEI51" s="5"/>
      <c r="XEJ51" s="5"/>
      <c r="XEK51" s="5"/>
      <c r="XEL51" s="5"/>
      <c r="XEM51" s="5"/>
      <c r="XEN51" s="5"/>
      <c r="XEO51" s="5"/>
      <c r="XEP51" s="5"/>
      <c r="XEQ51" s="5"/>
      <c r="XER51" s="5"/>
      <c r="XES51" s="5"/>
      <c r="XET51" s="5"/>
    </row>
    <row r="52" s="1" customFormat="1" ht="16.5" spans="1:6 16246:16374">
      <c r="A52" s="8">
        <v>50</v>
      </c>
      <c r="B52" s="9" t="s">
        <v>56</v>
      </c>
      <c r="C52" s="8">
        <v>50</v>
      </c>
      <c r="D52" s="8">
        <v>1</v>
      </c>
      <c r="E52" s="8">
        <v>275</v>
      </c>
      <c r="F52" s="8">
        <f>E52*D52</f>
        <v>275</v>
      </c>
      <c r="WZV52"/>
      <c r="WZW52"/>
      <c r="WZX52"/>
      <c r="WZY52"/>
      <c r="WZZ52"/>
      <c r="XAA52"/>
      <c r="XAB52"/>
      <c r="XAC52"/>
      <c r="XAD52"/>
      <c r="XAE52"/>
      <c r="XAF52"/>
      <c r="XAG52"/>
      <c r="XAH52"/>
      <c r="XAI52"/>
      <c r="XAJ52"/>
      <c r="XAK52"/>
      <c r="XAL52"/>
      <c r="XAM52"/>
      <c r="XAN52"/>
      <c r="XAO52"/>
      <c r="XAP52"/>
      <c r="XAQ52"/>
      <c r="XAR52"/>
      <c r="XAS52"/>
      <c r="XAT52"/>
      <c r="XAU52"/>
      <c r="XAV52"/>
      <c r="XAW52"/>
      <c r="XAX52"/>
      <c r="XAY52"/>
      <c r="XAZ52"/>
      <c r="XBA52"/>
      <c r="XBB52"/>
      <c r="XBC52"/>
      <c r="XBD52"/>
      <c r="XBE52"/>
      <c r="XBF52"/>
      <c r="XBG52"/>
      <c r="XBH52"/>
      <c r="XBI52" s="5"/>
      <c r="XBJ52" s="5"/>
      <c r="XBK52" s="5"/>
      <c r="XBL52" s="5"/>
      <c r="XBM52" s="5"/>
      <c r="XBN52" s="5"/>
      <c r="XBO52" s="5"/>
      <c r="XBP52" s="5"/>
      <c r="XBQ52" s="5"/>
      <c r="XBR52" s="5"/>
      <c r="XBS52" s="5"/>
      <c r="XBT52" s="5"/>
      <c r="XBU52" s="5"/>
      <c r="XBV52" s="5"/>
      <c r="XBW52" s="5"/>
      <c r="XBX52" s="5"/>
      <c r="XBY52" s="5"/>
      <c r="XBZ52" s="5"/>
      <c r="XCA52" s="5"/>
      <c r="XCB52" s="5"/>
      <c r="XCC52" s="5"/>
      <c r="XCD52" s="5"/>
      <c r="XCE52" s="5"/>
      <c r="XCF52" s="5"/>
      <c r="XCG52" s="5"/>
      <c r="XCH52" s="5"/>
      <c r="XCI52" s="5"/>
      <c r="XCJ52" s="5"/>
      <c r="XCK52" s="5"/>
      <c r="XCL52" s="5"/>
      <c r="XCM52" s="5"/>
      <c r="XCN52" s="5"/>
      <c r="XCO52" s="5"/>
      <c r="XCP52" s="5"/>
      <c r="XCQ52" s="5"/>
      <c r="XCR52" s="5"/>
      <c r="XCS52" s="5"/>
      <c r="XCT52" s="5"/>
      <c r="XCU52" s="5"/>
      <c r="XCV52" s="5"/>
      <c r="XCW52" s="5"/>
      <c r="XCX52" s="5"/>
      <c r="XCY52" s="5"/>
      <c r="XCZ52" s="5"/>
      <c r="XDA52" s="5"/>
      <c r="XDB52" s="5"/>
      <c r="XDC52" s="5"/>
      <c r="XDD52" s="5"/>
      <c r="XDE52" s="5"/>
      <c r="XDF52" s="5"/>
      <c r="XDG52" s="5"/>
      <c r="XDH52" s="5"/>
      <c r="XDI52" s="5"/>
      <c r="XDJ52" s="5"/>
      <c r="XDK52" s="5"/>
      <c r="XDL52" s="5"/>
      <c r="XDM52" s="5"/>
      <c r="XDN52" s="5"/>
      <c r="XDO52" s="5"/>
      <c r="XDP52" s="5"/>
      <c r="XDQ52" s="5"/>
      <c r="XDR52" s="5"/>
      <c r="XDS52" s="5"/>
      <c r="XDT52" s="5"/>
      <c r="XDU52" s="5"/>
      <c r="XDV52" s="5"/>
      <c r="XDW52" s="5"/>
      <c r="XDX52" s="5"/>
      <c r="XDY52" s="5"/>
      <c r="XDZ52" s="5"/>
      <c r="XEA52" s="5"/>
      <c r="XEB52" s="5"/>
      <c r="XEC52" s="5"/>
      <c r="XED52" s="5"/>
      <c r="XEE52" s="5"/>
      <c r="XEF52" s="5"/>
      <c r="XEG52" s="5"/>
      <c r="XEH52" s="5"/>
      <c r="XEI52" s="5"/>
      <c r="XEJ52" s="5"/>
      <c r="XEK52" s="5"/>
      <c r="XEL52" s="5"/>
      <c r="XEM52" s="5"/>
      <c r="XEN52" s="5"/>
      <c r="XEO52" s="5"/>
      <c r="XEP52" s="5"/>
      <c r="XEQ52" s="5"/>
      <c r="XER52" s="5"/>
      <c r="XES52" s="5"/>
      <c r="XET52" s="5"/>
    </row>
    <row r="53" s="1" customFormat="1" ht="16.5" spans="1:6 16246:16374">
      <c r="A53" s="8">
        <v>51</v>
      </c>
      <c r="B53" s="9" t="s">
        <v>57</v>
      </c>
      <c r="C53" s="8">
        <v>52</v>
      </c>
      <c r="D53" s="8">
        <v>1</v>
      </c>
      <c r="E53" s="8">
        <v>286</v>
      </c>
      <c r="F53" s="8">
        <v>286</v>
      </c>
      <c r="WZV53"/>
      <c r="WZW53"/>
      <c r="WZX53"/>
      <c r="WZY53"/>
      <c r="WZZ53"/>
      <c r="XAA53"/>
      <c r="XAB53"/>
      <c r="XAC53"/>
      <c r="XAD53"/>
      <c r="XAE53"/>
      <c r="XAF53"/>
      <c r="XAG53"/>
      <c r="XAH53"/>
      <c r="XAI53"/>
      <c r="XAJ53"/>
      <c r="XAK53"/>
      <c r="XAL53"/>
      <c r="XAM53"/>
      <c r="XAN53"/>
      <c r="XAO53"/>
      <c r="XAP53"/>
      <c r="XAQ53"/>
      <c r="XAR53"/>
      <c r="XAS53"/>
      <c r="XAT53"/>
      <c r="XAU53"/>
      <c r="XAV53"/>
      <c r="XAW53"/>
      <c r="XAX53"/>
      <c r="XAY53"/>
      <c r="XAZ53"/>
      <c r="XBA53"/>
      <c r="XBB53"/>
      <c r="XBC53"/>
      <c r="XBD53"/>
      <c r="XBE53"/>
      <c r="XBF53"/>
      <c r="XBG53"/>
      <c r="XBH53"/>
      <c r="XBI53" s="5"/>
      <c r="XBJ53" s="5"/>
      <c r="XBK53" s="5"/>
      <c r="XBL53" s="5"/>
      <c r="XBM53" s="5"/>
      <c r="XBN53" s="5"/>
      <c r="XBO53" s="5"/>
      <c r="XBP53" s="5"/>
      <c r="XBQ53" s="5"/>
      <c r="XBR53" s="5"/>
      <c r="XBS53" s="5"/>
      <c r="XBT53" s="5"/>
      <c r="XBU53" s="5"/>
      <c r="XBV53" s="5"/>
      <c r="XBW53" s="5"/>
      <c r="XBX53" s="5"/>
      <c r="XBY53" s="5"/>
      <c r="XBZ53" s="5"/>
      <c r="XCA53" s="5"/>
      <c r="XCB53" s="5"/>
      <c r="XCC53" s="5"/>
      <c r="XCD53" s="5"/>
      <c r="XCE53" s="5"/>
      <c r="XCF53" s="5"/>
      <c r="XCG53" s="5"/>
      <c r="XCH53" s="5"/>
      <c r="XCI53" s="5"/>
      <c r="XCJ53" s="5"/>
      <c r="XCK53" s="5"/>
      <c r="XCL53" s="5"/>
      <c r="XCM53" s="5"/>
      <c r="XCN53" s="5"/>
      <c r="XCO53" s="5"/>
      <c r="XCP53" s="5"/>
      <c r="XCQ53" s="5"/>
      <c r="XCR53" s="5"/>
      <c r="XCS53" s="5"/>
      <c r="XCT53" s="5"/>
      <c r="XCU53" s="5"/>
      <c r="XCV53" s="5"/>
      <c r="XCW53" s="5"/>
      <c r="XCX53" s="5"/>
      <c r="XCY53" s="5"/>
      <c r="XCZ53" s="5"/>
      <c r="XDA53" s="5"/>
      <c r="XDB53" s="5"/>
      <c r="XDC53" s="5"/>
      <c r="XDD53" s="5"/>
      <c r="XDE53" s="5"/>
      <c r="XDF53" s="5"/>
      <c r="XDG53" s="5"/>
      <c r="XDH53" s="5"/>
      <c r="XDI53" s="5"/>
      <c r="XDJ53" s="5"/>
      <c r="XDK53" s="5"/>
      <c r="XDL53" s="5"/>
      <c r="XDM53" s="5"/>
      <c r="XDN53" s="5"/>
      <c r="XDO53" s="5"/>
      <c r="XDP53" s="5"/>
      <c r="XDQ53" s="5"/>
      <c r="XDR53" s="5"/>
      <c r="XDS53" s="5"/>
      <c r="XDT53" s="5"/>
      <c r="XDU53" s="5"/>
      <c r="XDV53" s="5"/>
      <c r="XDW53" s="5"/>
      <c r="XDX53" s="5"/>
      <c r="XDY53" s="5"/>
      <c r="XDZ53" s="5"/>
      <c r="XEA53" s="5"/>
      <c r="XEB53" s="5"/>
      <c r="XEC53" s="5"/>
      <c r="XED53" s="5"/>
      <c r="XEE53" s="5"/>
      <c r="XEF53" s="5"/>
      <c r="XEG53" s="5"/>
      <c r="XEH53" s="5"/>
      <c r="XEI53" s="5"/>
      <c r="XEJ53" s="5"/>
      <c r="XEK53" s="5"/>
      <c r="XEL53" s="5"/>
      <c r="XEM53" s="5"/>
      <c r="XEN53" s="5"/>
      <c r="XEO53" s="5"/>
      <c r="XEP53" s="5"/>
      <c r="XEQ53" s="5"/>
      <c r="XER53" s="5"/>
      <c r="XES53" s="5"/>
      <c r="XET53" s="5"/>
    </row>
    <row r="54" s="1" customFormat="1" ht="31" customHeight="1" spans="1:6 16246:16374">
      <c r="A54" s="8">
        <v>52</v>
      </c>
      <c r="B54" s="15" t="s">
        <v>58</v>
      </c>
      <c r="C54" s="8">
        <f>2*65</f>
        <v>130</v>
      </c>
      <c r="D54" s="8">
        <v>2</v>
      </c>
      <c r="E54" s="8">
        <v>357.5</v>
      </c>
      <c r="F54" s="8">
        <f>E54*D54</f>
        <v>715</v>
      </c>
      <c r="WZV54"/>
      <c r="WZW54"/>
      <c r="WZX54"/>
      <c r="WZY54"/>
      <c r="WZZ54"/>
      <c r="XAA54"/>
      <c r="XAB54"/>
      <c r="XAC54"/>
      <c r="XAD54"/>
      <c r="XAE54"/>
      <c r="XAF54"/>
      <c r="XAG54"/>
      <c r="XAH54"/>
      <c r="XAI54"/>
      <c r="XAJ54"/>
      <c r="XAK54"/>
      <c r="XAL54"/>
      <c r="XAM54"/>
      <c r="XAN54"/>
      <c r="XAO54"/>
      <c r="XAP54"/>
      <c r="XAQ54"/>
      <c r="XAR54"/>
      <c r="XAS54"/>
      <c r="XAT54"/>
      <c r="XAU54"/>
      <c r="XAV54"/>
      <c r="XAW54"/>
      <c r="XAX54"/>
      <c r="XAY54"/>
      <c r="XAZ54"/>
      <c r="XBA54"/>
      <c r="XBB54"/>
      <c r="XBC54"/>
      <c r="XBD54"/>
      <c r="XBE54"/>
      <c r="XBF54"/>
      <c r="XBG54"/>
      <c r="XBH54"/>
      <c r="XBI54" s="5"/>
      <c r="XBJ54" s="5"/>
      <c r="XBK54" s="5"/>
      <c r="XBL54" s="5"/>
      <c r="XBM54" s="5"/>
      <c r="XBN54" s="5"/>
      <c r="XBO54" s="5"/>
      <c r="XBP54" s="5"/>
      <c r="XBQ54" s="5"/>
      <c r="XBR54" s="5"/>
      <c r="XBS54" s="5"/>
      <c r="XBT54" s="5"/>
      <c r="XBU54" s="5"/>
      <c r="XBV54" s="5"/>
      <c r="XBW54" s="5"/>
      <c r="XBX54" s="5"/>
      <c r="XBY54" s="5"/>
      <c r="XBZ54" s="5"/>
      <c r="XCA54" s="5"/>
      <c r="XCB54" s="5"/>
      <c r="XCC54" s="5"/>
      <c r="XCD54" s="5"/>
      <c r="XCE54" s="5"/>
      <c r="XCF54" s="5"/>
      <c r="XCG54" s="5"/>
      <c r="XCH54" s="5"/>
      <c r="XCI54" s="5"/>
      <c r="XCJ54" s="5"/>
      <c r="XCK54" s="5"/>
      <c r="XCL54" s="5"/>
      <c r="XCM54" s="5"/>
      <c r="XCN54" s="5"/>
      <c r="XCO54" s="5"/>
      <c r="XCP54" s="5"/>
      <c r="XCQ54" s="5"/>
      <c r="XCR54" s="5"/>
      <c r="XCS54" s="5"/>
      <c r="XCT54" s="5"/>
      <c r="XCU54" s="5"/>
      <c r="XCV54" s="5"/>
      <c r="XCW54" s="5"/>
      <c r="XCX54" s="5"/>
      <c r="XCY54" s="5"/>
      <c r="XCZ54" s="5"/>
      <c r="XDA54" s="5"/>
      <c r="XDB54" s="5"/>
      <c r="XDC54" s="5"/>
      <c r="XDD54" s="5"/>
      <c r="XDE54" s="5"/>
      <c r="XDF54" s="5"/>
      <c r="XDG54" s="5"/>
      <c r="XDH54" s="5"/>
      <c r="XDI54" s="5"/>
      <c r="XDJ54" s="5"/>
      <c r="XDK54" s="5"/>
      <c r="XDL54" s="5"/>
      <c r="XDM54" s="5"/>
      <c r="XDN54" s="5"/>
      <c r="XDO54" s="5"/>
      <c r="XDP54" s="5"/>
      <c r="XDQ54" s="5"/>
      <c r="XDR54" s="5"/>
      <c r="XDS54" s="5"/>
      <c r="XDT54" s="5"/>
      <c r="XDU54" s="5"/>
      <c r="XDV54" s="5"/>
      <c r="XDW54" s="5"/>
      <c r="XDX54" s="5"/>
      <c r="XDY54" s="5"/>
      <c r="XDZ54" s="5"/>
      <c r="XEA54" s="5"/>
      <c r="XEB54" s="5"/>
      <c r="XEC54" s="5"/>
      <c r="XED54" s="5"/>
      <c r="XEE54" s="5"/>
      <c r="XEF54" s="5"/>
      <c r="XEG54" s="5"/>
      <c r="XEH54" s="5"/>
      <c r="XEI54" s="5"/>
      <c r="XEJ54" s="5"/>
      <c r="XEK54" s="5"/>
      <c r="XEL54" s="5"/>
      <c r="XEM54" s="5"/>
      <c r="XEN54" s="5"/>
      <c r="XEO54" s="5"/>
      <c r="XEP54" s="5"/>
      <c r="XEQ54" s="5"/>
      <c r="XER54" s="5"/>
      <c r="XES54" s="5"/>
      <c r="XET54" s="5"/>
    </row>
    <row r="55" s="1" customFormat="1" ht="16.5" spans="1:6 16246:16374">
      <c r="A55" s="8">
        <v>53</v>
      </c>
      <c r="B55" s="9" t="s">
        <v>59</v>
      </c>
      <c r="C55" s="8">
        <v>52</v>
      </c>
      <c r="D55" s="8">
        <v>1</v>
      </c>
      <c r="E55" s="8">
        <v>286</v>
      </c>
      <c r="F55" s="8">
        <v>286</v>
      </c>
      <c r="WZV55"/>
      <c r="WZW55"/>
      <c r="WZX55"/>
      <c r="WZY55"/>
      <c r="WZZ55"/>
      <c r="XAA55"/>
      <c r="XAB55"/>
      <c r="XAC55"/>
      <c r="XAD55"/>
      <c r="XAE55"/>
      <c r="XAF55"/>
      <c r="XAG55"/>
      <c r="XAH55"/>
      <c r="XAI55"/>
      <c r="XAJ55"/>
      <c r="XAK55"/>
      <c r="XAL55"/>
      <c r="XAM55"/>
      <c r="XAN55"/>
      <c r="XAO55"/>
      <c r="XAP55"/>
      <c r="XAQ55"/>
      <c r="XAR55"/>
      <c r="XAS55"/>
      <c r="XAT55"/>
      <c r="XAU55"/>
      <c r="XAV55"/>
      <c r="XAW55"/>
      <c r="XAX55"/>
      <c r="XAY55"/>
      <c r="XAZ55"/>
      <c r="XBA55"/>
      <c r="XBB55"/>
      <c r="XBC55"/>
      <c r="XBD55"/>
      <c r="XBE55"/>
      <c r="XBF55"/>
      <c r="XBG55"/>
      <c r="XBH55"/>
      <c r="XBI55" s="5"/>
      <c r="XBJ55" s="5"/>
      <c r="XBK55" s="5"/>
      <c r="XBL55" s="5"/>
      <c r="XBM55" s="5"/>
      <c r="XBN55" s="5"/>
      <c r="XBO55" s="5"/>
      <c r="XBP55" s="5"/>
      <c r="XBQ55" s="5"/>
      <c r="XBR55" s="5"/>
      <c r="XBS55" s="5"/>
      <c r="XBT55" s="5"/>
      <c r="XBU55" s="5"/>
      <c r="XBV55" s="5"/>
      <c r="XBW55" s="5"/>
      <c r="XBX55" s="5"/>
      <c r="XBY55" s="5"/>
      <c r="XBZ55" s="5"/>
      <c r="XCA55" s="5"/>
      <c r="XCB55" s="5"/>
      <c r="XCC55" s="5"/>
      <c r="XCD55" s="5"/>
      <c r="XCE55" s="5"/>
      <c r="XCF55" s="5"/>
      <c r="XCG55" s="5"/>
      <c r="XCH55" s="5"/>
      <c r="XCI55" s="5"/>
      <c r="XCJ55" s="5"/>
      <c r="XCK55" s="5"/>
      <c r="XCL55" s="5"/>
      <c r="XCM55" s="5"/>
      <c r="XCN55" s="5"/>
      <c r="XCO55" s="5"/>
      <c r="XCP55" s="5"/>
      <c r="XCQ55" s="5"/>
      <c r="XCR55" s="5"/>
      <c r="XCS55" s="5"/>
      <c r="XCT55" s="5"/>
      <c r="XCU55" s="5"/>
      <c r="XCV55" s="5"/>
      <c r="XCW55" s="5"/>
      <c r="XCX55" s="5"/>
      <c r="XCY55" s="5"/>
      <c r="XCZ55" s="5"/>
      <c r="XDA55" s="5"/>
      <c r="XDB55" s="5"/>
      <c r="XDC55" s="5"/>
      <c r="XDD55" s="5"/>
      <c r="XDE55" s="5"/>
      <c r="XDF55" s="5"/>
      <c r="XDG55" s="5"/>
      <c r="XDH55" s="5"/>
      <c r="XDI55" s="5"/>
      <c r="XDJ55" s="5"/>
      <c r="XDK55" s="5"/>
      <c r="XDL55" s="5"/>
      <c r="XDM55" s="5"/>
      <c r="XDN55" s="5"/>
      <c r="XDO55" s="5"/>
      <c r="XDP55" s="5"/>
      <c r="XDQ55" s="5"/>
      <c r="XDR55" s="5"/>
      <c r="XDS55" s="5"/>
      <c r="XDT55" s="5"/>
      <c r="XDU55" s="5"/>
      <c r="XDV55" s="5"/>
      <c r="XDW55" s="5"/>
      <c r="XDX55" s="5"/>
      <c r="XDY55" s="5"/>
      <c r="XDZ55" s="5"/>
      <c r="XEA55" s="5"/>
      <c r="XEB55" s="5"/>
      <c r="XEC55" s="5"/>
      <c r="XED55" s="5"/>
      <c r="XEE55" s="5"/>
      <c r="XEF55" s="5"/>
      <c r="XEG55" s="5"/>
      <c r="XEH55" s="5"/>
      <c r="XEI55" s="5"/>
      <c r="XEJ55" s="5"/>
      <c r="XEK55" s="5"/>
      <c r="XEL55" s="5"/>
      <c r="XEM55" s="5"/>
      <c r="XEN55" s="5"/>
      <c r="XEO55" s="5"/>
      <c r="XEP55" s="5"/>
      <c r="XEQ55" s="5"/>
      <c r="XER55" s="5"/>
      <c r="XES55" s="5"/>
      <c r="XET55" s="5"/>
    </row>
    <row r="56" s="1" customFormat="1" ht="16.5" spans="1:6 16246:16374">
      <c r="A56" s="8">
        <v>54</v>
      </c>
      <c r="B56" s="9" t="s">
        <v>60</v>
      </c>
      <c r="C56" s="8">
        <v>2</v>
      </c>
      <c r="D56" s="8">
        <v>2</v>
      </c>
      <c r="E56" s="8">
        <v>16.5</v>
      </c>
      <c r="F56" s="8">
        <v>33</v>
      </c>
      <c r="WZV56"/>
      <c r="WZW56"/>
      <c r="WZX56"/>
      <c r="WZY56"/>
      <c r="WZZ56"/>
      <c r="XAA56"/>
      <c r="XAB56"/>
      <c r="XAC56"/>
      <c r="XAD56"/>
      <c r="XAE56"/>
      <c r="XAF56"/>
      <c r="XAG56"/>
      <c r="XAH56"/>
      <c r="XAI56"/>
      <c r="XAJ56"/>
      <c r="XAK56"/>
      <c r="XAL56"/>
      <c r="XAM56"/>
      <c r="XAN56"/>
      <c r="XAO56"/>
      <c r="XAP56"/>
      <c r="XAQ56"/>
      <c r="XAR56"/>
      <c r="XAS56"/>
      <c r="XAT56"/>
      <c r="XAU56"/>
      <c r="XAV56"/>
      <c r="XAW56"/>
      <c r="XAX56"/>
      <c r="XAY56"/>
      <c r="XAZ56"/>
      <c r="XBA56"/>
      <c r="XBB56"/>
      <c r="XBC56"/>
      <c r="XBD56"/>
      <c r="XBE56"/>
      <c r="XBF56"/>
      <c r="XBG56"/>
      <c r="XBH56"/>
      <c r="XBI56" s="5"/>
      <c r="XBJ56" s="5"/>
      <c r="XBK56" s="5"/>
      <c r="XBL56" s="5"/>
      <c r="XBM56" s="5"/>
      <c r="XBN56" s="5"/>
      <c r="XBO56" s="5"/>
      <c r="XBP56" s="5"/>
      <c r="XBQ56" s="5"/>
      <c r="XBR56" s="5"/>
      <c r="XBS56" s="5"/>
      <c r="XBT56" s="5"/>
      <c r="XBU56" s="5"/>
      <c r="XBV56" s="5"/>
      <c r="XBW56" s="5"/>
      <c r="XBX56" s="5"/>
      <c r="XBY56" s="5"/>
      <c r="XBZ56" s="5"/>
      <c r="XCA56" s="5"/>
      <c r="XCB56" s="5"/>
      <c r="XCC56" s="5"/>
      <c r="XCD56" s="5"/>
      <c r="XCE56" s="5"/>
      <c r="XCF56" s="5"/>
      <c r="XCG56" s="5"/>
      <c r="XCH56" s="5"/>
      <c r="XCI56" s="5"/>
      <c r="XCJ56" s="5"/>
      <c r="XCK56" s="5"/>
      <c r="XCL56" s="5"/>
      <c r="XCM56" s="5"/>
      <c r="XCN56" s="5"/>
      <c r="XCO56" s="5"/>
      <c r="XCP56" s="5"/>
      <c r="XCQ56" s="5"/>
      <c r="XCR56" s="5"/>
      <c r="XCS56" s="5"/>
      <c r="XCT56" s="5"/>
      <c r="XCU56" s="5"/>
      <c r="XCV56" s="5"/>
      <c r="XCW56" s="5"/>
      <c r="XCX56" s="5"/>
      <c r="XCY56" s="5"/>
      <c r="XCZ56" s="5"/>
      <c r="XDA56" s="5"/>
      <c r="XDB56" s="5"/>
      <c r="XDC56" s="5"/>
      <c r="XDD56" s="5"/>
      <c r="XDE56" s="5"/>
      <c r="XDF56" s="5"/>
      <c r="XDG56" s="5"/>
      <c r="XDH56" s="5"/>
      <c r="XDI56" s="5"/>
      <c r="XDJ56" s="5"/>
      <c r="XDK56" s="5"/>
      <c r="XDL56" s="5"/>
      <c r="XDM56" s="5"/>
      <c r="XDN56" s="5"/>
      <c r="XDO56" s="5"/>
      <c r="XDP56" s="5"/>
      <c r="XDQ56" s="5"/>
      <c r="XDR56" s="5"/>
      <c r="XDS56" s="5"/>
      <c r="XDT56" s="5"/>
      <c r="XDU56" s="5"/>
      <c r="XDV56" s="5"/>
      <c r="XDW56" s="5"/>
      <c r="XDX56" s="5"/>
      <c r="XDY56" s="5"/>
      <c r="XDZ56" s="5"/>
      <c r="XEA56" s="5"/>
      <c r="XEB56" s="5"/>
      <c r="XEC56" s="5"/>
      <c r="XED56" s="5"/>
      <c r="XEE56" s="5"/>
      <c r="XEF56" s="5"/>
      <c r="XEG56" s="5"/>
      <c r="XEH56" s="5"/>
      <c r="XEI56" s="5"/>
      <c r="XEJ56" s="5"/>
      <c r="XEK56" s="5"/>
      <c r="XEL56" s="5"/>
      <c r="XEM56" s="5"/>
      <c r="XEN56" s="5"/>
      <c r="XEO56" s="5"/>
      <c r="XEP56" s="5"/>
      <c r="XEQ56" s="5"/>
      <c r="XER56" s="5"/>
      <c r="XES56" s="5"/>
      <c r="XET56" s="5"/>
    </row>
    <row r="57" s="1" customFormat="1" ht="16.5" spans="1:6 16246:16374">
      <c r="A57" s="8">
        <v>55</v>
      </c>
      <c r="B57" s="9" t="s">
        <v>61</v>
      </c>
      <c r="C57" s="8">
        <v>6</v>
      </c>
      <c r="D57" s="8">
        <v>3</v>
      </c>
      <c r="E57" s="8">
        <v>16.5</v>
      </c>
      <c r="F57" s="8">
        <v>49.5</v>
      </c>
      <c r="WZV57"/>
      <c r="WZW57"/>
      <c r="WZX57"/>
      <c r="WZY57"/>
      <c r="WZZ57"/>
      <c r="XAA57"/>
      <c r="XAB57"/>
      <c r="XAC57"/>
      <c r="XAD57"/>
      <c r="XAE57"/>
      <c r="XAF57"/>
      <c r="XAG57"/>
      <c r="XAH57"/>
      <c r="XAI57"/>
      <c r="XAJ57"/>
      <c r="XAK57"/>
      <c r="XAL57"/>
      <c r="XAM57"/>
      <c r="XAN57"/>
      <c r="XAO57"/>
      <c r="XAP57"/>
      <c r="XAQ57"/>
      <c r="XAR57"/>
      <c r="XAS57"/>
      <c r="XAT57"/>
      <c r="XAU57"/>
      <c r="XAV57"/>
      <c r="XAW57"/>
      <c r="XAX57"/>
      <c r="XAY57"/>
      <c r="XAZ57"/>
      <c r="XBA57"/>
      <c r="XBB57"/>
      <c r="XBC57"/>
      <c r="XBD57"/>
      <c r="XBE57"/>
      <c r="XBF57"/>
      <c r="XBG57"/>
      <c r="XBH57"/>
      <c r="XBI57" s="5"/>
      <c r="XBJ57" s="5"/>
      <c r="XBK57" s="5"/>
      <c r="XBL57" s="5"/>
      <c r="XBM57" s="5"/>
      <c r="XBN57" s="5"/>
      <c r="XBO57" s="5"/>
      <c r="XBP57" s="5"/>
      <c r="XBQ57" s="5"/>
      <c r="XBR57" s="5"/>
      <c r="XBS57" s="5"/>
      <c r="XBT57" s="5"/>
      <c r="XBU57" s="5"/>
      <c r="XBV57" s="5"/>
      <c r="XBW57" s="5"/>
      <c r="XBX57" s="5"/>
      <c r="XBY57" s="5"/>
      <c r="XBZ57" s="5"/>
      <c r="XCA57" s="5"/>
      <c r="XCB57" s="5"/>
      <c r="XCC57" s="5"/>
      <c r="XCD57" s="5"/>
      <c r="XCE57" s="5"/>
      <c r="XCF57" s="5"/>
      <c r="XCG57" s="5"/>
      <c r="XCH57" s="5"/>
      <c r="XCI57" s="5"/>
      <c r="XCJ57" s="5"/>
      <c r="XCK57" s="5"/>
      <c r="XCL57" s="5"/>
      <c r="XCM57" s="5"/>
      <c r="XCN57" s="5"/>
      <c r="XCO57" s="5"/>
      <c r="XCP57" s="5"/>
      <c r="XCQ57" s="5"/>
      <c r="XCR57" s="5"/>
      <c r="XCS57" s="5"/>
      <c r="XCT57" s="5"/>
      <c r="XCU57" s="5"/>
      <c r="XCV57" s="5"/>
      <c r="XCW57" s="5"/>
      <c r="XCX57" s="5"/>
      <c r="XCY57" s="5"/>
      <c r="XCZ57" s="5"/>
      <c r="XDA57" s="5"/>
      <c r="XDB57" s="5"/>
      <c r="XDC57" s="5"/>
      <c r="XDD57" s="5"/>
      <c r="XDE57" s="5"/>
      <c r="XDF57" s="5"/>
      <c r="XDG57" s="5"/>
      <c r="XDH57" s="5"/>
      <c r="XDI57" s="5"/>
      <c r="XDJ57" s="5"/>
      <c r="XDK57" s="5"/>
      <c r="XDL57" s="5"/>
      <c r="XDM57" s="5"/>
      <c r="XDN57" s="5"/>
      <c r="XDO57" s="5"/>
      <c r="XDP57" s="5"/>
      <c r="XDQ57" s="5"/>
      <c r="XDR57" s="5"/>
      <c r="XDS57" s="5"/>
      <c r="XDT57" s="5"/>
      <c r="XDU57" s="5"/>
      <c r="XDV57" s="5"/>
      <c r="XDW57" s="5"/>
      <c r="XDX57" s="5"/>
      <c r="XDY57" s="5"/>
      <c r="XDZ57" s="5"/>
      <c r="XEA57" s="5"/>
      <c r="XEB57" s="5"/>
      <c r="XEC57" s="5"/>
      <c r="XED57" s="5"/>
      <c r="XEE57" s="5"/>
      <c r="XEF57" s="5"/>
      <c r="XEG57" s="5"/>
      <c r="XEH57" s="5"/>
      <c r="XEI57" s="5"/>
      <c r="XEJ57" s="5"/>
      <c r="XEK57" s="5"/>
      <c r="XEL57" s="5"/>
      <c r="XEM57" s="5"/>
      <c r="XEN57" s="5"/>
      <c r="XEO57" s="5"/>
      <c r="XEP57" s="5"/>
      <c r="XEQ57" s="5"/>
      <c r="XER57" s="5"/>
      <c r="XES57" s="5"/>
      <c r="XET57" s="5"/>
    </row>
    <row r="58" s="1" customFormat="1" ht="16.5" spans="1:6 16246:16374">
      <c r="A58" s="8">
        <v>56</v>
      </c>
      <c r="B58" s="9" t="s">
        <v>62</v>
      </c>
      <c r="C58" s="8">
        <v>4</v>
      </c>
      <c r="D58" s="8">
        <v>2</v>
      </c>
      <c r="E58" s="8">
        <v>16.5</v>
      </c>
      <c r="F58" s="8">
        <v>33</v>
      </c>
      <c r="WZV58"/>
      <c r="WZW58"/>
      <c r="WZX58"/>
      <c r="WZY58"/>
      <c r="WZZ58"/>
      <c r="XAA58"/>
      <c r="XAB58"/>
      <c r="XAC58"/>
      <c r="XAD58"/>
      <c r="XAE58"/>
      <c r="XAF58"/>
      <c r="XAG58"/>
      <c r="XAH58"/>
      <c r="XAI58"/>
      <c r="XAJ58"/>
      <c r="XAK58"/>
      <c r="XAL58"/>
      <c r="XAM58"/>
      <c r="XAN58"/>
      <c r="XAO58"/>
      <c r="XAP58"/>
      <c r="XAQ58"/>
      <c r="XAR58"/>
      <c r="XAS58"/>
      <c r="XAT58"/>
      <c r="XAU58"/>
      <c r="XAV58"/>
      <c r="XAW58"/>
      <c r="XAX58"/>
      <c r="XAY58"/>
      <c r="XAZ58"/>
      <c r="XBA58"/>
      <c r="XBB58"/>
      <c r="XBC58"/>
      <c r="XBD58"/>
      <c r="XBE58"/>
      <c r="XBF58"/>
      <c r="XBG58"/>
      <c r="XBH58"/>
      <c r="XBI58" s="5"/>
      <c r="XBJ58" s="5"/>
      <c r="XBK58" s="5"/>
      <c r="XBL58" s="5"/>
      <c r="XBM58" s="5"/>
      <c r="XBN58" s="5"/>
      <c r="XBO58" s="5"/>
      <c r="XBP58" s="5"/>
      <c r="XBQ58" s="5"/>
      <c r="XBR58" s="5"/>
      <c r="XBS58" s="5"/>
      <c r="XBT58" s="5"/>
      <c r="XBU58" s="5"/>
      <c r="XBV58" s="5"/>
      <c r="XBW58" s="5"/>
      <c r="XBX58" s="5"/>
      <c r="XBY58" s="5"/>
      <c r="XBZ58" s="5"/>
      <c r="XCA58" s="5"/>
      <c r="XCB58" s="5"/>
      <c r="XCC58" s="5"/>
      <c r="XCD58" s="5"/>
      <c r="XCE58" s="5"/>
      <c r="XCF58" s="5"/>
      <c r="XCG58" s="5"/>
      <c r="XCH58" s="5"/>
      <c r="XCI58" s="5"/>
      <c r="XCJ58" s="5"/>
      <c r="XCK58" s="5"/>
      <c r="XCL58" s="5"/>
      <c r="XCM58" s="5"/>
      <c r="XCN58" s="5"/>
      <c r="XCO58" s="5"/>
      <c r="XCP58" s="5"/>
      <c r="XCQ58" s="5"/>
      <c r="XCR58" s="5"/>
      <c r="XCS58" s="5"/>
      <c r="XCT58" s="5"/>
      <c r="XCU58" s="5"/>
      <c r="XCV58" s="5"/>
      <c r="XCW58" s="5"/>
      <c r="XCX58" s="5"/>
      <c r="XCY58" s="5"/>
      <c r="XCZ58" s="5"/>
      <c r="XDA58" s="5"/>
      <c r="XDB58" s="5"/>
      <c r="XDC58" s="5"/>
      <c r="XDD58" s="5"/>
      <c r="XDE58" s="5"/>
      <c r="XDF58" s="5"/>
      <c r="XDG58" s="5"/>
      <c r="XDH58" s="5"/>
      <c r="XDI58" s="5"/>
      <c r="XDJ58" s="5"/>
      <c r="XDK58" s="5"/>
      <c r="XDL58" s="5"/>
      <c r="XDM58" s="5"/>
      <c r="XDN58" s="5"/>
      <c r="XDO58" s="5"/>
      <c r="XDP58" s="5"/>
      <c r="XDQ58" s="5"/>
      <c r="XDR58" s="5"/>
      <c r="XDS58" s="5"/>
      <c r="XDT58" s="5"/>
      <c r="XDU58" s="5"/>
      <c r="XDV58" s="5"/>
      <c r="XDW58" s="5"/>
      <c r="XDX58" s="5"/>
      <c r="XDY58" s="5"/>
      <c r="XDZ58" s="5"/>
      <c r="XEA58" s="5"/>
      <c r="XEB58" s="5"/>
      <c r="XEC58" s="5"/>
      <c r="XED58" s="5"/>
      <c r="XEE58" s="5"/>
      <c r="XEF58" s="5"/>
      <c r="XEG58" s="5"/>
      <c r="XEH58" s="5"/>
      <c r="XEI58" s="5"/>
      <c r="XEJ58" s="5"/>
      <c r="XEK58" s="5"/>
      <c r="XEL58" s="5"/>
      <c r="XEM58" s="5"/>
      <c r="XEN58" s="5"/>
      <c r="XEO58" s="5"/>
      <c r="XEP58" s="5"/>
      <c r="XEQ58" s="5"/>
      <c r="XER58" s="5"/>
      <c r="XES58" s="5"/>
      <c r="XET58" s="5"/>
    </row>
    <row r="59" s="1" customFormat="1" ht="16.5" spans="1:6 16246:16374">
      <c r="A59" s="8">
        <v>57</v>
      </c>
      <c r="B59" s="9" t="s">
        <v>63</v>
      </c>
      <c r="C59" s="8">
        <v>72</v>
      </c>
      <c r="D59" s="8">
        <v>8</v>
      </c>
      <c r="E59" s="8">
        <v>49.5</v>
      </c>
      <c r="F59" s="8">
        <v>396</v>
      </c>
      <c r="WZV59"/>
      <c r="WZW59"/>
      <c r="WZX59"/>
      <c r="WZY59"/>
      <c r="WZZ59"/>
      <c r="XAA59"/>
      <c r="XAB59"/>
      <c r="XAC59"/>
      <c r="XAD59"/>
      <c r="XAE59"/>
      <c r="XAF59"/>
      <c r="XAG59"/>
      <c r="XAH59"/>
      <c r="XAI59"/>
      <c r="XAJ59"/>
      <c r="XAK59"/>
      <c r="XAL59"/>
      <c r="XAM59"/>
      <c r="XAN59"/>
      <c r="XAO59"/>
      <c r="XAP59"/>
      <c r="XAQ59"/>
      <c r="XAR59"/>
      <c r="XAS59"/>
      <c r="XAT59"/>
      <c r="XAU59"/>
      <c r="XAV59"/>
      <c r="XAW59"/>
      <c r="XAX59"/>
      <c r="XAY59"/>
      <c r="XAZ59"/>
      <c r="XBA59"/>
      <c r="XBB59"/>
      <c r="XBC59"/>
      <c r="XBD59"/>
      <c r="XBE59"/>
      <c r="XBF59"/>
      <c r="XBG59"/>
      <c r="XBH59"/>
      <c r="XBI59" s="5"/>
      <c r="XBJ59" s="5"/>
      <c r="XBK59" s="5"/>
      <c r="XBL59" s="5"/>
      <c r="XBM59" s="5"/>
      <c r="XBN59" s="5"/>
      <c r="XBO59" s="5"/>
      <c r="XBP59" s="5"/>
      <c r="XBQ59" s="5"/>
      <c r="XBR59" s="5"/>
      <c r="XBS59" s="5"/>
      <c r="XBT59" s="5"/>
      <c r="XBU59" s="5"/>
      <c r="XBV59" s="5"/>
      <c r="XBW59" s="5"/>
      <c r="XBX59" s="5"/>
      <c r="XBY59" s="5"/>
      <c r="XBZ59" s="5"/>
      <c r="XCA59" s="5"/>
      <c r="XCB59" s="5"/>
      <c r="XCC59" s="5"/>
      <c r="XCD59" s="5"/>
      <c r="XCE59" s="5"/>
      <c r="XCF59" s="5"/>
      <c r="XCG59" s="5"/>
      <c r="XCH59" s="5"/>
      <c r="XCI59" s="5"/>
      <c r="XCJ59" s="5"/>
      <c r="XCK59" s="5"/>
      <c r="XCL59" s="5"/>
      <c r="XCM59" s="5"/>
      <c r="XCN59" s="5"/>
      <c r="XCO59" s="5"/>
      <c r="XCP59" s="5"/>
      <c r="XCQ59" s="5"/>
      <c r="XCR59" s="5"/>
      <c r="XCS59" s="5"/>
      <c r="XCT59" s="5"/>
      <c r="XCU59" s="5"/>
      <c r="XCV59" s="5"/>
      <c r="XCW59" s="5"/>
      <c r="XCX59" s="5"/>
      <c r="XCY59" s="5"/>
      <c r="XCZ59" s="5"/>
      <c r="XDA59" s="5"/>
      <c r="XDB59" s="5"/>
      <c r="XDC59" s="5"/>
      <c r="XDD59" s="5"/>
      <c r="XDE59" s="5"/>
      <c r="XDF59" s="5"/>
      <c r="XDG59" s="5"/>
      <c r="XDH59" s="5"/>
      <c r="XDI59" s="5"/>
      <c r="XDJ59" s="5"/>
      <c r="XDK59" s="5"/>
      <c r="XDL59" s="5"/>
      <c r="XDM59" s="5"/>
      <c r="XDN59" s="5"/>
      <c r="XDO59" s="5"/>
      <c r="XDP59" s="5"/>
      <c r="XDQ59" s="5"/>
      <c r="XDR59" s="5"/>
      <c r="XDS59" s="5"/>
      <c r="XDT59" s="5"/>
      <c r="XDU59" s="5"/>
      <c r="XDV59" s="5"/>
      <c r="XDW59" s="5"/>
      <c r="XDX59" s="5"/>
      <c r="XDY59" s="5"/>
      <c r="XDZ59" s="5"/>
      <c r="XEA59" s="5"/>
      <c r="XEB59" s="5"/>
      <c r="XEC59" s="5"/>
      <c r="XED59" s="5"/>
      <c r="XEE59" s="5"/>
      <c r="XEF59" s="5"/>
      <c r="XEG59" s="5"/>
      <c r="XEH59" s="5"/>
      <c r="XEI59" s="5"/>
      <c r="XEJ59" s="5"/>
      <c r="XEK59" s="5"/>
      <c r="XEL59" s="5"/>
      <c r="XEM59" s="5"/>
      <c r="XEN59" s="5"/>
      <c r="XEO59" s="5"/>
      <c r="XEP59" s="5"/>
      <c r="XEQ59" s="5"/>
      <c r="XER59" s="5"/>
      <c r="XES59" s="5"/>
      <c r="XET59" s="5"/>
    </row>
    <row r="60" s="1" customFormat="1" ht="16.5" spans="1:6 16246:16374">
      <c r="A60" s="8">
        <v>58</v>
      </c>
      <c r="B60" s="9" t="s">
        <v>64</v>
      </c>
      <c r="C60" s="8">
        <v>16</v>
      </c>
      <c r="D60" s="8">
        <v>2</v>
      </c>
      <c r="E60" s="8">
        <v>44</v>
      </c>
      <c r="F60" s="8">
        <v>88</v>
      </c>
      <c r="WZV60"/>
      <c r="WZW60"/>
      <c r="WZX60"/>
      <c r="WZY60"/>
      <c r="WZZ60"/>
      <c r="XAA60"/>
      <c r="XAB60"/>
      <c r="XAC60"/>
      <c r="XAD60"/>
      <c r="XAE60"/>
      <c r="XAF60"/>
      <c r="XAG60"/>
      <c r="XAH60"/>
      <c r="XAI60"/>
      <c r="XAJ60"/>
      <c r="XAK60"/>
      <c r="XAL60"/>
      <c r="XAM60"/>
      <c r="XAN60"/>
      <c r="XAO60"/>
      <c r="XAP60"/>
      <c r="XAQ60"/>
      <c r="XAR60"/>
      <c r="XAS60"/>
      <c r="XAT60"/>
      <c r="XAU60"/>
      <c r="XAV60"/>
      <c r="XAW60"/>
      <c r="XAX60"/>
      <c r="XAY60"/>
      <c r="XAZ60"/>
      <c r="XBA60"/>
      <c r="XBB60"/>
      <c r="XBC60"/>
      <c r="XBD60"/>
      <c r="XBE60"/>
      <c r="XBF60"/>
      <c r="XBG60"/>
      <c r="XBH60"/>
      <c r="XBI60" s="5"/>
      <c r="XBJ60" s="5"/>
      <c r="XBK60" s="5"/>
      <c r="XBL60" s="5"/>
      <c r="XBM60" s="5"/>
      <c r="XBN60" s="5"/>
      <c r="XBO60" s="5"/>
      <c r="XBP60" s="5"/>
      <c r="XBQ60" s="5"/>
      <c r="XBR60" s="5"/>
      <c r="XBS60" s="5"/>
      <c r="XBT60" s="5"/>
      <c r="XBU60" s="5"/>
      <c r="XBV60" s="5"/>
      <c r="XBW60" s="5"/>
      <c r="XBX60" s="5"/>
      <c r="XBY60" s="5"/>
      <c r="XBZ60" s="5"/>
      <c r="XCA60" s="5"/>
      <c r="XCB60" s="5"/>
      <c r="XCC60" s="5"/>
      <c r="XCD60" s="5"/>
      <c r="XCE60" s="5"/>
      <c r="XCF60" s="5"/>
      <c r="XCG60" s="5"/>
      <c r="XCH60" s="5"/>
      <c r="XCI60" s="5"/>
      <c r="XCJ60" s="5"/>
      <c r="XCK60" s="5"/>
      <c r="XCL60" s="5"/>
      <c r="XCM60" s="5"/>
      <c r="XCN60" s="5"/>
      <c r="XCO60" s="5"/>
      <c r="XCP60" s="5"/>
      <c r="XCQ60" s="5"/>
      <c r="XCR60" s="5"/>
      <c r="XCS60" s="5"/>
      <c r="XCT60" s="5"/>
      <c r="XCU60" s="5"/>
      <c r="XCV60" s="5"/>
      <c r="XCW60" s="5"/>
      <c r="XCX60" s="5"/>
      <c r="XCY60" s="5"/>
      <c r="XCZ60" s="5"/>
      <c r="XDA60" s="5"/>
      <c r="XDB60" s="5"/>
      <c r="XDC60" s="5"/>
      <c r="XDD60" s="5"/>
      <c r="XDE60" s="5"/>
      <c r="XDF60" s="5"/>
      <c r="XDG60" s="5"/>
      <c r="XDH60" s="5"/>
      <c r="XDI60" s="5"/>
      <c r="XDJ60" s="5"/>
      <c r="XDK60" s="5"/>
      <c r="XDL60" s="5"/>
      <c r="XDM60" s="5"/>
      <c r="XDN60" s="5"/>
      <c r="XDO60" s="5"/>
      <c r="XDP60" s="5"/>
      <c r="XDQ60" s="5"/>
      <c r="XDR60" s="5"/>
      <c r="XDS60" s="5"/>
      <c r="XDT60" s="5"/>
      <c r="XDU60" s="5"/>
      <c r="XDV60" s="5"/>
      <c r="XDW60" s="5"/>
      <c r="XDX60" s="5"/>
      <c r="XDY60" s="5"/>
      <c r="XDZ60" s="5"/>
      <c r="XEA60" s="5"/>
      <c r="XEB60" s="5"/>
      <c r="XEC60" s="5"/>
      <c r="XED60" s="5"/>
      <c r="XEE60" s="5"/>
      <c r="XEF60" s="5"/>
      <c r="XEG60" s="5"/>
      <c r="XEH60" s="5"/>
      <c r="XEI60" s="5"/>
      <c r="XEJ60" s="5"/>
      <c r="XEK60" s="5"/>
      <c r="XEL60" s="5"/>
      <c r="XEM60" s="5"/>
      <c r="XEN60" s="5"/>
      <c r="XEO60" s="5"/>
      <c r="XEP60" s="5"/>
      <c r="XEQ60" s="5"/>
      <c r="XER60" s="5"/>
      <c r="XES60" s="5"/>
      <c r="XET60" s="5"/>
    </row>
    <row r="61" s="1" customFormat="1" ht="16.5" spans="1:6 16246:16374">
      <c r="A61" s="8">
        <v>59</v>
      </c>
      <c r="B61" s="9" t="s">
        <v>65</v>
      </c>
      <c r="C61" s="8">
        <v>198</v>
      </c>
      <c r="D61" s="8">
        <v>33</v>
      </c>
      <c r="E61" s="8">
        <v>33</v>
      </c>
      <c r="F61" s="8">
        <v>1089</v>
      </c>
      <c r="WZV61"/>
      <c r="WZW61"/>
      <c r="WZX61"/>
      <c r="WZY61"/>
      <c r="WZZ61"/>
      <c r="XAA61"/>
      <c r="XAB61"/>
      <c r="XAC61"/>
      <c r="XAD61"/>
      <c r="XAE61"/>
      <c r="XAF61"/>
      <c r="XAG61"/>
      <c r="XAH61"/>
      <c r="XAI61"/>
      <c r="XAJ61"/>
      <c r="XAK61"/>
      <c r="XAL61"/>
      <c r="XAM61"/>
      <c r="XAN61"/>
      <c r="XAO61"/>
      <c r="XAP61"/>
      <c r="XAQ61"/>
      <c r="XAR61"/>
      <c r="XAS61"/>
      <c r="XAT61"/>
      <c r="XAU61"/>
      <c r="XAV61"/>
      <c r="XAW61"/>
      <c r="XAX61"/>
      <c r="XAY61"/>
      <c r="XAZ61"/>
      <c r="XBA61"/>
      <c r="XBB61"/>
      <c r="XBC61"/>
      <c r="XBD61"/>
      <c r="XBE61"/>
      <c r="XBF61"/>
      <c r="XBG61"/>
      <c r="XBH61"/>
      <c r="XBI61" s="5"/>
      <c r="XBJ61" s="5"/>
      <c r="XBK61" s="5"/>
      <c r="XBL61" s="5"/>
      <c r="XBM61" s="5"/>
      <c r="XBN61" s="5"/>
      <c r="XBO61" s="5"/>
      <c r="XBP61" s="5"/>
      <c r="XBQ61" s="5"/>
      <c r="XBR61" s="5"/>
      <c r="XBS61" s="5"/>
      <c r="XBT61" s="5"/>
      <c r="XBU61" s="5"/>
      <c r="XBV61" s="5"/>
      <c r="XBW61" s="5"/>
      <c r="XBX61" s="5"/>
      <c r="XBY61" s="5"/>
      <c r="XBZ61" s="5"/>
      <c r="XCA61" s="5"/>
      <c r="XCB61" s="5"/>
      <c r="XCC61" s="5"/>
      <c r="XCD61" s="5"/>
      <c r="XCE61" s="5"/>
      <c r="XCF61" s="5"/>
      <c r="XCG61" s="5"/>
      <c r="XCH61" s="5"/>
      <c r="XCI61" s="5"/>
      <c r="XCJ61" s="5"/>
      <c r="XCK61" s="5"/>
      <c r="XCL61" s="5"/>
      <c r="XCM61" s="5"/>
      <c r="XCN61" s="5"/>
      <c r="XCO61" s="5"/>
      <c r="XCP61" s="5"/>
      <c r="XCQ61" s="5"/>
      <c r="XCR61" s="5"/>
      <c r="XCS61" s="5"/>
      <c r="XCT61" s="5"/>
      <c r="XCU61" s="5"/>
      <c r="XCV61" s="5"/>
      <c r="XCW61" s="5"/>
      <c r="XCX61" s="5"/>
      <c r="XCY61" s="5"/>
      <c r="XCZ61" s="5"/>
      <c r="XDA61" s="5"/>
      <c r="XDB61" s="5"/>
      <c r="XDC61" s="5"/>
      <c r="XDD61" s="5"/>
      <c r="XDE61" s="5"/>
      <c r="XDF61" s="5"/>
      <c r="XDG61" s="5"/>
      <c r="XDH61" s="5"/>
      <c r="XDI61" s="5"/>
      <c r="XDJ61" s="5"/>
      <c r="XDK61" s="5"/>
      <c r="XDL61" s="5"/>
      <c r="XDM61" s="5"/>
      <c r="XDN61" s="5"/>
      <c r="XDO61" s="5"/>
      <c r="XDP61" s="5"/>
      <c r="XDQ61" s="5"/>
      <c r="XDR61" s="5"/>
      <c r="XDS61" s="5"/>
      <c r="XDT61" s="5"/>
      <c r="XDU61" s="5"/>
      <c r="XDV61" s="5"/>
      <c r="XDW61" s="5"/>
      <c r="XDX61" s="5"/>
      <c r="XDY61" s="5"/>
      <c r="XDZ61" s="5"/>
      <c r="XEA61" s="5"/>
      <c r="XEB61" s="5"/>
      <c r="XEC61" s="5"/>
      <c r="XED61" s="5"/>
      <c r="XEE61" s="5"/>
      <c r="XEF61" s="5"/>
      <c r="XEG61" s="5"/>
      <c r="XEH61" s="5"/>
      <c r="XEI61" s="5"/>
      <c r="XEJ61" s="5"/>
      <c r="XEK61" s="5"/>
      <c r="XEL61" s="5"/>
      <c r="XEM61" s="5"/>
      <c r="XEN61" s="5"/>
      <c r="XEO61" s="5"/>
      <c r="XEP61" s="5"/>
      <c r="XEQ61" s="5"/>
      <c r="XER61" s="5"/>
      <c r="XES61" s="5"/>
      <c r="XET61" s="5"/>
    </row>
    <row r="62" s="1" customFormat="1" ht="16.5" spans="1:6 16246:16374">
      <c r="A62" s="8">
        <v>60</v>
      </c>
      <c r="B62" s="9" t="s">
        <v>66</v>
      </c>
      <c r="C62" s="8">
        <v>6</v>
      </c>
      <c r="D62" s="8">
        <v>3</v>
      </c>
      <c r="E62" s="8">
        <v>16.5</v>
      </c>
      <c r="F62" s="8">
        <v>49.5</v>
      </c>
      <c r="WZV62"/>
      <c r="WZW62"/>
      <c r="WZX62"/>
      <c r="WZY62"/>
      <c r="WZZ62"/>
      <c r="XAA62"/>
      <c r="XAB62"/>
      <c r="XAC62"/>
      <c r="XAD62"/>
      <c r="XAE62"/>
      <c r="XAF62"/>
      <c r="XAG62"/>
      <c r="XAH62"/>
      <c r="XAI62"/>
      <c r="XAJ62"/>
      <c r="XAK62"/>
      <c r="XAL62"/>
      <c r="XAM62"/>
      <c r="XAN62"/>
      <c r="XAO62"/>
      <c r="XAP62"/>
      <c r="XAQ62"/>
      <c r="XAR62"/>
      <c r="XAS62"/>
      <c r="XAT62"/>
      <c r="XAU62"/>
      <c r="XAV62"/>
      <c r="XAW62"/>
      <c r="XAX62"/>
      <c r="XAY62"/>
      <c r="XAZ62"/>
      <c r="XBA62"/>
      <c r="XBB62"/>
      <c r="XBC62"/>
      <c r="XBD62"/>
      <c r="XBE62"/>
      <c r="XBF62"/>
      <c r="XBG62"/>
      <c r="XBH62"/>
      <c r="XBI62" s="5"/>
      <c r="XBJ62" s="5"/>
      <c r="XBK62" s="5"/>
      <c r="XBL62" s="5"/>
      <c r="XBM62" s="5"/>
      <c r="XBN62" s="5"/>
      <c r="XBO62" s="5"/>
      <c r="XBP62" s="5"/>
      <c r="XBQ62" s="5"/>
      <c r="XBR62" s="5"/>
      <c r="XBS62" s="5"/>
      <c r="XBT62" s="5"/>
      <c r="XBU62" s="5"/>
      <c r="XBV62" s="5"/>
      <c r="XBW62" s="5"/>
      <c r="XBX62" s="5"/>
      <c r="XBY62" s="5"/>
      <c r="XBZ62" s="5"/>
      <c r="XCA62" s="5"/>
      <c r="XCB62" s="5"/>
      <c r="XCC62" s="5"/>
      <c r="XCD62" s="5"/>
      <c r="XCE62" s="5"/>
      <c r="XCF62" s="5"/>
      <c r="XCG62" s="5"/>
      <c r="XCH62" s="5"/>
      <c r="XCI62" s="5"/>
      <c r="XCJ62" s="5"/>
      <c r="XCK62" s="5"/>
      <c r="XCL62" s="5"/>
      <c r="XCM62" s="5"/>
      <c r="XCN62" s="5"/>
      <c r="XCO62" s="5"/>
      <c r="XCP62" s="5"/>
      <c r="XCQ62" s="5"/>
      <c r="XCR62" s="5"/>
      <c r="XCS62" s="5"/>
      <c r="XCT62" s="5"/>
      <c r="XCU62" s="5"/>
      <c r="XCV62" s="5"/>
      <c r="XCW62" s="5"/>
      <c r="XCX62" s="5"/>
      <c r="XCY62" s="5"/>
      <c r="XCZ62" s="5"/>
      <c r="XDA62" s="5"/>
      <c r="XDB62" s="5"/>
      <c r="XDC62" s="5"/>
      <c r="XDD62" s="5"/>
      <c r="XDE62" s="5"/>
      <c r="XDF62" s="5"/>
      <c r="XDG62" s="5"/>
      <c r="XDH62" s="5"/>
      <c r="XDI62" s="5"/>
      <c r="XDJ62" s="5"/>
      <c r="XDK62" s="5"/>
      <c r="XDL62" s="5"/>
      <c r="XDM62" s="5"/>
      <c r="XDN62" s="5"/>
      <c r="XDO62" s="5"/>
      <c r="XDP62" s="5"/>
      <c r="XDQ62" s="5"/>
      <c r="XDR62" s="5"/>
      <c r="XDS62" s="5"/>
      <c r="XDT62" s="5"/>
      <c r="XDU62" s="5"/>
      <c r="XDV62" s="5"/>
      <c r="XDW62" s="5"/>
      <c r="XDX62" s="5"/>
      <c r="XDY62" s="5"/>
      <c r="XDZ62" s="5"/>
      <c r="XEA62" s="5"/>
      <c r="XEB62" s="5"/>
      <c r="XEC62" s="5"/>
      <c r="XED62" s="5"/>
      <c r="XEE62" s="5"/>
      <c r="XEF62" s="5"/>
      <c r="XEG62" s="5"/>
      <c r="XEH62" s="5"/>
      <c r="XEI62" s="5"/>
      <c r="XEJ62" s="5"/>
      <c r="XEK62" s="5"/>
      <c r="XEL62" s="5"/>
      <c r="XEM62" s="5"/>
      <c r="XEN62" s="5"/>
      <c r="XEO62" s="5"/>
      <c r="XEP62" s="5"/>
      <c r="XEQ62" s="5"/>
      <c r="XER62" s="5"/>
      <c r="XES62" s="5"/>
      <c r="XET62" s="5"/>
    </row>
    <row r="63" s="1" customFormat="1" ht="16.5" spans="1:6 16246:16374">
      <c r="A63" s="8">
        <v>61</v>
      </c>
      <c r="B63" s="9" t="s">
        <v>67</v>
      </c>
      <c r="C63" s="8">
        <v>100</v>
      </c>
      <c r="D63" s="8">
        <v>50</v>
      </c>
      <c r="E63" s="8">
        <v>16.5</v>
      </c>
      <c r="F63" s="8">
        <v>825</v>
      </c>
      <c r="WZV63"/>
      <c r="WZW63"/>
      <c r="WZX63"/>
      <c r="WZY63"/>
      <c r="WZZ63"/>
      <c r="XAA63"/>
      <c r="XAB63"/>
      <c r="XAC63"/>
      <c r="XAD63"/>
      <c r="XAE63"/>
      <c r="XAF63"/>
      <c r="XAG63"/>
      <c r="XAH63"/>
      <c r="XAI63"/>
      <c r="XAJ63"/>
      <c r="XAK63"/>
      <c r="XAL63"/>
      <c r="XAM63"/>
      <c r="XAN63"/>
      <c r="XAO63"/>
      <c r="XAP63"/>
      <c r="XAQ63"/>
      <c r="XAR63"/>
      <c r="XAS63"/>
      <c r="XAT63"/>
      <c r="XAU63"/>
      <c r="XAV63"/>
      <c r="XAW63"/>
      <c r="XAX63"/>
      <c r="XAY63"/>
      <c r="XAZ63"/>
      <c r="XBA63"/>
      <c r="XBB63"/>
      <c r="XBC63"/>
      <c r="XBD63"/>
      <c r="XBE63"/>
      <c r="XBF63"/>
      <c r="XBG63"/>
      <c r="XBH63"/>
      <c r="XBI63" s="5"/>
      <c r="XBJ63" s="5"/>
      <c r="XBK63" s="5"/>
      <c r="XBL63" s="5"/>
      <c r="XBM63" s="5"/>
      <c r="XBN63" s="5"/>
      <c r="XBO63" s="5"/>
      <c r="XBP63" s="5"/>
      <c r="XBQ63" s="5"/>
      <c r="XBR63" s="5"/>
      <c r="XBS63" s="5"/>
      <c r="XBT63" s="5"/>
      <c r="XBU63" s="5"/>
      <c r="XBV63" s="5"/>
      <c r="XBW63" s="5"/>
      <c r="XBX63" s="5"/>
      <c r="XBY63" s="5"/>
      <c r="XBZ63" s="5"/>
      <c r="XCA63" s="5"/>
      <c r="XCB63" s="5"/>
      <c r="XCC63" s="5"/>
      <c r="XCD63" s="5"/>
      <c r="XCE63" s="5"/>
      <c r="XCF63" s="5"/>
      <c r="XCG63" s="5"/>
      <c r="XCH63" s="5"/>
      <c r="XCI63" s="5"/>
      <c r="XCJ63" s="5"/>
      <c r="XCK63" s="5"/>
      <c r="XCL63" s="5"/>
      <c r="XCM63" s="5"/>
      <c r="XCN63" s="5"/>
      <c r="XCO63" s="5"/>
      <c r="XCP63" s="5"/>
      <c r="XCQ63" s="5"/>
      <c r="XCR63" s="5"/>
      <c r="XCS63" s="5"/>
      <c r="XCT63" s="5"/>
      <c r="XCU63" s="5"/>
      <c r="XCV63" s="5"/>
      <c r="XCW63" s="5"/>
      <c r="XCX63" s="5"/>
      <c r="XCY63" s="5"/>
      <c r="XCZ63" s="5"/>
      <c r="XDA63" s="5"/>
      <c r="XDB63" s="5"/>
      <c r="XDC63" s="5"/>
      <c r="XDD63" s="5"/>
      <c r="XDE63" s="5"/>
      <c r="XDF63" s="5"/>
      <c r="XDG63" s="5"/>
      <c r="XDH63" s="5"/>
      <c r="XDI63" s="5"/>
      <c r="XDJ63" s="5"/>
      <c r="XDK63" s="5"/>
      <c r="XDL63" s="5"/>
      <c r="XDM63" s="5"/>
      <c r="XDN63" s="5"/>
      <c r="XDO63" s="5"/>
      <c r="XDP63" s="5"/>
      <c r="XDQ63" s="5"/>
      <c r="XDR63" s="5"/>
      <c r="XDS63" s="5"/>
      <c r="XDT63" s="5"/>
      <c r="XDU63" s="5"/>
      <c r="XDV63" s="5"/>
      <c r="XDW63" s="5"/>
      <c r="XDX63" s="5"/>
      <c r="XDY63" s="5"/>
      <c r="XDZ63" s="5"/>
      <c r="XEA63" s="5"/>
      <c r="XEB63" s="5"/>
      <c r="XEC63" s="5"/>
      <c r="XED63" s="5"/>
      <c r="XEE63" s="5"/>
      <c r="XEF63" s="5"/>
      <c r="XEG63" s="5"/>
      <c r="XEH63" s="5"/>
      <c r="XEI63" s="5"/>
      <c r="XEJ63" s="5"/>
      <c r="XEK63" s="5"/>
      <c r="XEL63" s="5"/>
      <c r="XEM63" s="5"/>
      <c r="XEN63" s="5"/>
      <c r="XEO63" s="5"/>
      <c r="XEP63" s="5"/>
      <c r="XEQ63" s="5"/>
      <c r="XER63" s="5"/>
      <c r="XES63" s="5"/>
      <c r="XET63" s="5"/>
    </row>
    <row r="64" ht="16.5" spans="1:6 16246:16374">
      <c r="A64" s="8">
        <v>62</v>
      </c>
      <c r="B64" s="9" t="s">
        <v>68</v>
      </c>
      <c r="C64" s="8">
        <v>1</v>
      </c>
      <c r="D64" s="8">
        <v>1</v>
      </c>
      <c r="E64" s="8">
        <v>16.5</v>
      </c>
      <c r="F64" s="8">
        <v>16.5</v>
      </c>
    </row>
    <row r="65" ht="16.5" spans="1:6">
      <c r="A65" s="8">
        <v>63</v>
      </c>
      <c r="B65" s="9" t="s">
        <v>69</v>
      </c>
      <c r="C65" s="8">
        <v>57</v>
      </c>
      <c r="D65" s="8">
        <v>57</v>
      </c>
      <c r="E65" s="8">
        <v>16.5</v>
      </c>
      <c r="F65" s="8">
        <v>940.5</v>
      </c>
    </row>
    <row r="66" ht="16.5" spans="1:6">
      <c r="A66" s="8">
        <v>64</v>
      </c>
      <c r="B66" s="9" t="s">
        <v>70</v>
      </c>
      <c r="C66" s="8">
        <v>13</v>
      </c>
      <c r="D66" s="8">
        <v>13</v>
      </c>
      <c r="E66" s="8">
        <v>8</v>
      </c>
      <c r="F66" s="8">
        <v>104</v>
      </c>
    </row>
    <row r="67" ht="16.5" spans="1:6">
      <c r="A67" s="8">
        <v>65</v>
      </c>
      <c r="B67" s="9" t="s">
        <v>71</v>
      </c>
      <c r="C67" s="8">
        <v>18</v>
      </c>
      <c r="D67" s="8">
        <v>9</v>
      </c>
      <c r="E67" s="8">
        <v>16.5</v>
      </c>
      <c r="F67" s="8">
        <v>148.5</v>
      </c>
    </row>
    <row r="68" ht="16.5" spans="1:6">
      <c r="A68" s="8">
        <v>66</v>
      </c>
      <c r="B68" s="9" t="s">
        <v>72</v>
      </c>
      <c r="C68" s="8">
        <v>6</v>
      </c>
      <c r="D68" s="8">
        <v>2</v>
      </c>
      <c r="E68" s="8">
        <v>16.5</v>
      </c>
      <c r="F68" s="8">
        <v>33</v>
      </c>
    </row>
    <row r="69" ht="16.5" spans="1:6">
      <c r="A69" s="8">
        <v>67</v>
      </c>
      <c r="B69" s="9" t="s">
        <v>73</v>
      </c>
      <c r="C69" s="8">
        <v>2</v>
      </c>
      <c r="D69" s="8">
        <v>2</v>
      </c>
      <c r="E69" s="8">
        <v>8</v>
      </c>
      <c r="F69" s="8">
        <v>16</v>
      </c>
    </row>
    <row r="70" ht="16.5" spans="1:6">
      <c r="A70" s="8">
        <v>68</v>
      </c>
      <c r="B70" s="9" t="s">
        <v>74</v>
      </c>
      <c r="C70" s="8">
        <v>6</v>
      </c>
      <c r="D70" s="8">
        <v>1</v>
      </c>
      <c r="E70" s="8">
        <v>33</v>
      </c>
      <c r="F70" s="8">
        <v>33</v>
      </c>
    </row>
    <row r="71" ht="16.5" spans="1:6">
      <c r="A71" s="8">
        <v>69</v>
      </c>
      <c r="B71" s="9" t="s">
        <v>75</v>
      </c>
      <c r="C71" s="8">
        <v>24</v>
      </c>
      <c r="D71" s="8">
        <v>2</v>
      </c>
      <c r="E71" s="8">
        <v>66</v>
      </c>
      <c r="F71" s="8">
        <v>132</v>
      </c>
    </row>
    <row r="72" ht="16.5" spans="1:6">
      <c r="A72" s="8">
        <v>70</v>
      </c>
      <c r="B72" s="9" t="s">
        <v>76</v>
      </c>
      <c r="C72" s="8">
        <v>15</v>
      </c>
      <c r="D72" s="8">
        <v>1</v>
      </c>
      <c r="E72" s="8">
        <v>82.5</v>
      </c>
      <c r="F72" s="8">
        <v>82.5</v>
      </c>
    </row>
    <row r="73" ht="16.5" spans="1:6">
      <c r="A73" s="8">
        <v>71</v>
      </c>
      <c r="B73" s="9" t="s">
        <v>77</v>
      </c>
      <c r="C73" s="8">
        <v>65</v>
      </c>
      <c r="D73" s="8">
        <v>5</v>
      </c>
      <c r="E73" s="8">
        <v>71.5</v>
      </c>
      <c r="F73" s="8">
        <v>357.5</v>
      </c>
    </row>
    <row r="74" ht="16.5" spans="1:6">
      <c r="A74" s="8">
        <v>72</v>
      </c>
      <c r="B74" s="9" t="s">
        <v>78</v>
      </c>
      <c r="C74" s="8">
        <v>1</v>
      </c>
      <c r="D74" s="8">
        <v>1</v>
      </c>
      <c r="E74" s="8">
        <v>35</v>
      </c>
      <c r="F74" s="8">
        <v>35</v>
      </c>
    </row>
    <row r="75" ht="16.5" spans="1:6">
      <c r="A75" s="8">
        <v>73</v>
      </c>
      <c r="B75" s="9" t="s">
        <v>79</v>
      </c>
      <c r="C75" s="8">
        <v>3</v>
      </c>
      <c r="D75" s="8">
        <v>1</v>
      </c>
      <c r="E75" s="8">
        <v>16.5</v>
      </c>
      <c r="F75" s="8">
        <v>16.5</v>
      </c>
    </row>
    <row r="76" ht="16.5" spans="1:6">
      <c r="A76" s="8">
        <v>74</v>
      </c>
      <c r="B76" s="9" t="s">
        <v>80</v>
      </c>
      <c r="C76" s="8">
        <v>1</v>
      </c>
      <c r="D76" s="8">
        <v>1</v>
      </c>
      <c r="E76" s="8">
        <v>22</v>
      </c>
      <c r="F76" s="8">
        <v>22</v>
      </c>
    </row>
    <row r="77" ht="16.5" spans="1:6">
      <c r="A77" s="8">
        <v>75</v>
      </c>
      <c r="B77" s="9" t="s">
        <v>81</v>
      </c>
      <c r="C77" s="8">
        <v>59</v>
      </c>
      <c r="D77" s="8">
        <v>59</v>
      </c>
      <c r="E77" s="8">
        <v>16.5</v>
      </c>
      <c r="F77" s="8">
        <v>973.5</v>
      </c>
    </row>
    <row r="78" ht="16.5" spans="1:6">
      <c r="A78" s="8">
        <v>76</v>
      </c>
      <c r="B78" s="9" t="s">
        <v>82</v>
      </c>
      <c r="C78" s="8">
        <v>9</v>
      </c>
      <c r="D78" s="8">
        <v>3</v>
      </c>
      <c r="E78" s="8">
        <v>16.5</v>
      </c>
      <c r="F78" s="8">
        <v>49.5</v>
      </c>
    </row>
    <row r="79" ht="16.5" spans="1:6">
      <c r="A79" s="8">
        <v>77</v>
      </c>
      <c r="B79" s="9" t="s">
        <v>83</v>
      </c>
      <c r="C79" s="8">
        <v>104</v>
      </c>
      <c r="D79" s="8">
        <v>2</v>
      </c>
      <c r="E79" s="8">
        <v>286</v>
      </c>
      <c r="F79" s="8">
        <v>572</v>
      </c>
    </row>
    <row r="80" ht="16.5" spans="1:6">
      <c r="A80" s="8">
        <v>78</v>
      </c>
      <c r="B80" s="9" t="s">
        <v>84</v>
      </c>
      <c r="C80" s="8">
        <v>2</v>
      </c>
      <c r="D80" s="8">
        <v>1</v>
      </c>
      <c r="E80" s="8">
        <v>16.5</v>
      </c>
      <c r="F80" s="8">
        <v>16.5</v>
      </c>
    </row>
    <row r="81" ht="16.5" spans="1:6">
      <c r="A81" s="8">
        <v>79</v>
      </c>
      <c r="B81" s="9" t="s">
        <v>85</v>
      </c>
      <c r="C81" s="8">
        <v>4</v>
      </c>
      <c r="D81" s="8">
        <v>1</v>
      </c>
      <c r="E81" s="8">
        <v>88</v>
      </c>
      <c r="F81" s="8">
        <v>88</v>
      </c>
    </row>
    <row r="82" ht="16.5" spans="1:6">
      <c r="A82" s="8">
        <v>80</v>
      </c>
      <c r="B82" s="9" t="s">
        <v>86</v>
      </c>
      <c r="C82" s="8">
        <v>336</v>
      </c>
      <c r="D82" s="8">
        <v>12</v>
      </c>
      <c r="E82" s="8">
        <v>154</v>
      </c>
      <c r="F82" s="8">
        <v>1848</v>
      </c>
    </row>
    <row r="83" ht="16.5" spans="1:6">
      <c r="A83" s="8">
        <v>81</v>
      </c>
      <c r="B83" s="9" t="s">
        <v>87</v>
      </c>
      <c r="C83" s="8">
        <v>38</v>
      </c>
      <c r="D83" s="8">
        <v>2</v>
      </c>
      <c r="E83" s="8">
        <v>104.5</v>
      </c>
      <c r="F83" s="8">
        <v>209</v>
      </c>
    </row>
    <row r="84" ht="16.5" spans="1:6">
      <c r="A84" s="8">
        <v>82</v>
      </c>
      <c r="B84" s="9" t="s">
        <v>88</v>
      </c>
      <c r="C84" s="8">
        <v>39</v>
      </c>
      <c r="D84" s="8">
        <v>13</v>
      </c>
      <c r="E84" s="8">
        <v>16.5</v>
      </c>
      <c r="F84" s="8">
        <v>214.5</v>
      </c>
    </row>
    <row r="85" ht="16.5" spans="1:6">
      <c r="A85" s="8">
        <v>83</v>
      </c>
      <c r="B85" s="9" t="s">
        <v>89</v>
      </c>
      <c r="C85" s="8">
        <v>1</v>
      </c>
      <c r="D85" s="8">
        <v>1</v>
      </c>
      <c r="E85" s="8">
        <v>8</v>
      </c>
      <c r="F85" s="8">
        <v>8</v>
      </c>
    </row>
    <row r="86" ht="16.5" spans="1:6">
      <c r="A86" s="8">
        <v>84</v>
      </c>
      <c r="B86" s="9" t="s">
        <v>90</v>
      </c>
      <c r="C86" s="8">
        <v>0</v>
      </c>
      <c r="D86" s="8">
        <v>355</v>
      </c>
      <c r="E86" s="8">
        <v>2.5</v>
      </c>
      <c r="F86" s="8">
        <v>887.5</v>
      </c>
    </row>
    <row r="87" ht="16.5" spans="1:6">
      <c r="A87" s="8">
        <v>85</v>
      </c>
      <c r="B87" s="9" t="s">
        <v>91</v>
      </c>
      <c r="C87" s="8">
        <v>2</v>
      </c>
      <c r="D87" s="8">
        <v>2</v>
      </c>
      <c r="E87" s="8">
        <v>16.5</v>
      </c>
      <c r="F87" s="8">
        <v>33</v>
      </c>
    </row>
    <row r="88" ht="16.5" spans="1:6">
      <c r="A88" s="8">
        <v>86</v>
      </c>
      <c r="B88" s="9" t="s">
        <v>92</v>
      </c>
      <c r="C88" s="8">
        <v>12</v>
      </c>
      <c r="D88" s="8">
        <v>12</v>
      </c>
      <c r="E88" s="8">
        <v>16.5</v>
      </c>
      <c r="F88" s="8">
        <v>198</v>
      </c>
    </row>
    <row r="89" ht="16.5" spans="1:6">
      <c r="A89" s="8">
        <v>87</v>
      </c>
      <c r="B89" s="9" t="s">
        <v>93</v>
      </c>
      <c r="C89" s="8">
        <v>1</v>
      </c>
      <c r="D89" s="8">
        <v>1</v>
      </c>
      <c r="E89" s="8">
        <v>16.5</v>
      </c>
      <c r="F89" s="8">
        <v>16.5</v>
      </c>
    </row>
    <row r="90" ht="16.5" spans="1:6">
      <c r="A90" s="8">
        <v>88</v>
      </c>
      <c r="B90" s="9" t="s">
        <v>94</v>
      </c>
      <c r="C90" s="8">
        <v>14</v>
      </c>
      <c r="D90" s="8">
        <v>1</v>
      </c>
      <c r="E90" s="8">
        <v>77</v>
      </c>
      <c r="F90" s="8">
        <v>77</v>
      </c>
    </row>
    <row r="91" ht="16.5" spans="1:6">
      <c r="A91" s="8">
        <v>89</v>
      </c>
      <c r="B91" s="9" t="s">
        <v>95</v>
      </c>
      <c r="C91" s="8">
        <v>0</v>
      </c>
      <c r="D91" s="8">
        <v>3</v>
      </c>
      <c r="E91" s="8">
        <v>25</v>
      </c>
      <c r="F91" s="8">
        <v>75</v>
      </c>
    </row>
    <row r="92" ht="16.5" spans="1:6">
      <c r="A92" s="8">
        <v>90</v>
      </c>
      <c r="B92" s="9" t="s">
        <v>96</v>
      </c>
      <c r="C92" s="8">
        <v>11426</v>
      </c>
      <c r="D92" s="8">
        <v>394</v>
      </c>
      <c r="E92" s="8">
        <v>159.5</v>
      </c>
      <c r="F92" s="8">
        <v>62843</v>
      </c>
    </row>
    <row r="93" ht="16.5" spans="1:6">
      <c r="A93" s="8">
        <v>91</v>
      </c>
      <c r="B93" s="9" t="s">
        <v>97</v>
      </c>
      <c r="C93" s="8">
        <v>360</v>
      </c>
      <c r="D93" s="8">
        <v>120</v>
      </c>
      <c r="E93" s="8">
        <v>16.5</v>
      </c>
      <c r="F93" s="8">
        <v>1980</v>
      </c>
    </row>
    <row r="94" ht="16.5" spans="1:6">
      <c r="A94" s="8">
        <v>92</v>
      </c>
      <c r="B94" s="9" t="s">
        <v>98</v>
      </c>
      <c r="C94" s="8">
        <v>0</v>
      </c>
      <c r="D94" s="8">
        <v>8</v>
      </c>
      <c r="E94" s="8">
        <v>4</v>
      </c>
      <c r="F94" s="8">
        <v>32</v>
      </c>
    </row>
    <row r="95" ht="16.5" spans="1:6">
      <c r="A95" s="8">
        <v>93</v>
      </c>
      <c r="B95" s="9" t="s">
        <v>99</v>
      </c>
      <c r="C95" s="8">
        <v>12</v>
      </c>
      <c r="D95" s="8">
        <v>6</v>
      </c>
      <c r="E95" s="8">
        <v>16.5</v>
      </c>
      <c r="F95" s="8">
        <v>99</v>
      </c>
    </row>
    <row r="96" ht="16.5" spans="1:6">
      <c r="A96" s="8">
        <v>94</v>
      </c>
      <c r="B96" s="9" t="s">
        <v>100</v>
      </c>
      <c r="C96" s="8">
        <v>286</v>
      </c>
      <c r="D96" s="8">
        <v>13</v>
      </c>
      <c r="E96" s="8">
        <v>121</v>
      </c>
      <c r="F96" s="8">
        <v>1573</v>
      </c>
    </row>
    <row r="97" ht="16.5" spans="1:6">
      <c r="A97" s="8">
        <v>95</v>
      </c>
      <c r="B97" s="9" t="s">
        <v>101</v>
      </c>
      <c r="C97" s="8">
        <v>4</v>
      </c>
      <c r="D97" s="8">
        <v>1</v>
      </c>
      <c r="E97" s="8">
        <v>22</v>
      </c>
      <c r="F97" s="8">
        <v>22</v>
      </c>
    </row>
    <row r="98" ht="16.5" spans="1:6">
      <c r="A98" s="8">
        <v>96</v>
      </c>
      <c r="B98" s="9" t="s">
        <v>102</v>
      </c>
      <c r="C98" s="8">
        <v>35</v>
      </c>
      <c r="D98" s="8">
        <v>7</v>
      </c>
      <c r="E98" s="8">
        <v>27.5</v>
      </c>
      <c r="F98" s="8">
        <v>192.5</v>
      </c>
    </row>
    <row r="99" ht="16.5" spans="1:6">
      <c r="A99" s="8">
        <v>97</v>
      </c>
      <c r="B99" s="9" t="s">
        <v>103</v>
      </c>
      <c r="C99" s="8">
        <v>48</v>
      </c>
      <c r="D99" s="8">
        <v>6</v>
      </c>
      <c r="E99" s="8">
        <v>44</v>
      </c>
      <c r="F99" s="8">
        <v>264</v>
      </c>
    </row>
    <row r="100" ht="16.5" spans="1:6">
      <c r="A100" s="8">
        <v>98</v>
      </c>
      <c r="B100" s="9" t="s">
        <v>104</v>
      </c>
      <c r="C100" s="8">
        <v>7</v>
      </c>
      <c r="D100" s="8">
        <v>7</v>
      </c>
      <c r="E100" s="8">
        <v>8</v>
      </c>
      <c r="F100" s="8">
        <v>56</v>
      </c>
    </row>
    <row r="101" ht="16.5" spans="1:6">
      <c r="A101" s="8">
        <v>99</v>
      </c>
      <c r="B101" s="9" t="s">
        <v>105</v>
      </c>
      <c r="C101" s="8">
        <v>50</v>
      </c>
      <c r="D101" s="8">
        <v>5</v>
      </c>
      <c r="E101" s="8">
        <v>55</v>
      </c>
      <c r="F101" s="8">
        <v>275</v>
      </c>
    </row>
    <row r="102" ht="16.5" spans="1:6">
      <c r="A102" s="8">
        <v>100</v>
      </c>
      <c r="B102" s="9" t="s">
        <v>106</v>
      </c>
      <c r="C102" s="8">
        <v>8000</v>
      </c>
      <c r="D102" s="8">
        <v>320</v>
      </c>
      <c r="E102" s="8">
        <v>137.5</v>
      </c>
      <c r="F102" s="8">
        <v>44000</v>
      </c>
    </row>
    <row r="103" ht="16.5" spans="1:6">
      <c r="A103" s="8">
        <v>101</v>
      </c>
      <c r="B103" s="9" t="s">
        <v>107</v>
      </c>
      <c r="C103" s="8">
        <v>2</v>
      </c>
      <c r="D103" s="8">
        <v>2</v>
      </c>
      <c r="E103" s="8">
        <v>8</v>
      </c>
      <c r="F103" s="8">
        <v>16</v>
      </c>
    </row>
    <row r="104" ht="16.5" spans="1:6">
      <c r="A104" s="8">
        <v>102</v>
      </c>
      <c r="B104" s="9" t="s">
        <v>108</v>
      </c>
      <c r="C104" s="8">
        <v>130</v>
      </c>
      <c r="D104" s="8">
        <v>65</v>
      </c>
      <c r="E104" s="8">
        <v>16.5</v>
      </c>
      <c r="F104" s="8">
        <v>1072.5</v>
      </c>
    </row>
    <row r="105" ht="16.5" spans="1:6">
      <c r="A105" s="8">
        <v>103</v>
      </c>
      <c r="B105" s="9" t="s">
        <v>109</v>
      </c>
      <c r="C105" s="8">
        <v>160</v>
      </c>
      <c r="D105" s="8">
        <v>40</v>
      </c>
      <c r="E105" s="8">
        <v>22</v>
      </c>
      <c r="F105" s="8">
        <v>880</v>
      </c>
    </row>
    <row r="106" ht="16.5" spans="1:6">
      <c r="A106" s="8">
        <v>104</v>
      </c>
      <c r="B106" s="9" t="s">
        <v>110</v>
      </c>
      <c r="C106" s="8">
        <v>0</v>
      </c>
      <c r="D106" s="8">
        <v>62</v>
      </c>
      <c r="E106" s="8">
        <v>30</v>
      </c>
      <c r="F106" s="8">
        <v>1860</v>
      </c>
    </row>
    <row r="107" ht="16.5" spans="1:6">
      <c r="A107" s="8">
        <v>105</v>
      </c>
      <c r="B107" s="9" t="s">
        <v>111</v>
      </c>
      <c r="C107" s="8">
        <v>0</v>
      </c>
      <c r="D107" s="8">
        <v>130</v>
      </c>
      <c r="E107" s="8">
        <v>2.5</v>
      </c>
      <c r="F107" s="8">
        <v>325</v>
      </c>
    </row>
    <row r="108" ht="16.5" spans="1:6">
      <c r="A108" s="8">
        <v>106</v>
      </c>
      <c r="B108" s="9" t="s">
        <v>112</v>
      </c>
      <c r="C108" s="8">
        <v>7</v>
      </c>
      <c r="D108" s="8">
        <v>1</v>
      </c>
      <c r="E108" s="8">
        <v>38.5</v>
      </c>
      <c r="F108" s="8">
        <v>38.5</v>
      </c>
    </row>
    <row r="109" ht="16.5" spans="1:6">
      <c r="A109" s="8">
        <v>107</v>
      </c>
      <c r="B109" s="9" t="s">
        <v>113</v>
      </c>
      <c r="C109" s="8">
        <v>0</v>
      </c>
      <c r="D109" s="8">
        <v>136</v>
      </c>
      <c r="E109" s="8">
        <v>25</v>
      </c>
      <c r="F109" s="8">
        <v>3400</v>
      </c>
    </row>
    <row r="110" ht="16.5" spans="1:6">
      <c r="A110" s="8">
        <v>108</v>
      </c>
      <c r="B110" s="9" t="s">
        <v>114</v>
      </c>
      <c r="C110" s="8">
        <v>612</v>
      </c>
      <c r="D110" s="8">
        <v>18</v>
      </c>
      <c r="E110" s="8">
        <v>187</v>
      </c>
      <c r="F110" s="8">
        <v>3366</v>
      </c>
    </row>
    <row r="111" ht="16.5" spans="1:6">
      <c r="A111" s="8">
        <v>109</v>
      </c>
      <c r="B111" s="9" t="s">
        <v>115</v>
      </c>
      <c r="C111" s="8">
        <v>1</v>
      </c>
      <c r="D111" s="8">
        <v>1</v>
      </c>
      <c r="E111" s="8">
        <v>30</v>
      </c>
      <c r="F111" s="8">
        <v>30</v>
      </c>
    </row>
    <row r="112" ht="16.5" spans="1:6">
      <c r="A112" s="8">
        <v>110</v>
      </c>
      <c r="B112" s="9" t="s">
        <v>116</v>
      </c>
      <c r="C112" s="8">
        <v>27</v>
      </c>
      <c r="D112" s="8">
        <v>1</v>
      </c>
      <c r="E112" s="8">
        <v>410</v>
      </c>
      <c r="F112" s="8">
        <v>410</v>
      </c>
    </row>
    <row r="113" ht="16.5" spans="1:6">
      <c r="A113" s="8">
        <v>111</v>
      </c>
      <c r="B113" s="9" t="s">
        <v>117</v>
      </c>
      <c r="C113" s="8">
        <v>2</v>
      </c>
      <c r="D113" s="8">
        <v>1</v>
      </c>
      <c r="E113" s="8">
        <v>44</v>
      </c>
      <c r="F113" s="8">
        <v>44</v>
      </c>
    </row>
    <row r="114" ht="16.5" spans="1:6">
      <c r="A114" s="8">
        <v>112</v>
      </c>
      <c r="B114" s="9" t="s">
        <v>118</v>
      </c>
      <c r="C114" s="8">
        <v>2</v>
      </c>
      <c r="D114" s="8">
        <v>1</v>
      </c>
      <c r="E114" s="8">
        <v>35</v>
      </c>
      <c r="F114" s="8">
        <v>35</v>
      </c>
    </row>
    <row r="115" ht="16.5" spans="1:6">
      <c r="A115" s="8">
        <v>113</v>
      </c>
      <c r="B115" s="9" t="s">
        <v>119</v>
      </c>
      <c r="C115" s="8">
        <v>72</v>
      </c>
      <c r="D115" s="8">
        <v>1</v>
      </c>
      <c r="E115" s="8">
        <v>396</v>
      </c>
      <c r="F115" s="8">
        <v>396</v>
      </c>
    </row>
    <row r="116" ht="16.5" spans="1:6">
      <c r="A116" s="8">
        <v>114</v>
      </c>
      <c r="B116" s="9" t="s">
        <v>120</v>
      </c>
      <c r="C116" s="8">
        <v>16</v>
      </c>
      <c r="D116" s="8">
        <v>4</v>
      </c>
      <c r="E116" s="8">
        <v>22</v>
      </c>
      <c r="F116" s="8">
        <v>88</v>
      </c>
    </row>
    <row r="117" ht="16.5" spans="1:6">
      <c r="A117" s="8">
        <v>115</v>
      </c>
      <c r="B117" s="9" t="s">
        <v>121</v>
      </c>
      <c r="C117" s="8">
        <v>11</v>
      </c>
      <c r="D117" s="8">
        <v>11</v>
      </c>
      <c r="E117" s="8">
        <v>16.5</v>
      </c>
      <c r="F117" s="8">
        <v>181.5</v>
      </c>
    </row>
    <row r="118" ht="16.5" spans="1:6">
      <c r="A118" s="8">
        <v>116</v>
      </c>
      <c r="B118" s="9" t="s">
        <v>122</v>
      </c>
      <c r="C118" s="8">
        <v>6</v>
      </c>
      <c r="D118" s="8">
        <v>2</v>
      </c>
      <c r="E118" s="8">
        <v>16.5</v>
      </c>
      <c r="F118" s="8">
        <v>33</v>
      </c>
    </row>
    <row r="119" ht="16.5" spans="1:6">
      <c r="A119" s="8">
        <v>117</v>
      </c>
      <c r="B119" s="9" t="s">
        <v>123</v>
      </c>
      <c r="C119" s="8">
        <v>2</v>
      </c>
      <c r="D119" s="8">
        <v>2</v>
      </c>
      <c r="E119" s="8">
        <v>16</v>
      </c>
      <c r="F119" s="8">
        <v>32</v>
      </c>
    </row>
    <row r="120" ht="16.5" spans="1:6">
      <c r="A120" s="8">
        <v>118</v>
      </c>
      <c r="B120" s="9" t="s">
        <v>124</v>
      </c>
      <c r="C120" s="8">
        <v>2</v>
      </c>
      <c r="D120" s="8">
        <v>1</v>
      </c>
      <c r="E120" s="8">
        <v>13.5</v>
      </c>
      <c r="F120" s="8">
        <v>13.5</v>
      </c>
    </row>
    <row r="121" ht="16.5" spans="1:6">
      <c r="A121" s="8">
        <v>119</v>
      </c>
      <c r="B121" s="9" t="s">
        <v>125</v>
      </c>
      <c r="C121" s="8">
        <v>1</v>
      </c>
      <c r="D121" s="8">
        <v>1</v>
      </c>
      <c r="E121" s="8">
        <v>16.5</v>
      </c>
      <c r="F121" s="8">
        <v>16.5</v>
      </c>
    </row>
    <row r="122" ht="16.5" spans="1:6">
      <c r="A122" s="8">
        <v>120</v>
      </c>
      <c r="B122" s="9" t="s">
        <v>126</v>
      </c>
      <c r="C122" s="8">
        <v>0</v>
      </c>
      <c r="D122" s="8">
        <v>12</v>
      </c>
      <c r="E122" s="8">
        <v>25</v>
      </c>
      <c r="F122" s="8">
        <v>300</v>
      </c>
    </row>
    <row r="123" ht="16.5" spans="1:6">
      <c r="A123" s="8">
        <v>121</v>
      </c>
      <c r="B123" s="9" t="s">
        <v>127</v>
      </c>
      <c r="C123" s="8">
        <v>0</v>
      </c>
      <c r="D123" s="8">
        <v>238</v>
      </c>
      <c r="E123" s="8">
        <v>35</v>
      </c>
      <c r="F123" s="8">
        <v>8330</v>
      </c>
    </row>
    <row r="124" ht="16.5" spans="1:6">
      <c r="A124" s="8">
        <v>122</v>
      </c>
      <c r="B124" s="9" t="s">
        <v>128</v>
      </c>
      <c r="C124" s="8">
        <v>16128</v>
      </c>
      <c r="D124" s="8">
        <v>504</v>
      </c>
      <c r="E124" s="8">
        <v>176</v>
      </c>
      <c r="F124" s="8">
        <v>88704</v>
      </c>
    </row>
    <row r="125" ht="16.5" spans="1:6">
      <c r="A125" s="8">
        <v>123</v>
      </c>
      <c r="B125" s="9" t="s">
        <v>129</v>
      </c>
      <c r="C125" s="8">
        <v>0</v>
      </c>
      <c r="D125" s="8">
        <v>15</v>
      </c>
      <c r="E125" s="8">
        <v>4</v>
      </c>
      <c r="F125" s="8">
        <v>60</v>
      </c>
    </row>
    <row r="126" ht="16.5" spans="1:6">
      <c r="A126" s="8">
        <v>124</v>
      </c>
      <c r="B126" s="9" t="s">
        <v>130</v>
      </c>
      <c r="C126" s="8">
        <v>0</v>
      </c>
      <c r="D126" s="8">
        <v>13</v>
      </c>
      <c r="E126" s="8">
        <v>25</v>
      </c>
      <c r="F126" s="8">
        <v>325</v>
      </c>
    </row>
    <row r="127" ht="16.5" spans="1:6">
      <c r="A127" s="8">
        <v>125</v>
      </c>
      <c r="B127" s="9" t="s">
        <v>131</v>
      </c>
      <c r="C127" s="8">
        <v>99</v>
      </c>
      <c r="D127" s="8">
        <v>9</v>
      </c>
      <c r="E127" s="8">
        <v>60.5</v>
      </c>
      <c r="F127" s="8">
        <v>544.5</v>
      </c>
    </row>
    <row r="128" ht="16.5" spans="1:6">
      <c r="A128" s="8">
        <v>126</v>
      </c>
      <c r="B128" s="9" t="s">
        <v>132</v>
      </c>
      <c r="C128" s="8">
        <v>121</v>
      </c>
      <c r="D128" s="8">
        <v>11</v>
      </c>
      <c r="E128" s="8">
        <v>60.5</v>
      </c>
      <c r="F128" s="8">
        <v>665.5</v>
      </c>
    </row>
    <row r="129" ht="16.5" spans="1:6">
      <c r="A129" s="8">
        <v>127</v>
      </c>
      <c r="B129" s="9" t="s">
        <v>133</v>
      </c>
      <c r="C129" s="8">
        <v>50</v>
      </c>
      <c r="D129" s="8">
        <v>2</v>
      </c>
      <c r="E129" s="8">
        <v>137.5</v>
      </c>
      <c r="F129" s="8">
        <v>275</v>
      </c>
    </row>
    <row r="130" ht="16.5" spans="1:6">
      <c r="A130" s="8">
        <v>128</v>
      </c>
      <c r="B130" s="9" t="s">
        <v>134</v>
      </c>
      <c r="C130" s="8">
        <v>13</v>
      </c>
      <c r="D130" s="8">
        <v>1</v>
      </c>
      <c r="E130" s="8">
        <v>71.5</v>
      </c>
      <c r="F130" s="8">
        <v>71.5</v>
      </c>
    </row>
    <row r="131" ht="16.5" spans="1:6">
      <c r="A131" s="8">
        <v>129</v>
      </c>
      <c r="B131" s="9" t="s">
        <v>135</v>
      </c>
      <c r="C131" s="8">
        <v>1</v>
      </c>
      <c r="D131" s="8">
        <v>1</v>
      </c>
      <c r="E131" s="8">
        <v>8</v>
      </c>
      <c r="F131" s="8">
        <v>8</v>
      </c>
    </row>
    <row r="132" ht="16.5" spans="1:6">
      <c r="A132" s="8">
        <v>130</v>
      </c>
      <c r="B132" s="9" t="s">
        <v>136</v>
      </c>
      <c r="C132" s="8">
        <v>24</v>
      </c>
      <c r="D132" s="8">
        <v>2</v>
      </c>
      <c r="E132" s="8">
        <v>66</v>
      </c>
      <c r="F132" s="8">
        <v>132</v>
      </c>
    </row>
    <row r="133" ht="16.5" spans="1:6">
      <c r="A133" s="8">
        <v>131</v>
      </c>
      <c r="B133" s="9" t="s">
        <v>137</v>
      </c>
      <c r="C133" s="8">
        <v>48</v>
      </c>
      <c r="D133" s="8">
        <v>16</v>
      </c>
      <c r="E133" s="8">
        <v>16.5</v>
      </c>
      <c r="F133" s="8">
        <v>264</v>
      </c>
    </row>
    <row r="134" ht="16.5" spans="1:6">
      <c r="A134" s="8">
        <v>132</v>
      </c>
      <c r="B134" s="9" t="s">
        <v>138</v>
      </c>
      <c r="C134" s="8">
        <v>26</v>
      </c>
      <c r="D134" s="8">
        <v>13</v>
      </c>
      <c r="E134" s="8">
        <v>16.5</v>
      </c>
      <c r="F134" s="8">
        <v>214.5</v>
      </c>
    </row>
    <row r="135" ht="16.5" spans="1:6">
      <c r="A135" s="8">
        <v>133</v>
      </c>
      <c r="B135" s="9" t="s">
        <v>139</v>
      </c>
      <c r="C135" s="8">
        <v>304</v>
      </c>
      <c r="D135" s="8">
        <v>152</v>
      </c>
      <c r="E135" s="8">
        <v>16.5</v>
      </c>
      <c r="F135" s="8">
        <v>2508</v>
      </c>
    </row>
    <row r="136" ht="16.5" spans="1:6">
      <c r="A136" s="8">
        <v>134</v>
      </c>
      <c r="B136" s="9" t="s">
        <v>140</v>
      </c>
      <c r="C136" s="8">
        <v>54</v>
      </c>
      <c r="D136" s="8">
        <v>54</v>
      </c>
      <c r="E136" s="8">
        <v>16.5</v>
      </c>
      <c r="F136" s="8">
        <v>891</v>
      </c>
    </row>
    <row r="137" ht="16.5" spans="1:6">
      <c r="A137" s="8">
        <v>135</v>
      </c>
      <c r="B137" s="9" t="s">
        <v>141</v>
      </c>
      <c r="C137" s="8">
        <v>12</v>
      </c>
      <c r="D137" s="8">
        <v>2</v>
      </c>
      <c r="E137" s="8">
        <v>33</v>
      </c>
      <c r="F137" s="8">
        <v>66</v>
      </c>
    </row>
    <row r="138" ht="16.5" spans="1:6">
      <c r="A138" s="8">
        <v>136</v>
      </c>
      <c r="B138" s="9" t="s">
        <v>142</v>
      </c>
      <c r="C138" s="8">
        <v>40</v>
      </c>
      <c r="D138" s="8">
        <v>20</v>
      </c>
      <c r="E138" s="8">
        <v>16.5</v>
      </c>
      <c r="F138" s="8">
        <v>330</v>
      </c>
    </row>
    <row r="139" ht="16.5" spans="1:6">
      <c r="A139" s="8">
        <v>137</v>
      </c>
      <c r="B139" s="9" t="s">
        <v>143</v>
      </c>
      <c r="C139" s="8">
        <v>6</v>
      </c>
      <c r="D139" s="8">
        <v>2</v>
      </c>
      <c r="E139" s="8">
        <v>16.5</v>
      </c>
      <c r="F139" s="8">
        <v>33</v>
      </c>
    </row>
    <row r="140" ht="16.5" spans="1:6">
      <c r="A140" s="8">
        <v>138</v>
      </c>
      <c r="B140" s="9" t="s">
        <v>144</v>
      </c>
      <c r="C140" s="8">
        <v>1</v>
      </c>
      <c r="D140" s="8">
        <v>1</v>
      </c>
      <c r="E140" s="8">
        <v>35</v>
      </c>
      <c r="F140" s="8">
        <v>35</v>
      </c>
    </row>
    <row r="141" ht="16.5" spans="1:6">
      <c r="A141" s="8">
        <v>139</v>
      </c>
      <c r="B141" s="9" t="s">
        <v>145</v>
      </c>
      <c r="C141" s="8">
        <v>5</v>
      </c>
      <c r="D141" s="8">
        <v>5</v>
      </c>
      <c r="E141" s="8">
        <v>8</v>
      </c>
      <c r="F141" s="8">
        <v>40</v>
      </c>
    </row>
    <row r="142" ht="16.5" spans="1:6">
      <c r="A142" s="8">
        <v>140</v>
      </c>
      <c r="B142" s="9" t="s">
        <v>146</v>
      </c>
      <c r="C142" s="8">
        <v>8</v>
      </c>
      <c r="D142" s="8">
        <v>1</v>
      </c>
      <c r="E142" s="8">
        <v>154</v>
      </c>
      <c r="F142" s="8">
        <v>154</v>
      </c>
    </row>
    <row r="143" ht="16.5" spans="1:6">
      <c r="A143" s="8">
        <v>141</v>
      </c>
      <c r="B143" s="9" t="s">
        <v>147</v>
      </c>
      <c r="C143" s="8">
        <v>34</v>
      </c>
      <c r="D143" s="8">
        <v>17</v>
      </c>
      <c r="E143" s="8">
        <v>16.5</v>
      </c>
      <c r="F143" s="8">
        <v>280.5</v>
      </c>
    </row>
    <row r="144" ht="16.5" spans="1:6">
      <c r="A144" s="8">
        <v>142</v>
      </c>
      <c r="B144" s="9" t="s">
        <v>148</v>
      </c>
      <c r="C144" s="8">
        <v>18</v>
      </c>
      <c r="D144" s="8">
        <v>9</v>
      </c>
      <c r="E144" s="8">
        <v>16.5</v>
      </c>
      <c r="F144" s="8">
        <v>148.5</v>
      </c>
    </row>
    <row r="145" ht="16.5" spans="1:6">
      <c r="A145" s="8">
        <v>143</v>
      </c>
      <c r="B145" s="9" t="s">
        <v>149</v>
      </c>
      <c r="C145" s="8">
        <v>1</v>
      </c>
      <c r="D145" s="8">
        <v>1</v>
      </c>
      <c r="E145" s="8">
        <v>35</v>
      </c>
      <c r="F145" s="8">
        <v>35</v>
      </c>
    </row>
    <row r="146" ht="16.5" spans="1:6">
      <c r="A146" s="8">
        <v>144</v>
      </c>
      <c r="B146" s="9" t="s">
        <v>150</v>
      </c>
      <c r="C146" s="8">
        <v>4</v>
      </c>
      <c r="D146" s="8">
        <v>4</v>
      </c>
      <c r="E146" s="8">
        <v>16.5</v>
      </c>
      <c r="F146" s="8">
        <v>66</v>
      </c>
    </row>
    <row r="147" ht="16.5" spans="1:6">
      <c r="A147" s="8">
        <v>145</v>
      </c>
      <c r="B147" s="9" t="s">
        <v>151</v>
      </c>
      <c r="C147" s="8">
        <v>2</v>
      </c>
      <c r="D147" s="8">
        <v>1</v>
      </c>
      <c r="E147" s="8">
        <v>16.5</v>
      </c>
      <c r="F147" s="8">
        <v>16.5</v>
      </c>
    </row>
    <row r="148" ht="16.5" spans="1:6">
      <c r="A148" s="8">
        <v>146</v>
      </c>
      <c r="B148" s="9" t="s">
        <v>152</v>
      </c>
      <c r="C148" s="8">
        <v>5</v>
      </c>
      <c r="D148" s="8">
        <v>1</v>
      </c>
      <c r="E148" s="8">
        <v>27.5</v>
      </c>
      <c r="F148" s="8">
        <v>27.5</v>
      </c>
    </row>
    <row r="149" ht="16.5" spans="1:6">
      <c r="A149" s="8">
        <v>147</v>
      </c>
      <c r="B149" s="9" t="s">
        <v>153</v>
      </c>
      <c r="C149" s="8">
        <v>13</v>
      </c>
      <c r="D149" s="8">
        <v>1</v>
      </c>
      <c r="E149" s="8">
        <v>71.5</v>
      </c>
      <c r="F149" s="8">
        <v>71.5</v>
      </c>
    </row>
    <row r="150" ht="16.5" spans="1:6">
      <c r="A150" s="8">
        <v>148</v>
      </c>
      <c r="B150" s="9" t="s">
        <v>154</v>
      </c>
      <c r="C150" s="8">
        <v>217</v>
      </c>
      <c r="D150" s="8">
        <v>7</v>
      </c>
      <c r="E150" s="8">
        <v>170.5</v>
      </c>
      <c r="F150" s="8">
        <v>1193.5</v>
      </c>
    </row>
    <row r="151" ht="16.5" spans="1:6">
      <c r="A151" s="8">
        <v>149</v>
      </c>
      <c r="B151" s="9" t="s">
        <v>155</v>
      </c>
      <c r="C151" s="8">
        <v>18</v>
      </c>
      <c r="D151" s="8">
        <v>1</v>
      </c>
      <c r="E151" s="8">
        <v>99</v>
      </c>
      <c r="F151" s="8">
        <v>99</v>
      </c>
    </row>
    <row r="152" ht="16.5" spans="1:6">
      <c r="A152" s="8">
        <v>150</v>
      </c>
      <c r="B152" s="9" t="s">
        <v>156</v>
      </c>
      <c r="C152" s="8">
        <v>101</v>
      </c>
      <c r="D152" s="8">
        <v>1</v>
      </c>
      <c r="E152" s="8">
        <v>555.5</v>
      </c>
      <c r="F152" s="8">
        <v>555.5</v>
      </c>
    </row>
    <row r="153" ht="16.5" customHeight="1" spans="1:6">
      <c r="A153" s="8">
        <v>151</v>
      </c>
      <c r="B153" s="9" t="s">
        <v>157</v>
      </c>
      <c r="C153" s="8">
        <v>3</v>
      </c>
      <c r="D153" s="8">
        <v>1</v>
      </c>
      <c r="E153" s="8">
        <v>16.5</v>
      </c>
      <c r="F153" s="8">
        <v>16.5</v>
      </c>
    </row>
    <row r="154" ht="16.5" customHeight="1" spans="1:6">
      <c r="A154" s="12" t="s">
        <v>158</v>
      </c>
      <c r="B154" s="16"/>
      <c r="C154" s="16"/>
      <c r="D154" s="16"/>
      <c r="E154" s="17"/>
      <c r="F154" s="8">
        <f>SUM(F3:F153)</f>
        <v>260086.5</v>
      </c>
    </row>
  </sheetData>
  <autoFilter xmlns:etc="http://www.wps.cn/officeDocument/2017/etCustomData" ref="A2:XET153" etc:filterBottomFollowUsedRange="0">
    <extLst/>
  </autoFilter>
  <mergeCells count="2">
    <mergeCell ref="A1:F1"/>
    <mergeCell ref="A154:E154"/>
  </mergeCells>
  <pageMargins left="0.25" right="0.25" top="0.75" bottom="0.75" header="0.298611111111111" footer="0.298611111111111"/>
  <pageSetup paperSize="9" scale="9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L80"/>
  <sheetViews>
    <sheetView view="pageBreakPreview" zoomScaleNormal="100" workbookViewId="0">
      <selection activeCell="A2" sqref="A2"/>
    </sheetView>
  </sheetViews>
  <sheetFormatPr defaultColWidth="9" defaultRowHeight="13.5"/>
  <cols>
    <col min="1" max="1" width="7.5" style="3" customWidth="1"/>
    <col min="2" max="2" width="33.375" style="4" customWidth="1"/>
    <col min="3" max="3" width="19.125" style="3" customWidth="1"/>
    <col min="4" max="4" width="13" style="3" customWidth="1"/>
    <col min="5" max="5" width="13.7583333333333" style="3" customWidth="1"/>
    <col min="6" max="6" width="14.4583333333333" style="3" customWidth="1"/>
    <col min="7" max="16251" width="9" style="1"/>
    <col min="16291" max="16384" width="9" style="5"/>
  </cols>
  <sheetData>
    <row r="1" s="1" customFormat="1" ht="21" spans="1:6 16252:16364">
      <c r="A1" s="6" t="s">
        <v>159</v>
      </c>
      <c r="B1" s="7"/>
      <c r="C1" s="6"/>
      <c r="D1" s="6"/>
      <c r="E1" s="6"/>
      <c r="F1" s="6"/>
    </row>
    <row r="2" s="2" customFormat="1" ht="16.5" customHeight="1" spans="1:6 16252:16364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="1" customFormat="1" ht="16.5" spans="1:6 16252:16364">
      <c r="A3" s="8">
        <v>1</v>
      </c>
      <c r="B3" s="9" t="s">
        <v>23</v>
      </c>
      <c r="C3" s="8">
        <v>302</v>
      </c>
      <c r="D3" s="8">
        <v>151</v>
      </c>
      <c r="E3" s="8">
        <v>16.5</v>
      </c>
      <c r="F3" s="8">
        <v>2491.5</v>
      </c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 s="5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  <c r="XEH3" s="5"/>
      <c r="XEI3" s="5"/>
      <c r="XEJ3" s="5"/>
    </row>
    <row r="4" s="1" customFormat="1" ht="16.5" spans="1:6 16252:16364">
      <c r="A4" s="8">
        <v>2</v>
      </c>
      <c r="B4" s="9" t="s">
        <v>160</v>
      </c>
      <c r="C4" s="8">
        <v>5</v>
      </c>
      <c r="D4" s="8">
        <v>5</v>
      </c>
      <c r="E4" s="8">
        <v>8</v>
      </c>
      <c r="F4" s="8">
        <v>40</v>
      </c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 s="5"/>
      <c r="XBP4" s="5"/>
      <c r="XBQ4" s="5"/>
      <c r="XBR4" s="5"/>
      <c r="XBS4" s="5"/>
      <c r="XBT4" s="5"/>
      <c r="XBU4" s="5"/>
      <c r="XBV4" s="5"/>
      <c r="XBW4" s="5"/>
      <c r="XBX4" s="5"/>
      <c r="XBY4" s="5"/>
      <c r="XBZ4" s="5"/>
      <c r="XCA4" s="5"/>
      <c r="XCB4" s="5"/>
      <c r="XCC4" s="5"/>
      <c r="XCD4" s="5"/>
      <c r="XCE4" s="5"/>
      <c r="XCF4" s="5"/>
      <c r="XCG4" s="5"/>
      <c r="XCH4" s="5"/>
      <c r="XCI4" s="5"/>
      <c r="XCJ4" s="5"/>
      <c r="XCK4" s="5"/>
      <c r="XCL4" s="5"/>
      <c r="XCM4" s="5"/>
      <c r="XCN4" s="5"/>
      <c r="XCO4" s="5"/>
      <c r="XCP4" s="5"/>
      <c r="XCQ4" s="5"/>
      <c r="XCR4" s="5"/>
      <c r="XCS4" s="5"/>
      <c r="XCT4" s="5"/>
      <c r="XCU4" s="5"/>
      <c r="XCV4" s="5"/>
      <c r="XCW4" s="5"/>
      <c r="XCX4" s="5"/>
      <c r="XCY4" s="5"/>
      <c r="XCZ4" s="5"/>
      <c r="XDA4" s="5"/>
      <c r="XDB4" s="5"/>
      <c r="XDC4" s="5"/>
      <c r="XDD4" s="5"/>
      <c r="XDE4" s="5"/>
      <c r="XDF4" s="5"/>
      <c r="XDG4" s="5"/>
      <c r="XDH4" s="5"/>
      <c r="XDI4" s="5"/>
      <c r="XDJ4" s="5"/>
      <c r="XDK4" s="5"/>
      <c r="XDL4" s="5"/>
      <c r="XDM4" s="5"/>
      <c r="XDN4" s="5"/>
      <c r="XDO4" s="5"/>
      <c r="XDP4" s="5"/>
      <c r="XDQ4" s="5"/>
      <c r="XDR4" s="5"/>
      <c r="XDS4" s="5"/>
      <c r="XDT4" s="5"/>
      <c r="XDU4" s="5"/>
      <c r="XDV4" s="5"/>
      <c r="XDW4" s="5"/>
      <c r="XDX4" s="5"/>
      <c r="XDY4" s="5"/>
      <c r="XDZ4" s="5"/>
      <c r="XEA4" s="5"/>
      <c r="XEB4" s="5"/>
      <c r="XEC4" s="5"/>
      <c r="XED4" s="5"/>
      <c r="XEE4" s="5"/>
      <c r="XEF4" s="5"/>
      <c r="XEG4" s="5"/>
      <c r="XEH4" s="5"/>
      <c r="XEI4" s="5"/>
      <c r="XEJ4" s="5"/>
    </row>
    <row r="5" s="1" customFormat="1" ht="16.5" spans="1:6 16252:16364">
      <c r="A5" s="8">
        <v>3</v>
      </c>
      <c r="B5" s="9" t="s">
        <v>24</v>
      </c>
      <c r="C5" s="8">
        <v>24</v>
      </c>
      <c r="D5" s="8">
        <v>24</v>
      </c>
      <c r="E5" s="8">
        <v>16.5</v>
      </c>
      <c r="F5" s="8">
        <v>396</v>
      </c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/>
      <c r="XBL5"/>
      <c r="XBM5"/>
      <c r="XBN5"/>
      <c r="XBO5" s="5"/>
      <c r="XBP5" s="5"/>
      <c r="XBQ5" s="5"/>
      <c r="XBR5" s="5"/>
      <c r="XBS5" s="5"/>
      <c r="XBT5" s="5"/>
      <c r="XBU5" s="5"/>
      <c r="XBV5" s="5"/>
      <c r="XBW5" s="5"/>
      <c r="XBX5" s="5"/>
      <c r="XBY5" s="5"/>
      <c r="XBZ5" s="5"/>
      <c r="XCA5" s="5"/>
      <c r="XCB5" s="5"/>
      <c r="XCC5" s="5"/>
      <c r="XCD5" s="5"/>
      <c r="XCE5" s="5"/>
      <c r="XCF5" s="5"/>
      <c r="XCG5" s="5"/>
      <c r="XCH5" s="5"/>
      <c r="XCI5" s="5"/>
      <c r="XCJ5" s="5"/>
      <c r="XCK5" s="5"/>
      <c r="XCL5" s="5"/>
      <c r="XCM5" s="5"/>
      <c r="XCN5" s="5"/>
      <c r="XCO5" s="5"/>
      <c r="XCP5" s="5"/>
      <c r="XCQ5" s="5"/>
      <c r="XCR5" s="5"/>
      <c r="XCS5" s="5"/>
      <c r="XCT5" s="5"/>
      <c r="XCU5" s="5"/>
      <c r="XCV5" s="5"/>
      <c r="XCW5" s="5"/>
      <c r="XCX5" s="5"/>
      <c r="XCY5" s="5"/>
      <c r="XCZ5" s="5"/>
      <c r="XDA5" s="5"/>
      <c r="XDB5" s="5"/>
      <c r="XDC5" s="5"/>
      <c r="XDD5" s="5"/>
      <c r="XDE5" s="5"/>
      <c r="XDF5" s="5"/>
      <c r="XDG5" s="5"/>
      <c r="XDH5" s="5"/>
      <c r="XDI5" s="5"/>
      <c r="XDJ5" s="5"/>
      <c r="XDK5" s="5"/>
      <c r="XDL5" s="5"/>
      <c r="XDM5" s="5"/>
      <c r="XDN5" s="5"/>
      <c r="XDO5" s="5"/>
      <c r="XDP5" s="5"/>
      <c r="XDQ5" s="5"/>
      <c r="XDR5" s="5"/>
      <c r="XDS5" s="5"/>
      <c r="XDT5" s="5"/>
      <c r="XDU5" s="5"/>
      <c r="XDV5" s="5"/>
      <c r="XDW5" s="5"/>
      <c r="XDX5" s="5"/>
      <c r="XDY5" s="5"/>
      <c r="XDZ5" s="5"/>
      <c r="XEA5" s="5"/>
      <c r="XEB5" s="5"/>
      <c r="XEC5" s="5"/>
      <c r="XED5" s="5"/>
      <c r="XEE5" s="5"/>
      <c r="XEF5" s="5"/>
      <c r="XEG5" s="5"/>
      <c r="XEH5" s="5"/>
      <c r="XEI5" s="5"/>
      <c r="XEJ5" s="5"/>
    </row>
    <row r="6" s="1" customFormat="1" ht="16.5" spans="1:6 16252:16364">
      <c r="A6" s="8">
        <v>4</v>
      </c>
      <c r="B6" s="9" t="s">
        <v>161</v>
      </c>
      <c r="C6" s="8">
        <v>6</v>
      </c>
      <c r="D6" s="8">
        <v>6</v>
      </c>
      <c r="E6" s="8">
        <v>16.5</v>
      </c>
      <c r="F6" s="8">
        <v>99</v>
      </c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 s="5"/>
      <c r="XBP6" s="5"/>
      <c r="XBQ6" s="5"/>
      <c r="XBR6" s="5"/>
      <c r="XBS6" s="5"/>
      <c r="XBT6" s="5"/>
      <c r="XBU6" s="5"/>
      <c r="XBV6" s="5"/>
      <c r="XBW6" s="5"/>
      <c r="XBX6" s="5"/>
      <c r="XBY6" s="5"/>
      <c r="XBZ6" s="5"/>
      <c r="XCA6" s="5"/>
      <c r="XCB6" s="5"/>
      <c r="XCC6" s="5"/>
      <c r="XCD6" s="5"/>
      <c r="XCE6" s="5"/>
      <c r="XCF6" s="5"/>
      <c r="XCG6" s="5"/>
      <c r="XCH6" s="5"/>
      <c r="XCI6" s="5"/>
      <c r="XCJ6" s="5"/>
      <c r="XCK6" s="5"/>
      <c r="XCL6" s="5"/>
      <c r="XCM6" s="5"/>
      <c r="XCN6" s="5"/>
      <c r="XCO6" s="5"/>
      <c r="XCP6" s="5"/>
      <c r="XCQ6" s="5"/>
      <c r="XCR6" s="5"/>
      <c r="XCS6" s="5"/>
      <c r="XCT6" s="5"/>
      <c r="XCU6" s="5"/>
      <c r="XCV6" s="5"/>
      <c r="XCW6" s="5"/>
      <c r="XCX6" s="5"/>
      <c r="XCY6" s="5"/>
      <c r="XCZ6" s="5"/>
      <c r="XDA6" s="5"/>
      <c r="XDB6" s="5"/>
      <c r="XDC6" s="5"/>
      <c r="XDD6" s="5"/>
      <c r="XDE6" s="5"/>
      <c r="XDF6" s="5"/>
      <c r="XDG6" s="5"/>
      <c r="XDH6" s="5"/>
      <c r="XDI6" s="5"/>
      <c r="XDJ6" s="5"/>
      <c r="XDK6" s="5"/>
      <c r="XDL6" s="5"/>
      <c r="XDM6" s="5"/>
      <c r="XDN6" s="5"/>
      <c r="XDO6" s="5"/>
      <c r="XDP6" s="5"/>
      <c r="XDQ6" s="5"/>
      <c r="XDR6" s="5"/>
      <c r="XDS6" s="5"/>
      <c r="XDT6" s="5"/>
      <c r="XDU6" s="5"/>
      <c r="XDV6" s="5"/>
      <c r="XDW6" s="5"/>
      <c r="XDX6" s="5"/>
      <c r="XDY6" s="5"/>
      <c r="XDZ6" s="5"/>
      <c r="XEA6" s="5"/>
      <c r="XEB6" s="5"/>
      <c r="XEC6" s="5"/>
      <c r="XED6" s="5"/>
      <c r="XEE6" s="5"/>
      <c r="XEF6" s="5"/>
      <c r="XEG6" s="5"/>
      <c r="XEH6" s="5"/>
      <c r="XEI6" s="5"/>
      <c r="XEJ6" s="5"/>
    </row>
    <row r="7" s="1" customFormat="1" ht="16.5" spans="1:6 16252:16364">
      <c r="A7" s="8">
        <v>5</v>
      </c>
      <c r="B7" s="9" t="s">
        <v>162</v>
      </c>
      <c r="C7" s="8">
        <v>336</v>
      </c>
      <c r="D7" s="8">
        <v>7</v>
      </c>
      <c r="E7" s="8">
        <v>264</v>
      </c>
      <c r="F7" s="8">
        <v>1848</v>
      </c>
      <c r="XAB7"/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/>
      <c r="XBJ7"/>
      <c r="XBK7"/>
      <c r="XBL7"/>
      <c r="XBM7"/>
      <c r="XBN7"/>
      <c r="XBO7" s="5"/>
      <c r="XBP7" s="5"/>
      <c r="XBQ7" s="5"/>
      <c r="XBR7" s="5"/>
      <c r="XBS7" s="5"/>
      <c r="XBT7" s="5"/>
      <c r="XBU7" s="5"/>
      <c r="XBV7" s="5"/>
      <c r="XBW7" s="5"/>
      <c r="XBX7" s="5"/>
      <c r="XBY7" s="5"/>
      <c r="XBZ7" s="5"/>
      <c r="XCA7" s="5"/>
      <c r="XCB7" s="5"/>
      <c r="XCC7" s="5"/>
      <c r="XCD7" s="5"/>
      <c r="XCE7" s="5"/>
      <c r="XCF7" s="5"/>
      <c r="XCG7" s="5"/>
      <c r="XCH7" s="5"/>
      <c r="XCI7" s="5"/>
      <c r="XCJ7" s="5"/>
      <c r="XCK7" s="5"/>
      <c r="XCL7" s="5"/>
      <c r="XCM7" s="5"/>
      <c r="XCN7" s="5"/>
      <c r="XCO7" s="5"/>
      <c r="XCP7" s="5"/>
      <c r="XCQ7" s="5"/>
      <c r="XCR7" s="5"/>
      <c r="XCS7" s="5"/>
      <c r="XCT7" s="5"/>
      <c r="XCU7" s="5"/>
      <c r="XCV7" s="5"/>
      <c r="XCW7" s="5"/>
      <c r="XCX7" s="5"/>
      <c r="XCY7" s="5"/>
      <c r="XCZ7" s="5"/>
      <c r="XDA7" s="5"/>
      <c r="XDB7" s="5"/>
      <c r="XDC7" s="5"/>
      <c r="XDD7" s="5"/>
      <c r="XDE7" s="5"/>
      <c r="XDF7" s="5"/>
      <c r="XDG7" s="5"/>
      <c r="XDH7" s="5"/>
      <c r="XDI7" s="5"/>
      <c r="XDJ7" s="5"/>
      <c r="XDK7" s="5"/>
      <c r="XDL7" s="5"/>
      <c r="XDM7" s="5"/>
      <c r="XDN7" s="5"/>
      <c r="XDO7" s="5"/>
      <c r="XDP7" s="5"/>
      <c r="XDQ7" s="5"/>
      <c r="XDR7" s="5"/>
      <c r="XDS7" s="5"/>
      <c r="XDT7" s="5"/>
      <c r="XDU7" s="5"/>
      <c r="XDV7" s="5"/>
      <c r="XDW7" s="5"/>
      <c r="XDX7" s="5"/>
      <c r="XDY7" s="5"/>
      <c r="XDZ7" s="5"/>
      <c r="XEA7" s="5"/>
      <c r="XEB7" s="5"/>
      <c r="XEC7" s="5"/>
      <c r="XED7" s="5"/>
      <c r="XEE7" s="5"/>
      <c r="XEF7" s="5"/>
      <c r="XEG7" s="5"/>
      <c r="XEH7" s="5"/>
      <c r="XEI7" s="5"/>
      <c r="XEJ7" s="5"/>
    </row>
    <row r="8" s="1" customFormat="1" ht="16.5" spans="1:6 16252:16364">
      <c r="A8" s="8">
        <v>6</v>
      </c>
      <c r="B8" s="9" t="s">
        <v>163</v>
      </c>
      <c r="C8" s="8">
        <v>10</v>
      </c>
      <c r="D8" s="8">
        <v>5</v>
      </c>
      <c r="E8" s="8">
        <v>16.5</v>
      </c>
      <c r="F8" s="8">
        <v>82.5</v>
      </c>
      <c r="XAB8"/>
      <c r="XAC8"/>
      <c r="XAD8"/>
      <c r="XAE8"/>
      <c r="XAF8"/>
      <c r="XAG8"/>
      <c r="XAH8"/>
      <c r="XAI8"/>
      <c r="XAJ8"/>
      <c r="XAK8"/>
      <c r="XAL8"/>
      <c r="XAM8"/>
      <c r="XAN8"/>
      <c r="XAO8"/>
      <c r="XAP8"/>
      <c r="XAQ8"/>
      <c r="XAR8"/>
      <c r="XAS8"/>
      <c r="XAT8"/>
      <c r="XAU8"/>
      <c r="XAV8"/>
      <c r="XAW8"/>
      <c r="XAX8"/>
      <c r="XAY8"/>
      <c r="XAZ8"/>
      <c r="XBA8"/>
      <c r="XBB8"/>
      <c r="XBC8"/>
      <c r="XBD8"/>
      <c r="XBE8"/>
      <c r="XBF8"/>
      <c r="XBG8"/>
      <c r="XBH8"/>
      <c r="XBI8"/>
      <c r="XBJ8"/>
      <c r="XBK8"/>
      <c r="XBL8"/>
      <c r="XBM8"/>
      <c r="XBN8"/>
      <c r="XBO8" s="5"/>
      <c r="XBP8" s="5"/>
      <c r="XBQ8" s="5"/>
      <c r="XBR8" s="5"/>
      <c r="XBS8" s="5"/>
      <c r="XBT8" s="5"/>
      <c r="XBU8" s="5"/>
      <c r="XBV8" s="5"/>
      <c r="XBW8" s="5"/>
      <c r="XBX8" s="5"/>
      <c r="XBY8" s="5"/>
      <c r="XBZ8" s="5"/>
      <c r="XCA8" s="5"/>
      <c r="XCB8" s="5"/>
      <c r="XCC8" s="5"/>
      <c r="XCD8" s="5"/>
      <c r="XCE8" s="5"/>
      <c r="XCF8" s="5"/>
      <c r="XCG8" s="5"/>
      <c r="XCH8" s="5"/>
      <c r="XCI8" s="5"/>
      <c r="XCJ8" s="5"/>
      <c r="XCK8" s="5"/>
      <c r="XCL8" s="5"/>
      <c r="XCM8" s="5"/>
      <c r="XCN8" s="5"/>
      <c r="XCO8" s="5"/>
      <c r="XCP8" s="5"/>
      <c r="XCQ8" s="5"/>
      <c r="XCR8" s="5"/>
      <c r="XCS8" s="5"/>
      <c r="XCT8" s="5"/>
      <c r="XCU8" s="5"/>
      <c r="XCV8" s="5"/>
      <c r="XCW8" s="5"/>
      <c r="XCX8" s="5"/>
      <c r="XCY8" s="5"/>
      <c r="XCZ8" s="5"/>
      <c r="XDA8" s="5"/>
      <c r="XDB8" s="5"/>
      <c r="XDC8" s="5"/>
      <c r="XDD8" s="5"/>
      <c r="XDE8" s="5"/>
      <c r="XDF8" s="5"/>
      <c r="XDG8" s="5"/>
      <c r="XDH8" s="5"/>
      <c r="XDI8" s="5"/>
      <c r="XDJ8" s="5"/>
      <c r="XDK8" s="5"/>
      <c r="XDL8" s="5"/>
      <c r="XDM8" s="5"/>
      <c r="XDN8" s="5"/>
      <c r="XDO8" s="5"/>
      <c r="XDP8" s="5"/>
      <c r="XDQ8" s="5"/>
      <c r="XDR8" s="5"/>
      <c r="XDS8" s="5"/>
      <c r="XDT8" s="5"/>
      <c r="XDU8" s="5"/>
      <c r="XDV8" s="5"/>
      <c r="XDW8" s="5"/>
      <c r="XDX8" s="5"/>
      <c r="XDY8" s="5"/>
      <c r="XDZ8" s="5"/>
      <c r="XEA8" s="5"/>
      <c r="XEB8" s="5"/>
      <c r="XEC8" s="5"/>
      <c r="XED8" s="5"/>
      <c r="XEE8" s="5"/>
      <c r="XEF8" s="5"/>
      <c r="XEG8" s="5"/>
      <c r="XEH8" s="5"/>
      <c r="XEI8" s="5"/>
      <c r="XEJ8" s="5"/>
    </row>
    <row r="9" s="1" customFormat="1" ht="16.5" spans="1:6 16252:16364">
      <c r="A9" s="8">
        <v>7</v>
      </c>
      <c r="B9" s="9" t="s">
        <v>164</v>
      </c>
      <c r="C9" s="8">
        <v>4</v>
      </c>
      <c r="D9" s="8">
        <v>4</v>
      </c>
      <c r="E9" s="8">
        <v>8</v>
      </c>
      <c r="F9" s="8">
        <v>32</v>
      </c>
      <c r="XAB9"/>
      <c r="XAC9"/>
      <c r="XAD9"/>
      <c r="XAE9"/>
      <c r="XAF9"/>
      <c r="XAG9"/>
      <c r="XAH9"/>
      <c r="XAI9"/>
      <c r="XAJ9"/>
      <c r="XAK9"/>
      <c r="XAL9"/>
      <c r="XAM9"/>
      <c r="XAN9"/>
      <c r="XAO9"/>
      <c r="XAP9"/>
      <c r="XAQ9"/>
      <c r="XAR9"/>
      <c r="XAS9"/>
      <c r="XAT9"/>
      <c r="XAU9"/>
      <c r="XAV9"/>
      <c r="XAW9"/>
      <c r="XAX9"/>
      <c r="XAY9"/>
      <c r="XAZ9"/>
      <c r="XBA9"/>
      <c r="XBB9"/>
      <c r="XBC9"/>
      <c r="XBD9"/>
      <c r="XBE9"/>
      <c r="XBF9"/>
      <c r="XBG9"/>
      <c r="XBH9"/>
      <c r="XBI9"/>
      <c r="XBJ9"/>
      <c r="XBK9"/>
      <c r="XBL9"/>
      <c r="XBM9"/>
      <c r="XBN9"/>
      <c r="XBO9" s="5"/>
      <c r="XBP9" s="5"/>
      <c r="XBQ9" s="5"/>
      <c r="XBR9" s="5"/>
      <c r="XBS9" s="5"/>
      <c r="XBT9" s="5"/>
      <c r="XBU9" s="5"/>
      <c r="XBV9" s="5"/>
      <c r="XBW9" s="5"/>
      <c r="XBX9" s="5"/>
      <c r="XBY9" s="5"/>
      <c r="XBZ9" s="5"/>
      <c r="XCA9" s="5"/>
      <c r="XCB9" s="5"/>
      <c r="XCC9" s="5"/>
      <c r="XCD9" s="5"/>
      <c r="XCE9" s="5"/>
      <c r="XCF9" s="5"/>
      <c r="XCG9" s="5"/>
      <c r="XCH9" s="5"/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  <c r="XDE9" s="5"/>
      <c r="XDF9" s="5"/>
      <c r="XDG9" s="5"/>
      <c r="XDH9" s="5"/>
      <c r="XDI9" s="5"/>
      <c r="XDJ9" s="5"/>
      <c r="XDK9" s="5"/>
      <c r="XDL9" s="5"/>
      <c r="XDM9" s="5"/>
      <c r="XDN9" s="5"/>
      <c r="XDO9" s="5"/>
      <c r="XDP9" s="5"/>
      <c r="XDQ9" s="5"/>
      <c r="XDR9" s="5"/>
      <c r="XDS9" s="5"/>
      <c r="XDT9" s="5"/>
      <c r="XDU9" s="5"/>
      <c r="XDV9" s="5"/>
      <c r="XDW9" s="5"/>
      <c r="XDX9" s="5"/>
      <c r="XDY9" s="5"/>
      <c r="XDZ9" s="5"/>
      <c r="XEA9" s="5"/>
      <c r="XEB9" s="5"/>
      <c r="XEC9" s="5"/>
      <c r="XED9" s="5"/>
      <c r="XEE9" s="5"/>
      <c r="XEF9" s="5"/>
      <c r="XEG9" s="5"/>
      <c r="XEH9" s="5"/>
      <c r="XEI9" s="5"/>
      <c r="XEJ9" s="5"/>
    </row>
    <row r="10" s="1" customFormat="1" ht="16.5" spans="1:6 16252:16364">
      <c r="A10" s="8">
        <v>8</v>
      </c>
      <c r="B10" s="9" t="s">
        <v>165</v>
      </c>
      <c r="C10" s="8">
        <v>0</v>
      </c>
      <c r="D10" s="8">
        <v>20</v>
      </c>
      <c r="E10" s="8">
        <v>15</v>
      </c>
      <c r="F10" s="8">
        <v>300</v>
      </c>
      <c r="XAB10"/>
      <c r="XAC10"/>
      <c r="XAD10"/>
      <c r="XAE10"/>
      <c r="XAF10"/>
      <c r="XAG10"/>
      <c r="XAH10"/>
      <c r="XAI10"/>
      <c r="XAJ10"/>
      <c r="XAK10"/>
      <c r="XAL10"/>
      <c r="XAM10"/>
      <c r="XAN10"/>
      <c r="XAO10"/>
      <c r="XAP10"/>
      <c r="XAQ10"/>
      <c r="XAR10"/>
      <c r="XAS10"/>
      <c r="XAT10"/>
      <c r="XAU10"/>
      <c r="XAV10"/>
      <c r="XAW10"/>
      <c r="XAX10"/>
      <c r="XAY10"/>
      <c r="XAZ10"/>
      <c r="XBA10"/>
      <c r="XBB10"/>
      <c r="XBC10"/>
      <c r="XBD10"/>
      <c r="XBE10"/>
      <c r="XBF10"/>
      <c r="XBG10"/>
      <c r="XBH10"/>
      <c r="XBI10"/>
      <c r="XBJ10"/>
      <c r="XBK10"/>
      <c r="XBL10"/>
      <c r="XBM10"/>
      <c r="XBN10"/>
      <c r="XBO10" s="5"/>
      <c r="XBP10" s="5"/>
      <c r="XBQ10" s="5"/>
      <c r="XBR10" s="5"/>
      <c r="XBS10" s="5"/>
      <c r="XBT10" s="5"/>
      <c r="XBU10" s="5"/>
      <c r="XBV10" s="5"/>
      <c r="XBW10" s="5"/>
      <c r="XBX10" s="5"/>
      <c r="XBY10" s="5"/>
      <c r="XBZ10" s="5"/>
      <c r="XCA10" s="5"/>
      <c r="XCB10" s="5"/>
      <c r="XCC10" s="5"/>
      <c r="XCD10" s="5"/>
      <c r="XCE10" s="5"/>
      <c r="XCF10" s="5"/>
      <c r="XCG10" s="5"/>
      <c r="XCH10" s="5"/>
      <c r="XCI10" s="5"/>
      <c r="XCJ10" s="5"/>
      <c r="XCK10" s="5"/>
      <c r="XCL10" s="5"/>
      <c r="XCM10" s="5"/>
      <c r="XCN10" s="5"/>
      <c r="XCO10" s="5"/>
      <c r="XCP10" s="5"/>
      <c r="XCQ10" s="5"/>
      <c r="XCR10" s="5"/>
      <c r="XCS10" s="5"/>
      <c r="XCT10" s="5"/>
      <c r="XCU10" s="5"/>
      <c r="XCV10" s="5"/>
      <c r="XCW10" s="5"/>
      <c r="XCX10" s="5"/>
      <c r="XCY10" s="5"/>
      <c r="XCZ10" s="5"/>
      <c r="XDA10" s="5"/>
      <c r="XDB10" s="5"/>
      <c r="XDC10" s="5"/>
      <c r="XDD10" s="5"/>
      <c r="XDE10" s="5"/>
      <c r="XDF10" s="5"/>
      <c r="XDG10" s="5"/>
      <c r="XDH10" s="5"/>
      <c r="XDI10" s="5"/>
      <c r="XDJ10" s="5"/>
      <c r="XDK10" s="5"/>
      <c r="XDL10" s="5"/>
      <c r="XDM10" s="5"/>
      <c r="XDN10" s="5"/>
      <c r="XDO10" s="5"/>
      <c r="XDP10" s="5"/>
      <c r="XDQ10" s="5"/>
      <c r="XDR10" s="5"/>
      <c r="XDS10" s="5"/>
      <c r="XDT10" s="5"/>
      <c r="XDU10" s="5"/>
      <c r="XDV10" s="5"/>
      <c r="XDW10" s="5"/>
      <c r="XDX10" s="5"/>
      <c r="XDY10" s="5"/>
      <c r="XDZ10" s="5"/>
      <c r="XEA10" s="5"/>
      <c r="XEB10" s="5"/>
      <c r="XEC10" s="5"/>
      <c r="XED10" s="5"/>
      <c r="XEE10" s="5"/>
      <c r="XEF10" s="5"/>
      <c r="XEG10" s="5"/>
      <c r="XEH10" s="5"/>
      <c r="XEI10" s="5"/>
      <c r="XEJ10" s="5"/>
    </row>
    <row r="11" s="1" customFormat="1" ht="16.5" spans="1:6 16252:16364">
      <c r="A11" s="8">
        <v>9</v>
      </c>
      <c r="B11" s="9" t="s">
        <v>166</v>
      </c>
      <c r="C11" s="8">
        <v>119</v>
      </c>
      <c r="D11" s="8">
        <v>17</v>
      </c>
      <c r="E11" s="8">
        <v>38.5</v>
      </c>
      <c r="F11" s="8">
        <v>654.5</v>
      </c>
      <c r="XAB11"/>
      <c r="XAC11"/>
      <c r="XAD11"/>
      <c r="XAE11"/>
      <c r="XAF11"/>
      <c r="XAG11"/>
      <c r="XAH11"/>
      <c r="XAI11"/>
      <c r="XAJ11"/>
      <c r="XAK11"/>
      <c r="XAL11"/>
      <c r="XAM11"/>
      <c r="XAN11"/>
      <c r="XAO11"/>
      <c r="XAP11"/>
      <c r="XAQ11"/>
      <c r="XAR11"/>
      <c r="XAS11"/>
      <c r="XAT11"/>
      <c r="XAU11"/>
      <c r="XAV11"/>
      <c r="XAW11"/>
      <c r="XAX11"/>
      <c r="XAY11"/>
      <c r="XAZ11"/>
      <c r="XBA11"/>
      <c r="XBB11"/>
      <c r="XBC11"/>
      <c r="XBD11"/>
      <c r="XBE11"/>
      <c r="XBF11"/>
      <c r="XBG11"/>
      <c r="XBH11"/>
      <c r="XBI11"/>
      <c r="XBJ11"/>
      <c r="XBK11"/>
      <c r="XBL11"/>
      <c r="XBM11"/>
      <c r="XBN11"/>
      <c r="XBO11" s="5"/>
      <c r="XBP11" s="5"/>
      <c r="XBQ11" s="5"/>
      <c r="XBR11" s="5"/>
      <c r="XBS11" s="5"/>
      <c r="XBT11" s="5"/>
      <c r="XBU11" s="5"/>
      <c r="XBV11" s="5"/>
      <c r="XBW11" s="5"/>
      <c r="XBX11" s="5"/>
      <c r="XBY11" s="5"/>
      <c r="XBZ11" s="5"/>
      <c r="XCA11" s="5"/>
      <c r="XCB11" s="5"/>
      <c r="XCC11" s="5"/>
      <c r="XCD11" s="5"/>
      <c r="XCE11" s="5"/>
      <c r="XCF11" s="5"/>
      <c r="XCG11" s="5"/>
      <c r="XCH11" s="5"/>
      <c r="XCI11" s="5"/>
      <c r="XCJ11" s="5"/>
      <c r="XCK11" s="5"/>
      <c r="XCL11" s="5"/>
      <c r="XCM11" s="5"/>
      <c r="XCN11" s="5"/>
      <c r="XCO11" s="5"/>
      <c r="XCP11" s="5"/>
      <c r="XCQ11" s="5"/>
      <c r="XCR11" s="5"/>
      <c r="XCS11" s="5"/>
      <c r="XCT11" s="5"/>
      <c r="XCU11" s="5"/>
      <c r="XCV11" s="5"/>
      <c r="XCW11" s="5"/>
      <c r="XCX11" s="5"/>
      <c r="XCY11" s="5"/>
      <c r="XCZ11" s="5"/>
      <c r="XDA11" s="5"/>
      <c r="XDB11" s="5"/>
      <c r="XDC11" s="5"/>
      <c r="XDD11" s="5"/>
      <c r="XDE11" s="5"/>
      <c r="XDF11" s="5"/>
      <c r="XDG11" s="5"/>
      <c r="XDH11" s="5"/>
      <c r="XDI11" s="5"/>
      <c r="XDJ11" s="5"/>
      <c r="XDK11" s="5"/>
      <c r="XDL11" s="5"/>
      <c r="XDM11" s="5"/>
      <c r="XDN11" s="5"/>
      <c r="XDO11" s="5"/>
      <c r="XDP11" s="5"/>
      <c r="XDQ11" s="5"/>
      <c r="XDR11" s="5"/>
      <c r="XDS11" s="5"/>
      <c r="XDT11" s="5"/>
      <c r="XDU11" s="5"/>
      <c r="XDV11" s="5"/>
      <c r="XDW11" s="5"/>
      <c r="XDX11" s="5"/>
      <c r="XDY11" s="5"/>
      <c r="XDZ11" s="5"/>
      <c r="XEA11" s="5"/>
      <c r="XEB11" s="5"/>
      <c r="XEC11" s="5"/>
      <c r="XED11" s="5"/>
      <c r="XEE11" s="5"/>
      <c r="XEF11" s="5"/>
      <c r="XEG11" s="5"/>
      <c r="XEH11" s="5"/>
      <c r="XEI11" s="5"/>
      <c r="XEJ11" s="5"/>
    </row>
    <row r="12" s="1" customFormat="1" ht="16.5" spans="1:6 16252:16364">
      <c r="A12" s="8">
        <v>10</v>
      </c>
      <c r="B12" s="9" t="s">
        <v>167</v>
      </c>
      <c r="C12" s="8">
        <v>77</v>
      </c>
      <c r="D12" s="8">
        <v>77</v>
      </c>
      <c r="E12" s="8">
        <v>16.5</v>
      </c>
      <c r="F12" s="8">
        <v>1270.5</v>
      </c>
      <c r="XAB12"/>
      <c r="XAC12"/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/>
      <c r="XBJ12"/>
      <c r="XBK12"/>
      <c r="XBL12"/>
      <c r="XBM12"/>
      <c r="XBN12"/>
      <c r="XBO12" s="5"/>
      <c r="XBP12" s="5"/>
      <c r="XBQ12" s="5"/>
      <c r="XBR12" s="5"/>
      <c r="XBS12" s="5"/>
      <c r="XBT12" s="5"/>
      <c r="XBU12" s="5"/>
      <c r="XBV12" s="5"/>
      <c r="XBW12" s="5"/>
      <c r="XBX12" s="5"/>
      <c r="XBY12" s="5"/>
      <c r="XBZ12" s="5"/>
      <c r="XCA12" s="5"/>
      <c r="XCB12" s="5"/>
      <c r="XCC12" s="5"/>
      <c r="XCD12" s="5"/>
      <c r="XCE12" s="5"/>
      <c r="XCF12" s="5"/>
      <c r="XCG12" s="5"/>
      <c r="XCH12" s="5"/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  <c r="XEC12" s="5"/>
      <c r="XED12" s="5"/>
      <c r="XEE12" s="5"/>
      <c r="XEF12" s="5"/>
      <c r="XEG12" s="5"/>
      <c r="XEH12" s="5"/>
      <c r="XEI12" s="5"/>
      <c r="XEJ12" s="5"/>
    </row>
    <row r="13" s="1" customFormat="1" ht="16.5" spans="1:6 16252:16364">
      <c r="A13" s="8">
        <v>11</v>
      </c>
      <c r="B13" s="9" t="s">
        <v>168</v>
      </c>
      <c r="C13" s="8">
        <v>7840</v>
      </c>
      <c r="D13" s="8">
        <v>490</v>
      </c>
      <c r="E13" s="8">
        <v>88</v>
      </c>
      <c r="F13" s="8">
        <v>43120</v>
      </c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/>
      <c r="XBM13"/>
      <c r="XBN13"/>
      <c r="XBO13" s="5"/>
      <c r="XBP13" s="5"/>
      <c r="XBQ13" s="5"/>
      <c r="XBR13" s="5"/>
      <c r="XBS13" s="5"/>
      <c r="XBT13" s="5"/>
      <c r="XBU13" s="5"/>
      <c r="XBV13" s="5"/>
      <c r="XBW13" s="5"/>
      <c r="XBX13" s="5"/>
      <c r="XBY13" s="5"/>
      <c r="XBZ13" s="5"/>
      <c r="XCA13" s="5"/>
      <c r="XCB13" s="5"/>
      <c r="XCC13" s="5"/>
      <c r="XCD13" s="5"/>
      <c r="XCE13" s="5"/>
      <c r="XCF13" s="5"/>
      <c r="XCG13" s="5"/>
      <c r="XCH13" s="5"/>
      <c r="XCI13" s="5"/>
      <c r="XCJ13" s="5"/>
      <c r="XCK13" s="5"/>
      <c r="XCL13" s="5"/>
      <c r="XCM13" s="5"/>
      <c r="XCN13" s="5"/>
      <c r="XCO13" s="5"/>
      <c r="XCP13" s="5"/>
      <c r="XCQ13" s="5"/>
      <c r="XCR13" s="5"/>
      <c r="XCS13" s="5"/>
      <c r="XCT13" s="5"/>
      <c r="XCU13" s="5"/>
      <c r="XCV13" s="5"/>
      <c r="XCW13" s="5"/>
      <c r="XCX13" s="5"/>
      <c r="XCY13" s="5"/>
      <c r="XCZ13" s="5"/>
      <c r="XDA13" s="5"/>
      <c r="XDB13" s="5"/>
      <c r="XDC13" s="5"/>
      <c r="XDD13" s="5"/>
      <c r="XDE13" s="5"/>
      <c r="XDF13" s="5"/>
      <c r="XDG13" s="5"/>
      <c r="XDH13" s="5"/>
      <c r="XDI13" s="5"/>
      <c r="XDJ13" s="5"/>
      <c r="XDK13" s="5"/>
      <c r="XDL13" s="5"/>
      <c r="XDM13" s="5"/>
      <c r="XDN13" s="5"/>
      <c r="XDO13" s="5"/>
      <c r="XDP13" s="5"/>
      <c r="XDQ13" s="5"/>
      <c r="XDR13" s="5"/>
      <c r="XDS13" s="5"/>
      <c r="XDT13" s="5"/>
      <c r="XDU13" s="5"/>
      <c r="XDV13" s="5"/>
      <c r="XDW13" s="5"/>
      <c r="XDX13" s="5"/>
      <c r="XDY13" s="5"/>
      <c r="XDZ13" s="5"/>
      <c r="XEA13" s="5"/>
      <c r="XEB13" s="5"/>
      <c r="XEC13" s="5"/>
      <c r="XED13" s="5"/>
      <c r="XEE13" s="5"/>
      <c r="XEF13" s="5"/>
      <c r="XEG13" s="5"/>
      <c r="XEH13" s="5"/>
      <c r="XEI13" s="5"/>
      <c r="XEJ13" s="5"/>
    </row>
    <row r="14" s="1" customFormat="1" ht="16.5" spans="1:6 16252:16364">
      <c r="A14" s="8">
        <v>12</v>
      </c>
      <c r="B14" s="9" t="s">
        <v>169</v>
      </c>
      <c r="C14" s="8">
        <v>190</v>
      </c>
      <c r="D14" s="8">
        <v>10</v>
      </c>
      <c r="E14" s="8">
        <v>104.5</v>
      </c>
      <c r="F14" s="8">
        <v>1045</v>
      </c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 s="5"/>
      <c r="XBP14" s="5"/>
      <c r="XBQ14" s="5"/>
      <c r="XBR14" s="5"/>
      <c r="XBS14" s="5"/>
      <c r="XBT14" s="5"/>
      <c r="XBU14" s="5"/>
      <c r="XBV14" s="5"/>
      <c r="XBW14" s="5"/>
      <c r="XBX14" s="5"/>
      <c r="XBY14" s="5"/>
      <c r="XBZ14" s="5"/>
      <c r="XCA14" s="5"/>
      <c r="XCB14" s="5"/>
      <c r="XCC14" s="5"/>
      <c r="XCD14" s="5"/>
      <c r="XCE14" s="5"/>
      <c r="XCF14" s="5"/>
      <c r="XCG14" s="5"/>
      <c r="XCH14" s="5"/>
      <c r="XCI14" s="5"/>
      <c r="XCJ14" s="5"/>
      <c r="XCK14" s="5"/>
      <c r="XCL14" s="5"/>
      <c r="XCM14" s="5"/>
      <c r="XCN14" s="5"/>
      <c r="XCO14" s="5"/>
      <c r="XCP14" s="5"/>
      <c r="XCQ14" s="5"/>
      <c r="XCR14" s="5"/>
      <c r="XCS14" s="5"/>
      <c r="XCT14" s="5"/>
      <c r="XCU14" s="5"/>
      <c r="XCV14" s="5"/>
      <c r="XCW14" s="5"/>
      <c r="XCX14" s="5"/>
      <c r="XCY14" s="5"/>
      <c r="XCZ14" s="5"/>
      <c r="XDA14" s="5"/>
      <c r="XDB14" s="5"/>
      <c r="XDC14" s="5"/>
      <c r="XDD14" s="5"/>
      <c r="XDE14" s="5"/>
      <c r="XDF14" s="5"/>
      <c r="XDG14" s="5"/>
      <c r="XDH14" s="5"/>
      <c r="XDI14" s="5"/>
      <c r="XDJ14" s="5"/>
      <c r="XDK14" s="5"/>
      <c r="XDL14" s="5"/>
      <c r="XDM14" s="5"/>
      <c r="XDN14" s="5"/>
      <c r="XDO14" s="5"/>
      <c r="XDP14" s="5"/>
      <c r="XDQ14" s="5"/>
      <c r="XDR14" s="5"/>
      <c r="XDS14" s="5"/>
      <c r="XDT14" s="5"/>
      <c r="XDU14" s="5"/>
      <c r="XDV14" s="5"/>
      <c r="XDW14" s="5"/>
      <c r="XDX14" s="5"/>
      <c r="XDY14" s="5"/>
      <c r="XDZ14" s="5"/>
      <c r="XEA14" s="5"/>
      <c r="XEB14" s="5"/>
      <c r="XEC14" s="5"/>
      <c r="XED14" s="5"/>
      <c r="XEE14" s="5"/>
      <c r="XEF14" s="5"/>
      <c r="XEG14" s="5"/>
      <c r="XEH14" s="5"/>
      <c r="XEI14" s="5"/>
      <c r="XEJ14" s="5"/>
    </row>
    <row r="15" s="1" customFormat="1" ht="16.5" spans="1:6 16252:16364">
      <c r="A15" s="8">
        <v>13</v>
      </c>
      <c r="B15" s="9" t="s">
        <v>170</v>
      </c>
      <c r="C15" s="8">
        <v>2</v>
      </c>
      <c r="D15" s="8">
        <v>2</v>
      </c>
      <c r="E15" s="8">
        <v>16.5</v>
      </c>
      <c r="F15" s="8">
        <v>33</v>
      </c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 s="5"/>
      <c r="XBP15" s="5"/>
      <c r="XBQ15" s="5"/>
      <c r="XBR15" s="5"/>
      <c r="XBS15" s="5"/>
      <c r="XBT15" s="5"/>
      <c r="XBU15" s="5"/>
      <c r="XBV15" s="5"/>
      <c r="XBW15" s="5"/>
      <c r="XBX15" s="5"/>
      <c r="XBY15" s="5"/>
      <c r="XBZ15" s="5"/>
      <c r="XCA15" s="5"/>
      <c r="XCB15" s="5"/>
      <c r="XCC15" s="5"/>
      <c r="XCD15" s="5"/>
      <c r="XCE15" s="5"/>
      <c r="XCF15" s="5"/>
      <c r="XCG15" s="5"/>
      <c r="XCH15" s="5"/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  <c r="XEC15" s="5"/>
      <c r="XED15" s="5"/>
      <c r="XEE15" s="5"/>
      <c r="XEF15" s="5"/>
      <c r="XEG15" s="5"/>
      <c r="XEH15" s="5"/>
      <c r="XEI15" s="5"/>
      <c r="XEJ15" s="5"/>
    </row>
    <row r="16" s="1" customFormat="1" ht="16.5" spans="1:6 16252:16364">
      <c r="A16" s="8">
        <v>14</v>
      </c>
      <c r="B16" s="9" t="s">
        <v>171</v>
      </c>
      <c r="C16" s="8">
        <v>2</v>
      </c>
      <c r="D16" s="8">
        <v>1</v>
      </c>
      <c r="E16" s="8">
        <v>16.5</v>
      </c>
      <c r="F16" s="8">
        <v>16.5</v>
      </c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 s="5"/>
      <c r="XBP16" s="5"/>
      <c r="XBQ16" s="5"/>
      <c r="XBR16" s="5"/>
      <c r="XBS16" s="5"/>
      <c r="XBT16" s="5"/>
      <c r="XBU16" s="5"/>
      <c r="XBV16" s="5"/>
      <c r="XBW16" s="5"/>
      <c r="XBX16" s="5"/>
      <c r="XBY16" s="5"/>
      <c r="XBZ16" s="5"/>
      <c r="XCA16" s="5"/>
      <c r="XCB16" s="5"/>
      <c r="XCC16" s="5"/>
      <c r="XCD16" s="5"/>
      <c r="XCE16" s="5"/>
      <c r="XCF16" s="5"/>
      <c r="XCG16" s="5"/>
      <c r="XCH16" s="5"/>
      <c r="XCI16" s="5"/>
      <c r="XCJ16" s="5"/>
      <c r="XCK16" s="5"/>
      <c r="XCL16" s="5"/>
      <c r="XCM16" s="5"/>
      <c r="XCN16" s="5"/>
      <c r="XCO16" s="5"/>
      <c r="XCP16" s="5"/>
      <c r="XCQ16" s="5"/>
      <c r="XCR16" s="5"/>
      <c r="XCS16" s="5"/>
      <c r="XCT16" s="5"/>
      <c r="XCU16" s="5"/>
      <c r="XCV16" s="5"/>
      <c r="XCW16" s="5"/>
      <c r="XCX16" s="5"/>
      <c r="XCY16" s="5"/>
      <c r="XCZ16" s="5"/>
      <c r="XDA16" s="5"/>
      <c r="XDB16" s="5"/>
      <c r="XDC16" s="5"/>
      <c r="XDD16" s="5"/>
      <c r="XDE16" s="5"/>
      <c r="XDF16" s="5"/>
      <c r="XDG16" s="5"/>
      <c r="XDH16" s="5"/>
      <c r="XDI16" s="5"/>
      <c r="XDJ16" s="5"/>
      <c r="XDK16" s="5"/>
      <c r="XDL16" s="5"/>
      <c r="XDM16" s="5"/>
      <c r="XDN16" s="5"/>
      <c r="XDO16" s="5"/>
      <c r="XDP16" s="5"/>
      <c r="XDQ16" s="5"/>
      <c r="XDR16" s="5"/>
      <c r="XDS16" s="5"/>
      <c r="XDT16" s="5"/>
      <c r="XDU16" s="5"/>
      <c r="XDV16" s="5"/>
      <c r="XDW16" s="5"/>
      <c r="XDX16" s="5"/>
      <c r="XDY16" s="5"/>
      <c r="XDZ16" s="5"/>
      <c r="XEA16" s="5"/>
      <c r="XEB16" s="5"/>
      <c r="XEC16" s="5"/>
      <c r="XED16" s="5"/>
      <c r="XEE16" s="5"/>
      <c r="XEF16" s="5"/>
      <c r="XEG16" s="5"/>
      <c r="XEH16" s="5"/>
      <c r="XEI16" s="5"/>
      <c r="XEJ16" s="5"/>
    </row>
    <row r="17" s="1" customFormat="1" ht="16.5" spans="1:6 16252:16366">
      <c r="A17" s="8">
        <v>15</v>
      </c>
      <c r="B17" s="9" t="s">
        <v>172</v>
      </c>
      <c r="C17" s="8">
        <v>7</v>
      </c>
      <c r="D17" s="8">
        <v>7</v>
      </c>
      <c r="E17" s="8">
        <v>8</v>
      </c>
      <c r="F17" s="8">
        <v>56</v>
      </c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/>
      <c r="XBL17"/>
      <c r="XBM17"/>
      <c r="XBN17"/>
      <c r="XBO17" s="5"/>
      <c r="XBP17" s="5"/>
      <c r="XBQ17" s="5"/>
      <c r="XBR17" s="5"/>
      <c r="XBS17" s="5"/>
      <c r="XBT17" s="5"/>
      <c r="XBU17" s="5"/>
      <c r="XBV17" s="5"/>
      <c r="XBW17" s="5"/>
      <c r="XBX17" s="5"/>
      <c r="XBY17" s="5"/>
      <c r="XBZ17" s="5"/>
      <c r="XCA17" s="5"/>
      <c r="XCB17" s="5"/>
      <c r="XCC17" s="5"/>
      <c r="XCD17" s="5"/>
      <c r="XCE17" s="5"/>
      <c r="XCF17" s="5"/>
      <c r="XCG17" s="5"/>
      <c r="XCH17" s="5"/>
      <c r="XCI17" s="5"/>
      <c r="XCJ17" s="5"/>
      <c r="XCK17" s="5"/>
      <c r="XCL17" s="5"/>
      <c r="XCM17" s="5"/>
      <c r="XCN17" s="5"/>
      <c r="XCO17" s="5"/>
      <c r="XCP17" s="5"/>
      <c r="XCQ17" s="5"/>
      <c r="XCR17" s="5"/>
      <c r="XCS17" s="5"/>
      <c r="XCT17" s="5"/>
      <c r="XCU17" s="5"/>
      <c r="XCV17" s="5"/>
      <c r="XCW17" s="5"/>
      <c r="XCX17" s="5"/>
      <c r="XCY17" s="5"/>
      <c r="XCZ17" s="5"/>
      <c r="XDA17" s="5"/>
      <c r="XDB17" s="5"/>
      <c r="XDC17" s="5"/>
      <c r="XDD17" s="5"/>
      <c r="XDE17" s="5"/>
      <c r="XDF17" s="5"/>
      <c r="XDG17" s="5"/>
      <c r="XDH17" s="5"/>
      <c r="XDI17" s="5"/>
      <c r="XDJ17" s="5"/>
      <c r="XDK17" s="5"/>
      <c r="XDL17" s="5"/>
      <c r="XDM17" s="5"/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  <c r="XEC17" s="5"/>
      <c r="XED17" s="5"/>
      <c r="XEE17" s="5"/>
      <c r="XEF17" s="5"/>
      <c r="XEG17" s="5"/>
      <c r="XEH17" s="5"/>
      <c r="XEI17" s="5"/>
      <c r="XEJ17" s="5"/>
    </row>
    <row r="18" s="1" customFormat="1" ht="16.5" spans="1:6 16252:16366">
      <c r="A18" s="8">
        <v>16</v>
      </c>
      <c r="B18" s="9" t="s">
        <v>173</v>
      </c>
      <c r="C18" s="8">
        <v>2</v>
      </c>
      <c r="D18" s="8">
        <v>1</v>
      </c>
      <c r="E18" s="8">
        <v>16.5</v>
      </c>
      <c r="F18" s="8">
        <v>16.5</v>
      </c>
      <c r="XAB18"/>
      <c r="XAC18"/>
      <c r="XAD18"/>
      <c r="XAE18"/>
      <c r="XAF18"/>
      <c r="XAG18"/>
      <c r="XAH18"/>
      <c r="XAI18"/>
      <c r="XAJ18"/>
      <c r="XAK18"/>
      <c r="XAL18"/>
      <c r="XAM18"/>
      <c r="XAN18"/>
      <c r="XAO18"/>
      <c r="XAP18"/>
      <c r="XAQ18"/>
      <c r="XAR18"/>
      <c r="XAS18"/>
      <c r="XAT18"/>
      <c r="XAU18"/>
      <c r="XAV18"/>
      <c r="XAW18"/>
      <c r="XAX18"/>
      <c r="XAY18"/>
      <c r="XAZ18"/>
      <c r="XBA18"/>
      <c r="XBB18"/>
      <c r="XBC18"/>
      <c r="XBD18"/>
      <c r="XBE18"/>
      <c r="XBF18"/>
      <c r="XBG18"/>
      <c r="XBH18"/>
      <c r="XBI18"/>
      <c r="XBJ18"/>
      <c r="XBK18"/>
      <c r="XBL18"/>
      <c r="XBM18"/>
      <c r="XBN18"/>
      <c r="XBO18" s="5"/>
      <c r="XBP18" s="5"/>
      <c r="XBQ18" s="5"/>
      <c r="XBR18" s="5"/>
      <c r="XBS18" s="5"/>
      <c r="XBT18" s="5"/>
      <c r="XBU18" s="5"/>
      <c r="XBV18" s="5"/>
      <c r="XBW18" s="5"/>
      <c r="XBX18" s="5"/>
      <c r="XBY18" s="5"/>
      <c r="XBZ18" s="5"/>
      <c r="XCA18" s="5"/>
      <c r="XCB18" s="5"/>
      <c r="XCC18" s="5"/>
      <c r="XCD18" s="5"/>
      <c r="XCE18" s="5"/>
      <c r="XCF18" s="5"/>
      <c r="XCG18" s="5"/>
      <c r="XCH18" s="5"/>
      <c r="XCI18" s="5"/>
      <c r="XCJ18" s="5"/>
      <c r="XCK18" s="5"/>
      <c r="XCL18" s="5"/>
      <c r="XCM18" s="5"/>
      <c r="XCN18" s="5"/>
      <c r="XCO18" s="5"/>
      <c r="XCP18" s="5"/>
      <c r="XCQ18" s="5"/>
      <c r="XCR18" s="5"/>
      <c r="XCS18" s="5"/>
      <c r="XCT18" s="5"/>
      <c r="XCU18" s="5"/>
      <c r="XCV18" s="5"/>
      <c r="XCW18" s="5"/>
      <c r="XCX18" s="5"/>
      <c r="XCY18" s="5"/>
      <c r="XCZ18" s="5"/>
      <c r="XDA18" s="5"/>
      <c r="XDB18" s="5"/>
      <c r="XDC18" s="5"/>
      <c r="XDD18" s="5"/>
      <c r="XDE18" s="5"/>
      <c r="XDF18" s="5"/>
      <c r="XDG18" s="5"/>
      <c r="XDH18" s="5"/>
      <c r="XDI18" s="5"/>
      <c r="XDJ18" s="5"/>
      <c r="XDK18" s="5"/>
      <c r="XDL18" s="5"/>
      <c r="XDM18" s="5"/>
      <c r="XDN18" s="5"/>
      <c r="XDO18" s="5"/>
      <c r="XDP18" s="5"/>
      <c r="XDQ18" s="5"/>
      <c r="XDR18" s="5"/>
      <c r="XDS18" s="5"/>
      <c r="XDT18" s="5"/>
      <c r="XDU18" s="5"/>
      <c r="XDV18" s="5"/>
      <c r="XDW18" s="5"/>
      <c r="XDX18" s="5"/>
      <c r="XDY18" s="5"/>
      <c r="XDZ18" s="5"/>
      <c r="XEA18" s="5"/>
      <c r="XEB18" s="5"/>
      <c r="XEC18" s="5"/>
      <c r="XED18" s="5"/>
      <c r="XEE18" s="5"/>
      <c r="XEF18" s="5"/>
      <c r="XEG18" s="5"/>
      <c r="XEH18" s="5"/>
      <c r="XEI18" s="5"/>
      <c r="XEJ18" s="5"/>
    </row>
    <row r="19" s="1" customFormat="1" ht="16.5" spans="1:6 16252:16366">
      <c r="A19" s="8">
        <v>17</v>
      </c>
      <c r="B19" s="9" t="s">
        <v>174</v>
      </c>
      <c r="C19" s="8">
        <v>2</v>
      </c>
      <c r="D19" s="8">
        <v>1</v>
      </c>
      <c r="E19" s="8">
        <v>16.5</v>
      </c>
      <c r="F19" s="8">
        <v>16.5</v>
      </c>
      <c r="XAB19"/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/>
      <c r="XBJ19"/>
      <c r="XBK19"/>
      <c r="XBL19"/>
      <c r="XBM19"/>
      <c r="XBN19"/>
      <c r="XBO19" s="5"/>
      <c r="XBP19" s="5"/>
      <c r="XBQ19" s="5"/>
      <c r="XBR19" s="5"/>
      <c r="XBS19" s="5"/>
      <c r="XBT19" s="5"/>
      <c r="XBU19" s="5"/>
      <c r="XBV19" s="5"/>
      <c r="XBW19" s="5"/>
      <c r="XBX19" s="5"/>
      <c r="XBY19" s="5"/>
      <c r="XBZ19" s="5"/>
      <c r="XCA19" s="5"/>
      <c r="XCB19" s="5"/>
      <c r="XCC19" s="5"/>
      <c r="XCD19" s="5"/>
      <c r="XCE19" s="5"/>
      <c r="XCF19" s="5"/>
      <c r="XCG19" s="5"/>
      <c r="XCH19" s="5"/>
      <c r="XCI19" s="5"/>
      <c r="XCJ19" s="5"/>
      <c r="XCK19" s="5"/>
      <c r="XCL19" s="5"/>
      <c r="XCM19" s="5"/>
      <c r="XCN19" s="5"/>
      <c r="XCO19" s="5"/>
      <c r="XCP19" s="5"/>
      <c r="XCQ19" s="5"/>
      <c r="XCR19" s="5"/>
      <c r="XCS19" s="5"/>
      <c r="XCT19" s="5"/>
      <c r="XCU19" s="5"/>
      <c r="XCV19" s="5"/>
      <c r="XCW19" s="5"/>
      <c r="XCX19" s="5"/>
      <c r="XCY19" s="5"/>
      <c r="XCZ19" s="5"/>
      <c r="XDA19" s="5"/>
      <c r="XDB19" s="5"/>
      <c r="XDC19" s="5"/>
      <c r="XDD19" s="5"/>
      <c r="XDE19" s="5"/>
      <c r="XDF19" s="5"/>
      <c r="XDG19" s="5"/>
      <c r="XDH19" s="5"/>
      <c r="XDI19" s="5"/>
      <c r="XDJ19" s="5"/>
      <c r="XDK19" s="5"/>
      <c r="XDL19" s="5"/>
      <c r="XDM19" s="5"/>
      <c r="XDN19" s="5"/>
      <c r="XDO19" s="5"/>
      <c r="XDP19" s="5"/>
      <c r="XDQ19" s="5"/>
      <c r="XDR19" s="5"/>
      <c r="XDS19" s="5"/>
      <c r="XDT19" s="5"/>
      <c r="XDU19" s="5"/>
      <c r="XDV19" s="5"/>
      <c r="XDW19" s="5"/>
      <c r="XDX19" s="5"/>
      <c r="XDY19" s="5"/>
      <c r="XDZ19" s="5"/>
      <c r="XEA19" s="5"/>
      <c r="XEB19" s="5"/>
      <c r="XEC19" s="5"/>
      <c r="XED19" s="5"/>
      <c r="XEE19" s="5"/>
      <c r="XEF19" s="5"/>
      <c r="XEG19" s="5"/>
      <c r="XEH19" s="5"/>
      <c r="XEI19" s="5"/>
      <c r="XEJ19" s="5"/>
    </row>
    <row r="20" s="1" customFormat="1" ht="16.5" spans="1:6 16252:16366">
      <c r="A20" s="8">
        <v>18</v>
      </c>
      <c r="B20" s="9" t="s">
        <v>48</v>
      </c>
      <c r="C20" s="8">
        <v>2</v>
      </c>
      <c r="D20" s="8">
        <v>1</v>
      </c>
      <c r="E20" s="8">
        <v>16.5</v>
      </c>
      <c r="F20" s="8">
        <v>16.5</v>
      </c>
      <c r="XAB20"/>
      <c r="XAC20"/>
      <c r="XAD20"/>
      <c r="XAE20"/>
      <c r="XAF20"/>
      <c r="XAG20"/>
      <c r="XAH20"/>
      <c r="XAI20"/>
      <c r="XAJ20"/>
      <c r="XAK20"/>
      <c r="XAL20"/>
      <c r="XAM20"/>
      <c r="XAN20"/>
      <c r="XAO20"/>
      <c r="XAP20"/>
      <c r="XAQ20"/>
      <c r="XAR20"/>
      <c r="XAS20"/>
      <c r="XAT20"/>
      <c r="XAU20"/>
      <c r="XAV20"/>
      <c r="XAW20"/>
      <c r="XAX20"/>
      <c r="XAY20"/>
      <c r="XAZ20"/>
      <c r="XBA20"/>
      <c r="XBB20"/>
      <c r="XBC20"/>
      <c r="XBD20"/>
      <c r="XBE20"/>
      <c r="XBF20"/>
      <c r="XBG20"/>
      <c r="XBH20"/>
      <c r="XBI20"/>
      <c r="XBJ20"/>
      <c r="XBK20"/>
      <c r="XBL20"/>
      <c r="XBM20"/>
      <c r="XBN20"/>
      <c r="XBO20" s="5"/>
      <c r="XBP20" s="5"/>
      <c r="XBQ20" s="5"/>
      <c r="XBR20" s="5"/>
      <c r="XBS20" s="5"/>
      <c r="XBT20" s="5"/>
      <c r="XBU20" s="5"/>
      <c r="XBV20" s="5"/>
      <c r="XBW20" s="5"/>
      <c r="XBX20" s="5"/>
      <c r="XBY20" s="5"/>
      <c r="XBZ20" s="5"/>
      <c r="XCA20" s="5"/>
      <c r="XCB20" s="5"/>
      <c r="XCC20" s="5"/>
      <c r="XCD20" s="5"/>
      <c r="XCE20" s="5"/>
      <c r="XCF20" s="5"/>
      <c r="XCG20" s="5"/>
      <c r="XCH20" s="5"/>
      <c r="XCI20" s="5"/>
      <c r="XCJ20" s="5"/>
      <c r="XCK20" s="5"/>
      <c r="XCL20" s="5"/>
      <c r="XCM20" s="5"/>
      <c r="XCN20" s="5"/>
      <c r="XCO20" s="5"/>
      <c r="XCP20" s="5"/>
      <c r="XCQ20" s="5"/>
      <c r="XCR20" s="5"/>
      <c r="XCS20" s="5"/>
      <c r="XCT20" s="5"/>
      <c r="XCU20" s="5"/>
      <c r="XCV20" s="5"/>
      <c r="XCW20" s="5"/>
      <c r="XCX20" s="5"/>
      <c r="XCY20" s="5"/>
      <c r="XCZ20" s="5"/>
      <c r="XDA20" s="5"/>
      <c r="XDB20" s="5"/>
      <c r="XDC20" s="5"/>
      <c r="XDD20" s="5"/>
      <c r="XDE20" s="5"/>
      <c r="XDF20" s="5"/>
      <c r="XDG20" s="5"/>
      <c r="XDH20" s="5"/>
      <c r="XDI20" s="5"/>
      <c r="XDJ20" s="5"/>
      <c r="XDK20" s="5"/>
      <c r="XDL20" s="5"/>
      <c r="XDM20" s="5"/>
      <c r="XDN20" s="5"/>
      <c r="XDO20" s="5"/>
      <c r="XDP20" s="5"/>
      <c r="XDQ20" s="5"/>
      <c r="XDR20" s="5"/>
      <c r="XDS20" s="5"/>
      <c r="XDT20" s="5"/>
      <c r="XDU20" s="5"/>
      <c r="XDV20" s="5"/>
      <c r="XDW20" s="5"/>
      <c r="XDX20" s="5"/>
      <c r="XDY20" s="5"/>
      <c r="XDZ20" s="5"/>
      <c r="XEA20" s="5"/>
      <c r="XEB20" s="5"/>
      <c r="XEC20" s="5"/>
      <c r="XED20" s="5"/>
      <c r="XEE20" s="5"/>
      <c r="XEF20" s="5"/>
      <c r="XEG20" s="5"/>
      <c r="XEH20" s="5"/>
      <c r="XEI20" s="5"/>
      <c r="XEJ20" s="5"/>
    </row>
    <row r="21" s="1" customFormat="1" ht="16.5" spans="1:6 16252:16366">
      <c r="A21" s="8">
        <v>19</v>
      </c>
      <c r="B21" s="10" t="s">
        <v>51</v>
      </c>
      <c r="C21" s="8">
        <v>6</v>
      </c>
      <c r="D21" s="8">
        <v>6</v>
      </c>
      <c r="E21" s="8">
        <v>16.5</v>
      </c>
      <c r="F21" s="8">
        <v>99</v>
      </c>
      <c r="XAB21" s="11"/>
      <c r="XAC21" s="11"/>
      <c r="XAD21" s="11"/>
      <c r="XAE21" s="11"/>
      <c r="XAF21" s="11"/>
      <c r="XAG21" s="11"/>
      <c r="XAH21" s="11"/>
      <c r="XAI21" s="11"/>
      <c r="XAJ21" s="11"/>
      <c r="XAK21" s="11"/>
      <c r="XAL21" s="11"/>
      <c r="XAM21" s="11"/>
      <c r="XAN21" s="11"/>
      <c r="XAO21" s="11"/>
      <c r="XAP21" s="11"/>
      <c r="XAQ21" s="11"/>
      <c r="XAR21" s="11"/>
      <c r="XAS21" s="11"/>
      <c r="XAT21" s="11"/>
      <c r="XAU21" s="11"/>
      <c r="XAV21" s="11"/>
      <c r="XAW21" s="11"/>
      <c r="XAX21" s="11"/>
      <c r="XAY21" s="11"/>
      <c r="XAZ21" s="11"/>
      <c r="XBA21" s="11"/>
      <c r="XBB21" s="11"/>
      <c r="XBC21" s="11"/>
      <c r="XBD21" s="11"/>
      <c r="XBE21" s="11"/>
      <c r="XBF21" s="11"/>
      <c r="XBG21" s="11"/>
      <c r="XBH21" s="11"/>
      <c r="XBI21" s="11"/>
      <c r="XBJ21" s="11"/>
      <c r="XBK21" s="11"/>
      <c r="XBL21" s="11"/>
      <c r="XBM21" s="11"/>
      <c r="XBN21" s="11"/>
      <c r="XBO21" s="5"/>
      <c r="XBP21" s="5"/>
      <c r="XBQ21" s="5"/>
      <c r="XBR21" s="5"/>
      <c r="XBS21" s="5"/>
      <c r="XBT21" s="5"/>
      <c r="XBU21" s="5"/>
      <c r="XBV21" s="5"/>
      <c r="XBW21" s="5"/>
      <c r="XBX21" s="5"/>
      <c r="XBY21" s="5"/>
      <c r="XBZ21" s="5"/>
      <c r="XCA21" s="5"/>
      <c r="XCB21" s="5"/>
      <c r="XCC21" s="5"/>
      <c r="XCD21" s="5"/>
      <c r="XCE21" s="5"/>
      <c r="XCF21" s="5"/>
      <c r="XCG21" s="5"/>
      <c r="XCH21" s="5"/>
      <c r="XCI21" s="5"/>
      <c r="XCJ21" s="5"/>
      <c r="XCK21" s="5"/>
      <c r="XCL21" s="5"/>
      <c r="XCM21" s="5"/>
      <c r="XCN21" s="5"/>
      <c r="XCO21" s="5"/>
      <c r="XCP21" s="5"/>
      <c r="XCQ21" s="5"/>
      <c r="XCR21" s="5"/>
      <c r="XCS21" s="5"/>
      <c r="XCT21" s="5"/>
      <c r="XCU21" s="5"/>
      <c r="XCV21" s="5"/>
      <c r="XCW21" s="5"/>
      <c r="XCX21" s="5"/>
      <c r="XCY21" s="5"/>
      <c r="XCZ21" s="5"/>
      <c r="XDA21" s="5"/>
      <c r="XDB21" s="5"/>
      <c r="XDC21" s="5"/>
      <c r="XDD21" s="5"/>
      <c r="XDE21" s="5"/>
      <c r="XDF21" s="5"/>
      <c r="XDG21" s="5"/>
      <c r="XDH21" s="5"/>
      <c r="XDI21" s="5"/>
      <c r="XDJ21" s="5"/>
      <c r="XDK21" s="5"/>
      <c r="XDL21" s="5"/>
      <c r="XDM21" s="5"/>
      <c r="XDN21" s="5"/>
      <c r="XDO21" s="5"/>
      <c r="XDP21" s="5"/>
      <c r="XDQ21" s="5"/>
      <c r="XDR21" s="5"/>
      <c r="XDS21" s="5"/>
      <c r="XDT21" s="5"/>
      <c r="XDU21" s="5"/>
      <c r="XDV21" s="5"/>
      <c r="XDW21" s="5"/>
      <c r="XDX21" s="5"/>
      <c r="XDY21" s="5"/>
      <c r="XDZ21" s="5"/>
      <c r="XEA21" s="5"/>
      <c r="XEB21" s="5"/>
      <c r="XEC21" s="5"/>
      <c r="XED21" s="5"/>
      <c r="XEE21" s="5"/>
      <c r="XEF21" s="5"/>
      <c r="XEG21" s="5"/>
      <c r="XEH21" s="5"/>
      <c r="XEI21" s="5"/>
      <c r="XEJ21" s="5"/>
      <c r="XEK21" s="5"/>
      <c r="XEL21" s="5"/>
    </row>
    <row r="22" s="1" customFormat="1" ht="16.5" spans="1:6 16252:16366">
      <c r="A22" s="8">
        <v>20</v>
      </c>
      <c r="B22" s="9" t="s">
        <v>175</v>
      </c>
      <c r="C22" s="8">
        <v>22</v>
      </c>
      <c r="D22" s="8">
        <v>22</v>
      </c>
      <c r="E22" s="8">
        <v>8</v>
      </c>
      <c r="F22" s="8">
        <v>176</v>
      </c>
      <c r="XAB22"/>
      <c r="XAC22"/>
      <c r="XAD22"/>
      <c r="XAE22"/>
      <c r="XAF22"/>
      <c r="XAG22"/>
      <c r="XAH22"/>
      <c r="XAI22"/>
      <c r="XAJ22"/>
      <c r="XAK22"/>
      <c r="XAL22"/>
      <c r="XAM22"/>
      <c r="XAN22"/>
      <c r="XAO22"/>
      <c r="XAP22"/>
      <c r="XAQ22"/>
      <c r="XAR22"/>
      <c r="XAS22"/>
      <c r="XAT22"/>
      <c r="XAU22"/>
      <c r="XAV22"/>
      <c r="XAW22"/>
      <c r="XAX22"/>
      <c r="XAY22"/>
      <c r="XAZ22"/>
      <c r="XBA22"/>
      <c r="XBB22"/>
      <c r="XBC22"/>
      <c r="XBD22"/>
      <c r="XBE22"/>
      <c r="XBF22"/>
      <c r="XBG22"/>
      <c r="XBH22"/>
      <c r="XBI22"/>
      <c r="XBJ22"/>
      <c r="XBK22"/>
      <c r="XBL22"/>
      <c r="XBM22"/>
      <c r="XBN22"/>
      <c r="XBO22" s="5"/>
      <c r="XBP22" s="5"/>
      <c r="XBQ22" s="5"/>
      <c r="XBR22" s="5"/>
      <c r="XBS22" s="5"/>
      <c r="XBT22" s="5"/>
      <c r="XBU22" s="5"/>
      <c r="XBV22" s="5"/>
      <c r="XBW22" s="5"/>
      <c r="XBX22" s="5"/>
      <c r="XBY22" s="5"/>
      <c r="XBZ22" s="5"/>
      <c r="XCA22" s="5"/>
      <c r="XCB22" s="5"/>
      <c r="XCC22" s="5"/>
      <c r="XCD22" s="5"/>
      <c r="XCE22" s="5"/>
      <c r="XCF22" s="5"/>
      <c r="XCG22" s="5"/>
      <c r="XCH22" s="5"/>
      <c r="XCI22" s="5"/>
      <c r="XCJ22" s="5"/>
      <c r="XCK22" s="5"/>
      <c r="XCL22" s="5"/>
      <c r="XCM22" s="5"/>
      <c r="XCN22" s="5"/>
      <c r="XCO22" s="5"/>
      <c r="XCP22" s="5"/>
      <c r="XCQ22" s="5"/>
      <c r="XCR22" s="5"/>
      <c r="XCS22" s="5"/>
      <c r="XCT22" s="5"/>
      <c r="XCU22" s="5"/>
      <c r="XCV22" s="5"/>
      <c r="XCW22" s="5"/>
      <c r="XCX22" s="5"/>
      <c r="XCY22" s="5"/>
      <c r="XCZ22" s="5"/>
      <c r="XDA22" s="5"/>
      <c r="XDB22" s="5"/>
      <c r="XDC22" s="5"/>
      <c r="XDD22" s="5"/>
      <c r="XDE22" s="5"/>
      <c r="XDF22" s="5"/>
      <c r="XDG22" s="5"/>
      <c r="XDH22" s="5"/>
      <c r="XDI22" s="5"/>
      <c r="XDJ22" s="5"/>
      <c r="XDK22" s="5"/>
      <c r="XDL22" s="5"/>
      <c r="XDM22" s="5"/>
      <c r="XDN22" s="5"/>
      <c r="XDO22" s="5"/>
      <c r="XDP22" s="5"/>
      <c r="XDQ22" s="5"/>
      <c r="XDR22" s="5"/>
      <c r="XDS22" s="5"/>
      <c r="XDT22" s="5"/>
      <c r="XDU22" s="5"/>
      <c r="XDV22" s="5"/>
      <c r="XDW22" s="5"/>
      <c r="XDX22" s="5"/>
      <c r="XDY22" s="5"/>
      <c r="XDZ22" s="5"/>
      <c r="XEA22" s="5"/>
      <c r="XEB22" s="5"/>
      <c r="XEC22" s="5"/>
      <c r="XED22" s="5"/>
      <c r="XEE22" s="5"/>
      <c r="XEF22" s="5"/>
      <c r="XEG22" s="5"/>
      <c r="XEH22" s="5"/>
      <c r="XEI22" s="5"/>
      <c r="XEJ22" s="5"/>
    </row>
    <row r="23" s="1" customFormat="1" ht="16.5" spans="1:6 16252:16366">
      <c r="A23" s="8">
        <v>21</v>
      </c>
      <c r="B23" s="9" t="s">
        <v>176</v>
      </c>
      <c r="C23" s="8">
        <v>14</v>
      </c>
      <c r="D23" s="8">
        <v>14</v>
      </c>
      <c r="E23" s="8">
        <v>16.5</v>
      </c>
      <c r="F23" s="8">
        <v>231</v>
      </c>
      <c r="XAB23"/>
      <c r="XAC23"/>
      <c r="XAD23"/>
      <c r="XAE23"/>
      <c r="XAF23"/>
      <c r="XAG23"/>
      <c r="XAH23"/>
      <c r="XAI23"/>
      <c r="XAJ23"/>
      <c r="XAK23"/>
      <c r="XAL23"/>
      <c r="XAM23"/>
      <c r="XAN23"/>
      <c r="XAO23"/>
      <c r="XAP23"/>
      <c r="XAQ23"/>
      <c r="XAR23"/>
      <c r="XAS23"/>
      <c r="XAT23"/>
      <c r="XAU23"/>
      <c r="XAV23"/>
      <c r="XAW23"/>
      <c r="XAX23"/>
      <c r="XAY23"/>
      <c r="XAZ23"/>
      <c r="XBA23"/>
      <c r="XBB23"/>
      <c r="XBC23"/>
      <c r="XBD23"/>
      <c r="XBE23"/>
      <c r="XBF23"/>
      <c r="XBG23"/>
      <c r="XBH23"/>
      <c r="XBI23"/>
      <c r="XBJ23"/>
      <c r="XBK23"/>
      <c r="XBL23"/>
      <c r="XBM23"/>
      <c r="XBN23"/>
      <c r="XBO23" s="5"/>
      <c r="XBP23" s="5"/>
      <c r="XBQ23" s="5"/>
      <c r="XBR23" s="5"/>
      <c r="XBS23" s="5"/>
      <c r="XBT23" s="5"/>
      <c r="XBU23" s="5"/>
      <c r="XBV23" s="5"/>
      <c r="XBW23" s="5"/>
      <c r="XBX23" s="5"/>
      <c r="XBY23" s="5"/>
      <c r="XBZ23" s="5"/>
      <c r="XCA23" s="5"/>
      <c r="XCB23" s="5"/>
      <c r="XCC23" s="5"/>
      <c r="XCD23" s="5"/>
      <c r="XCE23" s="5"/>
      <c r="XCF23" s="5"/>
      <c r="XCG23" s="5"/>
      <c r="XCH23" s="5"/>
      <c r="XCI23" s="5"/>
      <c r="XCJ23" s="5"/>
      <c r="XCK23" s="5"/>
      <c r="XCL23" s="5"/>
      <c r="XCM23" s="5"/>
      <c r="XCN23" s="5"/>
      <c r="XCO23" s="5"/>
      <c r="XCP23" s="5"/>
      <c r="XCQ23" s="5"/>
      <c r="XCR23" s="5"/>
      <c r="XCS23" s="5"/>
      <c r="XCT23" s="5"/>
      <c r="XCU23" s="5"/>
      <c r="XCV23" s="5"/>
      <c r="XCW23" s="5"/>
      <c r="XCX23" s="5"/>
      <c r="XCY23" s="5"/>
      <c r="XCZ23" s="5"/>
      <c r="XDA23" s="5"/>
      <c r="XDB23" s="5"/>
      <c r="XDC23" s="5"/>
      <c r="XDD23" s="5"/>
      <c r="XDE23" s="5"/>
      <c r="XDF23" s="5"/>
      <c r="XDG23" s="5"/>
      <c r="XDH23" s="5"/>
      <c r="XDI23" s="5"/>
      <c r="XDJ23" s="5"/>
      <c r="XDK23" s="5"/>
      <c r="XDL23" s="5"/>
      <c r="XDM23" s="5"/>
      <c r="XDN23" s="5"/>
      <c r="XDO23" s="5"/>
      <c r="XDP23" s="5"/>
      <c r="XDQ23" s="5"/>
      <c r="XDR23" s="5"/>
      <c r="XDS23" s="5"/>
      <c r="XDT23" s="5"/>
      <c r="XDU23" s="5"/>
      <c r="XDV23" s="5"/>
      <c r="XDW23" s="5"/>
      <c r="XDX23" s="5"/>
      <c r="XDY23" s="5"/>
      <c r="XDZ23" s="5"/>
      <c r="XEA23" s="5"/>
      <c r="XEB23" s="5"/>
      <c r="XEC23" s="5"/>
      <c r="XED23" s="5"/>
      <c r="XEE23" s="5"/>
      <c r="XEF23" s="5"/>
      <c r="XEG23" s="5"/>
      <c r="XEH23" s="5"/>
      <c r="XEI23" s="5"/>
      <c r="XEJ23" s="5"/>
    </row>
    <row r="24" s="1" customFormat="1" ht="16.5" spans="1:6 16252:16366">
      <c r="A24" s="8">
        <v>22</v>
      </c>
      <c r="B24" s="9" t="s">
        <v>177</v>
      </c>
      <c r="C24" s="8">
        <v>47</v>
      </c>
      <c r="D24" s="8">
        <v>47</v>
      </c>
      <c r="E24" s="8">
        <v>8</v>
      </c>
      <c r="F24" s="8">
        <v>376</v>
      </c>
      <c r="XAB24"/>
      <c r="XAC24"/>
      <c r="XAD24"/>
      <c r="XAE24"/>
      <c r="XAF24"/>
      <c r="XAG24"/>
      <c r="XAH24"/>
      <c r="XAI24"/>
      <c r="XAJ24"/>
      <c r="XAK24"/>
      <c r="XAL24"/>
      <c r="XAM24"/>
      <c r="XAN24"/>
      <c r="XAO24"/>
      <c r="XAP24"/>
      <c r="XAQ24"/>
      <c r="XAR24"/>
      <c r="XAS24"/>
      <c r="XAT24"/>
      <c r="XAU24"/>
      <c r="XAV24"/>
      <c r="XAW24"/>
      <c r="XAX24"/>
      <c r="XAY24"/>
      <c r="XAZ24"/>
      <c r="XBA24"/>
      <c r="XBB24"/>
      <c r="XBC24"/>
      <c r="XBD24"/>
      <c r="XBE24"/>
      <c r="XBF24"/>
      <c r="XBG24"/>
      <c r="XBH24"/>
      <c r="XBI24"/>
      <c r="XBJ24"/>
      <c r="XBK24"/>
      <c r="XBL24"/>
      <c r="XBM24"/>
      <c r="XBN24"/>
      <c r="XBO24" s="5"/>
      <c r="XBP24" s="5"/>
      <c r="XBQ24" s="5"/>
      <c r="XBR24" s="5"/>
      <c r="XBS24" s="5"/>
      <c r="XBT24" s="5"/>
      <c r="XBU24" s="5"/>
      <c r="XBV24" s="5"/>
      <c r="XBW24" s="5"/>
      <c r="XBX24" s="5"/>
      <c r="XBY24" s="5"/>
      <c r="XBZ24" s="5"/>
      <c r="XCA24" s="5"/>
      <c r="XCB24" s="5"/>
      <c r="XCC24" s="5"/>
      <c r="XCD24" s="5"/>
      <c r="XCE24" s="5"/>
      <c r="XCF24" s="5"/>
      <c r="XCG24" s="5"/>
      <c r="XCH24" s="5"/>
      <c r="XCI24" s="5"/>
      <c r="XCJ24" s="5"/>
      <c r="XCK24" s="5"/>
      <c r="XCL24" s="5"/>
      <c r="XCM24" s="5"/>
      <c r="XCN24" s="5"/>
      <c r="XCO24" s="5"/>
      <c r="XCP24" s="5"/>
      <c r="XCQ24" s="5"/>
      <c r="XCR24" s="5"/>
      <c r="XCS24" s="5"/>
      <c r="XCT24" s="5"/>
      <c r="XCU24" s="5"/>
      <c r="XCV24" s="5"/>
      <c r="XCW24" s="5"/>
      <c r="XCX24" s="5"/>
      <c r="XCY24" s="5"/>
      <c r="XCZ24" s="5"/>
      <c r="XDA24" s="5"/>
      <c r="XDB24" s="5"/>
      <c r="XDC24" s="5"/>
      <c r="XDD24" s="5"/>
      <c r="XDE24" s="5"/>
      <c r="XDF24" s="5"/>
      <c r="XDG24" s="5"/>
      <c r="XDH24" s="5"/>
      <c r="XDI24" s="5"/>
      <c r="XDJ24" s="5"/>
      <c r="XDK24" s="5"/>
      <c r="XDL24" s="5"/>
      <c r="XDM24" s="5"/>
      <c r="XDN24" s="5"/>
      <c r="XDO24" s="5"/>
      <c r="XDP24" s="5"/>
      <c r="XDQ24" s="5"/>
      <c r="XDR24" s="5"/>
      <c r="XDS24" s="5"/>
      <c r="XDT24" s="5"/>
      <c r="XDU24" s="5"/>
      <c r="XDV24" s="5"/>
      <c r="XDW24" s="5"/>
      <c r="XDX24" s="5"/>
      <c r="XDY24" s="5"/>
      <c r="XDZ24" s="5"/>
      <c r="XEA24" s="5"/>
      <c r="XEB24" s="5"/>
      <c r="XEC24" s="5"/>
      <c r="XED24" s="5"/>
      <c r="XEE24" s="5"/>
      <c r="XEF24" s="5"/>
      <c r="XEG24" s="5"/>
      <c r="XEH24" s="5"/>
      <c r="XEI24" s="5"/>
      <c r="XEJ24" s="5"/>
    </row>
    <row r="25" s="1" customFormat="1" ht="16.5" spans="1:6 16252:16366">
      <c r="A25" s="8">
        <v>23</v>
      </c>
      <c r="B25" s="9" t="s">
        <v>178</v>
      </c>
      <c r="C25" s="8">
        <v>29</v>
      </c>
      <c r="D25" s="8">
        <v>29</v>
      </c>
      <c r="E25" s="8">
        <v>16.5</v>
      </c>
      <c r="F25" s="8">
        <v>478.5</v>
      </c>
      <c r="XAB25"/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/>
      <c r="XBJ25"/>
      <c r="XBK25"/>
      <c r="XBL25"/>
      <c r="XBM25"/>
      <c r="XBN25"/>
      <c r="XBO25" s="5"/>
      <c r="XBP25" s="5"/>
      <c r="XBQ25" s="5"/>
      <c r="XBR25" s="5"/>
      <c r="XBS25" s="5"/>
      <c r="XBT25" s="5"/>
      <c r="XBU25" s="5"/>
      <c r="XBV25" s="5"/>
      <c r="XBW25" s="5"/>
      <c r="XBX25" s="5"/>
      <c r="XBY25" s="5"/>
      <c r="XBZ25" s="5"/>
      <c r="XCA25" s="5"/>
      <c r="XCB25" s="5"/>
      <c r="XCC25" s="5"/>
      <c r="XCD25" s="5"/>
      <c r="XCE25" s="5"/>
      <c r="XCF25" s="5"/>
      <c r="XCG25" s="5"/>
      <c r="XCH25" s="5"/>
      <c r="XCI25" s="5"/>
      <c r="XCJ25" s="5"/>
      <c r="XCK25" s="5"/>
      <c r="XCL25" s="5"/>
      <c r="XCM25" s="5"/>
      <c r="XCN25" s="5"/>
      <c r="XCO25" s="5"/>
      <c r="XCP25" s="5"/>
      <c r="XCQ25" s="5"/>
      <c r="XCR25" s="5"/>
      <c r="XCS25" s="5"/>
      <c r="XCT25" s="5"/>
      <c r="XCU25" s="5"/>
      <c r="XCV25" s="5"/>
      <c r="XCW25" s="5"/>
      <c r="XCX25" s="5"/>
      <c r="XCY25" s="5"/>
      <c r="XCZ25" s="5"/>
      <c r="XDA25" s="5"/>
      <c r="XDB25" s="5"/>
      <c r="XDC25" s="5"/>
      <c r="XDD25" s="5"/>
      <c r="XDE25" s="5"/>
      <c r="XDF25" s="5"/>
      <c r="XDG25" s="5"/>
      <c r="XDH25" s="5"/>
      <c r="XDI25" s="5"/>
      <c r="XDJ25" s="5"/>
      <c r="XDK25" s="5"/>
      <c r="XDL25" s="5"/>
      <c r="XDM25" s="5"/>
      <c r="XDN25" s="5"/>
      <c r="XDO25" s="5"/>
      <c r="XDP25" s="5"/>
      <c r="XDQ25" s="5"/>
      <c r="XDR25" s="5"/>
      <c r="XDS25" s="5"/>
      <c r="XDT25" s="5"/>
      <c r="XDU25" s="5"/>
      <c r="XDV25" s="5"/>
      <c r="XDW25" s="5"/>
      <c r="XDX25" s="5"/>
      <c r="XDY25" s="5"/>
      <c r="XDZ25" s="5"/>
      <c r="XEA25" s="5"/>
      <c r="XEB25" s="5"/>
      <c r="XEC25" s="5"/>
      <c r="XED25" s="5"/>
      <c r="XEE25" s="5"/>
      <c r="XEF25" s="5"/>
      <c r="XEG25" s="5"/>
      <c r="XEH25" s="5"/>
      <c r="XEI25" s="5"/>
      <c r="XEJ25" s="5"/>
    </row>
    <row r="26" s="1" customFormat="1" ht="16.5" spans="1:6 16252:16366">
      <c r="A26" s="8">
        <v>24</v>
      </c>
      <c r="B26" s="9" t="s">
        <v>179</v>
      </c>
      <c r="C26" s="8">
        <v>120</v>
      </c>
      <c r="D26" s="8">
        <v>60</v>
      </c>
      <c r="E26" s="8">
        <v>13.5</v>
      </c>
      <c r="F26" s="8">
        <v>810</v>
      </c>
      <c r="XAB26"/>
      <c r="XAC26"/>
      <c r="XAD26"/>
      <c r="XAE26"/>
      <c r="XAF26"/>
      <c r="XAG26"/>
      <c r="XAH26"/>
      <c r="XAI26"/>
      <c r="XAJ26"/>
      <c r="XAK26"/>
      <c r="XAL26"/>
      <c r="XAM26"/>
      <c r="XAN26"/>
      <c r="XAO26"/>
      <c r="XAP26"/>
      <c r="XAQ26"/>
      <c r="XAR26"/>
      <c r="XAS26"/>
      <c r="XAT26"/>
      <c r="XAU26"/>
      <c r="XAV26"/>
      <c r="XAW26"/>
      <c r="XAX26"/>
      <c r="XAY26"/>
      <c r="XAZ26"/>
      <c r="XBA26"/>
      <c r="XBB26"/>
      <c r="XBC26"/>
      <c r="XBD26"/>
      <c r="XBE26"/>
      <c r="XBF26"/>
      <c r="XBG26"/>
      <c r="XBH26"/>
      <c r="XBI26"/>
      <c r="XBJ26"/>
      <c r="XBK26"/>
      <c r="XBL26"/>
      <c r="XBM26"/>
      <c r="XBN26"/>
      <c r="XBO26" s="5"/>
      <c r="XBP26" s="5"/>
      <c r="XBQ26" s="5"/>
      <c r="XBR26" s="5"/>
      <c r="XBS26" s="5"/>
      <c r="XBT26" s="5"/>
      <c r="XBU26" s="5"/>
      <c r="XBV26" s="5"/>
      <c r="XBW26" s="5"/>
      <c r="XBX26" s="5"/>
      <c r="XBY26" s="5"/>
      <c r="XBZ26" s="5"/>
      <c r="XCA26" s="5"/>
      <c r="XCB26" s="5"/>
      <c r="XCC26" s="5"/>
      <c r="XCD26" s="5"/>
      <c r="XCE26" s="5"/>
      <c r="XCF26" s="5"/>
      <c r="XCG26" s="5"/>
      <c r="XCH26" s="5"/>
      <c r="XCI26" s="5"/>
      <c r="XCJ26" s="5"/>
      <c r="XCK26" s="5"/>
      <c r="XCL26" s="5"/>
      <c r="XCM26" s="5"/>
      <c r="XCN26" s="5"/>
      <c r="XCO26" s="5"/>
      <c r="XCP26" s="5"/>
      <c r="XCQ26" s="5"/>
      <c r="XCR26" s="5"/>
      <c r="XCS26" s="5"/>
      <c r="XCT26" s="5"/>
      <c r="XCU26" s="5"/>
      <c r="XCV26" s="5"/>
      <c r="XCW26" s="5"/>
      <c r="XCX26" s="5"/>
      <c r="XCY26" s="5"/>
      <c r="XCZ26" s="5"/>
      <c r="XDA26" s="5"/>
      <c r="XDB26" s="5"/>
      <c r="XDC26" s="5"/>
      <c r="XDD26" s="5"/>
      <c r="XDE26" s="5"/>
      <c r="XDF26" s="5"/>
      <c r="XDG26" s="5"/>
      <c r="XDH26" s="5"/>
      <c r="XDI26" s="5"/>
      <c r="XDJ26" s="5"/>
      <c r="XDK26" s="5"/>
      <c r="XDL26" s="5"/>
      <c r="XDM26" s="5"/>
      <c r="XDN26" s="5"/>
      <c r="XDO26" s="5"/>
      <c r="XDP26" s="5"/>
      <c r="XDQ26" s="5"/>
      <c r="XDR26" s="5"/>
      <c r="XDS26" s="5"/>
      <c r="XDT26" s="5"/>
      <c r="XDU26" s="5"/>
      <c r="XDV26" s="5"/>
      <c r="XDW26" s="5"/>
      <c r="XDX26" s="5"/>
      <c r="XDY26" s="5"/>
      <c r="XDZ26" s="5"/>
      <c r="XEA26" s="5"/>
      <c r="XEB26" s="5"/>
      <c r="XEC26" s="5"/>
      <c r="XED26" s="5"/>
      <c r="XEE26" s="5"/>
      <c r="XEF26" s="5"/>
      <c r="XEG26" s="5"/>
      <c r="XEH26" s="5"/>
      <c r="XEI26" s="5"/>
      <c r="XEJ26" s="5"/>
    </row>
    <row r="27" s="1" customFormat="1" ht="16.5" spans="1:6 16252:16366">
      <c r="A27" s="8">
        <v>25</v>
      </c>
      <c r="B27" s="9" t="s">
        <v>180</v>
      </c>
      <c r="C27" s="8">
        <v>5</v>
      </c>
      <c r="D27" s="8">
        <v>5</v>
      </c>
      <c r="E27" s="8">
        <v>11</v>
      </c>
      <c r="F27" s="8">
        <v>55</v>
      </c>
      <c r="XAB27"/>
      <c r="XAC27"/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/>
      <c r="XBJ27"/>
      <c r="XBK27"/>
      <c r="XBL27"/>
      <c r="XBM27"/>
      <c r="XBN27"/>
      <c r="XBO27" s="5"/>
      <c r="XBP27" s="5"/>
      <c r="XBQ27" s="5"/>
      <c r="XBR27" s="5"/>
      <c r="XBS27" s="5"/>
      <c r="XBT27" s="5"/>
      <c r="XBU27" s="5"/>
      <c r="XBV27" s="5"/>
      <c r="XBW27" s="5"/>
      <c r="XBX27" s="5"/>
      <c r="XBY27" s="5"/>
      <c r="XBZ27" s="5"/>
      <c r="XCA27" s="5"/>
      <c r="XCB27" s="5"/>
      <c r="XCC27" s="5"/>
      <c r="XCD27" s="5"/>
      <c r="XCE27" s="5"/>
      <c r="XCF27" s="5"/>
      <c r="XCG27" s="5"/>
      <c r="XCH27" s="5"/>
      <c r="XCI27" s="5"/>
      <c r="XCJ27" s="5"/>
      <c r="XCK27" s="5"/>
      <c r="XCL27" s="5"/>
      <c r="XCM27" s="5"/>
      <c r="XCN27" s="5"/>
      <c r="XCO27" s="5"/>
      <c r="XCP27" s="5"/>
      <c r="XCQ27" s="5"/>
      <c r="XCR27" s="5"/>
      <c r="XCS27" s="5"/>
      <c r="XCT27" s="5"/>
      <c r="XCU27" s="5"/>
      <c r="XCV27" s="5"/>
      <c r="XCW27" s="5"/>
      <c r="XCX27" s="5"/>
      <c r="XCY27" s="5"/>
      <c r="XCZ27" s="5"/>
      <c r="XDA27" s="5"/>
      <c r="XDB27" s="5"/>
      <c r="XDC27" s="5"/>
      <c r="XDD27" s="5"/>
      <c r="XDE27" s="5"/>
      <c r="XDF27" s="5"/>
      <c r="XDG27" s="5"/>
      <c r="XDH27" s="5"/>
      <c r="XDI27" s="5"/>
      <c r="XDJ27" s="5"/>
      <c r="XDK27" s="5"/>
      <c r="XDL27" s="5"/>
      <c r="XDM27" s="5"/>
      <c r="XDN27" s="5"/>
      <c r="XDO27" s="5"/>
      <c r="XDP27" s="5"/>
      <c r="XDQ27" s="5"/>
      <c r="XDR27" s="5"/>
      <c r="XDS27" s="5"/>
      <c r="XDT27" s="5"/>
      <c r="XDU27" s="5"/>
      <c r="XDV27" s="5"/>
      <c r="XDW27" s="5"/>
      <c r="XDX27" s="5"/>
      <c r="XDY27" s="5"/>
      <c r="XDZ27" s="5"/>
      <c r="XEA27" s="5"/>
      <c r="XEB27" s="5"/>
      <c r="XEC27" s="5"/>
      <c r="XED27" s="5"/>
      <c r="XEE27" s="5"/>
      <c r="XEF27" s="5"/>
      <c r="XEG27" s="5"/>
      <c r="XEH27" s="5"/>
      <c r="XEI27" s="5"/>
      <c r="XEJ27" s="5"/>
    </row>
    <row r="28" s="1" customFormat="1" ht="16.5" spans="1:6 16252:16366">
      <c r="A28" s="8">
        <v>26</v>
      </c>
      <c r="B28" s="9" t="s">
        <v>181</v>
      </c>
      <c r="C28" s="8">
        <v>29</v>
      </c>
      <c r="D28" s="8">
        <v>29</v>
      </c>
      <c r="E28" s="8">
        <v>11</v>
      </c>
      <c r="F28" s="8">
        <v>319</v>
      </c>
      <c r="XAB28"/>
      <c r="XAC28"/>
      <c r="XAD28"/>
      <c r="XAE28"/>
      <c r="XAF28"/>
      <c r="XAG28"/>
      <c r="XAH28"/>
      <c r="XAI28"/>
      <c r="XAJ28"/>
      <c r="XAK28"/>
      <c r="XAL28"/>
      <c r="XAM28"/>
      <c r="XAN28"/>
      <c r="XAO28"/>
      <c r="XAP28"/>
      <c r="XAQ28"/>
      <c r="XAR28"/>
      <c r="XAS28"/>
      <c r="XAT28"/>
      <c r="XAU28"/>
      <c r="XAV28"/>
      <c r="XAW28"/>
      <c r="XAX28"/>
      <c r="XAY28"/>
      <c r="XAZ28"/>
      <c r="XBA28"/>
      <c r="XBB28"/>
      <c r="XBC28"/>
      <c r="XBD28"/>
      <c r="XBE28"/>
      <c r="XBF28"/>
      <c r="XBG28"/>
      <c r="XBH28"/>
      <c r="XBI28"/>
      <c r="XBJ28"/>
      <c r="XBK28"/>
      <c r="XBL28"/>
      <c r="XBM28"/>
      <c r="XBN28"/>
      <c r="XBO28" s="5"/>
      <c r="XBP28" s="5"/>
      <c r="XBQ28" s="5"/>
      <c r="XBR28" s="5"/>
      <c r="XBS28" s="5"/>
      <c r="XBT28" s="5"/>
      <c r="XBU28" s="5"/>
      <c r="XBV28" s="5"/>
      <c r="XBW28" s="5"/>
      <c r="XBX28" s="5"/>
      <c r="XBY28" s="5"/>
      <c r="XBZ28" s="5"/>
      <c r="XCA28" s="5"/>
      <c r="XCB28" s="5"/>
      <c r="XCC28" s="5"/>
      <c r="XCD28" s="5"/>
      <c r="XCE28" s="5"/>
      <c r="XCF28" s="5"/>
      <c r="XCG28" s="5"/>
      <c r="XCH28" s="5"/>
      <c r="XCI28" s="5"/>
      <c r="XCJ28" s="5"/>
      <c r="XCK28" s="5"/>
      <c r="XCL28" s="5"/>
      <c r="XCM28" s="5"/>
      <c r="XCN28" s="5"/>
      <c r="XCO28" s="5"/>
      <c r="XCP28" s="5"/>
      <c r="XCQ28" s="5"/>
      <c r="XCR28" s="5"/>
      <c r="XCS28" s="5"/>
      <c r="XCT28" s="5"/>
      <c r="XCU28" s="5"/>
      <c r="XCV28" s="5"/>
      <c r="XCW28" s="5"/>
      <c r="XCX28" s="5"/>
      <c r="XCY28" s="5"/>
      <c r="XCZ28" s="5"/>
      <c r="XDA28" s="5"/>
      <c r="XDB28" s="5"/>
      <c r="XDC28" s="5"/>
      <c r="XDD28" s="5"/>
      <c r="XDE28" s="5"/>
      <c r="XDF28" s="5"/>
      <c r="XDG28" s="5"/>
      <c r="XDH28" s="5"/>
      <c r="XDI28" s="5"/>
      <c r="XDJ28" s="5"/>
      <c r="XDK28" s="5"/>
      <c r="XDL28" s="5"/>
      <c r="XDM28" s="5"/>
      <c r="XDN28" s="5"/>
      <c r="XDO28" s="5"/>
      <c r="XDP28" s="5"/>
      <c r="XDQ28" s="5"/>
      <c r="XDR28" s="5"/>
      <c r="XDS28" s="5"/>
      <c r="XDT28" s="5"/>
      <c r="XDU28" s="5"/>
      <c r="XDV28" s="5"/>
      <c r="XDW28" s="5"/>
      <c r="XDX28" s="5"/>
      <c r="XDY28" s="5"/>
      <c r="XDZ28" s="5"/>
      <c r="XEA28" s="5"/>
      <c r="XEB28" s="5"/>
      <c r="XEC28" s="5"/>
      <c r="XED28" s="5"/>
      <c r="XEE28" s="5"/>
      <c r="XEF28" s="5"/>
      <c r="XEG28" s="5"/>
      <c r="XEH28" s="5"/>
      <c r="XEI28" s="5"/>
      <c r="XEJ28" s="5"/>
    </row>
    <row r="29" s="1" customFormat="1" ht="16.5" spans="1:6 16252:16366">
      <c r="A29" s="8">
        <v>27</v>
      </c>
      <c r="B29" s="9" t="s">
        <v>182</v>
      </c>
      <c r="C29" s="8">
        <v>9</v>
      </c>
      <c r="D29" s="8">
        <v>9</v>
      </c>
      <c r="E29" s="8">
        <v>8</v>
      </c>
      <c r="F29" s="8">
        <v>72</v>
      </c>
      <c r="XAB29"/>
      <c r="XAC29"/>
      <c r="XAD29"/>
      <c r="XAE29"/>
      <c r="XAF29"/>
      <c r="XAG29"/>
      <c r="XAH29"/>
      <c r="XAI29"/>
      <c r="XAJ29"/>
      <c r="XAK29"/>
      <c r="XAL29"/>
      <c r="XAM29"/>
      <c r="XAN29"/>
      <c r="XAO29"/>
      <c r="XAP29"/>
      <c r="XAQ29"/>
      <c r="XAR29"/>
      <c r="XAS29"/>
      <c r="XAT29"/>
      <c r="XAU29"/>
      <c r="XAV29"/>
      <c r="XAW29"/>
      <c r="XAX29"/>
      <c r="XAY29"/>
      <c r="XAZ29"/>
      <c r="XBA29"/>
      <c r="XBB29"/>
      <c r="XBC29"/>
      <c r="XBD29"/>
      <c r="XBE29"/>
      <c r="XBF29"/>
      <c r="XBG29"/>
      <c r="XBH29"/>
      <c r="XBI29"/>
      <c r="XBJ29"/>
      <c r="XBK29"/>
      <c r="XBL29"/>
      <c r="XBM29"/>
      <c r="XBN29"/>
      <c r="XBO29" s="5"/>
      <c r="XBP29" s="5"/>
      <c r="XBQ29" s="5"/>
      <c r="XBR29" s="5"/>
      <c r="XBS29" s="5"/>
      <c r="XBT29" s="5"/>
      <c r="XBU29" s="5"/>
      <c r="XBV29" s="5"/>
      <c r="XBW29" s="5"/>
      <c r="XBX29" s="5"/>
      <c r="XBY29" s="5"/>
      <c r="XBZ29" s="5"/>
      <c r="XCA29" s="5"/>
      <c r="XCB29" s="5"/>
      <c r="XCC29" s="5"/>
      <c r="XCD29" s="5"/>
      <c r="XCE29" s="5"/>
      <c r="XCF29" s="5"/>
      <c r="XCG29" s="5"/>
      <c r="XCH29" s="5"/>
      <c r="XCI29" s="5"/>
      <c r="XCJ29" s="5"/>
      <c r="XCK29" s="5"/>
      <c r="XCL29" s="5"/>
      <c r="XCM29" s="5"/>
      <c r="XCN29" s="5"/>
      <c r="XCO29" s="5"/>
      <c r="XCP29" s="5"/>
      <c r="XCQ29" s="5"/>
      <c r="XCR29" s="5"/>
      <c r="XCS29" s="5"/>
      <c r="XCT29" s="5"/>
      <c r="XCU29" s="5"/>
      <c r="XCV29" s="5"/>
      <c r="XCW29" s="5"/>
      <c r="XCX29" s="5"/>
      <c r="XCY29" s="5"/>
      <c r="XCZ29" s="5"/>
      <c r="XDA29" s="5"/>
      <c r="XDB29" s="5"/>
      <c r="XDC29" s="5"/>
      <c r="XDD29" s="5"/>
      <c r="XDE29" s="5"/>
      <c r="XDF29" s="5"/>
      <c r="XDG29" s="5"/>
      <c r="XDH29" s="5"/>
      <c r="XDI29" s="5"/>
      <c r="XDJ29" s="5"/>
      <c r="XDK29" s="5"/>
      <c r="XDL29" s="5"/>
      <c r="XDM29" s="5"/>
      <c r="XDN29" s="5"/>
      <c r="XDO29" s="5"/>
      <c r="XDP29" s="5"/>
      <c r="XDQ29" s="5"/>
      <c r="XDR29" s="5"/>
      <c r="XDS29" s="5"/>
      <c r="XDT29" s="5"/>
      <c r="XDU29" s="5"/>
      <c r="XDV29" s="5"/>
      <c r="XDW29" s="5"/>
      <c r="XDX29" s="5"/>
      <c r="XDY29" s="5"/>
      <c r="XDZ29" s="5"/>
      <c r="XEA29" s="5"/>
      <c r="XEB29" s="5"/>
      <c r="XEC29" s="5"/>
      <c r="XED29" s="5"/>
      <c r="XEE29" s="5"/>
      <c r="XEF29" s="5"/>
      <c r="XEG29" s="5"/>
      <c r="XEH29" s="5"/>
      <c r="XEI29" s="5"/>
      <c r="XEJ29" s="5"/>
    </row>
    <row r="30" s="1" customFormat="1" ht="16.5" spans="1:6 16252:16366">
      <c r="A30" s="8">
        <v>28</v>
      </c>
      <c r="B30" s="9" t="s">
        <v>183</v>
      </c>
      <c r="C30" s="8">
        <v>3</v>
      </c>
      <c r="D30" s="8">
        <v>3</v>
      </c>
      <c r="E30" s="8">
        <v>8</v>
      </c>
      <c r="F30" s="8">
        <v>24</v>
      </c>
      <c r="XAB30"/>
      <c r="XAC30"/>
      <c r="XAD30"/>
      <c r="XAE30"/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/>
      <c r="XBH30"/>
      <c r="XBI30"/>
      <c r="XBJ30"/>
      <c r="XBK30"/>
      <c r="XBL30"/>
      <c r="XBM30"/>
      <c r="XBN30"/>
      <c r="XBO30" s="5"/>
      <c r="XBP30" s="5"/>
      <c r="XBQ30" s="5"/>
      <c r="XBR30" s="5"/>
      <c r="XBS30" s="5"/>
      <c r="XBT30" s="5"/>
      <c r="XBU30" s="5"/>
      <c r="XBV30" s="5"/>
      <c r="XBW30" s="5"/>
      <c r="XBX30" s="5"/>
      <c r="XBY30" s="5"/>
      <c r="XBZ30" s="5"/>
      <c r="XCA30" s="5"/>
      <c r="XCB30" s="5"/>
      <c r="XCC30" s="5"/>
      <c r="XCD30" s="5"/>
      <c r="XCE30" s="5"/>
      <c r="XCF30" s="5"/>
      <c r="XCG30" s="5"/>
      <c r="XCH30" s="5"/>
      <c r="XCI30" s="5"/>
      <c r="XCJ30" s="5"/>
      <c r="XCK30" s="5"/>
      <c r="XCL30" s="5"/>
      <c r="XCM30" s="5"/>
      <c r="XCN30" s="5"/>
      <c r="XCO30" s="5"/>
      <c r="XCP30" s="5"/>
      <c r="XCQ30" s="5"/>
      <c r="XCR30" s="5"/>
      <c r="XCS30" s="5"/>
      <c r="XCT30" s="5"/>
      <c r="XCU30" s="5"/>
      <c r="XCV30" s="5"/>
      <c r="XCW30" s="5"/>
      <c r="XCX30" s="5"/>
      <c r="XCY30" s="5"/>
      <c r="XCZ30" s="5"/>
      <c r="XDA30" s="5"/>
      <c r="XDB30" s="5"/>
      <c r="XDC30" s="5"/>
      <c r="XDD30" s="5"/>
      <c r="XDE30" s="5"/>
      <c r="XDF30" s="5"/>
      <c r="XDG30" s="5"/>
      <c r="XDH30" s="5"/>
      <c r="XDI30" s="5"/>
      <c r="XDJ30" s="5"/>
      <c r="XDK30" s="5"/>
      <c r="XDL30" s="5"/>
      <c r="XDM30" s="5"/>
      <c r="XDN30" s="5"/>
      <c r="XDO30" s="5"/>
      <c r="XDP30" s="5"/>
      <c r="XDQ30" s="5"/>
      <c r="XDR30" s="5"/>
      <c r="XDS30" s="5"/>
      <c r="XDT30" s="5"/>
      <c r="XDU30" s="5"/>
      <c r="XDV30" s="5"/>
      <c r="XDW30" s="5"/>
      <c r="XDX30" s="5"/>
      <c r="XDY30" s="5"/>
      <c r="XDZ30" s="5"/>
      <c r="XEA30" s="5"/>
      <c r="XEB30" s="5"/>
      <c r="XEC30" s="5"/>
      <c r="XED30" s="5"/>
      <c r="XEE30" s="5"/>
      <c r="XEF30" s="5"/>
      <c r="XEG30" s="5"/>
      <c r="XEH30" s="5"/>
      <c r="XEI30" s="5"/>
      <c r="XEJ30" s="5"/>
    </row>
    <row r="31" s="1" customFormat="1" ht="16.5" spans="1:6 16252:16366">
      <c r="A31" s="8">
        <v>29</v>
      </c>
      <c r="B31" s="9" t="s">
        <v>184</v>
      </c>
      <c r="C31" s="8">
        <v>50</v>
      </c>
      <c r="D31" s="8">
        <v>50</v>
      </c>
      <c r="E31" s="8">
        <v>13.5</v>
      </c>
      <c r="F31" s="8">
        <v>675</v>
      </c>
      <c r="XAB31"/>
      <c r="XAC31"/>
      <c r="XAD31"/>
      <c r="XAE31"/>
      <c r="XAF31"/>
      <c r="XAG31"/>
      <c r="XAH31"/>
      <c r="XAI31"/>
      <c r="XAJ31"/>
      <c r="XAK31"/>
      <c r="XAL31"/>
      <c r="XAM31"/>
      <c r="XAN31"/>
      <c r="XAO31"/>
      <c r="XAP31"/>
      <c r="XAQ31"/>
      <c r="XAR31"/>
      <c r="XAS31"/>
      <c r="XAT31"/>
      <c r="XAU31"/>
      <c r="XAV31"/>
      <c r="XAW31"/>
      <c r="XAX31"/>
      <c r="XAY31"/>
      <c r="XAZ31"/>
      <c r="XBA31"/>
      <c r="XBB31"/>
      <c r="XBC31"/>
      <c r="XBD31"/>
      <c r="XBE31"/>
      <c r="XBF31"/>
      <c r="XBG31"/>
      <c r="XBH31"/>
      <c r="XBI31"/>
      <c r="XBJ31"/>
      <c r="XBK31"/>
      <c r="XBL31"/>
      <c r="XBM31"/>
      <c r="XBN31"/>
      <c r="XBO31" s="5"/>
      <c r="XBP31" s="5"/>
      <c r="XBQ31" s="5"/>
      <c r="XBR31" s="5"/>
      <c r="XBS31" s="5"/>
      <c r="XBT31" s="5"/>
      <c r="XBU31" s="5"/>
      <c r="XBV31" s="5"/>
      <c r="XBW31" s="5"/>
      <c r="XBX31" s="5"/>
      <c r="XBY31" s="5"/>
      <c r="XBZ31" s="5"/>
      <c r="XCA31" s="5"/>
      <c r="XCB31" s="5"/>
      <c r="XCC31" s="5"/>
      <c r="XCD31" s="5"/>
      <c r="XCE31" s="5"/>
      <c r="XCF31" s="5"/>
      <c r="XCG31" s="5"/>
      <c r="XCH31" s="5"/>
      <c r="XCI31" s="5"/>
      <c r="XCJ31" s="5"/>
      <c r="XCK31" s="5"/>
      <c r="XCL31" s="5"/>
      <c r="XCM31" s="5"/>
      <c r="XCN31" s="5"/>
      <c r="XCO31" s="5"/>
      <c r="XCP31" s="5"/>
      <c r="XCQ31" s="5"/>
      <c r="XCR31" s="5"/>
      <c r="XCS31" s="5"/>
      <c r="XCT31" s="5"/>
      <c r="XCU31" s="5"/>
      <c r="XCV31" s="5"/>
      <c r="XCW31" s="5"/>
      <c r="XCX31" s="5"/>
      <c r="XCY31" s="5"/>
      <c r="XCZ31" s="5"/>
      <c r="XDA31" s="5"/>
      <c r="XDB31" s="5"/>
      <c r="XDC31" s="5"/>
      <c r="XDD31" s="5"/>
      <c r="XDE31" s="5"/>
      <c r="XDF31" s="5"/>
      <c r="XDG31" s="5"/>
      <c r="XDH31" s="5"/>
      <c r="XDI31" s="5"/>
      <c r="XDJ31" s="5"/>
      <c r="XDK31" s="5"/>
      <c r="XDL31" s="5"/>
      <c r="XDM31" s="5"/>
      <c r="XDN31" s="5"/>
      <c r="XDO31" s="5"/>
      <c r="XDP31" s="5"/>
      <c r="XDQ31" s="5"/>
      <c r="XDR31" s="5"/>
      <c r="XDS31" s="5"/>
      <c r="XDT31" s="5"/>
      <c r="XDU31" s="5"/>
      <c r="XDV31" s="5"/>
      <c r="XDW31" s="5"/>
      <c r="XDX31" s="5"/>
      <c r="XDY31" s="5"/>
      <c r="XDZ31" s="5"/>
      <c r="XEA31" s="5"/>
      <c r="XEB31" s="5"/>
      <c r="XEC31" s="5"/>
      <c r="XED31" s="5"/>
      <c r="XEE31" s="5"/>
      <c r="XEF31" s="5"/>
      <c r="XEG31" s="5"/>
      <c r="XEH31" s="5"/>
      <c r="XEI31" s="5"/>
      <c r="XEJ31" s="5"/>
    </row>
    <row r="32" s="1" customFormat="1" ht="16.5" spans="1:6 16252:16366">
      <c r="A32" s="8">
        <v>30</v>
      </c>
      <c r="B32" s="9" t="s">
        <v>185</v>
      </c>
      <c r="C32" s="8">
        <v>45</v>
      </c>
      <c r="D32" s="8">
        <v>1</v>
      </c>
      <c r="E32" s="8">
        <v>247.5</v>
      </c>
      <c r="F32" s="8">
        <v>247.5</v>
      </c>
      <c r="XAB32"/>
      <c r="XAC32"/>
      <c r="XAD32"/>
      <c r="XAE32"/>
      <c r="XAF32"/>
      <c r="XAG32"/>
      <c r="XAH32"/>
      <c r="XAI32"/>
      <c r="XAJ32"/>
      <c r="XAK32"/>
      <c r="XAL32"/>
      <c r="XAM32"/>
      <c r="XAN32"/>
      <c r="XAO32"/>
      <c r="XAP32"/>
      <c r="XAQ32"/>
      <c r="XAR32"/>
      <c r="XAS32"/>
      <c r="XAT32"/>
      <c r="XAU32"/>
      <c r="XAV32"/>
      <c r="XAW32"/>
      <c r="XAX32"/>
      <c r="XAY32"/>
      <c r="XAZ32"/>
      <c r="XBA32"/>
      <c r="XBB32"/>
      <c r="XBC32"/>
      <c r="XBD32"/>
      <c r="XBE32"/>
      <c r="XBF32"/>
      <c r="XBG32"/>
      <c r="XBH32"/>
      <c r="XBI32"/>
      <c r="XBJ32"/>
      <c r="XBK32"/>
      <c r="XBL32"/>
      <c r="XBM32"/>
      <c r="XBN32"/>
      <c r="XBO32" s="5"/>
      <c r="XBP32" s="5"/>
      <c r="XBQ32" s="5"/>
      <c r="XBR32" s="5"/>
      <c r="XBS32" s="5"/>
      <c r="XBT32" s="5"/>
      <c r="XBU32" s="5"/>
      <c r="XBV32" s="5"/>
      <c r="XBW32" s="5"/>
      <c r="XBX32" s="5"/>
      <c r="XBY32" s="5"/>
      <c r="XBZ32" s="5"/>
      <c r="XCA32" s="5"/>
      <c r="XCB32" s="5"/>
      <c r="XCC32" s="5"/>
      <c r="XCD32" s="5"/>
      <c r="XCE32" s="5"/>
      <c r="XCF32" s="5"/>
      <c r="XCG32" s="5"/>
      <c r="XCH32" s="5"/>
      <c r="XCI32" s="5"/>
      <c r="XCJ32" s="5"/>
      <c r="XCK32" s="5"/>
      <c r="XCL32" s="5"/>
      <c r="XCM32" s="5"/>
      <c r="XCN32" s="5"/>
      <c r="XCO32" s="5"/>
      <c r="XCP32" s="5"/>
      <c r="XCQ32" s="5"/>
      <c r="XCR32" s="5"/>
      <c r="XCS32" s="5"/>
      <c r="XCT32" s="5"/>
      <c r="XCU32" s="5"/>
      <c r="XCV32" s="5"/>
      <c r="XCW32" s="5"/>
      <c r="XCX32" s="5"/>
      <c r="XCY32" s="5"/>
      <c r="XCZ32" s="5"/>
      <c r="XDA32" s="5"/>
      <c r="XDB32" s="5"/>
      <c r="XDC32" s="5"/>
      <c r="XDD32" s="5"/>
      <c r="XDE32" s="5"/>
      <c r="XDF32" s="5"/>
      <c r="XDG32" s="5"/>
      <c r="XDH32" s="5"/>
      <c r="XDI32" s="5"/>
      <c r="XDJ32" s="5"/>
      <c r="XDK32" s="5"/>
      <c r="XDL32" s="5"/>
      <c r="XDM32" s="5"/>
      <c r="XDN32" s="5"/>
      <c r="XDO32" s="5"/>
      <c r="XDP32" s="5"/>
      <c r="XDQ32" s="5"/>
      <c r="XDR32" s="5"/>
      <c r="XDS32" s="5"/>
      <c r="XDT32" s="5"/>
      <c r="XDU32" s="5"/>
      <c r="XDV32" s="5"/>
      <c r="XDW32" s="5"/>
      <c r="XDX32" s="5"/>
      <c r="XDY32" s="5"/>
      <c r="XDZ32" s="5"/>
      <c r="XEA32" s="5"/>
      <c r="XEB32" s="5"/>
      <c r="XEC32" s="5"/>
      <c r="XED32" s="5"/>
      <c r="XEE32" s="5"/>
      <c r="XEF32" s="5"/>
      <c r="XEG32" s="5"/>
      <c r="XEH32" s="5"/>
      <c r="XEI32" s="5"/>
      <c r="XEJ32" s="5"/>
    </row>
    <row r="33" s="1" customFormat="1" ht="16.5" customHeight="1" spans="1:6 16252:16364">
      <c r="A33" s="8">
        <v>31</v>
      </c>
      <c r="B33" s="9" t="s">
        <v>186</v>
      </c>
      <c r="C33" s="8">
        <v>27</v>
      </c>
      <c r="D33" s="8">
        <v>1</v>
      </c>
      <c r="E33" s="8">
        <v>148.5</v>
      </c>
      <c r="F33" s="8">
        <v>148.5</v>
      </c>
      <c r="XAB33"/>
      <c r="XAC33"/>
      <c r="XAD33"/>
      <c r="XAE33"/>
      <c r="XAF33"/>
      <c r="XAG33"/>
      <c r="XAH33"/>
      <c r="XAI33"/>
      <c r="XAJ33"/>
      <c r="XAK33"/>
      <c r="XAL33"/>
      <c r="XAM33"/>
      <c r="XAN33"/>
      <c r="XAO33"/>
      <c r="XAP33"/>
      <c r="XAQ33"/>
      <c r="XAR33"/>
      <c r="XAS33"/>
      <c r="XAT33"/>
      <c r="XAU33"/>
      <c r="XAV33"/>
      <c r="XAW33"/>
      <c r="XAX33"/>
      <c r="XAY33"/>
      <c r="XAZ33"/>
      <c r="XBA33"/>
      <c r="XBB33"/>
      <c r="XBC33"/>
      <c r="XBD33"/>
      <c r="XBE33"/>
      <c r="XBF33"/>
      <c r="XBG33"/>
      <c r="XBH33"/>
      <c r="XBI33"/>
      <c r="XBJ33"/>
      <c r="XBK33"/>
      <c r="XBL33"/>
      <c r="XBM33"/>
      <c r="XBN33"/>
      <c r="XBO33" s="5"/>
      <c r="XBP33" s="5"/>
      <c r="XBQ33" s="5"/>
      <c r="XBR33" s="5"/>
      <c r="XBS33" s="5"/>
      <c r="XBT33" s="5"/>
      <c r="XBU33" s="5"/>
      <c r="XBV33" s="5"/>
      <c r="XBW33" s="5"/>
      <c r="XBX33" s="5"/>
      <c r="XBY33" s="5"/>
      <c r="XBZ33" s="5"/>
      <c r="XCA33" s="5"/>
      <c r="XCB33" s="5"/>
      <c r="XCC33" s="5"/>
      <c r="XCD33" s="5"/>
      <c r="XCE33" s="5"/>
      <c r="XCF33" s="5"/>
      <c r="XCG33" s="5"/>
      <c r="XCH33" s="5"/>
      <c r="XCI33" s="5"/>
      <c r="XCJ33" s="5"/>
      <c r="XCK33" s="5"/>
      <c r="XCL33" s="5"/>
      <c r="XCM33" s="5"/>
      <c r="XCN33" s="5"/>
      <c r="XCO33" s="5"/>
      <c r="XCP33" s="5"/>
      <c r="XCQ33" s="5"/>
      <c r="XCR33" s="5"/>
      <c r="XCS33" s="5"/>
      <c r="XCT33" s="5"/>
      <c r="XCU33" s="5"/>
      <c r="XCV33" s="5"/>
      <c r="XCW33" s="5"/>
      <c r="XCX33" s="5"/>
      <c r="XCY33" s="5"/>
      <c r="XCZ33" s="5"/>
      <c r="XDA33" s="5"/>
      <c r="XDB33" s="5"/>
      <c r="XDC33" s="5"/>
      <c r="XDD33" s="5"/>
      <c r="XDE33" s="5"/>
      <c r="XDF33" s="5"/>
      <c r="XDG33" s="5"/>
      <c r="XDH33" s="5"/>
      <c r="XDI33" s="5"/>
      <c r="XDJ33" s="5"/>
      <c r="XDK33" s="5"/>
      <c r="XDL33" s="5"/>
      <c r="XDM33" s="5"/>
      <c r="XDN33" s="5"/>
      <c r="XDO33" s="5"/>
      <c r="XDP33" s="5"/>
      <c r="XDQ33" s="5"/>
      <c r="XDR33" s="5"/>
      <c r="XDS33" s="5"/>
      <c r="XDT33" s="5"/>
      <c r="XDU33" s="5"/>
      <c r="XDV33" s="5"/>
      <c r="XDW33" s="5"/>
      <c r="XDX33" s="5"/>
      <c r="XDY33" s="5"/>
      <c r="XDZ33" s="5"/>
      <c r="XEA33" s="5"/>
      <c r="XEB33" s="5"/>
      <c r="XEC33" s="5"/>
      <c r="XED33" s="5"/>
      <c r="XEE33" s="5"/>
      <c r="XEF33" s="5"/>
      <c r="XEG33" s="5"/>
      <c r="XEH33" s="5"/>
      <c r="XEI33" s="5"/>
      <c r="XEJ33" s="5"/>
    </row>
    <row r="34" s="1" customFormat="1" ht="16.5" customHeight="1" spans="1:6 16252:16364">
      <c r="A34" s="8">
        <v>32</v>
      </c>
      <c r="B34" s="9" t="s">
        <v>187</v>
      </c>
      <c r="C34" s="8">
        <v>24</v>
      </c>
      <c r="D34" s="8">
        <v>2</v>
      </c>
      <c r="E34" s="8">
        <v>66</v>
      </c>
      <c r="F34" s="8">
        <v>132</v>
      </c>
      <c r="XAB34"/>
      <c r="XAC34"/>
      <c r="XAD34"/>
      <c r="XAE34"/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/>
      <c r="XBH34"/>
      <c r="XBI34"/>
      <c r="XBJ34"/>
      <c r="XBK34"/>
      <c r="XBL34"/>
      <c r="XBM34"/>
      <c r="XBN34"/>
      <c r="XBO34" s="5"/>
      <c r="XBP34" s="5"/>
      <c r="XBQ34" s="5"/>
      <c r="XBR34" s="5"/>
      <c r="XBS34" s="5"/>
      <c r="XBT34" s="5"/>
      <c r="XBU34" s="5"/>
      <c r="XBV34" s="5"/>
      <c r="XBW34" s="5"/>
      <c r="XBX34" s="5"/>
      <c r="XBY34" s="5"/>
      <c r="XBZ34" s="5"/>
      <c r="XCA34" s="5"/>
      <c r="XCB34" s="5"/>
      <c r="XCC34" s="5"/>
      <c r="XCD34" s="5"/>
      <c r="XCE34" s="5"/>
      <c r="XCF34" s="5"/>
      <c r="XCG34" s="5"/>
      <c r="XCH34" s="5"/>
      <c r="XCI34" s="5"/>
      <c r="XCJ34" s="5"/>
      <c r="XCK34" s="5"/>
      <c r="XCL34" s="5"/>
      <c r="XCM34" s="5"/>
      <c r="XCN34" s="5"/>
      <c r="XCO34" s="5"/>
      <c r="XCP34" s="5"/>
      <c r="XCQ34" s="5"/>
      <c r="XCR34" s="5"/>
      <c r="XCS34" s="5"/>
      <c r="XCT34" s="5"/>
      <c r="XCU34" s="5"/>
      <c r="XCV34" s="5"/>
      <c r="XCW34" s="5"/>
      <c r="XCX34" s="5"/>
      <c r="XCY34" s="5"/>
      <c r="XCZ34" s="5"/>
      <c r="XDA34" s="5"/>
      <c r="XDB34" s="5"/>
      <c r="XDC34" s="5"/>
      <c r="XDD34" s="5"/>
      <c r="XDE34" s="5"/>
      <c r="XDF34" s="5"/>
      <c r="XDG34" s="5"/>
      <c r="XDH34" s="5"/>
      <c r="XDI34" s="5"/>
      <c r="XDJ34" s="5"/>
      <c r="XDK34" s="5"/>
      <c r="XDL34" s="5"/>
      <c r="XDM34" s="5"/>
      <c r="XDN34" s="5"/>
      <c r="XDO34" s="5"/>
      <c r="XDP34" s="5"/>
      <c r="XDQ34" s="5"/>
      <c r="XDR34" s="5"/>
      <c r="XDS34" s="5"/>
      <c r="XDT34" s="5"/>
      <c r="XDU34" s="5"/>
      <c r="XDV34" s="5"/>
      <c r="XDW34" s="5"/>
      <c r="XDX34" s="5"/>
      <c r="XDY34" s="5"/>
      <c r="XDZ34" s="5"/>
      <c r="XEA34" s="5"/>
      <c r="XEB34" s="5"/>
      <c r="XEC34" s="5"/>
      <c r="XED34" s="5"/>
      <c r="XEE34" s="5"/>
      <c r="XEF34" s="5"/>
      <c r="XEG34" s="5"/>
      <c r="XEH34" s="5"/>
      <c r="XEI34" s="5"/>
      <c r="XEJ34" s="5"/>
    </row>
    <row r="35" s="1" customFormat="1" ht="16.5" customHeight="1" spans="1:6 16252:16364">
      <c r="A35" s="8">
        <v>33</v>
      </c>
      <c r="B35" s="9" t="s">
        <v>188</v>
      </c>
      <c r="C35" s="8">
        <v>36</v>
      </c>
      <c r="D35" s="8">
        <v>3</v>
      </c>
      <c r="E35" s="8">
        <v>66</v>
      </c>
      <c r="F35" s="8">
        <v>198</v>
      </c>
      <c r="XAB35"/>
      <c r="XAC35"/>
      <c r="XAD35"/>
      <c r="XAE35"/>
      <c r="XAF35"/>
      <c r="XAG35"/>
      <c r="XAH35"/>
      <c r="XAI35"/>
      <c r="XAJ35"/>
      <c r="XAK35"/>
      <c r="XAL35"/>
      <c r="XAM35"/>
      <c r="XAN35"/>
      <c r="XAO35"/>
      <c r="XAP35"/>
      <c r="XAQ35"/>
      <c r="XAR35"/>
      <c r="XAS35"/>
      <c r="XAT35"/>
      <c r="XAU35"/>
      <c r="XAV35"/>
      <c r="XAW35"/>
      <c r="XAX35"/>
      <c r="XAY35"/>
      <c r="XAZ35"/>
      <c r="XBA35"/>
      <c r="XBB35"/>
      <c r="XBC35"/>
      <c r="XBD35"/>
      <c r="XBE35"/>
      <c r="XBF35"/>
      <c r="XBG35"/>
      <c r="XBH35"/>
      <c r="XBI35"/>
      <c r="XBJ35"/>
      <c r="XBK35"/>
      <c r="XBL35"/>
      <c r="XBM35"/>
      <c r="XBN35"/>
      <c r="XBO35" s="5"/>
      <c r="XBP35" s="5"/>
      <c r="XBQ35" s="5"/>
      <c r="XBR35" s="5"/>
      <c r="XBS35" s="5"/>
      <c r="XBT35" s="5"/>
      <c r="XBU35" s="5"/>
      <c r="XBV35" s="5"/>
      <c r="XBW35" s="5"/>
      <c r="XBX35" s="5"/>
      <c r="XBY35" s="5"/>
      <c r="XBZ35" s="5"/>
      <c r="XCA35" s="5"/>
      <c r="XCB35" s="5"/>
      <c r="XCC35" s="5"/>
      <c r="XCD35" s="5"/>
      <c r="XCE35" s="5"/>
      <c r="XCF35" s="5"/>
      <c r="XCG35" s="5"/>
      <c r="XCH35" s="5"/>
      <c r="XCI35" s="5"/>
      <c r="XCJ35" s="5"/>
      <c r="XCK35" s="5"/>
      <c r="XCL35" s="5"/>
      <c r="XCM35" s="5"/>
      <c r="XCN35" s="5"/>
      <c r="XCO35" s="5"/>
      <c r="XCP35" s="5"/>
      <c r="XCQ35" s="5"/>
      <c r="XCR35" s="5"/>
      <c r="XCS35" s="5"/>
      <c r="XCT35" s="5"/>
      <c r="XCU35" s="5"/>
      <c r="XCV35" s="5"/>
      <c r="XCW35" s="5"/>
      <c r="XCX35" s="5"/>
      <c r="XCY35" s="5"/>
      <c r="XCZ35" s="5"/>
      <c r="XDA35" s="5"/>
      <c r="XDB35" s="5"/>
      <c r="XDC35" s="5"/>
      <c r="XDD35" s="5"/>
      <c r="XDE35" s="5"/>
      <c r="XDF35" s="5"/>
      <c r="XDG35" s="5"/>
      <c r="XDH35" s="5"/>
      <c r="XDI35" s="5"/>
      <c r="XDJ35" s="5"/>
      <c r="XDK35" s="5"/>
      <c r="XDL35" s="5"/>
      <c r="XDM35" s="5"/>
      <c r="XDN35" s="5"/>
      <c r="XDO35" s="5"/>
      <c r="XDP35" s="5"/>
      <c r="XDQ35" s="5"/>
      <c r="XDR35" s="5"/>
      <c r="XDS35" s="5"/>
      <c r="XDT35" s="5"/>
      <c r="XDU35" s="5"/>
      <c r="XDV35" s="5"/>
      <c r="XDW35" s="5"/>
      <c r="XDX35" s="5"/>
      <c r="XDY35" s="5"/>
      <c r="XDZ35" s="5"/>
      <c r="XEA35" s="5"/>
      <c r="XEB35" s="5"/>
      <c r="XEC35" s="5"/>
      <c r="XED35" s="5"/>
      <c r="XEE35" s="5"/>
      <c r="XEF35" s="5"/>
      <c r="XEG35" s="5"/>
      <c r="XEH35" s="5"/>
      <c r="XEI35" s="5"/>
      <c r="XEJ35" s="5"/>
    </row>
    <row r="36" s="1" customFormat="1" ht="16.5" customHeight="1" spans="1:6 16252:16364">
      <c r="A36" s="8">
        <v>34</v>
      </c>
      <c r="B36" s="9" t="s">
        <v>189</v>
      </c>
      <c r="C36" s="8">
        <v>36</v>
      </c>
      <c r="D36" s="8">
        <v>3</v>
      </c>
      <c r="E36" s="8">
        <v>66</v>
      </c>
      <c r="F36" s="8">
        <v>198</v>
      </c>
      <c r="XAB36"/>
      <c r="XAC36"/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/>
      <c r="XBJ36"/>
      <c r="XBK36"/>
      <c r="XBL36"/>
      <c r="XBM36"/>
      <c r="XBN36"/>
      <c r="XBO36" s="5"/>
      <c r="XBP36" s="5"/>
      <c r="XBQ36" s="5"/>
      <c r="XBR36" s="5"/>
      <c r="XBS36" s="5"/>
      <c r="XBT36" s="5"/>
      <c r="XBU36" s="5"/>
      <c r="XBV36" s="5"/>
      <c r="XBW36" s="5"/>
      <c r="XBX36" s="5"/>
      <c r="XBY36" s="5"/>
      <c r="XBZ36" s="5"/>
      <c r="XCA36" s="5"/>
      <c r="XCB36" s="5"/>
      <c r="XCC36" s="5"/>
      <c r="XCD36" s="5"/>
      <c r="XCE36" s="5"/>
      <c r="XCF36" s="5"/>
      <c r="XCG36" s="5"/>
      <c r="XCH36" s="5"/>
      <c r="XCI36" s="5"/>
      <c r="XCJ36" s="5"/>
      <c r="XCK36" s="5"/>
      <c r="XCL36" s="5"/>
      <c r="XCM36" s="5"/>
      <c r="XCN36" s="5"/>
      <c r="XCO36" s="5"/>
      <c r="XCP36" s="5"/>
      <c r="XCQ36" s="5"/>
      <c r="XCR36" s="5"/>
      <c r="XCS36" s="5"/>
      <c r="XCT36" s="5"/>
      <c r="XCU36" s="5"/>
      <c r="XCV36" s="5"/>
      <c r="XCW36" s="5"/>
      <c r="XCX36" s="5"/>
      <c r="XCY36" s="5"/>
      <c r="XCZ36" s="5"/>
      <c r="XDA36" s="5"/>
      <c r="XDB36" s="5"/>
      <c r="XDC36" s="5"/>
      <c r="XDD36" s="5"/>
      <c r="XDE36" s="5"/>
      <c r="XDF36" s="5"/>
      <c r="XDG36" s="5"/>
      <c r="XDH36" s="5"/>
      <c r="XDI36" s="5"/>
      <c r="XDJ36" s="5"/>
      <c r="XDK36" s="5"/>
      <c r="XDL36" s="5"/>
      <c r="XDM36" s="5"/>
      <c r="XDN36" s="5"/>
      <c r="XDO36" s="5"/>
      <c r="XDP36" s="5"/>
      <c r="XDQ36" s="5"/>
      <c r="XDR36" s="5"/>
      <c r="XDS36" s="5"/>
      <c r="XDT36" s="5"/>
      <c r="XDU36" s="5"/>
      <c r="XDV36" s="5"/>
      <c r="XDW36" s="5"/>
      <c r="XDX36" s="5"/>
      <c r="XDY36" s="5"/>
      <c r="XDZ36" s="5"/>
      <c r="XEA36" s="5"/>
      <c r="XEB36" s="5"/>
      <c r="XEC36" s="5"/>
      <c r="XED36" s="5"/>
      <c r="XEE36" s="5"/>
      <c r="XEF36" s="5"/>
      <c r="XEG36" s="5"/>
      <c r="XEH36" s="5"/>
      <c r="XEI36" s="5"/>
      <c r="XEJ36" s="5"/>
    </row>
    <row r="37" s="1" customFormat="1" ht="16.5" customHeight="1" spans="1:6 16252:16364">
      <c r="A37" s="8">
        <v>35</v>
      </c>
      <c r="B37" s="9" t="s">
        <v>190</v>
      </c>
      <c r="C37" s="8">
        <v>444</v>
      </c>
      <c r="D37" s="8">
        <v>37</v>
      </c>
      <c r="E37" s="8">
        <v>66</v>
      </c>
      <c r="F37" s="8">
        <v>2442</v>
      </c>
      <c r="XAB37"/>
      <c r="XAC37"/>
      <c r="XAD37"/>
      <c r="XAE37"/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/>
      <c r="XBH37"/>
      <c r="XBI37"/>
      <c r="XBJ37"/>
      <c r="XBK37"/>
      <c r="XBL37"/>
      <c r="XBM37"/>
      <c r="XBN37"/>
      <c r="XBO37" s="5"/>
      <c r="XBP37" s="5"/>
      <c r="XBQ37" s="5"/>
      <c r="XBR37" s="5"/>
      <c r="XBS37" s="5"/>
      <c r="XBT37" s="5"/>
      <c r="XBU37" s="5"/>
      <c r="XBV37" s="5"/>
      <c r="XBW37" s="5"/>
      <c r="XBX37" s="5"/>
      <c r="XBY37" s="5"/>
      <c r="XBZ37" s="5"/>
      <c r="XCA37" s="5"/>
      <c r="XCB37" s="5"/>
      <c r="XCC37" s="5"/>
      <c r="XCD37" s="5"/>
      <c r="XCE37" s="5"/>
      <c r="XCF37" s="5"/>
      <c r="XCG37" s="5"/>
      <c r="XCH37" s="5"/>
      <c r="XCI37" s="5"/>
      <c r="XCJ37" s="5"/>
      <c r="XCK37" s="5"/>
      <c r="XCL37" s="5"/>
      <c r="XCM37" s="5"/>
      <c r="XCN37" s="5"/>
      <c r="XCO37" s="5"/>
      <c r="XCP37" s="5"/>
      <c r="XCQ37" s="5"/>
      <c r="XCR37" s="5"/>
      <c r="XCS37" s="5"/>
      <c r="XCT37" s="5"/>
      <c r="XCU37" s="5"/>
      <c r="XCV37" s="5"/>
      <c r="XCW37" s="5"/>
      <c r="XCX37" s="5"/>
      <c r="XCY37" s="5"/>
      <c r="XCZ37" s="5"/>
      <c r="XDA37" s="5"/>
      <c r="XDB37" s="5"/>
      <c r="XDC37" s="5"/>
      <c r="XDD37" s="5"/>
      <c r="XDE37" s="5"/>
      <c r="XDF37" s="5"/>
      <c r="XDG37" s="5"/>
      <c r="XDH37" s="5"/>
      <c r="XDI37" s="5"/>
      <c r="XDJ37" s="5"/>
      <c r="XDK37" s="5"/>
      <c r="XDL37" s="5"/>
      <c r="XDM37" s="5"/>
      <c r="XDN37" s="5"/>
      <c r="XDO37" s="5"/>
      <c r="XDP37" s="5"/>
      <c r="XDQ37" s="5"/>
      <c r="XDR37" s="5"/>
      <c r="XDS37" s="5"/>
      <c r="XDT37" s="5"/>
      <c r="XDU37" s="5"/>
      <c r="XDV37" s="5"/>
      <c r="XDW37" s="5"/>
      <c r="XDX37" s="5"/>
      <c r="XDY37" s="5"/>
      <c r="XDZ37" s="5"/>
      <c r="XEA37" s="5"/>
      <c r="XEB37" s="5"/>
      <c r="XEC37" s="5"/>
      <c r="XED37" s="5"/>
      <c r="XEE37" s="5"/>
      <c r="XEF37" s="5"/>
      <c r="XEG37" s="5"/>
      <c r="XEH37" s="5"/>
      <c r="XEI37" s="5"/>
      <c r="XEJ37" s="5"/>
    </row>
    <row r="38" s="1" customFormat="1" ht="16.5" customHeight="1" spans="1:6 16252:16364">
      <c r="A38" s="8">
        <v>36</v>
      </c>
      <c r="B38" s="9" t="s">
        <v>191</v>
      </c>
      <c r="C38" s="8">
        <v>80</v>
      </c>
      <c r="D38" s="8">
        <v>5</v>
      </c>
      <c r="E38" s="8">
        <v>88</v>
      </c>
      <c r="F38" s="8">
        <v>440</v>
      </c>
      <c r="XAB38"/>
      <c r="XAC38"/>
      <c r="XAD38"/>
      <c r="XAE38"/>
      <c r="XAF38"/>
      <c r="XAG38"/>
      <c r="XAH38"/>
      <c r="XAI38"/>
      <c r="XAJ38"/>
      <c r="XAK38"/>
      <c r="XAL38"/>
      <c r="XAM38"/>
      <c r="XAN38"/>
      <c r="XAO38"/>
      <c r="XAP38"/>
      <c r="XAQ38"/>
      <c r="XAR38"/>
      <c r="XAS38"/>
      <c r="XAT38"/>
      <c r="XAU38"/>
      <c r="XAV38"/>
      <c r="XAW38"/>
      <c r="XAX38"/>
      <c r="XAY38"/>
      <c r="XAZ38"/>
      <c r="XBA38"/>
      <c r="XBB38"/>
      <c r="XBC38"/>
      <c r="XBD38"/>
      <c r="XBE38"/>
      <c r="XBF38"/>
      <c r="XBG38"/>
      <c r="XBH38"/>
      <c r="XBI38"/>
      <c r="XBJ38"/>
      <c r="XBK38"/>
      <c r="XBL38"/>
      <c r="XBM38"/>
      <c r="XBN38"/>
      <c r="XBO38" s="5"/>
      <c r="XBP38" s="5"/>
      <c r="XBQ38" s="5"/>
      <c r="XBR38" s="5"/>
      <c r="XBS38" s="5"/>
      <c r="XBT38" s="5"/>
      <c r="XBU38" s="5"/>
      <c r="XBV38" s="5"/>
      <c r="XBW38" s="5"/>
      <c r="XBX38" s="5"/>
      <c r="XBY38" s="5"/>
      <c r="XBZ38" s="5"/>
      <c r="XCA38" s="5"/>
      <c r="XCB38" s="5"/>
      <c r="XCC38" s="5"/>
      <c r="XCD38" s="5"/>
      <c r="XCE38" s="5"/>
      <c r="XCF38" s="5"/>
      <c r="XCG38" s="5"/>
      <c r="XCH38" s="5"/>
      <c r="XCI38" s="5"/>
      <c r="XCJ38" s="5"/>
      <c r="XCK38" s="5"/>
      <c r="XCL38" s="5"/>
      <c r="XCM38" s="5"/>
      <c r="XCN38" s="5"/>
      <c r="XCO38" s="5"/>
      <c r="XCP38" s="5"/>
      <c r="XCQ38" s="5"/>
      <c r="XCR38" s="5"/>
      <c r="XCS38" s="5"/>
      <c r="XCT38" s="5"/>
      <c r="XCU38" s="5"/>
      <c r="XCV38" s="5"/>
      <c r="XCW38" s="5"/>
      <c r="XCX38" s="5"/>
      <c r="XCY38" s="5"/>
      <c r="XCZ38" s="5"/>
      <c r="XDA38" s="5"/>
      <c r="XDB38" s="5"/>
      <c r="XDC38" s="5"/>
      <c r="XDD38" s="5"/>
      <c r="XDE38" s="5"/>
      <c r="XDF38" s="5"/>
      <c r="XDG38" s="5"/>
      <c r="XDH38" s="5"/>
      <c r="XDI38" s="5"/>
      <c r="XDJ38" s="5"/>
      <c r="XDK38" s="5"/>
      <c r="XDL38" s="5"/>
      <c r="XDM38" s="5"/>
      <c r="XDN38" s="5"/>
      <c r="XDO38" s="5"/>
      <c r="XDP38" s="5"/>
      <c r="XDQ38" s="5"/>
      <c r="XDR38" s="5"/>
      <c r="XDS38" s="5"/>
      <c r="XDT38" s="5"/>
      <c r="XDU38" s="5"/>
      <c r="XDV38" s="5"/>
      <c r="XDW38" s="5"/>
      <c r="XDX38" s="5"/>
      <c r="XDY38" s="5"/>
      <c r="XDZ38" s="5"/>
      <c r="XEA38" s="5"/>
      <c r="XEB38" s="5"/>
      <c r="XEC38" s="5"/>
      <c r="XED38" s="5"/>
      <c r="XEE38" s="5"/>
      <c r="XEF38" s="5"/>
      <c r="XEG38" s="5"/>
      <c r="XEH38" s="5"/>
      <c r="XEI38" s="5"/>
      <c r="XEJ38" s="5"/>
    </row>
    <row r="39" ht="16.5" customHeight="1" spans="1:6 16252:16364">
      <c r="A39" s="8">
        <v>37</v>
      </c>
      <c r="B39" s="9" t="s">
        <v>192</v>
      </c>
      <c r="C39" s="8">
        <v>24</v>
      </c>
      <c r="D39" s="8">
        <v>2</v>
      </c>
      <c r="E39" s="8">
        <v>66</v>
      </c>
      <c r="F39" s="8">
        <v>132</v>
      </c>
    </row>
    <row r="40" ht="16.5" customHeight="1" spans="1:6 16252:16364">
      <c r="A40" s="8">
        <v>38</v>
      </c>
      <c r="B40" s="9" t="s">
        <v>193</v>
      </c>
      <c r="C40" s="8">
        <v>32</v>
      </c>
      <c r="D40" s="8">
        <v>2</v>
      </c>
      <c r="E40" s="8">
        <v>88</v>
      </c>
      <c r="F40" s="8">
        <v>176</v>
      </c>
    </row>
    <row r="41" ht="16.5" customHeight="1" spans="1:6 16252:16364">
      <c r="A41" s="8">
        <v>39</v>
      </c>
      <c r="B41" s="9" t="s">
        <v>194</v>
      </c>
      <c r="C41" s="8">
        <v>9</v>
      </c>
      <c r="D41" s="8">
        <v>1</v>
      </c>
      <c r="E41" s="8">
        <v>49.5</v>
      </c>
      <c r="F41" s="8">
        <v>49.5</v>
      </c>
    </row>
    <row r="42" ht="16.5" customHeight="1" spans="1:6 16252:16364">
      <c r="A42" s="8">
        <v>40</v>
      </c>
      <c r="B42" s="9" t="s">
        <v>195</v>
      </c>
      <c r="C42" s="8">
        <v>5</v>
      </c>
      <c r="D42" s="8">
        <v>1</v>
      </c>
      <c r="E42" s="8">
        <v>27.5</v>
      </c>
      <c r="F42" s="8">
        <v>27.5</v>
      </c>
    </row>
    <row r="43" ht="16.5" spans="1:6 16252:16364">
      <c r="A43" s="8">
        <v>41</v>
      </c>
      <c r="B43" s="9" t="s">
        <v>89</v>
      </c>
      <c r="C43" s="8">
        <v>1</v>
      </c>
      <c r="D43" s="8">
        <v>1</v>
      </c>
      <c r="E43" s="8">
        <v>8</v>
      </c>
      <c r="F43" s="8">
        <v>8</v>
      </c>
    </row>
    <row r="44" ht="16.5" spans="1:6 16252:16364">
      <c r="A44" s="8">
        <v>42</v>
      </c>
      <c r="B44" s="9" t="s">
        <v>196</v>
      </c>
      <c r="C44" s="8">
        <v>31</v>
      </c>
      <c r="D44" s="8">
        <v>1</v>
      </c>
      <c r="E44" s="8">
        <v>170.5</v>
      </c>
      <c r="F44" s="8">
        <v>170.5</v>
      </c>
    </row>
    <row r="45" ht="16.5" spans="1:6 16252:16364">
      <c r="A45" s="8">
        <v>43</v>
      </c>
      <c r="B45" s="9" t="s">
        <v>197</v>
      </c>
      <c r="C45" s="8">
        <v>450</v>
      </c>
      <c r="D45" s="8">
        <v>45</v>
      </c>
      <c r="E45" s="8">
        <v>55</v>
      </c>
      <c r="F45" s="8">
        <v>2475</v>
      </c>
    </row>
    <row r="46" ht="16.5" spans="1:6 16252:16364">
      <c r="A46" s="8">
        <v>44</v>
      </c>
      <c r="B46" s="9" t="s">
        <v>90</v>
      </c>
      <c r="C46" s="8">
        <v>0</v>
      </c>
      <c r="D46" s="8">
        <v>16</v>
      </c>
      <c r="E46" s="8">
        <v>2.5</v>
      </c>
      <c r="F46" s="8">
        <v>40</v>
      </c>
    </row>
    <row r="47" ht="16.5" spans="1:6 16252:16364">
      <c r="A47" s="8">
        <v>45</v>
      </c>
      <c r="B47" s="9" t="s">
        <v>198</v>
      </c>
      <c r="C47" s="8">
        <v>0</v>
      </c>
      <c r="D47" s="8">
        <v>6</v>
      </c>
      <c r="E47" s="8">
        <v>4</v>
      </c>
      <c r="F47" s="8">
        <v>24</v>
      </c>
    </row>
    <row r="48" ht="16.5" spans="1:6 16252:16364">
      <c r="A48" s="8">
        <v>46</v>
      </c>
      <c r="B48" s="9" t="s">
        <v>199</v>
      </c>
      <c r="C48" s="8">
        <v>2</v>
      </c>
      <c r="D48" s="8">
        <v>1</v>
      </c>
      <c r="E48" s="8">
        <v>16.5</v>
      </c>
      <c r="F48" s="8">
        <v>16.5</v>
      </c>
    </row>
    <row r="49" ht="16.5" spans="1:6">
      <c r="A49" s="8">
        <v>47</v>
      </c>
      <c r="B49" s="9" t="s">
        <v>106</v>
      </c>
      <c r="C49" s="8">
        <v>588</v>
      </c>
      <c r="D49" s="8">
        <v>21</v>
      </c>
      <c r="E49" s="8">
        <v>154</v>
      </c>
      <c r="F49" s="8">
        <v>3234</v>
      </c>
    </row>
    <row r="50" ht="16.5" spans="1:6">
      <c r="A50" s="8">
        <v>48</v>
      </c>
      <c r="B50" s="9" t="s">
        <v>107</v>
      </c>
      <c r="C50" s="8">
        <v>26</v>
      </c>
      <c r="D50" s="8">
        <v>26</v>
      </c>
      <c r="E50" s="8">
        <v>8</v>
      </c>
      <c r="F50" s="8">
        <v>208</v>
      </c>
    </row>
    <row r="51" ht="16.5" spans="1:6">
      <c r="A51" s="8">
        <v>49</v>
      </c>
      <c r="B51" s="9" t="s">
        <v>200</v>
      </c>
      <c r="C51" s="8">
        <v>3</v>
      </c>
      <c r="D51" s="8">
        <v>3</v>
      </c>
      <c r="E51" s="8">
        <v>8</v>
      </c>
      <c r="F51" s="8">
        <v>24</v>
      </c>
    </row>
    <row r="52" ht="16.5" spans="1:6">
      <c r="A52" s="8">
        <v>50</v>
      </c>
      <c r="B52" s="9" t="s">
        <v>201</v>
      </c>
      <c r="C52" s="8">
        <v>36</v>
      </c>
      <c r="D52" s="8">
        <v>36</v>
      </c>
      <c r="E52" s="8">
        <v>8</v>
      </c>
      <c r="F52" s="8">
        <v>288</v>
      </c>
    </row>
    <row r="53" ht="16.5" spans="1:6">
      <c r="A53" s="8">
        <v>51</v>
      </c>
      <c r="B53" s="9" t="s">
        <v>202</v>
      </c>
      <c r="C53" s="8">
        <v>54</v>
      </c>
      <c r="D53" s="8">
        <v>27</v>
      </c>
      <c r="E53" s="8">
        <v>16.5</v>
      </c>
      <c r="F53" s="8">
        <v>445.5</v>
      </c>
    </row>
    <row r="54" ht="16.5" spans="1:6">
      <c r="A54" s="8">
        <v>52</v>
      </c>
      <c r="B54" s="9" t="s">
        <v>110</v>
      </c>
      <c r="C54" s="8">
        <v>0</v>
      </c>
      <c r="D54" s="8">
        <v>2</v>
      </c>
      <c r="E54" s="8">
        <v>30</v>
      </c>
      <c r="F54" s="8">
        <v>60</v>
      </c>
    </row>
    <row r="55" ht="16.5" spans="1:6">
      <c r="A55" s="8">
        <v>53</v>
      </c>
      <c r="B55" s="9" t="s">
        <v>203</v>
      </c>
      <c r="C55" s="8">
        <v>3</v>
      </c>
      <c r="D55" s="8">
        <v>3</v>
      </c>
      <c r="E55" s="8">
        <v>25</v>
      </c>
      <c r="F55" s="8">
        <v>75</v>
      </c>
    </row>
    <row r="56" ht="16.5" spans="1:6">
      <c r="A56" s="8">
        <v>54</v>
      </c>
      <c r="B56" s="9" t="s">
        <v>204</v>
      </c>
      <c r="C56" s="8">
        <v>32</v>
      </c>
      <c r="D56" s="8">
        <v>16</v>
      </c>
      <c r="E56" s="8">
        <v>16.5</v>
      </c>
      <c r="F56" s="8">
        <v>264</v>
      </c>
    </row>
    <row r="57" ht="16.5" spans="1:6">
      <c r="A57" s="8">
        <v>55</v>
      </c>
      <c r="B57" s="9" t="s">
        <v>205</v>
      </c>
      <c r="C57" s="8">
        <v>6</v>
      </c>
      <c r="D57" s="8">
        <v>1</v>
      </c>
      <c r="E57" s="8">
        <v>33</v>
      </c>
      <c r="F57" s="8">
        <v>33</v>
      </c>
    </row>
    <row r="58" ht="16.5" spans="1:6">
      <c r="A58" s="8">
        <v>56</v>
      </c>
      <c r="B58" s="9" t="s">
        <v>206</v>
      </c>
      <c r="C58" s="8">
        <v>10</v>
      </c>
      <c r="D58" s="8">
        <v>10</v>
      </c>
      <c r="E58" s="8">
        <v>8</v>
      </c>
      <c r="F58" s="8">
        <v>80</v>
      </c>
    </row>
    <row r="59" ht="16.5" spans="1:6">
      <c r="A59" s="8">
        <v>57</v>
      </c>
      <c r="B59" s="9" t="s">
        <v>207</v>
      </c>
      <c r="C59" s="8">
        <v>270</v>
      </c>
      <c r="D59" s="8">
        <v>9</v>
      </c>
      <c r="E59" s="8">
        <v>165</v>
      </c>
      <c r="F59" s="8">
        <v>1485</v>
      </c>
    </row>
    <row r="60" ht="16.5" spans="1:6">
      <c r="A60" s="8">
        <v>58</v>
      </c>
      <c r="B60" s="9" t="s">
        <v>208</v>
      </c>
      <c r="C60" s="8">
        <v>28</v>
      </c>
      <c r="D60" s="8">
        <v>7</v>
      </c>
      <c r="E60" s="8">
        <v>22</v>
      </c>
      <c r="F60" s="8">
        <v>154</v>
      </c>
    </row>
    <row r="61" ht="16.5" spans="1:6">
      <c r="A61" s="8">
        <v>59</v>
      </c>
      <c r="B61" s="9" t="s">
        <v>209</v>
      </c>
      <c r="C61" s="8">
        <v>2</v>
      </c>
      <c r="D61" s="8">
        <v>1</v>
      </c>
      <c r="E61" s="8">
        <v>13.5</v>
      </c>
      <c r="F61" s="8">
        <v>13.5</v>
      </c>
    </row>
    <row r="62" ht="16.5" spans="1:6">
      <c r="A62" s="8">
        <v>60</v>
      </c>
      <c r="B62" s="9" t="s">
        <v>210</v>
      </c>
      <c r="C62" s="8">
        <v>6</v>
      </c>
      <c r="D62" s="8">
        <v>2</v>
      </c>
      <c r="E62" s="8">
        <v>16.5</v>
      </c>
      <c r="F62" s="8">
        <v>33</v>
      </c>
    </row>
    <row r="63" ht="16.5" spans="1:6">
      <c r="A63" s="8">
        <v>61</v>
      </c>
      <c r="B63" s="9" t="s">
        <v>211</v>
      </c>
      <c r="C63" s="8">
        <v>6</v>
      </c>
      <c r="D63" s="8">
        <v>2</v>
      </c>
      <c r="E63" s="8">
        <v>16.5</v>
      </c>
      <c r="F63" s="8">
        <v>33</v>
      </c>
    </row>
    <row r="64" ht="16.5" spans="1:6">
      <c r="A64" s="8">
        <v>62</v>
      </c>
      <c r="B64" s="9" t="s">
        <v>137</v>
      </c>
      <c r="C64" s="8">
        <v>9</v>
      </c>
      <c r="D64" s="8">
        <v>3</v>
      </c>
      <c r="E64" s="8">
        <v>16.5</v>
      </c>
      <c r="F64" s="8">
        <v>49.5</v>
      </c>
    </row>
    <row r="65" ht="16.5" spans="1:6">
      <c r="A65" s="8">
        <v>63</v>
      </c>
      <c r="B65" s="9" t="s">
        <v>212</v>
      </c>
      <c r="C65" s="8">
        <v>2</v>
      </c>
      <c r="D65" s="8">
        <v>2</v>
      </c>
      <c r="E65" s="8">
        <v>13</v>
      </c>
      <c r="F65" s="8">
        <v>26</v>
      </c>
    </row>
    <row r="66" ht="16.5" spans="1:6">
      <c r="A66" s="8">
        <v>64</v>
      </c>
      <c r="B66" s="9" t="s">
        <v>213</v>
      </c>
      <c r="C66" s="8">
        <v>119</v>
      </c>
      <c r="D66" s="8">
        <v>119</v>
      </c>
      <c r="E66" s="8">
        <v>13</v>
      </c>
      <c r="F66" s="8">
        <v>1547</v>
      </c>
    </row>
    <row r="67" ht="16.5" spans="1:6">
      <c r="A67" s="8">
        <v>65</v>
      </c>
      <c r="B67" s="9" t="s">
        <v>214</v>
      </c>
      <c r="C67" s="8">
        <v>20</v>
      </c>
      <c r="D67" s="8">
        <v>20</v>
      </c>
      <c r="E67" s="8">
        <v>16.5</v>
      </c>
      <c r="F67" s="8">
        <v>330</v>
      </c>
    </row>
    <row r="68" ht="16.5" spans="1:6">
      <c r="A68" s="8">
        <v>66</v>
      </c>
      <c r="B68" s="9" t="s">
        <v>215</v>
      </c>
      <c r="C68" s="8">
        <v>154</v>
      </c>
      <c r="D68" s="8">
        <v>77</v>
      </c>
      <c r="E68" s="8">
        <v>16.5</v>
      </c>
      <c r="F68" s="8">
        <v>1270.5</v>
      </c>
    </row>
    <row r="69" ht="16.5" spans="1:6">
      <c r="A69" s="8">
        <v>67</v>
      </c>
      <c r="B69" s="9" t="s">
        <v>216</v>
      </c>
      <c r="C69" s="8">
        <v>15</v>
      </c>
      <c r="D69" s="8">
        <v>5</v>
      </c>
      <c r="E69" s="8">
        <v>16.5</v>
      </c>
      <c r="F69" s="8">
        <v>82.5</v>
      </c>
    </row>
    <row r="70" ht="16.5" spans="1:6">
      <c r="A70" s="8">
        <v>68</v>
      </c>
      <c r="B70" s="9" t="s">
        <v>217</v>
      </c>
      <c r="C70" s="8">
        <v>4</v>
      </c>
      <c r="D70" s="8">
        <v>2</v>
      </c>
      <c r="E70" s="8">
        <v>16.5</v>
      </c>
      <c r="F70" s="8">
        <v>33</v>
      </c>
    </row>
    <row r="71" ht="16.5" spans="1:6">
      <c r="A71" s="8">
        <v>69</v>
      </c>
      <c r="B71" s="9" t="s">
        <v>218</v>
      </c>
      <c r="C71" s="8">
        <v>10</v>
      </c>
      <c r="D71" s="8">
        <v>5</v>
      </c>
      <c r="E71" s="8">
        <v>13.5</v>
      </c>
      <c r="F71" s="8">
        <v>67.5</v>
      </c>
    </row>
    <row r="72" ht="16.5" spans="1:6">
      <c r="A72" s="8">
        <v>70</v>
      </c>
      <c r="B72" s="9" t="s">
        <v>219</v>
      </c>
      <c r="C72" s="8">
        <v>64</v>
      </c>
      <c r="D72" s="8">
        <v>2</v>
      </c>
      <c r="E72" s="8">
        <v>176</v>
      </c>
      <c r="F72" s="8">
        <v>352</v>
      </c>
    </row>
    <row r="73" ht="16.5" spans="1:6">
      <c r="A73" s="8">
        <v>71</v>
      </c>
      <c r="B73" s="9" t="s">
        <v>220</v>
      </c>
      <c r="C73" s="8">
        <v>20</v>
      </c>
      <c r="D73" s="8">
        <v>20</v>
      </c>
      <c r="E73" s="8">
        <v>8</v>
      </c>
      <c r="F73" s="8">
        <v>160</v>
      </c>
    </row>
    <row r="74" ht="16.5" spans="1:6">
      <c r="A74" s="8">
        <v>72</v>
      </c>
      <c r="B74" s="9" t="s">
        <v>145</v>
      </c>
      <c r="C74" s="8">
        <v>20</v>
      </c>
      <c r="D74" s="8">
        <v>20</v>
      </c>
      <c r="E74" s="8">
        <v>8</v>
      </c>
      <c r="F74" s="8">
        <v>160</v>
      </c>
    </row>
    <row r="75" ht="16.5" spans="1:6">
      <c r="A75" s="8">
        <v>73</v>
      </c>
      <c r="B75" s="9" t="s">
        <v>221</v>
      </c>
      <c r="C75" s="8">
        <v>80</v>
      </c>
      <c r="D75" s="8">
        <v>20</v>
      </c>
      <c r="E75" s="8">
        <v>22</v>
      </c>
      <c r="F75" s="8">
        <v>440</v>
      </c>
    </row>
    <row r="76" ht="16.5" spans="1:6">
      <c r="A76" s="8">
        <v>74</v>
      </c>
      <c r="B76" s="9" t="s">
        <v>222</v>
      </c>
      <c r="C76" s="8">
        <v>20</v>
      </c>
      <c r="D76" s="8">
        <v>10</v>
      </c>
      <c r="E76" s="8">
        <v>16.5</v>
      </c>
      <c r="F76" s="8">
        <v>165</v>
      </c>
    </row>
    <row r="77" ht="16.5" spans="1:6">
      <c r="A77" s="8">
        <v>75</v>
      </c>
      <c r="B77" s="9" t="s">
        <v>223</v>
      </c>
      <c r="C77" s="8">
        <v>6</v>
      </c>
      <c r="D77" s="8">
        <v>3</v>
      </c>
      <c r="E77" s="8">
        <v>16.5</v>
      </c>
      <c r="F77" s="8">
        <v>49.5</v>
      </c>
    </row>
    <row r="78" ht="16.5" spans="1:6">
      <c r="A78" s="8">
        <v>76</v>
      </c>
      <c r="B78" s="9" t="s">
        <v>147</v>
      </c>
      <c r="C78" s="8">
        <v>4</v>
      </c>
      <c r="D78" s="8">
        <v>2</v>
      </c>
      <c r="E78" s="8">
        <v>16.5</v>
      </c>
      <c r="F78" s="8">
        <v>33</v>
      </c>
    </row>
    <row r="79" ht="16.5" customHeight="1" spans="1:6">
      <c r="A79" s="8">
        <v>77</v>
      </c>
      <c r="B79" s="9" t="s">
        <v>224</v>
      </c>
      <c r="C79" s="8">
        <v>5</v>
      </c>
      <c r="D79" s="8">
        <v>5</v>
      </c>
      <c r="E79" s="8">
        <v>8</v>
      </c>
      <c r="F79" s="8">
        <v>40</v>
      </c>
    </row>
    <row r="80" ht="16.5" customHeight="1" spans="1:6">
      <c r="A80" s="12" t="s">
        <v>158</v>
      </c>
      <c r="B80" s="13"/>
      <c r="C80" s="13"/>
      <c r="D80" s="13"/>
      <c r="E80" s="14"/>
      <c r="F80" s="8">
        <f>SUM(F3:F79)</f>
        <v>73010</v>
      </c>
    </row>
  </sheetData>
  <autoFilter xmlns:etc="http://www.wps.cn/officeDocument/2017/etCustomData" ref="A2:XEO79" etc:filterBottomFollowUsedRange="0">
    <extLst/>
  </autoFilter>
  <mergeCells count="2">
    <mergeCell ref="A1:F1"/>
    <mergeCell ref="A80:E80"/>
  </mergeCells>
  <pageMargins left="0.25" right="0.25" top="0.75" bottom="0.75" header="0.298611111111111" footer="0.298611111111111"/>
  <pageSetup paperSize="9" scale="9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手术一区</vt:lpstr>
      <vt:lpstr>手术二区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2024-05-24T05:02:00Z</dcterms:created>
  <dcterms:modified xsi:type="dcterms:W3CDTF">2026-04-14T08:18:46Z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C6DB3ACC1D8A43C0B54581CD6306C995_13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