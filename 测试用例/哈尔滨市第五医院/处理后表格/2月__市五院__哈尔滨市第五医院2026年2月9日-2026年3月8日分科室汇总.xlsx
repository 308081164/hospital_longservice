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二区" sheetId="14" r:id="rId1"/>
    <sheet name="手术一区" sheetId="16" r:id="rId2"/>
  </sheets>
  <definedNames>
    <definedName name="_xlnm._FilterDatabase" localSheetId="0" hidden="1">手术二区!$A$2:$XEQ$61</definedName>
    <definedName name="_xlnm._FilterDatabase" localSheetId="1" hidden="1">手术一区!$A$2:$XEV$135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<sst xmlns="http://schemas.openxmlformats.org/spreadsheetml/2006/main" count="205" uniqueCount="191">
  <si>
    <t>哈尔滨市第五医院2026年2月9日-2026年3月8日器械数量及费用汇总（手术二区）</t>
  </si>
  <si>
    <t>序号</t>
  </si>
  <si>
    <t>包名称</t>
  </si>
  <si>
    <t>包内器械数量（把）</t>
  </si>
  <si>
    <t>数量（包）</t>
  </si>
  <si>
    <t>单价（元/包）</t>
  </si>
  <si>
    <t>合计金额（元）</t>
  </si>
  <si>
    <t>持物钳罐-2件/W605060</t>
  </si>
  <si>
    <t>持针器-1/Z1026</t>
  </si>
  <si>
    <t>尺-1/W605060</t>
  </si>
  <si>
    <t>锤子-1/双z1535</t>
  </si>
  <si>
    <t>大烧伤</t>
  </si>
  <si>
    <t>弹钩-2/W6050</t>
  </si>
  <si>
    <t>刀柄-1/z7526</t>
  </si>
  <si>
    <t>地巾</t>
  </si>
  <si>
    <t>地巾辅料包/W1205060</t>
  </si>
  <si>
    <t>电动取皮机-6件 筐1/W12050</t>
  </si>
  <si>
    <t>方盘-1/W9050</t>
  </si>
  <si>
    <t>缝合包</t>
  </si>
  <si>
    <t>肛肠包</t>
  </si>
  <si>
    <t>肛肠探针-1/Z7520</t>
  </si>
  <si>
    <t>肱骨复位器-2/W5050</t>
  </si>
  <si>
    <t>钩镊-1/Z7526</t>
  </si>
  <si>
    <t>骨锉-1/W605060</t>
  </si>
  <si>
    <t>骨科剥离质-1/Z7534</t>
  </si>
  <si>
    <t>固指板-1/W7050</t>
  </si>
  <si>
    <t>刮勺-1/Z7526</t>
  </si>
  <si>
    <t>滚轴(植皮刀)-1件/W6050</t>
  </si>
  <si>
    <t>肌钩-2/Z1026</t>
  </si>
  <si>
    <t>尖嘴复位器-1/Z1535</t>
  </si>
  <si>
    <t>剪刀-1/Z1530</t>
  </si>
  <si>
    <t>剪刀小-1/Z1026</t>
  </si>
  <si>
    <t>巾钳子-1/Z1026</t>
  </si>
  <si>
    <t>克氏钳-1/双z1029</t>
  </si>
  <si>
    <t>慢创包</t>
  </si>
  <si>
    <t>门诊整形.</t>
  </si>
  <si>
    <t>门诊整形包</t>
  </si>
  <si>
    <t>平骨凿-1/Z7526</t>
  </si>
  <si>
    <t>气管切开包</t>
  </si>
  <si>
    <t>切开包-10件</t>
  </si>
  <si>
    <t>驱血带</t>
  </si>
  <si>
    <t>手科包</t>
  </si>
  <si>
    <t>手科剥离质-1/Z7530</t>
  </si>
  <si>
    <t>手科骨锉-1/Z7526</t>
  </si>
  <si>
    <t>手科爪鞍钩-1 /Z7526</t>
  </si>
  <si>
    <t>手科爪钩-2/Z1535</t>
  </si>
  <si>
    <t>手科指锯-1/Z7520</t>
  </si>
  <si>
    <t>手刷盒/w9050</t>
  </si>
  <si>
    <t>弯盘1小碗1/W9050</t>
  </si>
  <si>
    <t>显微器械-6件</t>
  </si>
  <si>
    <t>线锯-1/Z1026</t>
  </si>
  <si>
    <t>小烧伤</t>
  </si>
  <si>
    <t>小弯止血钳-4/Z1530</t>
  </si>
  <si>
    <t>小止血钳-2/z1026</t>
  </si>
  <si>
    <t>咬骨剪-1/Z2032</t>
  </si>
  <si>
    <t>咬骨钳-1/Z2032</t>
  </si>
  <si>
    <t>咬丝器-1/Z双2032</t>
  </si>
  <si>
    <t>咬丝器1持针器1/W6050</t>
  </si>
  <si>
    <t>凿子-3/双z1029</t>
  </si>
  <si>
    <t>爪鞍钩-2 /Z7526</t>
  </si>
  <si>
    <t>植皮刀片-1/Z7520</t>
  </si>
  <si>
    <t>止血钳-4/Z1530</t>
  </si>
  <si>
    <t>止血钳大-2/Z1535</t>
  </si>
  <si>
    <t>中心持骨器-2/w6050</t>
  </si>
  <si>
    <t>组织钳-1/Z1026</t>
  </si>
  <si>
    <t>合计</t>
  </si>
  <si>
    <t>哈尔滨市第五医院2026年2月9日-2026年3月8日器械数量及费用汇总（手术一区）</t>
  </si>
  <si>
    <t>2.8钻头3件（继元）/Z7530</t>
  </si>
  <si>
    <t>263机器人-9件（高温）</t>
  </si>
  <si>
    <t>264机器人-8件（高温）</t>
  </si>
  <si>
    <t>3.2钻头3件（继元）/Z7530</t>
  </si>
  <si>
    <t>3.5钻头3件（继元）/Z7530</t>
  </si>
  <si>
    <t>4.3钻头3件（继元）/Z7530</t>
  </si>
  <si>
    <t>4.5钻头3件（继元）/Z7530</t>
  </si>
  <si>
    <t>40001机器人-8件（高温）</t>
  </si>
  <si>
    <t>UBE拇外翻线-1/双/Z2530</t>
  </si>
  <si>
    <t>半月板钩-6/W605060</t>
  </si>
  <si>
    <t>闭合包</t>
  </si>
  <si>
    <t>博进骨动力-8件（盒1）/W1205060</t>
  </si>
  <si>
    <t>博进骨动力-9件（盒1）/W1205060</t>
  </si>
  <si>
    <t>博进骨动力-带盒10件/W1205060</t>
  </si>
  <si>
    <t>博进骨动力-带盒9件/W1205060</t>
  </si>
  <si>
    <t>叉勾-7/W605060</t>
  </si>
  <si>
    <t>产科手术器械包</t>
  </si>
  <si>
    <t>超声骨动力刀头-1/Z7520</t>
  </si>
  <si>
    <t>超声骨动力系统</t>
  </si>
  <si>
    <t>尺桡复位器-2/W405060</t>
  </si>
  <si>
    <t>穿刺针（带芯）-2/Z7520</t>
  </si>
  <si>
    <t>锤子1凿子1剥离质1/W605060</t>
  </si>
  <si>
    <t>打孔器-1/W605060</t>
  </si>
  <si>
    <t>大盆-1/w1205060</t>
  </si>
  <si>
    <t>弹钩-2/W605060</t>
  </si>
  <si>
    <t>德美2号刨刀-1/双/Z2550</t>
  </si>
  <si>
    <t>德美肩镜缝合针-1/Z7530</t>
  </si>
  <si>
    <t>德美刨刀（高温）-1/Z2044</t>
  </si>
  <si>
    <t>德美刨刀3号-1/双Z2550</t>
  </si>
  <si>
    <t>德美膝器械11件盒1（二）</t>
  </si>
  <si>
    <t>德美膝器械11件盒1（一）</t>
  </si>
  <si>
    <t>德美膝器械12件盒1（三）</t>
  </si>
  <si>
    <t>德美膝器械12件盒1（四）</t>
  </si>
  <si>
    <t>德美新1水管-2/双/Z1526</t>
  </si>
  <si>
    <t>德美新2水管-2件/Z1530</t>
  </si>
  <si>
    <t>德美新3水管 -2件/Z2530</t>
  </si>
  <si>
    <t>骶棘拉钩-2/W605060</t>
  </si>
  <si>
    <t>妇产科布袋/ W6050</t>
  </si>
  <si>
    <t>妇产科纱条/W5050</t>
  </si>
  <si>
    <t>骨把持器1钢板折弯器2/W605060</t>
  </si>
  <si>
    <t>骨电钻-3件/W705060</t>
  </si>
  <si>
    <t>骨动力-8 盒1/w1205060</t>
  </si>
  <si>
    <t>骨动力-8件（盒1）/W1205060</t>
  </si>
  <si>
    <t>骨动力-9件（盒1）/W1205060</t>
  </si>
  <si>
    <t>骨动力-带盒10件</t>
  </si>
  <si>
    <t>骨动力-带盒9件</t>
  </si>
  <si>
    <t>机器人器械-4件/w5050</t>
  </si>
  <si>
    <t>机器人套筒-1/W4050</t>
  </si>
  <si>
    <t>肌钩-2/W5050</t>
  </si>
  <si>
    <t>脊柱常备器械</t>
  </si>
  <si>
    <t>脊柱常备器械髓核少1</t>
  </si>
  <si>
    <t>脊柱加件-6件/W605060</t>
  </si>
  <si>
    <t>甲状腺拉钩-2/W505060</t>
  </si>
  <si>
    <t>尖嘴复位器-2/W605060</t>
  </si>
  <si>
    <t>剪切钳-1/W505060</t>
  </si>
  <si>
    <t>解剖剪刀-1/Z1029</t>
  </si>
  <si>
    <t>胫腓骨拉勾-2/W605060</t>
  </si>
  <si>
    <t>镜骨九（1）</t>
  </si>
  <si>
    <t>镜骨九（2）</t>
  </si>
  <si>
    <t>镜骨九（3）</t>
  </si>
  <si>
    <t>开颅精密器械-6件/W705060</t>
  </si>
  <si>
    <t>克氏钳-1/W405060</t>
  </si>
  <si>
    <t>髋关节器械-10件</t>
  </si>
  <si>
    <t>阑尾加件（阑1，扣2）/W505060</t>
  </si>
  <si>
    <t>林海工具-2件/W505060</t>
  </si>
  <si>
    <t>刘断钉取（蓝)-51件（盒1）</t>
  </si>
  <si>
    <t>刘绍辉断钉取-带盒48件</t>
  </si>
  <si>
    <t>颅骨固定器-9件/W505060</t>
  </si>
  <si>
    <t>脑外无齿镊2件/W5060</t>
  </si>
  <si>
    <t>脑外专用包</t>
  </si>
  <si>
    <t>盘1碗2/w9050</t>
  </si>
  <si>
    <t>取针钳-1/W505060</t>
  </si>
  <si>
    <t>取针咬骨钳-1件/W505060</t>
  </si>
  <si>
    <t>上肢包</t>
  </si>
  <si>
    <t>上肢加件-3/W605060</t>
  </si>
  <si>
    <t>上肢止血带</t>
  </si>
  <si>
    <t>深钩-2/W605060</t>
  </si>
  <si>
    <t>神外牵开器-2件/W905060</t>
  </si>
  <si>
    <t>施乐辉肩镜器械</t>
  </si>
  <si>
    <t>史赛克3.2克氏针钻-带盒4件</t>
  </si>
  <si>
    <t>史赛克摆锯-4（带盒5件）</t>
  </si>
  <si>
    <t>史赛克多功能锯钻-7（带盒8件）</t>
  </si>
  <si>
    <t>史赛克锯片-1/Z1020</t>
  </si>
  <si>
    <t>史赛克磨头-1/Z7520</t>
  </si>
  <si>
    <t>史赛克磨钻-9件 筐1/W1205060</t>
  </si>
  <si>
    <t>手科加件3件(小剪1组剪1挫1)/Z1030</t>
  </si>
  <si>
    <t>手科咬骨钳1 刮勺1/W505060</t>
  </si>
  <si>
    <t>手科爪鞍钩-4件/W505060</t>
  </si>
  <si>
    <t>手套</t>
  </si>
  <si>
    <t>刷手服</t>
  </si>
  <si>
    <t>外科包</t>
  </si>
  <si>
    <t>腕关节镜头-2</t>
  </si>
  <si>
    <t>蚊式2 中弯2/Z1530</t>
  </si>
  <si>
    <t>西山UBE线/W505060</t>
  </si>
  <si>
    <t>西山摆锯-3件/W6050</t>
  </si>
  <si>
    <t>洗毛盒</t>
  </si>
  <si>
    <t>洗手巾/W12050</t>
  </si>
  <si>
    <t>下肢包</t>
  </si>
  <si>
    <t>下肢止血带</t>
  </si>
  <si>
    <t>小布袋/w6050</t>
  </si>
  <si>
    <t>新膝镜（二）-10件/W9050</t>
  </si>
  <si>
    <t>新膝镜（一）-10件/W9050</t>
  </si>
  <si>
    <t>胸骨磨钻-带盒13件</t>
  </si>
  <si>
    <t>胸骨磨钻头5.0-1/Z7526</t>
  </si>
  <si>
    <t>胸骨磨钻头6.0-1/Z7526</t>
  </si>
  <si>
    <t>胸腔镜-11件（筐1）</t>
  </si>
  <si>
    <t>胸外盖冠男器械-7件（筐1）/W1505060</t>
  </si>
  <si>
    <t>咬钉器-1手柄-2/W6050</t>
  </si>
  <si>
    <t>咬骨剪子1刮勺1/W605060</t>
  </si>
  <si>
    <t>咬骨钳1刮勺1/W605060</t>
  </si>
  <si>
    <t>咬丝器-1/W6050</t>
  </si>
  <si>
    <t>鹰嘴咬骨钳1刮勺1/W605060</t>
  </si>
  <si>
    <t>凿子-3/W605060</t>
  </si>
  <si>
    <t>中直钳-2/Z1530</t>
  </si>
  <si>
    <t>抓线钳-1/W4550</t>
  </si>
  <si>
    <t>椎间孔镜（三）</t>
  </si>
  <si>
    <t>子宫包</t>
  </si>
  <si>
    <t>子宫加件</t>
  </si>
  <si>
    <t>自动拉钩-5/W7050</t>
  </si>
  <si>
    <t>钻头2件（伊优品）/Z7545</t>
  </si>
  <si>
    <t>钻头4件（宜林唤方）/Z7545</t>
  </si>
  <si>
    <t>钻头6件（国药）/Z7545</t>
  </si>
  <si>
    <t>钻头备用（久时玖）-9/Z1029</t>
  </si>
  <si>
    <t>合计
#N/A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</si>
</sst>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Microsoft YaHei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>
      <alignment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2" xfId="0" applyNumberForma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N61"/>
  <sheetViews>
    <sheetView tabSelected="1" view="pageBreakPreview" zoomScaleNormal="100" workbookViewId="0">
      <selection activeCell="F61" sqref="F61"/>
    </sheetView>
  </sheetViews>
  <sheetFormatPr defaultColWidth="9" defaultRowHeight="13.5"/>
  <cols>
    <col min="1" max="1" width="7.5" style="3" customWidth="1"/>
    <col min="2" max="2" width="33.375" style="4" customWidth="1"/>
    <col min="3" max="3" width="19.125" style="3" customWidth="1"/>
    <col min="4" max="4" width="13" style="3" customWidth="1"/>
    <col min="5" max="5" width="13.7583333333333" style="3" customWidth="1"/>
    <col min="6" max="6" width="14.4583333333333" style="3" customWidth="1"/>
    <col min="7" max="16253" width="9" style="1"/>
    <col min="16293" max="16384" width="9" style="5"/>
  </cols>
  <sheetData>
    <row r="1" s="1" customFormat="1" ht="21" spans="1:6 16254:16366">
      <c r="A1" s="6" t="s">
        <v>0</v>
      </c>
      <c r="B1" s="7"/>
      <c r="C1" s="6"/>
      <c r="D1" s="6"/>
      <c r="E1" s="6"/>
      <c r="F1" s="6"/>
    </row>
    <row r="2" s="2" customFormat="1" ht="16.5" customHeight="1" spans="1:6 16254:1636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="1" customFormat="1" ht="16.5" spans="1:6 16254:16366">
      <c r="A3" s="8"/>
      <c r="B3" s="9" t="s">
        <v>7</v>
      </c>
      <c r="C3" s="8">
        <v>212</v>
      </c>
      <c r="D3" s="8">
        <v>106</v>
      </c>
      <c r="E3" s="8">
        <v>16.5</v>
      </c>
      <c r="F3" s="8">
        <v>1749</v>
      </c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</row>
    <row r="4" s="1" customFormat="1" ht="16.5" spans="1:6 16254:16366">
      <c r="A4" s="8"/>
      <c r="B4" s="9" t="s">
        <v>8</v>
      </c>
      <c r="C4" s="8">
        <v>3</v>
      </c>
      <c r="D4" s="8">
        <v>3</v>
      </c>
      <c r="E4" s="8">
        <v>8</v>
      </c>
      <c r="F4" s="8">
        <v>24</v>
      </c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  <c r="XEB4" s="5"/>
      <c r="XEC4" s="5"/>
      <c r="XED4" s="5"/>
      <c r="XEE4" s="5"/>
      <c r="XEF4" s="5"/>
      <c r="XEG4" s="5"/>
      <c r="XEH4" s="5"/>
      <c r="XEI4" s="5"/>
      <c r="XEJ4" s="5"/>
      <c r="XEK4" s="5"/>
      <c r="XEL4" s="5"/>
    </row>
    <row r="5" s="1" customFormat="1" ht="16.5" spans="1:6 16254:16366">
      <c r="A5" s="8"/>
      <c r="B5" s="9" t="s">
        <v>9</v>
      </c>
      <c r="C5" s="8">
        <v>2</v>
      </c>
      <c r="D5" s="8">
        <v>2</v>
      </c>
      <c r="E5" s="8">
        <v>16.5</v>
      </c>
      <c r="F5" s="8">
        <v>33</v>
      </c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 s="5"/>
      <c r="XBR5" s="5"/>
      <c r="XBS5" s="5"/>
      <c r="XBT5" s="5"/>
      <c r="XBU5" s="5"/>
      <c r="XBV5" s="5"/>
      <c r="XBW5" s="5"/>
      <c r="XBX5" s="5"/>
      <c r="XBY5" s="5"/>
      <c r="XBZ5" s="5"/>
      <c r="XCA5" s="5"/>
      <c r="XCB5" s="5"/>
      <c r="XCC5" s="5"/>
      <c r="XCD5" s="5"/>
      <c r="XCE5" s="5"/>
      <c r="XCF5" s="5"/>
      <c r="XCG5" s="5"/>
      <c r="XCH5" s="5"/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  <c r="XDE5" s="5"/>
      <c r="XDF5" s="5"/>
      <c r="XDG5" s="5"/>
      <c r="XDH5" s="5"/>
      <c r="XDI5" s="5"/>
      <c r="XDJ5" s="5"/>
      <c r="XDK5" s="5"/>
      <c r="XDL5" s="5"/>
      <c r="XDM5" s="5"/>
      <c r="XDN5" s="5"/>
      <c r="XDO5" s="5"/>
      <c r="XDP5" s="5"/>
      <c r="XDQ5" s="5"/>
      <c r="XDR5" s="5"/>
      <c r="XDS5" s="5"/>
      <c r="XDT5" s="5"/>
      <c r="XDU5" s="5"/>
      <c r="XDV5" s="5"/>
      <c r="XDW5" s="5"/>
      <c r="XDX5" s="5"/>
      <c r="XDY5" s="5"/>
      <c r="XDZ5" s="5"/>
      <c r="XEA5" s="5"/>
      <c r="XEB5" s="5"/>
      <c r="XEC5" s="5"/>
      <c r="XED5" s="5"/>
      <c r="XEE5" s="5"/>
      <c r="XEF5" s="5"/>
      <c r="XEG5" s="5"/>
      <c r="XEH5" s="5"/>
      <c r="XEI5" s="5"/>
      <c r="XEJ5" s="5"/>
      <c r="XEK5" s="5"/>
      <c r="XEL5" s="5"/>
    </row>
    <row r="6" s="1" customFormat="1" ht="16.5" spans="1:6 16254:16366">
      <c r="A6" s="8"/>
      <c r="B6" s="9" t="s">
        <v>10</v>
      </c>
      <c r="C6" s="8">
        <v>4</v>
      </c>
      <c r="D6" s="8">
        <v>4</v>
      </c>
      <c r="E6" s="8">
        <v>16.5</v>
      </c>
      <c r="F6" s="8">
        <v>66</v>
      </c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 s="5"/>
      <c r="XBR6" s="5"/>
      <c r="XBS6" s="5"/>
      <c r="XBT6" s="5"/>
      <c r="XBU6" s="5"/>
      <c r="XBV6" s="5"/>
      <c r="XBW6" s="5"/>
      <c r="XBX6" s="5"/>
      <c r="XBY6" s="5"/>
      <c r="XBZ6" s="5"/>
      <c r="XCA6" s="5"/>
      <c r="XCB6" s="5"/>
      <c r="XCC6" s="5"/>
      <c r="XCD6" s="5"/>
      <c r="XCE6" s="5"/>
      <c r="XCF6" s="5"/>
      <c r="XCG6" s="5"/>
      <c r="XCH6" s="5"/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  <c r="XDE6" s="5"/>
      <c r="XDF6" s="5"/>
      <c r="XDG6" s="5"/>
      <c r="XDH6" s="5"/>
      <c r="XDI6" s="5"/>
      <c r="XDJ6" s="5"/>
      <c r="XDK6" s="5"/>
      <c r="XDL6" s="5"/>
      <c r="XDM6" s="5"/>
      <c r="XDN6" s="5"/>
      <c r="XDO6" s="5"/>
      <c r="XDP6" s="5"/>
      <c r="XDQ6" s="5"/>
      <c r="XDR6" s="5"/>
      <c r="XDS6" s="5"/>
      <c r="XDT6" s="5"/>
      <c r="XDU6" s="5"/>
      <c r="XDV6" s="5"/>
      <c r="XDW6" s="5"/>
      <c r="XDX6" s="5"/>
      <c r="XDY6" s="5"/>
      <c r="XDZ6" s="5"/>
      <c r="XEA6" s="5"/>
      <c r="XEB6" s="5"/>
      <c r="XEC6" s="5"/>
      <c r="XED6" s="5"/>
      <c r="XEE6" s="5"/>
      <c r="XEF6" s="5"/>
      <c r="XEG6" s="5"/>
      <c r="XEH6" s="5"/>
      <c r="XEI6" s="5"/>
      <c r="XEJ6" s="5"/>
      <c r="XEK6" s="5"/>
      <c r="XEL6" s="5"/>
    </row>
    <row r="7" s="1" customFormat="1" ht="16.5" spans="1:6 16254:16366">
      <c r="A7" s="8"/>
      <c r="B7" s="9" t="s">
        <v>11</v>
      </c>
      <c r="C7" s="8">
        <v>144</v>
      </c>
      <c r="D7" s="8">
        <v>3</v>
      </c>
      <c r="E7" s="8">
        <v>264</v>
      </c>
      <c r="F7" s="8">
        <v>792</v>
      </c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 s="5"/>
      <c r="XBR7" s="5"/>
      <c r="XBS7" s="5"/>
      <c r="XBT7" s="5"/>
      <c r="XBU7" s="5"/>
      <c r="XBV7" s="5"/>
      <c r="XBW7" s="5"/>
      <c r="XBX7" s="5"/>
      <c r="XBY7" s="5"/>
      <c r="XBZ7" s="5"/>
      <c r="XCA7" s="5"/>
      <c r="XCB7" s="5"/>
      <c r="XCC7" s="5"/>
      <c r="XCD7" s="5"/>
      <c r="XCE7" s="5"/>
      <c r="XCF7" s="5"/>
      <c r="XCG7" s="5"/>
      <c r="XCH7" s="5"/>
      <c r="XCI7" s="5"/>
      <c r="XCJ7" s="5"/>
      <c r="XCK7" s="5"/>
      <c r="XCL7" s="5"/>
      <c r="XCM7" s="5"/>
      <c r="XCN7" s="5"/>
      <c r="XCO7" s="5"/>
      <c r="XCP7" s="5"/>
      <c r="XCQ7" s="5"/>
      <c r="XCR7" s="5"/>
      <c r="XCS7" s="5"/>
      <c r="XCT7" s="5"/>
      <c r="XCU7" s="5"/>
      <c r="XCV7" s="5"/>
      <c r="XCW7" s="5"/>
      <c r="XCX7" s="5"/>
      <c r="XCY7" s="5"/>
      <c r="XCZ7" s="5"/>
      <c r="XDA7" s="5"/>
      <c r="XDB7" s="5"/>
      <c r="XDC7" s="5"/>
      <c r="XDD7" s="5"/>
      <c r="XDE7" s="5"/>
      <c r="XDF7" s="5"/>
      <c r="XDG7" s="5"/>
      <c r="XDH7" s="5"/>
      <c r="XDI7" s="5"/>
      <c r="XDJ7" s="5"/>
      <c r="XDK7" s="5"/>
      <c r="XDL7" s="5"/>
      <c r="XDM7" s="5"/>
      <c r="XDN7" s="5"/>
      <c r="XDO7" s="5"/>
      <c r="XDP7" s="5"/>
      <c r="XDQ7" s="5"/>
      <c r="XDR7" s="5"/>
      <c r="XDS7" s="5"/>
      <c r="XDT7" s="5"/>
      <c r="XDU7" s="5"/>
      <c r="XDV7" s="5"/>
      <c r="XDW7" s="5"/>
      <c r="XDX7" s="5"/>
      <c r="XDY7" s="5"/>
      <c r="XDZ7" s="5"/>
      <c r="XEA7" s="5"/>
      <c r="XEB7" s="5"/>
      <c r="XEC7" s="5"/>
      <c r="XED7" s="5"/>
      <c r="XEE7" s="5"/>
      <c r="XEF7" s="5"/>
      <c r="XEG7" s="5"/>
      <c r="XEH7" s="5"/>
      <c r="XEI7" s="5"/>
      <c r="XEJ7" s="5"/>
      <c r="XEK7" s="5"/>
      <c r="XEL7" s="5"/>
    </row>
    <row r="8" s="1" customFormat="1" ht="16.5" spans="1:6 16254:16366">
      <c r="A8" s="8"/>
      <c r="B8" s="9" t="s">
        <v>12</v>
      </c>
      <c r="C8" s="8">
        <v>8</v>
      </c>
      <c r="D8" s="8">
        <v>4</v>
      </c>
      <c r="E8" s="8">
        <v>16.5</v>
      </c>
      <c r="F8" s="8">
        <v>66</v>
      </c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/>
      <c r="XBK8"/>
      <c r="XBL8"/>
      <c r="XBM8"/>
      <c r="XBN8"/>
      <c r="XBO8"/>
      <c r="XBP8"/>
      <c r="XBQ8" s="5"/>
      <c r="XBR8" s="5"/>
      <c r="XBS8" s="5"/>
      <c r="XBT8" s="5"/>
      <c r="XBU8" s="5"/>
      <c r="XBV8" s="5"/>
      <c r="XBW8" s="5"/>
      <c r="XBX8" s="5"/>
      <c r="XBY8" s="5"/>
      <c r="XBZ8" s="5"/>
      <c r="XCA8" s="5"/>
      <c r="XCB8" s="5"/>
      <c r="XCC8" s="5"/>
      <c r="XCD8" s="5"/>
      <c r="XCE8" s="5"/>
      <c r="XCF8" s="5"/>
      <c r="XCG8" s="5"/>
      <c r="XCH8" s="5"/>
      <c r="XCI8" s="5"/>
      <c r="XCJ8" s="5"/>
      <c r="XCK8" s="5"/>
      <c r="XCL8" s="5"/>
      <c r="XCM8" s="5"/>
      <c r="XCN8" s="5"/>
      <c r="XCO8" s="5"/>
      <c r="XCP8" s="5"/>
      <c r="XCQ8" s="5"/>
      <c r="XCR8" s="5"/>
      <c r="XCS8" s="5"/>
      <c r="XCT8" s="5"/>
      <c r="XCU8" s="5"/>
      <c r="XCV8" s="5"/>
      <c r="XCW8" s="5"/>
      <c r="XCX8" s="5"/>
      <c r="XCY8" s="5"/>
      <c r="XCZ8" s="5"/>
      <c r="XDA8" s="5"/>
      <c r="XDB8" s="5"/>
      <c r="XDC8" s="5"/>
      <c r="XDD8" s="5"/>
      <c r="XDE8" s="5"/>
      <c r="XDF8" s="5"/>
      <c r="XDG8" s="5"/>
      <c r="XDH8" s="5"/>
      <c r="XDI8" s="5"/>
      <c r="XDJ8" s="5"/>
      <c r="XDK8" s="5"/>
      <c r="XDL8" s="5"/>
      <c r="XDM8" s="5"/>
      <c r="XDN8" s="5"/>
      <c r="XDO8" s="5"/>
      <c r="XDP8" s="5"/>
      <c r="XDQ8" s="5"/>
      <c r="XDR8" s="5"/>
      <c r="XDS8" s="5"/>
      <c r="XDT8" s="5"/>
      <c r="XDU8" s="5"/>
      <c r="XDV8" s="5"/>
      <c r="XDW8" s="5"/>
      <c r="XDX8" s="5"/>
      <c r="XDY8" s="5"/>
      <c r="XDZ8" s="5"/>
      <c r="XEA8" s="5"/>
      <c r="XEB8" s="5"/>
      <c r="XEC8" s="5"/>
      <c r="XED8" s="5"/>
      <c r="XEE8" s="5"/>
      <c r="XEF8" s="5"/>
      <c r="XEG8" s="5"/>
      <c r="XEH8" s="5"/>
      <c r="XEI8" s="5"/>
      <c r="XEJ8" s="5"/>
      <c r="XEK8" s="5"/>
      <c r="XEL8" s="5"/>
    </row>
    <row r="9" s="1" customFormat="1" ht="16.5" spans="1:6 16254:16366">
      <c r="A9" s="8"/>
      <c r="B9" s="9" t="s">
        <v>13</v>
      </c>
      <c r="C9" s="8">
        <v>7</v>
      </c>
      <c r="D9" s="8">
        <v>7</v>
      </c>
      <c r="E9" s="8">
        <v>8</v>
      </c>
      <c r="F9" s="8">
        <v>56</v>
      </c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/>
      <c r="XBK9"/>
      <c r="XBL9"/>
      <c r="XBM9"/>
      <c r="XBN9"/>
      <c r="XBO9"/>
      <c r="XBP9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  <c r="XEG9" s="5"/>
      <c r="XEH9" s="5"/>
      <c r="XEI9" s="5"/>
      <c r="XEJ9" s="5"/>
      <c r="XEK9" s="5"/>
      <c r="XEL9" s="5"/>
    </row>
    <row r="10" s="1" customFormat="1" ht="16.5" spans="1:6 16254:16366">
      <c r="A10" s="8"/>
      <c r="B10" s="9" t="s">
        <v>14</v>
      </c>
      <c r="C10" s="8">
        <v>0</v>
      </c>
      <c r="D10" s="8">
        <v>12</v>
      </c>
      <c r="E10" s="8">
        <v>15</v>
      </c>
      <c r="F10" s="8">
        <v>180</v>
      </c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/>
      <c r="XBL10"/>
      <c r="XBM10"/>
      <c r="XBN10"/>
      <c r="XBO10"/>
      <c r="XBP10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  <c r="XEG10" s="5"/>
      <c r="XEH10" s="5"/>
      <c r="XEI10" s="5"/>
      <c r="XEJ10" s="5"/>
      <c r="XEK10" s="5"/>
      <c r="XEL10" s="5"/>
    </row>
    <row r="11" s="1" customFormat="1" ht="16.5" spans="1:6 16254:16366">
      <c r="A11" s="8"/>
      <c r="B11" s="9" t="s">
        <v>15</v>
      </c>
      <c r="C11" s="8">
        <v>0</v>
      </c>
      <c r="D11" s="8">
        <v>3</v>
      </c>
      <c r="E11" s="8">
        <v>35</v>
      </c>
      <c r="F11" s="8">
        <v>105</v>
      </c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/>
      <c r="XBK11"/>
      <c r="XBL11"/>
      <c r="XBM11"/>
      <c r="XBN11"/>
      <c r="XBO11"/>
      <c r="XBP11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  <c r="XEF11" s="5"/>
      <c r="XEG11" s="5"/>
      <c r="XEH11" s="5"/>
      <c r="XEI11" s="5"/>
      <c r="XEJ11" s="5"/>
      <c r="XEK11" s="5"/>
      <c r="XEL11" s="5"/>
    </row>
    <row r="12" s="1" customFormat="1" ht="16.5" spans="1:6 16254:16366">
      <c r="A12" s="8"/>
      <c r="B12" s="9" t="s">
        <v>16</v>
      </c>
      <c r="C12" s="8">
        <v>77</v>
      </c>
      <c r="D12" s="8">
        <v>11</v>
      </c>
      <c r="E12" s="8">
        <v>38.5</v>
      </c>
      <c r="F12" s="8">
        <v>423.5</v>
      </c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  <c r="XEH12" s="5"/>
      <c r="XEI12" s="5"/>
      <c r="XEJ12" s="5"/>
      <c r="XEK12" s="5"/>
      <c r="XEL12" s="5"/>
    </row>
    <row r="13" s="1" customFormat="1" ht="16.5" spans="1:6 16254:16366">
      <c r="A13" s="8"/>
      <c r="B13" s="9" t="s">
        <v>17</v>
      </c>
      <c r="C13" s="8">
        <v>58</v>
      </c>
      <c r="D13" s="8">
        <v>58</v>
      </c>
      <c r="E13" s="8">
        <v>16.5</v>
      </c>
      <c r="F13" s="8">
        <v>957</v>
      </c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  <c r="XEH13" s="5"/>
      <c r="XEI13" s="5"/>
      <c r="XEJ13" s="5"/>
      <c r="XEK13" s="5"/>
      <c r="XEL13" s="5"/>
    </row>
    <row r="14" s="1" customFormat="1" ht="16.5" spans="1:6 16254:16366">
      <c r="A14" s="8"/>
      <c r="B14" s="9" t="s">
        <v>18</v>
      </c>
      <c r="C14" s="8">
        <v>5056</v>
      </c>
      <c r="D14" s="8">
        <v>316</v>
      </c>
      <c r="E14" s="8">
        <v>88</v>
      </c>
      <c r="F14" s="8">
        <v>27808</v>
      </c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  <c r="XEH14" s="5"/>
      <c r="XEI14" s="5"/>
      <c r="XEJ14" s="5"/>
      <c r="XEK14" s="5"/>
      <c r="XEL14" s="5"/>
    </row>
    <row r="15" s="1" customFormat="1" ht="16.5" spans="1:6 16254:16366">
      <c r="A15" s="8"/>
      <c r="B15" s="9" t="s">
        <v>19</v>
      </c>
      <c r="C15" s="8">
        <v>38</v>
      </c>
      <c r="D15" s="8">
        <v>2</v>
      </c>
      <c r="E15" s="8">
        <v>104.5</v>
      </c>
      <c r="F15" s="8">
        <v>209</v>
      </c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  <c r="XEH15" s="5"/>
      <c r="XEI15" s="5"/>
      <c r="XEJ15" s="5"/>
      <c r="XEK15" s="5"/>
      <c r="XEL15" s="5"/>
    </row>
    <row r="16" s="1" customFormat="1" ht="16.5" spans="1:6 16254:16366">
      <c r="A16" s="8"/>
      <c r="B16" s="9" t="s">
        <v>20</v>
      </c>
      <c r="C16" s="8">
        <v>2</v>
      </c>
      <c r="D16" s="8">
        <v>2</v>
      </c>
      <c r="E16" s="8">
        <v>8</v>
      </c>
      <c r="F16" s="8">
        <v>16</v>
      </c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  <c r="XEH16" s="5"/>
      <c r="XEI16" s="5"/>
      <c r="XEJ16" s="5"/>
      <c r="XEK16" s="5"/>
      <c r="XEL16" s="5"/>
    </row>
    <row r="17" s="1" customFormat="1" ht="16.5" spans="1:6 16254:16368">
      <c r="A17" s="8"/>
      <c r="B17" s="9" t="s">
        <v>21</v>
      </c>
      <c r="C17" s="8">
        <v>4</v>
      </c>
      <c r="D17" s="8">
        <v>2</v>
      </c>
      <c r="E17" s="8">
        <v>16.5</v>
      </c>
      <c r="F17" s="8">
        <v>33</v>
      </c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  <c r="XEH17" s="5"/>
      <c r="XEI17" s="5"/>
      <c r="XEJ17" s="5"/>
      <c r="XEK17" s="5"/>
      <c r="XEL17" s="5"/>
    </row>
    <row r="18" s="1" customFormat="1" ht="16.5" spans="1:6 16254:16368">
      <c r="A18" s="8"/>
      <c r="B18" s="9" t="s">
        <v>22</v>
      </c>
      <c r="C18" s="8">
        <v>3</v>
      </c>
      <c r="D18" s="8">
        <v>3</v>
      </c>
      <c r="E18" s="8">
        <v>8</v>
      </c>
      <c r="F18" s="8">
        <v>24</v>
      </c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/>
      <c r="XBL18"/>
      <c r="XBM18"/>
      <c r="XBN18"/>
      <c r="XBO18"/>
      <c r="XBP18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  <c r="XEG18" s="5"/>
      <c r="XEH18" s="5"/>
      <c r="XEI18" s="5"/>
      <c r="XEJ18" s="5"/>
      <c r="XEK18" s="5"/>
      <c r="XEL18" s="5"/>
    </row>
    <row r="19" s="1" customFormat="1" ht="16.5" spans="1:6 16254:16368">
      <c r="A19" s="8"/>
      <c r="B19" s="9" t="s">
        <v>23</v>
      </c>
      <c r="C19" s="8">
        <v>4</v>
      </c>
      <c r="D19" s="8">
        <v>4</v>
      </c>
      <c r="E19" s="8">
        <v>16.5</v>
      </c>
      <c r="F19" s="8">
        <v>66</v>
      </c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  <c r="XEF19" s="5"/>
      <c r="XEG19" s="5"/>
      <c r="XEH19" s="5"/>
      <c r="XEI19" s="5"/>
      <c r="XEJ19" s="5"/>
      <c r="XEK19" s="5"/>
      <c r="XEL19" s="5"/>
    </row>
    <row r="20" s="1" customFormat="1" ht="16.5" spans="1:6 16254:16368">
      <c r="A20" s="8"/>
      <c r="B20" s="9" t="s">
        <v>24</v>
      </c>
      <c r="C20" s="8">
        <v>16</v>
      </c>
      <c r="D20" s="8">
        <v>16</v>
      </c>
      <c r="E20" s="8">
        <v>8</v>
      </c>
      <c r="F20" s="8">
        <v>128</v>
      </c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/>
      <c r="XBL20"/>
      <c r="XBM20"/>
      <c r="XBN20"/>
      <c r="XBO20"/>
      <c r="XBP20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  <c r="XEE20" s="5"/>
      <c r="XEF20" s="5"/>
      <c r="XEG20" s="5"/>
      <c r="XEH20" s="5"/>
      <c r="XEI20" s="5"/>
      <c r="XEJ20" s="5"/>
      <c r="XEK20" s="5"/>
      <c r="XEL20" s="5"/>
    </row>
    <row r="21" s="1" customFormat="1" ht="16.5" spans="1:6 16254:16368">
      <c r="A21" s="8"/>
      <c r="B21" s="9" t="s">
        <v>25</v>
      </c>
      <c r="C21" s="8">
        <v>6</v>
      </c>
      <c r="D21" s="8">
        <v>6</v>
      </c>
      <c r="E21" s="8">
        <v>16.5</v>
      </c>
      <c r="F21" s="8">
        <v>99</v>
      </c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/>
      <c r="XBJ21"/>
      <c r="XBK21"/>
      <c r="XBL21"/>
      <c r="XBM21"/>
      <c r="XBN21"/>
      <c r="XBO21"/>
      <c r="XBP21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  <c r="XEE21" s="5"/>
      <c r="XEF21" s="5"/>
      <c r="XEG21" s="5"/>
      <c r="XEH21" s="5"/>
      <c r="XEI21" s="5"/>
      <c r="XEJ21" s="5"/>
      <c r="XEK21" s="5"/>
      <c r="XEL21" s="5"/>
    </row>
    <row r="22" s="1" customFormat="1" ht="16.5" spans="1:6 16254:16368">
      <c r="A22" s="8"/>
      <c r="B22" s="9" t="s">
        <v>26</v>
      </c>
      <c r="C22" s="8">
        <v>32</v>
      </c>
      <c r="D22" s="8">
        <v>32</v>
      </c>
      <c r="E22" s="8">
        <v>8</v>
      </c>
      <c r="F22" s="8">
        <v>256</v>
      </c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/>
      <c r="XBL22"/>
      <c r="XBM22"/>
      <c r="XBN22"/>
      <c r="XBO22"/>
      <c r="XBP22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  <c r="XEE22" s="5"/>
      <c r="XEF22" s="5"/>
      <c r="XEG22" s="5"/>
      <c r="XEH22" s="5"/>
      <c r="XEI22" s="5"/>
      <c r="XEJ22" s="5"/>
      <c r="XEK22" s="5"/>
      <c r="XEL22" s="5"/>
    </row>
    <row r="23" s="1" customFormat="1" ht="16.5" spans="1:6 16254:16368">
      <c r="A23" s="8"/>
      <c r="B23" s="9" t="s">
        <v>27</v>
      </c>
      <c r="C23" s="8">
        <v>13</v>
      </c>
      <c r="D23" s="8">
        <v>13</v>
      </c>
      <c r="E23" s="8">
        <v>16.5</v>
      </c>
      <c r="F23" s="8">
        <v>214.5</v>
      </c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/>
      <c r="XBJ23"/>
      <c r="XBK23"/>
      <c r="XBL23"/>
      <c r="XBM23"/>
      <c r="XBN23"/>
      <c r="XBO23"/>
      <c r="XBP23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  <c r="XEE23" s="5"/>
      <c r="XEF23" s="5"/>
      <c r="XEG23" s="5"/>
      <c r="XEH23" s="5"/>
      <c r="XEI23" s="5"/>
      <c r="XEJ23" s="5"/>
      <c r="XEK23" s="5"/>
      <c r="XEL23" s="5"/>
    </row>
    <row r="24" s="1" customFormat="1" ht="16.5" spans="1:6 16254:16368">
      <c r="A24" s="8"/>
      <c r="B24" s="10" t="s">
        <v>28</v>
      </c>
      <c r="C24" s="8">
        <v>74</v>
      </c>
      <c r="D24" s="8">
        <v>37</v>
      </c>
      <c r="E24" s="8">
        <v>13.5</v>
      </c>
      <c r="F24" s="8">
        <v>499.5</v>
      </c>
      <c r="XAD24" s="11"/>
      <c r="XAE24" s="11"/>
      <c r="XAF24" s="11"/>
      <c r="XAG24" s="11"/>
      <c r="XAH24" s="11"/>
      <c r="XAI24" s="11"/>
      <c r="XAJ24" s="11"/>
      <c r="XAK24" s="11"/>
      <c r="XAL24" s="11"/>
      <c r="XAM24" s="11"/>
      <c r="XAN24" s="11"/>
      <c r="XAO24" s="11"/>
      <c r="XAP24" s="11"/>
      <c r="XAQ24" s="11"/>
      <c r="XAR24" s="11"/>
      <c r="XAS24" s="11"/>
      <c r="XAT24" s="11"/>
      <c r="XAU24" s="11"/>
      <c r="XAV24" s="11"/>
      <c r="XAW24" s="11"/>
      <c r="XAX24" s="11"/>
      <c r="XAY24" s="11"/>
      <c r="XAZ24" s="11"/>
      <c r="XBA24" s="11"/>
      <c r="XBB24" s="11"/>
      <c r="XBC24" s="11"/>
      <c r="XBD24" s="11"/>
      <c r="XBE24" s="11"/>
      <c r="XBF24" s="11"/>
      <c r="XBG24" s="11"/>
      <c r="XBH24" s="11"/>
      <c r="XBI24" s="11"/>
      <c r="XBJ24" s="11"/>
      <c r="XBK24" s="11"/>
      <c r="XBL24" s="11"/>
      <c r="XBM24" s="11"/>
      <c r="XBN24" s="11"/>
      <c r="XBO24" s="11"/>
      <c r="XBP24" s="11"/>
      <c r="XBQ24" s="5"/>
      <c r="XBR24" s="5"/>
      <c r="XBS24" s="5"/>
      <c r="XBT24" s="5"/>
      <c r="XBU24" s="5"/>
      <c r="XBV24" s="5"/>
      <c r="XBW24" s="5"/>
      <c r="XBX24" s="5"/>
      <c r="XBY24" s="5"/>
      <c r="XBZ24" s="5"/>
      <c r="XCA24" s="5"/>
      <c r="XCB24" s="5"/>
      <c r="XCC24" s="5"/>
      <c r="XCD24" s="5"/>
      <c r="XCE24" s="5"/>
      <c r="XCF24" s="5"/>
      <c r="XCG24" s="5"/>
      <c r="XCH24" s="5"/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  <c r="XEC24" s="5"/>
      <c r="XED24" s="5"/>
      <c r="XEE24" s="5"/>
      <c r="XEF24" s="5"/>
      <c r="XEG24" s="5"/>
      <c r="XEH24" s="5"/>
      <c r="XEI24" s="5"/>
      <c r="XEJ24" s="5"/>
      <c r="XEK24" s="5"/>
      <c r="XEL24" s="5"/>
      <c r="XEM24" s="5"/>
      <c r="XEN24" s="5"/>
    </row>
    <row r="25" s="1" customFormat="1" ht="16.5" spans="1:6 16254:16368">
      <c r="A25" s="8"/>
      <c r="B25" s="9" t="s">
        <v>29</v>
      </c>
      <c r="C25" s="8">
        <v>7</v>
      </c>
      <c r="D25" s="8">
        <v>7</v>
      </c>
      <c r="E25" s="8">
        <v>11</v>
      </c>
      <c r="F25" s="8">
        <v>77</v>
      </c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 s="5"/>
      <c r="XBR25" s="5"/>
      <c r="XBS25" s="5"/>
      <c r="XBT25" s="5"/>
      <c r="XBU25" s="5"/>
      <c r="XBV25" s="5"/>
      <c r="XBW25" s="5"/>
      <c r="XBX25" s="5"/>
      <c r="XBY25" s="5"/>
      <c r="XBZ25" s="5"/>
      <c r="XCA25" s="5"/>
      <c r="XCB25" s="5"/>
      <c r="XCC25" s="5"/>
      <c r="XCD25" s="5"/>
      <c r="XCE25" s="5"/>
      <c r="XCF25" s="5"/>
      <c r="XCG25" s="5"/>
      <c r="XCH25" s="5"/>
      <c r="XCI25" s="5"/>
      <c r="XCJ25" s="5"/>
      <c r="XCK25" s="5"/>
      <c r="XCL25" s="5"/>
      <c r="XCM25" s="5"/>
      <c r="XCN25" s="5"/>
      <c r="XCO25" s="5"/>
      <c r="XCP25" s="5"/>
      <c r="XCQ25" s="5"/>
      <c r="XCR25" s="5"/>
      <c r="XCS25" s="5"/>
      <c r="XCT25" s="5"/>
      <c r="XCU25" s="5"/>
      <c r="XCV25" s="5"/>
      <c r="XCW25" s="5"/>
      <c r="XCX25" s="5"/>
      <c r="XCY25" s="5"/>
      <c r="XCZ25" s="5"/>
      <c r="XDA25" s="5"/>
      <c r="XDB25" s="5"/>
      <c r="XDC25" s="5"/>
      <c r="XDD25" s="5"/>
      <c r="XDE25" s="5"/>
      <c r="XDF25" s="5"/>
      <c r="XDG25" s="5"/>
      <c r="XDH25" s="5"/>
      <c r="XDI25" s="5"/>
      <c r="XDJ25" s="5"/>
      <c r="XDK25" s="5"/>
      <c r="XDL25" s="5"/>
      <c r="XDM25" s="5"/>
      <c r="XDN25" s="5"/>
      <c r="XDO25" s="5"/>
      <c r="XDP25" s="5"/>
      <c r="XDQ25" s="5"/>
      <c r="XDR25" s="5"/>
      <c r="XDS25" s="5"/>
      <c r="XDT25" s="5"/>
      <c r="XDU25" s="5"/>
      <c r="XDV25" s="5"/>
      <c r="XDW25" s="5"/>
      <c r="XDX25" s="5"/>
      <c r="XDY25" s="5"/>
      <c r="XDZ25" s="5"/>
      <c r="XEA25" s="5"/>
      <c r="XEB25" s="5"/>
      <c r="XEC25" s="5"/>
      <c r="XED25" s="5"/>
      <c r="XEE25" s="5"/>
      <c r="XEF25" s="5"/>
      <c r="XEG25" s="5"/>
      <c r="XEH25" s="5"/>
      <c r="XEI25" s="5"/>
      <c r="XEJ25" s="5"/>
      <c r="XEK25" s="5"/>
      <c r="XEL25" s="5"/>
    </row>
    <row r="26" s="1" customFormat="1" ht="16.5" spans="1:6 16254:16368">
      <c r="A26" s="8"/>
      <c r="B26" s="9" t="s">
        <v>30</v>
      </c>
      <c r="C26" s="8">
        <v>16</v>
      </c>
      <c r="D26" s="8">
        <v>16</v>
      </c>
      <c r="E26" s="8">
        <v>11</v>
      </c>
      <c r="F26" s="8">
        <v>176</v>
      </c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/>
      <c r="XBP26"/>
      <c r="XBQ26" s="5"/>
      <c r="XBR26" s="5"/>
      <c r="XBS26" s="5"/>
      <c r="XBT26" s="5"/>
      <c r="XBU26" s="5"/>
      <c r="XBV26" s="5"/>
      <c r="XBW26" s="5"/>
      <c r="XBX26" s="5"/>
      <c r="XBY26" s="5"/>
      <c r="XBZ26" s="5"/>
      <c r="XCA26" s="5"/>
      <c r="XCB26" s="5"/>
      <c r="XCC26" s="5"/>
      <c r="XCD26" s="5"/>
      <c r="XCE26" s="5"/>
      <c r="XCF26" s="5"/>
      <c r="XCG26" s="5"/>
      <c r="XCH26" s="5"/>
      <c r="XCI26" s="5"/>
      <c r="XCJ26" s="5"/>
      <c r="XCK26" s="5"/>
      <c r="XCL26" s="5"/>
      <c r="XCM26" s="5"/>
      <c r="XCN26" s="5"/>
      <c r="XCO26" s="5"/>
      <c r="XCP26" s="5"/>
      <c r="XCQ26" s="5"/>
      <c r="XCR26" s="5"/>
      <c r="XCS26" s="5"/>
      <c r="XCT26" s="5"/>
      <c r="XCU26" s="5"/>
      <c r="XCV26" s="5"/>
      <c r="XCW26" s="5"/>
      <c r="XCX26" s="5"/>
      <c r="XCY26" s="5"/>
      <c r="XCZ26" s="5"/>
      <c r="XDA26" s="5"/>
      <c r="XDB26" s="5"/>
      <c r="XDC26" s="5"/>
      <c r="XDD26" s="5"/>
      <c r="XDE26" s="5"/>
      <c r="XDF26" s="5"/>
      <c r="XDG26" s="5"/>
      <c r="XDH26" s="5"/>
      <c r="XDI26" s="5"/>
      <c r="XDJ26" s="5"/>
      <c r="XDK26" s="5"/>
      <c r="XDL26" s="5"/>
      <c r="XDM26" s="5"/>
      <c r="XDN26" s="5"/>
      <c r="XDO26" s="5"/>
      <c r="XDP26" s="5"/>
      <c r="XDQ26" s="5"/>
      <c r="XDR26" s="5"/>
      <c r="XDS26" s="5"/>
      <c r="XDT26" s="5"/>
      <c r="XDU26" s="5"/>
      <c r="XDV26" s="5"/>
      <c r="XDW26" s="5"/>
      <c r="XDX26" s="5"/>
      <c r="XDY26" s="5"/>
      <c r="XDZ26" s="5"/>
      <c r="XEA26" s="5"/>
      <c r="XEB26" s="5"/>
      <c r="XEC26" s="5"/>
      <c r="XED26" s="5"/>
      <c r="XEE26" s="5"/>
      <c r="XEF26" s="5"/>
      <c r="XEG26" s="5"/>
      <c r="XEH26" s="5"/>
      <c r="XEI26" s="5"/>
      <c r="XEJ26" s="5"/>
      <c r="XEK26" s="5"/>
      <c r="XEL26" s="5"/>
    </row>
    <row r="27" s="1" customFormat="1" ht="16.5" spans="1:6 16254:16368">
      <c r="A27" s="8"/>
      <c r="B27" s="9" t="s">
        <v>31</v>
      </c>
      <c r="C27" s="8">
        <v>4</v>
      </c>
      <c r="D27" s="8">
        <v>4</v>
      </c>
      <c r="E27" s="8">
        <v>8</v>
      </c>
      <c r="F27" s="8">
        <v>32</v>
      </c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/>
      <c r="XBQ27" s="5"/>
      <c r="XBR27" s="5"/>
      <c r="XBS27" s="5"/>
      <c r="XBT27" s="5"/>
      <c r="XBU27" s="5"/>
      <c r="XBV27" s="5"/>
      <c r="XBW27" s="5"/>
      <c r="XBX27" s="5"/>
      <c r="XBY27" s="5"/>
      <c r="XBZ27" s="5"/>
      <c r="XCA27" s="5"/>
      <c r="XCB27" s="5"/>
      <c r="XCC27" s="5"/>
      <c r="XCD27" s="5"/>
      <c r="XCE27" s="5"/>
      <c r="XCF27" s="5"/>
      <c r="XCG27" s="5"/>
      <c r="XCH27" s="5"/>
      <c r="XCI27" s="5"/>
      <c r="XCJ27" s="5"/>
      <c r="XCK27" s="5"/>
      <c r="XCL27" s="5"/>
      <c r="XCM27" s="5"/>
      <c r="XCN27" s="5"/>
      <c r="XCO27" s="5"/>
      <c r="XCP27" s="5"/>
      <c r="XCQ27" s="5"/>
      <c r="XCR27" s="5"/>
      <c r="XCS27" s="5"/>
      <c r="XCT27" s="5"/>
      <c r="XCU27" s="5"/>
      <c r="XCV27" s="5"/>
      <c r="XCW27" s="5"/>
      <c r="XCX27" s="5"/>
      <c r="XCY27" s="5"/>
      <c r="XCZ27" s="5"/>
      <c r="XDA27" s="5"/>
      <c r="XDB27" s="5"/>
      <c r="XDC27" s="5"/>
      <c r="XDD27" s="5"/>
      <c r="XDE27" s="5"/>
      <c r="XDF27" s="5"/>
      <c r="XDG27" s="5"/>
      <c r="XDH27" s="5"/>
      <c r="XDI27" s="5"/>
      <c r="XDJ27" s="5"/>
      <c r="XDK27" s="5"/>
      <c r="XDL27" s="5"/>
      <c r="XDM27" s="5"/>
      <c r="XDN27" s="5"/>
      <c r="XDO27" s="5"/>
      <c r="XDP27" s="5"/>
      <c r="XDQ27" s="5"/>
      <c r="XDR27" s="5"/>
      <c r="XDS27" s="5"/>
      <c r="XDT27" s="5"/>
      <c r="XDU27" s="5"/>
      <c r="XDV27" s="5"/>
      <c r="XDW27" s="5"/>
      <c r="XDX27" s="5"/>
      <c r="XDY27" s="5"/>
      <c r="XDZ27" s="5"/>
      <c r="XEA27" s="5"/>
      <c r="XEB27" s="5"/>
      <c r="XEC27" s="5"/>
      <c r="XED27" s="5"/>
      <c r="XEE27" s="5"/>
      <c r="XEF27" s="5"/>
      <c r="XEG27" s="5"/>
      <c r="XEH27" s="5"/>
      <c r="XEI27" s="5"/>
      <c r="XEJ27" s="5"/>
      <c r="XEK27" s="5"/>
      <c r="XEL27" s="5"/>
    </row>
    <row r="28" s="1" customFormat="1" ht="16.5" spans="1:6 16254:16368">
      <c r="A28" s="8"/>
      <c r="B28" s="9" t="s">
        <v>32</v>
      </c>
      <c r="C28" s="8">
        <v>1</v>
      </c>
      <c r="D28" s="8">
        <v>1</v>
      </c>
      <c r="E28" s="8">
        <v>8</v>
      </c>
      <c r="F28" s="8">
        <v>8</v>
      </c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/>
      <c r="XBM28"/>
      <c r="XBN28"/>
      <c r="XBO28"/>
      <c r="XBP28"/>
      <c r="XBQ28" s="5"/>
      <c r="XBR28" s="5"/>
      <c r="XBS28" s="5"/>
      <c r="XBT28" s="5"/>
      <c r="XBU28" s="5"/>
      <c r="XBV28" s="5"/>
      <c r="XBW28" s="5"/>
      <c r="XBX28" s="5"/>
      <c r="XBY28" s="5"/>
      <c r="XBZ28" s="5"/>
      <c r="XCA28" s="5"/>
      <c r="XCB28" s="5"/>
      <c r="XCC28" s="5"/>
      <c r="XCD28" s="5"/>
      <c r="XCE28" s="5"/>
      <c r="XCF28" s="5"/>
      <c r="XCG28" s="5"/>
      <c r="XCH28" s="5"/>
      <c r="XCI28" s="5"/>
      <c r="XCJ28" s="5"/>
      <c r="XCK28" s="5"/>
      <c r="XCL28" s="5"/>
      <c r="XCM28" s="5"/>
      <c r="XCN28" s="5"/>
      <c r="XCO28" s="5"/>
      <c r="XCP28" s="5"/>
      <c r="XCQ28" s="5"/>
      <c r="XCR28" s="5"/>
      <c r="XCS28" s="5"/>
      <c r="XCT28" s="5"/>
      <c r="XCU28" s="5"/>
      <c r="XCV28" s="5"/>
      <c r="XCW28" s="5"/>
      <c r="XCX28" s="5"/>
      <c r="XCY28" s="5"/>
      <c r="XCZ28" s="5"/>
      <c r="XDA28" s="5"/>
      <c r="XDB28" s="5"/>
      <c r="XDC28" s="5"/>
      <c r="XDD28" s="5"/>
      <c r="XDE28" s="5"/>
      <c r="XDF28" s="5"/>
      <c r="XDG28" s="5"/>
      <c r="XDH28" s="5"/>
      <c r="XDI28" s="5"/>
      <c r="XDJ28" s="5"/>
      <c r="XDK28" s="5"/>
      <c r="XDL28" s="5"/>
      <c r="XDM28" s="5"/>
      <c r="XDN28" s="5"/>
      <c r="XDO28" s="5"/>
      <c r="XDP28" s="5"/>
      <c r="XDQ28" s="5"/>
      <c r="XDR28" s="5"/>
      <c r="XDS28" s="5"/>
      <c r="XDT28" s="5"/>
      <c r="XDU28" s="5"/>
      <c r="XDV28" s="5"/>
      <c r="XDW28" s="5"/>
      <c r="XDX28" s="5"/>
      <c r="XDY28" s="5"/>
      <c r="XDZ28" s="5"/>
      <c r="XEA28" s="5"/>
      <c r="XEB28" s="5"/>
      <c r="XEC28" s="5"/>
      <c r="XED28" s="5"/>
      <c r="XEE28" s="5"/>
      <c r="XEF28" s="5"/>
      <c r="XEG28" s="5"/>
      <c r="XEH28" s="5"/>
      <c r="XEI28" s="5"/>
      <c r="XEJ28" s="5"/>
      <c r="XEK28" s="5"/>
      <c r="XEL28" s="5"/>
    </row>
    <row r="29" s="1" customFormat="1" ht="16.5" spans="1:6 16254:16368">
      <c r="A29" s="8"/>
      <c r="B29" s="9" t="s">
        <v>33</v>
      </c>
      <c r="C29" s="8">
        <v>19</v>
      </c>
      <c r="D29" s="8">
        <v>19</v>
      </c>
      <c r="E29" s="8">
        <v>13.5</v>
      </c>
      <c r="F29" s="8">
        <v>256.5</v>
      </c>
      <c r="XAD29"/>
      <c r="XAE29"/>
      <c r="XAF29"/>
      <c r="XAG29"/>
      <c r="XAH29"/>
      <c r="XAI29"/>
      <c r="XAJ29"/>
      <c r="XAK29"/>
      <c r="XAL29"/>
      <c r="XAM29"/>
      <c r="XAN29"/>
      <c r="XAO29"/>
      <c r="XAP29"/>
      <c r="XAQ29"/>
      <c r="XAR29"/>
      <c r="XAS29"/>
      <c r="XAT29"/>
      <c r="XAU29"/>
      <c r="XAV29"/>
      <c r="XAW29"/>
      <c r="XAX29"/>
      <c r="XAY29"/>
      <c r="XAZ29"/>
      <c r="XBA29"/>
      <c r="XBB29"/>
      <c r="XBC29"/>
      <c r="XBD29"/>
      <c r="XBE29"/>
      <c r="XBF29"/>
      <c r="XBG29"/>
      <c r="XBH29"/>
      <c r="XBI29"/>
      <c r="XBJ29"/>
      <c r="XBK29"/>
      <c r="XBL29"/>
      <c r="XBM29"/>
      <c r="XBN29"/>
      <c r="XBO29"/>
      <c r="XBP29"/>
      <c r="XBQ29" s="5"/>
      <c r="XBR29" s="5"/>
      <c r="XBS29" s="5"/>
      <c r="XBT29" s="5"/>
      <c r="XBU29" s="5"/>
      <c r="XBV29" s="5"/>
      <c r="XBW29" s="5"/>
      <c r="XBX29" s="5"/>
      <c r="XBY29" s="5"/>
      <c r="XBZ29" s="5"/>
      <c r="XCA29" s="5"/>
      <c r="XCB29" s="5"/>
      <c r="XCC29" s="5"/>
      <c r="XCD29" s="5"/>
      <c r="XCE29" s="5"/>
      <c r="XCF29" s="5"/>
      <c r="XCG29" s="5"/>
      <c r="XCH29" s="5"/>
      <c r="XCI29" s="5"/>
      <c r="XCJ29" s="5"/>
      <c r="XCK29" s="5"/>
      <c r="XCL29" s="5"/>
      <c r="XCM29" s="5"/>
      <c r="XCN29" s="5"/>
      <c r="XCO29" s="5"/>
      <c r="XCP29" s="5"/>
      <c r="XCQ29" s="5"/>
      <c r="XCR29" s="5"/>
      <c r="XCS29" s="5"/>
      <c r="XCT29" s="5"/>
      <c r="XCU29" s="5"/>
      <c r="XCV29" s="5"/>
      <c r="XCW29" s="5"/>
      <c r="XCX29" s="5"/>
      <c r="XCY29" s="5"/>
      <c r="XCZ29" s="5"/>
      <c r="XDA29" s="5"/>
      <c r="XDB29" s="5"/>
      <c r="XDC29" s="5"/>
      <c r="XDD29" s="5"/>
      <c r="XDE29" s="5"/>
      <c r="XDF29" s="5"/>
      <c r="XDG29" s="5"/>
      <c r="XDH29" s="5"/>
      <c r="XDI29" s="5"/>
      <c r="XDJ29" s="5"/>
      <c r="XDK29" s="5"/>
      <c r="XDL29" s="5"/>
      <c r="XDM29" s="5"/>
      <c r="XDN29" s="5"/>
      <c r="XDO29" s="5"/>
      <c r="XDP29" s="5"/>
      <c r="XDQ29" s="5"/>
      <c r="XDR29" s="5"/>
      <c r="XDS29" s="5"/>
      <c r="XDT29" s="5"/>
      <c r="XDU29" s="5"/>
      <c r="XDV29" s="5"/>
      <c r="XDW29" s="5"/>
      <c r="XDX29" s="5"/>
      <c r="XDY29" s="5"/>
      <c r="XDZ29" s="5"/>
      <c r="XEA29" s="5"/>
      <c r="XEB29" s="5"/>
      <c r="XEC29" s="5"/>
      <c r="XED29" s="5"/>
      <c r="XEE29" s="5"/>
      <c r="XEF29" s="5"/>
      <c r="XEG29" s="5"/>
      <c r="XEH29" s="5"/>
      <c r="XEI29" s="5"/>
      <c r="XEJ29" s="5"/>
      <c r="XEK29" s="5"/>
      <c r="XEL29" s="5"/>
    </row>
    <row r="30" s="1" customFormat="1" ht="16.5" spans="1:6 16254:16368">
      <c r="A30" s="8"/>
      <c r="B30" s="9" t="s">
        <v>34</v>
      </c>
      <c r="C30" s="8">
        <v>54</v>
      </c>
      <c r="D30" s="8">
        <v>2</v>
      </c>
      <c r="E30" s="8">
        <v>148.5</v>
      </c>
      <c r="F30" s="8">
        <v>297</v>
      </c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/>
      <c r="XBP30"/>
      <c r="XBQ30" s="5"/>
      <c r="XBR30" s="5"/>
      <c r="XBS30" s="5"/>
      <c r="XBT30" s="5"/>
      <c r="XBU30" s="5"/>
      <c r="XBV30" s="5"/>
      <c r="XBW30" s="5"/>
      <c r="XBX30" s="5"/>
      <c r="XBY30" s="5"/>
      <c r="XBZ30" s="5"/>
      <c r="XCA30" s="5"/>
      <c r="XCB30" s="5"/>
      <c r="XCC30" s="5"/>
      <c r="XCD30" s="5"/>
      <c r="XCE30" s="5"/>
      <c r="XCF30" s="5"/>
      <c r="XCG30" s="5"/>
      <c r="XCH30" s="5"/>
      <c r="XCI30" s="5"/>
      <c r="XCJ30" s="5"/>
      <c r="XCK30" s="5"/>
      <c r="XCL30" s="5"/>
      <c r="XCM30" s="5"/>
      <c r="XCN30" s="5"/>
      <c r="XCO30" s="5"/>
      <c r="XCP30" s="5"/>
      <c r="XCQ30" s="5"/>
      <c r="XCR30" s="5"/>
      <c r="XCS30" s="5"/>
      <c r="XCT30" s="5"/>
      <c r="XCU30" s="5"/>
      <c r="XCV30" s="5"/>
      <c r="XCW30" s="5"/>
      <c r="XCX30" s="5"/>
      <c r="XCY30" s="5"/>
      <c r="XCZ30" s="5"/>
      <c r="XDA30" s="5"/>
      <c r="XDB30" s="5"/>
      <c r="XDC30" s="5"/>
      <c r="XDD30" s="5"/>
      <c r="XDE30" s="5"/>
      <c r="XDF30" s="5"/>
      <c r="XDG30" s="5"/>
      <c r="XDH30" s="5"/>
      <c r="XDI30" s="5"/>
      <c r="XDJ30" s="5"/>
      <c r="XDK30" s="5"/>
      <c r="XDL30" s="5"/>
      <c r="XDM30" s="5"/>
      <c r="XDN30" s="5"/>
      <c r="XDO30" s="5"/>
      <c r="XDP30" s="5"/>
      <c r="XDQ30" s="5"/>
      <c r="XDR30" s="5"/>
      <c r="XDS30" s="5"/>
      <c r="XDT30" s="5"/>
      <c r="XDU30" s="5"/>
      <c r="XDV30" s="5"/>
      <c r="XDW30" s="5"/>
      <c r="XDX30" s="5"/>
      <c r="XDY30" s="5"/>
      <c r="XDZ30" s="5"/>
      <c r="XEA30" s="5"/>
      <c r="XEB30" s="5"/>
      <c r="XEC30" s="5"/>
      <c r="XED30" s="5"/>
      <c r="XEE30" s="5"/>
      <c r="XEF30" s="5"/>
      <c r="XEG30" s="5"/>
      <c r="XEH30" s="5"/>
      <c r="XEI30" s="5"/>
      <c r="XEJ30" s="5"/>
      <c r="XEK30" s="5"/>
      <c r="XEL30" s="5"/>
    </row>
    <row r="31" s="1" customFormat="1" ht="16.5" spans="1:6 16254:16368">
      <c r="A31" s="8"/>
      <c r="B31" s="9" t="s">
        <v>35</v>
      </c>
      <c r="C31" s="8">
        <v>324</v>
      </c>
      <c r="D31" s="8">
        <v>27</v>
      </c>
      <c r="E31" s="8">
        <v>66</v>
      </c>
      <c r="F31" s="8">
        <v>1782</v>
      </c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/>
      <c r="XBL31"/>
      <c r="XBM31"/>
      <c r="XBN31"/>
      <c r="XBO31"/>
      <c r="XBP31"/>
      <c r="XBQ31" s="5"/>
      <c r="XBR31" s="5"/>
      <c r="XBS31" s="5"/>
      <c r="XBT31" s="5"/>
      <c r="XBU31" s="5"/>
      <c r="XBV31" s="5"/>
      <c r="XBW31" s="5"/>
      <c r="XBX31" s="5"/>
      <c r="XBY31" s="5"/>
      <c r="XBZ31" s="5"/>
      <c r="XCA31" s="5"/>
      <c r="XCB31" s="5"/>
      <c r="XCC31" s="5"/>
      <c r="XCD31" s="5"/>
      <c r="XCE31" s="5"/>
      <c r="XCF31" s="5"/>
      <c r="XCG31" s="5"/>
      <c r="XCH31" s="5"/>
      <c r="XCI31" s="5"/>
      <c r="XCJ31" s="5"/>
      <c r="XCK31" s="5"/>
      <c r="XCL31" s="5"/>
      <c r="XCM31" s="5"/>
      <c r="XCN31" s="5"/>
      <c r="XCO31" s="5"/>
      <c r="XCP31" s="5"/>
      <c r="XCQ31" s="5"/>
      <c r="XCR31" s="5"/>
      <c r="XCS31" s="5"/>
      <c r="XCT31" s="5"/>
      <c r="XCU31" s="5"/>
      <c r="XCV31" s="5"/>
      <c r="XCW31" s="5"/>
      <c r="XCX31" s="5"/>
      <c r="XCY31" s="5"/>
      <c r="XCZ31" s="5"/>
      <c r="XDA31" s="5"/>
      <c r="XDB31" s="5"/>
      <c r="XDC31" s="5"/>
      <c r="XDD31" s="5"/>
      <c r="XDE31" s="5"/>
      <c r="XDF31" s="5"/>
      <c r="XDG31" s="5"/>
      <c r="XDH31" s="5"/>
      <c r="XDI31" s="5"/>
      <c r="XDJ31" s="5"/>
      <c r="XDK31" s="5"/>
      <c r="XDL31" s="5"/>
      <c r="XDM31" s="5"/>
      <c r="XDN31" s="5"/>
      <c r="XDO31" s="5"/>
      <c r="XDP31" s="5"/>
      <c r="XDQ31" s="5"/>
      <c r="XDR31" s="5"/>
      <c r="XDS31" s="5"/>
      <c r="XDT31" s="5"/>
      <c r="XDU31" s="5"/>
      <c r="XDV31" s="5"/>
      <c r="XDW31" s="5"/>
      <c r="XDX31" s="5"/>
      <c r="XDY31" s="5"/>
      <c r="XDZ31" s="5"/>
      <c r="XEA31" s="5"/>
      <c r="XEB31" s="5"/>
      <c r="XEC31" s="5"/>
      <c r="XED31" s="5"/>
      <c r="XEE31" s="5"/>
      <c r="XEF31" s="5"/>
      <c r="XEG31" s="5"/>
      <c r="XEH31" s="5"/>
      <c r="XEI31" s="5"/>
      <c r="XEJ31" s="5"/>
      <c r="XEK31" s="5"/>
      <c r="XEL31" s="5"/>
    </row>
    <row r="32" s="1" customFormat="1" ht="16.5" spans="1:6 16254:16368">
      <c r="A32" s="8"/>
      <c r="B32" s="9" t="s">
        <v>36</v>
      </c>
      <c r="C32" s="8">
        <v>96</v>
      </c>
      <c r="D32" s="8">
        <v>6</v>
      </c>
      <c r="E32" s="8">
        <v>88</v>
      </c>
      <c r="F32" s="8">
        <v>528</v>
      </c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/>
      <c r="XBJ32"/>
      <c r="XBK32"/>
      <c r="XBL32"/>
      <c r="XBM32"/>
      <c r="XBN32"/>
      <c r="XBO32"/>
      <c r="XBP32"/>
      <c r="XBQ32" s="5"/>
      <c r="XBR32" s="5"/>
      <c r="XBS32" s="5"/>
      <c r="XBT32" s="5"/>
      <c r="XBU32" s="5"/>
      <c r="XBV32" s="5"/>
      <c r="XBW32" s="5"/>
      <c r="XBX32" s="5"/>
      <c r="XBY32" s="5"/>
      <c r="XBZ32" s="5"/>
      <c r="XCA32" s="5"/>
      <c r="XCB32" s="5"/>
      <c r="XCC32" s="5"/>
      <c r="XCD32" s="5"/>
      <c r="XCE32" s="5"/>
      <c r="XCF32" s="5"/>
      <c r="XCG32" s="5"/>
      <c r="XCH32" s="5"/>
      <c r="XCI32" s="5"/>
      <c r="XCJ32" s="5"/>
      <c r="XCK32" s="5"/>
      <c r="XCL32" s="5"/>
      <c r="XCM32" s="5"/>
      <c r="XCN32" s="5"/>
      <c r="XCO32" s="5"/>
      <c r="XCP32" s="5"/>
      <c r="XCQ32" s="5"/>
      <c r="XCR32" s="5"/>
      <c r="XCS32" s="5"/>
      <c r="XCT32" s="5"/>
      <c r="XCU32" s="5"/>
      <c r="XCV32" s="5"/>
      <c r="XCW32" s="5"/>
      <c r="XCX32" s="5"/>
      <c r="XCY32" s="5"/>
      <c r="XCZ32" s="5"/>
      <c r="XDA32" s="5"/>
      <c r="XDB32" s="5"/>
      <c r="XDC32" s="5"/>
      <c r="XDD32" s="5"/>
      <c r="XDE32" s="5"/>
      <c r="XDF32" s="5"/>
      <c r="XDG32" s="5"/>
      <c r="XDH32" s="5"/>
      <c r="XDI32" s="5"/>
      <c r="XDJ32" s="5"/>
      <c r="XDK32" s="5"/>
      <c r="XDL32" s="5"/>
      <c r="XDM32" s="5"/>
      <c r="XDN32" s="5"/>
      <c r="XDO32" s="5"/>
      <c r="XDP32" s="5"/>
      <c r="XDQ32" s="5"/>
      <c r="XDR32" s="5"/>
      <c r="XDS32" s="5"/>
      <c r="XDT32" s="5"/>
      <c r="XDU32" s="5"/>
      <c r="XDV32" s="5"/>
      <c r="XDW32" s="5"/>
      <c r="XDX32" s="5"/>
      <c r="XDY32" s="5"/>
      <c r="XDZ32" s="5"/>
      <c r="XEA32" s="5"/>
      <c r="XEB32" s="5"/>
      <c r="XEC32" s="5"/>
      <c r="XED32" s="5"/>
      <c r="XEE32" s="5"/>
      <c r="XEF32" s="5"/>
      <c r="XEG32" s="5"/>
      <c r="XEH32" s="5"/>
      <c r="XEI32" s="5"/>
      <c r="XEJ32" s="5"/>
      <c r="XEK32" s="5"/>
      <c r="XEL32" s="5"/>
    </row>
    <row r="33" s="1" customFormat="1" ht="16.5" spans="1:6 16254:16366">
      <c r="A33" s="8"/>
      <c r="B33" s="9" t="s">
        <v>37</v>
      </c>
      <c r="C33" s="8">
        <v>1</v>
      </c>
      <c r="D33" s="8">
        <v>1</v>
      </c>
      <c r="E33" s="8">
        <v>8</v>
      </c>
      <c r="F33" s="8">
        <v>8</v>
      </c>
      <c r="XAD33"/>
      <c r="XAE33"/>
      <c r="XAF33"/>
      <c r="XAG33"/>
      <c r="XAH33"/>
      <c r="XAI33"/>
      <c r="XAJ33"/>
      <c r="XAK33"/>
      <c r="XAL33"/>
      <c r="XAM33"/>
      <c r="XAN33"/>
      <c r="XAO33"/>
      <c r="XAP33"/>
      <c r="XAQ33"/>
      <c r="XAR33"/>
      <c r="XAS33"/>
      <c r="XAT33"/>
      <c r="XAU33"/>
      <c r="XAV33"/>
      <c r="XAW33"/>
      <c r="XAX33"/>
      <c r="XAY33"/>
      <c r="XAZ33"/>
      <c r="XBA33"/>
      <c r="XBB33"/>
      <c r="XBC33"/>
      <c r="XBD33"/>
      <c r="XBE33"/>
      <c r="XBF33"/>
      <c r="XBG33"/>
      <c r="XBH33"/>
      <c r="XBI33"/>
      <c r="XBJ33"/>
      <c r="XBK33"/>
      <c r="XBL33"/>
      <c r="XBM33"/>
      <c r="XBN33"/>
      <c r="XBO33"/>
      <c r="XBP33"/>
      <c r="XBQ33" s="5"/>
      <c r="XBR33" s="5"/>
      <c r="XBS33" s="5"/>
      <c r="XBT33" s="5"/>
      <c r="XBU33" s="5"/>
      <c r="XBV33" s="5"/>
      <c r="XBW33" s="5"/>
      <c r="XBX33" s="5"/>
      <c r="XBY33" s="5"/>
      <c r="XBZ33" s="5"/>
      <c r="XCA33" s="5"/>
      <c r="XCB33" s="5"/>
      <c r="XCC33" s="5"/>
      <c r="XCD33" s="5"/>
      <c r="XCE33" s="5"/>
      <c r="XCF33" s="5"/>
      <c r="XCG33" s="5"/>
      <c r="XCH33" s="5"/>
      <c r="XCI33" s="5"/>
      <c r="XCJ33" s="5"/>
      <c r="XCK33" s="5"/>
      <c r="XCL33" s="5"/>
      <c r="XCM33" s="5"/>
      <c r="XCN33" s="5"/>
      <c r="XCO33" s="5"/>
      <c r="XCP33" s="5"/>
      <c r="XCQ33" s="5"/>
      <c r="XCR33" s="5"/>
      <c r="XCS33" s="5"/>
      <c r="XCT33" s="5"/>
      <c r="XCU33" s="5"/>
      <c r="XCV33" s="5"/>
      <c r="XCW33" s="5"/>
      <c r="XCX33" s="5"/>
      <c r="XCY33" s="5"/>
      <c r="XCZ33" s="5"/>
      <c r="XDA33" s="5"/>
      <c r="XDB33" s="5"/>
      <c r="XDC33" s="5"/>
      <c r="XDD33" s="5"/>
      <c r="XDE33" s="5"/>
      <c r="XDF33" s="5"/>
      <c r="XDG33" s="5"/>
      <c r="XDH33" s="5"/>
      <c r="XDI33" s="5"/>
      <c r="XDJ33" s="5"/>
      <c r="XDK33" s="5"/>
      <c r="XDL33" s="5"/>
      <c r="XDM33" s="5"/>
      <c r="XDN33" s="5"/>
      <c r="XDO33" s="5"/>
      <c r="XDP33" s="5"/>
      <c r="XDQ33" s="5"/>
      <c r="XDR33" s="5"/>
      <c r="XDS33" s="5"/>
      <c r="XDT33" s="5"/>
      <c r="XDU33" s="5"/>
      <c r="XDV33" s="5"/>
      <c r="XDW33" s="5"/>
      <c r="XDX33" s="5"/>
      <c r="XDY33" s="5"/>
      <c r="XDZ33" s="5"/>
      <c r="XEA33" s="5"/>
      <c r="XEB33" s="5"/>
      <c r="XEC33" s="5"/>
      <c r="XED33" s="5"/>
      <c r="XEE33" s="5"/>
      <c r="XEF33" s="5"/>
      <c r="XEG33" s="5"/>
      <c r="XEH33" s="5"/>
      <c r="XEI33" s="5"/>
      <c r="XEJ33" s="5"/>
      <c r="XEK33" s="5"/>
      <c r="XEL33" s="5"/>
    </row>
    <row r="34" s="1" customFormat="1" ht="16.5" spans="1:6 16254:16366">
      <c r="A34" s="8"/>
      <c r="B34" s="9" t="s">
        <v>38</v>
      </c>
      <c r="C34" s="8">
        <v>62</v>
      </c>
      <c r="D34" s="8">
        <v>2</v>
      </c>
      <c r="E34" s="8">
        <v>170.5</v>
      </c>
      <c r="F34" s="8">
        <v>341</v>
      </c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/>
      <c r="XBP34"/>
      <c r="XBQ34" s="5"/>
      <c r="XBR34" s="5"/>
      <c r="XBS34" s="5"/>
      <c r="XBT34" s="5"/>
      <c r="XBU34" s="5"/>
      <c r="XBV34" s="5"/>
      <c r="XBW34" s="5"/>
      <c r="XBX34" s="5"/>
      <c r="XBY34" s="5"/>
      <c r="XBZ34" s="5"/>
      <c r="XCA34" s="5"/>
      <c r="XCB34" s="5"/>
      <c r="XCC34" s="5"/>
      <c r="XCD34" s="5"/>
      <c r="XCE34" s="5"/>
      <c r="XCF34" s="5"/>
      <c r="XCG34" s="5"/>
      <c r="XCH34" s="5"/>
      <c r="XCI34" s="5"/>
      <c r="XCJ34" s="5"/>
      <c r="XCK34" s="5"/>
      <c r="XCL34" s="5"/>
      <c r="XCM34" s="5"/>
      <c r="XCN34" s="5"/>
      <c r="XCO34" s="5"/>
      <c r="XCP34" s="5"/>
      <c r="XCQ34" s="5"/>
      <c r="XCR34" s="5"/>
      <c r="XCS34" s="5"/>
      <c r="XCT34" s="5"/>
      <c r="XCU34" s="5"/>
      <c r="XCV34" s="5"/>
      <c r="XCW34" s="5"/>
      <c r="XCX34" s="5"/>
      <c r="XCY34" s="5"/>
      <c r="XCZ34" s="5"/>
      <c r="XDA34" s="5"/>
      <c r="XDB34" s="5"/>
      <c r="XDC34" s="5"/>
      <c r="XDD34" s="5"/>
      <c r="XDE34" s="5"/>
      <c r="XDF34" s="5"/>
      <c r="XDG34" s="5"/>
      <c r="XDH34" s="5"/>
      <c r="XDI34" s="5"/>
      <c r="XDJ34" s="5"/>
      <c r="XDK34" s="5"/>
      <c r="XDL34" s="5"/>
      <c r="XDM34" s="5"/>
      <c r="XDN34" s="5"/>
      <c r="XDO34" s="5"/>
      <c r="XDP34" s="5"/>
      <c r="XDQ34" s="5"/>
      <c r="XDR34" s="5"/>
      <c r="XDS34" s="5"/>
      <c r="XDT34" s="5"/>
      <c r="XDU34" s="5"/>
      <c r="XDV34" s="5"/>
      <c r="XDW34" s="5"/>
      <c r="XDX34" s="5"/>
      <c r="XDY34" s="5"/>
      <c r="XDZ34" s="5"/>
      <c r="XEA34" s="5"/>
      <c r="XEB34" s="5"/>
      <c r="XEC34" s="5"/>
      <c r="XED34" s="5"/>
      <c r="XEE34" s="5"/>
      <c r="XEF34" s="5"/>
      <c r="XEG34" s="5"/>
      <c r="XEH34" s="5"/>
      <c r="XEI34" s="5"/>
      <c r="XEJ34" s="5"/>
      <c r="XEK34" s="5"/>
      <c r="XEL34" s="5"/>
    </row>
    <row r="35" s="1" customFormat="1" ht="16.5" spans="1:6 16254:16366">
      <c r="A35" s="8"/>
      <c r="B35" s="9" t="s">
        <v>39</v>
      </c>
      <c r="C35" s="8">
        <v>120</v>
      </c>
      <c r="D35" s="8">
        <v>12</v>
      </c>
      <c r="E35" s="8">
        <v>55</v>
      </c>
      <c r="F35" s="8">
        <v>660</v>
      </c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/>
      <c r="XBM35"/>
      <c r="XBN35"/>
      <c r="XBO35"/>
      <c r="XBP35"/>
      <c r="XBQ35" s="5"/>
      <c r="XBR35" s="5"/>
      <c r="XBS35" s="5"/>
      <c r="XBT35" s="5"/>
      <c r="XBU35" s="5"/>
      <c r="XBV35" s="5"/>
      <c r="XBW35" s="5"/>
      <c r="XBX35" s="5"/>
      <c r="XBY35" s="5"/>
      <c r="XBZ35" s="5"/>
      <c r="XCA35" s="5"/>
      <c r="XCB35" s="5"/>
      <c r="XCC35" s="5"/>
      <c r="XCD35" s="5"/>
      <c r="XCE35" s="5"/>
      <c r="XCF35" s="5"/>
      <c r="XCG35" s="5"/>
      <c r="XCH35" s="5"/>
      <c r="XCI35" s="5"/>
      <c r="XCJ35" s="5"/>
      <c r="XCK35" s="5"/>
      <c r="XCL35" s="5"/>
      <c r="XCM35" s="5"/>
      <c r="XCN35" s="5"/>
      <c r="XCO35" s="5"/>
      <c r="XCP35" s="5"/>
      <c r="XCQ35" s="5"/>
      <c r="XCR35" s="5"/>
      <c r="XCS35" s="5"/>
      <c r="XCT35" s="5"/>
      <c r="XCU35" s="5"/>
      <c r="XCV35" s="5"/>
      <c r="XCW35" s="5"/>
      <c r="XCX35" s="5"/>
      <c r="XCY35" s="5"/>
      <c r="XCZ35" s="5"/>
      <c r="XDA35" s="5"/>
      <c r="XDB35" s="5"/>
      <c r="XDC35" s="5"/>
      <c r="XDD35" s="5"/>
      <c r="XDE35" s="5"/>
      <c r="XDF35" s="5"/>
      <c r="XDG35" s="5"/>
      <c r="XDH35" s="5"/>
      <c r="XDI35" s="5"/>
      <c r="XDJ35" s="5"/>
      <c r="XDK35" s="5"/>
      <c r="XDL35" s="5"/>
      <c r="XDM35" s="5"/>
      <c r="XDN35" s="5"/>
      <c r="XDO35" s="5"/>
      <c r="XDP35" s="5"/>
      <c r="XDQ35" s="5"/>
      <c r="XDR35" s="5"/>
      <c r="XDS35" s="5"/>
      <c r="XDT35" s="5"/>
      <c r="XDU35" s="5"/>
      <c r="XDV35" s="5"/>
      <c r="XDW35" s="5"/>
      <c r="XDX35" s="5"/>
      <c r="XDY35" s="5"/>
      <c r="XDZ35" s="5"/>
      <c r="XEA35" s="5"/>
      <c r="XEB35" s="5"/>
      <c r="XEC35" s="5"/>
      <c r="XED35" s="5"/>
      <c r="XEE35" s="5"/>
      <c r="XEF35" s="5"/>
      <c r="XEG35" s="5"/>
      <c r="XEH35" s="5"/>
      <c r="XEI35" s="5"/>
      <c r="XEJ35" s="5"/>
      <c r="XEK35" s="5"/>
      <c r="XEL35" s="5"/>
    </row>
    <row r="36" s="1" customFormat="1" ht="16.5" spans="1:6 16254:16366">
      <c r="A36" s="8"/>
      <c r="B36" s="9" t="s">
        <v>40</v>
      </c>
      <c r="C36" s="8">
        <v>0</v>
      </c>
      <c r="D36" s="8">
        <v>1</v>
      </c>
      <c r="E36" s="8">
        <v>2.5</v>
      </c>
      <c r="F36" s="8">
        <v>2.5</v>
      </c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/>
      <c r="XBQ36" s="5"/>
      <c r="XBR36" s="5"/>
      <c r="XBS36" s="5"/>
      <c r="XBT36" s="5"/>
      <c r="XBU36" s="5"/>
      <c r="XBV36" s="5"/>
      <c r="XBW36" s="5"/>
      <c r="XBX36" s="5"/>
      <c r="XBY36" s="5"/>
      <c r="XBZ36" s="5"/>
      <c r="XCA36" s="5"/>
      <c r="XCB36" s="5"/>
      <c r="XCC36" s="5"/>
      <c r="XCD36" s="5"/>
      <c r="XCE36" s="5"/>
      <c r="XCF36" s="5"/>
      <c r="XCG36" s="5"/>
      <c r="XCH36" s="5"/>
      <c r="XCI36" s="5"/>
      <c r="XCJ36" s="5"/>
      <c r="XCK36" s="5"/>
      <c r="XCL36" s="5"/>
      <c r="XCM36" s="5"/>
      <c r="XCN36" s="5"/>
      <c r="XCO36" s="5"/>
      <c r="XCP36" s="5"/>
      <c r="XCQ36" s="5"/>
      <c r="XCR36" s="5"/>
      <c r="XCS36" s="5"/>
      <c r="XCT36" s="5"/>
      <c r="XCU36" s="5"/>
      <c r="XCV36" s="5"/>
      <c r="XCW36" s="5"/>
      <c r="XCX36" s="5"/>
      <c r="XCY36" s="5"/>
      <c r="XCZ36" s="5"/>
      <c r="XDA36" s="5"/>
      <c r="XDB36" s="5"/>
      <c r="XDC36" s="5"/>
      <c r="XDD36" s="5"/>
      <c r="XDE36" s="5"/>
      <c r="XDF36" s="5"/>
      <c r="XDG36" s="5"/>
      <c r="XDH36" s="5"/>
      <c r="XDI36" s="5"/>
      <c r="XDJ36" s="5"/>
      <c r="XDK36" s="5"/>
      <c r="XDL36" s="5"/>
      <c r="XDM36" s="5"/>
      <c r="XDN36" s="5"/>
      <c r="XDO36" s="5"/>
      <c r="XDP36" s="5"/>
      <c r="XDQ36" s="5"/>
      <c r="XDR36" s="5"/>
      <c r="XDS36" s="5"/>
      <c r="XDT36" s="5"/>
      <c r="XDU36" s="5"/>
      <c r="XDV36" s="5"/>
      <c r="XDW36" s="5"/>
      <c r="XDX36" s="5"/>
      <c r="XDY36" s="5"/>
      <c r="XDZ36" s="5"/>
      <c r="XEA36" s="5"/>
      <c r="XEB36" s="5"/>
      <c r="XEC36" s="5"/>
      <c r="XED36" s="5"/>
      <c r="XEE36" s="5"/>
      <c r="XEF36" s="5"/>
      <c r="XEG36" s="5"/>
      <c r="XEH36" s="5"/>
      <c r="XEI36" s="5"/>
      <c r="XEJ36" s="5"/>
      <c r="XEK36" s="5"/>
      <c r="XEL36" s="5"/>
    </row>
    <row r="37" s="1" customFormat="1" ht="16.5" spans="1:6 16254:16366">
      <c r="A37" s="8"/>
      <c r="B37" s="9" t="s">
        <v>41</v>
      </c>
      <c r="C37" s="8">
        <v>168</v>
      </c>
      <c r="D37" s="8">
        <v>6</v>
      </c>
      <c r="E37" s="8">
        <v>154</v>
      </c>
      <c r="F37" s="8">
        <v>924</v>
      </c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/>
      <c r="XBP37"/>
      <c r="XBQ37" s="5"/>
      <c r="XBR37" s="5"/>
      <c r="XBS37" s="5"/>
      <c r="XBT37" s="5"/>
      <c r="XBU37" s="5"/>
      <c r="XBV37" s="5"/>
      <c r="XBW37" s="5"/>
      <c r="XBX37" s="5"/>
      <c r="XBY37" s="5"/>
      <c r="XBZ37" s="5"/>
      <c r="XCA37" s="5"/>
      <c r="XCB37" s="5"/>
      <c r="XCC37" s="5"/>
      <c r="XCD37" s="5"/>
      <c r="XCE37" s="5"/>
      <c r="XCF37" s="5"/>
      <c r="XCG37" s="5"/>
      <c r="XCH37" s="5"/>
      <c r="XCI37" s="5"/>
      <c r="XCJ37" s="5"/>
      <c r="XCK37" s="5"/>
      <c r="XCL37" s="5"/>
      <c r="XCM37" s="5"/>
      <c r="XCN37" s="5"/>
      <c r="XCO37" s="5"/>
      <c r="XCP37" s="5"/>
      <c r="XCQ37" s="5"/>
      <c r="XCR37" s="5"/>
      <c r="XCS37" s="5"/>
      <c r="XCT37" s="5"/>
      <c r="XCU37" s="5"/>
      <c r="XCV37" s="5"/>
      <c r="XCW37" s="5"/>
      <c r="XCX37" s="5"/>
      <c r="XCY37" s="5"/>
      <c r="XCZ37" s="5"/>
      <c r="XDA37" s="5"/>
      <c r="XDB37" s="5"/>
      <c r="XDC37" s="5"/>
      <c r="XDD37" s="5"/>
      <c r="XDE37" s="5"/>
      <c r="XDF37" s="5"/>
      <c r="XDG37" s="5"/>
      <c r="XDH37" s="5"/>
      <c r="XDI37" s="5"/>
      <c r="XDJ37" s="5"/>
      <c r="XDK37" s="5"/>
      <c r="XDL37" s="5"/>
      <c r="XDM37" s="5"/>
      <c r="XDN37" s="5"/>
      <c r="XDO37" s="5"/>
      <c r="XDP37" s="5"/>
      <c r="XDQ37" s="5"/>
      <c r="XDR37" s="5"/>
      <c r="XDS37" s="5"/>
      <c r="XDT37" s="5"/>
      <c r="XDU37" s="5"/>
      <c r="XDV37" s="5"/>
      <c r="XDW37" s="5"/>
      <c r="XDX37" s="5"/>
      <c r="XDY37" s="5"/>
      <c r="XDZ37" s="5"/>
      <c r="XEA37" s="5"/>
      <c r="XEB37" s="5"/>
      <c r="XEC37" s="5"/>
      <c r="XED37" s="5"/>
      <c r="XEE37" s="5"/>
      <c r="XEF37" s="5"/>
      <c r="XEG37" s="5"/>
      <c r="XEH37" s="5"/>
      <c r="XEI37" s="5"/>
      <c r="XEJ37" s="5"/>
      <c r="XEK37" s="5"/>
      <c r="XEL37" s="5"/>
    </row>
    <row r="38" s="1" customFormat="1" ht="16.5" customHeight="1" spans="1:6 16254:16366">
      <c r="A38" s="8"/>
      <c r="B38" s="9" t="s">
        <v>42</v>
      </c>
      <c r="C38" s="8">
        <v>18</v>
      </c>
      <c r="D38" s="8">
        <v>18</v>
      </c>
      <c r="E38" s="8">
        <v>8</v>
      </c>
      <c r="F38" s="8">
        <v>144</v>
      </c>
      <c r="XAD38"/>
      <c r="XAE38"/>
      <c r="XAF38"/>
      <c r="XAG38"/>
      <c r="XAH38"/>
      <c r="XAI38"/>
      <c r="XAJ38"/>
      <c r="XAK38"/>
      <c r="XAL38"/>
      <c r="XAM38"/>
      <c r="XAN38"/>
      <c r="XAO38"/>
      <c r="XAP38"/>
      <c r="XAQ38"/>
      <c r="XAR38"/>
      <c r="XAS38"/>
      <c r="XAT38"/>
      <c r="XAU38"/>
      <c r="XAV38"/>
      <c r="XAW38"/>
      <c r="XAX38"/>
      <c r="XAY38"/>
      <c r="XAZ38"/>
      <c r="XBA38"/>
      <c r="XBB38"/>
      <c r="XBC38"/>
      <c r="XBD38"/>
      <c r="XBE38"/>
      <c r="XBF38"/>
      <c r="XBG38"/>
      <c r="XBH38"/>
      <c r="XBI38"/>
      <c r="XBJ38"/>
      <c r="XBK38"/>
      <c r="XBL38"/>
      <c r="XBM38"/>
      <c r="XBN38"/>
      <c r="XBO38"/>
      <c r="XBP38"/>
      <c r="XBQ38" s="5"/>
      <c r="XBR38" s="5"/>
      <c r="XBS38" s="5"/>
      <c r="XBT38" s="5"/>
      <c r="XBU38" s="5"/>
      <c r="XBV38" s="5"/>
      <c r="XBW38" s="5"/>
      <c r="XBX38" s="5"/>
      <c r="XBY38" s="5"/>
      <c r="XBZ38" s="5"/>
      <c r="XCA38" s="5"/>
      <c r="XCB38" s="5"/>
      <c r="XCC38" s="5"/>
      <c r="XCD38" s="5"/>
      <c r="XCE38" s="5"/>
      <c r="XCF38" s="5"/>
      <c r="XCG38" s="5"/>
      <c r="XCH38" s="5"/>
      <c r="XCI38" s="5"/>
      <c r="XCJ38" s="5"/>
      <c r="XCK38" s="5"/>
      <c r="XCL38" s="5"/>
      <c r="XCM38" s="5"/>
      <c r="XCN38" s="5"/>
      <c r="XCO38" s="5"/>
      <c r="XCP38" s="5"/>
      <c r="XCQ38" s="5"/>
      <c r="XCR38" s="5"/>
      <c r="XCS38" s="5"/>
      <c r="XCT38" s="5"/>
      <c r="XCU38" s="5"/>
      <c r="XCV38" s="5"/>
      <c r="XCW38" s="5"/>
      <c r="XCX38" s="5"/>
      <c r="XCY38" s="5"/>
      <c r="XCZ38" s="5"/>
      <c r="XDA38" s="5"/>
      <c r="XDB38" s="5"/>
      <c r="XDC38" s="5"/>
      <c r="XDD38" s="5"/>
      <c r="XDE38" s="5"/>
      <c r="XDF38" s="5"/>
      <c r="XDG38" s="5"/>
      <c r="XDH38" s="5"/>
      <c r="XDI38" s="5"/>
      <c r="XDJ38" s="5"/>
      <c r="XDK38" s="5"/>
      <c r="XDL38" s="5"/>
      <c r="XDM38" s="5"/>
      <c r="XDN38" s="5"/>
      <c r="XDO38" s="5"/>
      <c r="XDP38" s="5"/>
      <c r="XDQ38" s="5"/>
      <c r="XDR38" s="5"/>
      <c r="XDS38" s="5"/>
      <c r="XDT38" s="5"/>
      <c r="XDU38" s="5"/>
      <c r="XDV38" s="5"/>
      <c r="XDW38" s="5"/>
      <c r="XDX38" s="5"/>
      <c r="XDY38" s="5"/>
      <c r="XDZ38" s="5"/>
      <c r="XEA38" s="5"/>
      <c r="XEB38" s="5"/>
      <c r="XEC38" s="5"/>
      <c r="XED38" s="5"/>
      <c r="XEE38" s="5"/>
      <c r="XEF38" s="5"/>
      <c r="XEG38" s="5"/>
      <c r="XEH38" s="5"/>
      <c r="XEI38" s="5"/>
      <c r="XEJ38" s="5"/>
      <c r="XEK38" s="5"/>
      <c r="XEL38" s="5"/>
    </row>
    <row r="39" s="1" customFormat="1" ht="16.5" customHeight="1" spans="1:6 16254:16366">
      <c r="A39" s="8"/>
      <c r="B39" s="9" t="s">
        <v>43</v>
      </c>
      <c r="C39" s="8">
        <v>5</v>
      </c>
      <c r="D39" s="8">
        <v>5</v>
      </c>
      <c r="E39" s="8">
        <v>8</v>
      </c>
      <c r="F39" s="8">
        <v>40</v>
      </c>
      <c r="XAD39"/>
      <c r="XAE39"/>
      <c r="XAF39"/>
      <c r="XAG39"/>
      <c r="XAH39"/>
      <c r="XAI39"/>
      <c r="XAJ39"/>
      <c r="XAK39"/>
      <c r="XAL39"/>
      <c r="XAM39"/>
      <c r="XAN39"/>
      <c r="XAO39"/>
      <c r="XAP39"/>
      <c r="XAQ39"/>
      <c r="XAR39"/>
      <c r="XAS39"/>
      <c r="XAT39"/>
      <c r="XAU39"/>
      <c r="XAV39"/>
      <c r="XAW39"/>
      <c r="XAX39"/>
      <c r="XAY39"/>
      <c r="XAZ39"/>
      <c r="XBA39"/>
      <c r="XBB39"/>
      <c r="XBC39"/>
      <c r="XBD39"/>
      <c r="XBE39"/>
      <c r="XBF39"/>
      <c r="XBG39"/>
      <c r="XBH39"/>
      <c r="XBI39"/>
      <c r="XBJ39"/>
      <c r="XBK39"/>
      <c r="XBL39"/>
      <c r="XBM39"/>
      <c r="XBN39"/>
      <c r="XBO39"/>
      <c r="XBP39"/>
      <c r="XBQ39" s="5"/>
      <c r="XBR39" s="5"/>
      <c r="XBS39" s="5"/>
      <c r="XBT39" s="5"/>
      <c r="XBU39" s="5"/>
      <c r="XBV39" s="5"/>
      <c r="XBW39" s="5"/>
      <c r="XBX39" s="5"/>
      <c r="XBY39" s="5"/>
      <c r="XBZ39" s="5"/>
      <c r="XCA39" s="5"/>
      <c r="XCB39" s="5"/>
      <c r="XCC39" s="5"/>
      <c r="XCD39" s="5"/>
      <c r="XCE39" s="5"/>
      <c r="XCF39" s="5"/>
      <c r="XCG39" s="5"/>
      <c r="XCH39" s="5"/>
      <c r="XCI39" s="5"/>
      <c r="XCJ39" s="5"/>
      <c r="XCK39" s="5"/>
      <c r="XCL39" s="5"/>
      <c r="XCM39" s="5"/>
      <c r="XCN39" s="5"/>
      <c r="XCO39" s="5"/>
      <c r="XCP39" s="5"/>
      <c r="XCQ39" s="5"/>
      <c r="XCR39" s="5"/>
      <c r="XCS39" s="5"/>
      <c r="XCT39" s="5"/>
      <c r="XCU39" s="5"/>
      <c r="XCV39" s="5"/>
      <c r="XCW39" s="5"/>
      <c r="XCX39" s="5"/>
      <c r="XCY39" s="5"/>
      <c r="XCZ39" s="5"/>
      <c r="XDA39" s="5"/>
      <c r="XDB39" s="5"/>
      <c r="XDC39" s="5"/>
      <c r="XDD39" s="5"/>
      <c r="XDE39" s="5"/>
      <c r="XDF39" s="5"/>
      <c r="XDG39" s="5"/>
      <c r="XDH39" s="5"/>
      <c r="XDI39" s="5"/>
      <c r="XDJ39" s="5"/>
      <c r="XDK39" s="5"/>
      <c r="XDL39" s="5"/>
      <c r="XDM39" s="5"/>
      <c r="XDN39" s="5"/>
      <c r="XDO39" s="5"/>
      <c r="XDP39" s="5"/>
      <c r="XDQ39" s="5"/>
      <c r="XDR39" s="5"/>
      <c r="XDS39" s="5"/>
      <c r="XDT39" s="5"/>
      <c r="XDU39" s="5"/>
      <c r="XDV39" s="5"/>
      <c r="XDW39" s="5"/>
      <c r="XDX39" s="5"/>
      <c r="XDY39" s="5"/>
      <c r="XDZ39" s="5"/>
      <c r="XEA39" s="5"/>
      <c r="XEB39" s="5"/>
      <c r="XEC39" s="5"/>
      <c r="XED39" s="5"/>
      <c r="XEE39" s="5"/>
      <c r="XEF39" s="5"/>
      <c r="XEG39" s="5"/>
      <c r="XEH39" s="5"/>
      <c r="XEI39" s="5"/>
      <c r="XEJ39" s="5"/>
      <c r="XEK39" s="5"/>
      <c r="XEL39" s="5"/>
    </row>
    <row r="40" s="1" customFormat="1" ht="16.5" customHeight="1" spans="1:6 16254:16366">
      <c r="A40" s="8"/>
      <c r="B40" s="9" t="s">
        <v>44</v>
      </c>
      <c r="C40" s="8">
        <v>40</v>
      </c>
      <c r="D40" s="8">
        <v>40</v>
      </c>
      <c r="E40" s="8">
        <v>8</v>
      </c>
      <c r="F40" s="8">
        <v>320</v>
      </c>
      <c r="XAD40"/>
      <c r="XAE40"/>
      <c r="XAF40"/>
      <c r="XAG40"/>
      <c r="XAH40"/>
      <c r="XAI40"/>
      <c r="XAJ40"/>
      <c r="XAK40"/>
      <c r="XAL40"/>
      <c r="XAM40"/>
      <c r="XAN40"/>
      <c r="XAO40"/>
      <c r="XAP40"/>
      <c r="XAQ40"/>
      <c r="XAR40"/>
      <c r="XAS40"/>
      <c r="XAT40"/>
      <c r="XAU40"/>
      <c r="XAV40"/>
      <c r="XAW40"/>
      <c r="XAX40"/>
      <c r="XAY40"/>
      <c r="XAZ40"/>
      <c r="XBA40"/>
      <c r="XBB40"/>
      <c r="XBC40"/>
      <c r="XBD40"/>
      <c r="XBE40"/>
      <c r="XBF40"/>
      <c r="XBG40"/>
      <c r="XBH40"/>
      <c r="XBI40"/>
      <c r="XBJ40"/>
      <c r="XBK40"/>
      <c r="XBL40"/>
      <c r="XBM40"/>
      <c r="XBN40"/>
      <c r="XBO40"/>
      <c r="XBP40"/>
      <c r="XBQ40" s="5"/>
      <c r="XBR40" s="5"/>
      <c r="XBS40" s="5"/>
      <c r="XBT40" s="5"/>
      <c r="XBU40" s="5"/>
      <c r="XBV40" s="5"/>
      <c r="XBW40" s="5"/>
      <c r="XBX40" s="5"/>
      <c r="XBY40" s="5"/>
      <c r="XBZ40" s="5"/>
      <c r="XCA40" s="5"/>
      <c r="XCB40" s="5"/>
      <c r="XCC40" s="5"/>
      <c r="XCD40" s="5"/>
      <c r="XCE40" s="5"/>
      <c r="XCF40" s="5"/>
      <c r="XCG40" s="5"/>
      <c r="XCH40" s="5"/>
      <c r="XCI40" s="5"/>
      <c r="XCJ40" s="5"/>
      <c r="XCK40" s="5"/>
      <c r="XCL40" s="5"/>
      <c r="XCM40" s="5"/>
      <c r="XCN40" s="5"/>
      <c r="XCO40" s="5"/>
      <c r="XCP40" s="5"/>
      <c r="XCQ40" s="5"/>
      <c r="XCR40" s="5"/>
      <c r="XCS40" s="5"/>
      <c r="XCT40" s="5"/>
      <c r="XCU40" s="5"/>
      <c r="XCV40" s="5"/>
      <c r="XCW40" s="5"/>
      <c r="XCX40" s="5"/>
      <c r="XCY40" s="5"/>
      <c r="XCZ40" s="5"/>
      <c r="XDA40" s="5"/>
      <c r="XDB40" s="5"/>
      <c r="XDC40" s="5"/>
      <c r="XDD40" s="5"/>
      <c r="XDE40" s="5"/>
      <c r="XDF40" s="5"/>
      <c r="XDG40" s="5"/>
      <c r="XDH40" s="5"/>
      <c r="XDI40" s="5"/>
      <c r="XDJ40" s="5"/>
      <c r="XDK40" s="5"/>
      <c r="XDL40" s="5"/>
      <c r="XDM40" s="5"/>
      <c r="XDN40" s="5"/>
      <c r="XDO40" s="5"/>
      <c r="XDP40" s="5"/>
      <c r="XDQ40" s="5"/>
      <c r="XDR40" s="5"/>
      <c r="XDS40" s="5"/>
      <c r="XDT40" s="5"/>
      <c r="XDU40" s="5"/>
      <c r="XDV40" s="5"/>
      <c r="XDW40" s="5"/>
      <c r="XDX40" s="5"/>
      <c r="XDY40" s="5"/>
      <c r="XDZ40" s="5"/>
      <c r="XEA40" s="5"/>
      <c r="XEB40" s="5"/>
      <c r="XEC40" s="5"/>
      <c r="XED40" s="5"/>
      <c r="XEE40" s="5"/>
      <c r="XEF40" s="5"/>
      <c r="XEG40" s="5"/>
      <c r="XEH40" s="5"/>
      <c r="XEI40" s="5"/>
      <c r="XEJ40" s="5"/>
      <c r="XEK40" s="5"/>
      <c r="XEL40" s="5"/>
    </row>
    <row r="41" s="1" customFormat="1" ht="16.5" customHeight="1" spans="1:6 16254:16366">
      <c r="A41" s="8"/>
      <c r="B41" s="9" t="s">
        <v>45</v>
      </c>
      <c r="C41" s="8">
        <v>22</v>
      </c>
      <c r="D41" s="8">
        <v>11</v>
      </c>
      <c r="E41" s="8">
        <v>16.5</v>
      </c>
      <c r="F41" s="8">
        <v>181.5</v>
      </c>
      <c r="XAD41"/>
      <c r="XAE41"/>
      <c r="XAF41"/>
      <c r="XAG41"/>
      <c r="XAH41"/>
      <c r="XAI41"/>
      <c r="XAJ41"/>
      <c r="XAK41"/>
      <c r="XAL41"/>
      <c r="XAM41"/>
      <c r="XAN41"/>
      <c r="XAO41"/>
      <c r="XAP41"/>
      <c r="XAQ41"/>
      <c r="XAR41"/>
      <c r="XAS41"/>
      <c r="XAT41"/>
      <c r="XAU41"/>
      <c r="XAV41"/>
      <c r="XAW41"/>
      <c r="XAX41"/>
      <c r="XAY41"/>
      <c r="XAZ41"/>
      <c r="XBA41"/>
      <c r="XBB41"/>
      <c r="XBC41"/>
      <c r="XBD41"/>
      <c r="XBE41"/>
      <c r="XBF41"/>
      <c r="XBG41"/>
      <c r="XBH41"/>
      <c r="XBI41"/>
      <c r="XBJ41"/>
      <c r="XBK41"/>
      <c r="XBL41"/>
      <c r="XBM41"/>
      <c r="XBN41"/>
      <c r="XBO41"/>
      <c r="XBP41"/>
      <c r="XBQ41" s="5"/>
      <c r="XBR41" s="5"/>
      <c r="XBS41" s="5"/>
      <c r="XBT41" s="5"/>
      <c r="XBU41" s="5"/>
      <c r="XBV41" s="5"/>
      <c r="XBW41" s="5"/>
      <c r="XBX41" s="5"/>
      <c r="XBY41" s="5"/>
      <c r="XBZ41" s="5"/>
      <c r="XCA41" s="5"/>
      <c r="XCB41" s="5"/>
      <c r="XCC41" s="5"/>
      <c r="XCD41" s="5"/>
      <c r="XCE41" s="5"/>
      <c r="XCF41" s="5"/>
      <c r="XCG41" s="5"/>
      <c r="XCH41" s="5"/>
      <c r="XCI41" s="5"/>
      <c r="XCJ41" s="5"/>
      <c r="XCK41" s="5"/>
      <c r="XCL41" s="5"/>
      <c r="XCM41" s="5"/>
      <c r="XCN41" s="5"/>
      <c r="XCO41" s="5"/>
      <c r="XCP41" s="5"/>
      <c r="XCQ41" s="5"/>
      <c r="XCR41" s="5"/>
      <c r="XCS41" s="5"/>
      <c r="XCT41" s="5"/>
      <c r="XCU41" s="5"/>
      <c r="XCV41" s="5"/>
      <c r="XCW41" s="5"/>
      <c r="XCX41" s="5"/>
      <c r="XCY41" s="5"/>
      <c r="XCZ41" s="5"/>
      <c r="XDA41" s="5"/>
      <c r="XDB41" s="5"/>
      <c r="XDC41" s="5"/>
      <c r="XDD41" s="5"/>
      <c r="XDE41" s="5"/>
      <c r="XDF41" s="5"/>
      <c r="XDG41" s="5"/>
      <c r="XDH41" s="5"/>
      <c r="XDI41" s="5"/>
      <c r="XDJ41" s="5"/>
      <c r="XDK41" s="5"/>
      <c r="XDL41" s="5"/>
      <c r="XDM41" s="5"/>
      <c r="XDN41" s="5"/>
      <c r="XDO41" s="5"/>
      <c r="XDP41" s="5"/>
      <c r="XDQ41" s="5"/>
      <c r="XDR41" s="5"/>
      <c r="XDS41" s="5"/>
      <c r="XDT41" s="5"/>
      <c r="XDU41" s="5"/>
      <c r="XDV41" s="5"/>
      <c r="XDW41" s="5"/>
      <c r="XDX41" s="5"/>
      <c r="XDY41" s="5"/>
      <c r="XDZ41" s="5"/>
      <c r="XEA41" s="5"/>
      <c r="XEB41" s="5"/>
      <c r="XEC41" s="5"/>
      <c r="XED41" s="5"/>
      <c r="XEE41" s="5"/>
      <c r="XEF41" s="5"/>
      <c r="XEG41" s="5"/>
      <c r="XEH41" s="5"/>
      <c r="XEI41" s="5"/>
      <c r="XEJ41" s="5"/>
      <c r="XEK41" s="5"/>
      <c r="XEL41" s="5"/>
    </row>
    <row r="42" s="1" customFormat="1" ht="16.5" customHeight="1" spans="1:6 16254:16366">
      <c r="A42" s="8"/>
      <c r="B42" s="9" t="s">
        <v>46</v>
      </c>
      <c r="C42" s="8">
        <v>1</v>
      </c>
      <c r="D42" s="8">
        <v>1</v>
      </c>
      <c r="E42" s="8">
        <v>8</v>
      </c>
      <c r="F42" s="8">
        <v>8</v>
      </c>
      <c r="XAD42"/>
      <c r="XAE42"/>
      <c r="XAF42"/>
      <c r="XAG42"/>
      <c r="XAH42"/>
      <c r="XAI42"/>
      <c r="XAJ42"/>
      <c r="XAK42"/>
      <c r="XAL42"/>
      <c r="XAM42"/>
      <c r="XAN42"/>
      <c r="XAO42"/>
      <c r="XAP42"/>
      <c r="XAQ42"/>
      <c r="XAR42"/>
      <c r="XAS42"/>
      <c r="XAT42"/>
      <c r="XAU42"/>
      <c r="XAV42"/>
      <c r="XAW42"/>
      <c r="XAX42"/>
      <c r="XAY42"/>
      <c r="XAZ42"/>
      <c r="XBA42"/>
      <c r="XBB42"/>
      <c r="XBC42"/>
      <c r="XBD42"/>
      <c r="XBE42"/>
      <c r="XBF42"/>
      <c r="XBG42"/>
      <c r="XBH42"/>
      <c r="XBI42"/>
      <c r="XBJ42"/>
      <c r="XBK42"/>
      <c r="XBL42"/>
      <c r="XBM42"/>
      <c r="XBN42"/>
      <c r="XBO42"/>
      <c r="XBP42"/>
      <c r="XBQ42" s="5"/>
      <c r="XBR42" s="5"/>
      <c r="XBS42" s="5"/>
      <c r="XBT42" s="5"/>
      <c r="XBU42" s="5"/>
      <c r="XBV42" s="5"/>
      <c r="XBW42" s="5"/>
      <c r="XBX42" s="5"/>
      <c r="XBY42" s="5"/>
      <c r="XBZ42" s="5"/>
      <c r="XCA42" s="5"/>
      <c r="XCB42" s="5"/>
      <c r="XCC42" s="5"/>
      <c r="XCD42" s="5"/>
      <c r="XCE42" s="5"/>
      <c r="XCF42" s="5"/>
      <c r="XCG42" s="5"/>
      <c r="XCH42" s="5"/>
      <c r="XCI42" s="5"/>
      <c r="XCJ42" s="5"/>
      <c r="XCK42" s="5"/>
      <c r="XCL42" s="5"/>
      <c r="XCM42" s="5"/>
      <c r="XCN42" s="5"/>
      <c r="XCO42" s="5"/>
      <c r="XCP42" s="5"/>
      <c r="XCQ42" s="5"/>
      <c r="XCR42" s="5"/>
      <c r="XCS42" s="5"/>
      <c r="XCT42" s="5"/>
      <c r="XCU42" s="5"/>
      <c r="XCV42" s="5"/>
      <c r="XCW42" s="5"/>
      <c r="XCX42" s="5"/>
      <c r="XCY42" s="5"/>
      <c r="XCZ42" s="5"/>
      <c r="XDA42" s="5"/>
      <c r="XDB42" s="5"/>
      <c r="XDC42" s="5"/>
      <c r="XDD42" s="5"/>
      <c r="XDE42" s="5"/>
      <c r="XDF42" s="5"/>
      <c r="XDG42" s="5"/>
      <c r="XDH42" s="5"/>
      <c r="XDI42" s="5"/>
      <c r="XDJ42" s="5"/>
      <c r="XDK42" s="5"/>
      <c r="XDL42" s="5"/>
      <c r="XDM42" s="5"/>
      <c r="XDN42" s="5"/>
      <c r="XDO42" s="5"/>
      <c r="XDP42" s="5"/>
      <c r="XDQ42" s="5"/>
      <c r="XDR42" s="5"/>
      <c r="XDS42" s="5"/>
      <c r="XDT42" s="5"/>
      <c r="XDU42" s="5"/>
      <c r="XDV42" s="5"/>
      <c r="XDW42" s="5"/>
      <c r="XDX42" s="5"/>
      <c r="XDY42" s="5"/>
      <c r="XDZ42" s="5"/>
      <c r="XEA42" s="5"/>
      <c r="XEB42" s="5"/>
      <c r="XEC42" s="5"/>
      <c r="XED42" s="5"/>
      <c r="XEE42" s="5"/>
      <c r="XEF42" s="5"/>
      <c r="XEG42" s="5"/>
      <c r="XEH42" s="5"/>
      <c r="XEI42" s="5"/>
      <c r="XEJ42" s="5"/>
      <c r="XEK42" s="5"/>
      <c r="XEL42" s="5"/>
    </row>
    <row r="43" s="1" customFormat="1" ht="16.5" customHeight="1" spans="1:6 16254:16366">
      <c r="A43" s="8"/>
      <c r="B43" s="9" t="s">
        <v>47</v>
      </c>
      <c r="C43" s="8">
        <v>0</v>
      </c>
      <c r="D43" s="8">
        <v>1</v>
      </c>
      <c r="E43" s="8">
        <v>30</v>
      </c>
      <c r="F43" s="8">
        <v>30</v>
      </c>
      <c r="XAD43"/>
      <c r="XAE43"/>
      <c r="XAF43"/>
      <c r="XAG43"/>
      <c r="XAH43"/>
      <c r="XAI43"/>
      <c r="XAJ43"/>
      <c r="XAK43"/>
      <c r="XAL43"/>
      <c r="XAM43"/>
      <c r="XAN43"/>
      <c r="XAO43"/>
      <c r="XAP43"/>
      <c r="XAQ43"/>
      <c r="XAR43"/>
      <c r="XAS43"/>
      <c r="XAT43"/>
      <c r="XAU43"/>
      <c r="XAV43"/>
      <c r="XAW43"/>
      <c r="XAX43"/>
      <c r="XAY43"/>
      <c r="XAZ43"/>
      <c r="XBA43"/>
      <c r="XBB43"/>
      <c r="XBC43"/>
      <c r="XBD43"/>
      <c r="XBE43"/>
      <c r="XBF43"/>
      <c r="XBG43"/>
      <c r="XBH43"/>
      <c r="XBI43"/>
      <c r="XBJ43"/>
      <c r="XBK43"/>
      <c r="XBL43"/>
      <c r="XBM43"/>
      <c r="XBN43"/>
      <c r="XBO43"/>
      <c r="XBP43"/>
      <c r="XBQ43" s="5"/>
      <c r="XBR43" s="5"/>
      <c r="XBS43" s="5"/>
      <c r="XBT43" s="5"/>
      <c r="XBU43" s="5"/>
      <c r="XBV43" s="5"/>
      <c r="XBW43" s="5"/>
      <c r="XBX43" s="5"/>
      <c r="XBY43" s="5"/>
      <c r="XBZ43" s="5"/>
      <c r="XCA43" s="5"/>
      <c r="XCB43" s="5"/>
      <c r="XCC43" s="5"/>
      <c r="XCD43" s="5"/>
      <c r="XCE43" s="5"/>
      <c r="XCF43" s="5"/>
      <c r="XCG43" s="5"/>
      <c r="XCH43" s="5"/>
      <c r="XCI43" s="5"/>
      <c r="XCJ43" s="5"/>
      <c r="XCK43" s="5"/>
      <c r="XCL43" s="5"/>
      <c r="XCM43" s="5"/>
      <c r="XCN43" s="5"/>
      <c r="XCO43" s="5"/>
      <c r="XCP43" s="5"/>
      <c r="XCQ43" s="5"/>
      <c r="XCR43" s="5"/>
      <c r="XCS43" s="5"/>
      <c r="XCT43" s="5"/>
      <c r="XCU43" s="5"/>
      <c r="XCV43" s="5"/>
      <c r="XCW43" s="5"/>
      <c r="XCX43" s="5"/>
      <c r="XCY43" s="5"/>
      <c r="XCZ43" s="5"/>
      <c r="XDA43" s="5"/>
      <c r="XDB43" s="5"/>
      <c r="XDC43" s="5"/>
      <c r="XDD43" s="5"/>
      <c r="XDE43" s="5"/>
      <c r="XDF43" s="5"/>
      <c r="XDG43" s="5"/>
      <c r="XDH43" s="5"/>
      <c r="XDI43" s="5"/>
      <c r="XDJ43" s="5"/>
      <c r="XDK43" s="5"/>
      <c r="XDL43" s="5"/>
      <c r="XDM43" s="5"/>
      <c r="XDN43" s="5"/>
      <c r="XDO43" s="5"/>
      <c r="XDP43" s="5"/>
      <c r="XDQ43" s="5"/>
      <c r="XDR43" s="5"/>
      <c r="XDS43" s="5"/>
      <c r="XDT43" s="5"/>
      <c r="XDU43" s="5"/>
      <c r="XDV43" s="5"/>
      <c r="XDW43" s="5"/>
      <c r="XDX43" s="5"/>
      <c r="XDY43" s="5"/>
      <c r="XDZ43" s="5"/>
      <c r="XEA43" s="5"/>
      <c r="XEB43" s="5"/>
      <c r="XEC43" s="5"/>
      <c r="XED43" s="5"/>
      <c r="XEE43" s="5"/>
      <c r="XEF43" s="5"/>
      <c r="XEG43" s="5"/>
      <c r="XEH43" s="5"/>
      <c r="XEI43" s="5"/>
      <c r="XEJ43" s="5"/>
      <c r="XEK43" s="5"/>
      <c r="XEL43" s="5"/>
    </row>
    <row r="44" ht="16.5" customHeight="1" spans="1:6 16254:16366">
      <c r="A44" s="8"/>
      <c r="B44" s="9" t="s">
        <v>48</v>
      </c>
      <c r="C44" s="8">
        <v>14</v>
      </c>
      <c r="D44" s="8">
        <v>7</v>
      </c>
      <c r="E44" s="8">
        <v>16.5</v>
      </c>
      <c r="F44" s="8">
        <v>115.5</v>
      </c>
    </row>
    <row r="45" ht="16.5" customHeight="1" spans="1:6 16254:16366">
      <c r="A45" s="8"/>
      <c r="B45" s="9" t="s">
        <v>49</v>
      </c>
      <c r="C45" s="8">
        <v>6</v>
      </c>
      <c r="D45" s="8">
        <v>1</v>
      </c>
      <c r="E45" s="8">
        <v>33</v>
      </c>
      <c r="F45" s="8">
        <v>33</v>
      </c>
    </row>
    <row r="46" ht="16.5" customHeight="1" spans="1:6 16254:16366">
      <c r="A46" s="8"/>
      <c r="B46" s="9" t="s">
        <v>50</v>
      </c>
      <c r="C46" s="8">
        <v>10</v>
      </c>
      <c r="D46" s="8">
        <v>10</v>
      </c>
      <c r="E46" s="8">
        <v>8</v>
      </c>
      <c r="F46" s="8">
        <v>80</v>
      </c>
    </row>
    <row r="47" ht="16.5" customHeight="1" spans="1:6 16254:16366">
      <c r="A47" s="8"/>
      <c r="B47" s="9" t="s">
        <v>51</v>
      </c>
      <c r="C47" s="8">
        <v>90</v>
      </c>
      <c r="D47" s="8">
        <v>3</v>
      </c>
      <c r="E47" s="8">
        <v>165</v>
      </c>
      <c r="F47" s="8">
        <v>495</v>
      </c>
    </row>
    <row r="48" ht="16.5" spans="1:6 16254:16366">
      <c r="A48" s="8"/>
      <c r="B48" s="9" t="s">
        <v>52</v>
      </c>
      <c r="C48" s="8">
        <v>8</v>
      </c>
      <c r="D48" s="8">
        <v>2</v>
      </c>
      <c r="E48" s="8">
        <v>22</v>
      </c>
      <c r="F48" s="8">
        <v>44</v>
      </c>
    </row>
    <row r="49" ht="16.5" spans="1:6">
      <c r="A49" s="8"/>
      <c r="B49" s="9" t="s">
        <v>53</v>
      </c>
      <c r="C49" s="8">
        <v>4</v>
      </c>
      <c r="D49" s="8">
        <v>2</v>
      </c>
      <c r="E49" s="8">
        <v>13.5</v>
      </c>
      <c r="F49" s="8">
        <v>27</v>
      </c>
    </row>
    <row r="50" ht="16.5" spans="1:6">
      <c r="A50" s="8"/>
      <c r="B50" s="9" t="s">
        <v>54</v>
      </c>
      <c r="C50" s="8">
        <v>2</v>
      </c>
      <c r="D50" s="8">
        <v>2</v>
      </c>
      <c r="E50" s="8">
        <v>13</v>
      </c>
      <c r="F50" s="8">
        <v>26</v>
      </c>
    </row>
    <row r="51" ht="16.5" spans="1:6">
      <c r="A51" s="8"/>
      <c r="B51" s="9" t="s">
        <v>55</v>
      </c>
      <c r="C51" s="8">
        <v>71</v>
      </c>
      <c r="D51" s="8">
        <v>71</v>
      </c>
      <c r="E51" s="8">
        <v>13</v>
      </c>
      <c r="F51" s="8">
        <v>923</v>
      </c>
    </row>
    <row r="52" ht="16.5" spans="1:6">
      <c r="A52" s="8"/>
      <c r="B52" s="9" t="s">
        <v>56</v>
      </c>
      <c r="C52" s="8">
        <v>13</v>
      </c>
      <c r="D52" s="8">
        <v>13</v>
      </c>
      <c r="E52" s="8">
        <v>16.5</v>
      </c>
      <c r="F52" s="8">
        <v>214.5</v>
      </c>
    </row>
    <row r="53" ht="16.5" spans="1:6">
      <c r="A53" s="8"/>
      <c r="B53" s="9" t="s">
        <v>57</v>
      </c>
      <c r="C53" s="8">
        <v>102</v>
      </c>
      <c r="D53" s="8">
        <v>51</v>
      </c>
      <c r="E53" s="8">
        <v>16.5</v>
      </c>
      <c r="F53" s="8">
        <v>841.5</v>
      </c>
    </row>
    <row r="54" ht="16.5" spans="1:6">
      <c r="A54" s="8"/>
      <c r="B54" s="9" t="s">
        <v>58</v>
      </c>
      <c r="C54" s="8">
        <v>12</v>
      </c>
      <c r="D54" s="8">
        <v>4</v>
      </c>
      <c r="E54" s="8">
        <v>16.5</v>
      </c>
      <c r="F54" s="8">
        <v>66</v>
      </c>
    </row>
    <row r="55" ht="16.5" spans="1:6">
      <c r="A55" s="8"/>
      <c r="B55" s="9" t="s">
        <v>59</v>
      </c>
      <c r="C55" s="8">
        <v>2</v>
      </c>
      <c r="D55" s="8">
        <v>1</v>
      </c>
      <c r="E55" s="8">
        <v>16.5</v>
      </c>
      <c r="F55" s="8">
        <v>16.5</v>
      </c>
    </row>
    <row r="56" ht="16.5" spans="1:6">
      <c r="A56" s="8"/>
      <c r="B56" s="9" t="s">
        <v>60</v>
      </c>
      <c r="C56" s="8">
        <v>20</v>
      </c>
      <c r="D56" s="8">
        <v>20</v>
      </c>
      <c r="E56" s="8">
        <v>8</v>
      </c>
      <c r="F56" s="8">
        <v>160</v>
      </c>
    </row>
    <row r="57" ht="16.5" spans="1:6">
      <c r="A57" s="8"/>
      <c r="B57" s="9" t="s">
        <v>61</v>
      </c>
      <c r="C57" s="8">
        <v>48</v>
      </c>
      <c r="D57" s="8">
        <v>12</v>
      </c>
      <c r="E57" s="8">
        <v>22</v>
      </c>
      <c r="F57" s="8">
        <v>264</v>
      </c>
    </row>
    <row r="58" ht="16.5" spans="1:6">
      <c r="A58" s="8"/>
      <c r="B58" s="9" t="s">
        <v>62</v>
      </c>
      <c r="C58" s="8">
        <v>12</v>
      </c>
      <c r="D58" s="8">
        <v>6</v>
      </c>
      <c r="E58" s="8">
        <v>16.5</v>
      </c>
      <c r="F58" s="8">
        <v>99</v>
      </c>
    </row>
    <row r="59" ht="16.5" spans="1:6">
      <c r="A59" s="8"/>
      <c r="B59" s="9" t="s">
        <v>63</v>
      </c>
      <c r="C59" s="8">
        <v>8</v>
      </c>
      <c r="D59" s="8">
        <v>4</v>
      </c>
      <c r="E59" s="8">
        <v>16.5</v>
      </c>
      <c r="F59" s="8">
        <v>66</v>
      </c>
    </row>
    <row r="60" ht="16.5" spans="1:6">
      <c r="A60" s="8"/>
      <c r="B60" s="9" t="s">
        <v>64</v>
      </c>
      <c r="C60" s="8">
        <v>5</v>
      </c>
      <c r="D60" s="8">
        <v>5</v>
      </c>
      <c r="E60" s="8">
        <v>8</v>
      </c>
      <c r="F60" s="8">
        <v>40</v>
      </c>
    </row>
    <row r="61" ht="16.5" spans="1:6">
      <c r="A61" s="15" t="s">
        <v>65</v>
      </c>
      <c r="B61" s="16"/>
      <c r="C61" s="16"/>
      <c r="D61" s="16"/>
      <c r="E61" s="17"/>
      <c r="F61" s="8">
        <f>SUM(F3:F60)</f>
        <v>43131</v>
      </c>
    </row>
  </sheetData>
  <autoFilter xmlns:etc="http://www.wps.cn/officeDocument/2017/etCustomData" ref="A2:XEQ61" etc:filterBottomFollowUsedRange="0">
    <extLst/>
  </autoFilter>
  <mergeCells count="2">
    <mergeCell ref="A1:F1"/>
    <mergeCell ref="A61:E61"/>
  </mergeCells>
  <pageMargins left="0.25" right="0.25" top="0.75" bottom="0.75" header="0.298611111111111" footer="0.298611111111111"/>
  <pageSetup paperSize="9" scale="9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V135"/>
  <sheetViews>
    <sheetView view="pageBreakPreview" zoomScaleNormal="100" topLeftCell="A102" workbookViewId="0">
      <selection activeCell="A3" sqref="A3:A134"/>
    </sheetView>
  </sheetViews>
  <sheetFormatPr defaultColWidth="9" defaultRowHeight="13.5"/>
  <cols>
    <col min="1" max="1" width="7.5" style="3" customWidth="1"/>
    <col min="2" max="2" width="33.375" style="4" customWidth="1"/>
    <col min="3" max="3" width="19.125" style="3" customWidth="1"/>
    <col min="4" max="4" width="13" style="3" customWidth="1"/>
    <col min="5" max="5" width="13.7583333333333" style="3" customWidth="1"/>
    <col min="6" max="6" width="14.4583333333333" style="3" customWidth="1"/>
    <col min="7" max="16247" width="9" style="1"/>
    <col min="16287" max="16384" width="9" style="5"/>
  </cols>
  <sheetData>
    <row r="1" s="1" customFormat="1" ht="21" spans="1:6 16248:16360">
      <c r="A1" s="6" t="s">
        <v>66</v>
      </c>
      <c r="B1" s="7"/>
      <c r="C1" s="6"/>
      <c r="D1" s="6"/>
      <c r="E1" s="6"/>
      <c r="F1" s="6"/>
    </row>
    <row r="2" s="2" customFormat="1" ht="16.5" customHeight="1" spans="1:6 16248:16360">
      <c r="A2" s="8"/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="1" customFormat="1" ht="16.5" spans="1:6 16248:16360">
      <c r="A3" s="8">
        <v>1</v>
      </c>
      <c r="B3" s="9" t="s">
        <v>67</v>
      </c>
      <c r="C3" s="8">
        <v>3</v>
      </c>
      <c r="D3" s="8">
        <v>1</v>
      </c>
      <c r="E3" s="8">
        <v>16.5</v>
      </c>
      <c r="F3" s="8">
        <v>16.5</v>
      </c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</row>
    <row r="4" s="1" customFormat="1" ht="16.5" spans="1:6 16248:16360">
      <c r="A4" s="8">
        <v>2</v>
      </c>
      <c r="B4" s="9" t="s">
        <v>68</v>
      </c>
      <c r="C4" s="8">
        <v>140</v>
      </c>
      <c r="D4" s="8">
        <v>14</v>
      </c>
      <c r="E4" s="8">
        <v>55</v>
      </c>
      <c r="F4" s="8">
        <v>770</v>
      </c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 s="5"/>
      <c r="XBL4" s="5"/>
      <c r="XBM4" s="5"/>
      <c r="XBN4" s="5"/>
      <c r="XBO4" s="5"/>
      <c r="XBP4" s="5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  <c r="XEB4" s="5"/>
      <c r="XEC4" s="5"/>
      <c r="XED4" s="5"/>
      <c r="XEE4" s="5"/>
      <c r="XEF4" s="5"/>
    </row>
    <row r="5" s="1" customFormat="1" ht="16.5" spans="1:6 16248:16360">
      <c r="A5" s="8">
        <v>3</v>
      </c>
      <c r="B5" s="9" t="s">
        <v>69</v>
      </c>
      <c r="C5" s="8">
        <v>126</v>
      </c>
      <c r="D5" s="8">
        <v>14</v>
      </c>
      <c r="E5" s="8">
        <v>49.5</v>
      </c>
      <c r="F5" s="8">
        <v>693</v>
      </c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 s="5"/>
      <c r="XBL5" s="5"/>
      <c r="XBM5" s="5"/>
      <c r="XBN5" s="5"/>
      <c r="XBO5" s="5"/>
      <c r="XBP5" s="5"/>
      <c r="XBQ5" s="5"/>
      <c r="XBR5" s="5"/>
      <c r="XBS5" s="5"/>
      <c r="XBT5" s="5"/>
      <c r="XBU5" s="5"/>
      <c r="XBV5" s="5"/>
      <c r="XBW5" s="5"/>
      <c r="XBX5" s="5"/>
      <c r="XBY5" s="5"/>
      <c r="XBZ5" s="5"/>
      <c r="XCA5" s="5"/>
      <c r="XCB5" s="5"/>
      <c r="XCC5" s="5"/>
      <c r="XCD5" s="5"/>
      <c r="XCE5" s="5"/>
      <c r="XCF5" s="5"/>
      <c r="XCG5" s="5"/>
      <c r="XCH5" s="5"/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  <c r="XDE5" s="5"/>
      <c r="XDF5" s="5"/>
      <c r="XDG5" s="5"/>
      <c r="XDH5" s="5"/>
      <c r="XDI5" s="5"/>
      <c r="XDJ5" s="5"/>
      <c r="XDK5" s="5"/>
      <c r="XDL5" s="5"/>
      <c r="XDM5" s="5"/>
      <c r="XDN5" s="5"/>
      <c r="XDO5" s="5"/>
      <c r="XDP5" s="5"/>
      <c r="XDQ5" s="5"/>
      <c r="XDR5" s="5"/>
      <c r="XDS5" s="5"/>
      <c r="XDT5" s="5"/>
      <c r="XDU5" s="5"/>
      <c r="XDV5" s="5"/>
      <c r="XDW5" s="5"/>
      <c r="XDX5" s="5"/>
      <c r="XDY5" s="5"/>
      <c r="XDZ5" s="5"/>
      <c r="XEA5" s="5"/>
      <c r="XEB5" s="5"/>
      <c r="XEC5" s="5"/>
      <c r="XED5" s="5"/>
      <c r="XEE5" s="5"/>
      <c r="XEF5" s="5"/>
    </row>
    <row r="6" s="1" customFormat="1" ht="16.5" spans="1:6 16248:16360">
      <c r="A6" s="8">
        <v>4</v>
      </c>
      <c r="B6" s="9" t="s">
        <v>70</v>
      </c>
      <c r="C6" s="8">
        <v>3</v>
      </c>
      <c r="D6" s="8">
        <v>1</v>
      </c>
      <c r="E6" s="8">
        <v>16.5</v>
      </c>
      <c r="F6" s="8">
        <v>16.5</v>
      </c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 s="5"/>
      <c r="XBL6" s="5"/>
      <c r="XBM6" s="5"/>
      <c r="XBN6" s="5"/>
      <c r="XBO6" s="5"/>
      <c r="XBP6" s="5"/>
      <c r="XBQ6" s="5"/>
      <c r="XBR6" s="5"/>
      <c r="XBS6" s="5"/>
      <c r="XBT6" s="5"/>
      <c r="XBU6" s="5"/>
      <c r="XBV6" s="5"/>
      <c r="XBW6" s="5"/>
      <c r="XBX6" s="5"/>
      <c r="XBY6" s="5"/>
      <c r="XBZ6" s="5"/>
      <c r="XCA6" s="5"/>
      <c r="XCB6" s="5"/>
      <c r="XCC6" s="5"/>
      <c r="XCD6" s="5"/>
      <c r="XCE6" s="5"/>
      <c r="XCF6" s="5"/>
      <c r="XCG6" s="5"/>
      <c r="XCH6" s="5"/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  <c r="XDE6" s="5"/>
      <c r="XDF6" s="5"/>
      <c r="XDG6" s="5"/>
      <c r="XDH6" s="5"/>
      <c r="XDI6" s="5"/>
      <c r="XDJ6" s="5"/>
      <c r="XDK6" s="5"/>
      <c r="XDL6" s="5"/>
      <c r="XDM6" s="5"/>
      <c r="XDN6" s="5"/>
      <c r="XDO6" s="5"/>
      <c r="XDP6" s="5"/>
      <c r="XDQ6" s="5"/>
      <c r="XDR6" s="5"/>
      <c r="XDS6" s="5"/>
      <c r="XDT6" s="5"/>
      <c r="XDU6" s="5"/>
      <c r="XDV6" s="5"/>
      <c r="XDW6" s="5"/>
      <c r="XDX6" s="5"/>
      <c r="XDY6" s="5"/>
      <c r="XDZ6" s="5"/>
      <c r="XEA6" s="5"/>
      <c r="XEB6" s="5"/>
      <c r="XEC6" s="5"/>
      <c r="XED6" s="5"/>
      <c r="XEE6" s="5"/>
      <c r="XEF6" s="5"/>
    </row>
    <row r="7" s="1" customFormat="1" ht="16.5" spans="1:6 16248:16360">
      <c r="A7" s="8">
        <v>5</v>
      </c>
      <c r="B7" s="9" t="s">
        <v>71</v>
      </c>
      <c r="C7" s="8">
        <v>3</v>
      </c>
      <c r="D7" s="8">
        <v>1</v>
      </c>
      <c r="E7" s="8">
        <v>16.5</v>
      </c>
      <c r="F7" s="8">
        <v>16.5</v>
      </c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 s="5"/>
      <c r="XBL7" s="5"/>
      <c r="XBM7" s="5"/>
      <c r="XBN7" s="5"/>
      <c r="XBO7" s="5"/>
      <c r="XBP7" s="5"/>
      <c r="XBQ7" s="5"/>
      <c r="XBR7" s="5"/>
      <c r="XBS7" s="5"/>
      <c r="XBT7" s="5"/>
      <c r="XBU7" s="5"/>
      <c r="XBV7" s="5"/>
      <c r="XBW7" s="5"/>
      <c r="XBX7" s="5"/>
      <c r="XBY7" s="5"/>
      <c r="XBZ7" s="5"/>
      <c r="XCA7" s="5"/>
      <c r="XCB7" s="5"/>
      <c r="XCC7" s="5"/>
      <c r="XCD7" s="5"/>
      <c r="XCE7" s="5"/>
      <c r="XCF7" s="5"/>
      <c r="XCG7" s="5"/>
      <c r="XCH7" s="5"/>
      <c r="XCI7" s="5"/>
      <c r="XCJ7" s="5"/>
      <c r="XCK7" s="5"/>
      <c r="XCL7" s="5"/>
      <c r="XCM7" s="5"/>
      <c r="XCN7" s="5"/>
      <c r="XCO7" s="5"/>
      <c r="XCP7" s="5"/>
      <c r="XCQ7" s="5"/>
      <c r="XCR7" s="5"/>
      <c r="XCS7" s="5"/>
      <c r="XCT7" s="5"/>
      <c r="XCU7" s="5"/>
      <c r="XCV7" s="5"/>
      <c r="XCW7" s="5"/>
      <c r="XCX7" s="5"/>
      <c r="XCY7" s="5"/>
      <c r="XCZ7" s="5"/>
      <c r="XDA7" s="5"/>
      <c r="XDB7" s="5"/>
      <c r="XDC7" s="5"/>
      <c r="XDD7" s="5"/>
      <c r="XDE7" s="5"/>
      <c r="XDF7" s="5"/>
      <c r="XDG7" s="5"/>
      <c r="XDH7" s="5"/>
      <c r="XDI7" s="5"/>
      <c r="XDJ7" s="5"/>
      <c r="XDK7" s="5"/>
      <c r="XDL7" s="5"/>
      <c r="XDM7" s="5"/>
      <c r="XDN7" s="5"/>
      <c r="XDO7" s="5"/>
      <c r="XDP7" s="5"/>
      <c r="XDQ7" s="5"/>
      <c r="XDR7" s="5"/>
      <c r="XDS7" s="5"/>
      <c r="XDT7" s="5"/>
      <c r="XDU7" s="5"/>
      <c r="XDV7" s="5"/>
      <c r="XDW7" s="5"/>
      <c r="XDX7" s="5"/>
      <c r="XDY7" s="5"/>
      <c r="XDZ7" s="5"/>
      <c r="XEA7" s="5"/>
      <c r="XEB7" s="5"/>
      <c r="XEC7" s="5"/>
      <c r="XED7" s="5"/>
      <c r="XEE7" s="5"/>
      <c r="XEF7" s="5"/>
    </row>
    <row r="8" s="1" customFormat="1" ht="16.5" spans="1:6 16248:16360">
      <c r="A8" s="8">
        <v>6</v>
      </c>
      <c r="B8" s="9" t="s">
        <v>72</v>
      </c>
      <c r="C8" s="8">
        <v>3</v>
      </c>
      <c r="D8" s="8">
        <v>1</v>
      </c>
      <c r="E8" s="8">
        <v>16.5</v>
      </c>
      <c r="F8" s="8">
        <v>16.5</v>
      </c>
      <c r="WZX8"/>
      <c r="WZY8"/>
      <c r="WZZ8"/>
      <c r="XAA8"/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/>
      <c r="XBK8" s="5"/>
      <c r="XBL8" s="5"/>
      <c r="XBM8" s="5"/>
      <c r="XBN8" s="5"/>
      <c r="XBO8" s="5"/>
      <c r="XBP8" s="5"/>
      <c r="XBQ8" s="5"/>
      <c r="XBR8" s="5"/>
      <c r="XBS8" s="5"/>
      <c r="XBT8" s="5"/>
      <c r="XBU8" s="5"/>
      <c r="XBV8" s="5"/>
      <c r="XBW8" s="5"/>
      <c r="XBX8" s="5"/>
      <c r="XBY8" s="5"/>
      <c r="XBZ8" s="5"/>
      <c r="XCA8" s="5"/>
      <c r="XCB8" s="5"/>
      <c r="XCC8" s="5"/>
      <c r="XCD8" s="5"/>
      <c r="XCE8" s="5"/>
      <c r="XCF8" s="5"/>
      <c r="XCG8" s="5"/>
      <c r="XCH8" s="5"/>
      <c r="XCI8" s="5"/>
      <c r="XCJ8" s="5"/>
      <c r="XCK8" s="5"/>
      <c r="XCL8" s="5"/>
      <c r="XCM8" s="5"/>
      <c r="XCN8" s="5"/>
      <c r="XCO8" s="5"/>
      <c r="XCP8" s="5"/>
      <c r="XCQ8" s="5"/>
      <c r="XCR8" s="5"/>
      <c r="XCS8" s="5"/>
      <c r="XCT8" s="5"/>
      <c r="XCU8" s="5"/>
      <c r="XCV8" s="5"/>
      <c r="XCW8" s="5"/>
      <c r="XCX8" s="5"/>
      <c r="XCY8" s="5"/>
      <c r="XCZ8" s="5"/>
      <c r="XDA8" s="5"/>
      <c r="XDB8" s="5"/>
      <c r="XDC8" s="5"/>
      <c r="XDD8" s="5"/>
      <c r="XDE8" s="5"/>
      <c r="XDF8" s="5"/>
      <c r="XDG8" s="5"/>
      <c r="XDH8" s="5"/>
      <c r="XDI8" s="5"/>
      <c r="XDJ8" s="5"/>
      <c r="XDK8" s="5"/>
      <c r="XDL8" s="5"/>
      <c r="XDM8" s="5"/>
      <c r="XDN8" s="5"/>
      <c r="XDO8" s="5"/>
      <c r="XDP8" s="5"/>
      <c r="XDQ8" s="5"/>
      <c r="XDR8" s="5"/>
      <c r="XDS8" s="5"/>
      <c r="XDT8" s="5"/>
      <c r="XDU8" s="5"/>
      <c r="XDV8" s="5"/>
      <c r="XDW8" s="5"/>
      <c r="XDX8" s="5"/>
      <c r="XDY8" s="5"/>
      <c r="XDZ8" s="5"/>
      <c r="XEA8" s="5"/>
      <c r="XEB8" s="5"/>
      <c r="XEC8" s="5"/>
      <c r="XED8" s="5"/>
      <c r="XEE8" s="5"/>
      <c r="XEF8" s="5"/>
    </row>
    <row r="9" s="1" customFormat="1" ht="16.5" spans="1:6 16248:16360">
      <c r="A9" s="8">
        <v>7</v>
      </c>
      <c r="B9" s="9" t="s">
        <v>73</v>
      </c>
      <c r="C9" s="8">
        <v>3</v>
      </c>
      <c r="D9" s="8">
        <v>1</v>
      </c>
      <c r="E9" s="8">
        <v>16.5</v>
      </c>
      <c r="F9" s="8">
        <v>16.5</v>
      </c>
      <c r="WZX9"/>
      <c r="WZY9"/>
      <c r="WZZ9"/>
      <c r="XAA9"/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</row>
    <row r="10" s="1" customFormat="1" ht="16.5" spans="1:6 16248:16360">
      <c r="A10" s="8">
        <v>8</v>
      </c>
      <c r="B10" s="9" t="s">
        <v>74</v>
      </c>
      <c r="C10" s="8">
        <v>135</v>
      </c>
      <c r="D10" s="8">
        <v>15</v>
      </c>
      <c r="E10" s="8">
        <v>49.5</v>
      </c>
      <c r="F10" s="8">
        <v>742.5</v>
      </c>
      <c r="WZX10"/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 s="5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</row>
    <row r="11" s="1" customFormat="1" ht="16.5" spans="1:6 16248:16360">
      <c r="A11" s="8">
        <v>9</v>
      </c>
      <c r="B11" s="9" t="s">
        <v>75</v>
      </c>
      <c r="C11" s="8">
        <v>2</v>
      </c>
      <c r="D11" s="8">
        <v>2</v>
      </c>
      <c r="E11" s="8">
        <v>26.5</v>
      </c>
      <c r="F11" s="8">
        <v>53</v>
      </c>
      <c r="WZX11"/>
      <c r="WZY11"/>
      <c r="WZZ11"/>
      <c r="XAA11"/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/>
      <c r="XBK11" s="5"/>
      <c r="XBL11" s="5"/>
      <c r="XBM11" s="5"/>
      <c r="XBN11" s="5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  <c r="XEF11" s="5"/>
    </row>
    <row r="12" s="1" customFormat="1" ht="16.5" spans="1:6 16248:16360">
      <c r="A12" s="8">
        <v>10</v>
      </c>
      <c r="B12" s="9" t="s">
        <v>76</v>
      </c>
      <c r="C12" s="8">
        <v>6</v>
      </c>
      <c r="D12" s="8">
        <v>1</v>
      </c>
      <c r="E12" s="8">
        <v>33</v>
      </c>
      <c r="F12" s="8">
        <v>33</v>
      </c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</row>
    <row r="13" s="1" customFormat="1" ht="16.5" spans="1:6 16248:16360">
      <c r="A13" s="8">
        <v>11</v>
      </c>
      <c r="B13" s="9" t="s">
        <v>77</v>
      </c>
      <c r="C13" s="8">
        <v>220</v>
      </c>
      <c r="D13" s="8">
        <v>22</v>
      </c>
      <c r="E13" s="8">
        <v>55</v>
      </c>
      <c r="F13" s="8">
        <v>1210</v>
      </c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 s="5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</row>
    <row r="14" s="1" customFormat="1" ht="16.5" spans="1:6 16248:16360">
      <c r="A14" s="8">
        <v>12</v>
      </c>
      <c r="B14" s="9" t="s">
        <v>78</v>
      </c>
      <c r="C14" s="8">
        <v>9</v>
      </c>
      <c r="D14" s="8">
        <v>1</v>
      </c>
      <c r="E14" s="8">
        <v>49.5</v>
      </c>
      <c r="F14" s="8">
        <v>49.5</v>
      </c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 s="5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</row>
    <row r="15" s="1" customFormat="1" ht="16.5" spans="1:6 16248:16360">
      <c r="A15" s="8">
        <v>13</v>
      </c>
      <c r="B15" s="9" t="s">
        <v>79</v>
      </c>
      <c r="C15" s="8">
        <v>10</v>
      </c>
      <c r="D15" s="8">
        <v>1</v>
      </c>
      <c r="E15" s="8">
        <v>55</v>
      </c>
      <c r="F15" s="8">
        <v>55</v>
      </c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</row>
    <row r="16" s="1" customFormat="1" ht="16.5" spans="1:6 16248:16360">
      <c r="A16" s="8">
        <v>14</v>
      </c>
      <c r="B16" s="9" t="s">
        <v>80</v>
      </c>
      <c r="C16" s="8">
        <v>30</v>
      </c>
      <c r="D16" s="8">
        <v>3</v>
      </c>
      <c r="E16" s="8">
        <v>55</v>
      </c>
      <c r="F16" s="8">
        <v>165</v>
      </c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 s="5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</row>
    <row r="17" s="1" customFormat="1" ht="16.5" spans="1:6 16248:16362">
      <c r="A17" s="8">
        <v>15</v>
      </c>
      <c r="B17" s="9" t="s">
        <v>81</v>
      </c>
      <c r="C17" s="8">
        <v>45</v>
      </c>
      <c r="D17" s="8">
        <v>5</v>
      </c>
      <c r="E17" s="8">
        <v>49.5</v>
      </c>
      <c r="F17" s="8">
        <v>247.5</v>
      </c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</row>
    <row r="18" s="1" customFormat="1" ht="16.5" spans="1:6 16248:16362">
      <c r="A18" s="8">
        <v>16</v>
      </c>
      <c r="B18" s="9" t="s">
        <v>82</v>
      </c>
      <c r="C18" s="8">
        <v>7</v>
      </c>
      <c r="D18" s="8">
        <v>1</v>
      </c>
      <c r="E18" s="8">
        <v>38.5</v>
      </c>
      <c r="F18" s="8">
        <v>38.5</v>
      </c>
      <c r="WZX18"/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 s="5"/>
      <c r="XBL18" s="5"/>
      <c r="XBM18" s="5"/>
      <c r="XBN18" s="5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</row>
    <row r="19" s="1" customFormat="1" ht="16.5" spans="1:6 16248:16362">
      <c r="A19" s="8">
        <v>17</v>
      </c>
      <c r="B19" s="9" t="s">
        <v>83</v>
      </c>
      <c r="C19" s="8">
        <v>76</v>
      </c>
      <c r="D19" s="8">
        <v>2</v>
      </c>
      <c r="E19" s="8">
        <v>209</v>
      </c>
      <c r="F19" s="8">
        <v>418</v>
      </c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 s="5"/>
      <c r="XBL19" s="5"/>
      <c r="XBM19" s="5"/>
      <c r="XBN19" s="5"/>
      <c r="XBO19" s="5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  <c r="XEF19" s="5"/>
    </row>
    <row r="20" s="1" customFormat="1" ht="16.5" spans="1:6 16248:16362">
      <c r="A20" s="8">
        <v>18</v>
      </c>
      <c r="B20" s="9" t="s">
        <v>84</v>
      </c>
      <c r="C20" s="8">
        <v>1</v>
      </c>
      <c r="D20" s="8">
        <v>1</v>
      </c>
      <c r="E20" s="8">
        <v>8</v>
      </c>
      <c r="F20" s="8">
        <v>8</v>
      </c>
      <c r="WZX20"/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 s="5"/>
      <c r="XBL20" s="5"/>
      <c r="XBM20" s="5"/>
      <c r="XBN20" s="5"/>
      <c r="XBO20" s="5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  <c r="XEE20" s="5"/>
      <c r="XEF20" s="5"/>
    </row>
    <row r="21" s="1" customFormat="1" ht="16.5" spans="1:6 16248:16362">
      <c r="A21" s="8">
        <v>19</v>
      </c>
      <c r="B21" s="9" t="s">
        <v>85</v>
      </c>
      <c r="C21" s="8">
        <v>27</v>
      </c>
      <c r="D21" s="8">
        <v>3</v>
      </c>
      <c r="E21" s="8">
        <v>49.5</v>
      </c>
      <c r="F21" s="8">
        <v>148.5</v>
      </c>
      <c r="WZX21"/>
      <c r="WZY21"/>
      <c r="WZZ21"/>
      <c r="XAA21"/>
      <c r="XAB21"/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/>
      <c r="XBJ21"/>
      <c r="XBK21" s="5"/>
      <c r="XBL21" s="5"/>
      <c r="XBM21" s="5"/>
      <c r="XBN21" s="5"/>
      <c r="XBO21" s="5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  <c r="XEE21" s="5"/>
      <c r="XEF21" s="5"/>
    </row>
    <row r="22" s="1" customFormat="1" ht="16.5" spans="1:6 16248:16362">
      <c r="A22" s="8">
        <v>20</v>
      </c>
      <c r="B22" s="9" t="s">
        <v>7</v>
      </c>
      <c r="C22" s="8">
        <v>494</v>
      </c>
      <c r="D22" s="8">
        <v>247</v>
      </c>
      <c r="E22" s="8">
        <v>16.5</v>
      </c>
      <c r="F22" s="8">
        <v>4075.5</v>
      </c>
      <c r="WZX22"/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 s="5"/>
      <c r="XBL22" s="5"/>
      <c r="XBM22" s="5"/>
      <c r="XBN22" s="5"/>
      <c r="XBO22" s="5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  <c r="XEE22" s="5"/>
      <c r="XEF22" s="5"/>
    </row>
    <row r="23" s="1" customFormat="1" ht="16.5" spans="1:6 16248:16362">
      <c r="A23" s="8">
        <v>21</v>
      </c>
      <c r="B23" s="9" t="s">
        <v>9</v>
      </c>
      <c r="C23" s="8">
        <v>1</v>
      </c>
      <c r="D23" s="8">
        <v>1</v>
      </c>
      <c r="E23" s="8">
        <v>16.5</v>
      </c>
      <c r="F23" s="8">
        <v>16.5</v>
      </c>
      <c r="WZX23"/>
      <c r="WZY23"/>
      <c r="WZZ23"/>
      <c r="XAA23"/>
      <c r="XAB23"/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/>
      <c r="XBJ23"/>
      <c r="XBK23" s="5"/>
      <c r="XBL23" s="5"/>
      <c r="XBM23" s="5"/>
      <c r="XBN23" s="5"/>
      <c r="XBO23" s="5"/>
      <c r="XBP23" s="5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  <c r="XEE23" s="5"/>
      <c r="XEF23" s="5"/>
    </row>
    <row r="24" s="1" customFormat="1" ht="16.5" spans="1:6 16248:16362">
      <c r="A24" s="8">
        <v>22</v>
      </c>
      <c r="B24" s="9" t="s">
        <v>86</v>
      </c>
      <c r="C24" s="8">
        <v>2</v>
      </c>
      <c r="D24" s="8">
        <v>1</v>
      </c>
      <c r="E24" s="8">
        <v>16.5</v>
      </c>
      <c r="F24" s="8">
        <v>16.5</v>
      </c>
      <c r="WZX24"/>
      <c r="WZY24"/>
      <c r="WZZ24"/>
      <c r="XAA24"/>
      <c r="XAB24"/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/>
      <c r="XBJ24"/>
      <c r="XBK24" s="5"/>
      <c r="XBL24" s="5"/>
      <c r="XBM24" s="5"/>
      <c r="XBN24" s="5"/>
      <c r="XBO24" s="5"/>
      <c r="XBP24" s="5"/>
      <c r="XBQ24" s="5"/>
      <c r="XBR24" s="5"/>
      <c r="XBS24" s="5"/>
      <c r="XBT24" s="5"/>
      <c r="XBU24" s="5"/>
      <c r="XBV24" s="5"/>
      <c r="XBW24" s="5"/>
      <c r="XBX24" s="5"/>
      <c r="XBY24" s="5"/>
      <c r="XBZ24" s="5"/>
      <c r="XCA24" s="5"/>
      <c r="XCB24" s="5"/>
      <c r="XCC24" s="5"/>
      <c r="XCD24" s="5"/>
      <c r="XCE24" s="5"/>
      <c r="XCF24" s="5"/>
      <c r="XCG24" s="5"/>
      <c r="XCH24" s="5"/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  <c r="XEC24" s="5"/>
      <c r="XED24" s="5"/>
      <c r="XEE24" s="5"/>
      <c r="XEF24" s="5"/>
    </row>
    <row r="25" s="1" customFormat="1" ht="16.5" spans="1:6 16248:16362">
      <c r="A25" s="8">
        <v>23</v>
      </c>
      <c r="B25" s="9" t="s">
        <v>87</v>
      </c>
      <c r="C25" s="8">
        <v>8</v>
      </c>
      <c r="D25" s="8">
        <v>4</v>
      </c>
      <c r="E25" s="8">
        <v>13.5</v>
      </c>
      <c r="F25" s="8">
        <v>54</v>
      </c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 s="5"/>
      <c r="XBL25" s="5"/>
      <c r="XBM25" s="5"/>
      <c r="XBN25" s="5"/>
      <c r="XBO25" s="5"/>
      <c r="XBP25" s="5"/>
      <c r="XBQ25" s="5"/>
      <c r="XBR25" s="5"/>
      <c r="XBS25" s="5"/>
      <c r="XBT25" s="5"/>
      <c r="XBU25" s="5"/>
      <c r="XBV25" s="5"/>
      <c r="XBW25" s="5"/>
      <c r="XBX25" s="5"/>
      <c r="XBY25" s="5"/>
      <c r="XBZ25" s="5"/>
      <c r="XCA25" s="5"/>
      <c r="XCB25" s="5"/>
      <c r="XCC25" s="5"/>
      <c r="XCD25" s="5"/>
      <c r="XCE25" s="5"/>
      <c r="XCF25" s="5"/>
      <c r="XCG25" s="5"/>
      <c r="XCH25" s="5"/>
      <c r="XCI25" s="5"/>
      <c r="XCJ25" s="5"/>
      <c r="XCK25" s="5"/>
      <c r="XCL25" s="5"/>
      <c r="XCM25" s="5"/>
      <c r="XCN25" s="5"/>
      <c r="XCO25" s="5"/>
      <c r="XCP25" s="5"/>
      <c r="XCQ25" s="5"/>
      <c r="XCR25" s="5"/>
      <c r="XCS25" s="5"/>
      <c r="XCT25" s="5"/>
      <c r="XCU25" s="5"/>
      <c r="XCV25" s="5"/>
      <c r="XCW25" s="5"/>
      <c r="XCX25" s="5"/>
      <c r="XCY25" s="5"/>
      <c r="XCZ25" s="5"/>
      <c r="XDA25" s="5"/>
      <c r="XDB25" s="5"/>
      <c r="XDC25" s="5"/>
      <c r="XDD25" s="5"/>
      <c r="XDE25" s="5"/>
      <c r="XDF25" s="5"/>
      <c r="XDG25" s="5"/>
      <c r="XDH25" s="5"/>
      <c r="XDI25" s="5"/>
      <c r="XDJ25" s="5"/>
      <c r="XDK25" s="5"/>
      <c r="XDL25" s="5"/>
      <c r="XDM25" s="5"/>
      <c r="XDN25" s="5"/>
      <c r="XDO25" s="5"/>
      <c r="XDP25" s="5"/>
      <c r="XDQ25" s="5"/>
      <c r="XDR25" s="5"/>
      <c r="XDS25" s="5"/>
      <c r="XDT25" s="5"/>
      <c r="XDU25" s="5"/>
      <c r="XDV25" s="5"/>
      <c r="XDW25" s="5"/>
      <c r="XDX25" s="5"/>
      <c r="XDY25" s="5"/>
      <c r="XDZ25" s="5"/>
      <c r="XEA25" s="5"/>
      <c r="XEB25" s="5"/>
      <c r="XEC25" s="5"/>
      <c r="XED25" s="5"/>
      <c r="XEE25" s="5"/>
      <c r="XEF25" s="5"/>
    </row>
    <row r="26" s="1" customFormat="1" ht="16.5" spans="1:6 16248:16362">
      <c r="A26" s="8">
        <v>24</v>
      </c>
      <c r="B26" s="9" t="s">
        <v>88</v>
      </c>
      <c r="C26" s="8">
        <v>18</v>
      </c>
      <c r="D26" s="8">
        <v>6</v>
      </c>
      <c r="E26" s="8">
        <v>16.5</v>
      </c>
      <c r="F26" s="8">
        <v>99</v>
      </c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 s="5"/>
      <c r="XBL26" s="5"/>
      <c r="XBM26" s="5"/>
      <c r="XBN26" s="5"/>
      <c r="XBO26" s="5"/>
      <c r="XBP26" s="5"/>
      <c r="XBQ26" s="5"/>
      <c r="XBR26" s="5"/>
      <c r="XBS26" s="5"/>
      <c r="XBT26" s="5"/>
      <c r="XBU26" s="5"/>
      <c r="XBV26" s="5"/>
      <c r="XBW26" s="5"/>
      <c r="XBX26" s="5"/>
      <c r="XBY26" s="5"/>
      <c r="XBZ26" s="5"/>
      <c r="XCA26" s="5"/>
      <c r="XCB26" s="5"/>
      <c r="XCC26" s="5"/>
      <c r="XCD26" s="5"/>
      <c r="XCE26" s="5"/>
      <c r="XCF26" s="5"/>
      <c r="XCG26" s="5"/>
      <c r="XCH26" s="5"/>
      <c r="XCI26" s="5"/>
      <c r="XCJ26" s="5"/>
      <c r="XCK26" s="5"/>
      <c r="XCL26" s="5"/>
      <c r="XCM26" s="5"/>
      <c r="XCN26" s="5"/>
      <c r="XCO26" s="5"/>
      <c r="XCP26" s="5"/>
      <c r="XCQ26" s="5"/>
      <c r="XCR26" s="5"/>
      <c r="XCS26" s="5"/>
      <c r="XCT26" s="5"/>
      <c r="XCU26" s="5"/>
      <c r="XCV26" s="5"/>
      <c r="XCW26" s="5"/>
      <c r="XCX26" s="5"/>
      <c r="XCY26" s="5"/>
      <c r="XCZ26" s="5"/>
      <c r="XDA26" s="5"/>
      <c r="XDB26" s="5"/>
      <c r="XDC26" s="5"/>
      <c r="XDD26" s="5"/>
      <c r="XDE26" s="5"/>
      <c r="XDF26" s="5"/>
      <c r="XDG26" s="5"/>
      <c r="XDH26" s="5"/>
      <c r="XDI26" s="5"/>
      <c r="XDJ26" s="5"/>
      <c r="XDK26" s="5"/>
      <c r="XDL26" s="5"/>
      <c r="XDM26" s="5"/>
      <c r="XDN26" s="5"/>
      <c r="XDO26" s="5"/>
      <c r="XDP26" s="5"/>
      <c r="XDQ26" s="5"/>
      <c r="XDR26" s="5"/>
      <c r="XDS26" s="5"/>
      <c r="XDT26" s="5"/>
      <c r="XDU26" s="5"/>
      <c r="XDV26" s="5"/>
      <c r="XDW26" s="5"/>
      <c r="XDX26" s="5"/>
      <c r="XDY26" s="5"/>
      <c r="XDZ26" s="5"/>
      <c r="XEA26" s="5"/>
      <c r="XEB26" s="5"/>
      <c r="XEC26" s="5"/>
      <c r="XED26" s="5"/>
      <c r="XEE26" s="5"/>
      <c r="XEF26" s="5"/>
    </row>
    <row r="27" s="1" customFormat="1" ht="16.5" spans="1:6 16248:16362">
      <c r="A27" s="8">
        <v>25</v>
      </c>
      <c r="B27" s="9" t="s">
        <v>89</v>
      </c>
      <c r="C27" s="8">
        <v>1</v>
      </c>
      <c r="D27" s="8">
        <v>1</v>
      </c>
      <c r="E27" s="8">
        <v>16.5</v>
      </c>
      <c r="F27" s="8">
        <v>16.5</v>
      </c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 s="5"/>
      <c r="XBL27" s="5"/>
      <c r="XBM27" s="5"/>
      <c r="XBN27" s="5"/>
      <c r="XBO27" s="5"/>
      <c r="XBP27" s="5"/>
      <c r="XBQ27" s="5"/>
      <c r="XBR27" s="5"/>
      <c r="XBS27" s="5"/>
      <c r="XBT27" s="5"/>
      <c r="XBU27" s="5"/>
      <c r="XBV27" s="5"/>
      <c r="XBW27" s="5"/>
      <c r="XBX27" s="5"/>
      <c r="XBY27" s="5"/>
      <c r="XBZ27" s="5"/>
      <c r="XCA27" s="5"/>
      <c r="XCB27" s="5"/>
      <c r="XCC27" s="5"/>
      <c r="XCD27" s="5"/>
      <c r="XCE27" s="5"/>
      <c r="XCF27" s="5"/>
      <c r="XCG27" s="5"/>
      <c r="XCH27" s="5"/>
      <c r="XCI27" s="5"/>
      <c r="XCJ27" s="5"/>
      <c r="XCK27" s="5"/>
      <c r="XCL27" s="5"/>
      <c r="XCM27" s="5"/>
      <c r="XCN27" s="5"/>
      <c r="XCO27" s="5"/>
      <c r="XCP27" s="5"/>
      <c r="XCQ27" s="5"/>
      <c r="XCR27" s="5"/>
      <c r="XCS27" s="5"/>
      <c r="XCT27" s="5"/>
      <c r="XCU27" s="5"/>
      <c r="XCV27" s="5"/>
      <c r="XCW27" s="5"/>
      <c r="XCX27" s="5"/>
      <c r="XCY27" s="5"/>
      <c r="XCZ27" s="5"/>
      <c r="XDA27" s="5"/>
      <c r="XDB27" s="5"/>
      <c r="XDC27" s="5"/>
      <c r="XDD27" s="5"/>
      <c r="XDE27" s="5"/>
      <c r="XDF27" s="5"/>
      <c r="XDG27" s="5"/>
      <c r="XDH27" s="5"/>
      <c r="XDI27" s="5"/>
      <c r="XDJ27" s="5"/>
      <c r="XDK27" s="5"/>
      <c r="XDL27" s="5"/>
      <c r="XDM27" s="5"/>
      <c r="XDN27" s="5"/>
      <c r="XDO27" s="5"/>
      <c r="XDP27" s="5"/>
      <c r="XDQ27" s="5"/>
      <c r="XDR27" s="5"/>
      <c r="XDS27" s="5"/>
      <c r="XDT27" s="5"/>
      <c r="XDU27" s="5"/>
      <c r="XDV27" s="5"/>
      <c r="XDW27" s="5"/>
      <c r="XDX27" s="5"/>
      <c r="XDY27" s="5"/>
      <c r="XDZ27" s="5"/>
      <c r="XEA27" s="5"/>
      <c r="XEB27" s="5"/>
      <c r="XEC27" s="5"/>
      <c r="XED27" s="5"/>
      <c r="XEE27" s="5"/>
      <c r="XEF27" s="5"/>
    </row>
    <row r="28" s="1" customFormat="1" ht="16.5" spans="1:6 16248:16362">
      <c r="A28" s="8">
        <v>26</v>
      </c>
      <c r="B28" s="9" t="s">
        <v>90</v>
      </c>
      <c r="C28" s="8">
        <v>33</v>
      </c>
      <c r="D28" s="8">
        <v>33</v>
      </c>
      <c r="E28" s="8">
        <v>16.5</v>
      </c>
      <c r="F28" s="8">
        <v>544.5</v>
      </c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 s="5"/>
      <c r="XBL28" s="5"/>
      <c r="XBM28" s="5"/>
      <c r="XBN28" s="5"/>
      <c r="XBO28" s="5"/>
      <c r="XBP28" s="5"/>
      <c r="XBQ28" s="5"/>
      <c r="XBR28" s="5"/>
      <c r="XBS28" s="5"/>
      <c r="XBT28" s="5"/>
      <c r="XBU28" s="5"/>
      <c r="XBV28" s="5"/>
      <c r="XBW28" s="5"/>
      <c r="XBX28" s="5"/>
      <c r="XBY28" s="5"/>
      <c r="XBZ28" s="5"/>
      <c r="XCA28" s="5"/>
      <c r="XCB28" s="5"/>
      <c r="XCC28" s="5"/>
      <c r="XCD28" s="5"/>
      <c r="XCE28" s="5"/>
      <c r="XCF28" s="5"/>
      <c r="XCG28" s="5"/>
      <c r="XCH28" s="5"/>
      <c r="XCI28" s="5"/>
      <c r="XCJ28" s="5"/>
      <c r="XCK28" s="5"/>
      <c r="XCL28" s="5"/>
      <c r="XCM28" s="5"/>
      <c r="XCN28" s="5"/>
      <c r="XCO28" s="5"/>
      <c r="XCP28" s="5"/>
      <c r="XCQ28" s="5"/>
      <c r="XCR28" s="5"/>
      <c r="XCS28" s="5"/>
      <c r="XCT28" s="5"/>
      <c r="XCU28" s="5"/>
      <c r="XCV28" s="5"/>
      <c r="XCW28" s="5"/>
      <c r="XCX28" s="5"/>
      <c r="XCY28" s="5"/>
      <c r="XCZ28" s="5"/>
      <c r="XDA28" s="5"/>
      <c r="XDB28" s="5"/>
      <c r="XDC28" s="5"/>
      <c r="XDD28" s="5"/>
      <c r="XDE28" s="5"/>
      <c r="XDF28" s="5"/>
      <c r="XDG28" s="5"/>
      <c r="XDH28" s="5"/>
      <c r="XDI28" s="5"/>
      <c r="XDJ28" s="5"/>
      <c r="XDK28" s="5"/>
      <c r="XDL28" s="5"/>
      <c r="XDM28" s="5"/>
      <c r="XDN28" s="5"/>
      <c r="XDO28" s="5"/>
      <c r="XDP28" s="5"/>
      <c r="XDQ28" s="5"/>
      <c r="XDR28" s="5"/>
      <c r="XDS28" s="5"/>
      <c r="XDT28" s="5"/>
      <c r="XDU28" s="5"/>
      <c r="XDV28" s="5"/>
      <c r="XDW28" s="5"/>
      <c r="XDX28" s="5"/>
      <c r="XDY28" s="5"/>
      <c r="XDZ28" s="5"/>
      <c r="XEA28" s="5"/>
      <c r="XEB28" s="5"/>
      <c r="XEC28" s="5"/>
      <c r="XED28" s="5"/>
      <c r="XEE28" s="5"/>
      <c r="XEF28" s="5"/>
    </row>
    <row r="29" s="1" customFormat="1" ht="16.5" spans="1:6 16248:16362">
      <c r="A29" s="8">
        <v>27</v>
      </c>
      <c r="B29" s="10" t="s">
        <v>91</v>
      </c>
      <c r="C29" s="8">
        <v>20</v>
      </c>
      <c r="D29" s="8">
        <v>20</v>
      </c>
      <c r="E29" s="8">
        <v>16.5</v>
      </c>
      <c r="F29" s="8">
        <v>330</v>
      </c>
      <c r="WZX29" s="11"/>
      <c r="WZY29" s="11"/>
      <c r="WZZ29" s="11"/>
      <c r="XAA29" s="11"/>
      <c r="XAB29" s="11"/>
      <c r="XAC29" s="11"/>
      <c r="XAD29" s="11"/>
      <c r="XAE29" s="11"/>
      <c r="XAF29" s="11"/>
      <c r="XAG29" s="11"/>
      <c r="XAH29" s="11"/>
      <c r="XAI29" s="11"/>
      <c r="XAJ29" s="11"/>
      <c r="XAK29" s="11"/>
      <c r="XAL29" s="11"/>
      <c r="XAM29" s="11"/>
      <c r="XAN29" s="11"/>
      <c r="XAO29" s="11"/>
      <c r="XAP29" s="11"/>
      <c r="XAQ29" s="11"/>
      <c r="XAR29" s="11"/>
      <c r="XAS29" s="11"/>
      <c r="XAT29" s="11"/>
      <c r="XAU29" s="11"/>
      <c r="XAV29" s="11"/>
      <c r="XAW29" s="11"/>
      <c r="XAX29" s="11"/>
      <c r="XAY29" s="11"/>
      <c r="XAZ29" s="11"/>
      <c r="XBA29" s="11"/>
      <c r="XBB29" s="11"/>
      <c r="XBC29" s="11"/>
      <c r="XBD29" s="11"/>
      <c r="XBE29" s="11"/>
      <c r="XBF29" s="11"/>
      <c r="XBG29" s="11"/>
      <c r="XBH29" s="11"/>
      <c r="XBI29" s="11"/>
      <c r="XBJ29" s="11"/>
      <c r="XBK29" s="5"/>
      <c r="XBL29" s="5"/>
      <c r="XBM29" s="5"/>
      <c r="XBN29" s="5"/>
      <c r="XBO29" s="5"/>
      <c r="XBP29" s="5"/>
      <c r="XBQ29" s="5"/>
      <c r="XBR29" s="5"/>
      <c r="XBS29" s="5"/>
      <c r="XBT29" s="5"/>
      <c r="XBU29" s="5"/>
      <c r="XBV29" s="5"/>
      <c r="XBW29" s="5"/>
      <c r="XBX29" s="5"/>
      <c r="XBY29" s="5"/>
      <c r="XBZ29" s="5"/>
      <c r="XCA29" s="5"/>
      <c r="XCB29" s="5"/>
      <c r="XCC29" s="5"/>
      <c r="XCD29" s="5"/>
      <c r="XCE29" s="5"/>
      <c r="XCF29" s="5"/>
      <c r="XCG29" s="5"/>
      <c r="XCH29" s="5"/>
      <c r="XCI29" s="5"/>
      <c r="XCJ29" s="5"/>
      <c r="XCK29" s="5"/>
      <c r="XCL29" s="5"/>
      <c r="XCM29" s="5"/>
      <c r="XCN29" s="5"/>
      <c r="XCO29" s="5"/>
      <c r="XCP29" s="5"/>
      <c r="XCQ29" s="5"/>
      <c r="XCR29" s="5"/>
      <c r="XCS29" s="5"/>
      <c r="XCT29" s="5"/>
      <c r="XCU29" s="5"/>
      <c r="XCV29" s="5"/>
      <c r="XCW29" s="5"/>
      <c r="XCX29" s="5"/>
      <c r="XCY29" s="5"/>
      <c r="XCZ29" s="5"/>
      <c r="XDA29" s="5"/>
      <c r="XDB29" s="5"/>
      <c r="XDC29" s="5"/>
      <c r="XDD29" s="5"/>
      <c r="XDE29" s="5"/>
      <c r="XDF29" s="5"/>
      <c r="XDG29" s="5"/>
      <c r="XDH29" s="5"/>
      <c r="XDI29" s="5"/>
      <c r="XDJ29" s="5"/>
      <c r="XDK29" s="5"/>
      <c r="XDL29" s="5"/>
      <c r="XDM29" s="5"/>
      <c r="XDN29" s="5"/>
      <c r="XDO29" s="5"/>
      <c r="XDP29" s="5"/>
      <c r="XDQ29" s="5"/>
      <c r="XDR29" s="5"/>
      <c r="XDS29" s="5"/>
      <c r="XDT29" s="5"/>
      <c r="XDU29" s="5"/>
      <c r="XDV29" s="5"/>
      <c r="XDW29" s="5"/>
      <c r="XDX29" s="5"/>
      <c r="XDY29" s="5"/>
      <c r="XDZ29" s="5"/>
      <c r="XEA29" s="5"/>
      <c r="XEB29" s="5"/>
      <c r="XEC29" s="5"/>
      <c r="XED29" s="5"/>
      <c r="XEE29" s="5"/>
      <c r="XEF29" s="5"/>
      <c r="XEG29" s="5"/>
      <c r="XEH29" s="5"/>
    </row>
    <row r="30" s="1" customFormat="1" ht="16.5" spans="1:6 16248:16362">
      <c r="A30" s="8">
        <v>28</v>
      </c>
      <c r="B30" s="9" t="s">
        <v>92</v>
      </c>
      <c r="C30" s="8">
        <v>1</v>
      </c>
      <c r="D30" s="8">
        <v>1</v>
      </c>
      <c r="E30" s="8">
        <v>26.5</v>
      </c>
      <c r="F30" s="8">
        <v>26.5</v>
      </c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 s="5"/>
      <c r="XBL30" s="5"/>
      <c r="XBM30" s="5"/>
      <c r="XBN30" s="5"/>
      <c r="XBO30" s="5"/>
      <c r="XBP30" s="5"/>
      <c r="XBQ30" s="5"/>
      <c r="XBR30" s="5"/>
      <c r="XBS30" s="5"/>
      <c r="XBT30" s="5"/>
      <c r="XBU30" s="5"/>
      <c r="XBV30" s="5"/>
      <c r="XBW30" s="5"/>
      <c r="XBX30" s="5"/>
      <c r="XBY30" s="5"/>
      <c r="XBZ30" s="5"/>
      <c r="XCA30" s="5"/>
      <c r="XCB30" s="5"/>
      <c r="XCC30" s="5"/>
      <c r="XCD30" s="5"/>
      <c r="XCE30" s="5"/>
      <c r="XCF30" s="5"/>
      <c r="XCG30" s="5"/>
      <c r="XCH30" s="5"/>
      <c r="XCI30" s="5"/>
      <c r="XCJ30" s="5"/>
      <c r="XCK30" s="5"/>
      <c r="XCL30" s="5"/>
      <c r="XCM30" s="5"/>
      <c r="XCN30" s="5"/>
      <c r="XCO30" s="5"/>
      <c r="XCP30" s="5"/>
      <c r="XCQ30" s="5"/>
      <c r="XCR30" s="5"/>
      <c r="XCS30" s="5"/>
      <c r="XCT30" s="5"/>
      <c r="XCU30" s="5"/>
      <c r="XCV30" s="5"/>
      <c r="XCW30" s="5"/>
      <c r="XCX30" s="5"/>
      <c r="XCY30" s="5"/>
      <c r="XCZ30" s="5"/>
      <c r="XDA30" s="5"/>
      <c r="XDB30" s="5"/>
      <c r="XDC30" s="5"/>
      <c r="XDD30" s="5"/>
      <c r="XDE30" s="5"/>
      <c r="XDF30" s="5"/>
      <c r="XDG30" s="5"/>
      <c r="XDH30" s="5"/>
      <c r="XDI30" s="5"/>
      <c r="XDJ30" s="5"/>
      <c r="XDK30" s="5"/>
      <c r="XDL30" s="5"/>
      <c r="XDM30" s="5"/>
      <c r="XDN30" s="5"/>
      <c r="XDO30" s="5"/>
      <c r="XDP30" s="5"/>
      <c r="XDQ30" s="5"/>
      <c r="XDR30" s="5"/>
      <c r="XDS30" s="5"/>
      <c r="XDT30" s="5"/>
      <c r="XDU30" s="5"/>
      <c r="XDV30" s="5"/>
      <c r="XDW30" s="5"/>
      <c r="XDX30" s="5"/>
      <c r="XDY30" s="5"/>
      <c r="XDZ30" s="5"/>
      <c r="XEA30" s="5"/>
      <c r="XEB30" s="5"/>
      <c r="XEC30" s="5"/>
      <c r="XED30" s="5"/>
      <c r="XEE30" s="5"/>
      <c r="XEF30" s="5"/>
    </row>
    <row r="31" s="1" customFormat="1" ht="16.5" spans="1:6 16248:16362">
      <c r="A31" s="8">
        <v>29</v>
      </c>
      <c r="B31" s="9" t="s">
        <v>93</v>
      </c>
      <c r="C31" s="8">
        <v>1</v>
      </c>
      <c r="D31" s="8">
        <v>1</v>
      </c>
      <c r="E31" s="8">
        <v>22</v>
      </c>
      <c r="F31" s="8">
        <v>22</v>
      </c>
      <c r="WZX31"/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 s="5"/>
      <c r="XBL31" s="5"/>
      <c r="XBM31" s="5"/>
      <c r="XBN31" s="5"/>
      <c r="XBO31" s="5"/>
      <c r="XBP31" s="5"/>
      <c r="XBQ31" s="5"/>
      <c r="XBR31" s="5"/>
      <c r="XBS31" s="5"/>
      <c r="XBT31" s="5"/>
      <c r="XBU31" s="5"/>
      <c r="XBV31" s="5"/>
      <c r="XBW31" s="5"/>
      <c r="XBX31" s="5"/>
      <c r="XBY31" s="5"/>
      <c r="XBZ31" s="5"/>
      <c r="XCA31" s="5"/>
      <c r="XCB31" s="5"/>
      <c r="XCC31" s="5"/>
      <c r="XCD31" s="5"/>
      <c r="XCE31" s="5"/>
      <c r="XCF31" s="5"/>
      <c r="XCG31" s="5"/>
      <c r="XCH31" s="5"/>
      <c r="XCI31" s="5"/>
      <c r="XCJ31" s="5"/>
      <c r="XCK31" s="5"/>
      <c r="XCL31" s="5"/>
      <c r="XCM31" s="5"/>
      <c r="XCN31" s="5"/>
      <c r="XCO31" s="5"/>
      <c r="XCP31" s="5"/>
      <c r="XCQ31" s="5"/>
      <c r="XCR31" s="5"/>
      <c r="XCS31" s="5"/>
      <c r="XCT31" s="5"/>
      <c r="XCU31" s="5"/>
      <c r="XCV31" s="5"/>
      <c r="XCW31" s="5"/>
      <c r="XCX31" s="5"/>
      <c r="XCY31" s="5"/>
      <c r="XCZ31" s="5"/>
      <c r="XDA31" s="5"/>
      <c r="XDB31" s="5"/>
      <c r="XDC31" s="5"/>
      <c r="XDD31" s="5"/>
      <c r="XDE31" s="5"/>
      <c r="XDF31" s="5"/>
      <c r="XDG31" s="5"/>
      <c r="XDH31" s="5"/>
      <c r="XDI31" s="5"/>
      <c r="XDJ31" s="5"/>
      <c r="XDK31" s="5"/>
      <c r="XDL31" s="5"/>
      <c r="XDM31" s="5"/>
      <c r="XDN31" s="5"/>
      <c r="XDO31" s="5"/>
      <c r="XDP31" s="5"/>
      <c r="XDQ31" s="5"/>
      <c r="XDR31" s="5"/>
      <c r="XDS31" s="5"/>
      <c r="XDT31" s="5"/>
      <c r="XDU31" s="5"/>
      <c r="XDV31" s="5"/>
      <c r="XDW31" s="5"/>
      <c r="XDX31" s="5"/>
      <c r="XDY31" s="5"/>
      <c r="XDZ31" s="5"/>
      <c r="XEA31" s="5"/>
      <c r="XEB31" s="5"/>
      <c r="XEC31" s="5"/>
      <c r="XED31" s="5"/>
      <c r="XEE31" s="5"/>
      <c r="XEF31" s="5"/>
    </row>
    <row r="32" s="1" customFormat="1" ht="16.5" spans="1:6 16248:16362">
      <c r="A32" s="8">
        <v>30</v>
      </c>
      <c r="B32" s="9" t="s">
        <v>94</v>
      </c>
      <c r="C32" s="8">
        <v>5</v>
      </c>
      <c r="D32" s="8">
        <v>5</v>
      </c>
      <c r="E32" s="8">
        <v>16.5</v>
      </c>
      <c r="F32" s="8">
        <v>82.5</v>
      </c>
      <c r="WZX32"/>
      <c r="WZY32"/>
      <c r="WZZ32"/>
      <c r="XAA32"/>
      <c r="XAB32"/>
      <c r="XAC32"/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/>
      <c r="XBJ32"/>
      <c r="XBK32" s="5"/>
      <c r="XBL32" s="5"/>
      <c r="XBM32" s="5"/>
      <c r="XBN32" s="5"/>
      <c r="XBO32" s="5"/>
      <c r="XBP32" s="5"/>
      <c r="XBQ32" s="5"/>
      <c r="XBR32" s="5"/>
      <c r="XBS32" s="5"/>
      <c r="XBT32" s="5"/>
      <c r="XBU32" s="5"/>
      <c r="XBV32" s="5"/>
      <c r="XBW32" s="5"/>
      <c r="XBX32" s="5"/>
      <c r="XBY32" s="5"/>
      <c r="XBZ32" s="5"/>
      <c r="XCA32" s="5"/>
      <c r="XCB32" s="5"/>
      <c r="XCC32" s="5"/>
      <c r="XCD32" s="5"/>
      <c r="XCE32" s="5"/>
      <c r="XCF32" s="5"/>
      <c r="XCG32" s="5"/>
      <c r="XCH32" s="5"/>
      <c r="XCI32" s="5"/>
      <c r="XCJ32" s="5"/>
      <c r="XCK32" s="5"/>
      <c r="XCL32" s="5"/>
      <c r="XCM32" s="5"/>
      <c r="XCN32" s="5"/>
      <c r="XCO32" s="5"/>
      <c r="XCP32" s="5"/>
      <c r="XCQ32" s="5"/>
      <c r="XCR32" s="5"/>
      <c r="XCS32" s="5"/>
      <c r="XCT32" s="5"/>
      <c r="XCU32" s="5"/>
      <c r="XCV32" s="5"/>
      <c r="XCW32" s="5"/>
      <c r="XCX32" s="5"/>
      <c r="XCY32" s="5"/>
      <c r="XCZ32" s="5"/>
      <c r="XDA32" s="5"/>
      <c r="XDB32" s="5"/>
      <c r="XDC32" s="5"/>
      <c r="XDD32" s="5"/>
      <c r="XDE32" s="5"/>
      <c r="XDF32" s="5"/>
      <c r="XDG32" s="5"/>
      <c r="XDH32" s="5"/>
      <c r="XDI32" s="5"/>
      <c r="XDJ32" s="5"/>
      <c r="XDK32" s="5"/>
      <c r="XDL32" s="5"/>
      <c r="XDM32" s="5"/>
      <c r="XDN32" s="5"/>
      <c r="XDO32" s="5"/>
      <c r="XDP32" s="5"/>
      <c r="XDQ32" s="5"/>
      <c r="XDR32" s="5"/>
      <c r="XDS32" s="5"/>
      <c r="XDT32" s="5"/>
      <c r="XDU32" s="5"/>
      <c r="XDV32" s="5"/>
      <c r="XDW32" s="5"/>
      <c r="XDX32" s="5"/>
      <c r="XDY32" s="5"/>
      <c r="XDZ32" s="5"/>
      <c r="XEA32" s="5"/>
      <c r="XEB32" s="5"/>
      <c r="XEC32" s="5"/>
      <c r="XED32" s="5"/>
      <c r="XEE32" s="5"/>
      <c r="XEF32" s="5"/>
    </row>
    <row r="33" s="1" customFormat="1" ht="16.5" spans="1:6 16248:16360">
      <c r="A33" s="8">
        <v>31</v>
      </c>
      <c r="B33" s="9" t="s">
        <v>95</v>
      </c>
      <c r="C33" s="8">
        <v>2</v>
      </c>
      <c r="D33" s="8">
        <v>2</v>
      </c>
      <c r="E33" s="8">
        <v>16.5</v>
      </c>
      <c r="F33" s="8">
        <v>33</v>
      </c>
      <c r="WZX33"/>
      <c r="WZY33"/>
      <c r="WZZ33"/>
      <c r="XAA33"/>
      <c r="XAB33"/>
      <c r="XAC33"/>
      <c r="XAD33"/>
      <c r="XAE33"/>
      <c r="XAF33"/>
      <c r="XAG33"/>
      <c r="XAH33"/>
      <c r="XAI33"/>
      <c r="XAJ33"/>
      <c r="XAK33"/>
      <c r="XAL33"/>
      <c r="XAM33"/>
      <c r="XAN33"/>
      <c r="XAO33"/>
      <c r="XAP33"/>
      <c r="XAQ33"/>
      <c r="XAR33"/>
      <c r="XAS33"/>
      <c r="XAT33"/>
      <c r="XAU33"/>
      <c r="XAV33"/>
      <c r="XAW33"/>
      <c r="XAX33"/>
      <c r="XAY33"/>
      <c r="XAZ33"/>
      <c r="XBA33"/>
      <c r="XBB33"/>
      <c r="XBC33"/>
      <c r="XBD33"/>
      <c r="XBE33"/>
      <c r="XBF33"/>
      <c r="XBG33"/>
      <c r="XBH33"/>
      <c r="XBI33"/>
      <c r="XBJ33"/>
      <c r="XBK33" s="5"/>
      <c r="XBL33" s="5"/>
      <c r="XBM33" s="5"/>
      <c r="XBN33" s="5"/>
      <c r="XBO33" s="5"/>
      <c r="XBP33" s="5"/>
      <c r="XBQ33" s="5"/>
      <c r="XBR33" s="5"/>
      <c r="XBS33" s="5"/>
      <c r="XBT33" s="5"/>
      <c r="XBU33" s="5"/>
      <c r="XBV33" s="5"/>
      <c r="XBW33" s="5"/>
      <c r="XBX33" s="5"/>
      <c r="XBY33" s="5"/>
      <c r="XBZ33" s="5"/>
      <c r="XCA33" s="5"/>
      <c r="XCB33" s="5"/>
      <c r="XCC33" s="5"/>
      <c r="XCD33" s="5"/>
      <c r="XCE33" s="5"/>
      <c r="XCF33" s="5"/>
      <c r="XCG33" s="5"/>
      <c r="XCH33" s="5"/>
      <c r="XCI33" s="5"/>
      <c r="XCJ33" s="5"/>
      <c r="XCK33" s="5"/>
      <c r="XCL33" s="5"/>
      <c r="XCM33" s="5"/>
      <c r="XCN33" s="5"/>
      <c r="XCO33" s="5"/>
      <c r="XCP33" s="5"/>
      <c r="XCQ33" s="5"/>
      <c r="XCR33" s="5"/>
      <c r="XCS33" s="5"/>
      <c r="XCT33" s="5"/>
      <c r="XCU33" s="5"/>
      <c r="XCV33" s="5"/>
      <c r="XCW33" s="5"/>
      <c r="XCX33" s="5"/>
      <c r="XCY33" s="5"/>
      <c r="XCZ33" s="5"/>
      <c r="XDA33" s="5"/>
      <c r="XDB33" s="5"/>
      <c r="XDC33" s="5"/>
      <c r="XDD33" s="5"/>
      <c r="XDE33" s="5"/>
      <c r="XDF33" s="5"/>
      <c r="XDG33" s="5"/>
      <c r="XDH33" s="5"/>
      <c r="XDI33" s="5"/>
      <c r="XDJ33" s="5"/>
      <c r="XDK33" s="5"/>
      <c r="XDL33" s="5"/>
      <c r="XDM33" s="5"/>
      <c r="XDN33" s="5"/>
      <c r="XDO33" s="5"/>
      <c r="XDP33" s="5"/>
      <c r="XDQ33" s="5"/>
      <c r="XDR33" s="5"/>
      <c r="XDS33" s="5"/>
      <c r="XDT33" s="5"/>
      <c r="XDU33" s="5"/>
      <c r="XDV33" s="5"/>
      <c r="XDW33" s="5"/>
      <c r="XDX33" s="5"/>
      <c r="XDY33" s="5"/>
      <c r="XDZ33" s="5"/>
      <c r="XEA33" s="5"/>
      <c r="XEB33" s="5"/>
      <c r="XEC33" s="5"/>
      <c r="XED33" s="5"/>
      <c r="XEE33" s="5"/>
      <c r="XEF33" s="5"/>
    </row>
    <row r="34" s="1" customFormat="1" ht="16.5" spans="1:6 16248:16360">
      <c r="A34" s="8">
        <v>32</v>
      </c>
      <c r="B34" s="9" t="s">
        <v>96</v>
      </c>
      <c r="C34" s="8">
        <v>72</v>
      </c>
      <c r="D34" s="8">
        <v>6</v>
      </c>
      <c r="E34" s="8">
        <v>66</v>
      </c>
      <c r="F34" s="8">
        <v>396</v>
      </c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 s="5"/>
      <c r="XBL34" s="5"/>
      <c r="XBM34" s="5"/>
      <c r="XBN34" s="5"/>
      <c r="XBO34" s="5"/>
      <c r="XBP34" s="5"/>
      <c r="XBQ34" s="5"/>
      <c r="XBR34" s="5"/>
      <c r="XBS34" s="5"/>
      <c r="XBT34" s="5"/>
      <c r="XBU34" s="5"/>
      <c r="XBV34" s="5"/>
      <c r="XBW34" s="5"/>
      <c r="XBX34" s="5"/>
      <c r="XBY34" s="5"/>
      <c r="XBZ34" s="5"/>
      <c r="XCA34" s="5"/>
      <c r="XCB34" s="5"/>
      <c r="XCC34" s="5"/>
      <c r="XCD34" s="5"/>
      <c r="XCE34" s="5"/>
      <c r="XCF34" s="5"/>
      <c r="XCG34" s="5"/>
      <c r="XCH34" s="5"/>
      <c r="XCI34" s="5"/>
      <c r="XCJ34" s="5"/>
      <c r="XCK34" s="5"/>
      <c r="XCL34" s="5"/>
      <c r="XCM34" s="5"/>
      <c r="XCN34" s="5"/>
      <c r="XCO34" s="5"/>
      <c r="XCP34" s="5"/>
      <c r="XCQ34" s="5"/>
      <c r="XCR34" s="5"/>
      <c r="XCS34" s="5"/>
      <c r="XCT34" s="5"/>
      <c r="XCU34" s="5"/>
      <c r="XCV34" s="5"/>
      <c r="XCW34" s="5"/>
      <c r="XCX34" s="5"/>
      <c r="XCY34" s="5"/>
      <c r="XCZ34" s="5"/>
      <c r="XDA34" s="5"/>
      <c r="XDB34" s="5"/>
      <c r="XDC34" s="5"/>
      <c r="XDD34" s="5"/>
      <c r="XDE34" s="5"/>
      <c r="XDF34" s="5"/>
      <c r="XDG34" s="5"/>
      <c r="XDH34" s="5"/>
      <c r="XDI34" s="5"/>
      <c r="XDJ34" s="5"/>
      <c r="XDK34" s="5"/>
      <c r="XDL34" s="5"/>
      <c r="XDM34" s="5"/>
      <c r="XDN34" s="5"/>
      <c r="XDO34" s="5"/>
      <c r="XDP34" s="5"/>
      <c r="XDQ34" s="5"/>
      <c r="XDR34" s="5"/>
      <c r="XDS34" s="5"/>
      <c r="XDT34" s="5"/>
      <c r="XDU34" s="5"/>
      <c r="XDV34" s="5"/>
      <c r="XDW34" s="5"/>
      <c r="XDX34" s="5"/>
      <c r="XDY34" s="5"/>
      <c r="XDZ34" s="5"/>
      <c r="XEA34" s="5"/>
      <c r="XEB34" s="5"/>
      <c r="XEC34" s="5"/>
      <c r="XED34" s="5"/>
      <c r="XEE34" s="5"/>
      <c r="XEF34" s="5"/>
    </row>
    <row r="35" s="1" customFormat="1" ht="16.5" spans="1:6 16248:16360">
      <c r="A35" s="8">
        <v>33</v>
      </c>
      <c r="B35" s="9" t="s">
        <v>97</v>
      </c>
      <c r="C35" s="8">
        <v>24</v>
      </c>
      <c r="D35" s="8">
        <v>2</v>
      </c>
      <c r="E35" s="8">
        <v>66</v>
      </c>
      <c r="F35" s="8">
        <v>132</v>
      </c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 s="5"/>
      <c r="XBL35" s="5"/>
      <c r="XBM35" s="5"/>
      <c r="XBN35" s="5"/>
      <c r="XBO35" s="5"/>
      <c r="XBP35" s="5"/>
      <c r="XBQ35" s="5"/>
      <c r="XBR35" s="5"/>
      <c r="XBS35" s="5"/>
      <c r="XBT35" s="5"/>
      <c r="XBU35" s="5"/>
      <c r="XBV35" s="5"/>
      <c r="XBW35" s="5"/>
      <c r="XBX35" s="5"/>
      <c r="XBY35" s="5"/>
      <c r="XBZ35" s="5"/>
      <c r="XCA35" s="5"/>
      <c r="XCB35" s="5"/>
      <c r="XCC35" s="5"/>
      <c r="XCD35" s="5"/>
      <c r="XCE35" s="5"/>
      <c r="XCF35" s="5"/>
      <c r="XCG35" s="5"/>
      <c r="XCH35" s="5"/>
      <c r="XCI35" s="5"/>
      <c r="XCJ35" s="5"/>
      <c r="XCK35" s="5"/>
      <c r="XCL35" s="5"/>
      <c r="XCM35" s="5"/>
      <c r="XCN35" s="5"/>
      <c r="XCO35" s="5"/>
      <c r="XCP35" s="5"/>
      <c r="XCQ35" s="5"/>
      <c r="XCR35" s="5"/>
      <c r="XCS35" s="5"/>
      <c r="XCT35" s="5"/>
      <c r="XCU35" s="5"/>
      <c r="XCV35" s="5"/>
      <c r="XCW35" s="5"/>
      <c r="XCX35" s="5"/>
      <c r="XCY35" s="5"/>
      <c r="XCZ35" s="5"/>
      <c r="XDA35" s="5"/>
      <c r="XDB35" s="5"/>
      <c r="XDC35" s="5"/>
      <c r="XDD35" s="5"/>
      <c r="XDE35" s="5"/>
      <c r="XDF35" s="5"/>
      <c r="XDG35" s="5"/>
      <c r="XDH35" s="5"/>
      <c r="XDI35" s="5"/>
      <c r="XDJ35" s="5"/>
      <c r="XDK35" s="5"/>
      <c r="XDL35" s="5"/>
      <c r="XDM35" s="5"/>
      <c r="XDN35" s="5"/>
      <c r="XDO35" s="5"/>
      <c r="XDP35" s="5"/>
      <c r="XDQ35" s="5"/>
      <c r="XDR35" s="5"/>
      <c r="XDS35" s="5"/>
      <c r="XDT35" s="5"/>
      <c r="XDU35" s="5"/>
      <c r="XDV35" s="5"/>
      <c r="XDW35" s="5"/>
      <c r="XDX35" s="5"/>
      <c r="XDY35" s="5"/>
      <c r="XDZ35" s="5"/>
      <c r="XEA35" s="5"/>
      <c r="XEB35" s="5"/>
      <c r="XEC35" s="5"/>
      <c r="XED35" s="5"/>
      <c r="XEE35" s="5"/>
      <c r="XEF35" s="5"/>
    </row>
    <row r="36" s="1" customFormat="1" ht="16.5" spans="1:6 16248:16360">
      <c r="A36" s="8">
        <v>34</v>
      </c>
      <c r="B36" s="9" t="s">
        <v>98</v>
      </c>
      <c r="C36" s="8">
        <v>52</v>
      </c>
      <c r="D36" s="8">
        <v>4</v>
      </c>
      <c r="E36" s="8">
        <v>71.5</v>
      </c>
      <c r="F36" s="8">
        <v>286</v>
      </c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 s="5"/>
      <c r="XBL36" s="5"/>
      <c r="XBM36" s="5"/>
      <c r="XBN36" s="5"/>
      <c r="XBO36" s="5"/>
      <c r="XBP36" s="5"/>
      <c r="XBQ36" s="5"/>
      <c r="XBR36" s="5"/>
      <c r="XBS36" s="5"/>
      <c r="XBT36" s="5"/>
      <c r="XBU36" s="5"/>
      <c r="XBV36" s="5"/>
      <c r="XBW36" s="5"/>
      <c r="XBX36" s="5"/>
      <c r="XBY36" s="5"/>
      <c r="XBZ36" s="5"/>
      <c r="XCA36" s="5"/>
      <c r="XCB36" s="5"/>
      <c r="XCC36" s="5"/>
      <c r="XCD36" s="5"/>
      <c r="XCE36" s="5"/>
      <c r="XCF36" s="5"/>
      <c r="XCG36" s="5"/>
      <c r="XCH36" s="5"/>
      <c r="XCI36" s="5"/>
      <c r="XCJ36" s="5"/>
      <c r="XCK36" s="5"/>
      <c r="XCL36" s="5"/>
      <c r="XCM36" s="5"/>
      <c r="XCN36" s="5"/>
      <c r="XCO36" s="5"/>
      <c r="XCP36" s="5"/>
      <c r="XCQ36" s="5"/>
      <c r="XCR36" s="5"/>
      <c r="XCS36" s="5"/>
      <c r="XCT36" s="5"/>
      <c r="XCU36" s="5"/>
      <c r="XCV36" s="5"/>
      <c r="XCW36" s="5"/>
      <c r="XCX36" s="5"/>
      <c r="XCY36" s="5"/>
      <c r="XCZ36" s="5"/>
      <c r="XDA36" s="5"/>
      <c r="XDB36" s="5"/>
      <c r="XDC36" s="5"/>
      <c r="XDD36" s="5"/>
      <c r="XDE36" s="5"/>
      <c r="XDF36" s="5"/>
      <c r="XDG36" s="5"/>
      <c r="XDH36" s="5"/>
      <c r="XDI36" s="5"/>
      <c r="XDJ36" s="5"/>
      <c r="XDK36" s="5"/>
      <c r="XDL36" s="5"/>
      <c r="XDM36" s="5"/>
      <c r="XDN36" s="5"/>
      <c r="XDO36" s="5"/>
      <c r="XDP36" s="5"/>
      <c r="XDQ36" s="5"/>
      <c r="XDR36" s="5"/>
      <c r="XDS36" s="5"/>
      <c r="XDT36" s="5"/>
      <c r="XDU36" s="5"/>
      <c r="XDV36" s="5"/>
      <c r="XDW36" s="5"/>
      <c r="XDX36" s="5"/>
      <c r="XDY36" s="5"/>
      <c r="XDZ36" s="5"/>
      <c r="XEA36" s="5"/>
      <c r="XEB36" s="5"/>
      <c r="XEC36" s="5"/>
      <c r="XED36" s="5"/>
      <c r="XEE36" s="5"/>
      <c r="XEF36" s="5"/>
    </row>
    <row r="37" s="1" customFormat="1" ht="16.5" spans="1:6 16248:16360">
      <c r="A37" s="8">
        <v>35</v>
      </c>
      <c r="B37" s="9" t="s">
        <v>99</v>
      </c>
      <c r="C37" s="8">
        <v>26</v>
      </c>
      <c r="D37" s="8">
        <v>2</v>
      </c>
      <c r="E37" s="8">
        <v>71.5</v>
      </c>
      <c r="F37" s="8">
        <v>143</v>
      </c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 s="5"/>
      <c r="XBL37" s="5"/>
      <c r="XBM37" s="5"/>
      <c r="XBN37" s="5"/>
      <c r="XBO37" s="5"/>
      <c r="XBP37" s="5"/>
      <c r="XBQ37" s="5"/>
      <c r="XBR37" s="5"/>
      <c r="XBS37" s="5"/>
      <c r="XBT37" s="5"/>
      <c r="XBU37" s="5"/>
      <c r="XBV37" s="5"/>
      <c r="XBW37" s="5"/>
      <c r="XBX37" s="5"/>
      <c r="XBY37" s="5"/>
      <c r="XBZ37" s="5"/>
      <c r="XCA37" s="5"/>
      <c r="XCB37" s="5"/>
      <c r="XCC37" s="5"/>
      <c r="XCD37" s="5"/>
      <c r="XCE37" s="5"/>
      <c r="XCF37" s="5"/>
      <c r="XCG37" s="5"/>
      <c r="XCH37" s="5"/>
      <c r="XCI37" s="5"/>
      <c r="XCJ37" s="5"/>
      <c r="XCK37" s="5"/>
      <c r="XCL37" s="5"/>
      <c r="XCM37" s="5"/>
      <c r="XCN37" s="5"/>
      <c r="XCO37" s="5"/>
      <c r="XCP37" s="5"/>
      <c r="XCQ37" s="5"/>
      <c r="XCR37" s="5"/>
      <c r="XCS37" s="5"/>
      <c r="XCT37" s="5"/>
      <c r="XCU37" s="5"/>
      <c r="XCV37" s="5"/>
      <c r="XCW37" s="5"/>
      <c r="XCX37" s="5"/>
      <c r="XCY37" s="5"/>
      <c r="XCZ37" s="5"/>
      <c r="XDA37" s="5"/>
      <c r="XDB37" s="5"/>
      <c r="XDC37" s="5"/>
      <c r="XDD37" s="5"/>
      <c r="XDE37" s="5"/>
      <c r="XDF37" s="5"/>
      <c r="XDG37" s="5"/>
      <c r="XDH37" s="5"/>
      <c r="XDI37" s="5"/>
      <c r="XDJ37" s="5"/>
      <c r="XDK37" s="5"/>
      <c r="XDL37" s="5"/>
      <c r="XDM37" s="5"/>
      <c r="XDN37" s="5"/>
      <c r="XDO37" s="5"/>
      <c r="XDP37" s="5"/>
      <c r="XDQ37" s="5"/>
      <c r="XDR37" s="5"/>
      <c r="XDS37" s="5"/>
      <c r="XDT37" s="5"/>
      <c r="XDU37" s="5"/>
      <c r="XDV37" s="5"/>
      <c r="XDW37" s="5"/>
      <c r="XDX37" s="5"/>
      <c r="XDY37" s="5"/>
      <c r="XDZ37" s="5"/>
      <c r="XEA37" s="5"/>
      <c r="XEB37" s="5"/>
      <c r="XEC37" s="5"/>
      <c r="XED37" s="5"/>
      <c r="XEE37" s="5"/>
      <c r="XEF37" s="5"/>
    </row>
    <row r="38" s="1" customFormat="1" ht="16.5" spans="1:6 16248:16360">
      <c r="A38" s="8">
        <v>36</v>
      </c>
      <c r="B38" s="9" t="s">
        <v>100</v>
      </c>
      <c r="C38" s="8">
        <v>8</v>
      </c>
      <c r="D38" s="8">
        <v>4</v>
      </c>
      <c r="E38" s="8">
        <v>16.5</v>
      </c>
      <c r="F38" s="8">
        <v>66</v>
      </c>
      <c r="WZX38"/>
      <c r="WZY38"/>
      <c r="WZZ38"/>
      <c r="XAA38"/>
      <c r="XAB38"/>
      <c r="XAC38"/>
      <c r="XAD38"/>
      <c r="XAE38"/>
      <c r="XAF38"/>
      <c r="XAG38"/>
      <c r="XAH38"/>
      <c r="XAI38"/>
      <c r="XAJ38"/>
      <c r="XAK38"/>
      <c r="XAL38"/>
      <c r="XAM38"/>
      <c r="XAN38"/>
      <c r="XAO38"/>
      <c r="XAP38"/>
      <c r="XAQ38"/>
      <c r="XAR38"/>
      <c r="XAS38"/>
      <c r="XAT38"/>
      <c r="XAU38"/>
      <c r="XAV38"/>
      <c r="XAW38"/>
      <c r="XAX38"/>
      <c r="XAY38"/>
      <c r="XAZ38"/>
      <c r="XBA38"/>
      <c r="XBB38"/>
      <c r="XBC38"/>
      <c r="XBD38"/>
      <c r="XBE38"/>
      <c r="XBF38"/>
      <c r="XBG38"/>
      <c r="XBH38"/>
      <c r="XBI38"/>
      <c r="XBJ38"/>
      <c r="XBK38" s="5"/>
      <c r="XBL38" s="5"/>
      <c r="XBM38" s="5"/>
      <c r="XBN38" s="5"/>
      <c r="XBO38" s="5"/>
      <c r="XBP38" s="5"/>
      <c r="XBQ38" s="5"/>
      <c r="XBR38" s="5"/>
      <c r="XBS38" s="5"/>
      <c r="XBT38" s="5"/>
      <c r="XBU38" s="5"/>
      <c r="XBV38" s="5"/>
      <c r="XBW38" s="5"/>
      <c r="XBX38" s="5"/>
      <c r="XBY38" s="5"/>
      <c r="XBZ38" s="5"/>
      <c r="XCA38" s="5"/>
      <c r="XCB38" s="5"/>
      <c r="XCC38" s="5"/>
      <c r="XCD38" s="5"/>
      <c r="XCE38" s="5"/>
      <c r="XCF38" s="5"/>
      <c r="XCG38" s="5"/>
      <c r="XCH38" s="5"/>
      <c r="XCI38" s="5"/>
      <c r="XCJ38" s="5"/>
      <c r="XCK38" s="5"/>
      <c r="XCL38" s="5"/>
      <c r="XCM38" s="5"/>
      <c r="XCN38" s="5"/>
      <c r="XCO38" s="5"/>
      <c r="XCP38" s="5"/>
      <c r="XCQ38" s="5"/>
      <c r="XCR38" s="5"/>
      <c r="XCS38" s="5"/>
      <c r="XCT38" s="5"/>
      <c r="XCU38" s="5"/>
      <c r="XCV38" s="5"/>
      <c r="XCW38" s="5"/>
      <c r="XCX38" s="5"/>
      <c r="XCY38" s="5"/>
      <c r="XCZ38" s="5"/>
      <c r="XDA38" s="5"/>
      <c r="XDB38" s="5"/>
      <c r="XDC38" s="5"/>
      <c r="XDD38" s="5"/>
      <c r="XDE38" s="5"/>
      <c r="XDF38" s="5"/>
      <c r="XDG38" s="5"/>
      <c r="XDH38" s="5"/>
      <c r="XDI38" s="5"/>
      <c r="XDJ38" s="5"/>
      <c r="XDK38" s="5"/>
      <c r="XDL38" s="5"/>
      <c r="XDM38" s="5"/>
      <c r="XDN38" s="5"/>
      <c r="XDO38" s="5"/>
      <c r="XDP38" s="5"/>
      <c r="XDQ38" s="5"/>
      <c r="XDR38" s="5"/>
      <c r="XDS38" s="5"/>
      <c r="XDT38" s="5"/>
      <c r="XDU38" s="5"/>
      <c r="XDV38" s="5"/>
      <c r="XDW38" s="5"/>
      <c r="XDX38" s="5"/>
      <c r="XDY38" s="5"/>
      <c r="XDZ38" s="5"/>
      <c r="XEA38" s="5"/>
      <c r="XEB38" s="5"/>
      <c r="XEC38" s="5"/>
      <c r="XED38" s="5"/>
      <c r="XEE38" s="5"/>
      <c r="XEF38" s="5"/>
    </row>
    <row r="39" s="1" customFormat="1" ht="16.5" spans="1:6 16248:16360">
      <c r="A39" s="8">
        <v>37</v>
      </c>
      <c r="B39" s="9" t="s">
        <v>101</v>
      </c>
      <c r="C39" s="8">
        <v>8</v>
      </c>
      <c r="D39" s="8">
        <v>4</v>
      </c>
      <c r="E39" s="8">
        <v>16.5</v>
      </c>
      <c r="F39" s="8">
        <v>66</v>
      </c>
      <c r="WZX39"/>
      <c r="WZY39"/>
      <c r="WZZ39"/>
      <c r="XAA39"/>
      <c r="XAB39"/>
      <c r="XAC39"/>
      <c r="XAD39"/>
      <c r="XAE39"/>
      <c r="XAF39"/>
      <c r="XAG39"/>
      <c r="XAH39"/>
      <c r="XAI39"/>
      <c r="XAJ39"/>
      <c r="XAK39"/>
      <c r="XAL39"/>
      <c r="XAM39"/>
      <c r="XAN39"/>
      <c r="XAO39"/>
      <c r="XAP39"/>
      <c r="XAQ39"/>
      <c r="XAR39"/>
      <c r="XAS39"/>
      <c r="XAT39"/>
      <c r="XAU39"/>
      <c r="XAV39"/>
      <c r="XAW39"/>
      <c r="XAX39"/>
      <c r="XAY39"/>
      <c r="XAZ39"/>
      <c r="XBA39"/>
      <c r="XBB39"/>
      <c r="XBC39"/>
      <c r="XBD39"/>
      <c r="XBE39"/>
      <c r="XBF39"/>
      <c r="XBG39"/>
      <c r="XBH39"/>
      <c r="XBI39"/>
      <c r="XBJ39"/>
      <c r="XBK39" s="5"/>
      <c r="XBL39" s="5"/>
      <c r="XBM39" s="5"/>
      <c r="XBN39" s="5"/>
      <c r="XBO39" s="5"/>
      <c r="XBP39" s="5"/>
      <c r="XBQ39" s="5"/>
      <c r="XBR39" s="5"/>
      <c r="XBS39" s="5"/>
      <c r="XBT39" s="5"/>
      <c r="XBU39" s="5"/>
      <c r="XBV39" s="5"/>
      <c r="XBW39" s="5"/>
      <c r="XBX39" s="5"/>
      <c r="XBY39" s="5"/>
      <c r="XBZ39" s="5"/>
      <c r="XCA39" s="5"/>
      <c r="XCB39" s="5"/>
      <c r="XCC39" s="5"/>
      <c r="XCD39" s="5"/>
      <c r="XCE39" s="5"/>
      <c r="XCF39" s="5"/>
      <c r="XCG39" s="5"/>
      <c r="XCH39" s="5"/>
      <c r="XCI39" s="5"/>
      <c r="XCJ39" s="5"/>
      <c r="XCK39" s="5"/>
      <c r="XCL39" s="5"/>
      <c r="XCM39" s="5"/>
      <c r="XCN39" s="5"/>
      <c r="XCO39" s="5"/>
      <c r="XCP39" s="5"/>
      <c r="XCQ39" s="5"/>
      <c r="XCR39" s="5"/>
      <c r="XCS39" s="5"/>
      <c r="XCT39" s="5"/>
      <c r="XCU39" s="5"/>
      <c r="XCV39" s="5"/>
      <c r="XCW39" s="5"/>
      <c r="XCX39" s="5"/>
      <c r="XCY39" s="5"/>
      <c r="XCZ39" s="5"/>
      <c r="XDA39" s="5"/>
      <c r="XDB39" s="5"/>
      <c r="XDC39" s="5"/>
      <c r="XDD39" s="5"/>
      <c r="XDE39" s="5"/>
      <c r="XDF39" s="5"/>
      <c r="XDG39" s="5"/>
      <c r="XDH39" s="5"/>
      <c r="XDI39" s="5"/>
      <c r="XDJ39" s="5"/>
      <c r="XDK39" s="5"/>
      <c r="XDL39" s="5"/>
      <c r="XDM39" s="5"/>
      <c r="XDN39" s="5"/>
      <c r="XDO39" s="5"/>
      <c r="XDP39" s="5"/>
      <c r="XDQ39" s="5"/>
      <c r="XDR39" s="5"/>
      <c r="XDS39" s="5"/>
      <c r="XDT39" s="5"/>
      <c r="XDU39" s="5"/>
      <c r="XDV39" s="5"/>
      <c r="XDW39" s="5"/>
      <c r="XDX39" s="5"/>
      <c r="XDY39" s="5"/>
      <c r="XDZ39" s="5"/>
      <c r="XEA39" s="5"/>
      <c r="XEB39" s="5"/>
      <c r="XEC39" s="5"/>
      <c r="XED39" s="5"/>
      <c r="XEE39" s="5"/>
      <c r="XEF39" s="5"/>
    </row>
    <row r="40" s="1" customFormat="1" ht="16.5" spans="1:6 16248:16360">
      <c r="A40" s="8">
        <v>38</v>
      </c>
      <c r="B40" s="9" t="s">
        <v>102</v>
      </c>
      <c r="C40" s="8">
        <v>2</v>
      </c>
      <c r="D40" s="8">
        <v>1</v>
      </c>
      <c r="E40" s="8">
        <v>16.5</v>
      </c>
      <c r="F40" s="8">
        <v>16.5</v>
      </c>
      <c r="WZX40"/>
      <c r="WZY40"/>
      <c r="WZZ40"/>
      <c r="XAA40"/>
      <c r="XAB40"/>
      <c r="XAC40"/>
      <c r="XAD40"/>
      <c r="XAE40"/>
      <c r="XAF40"/>
      <c r="XAG40"/>
      <c r="XAH40"/>
      <c r="XAI40"/>
      <c r="XAJ40"/>
      <c r="XAK40"/>
      <c r="XAL40"/>
      <c r="XAM40"/>
      <c r="XAN40"/>
      <c r="XAO40"/>
      <c r="XAP40"/>
      <c r="XAQ40"/>
      <c r="XAR40"/>
      <c r="XAS40"/>
      <c r="XAT40"/>
      <c r="XAU40"/>
      <c r="XAV40"/>
      <c r="XAW40"/>
      <c r="XAX40"/>
      <c r="XAY40"/>
      <c r="XAZ40"/>
      <c r="XBA40"/>
      <c r="XBB40"/>
      <c r="XBC40"/>
      <c r="XBD40"/>
      <c r="XBE40"/>
      <c r="XBF40"/>
      <c r="XBG40"/>
      <c r="XBH40"/>
      <c r="XBI40"/>
      <c r="XBJ40"/>
      <c r="XBK40" s="5"/>
      <c r="XBL40" s="5"/>
      <c r="XBM40" s="5"/>
      <c r="XBN40" s="5"/>
      <c r="XBO40" s="5"/>
      <c r="XBP40" s="5"/>
      <c r="XBQ40" s="5"/>
      <c r="XBR40" s="5"/>
      <c r="XBS40" s="5"/>
      <c r="XBT40" s="5"/>
      <c r="XBU40" s="5"/>
      <c r="XBV40" s="5"/>
      <c r="XBW40" s="5"/>
      <c r="XBX40" s="5"/>
      <c r="XBY40" s="5"/>
      <c r="XBZ40" s="5"/>
      <c r="XCA40" s="5"/>
      <c r="XCB40" s="5"/>
      <c r="XCC40" s="5"/>
      <c r="XCD40" s="5"/>
      <c r="XCE40" s="5"/>
      <c r="XCF40" s="5"/>
      <c r="XCG40" s="5"/>
      <c r="XCH40" s="5"/>
      <c r="XCI40" s="5"/>
      <c r="XCJ40" s="5"/>
      <c r="XCK40" s="5"/>
      <c r="XCL40" s="5"/>
      <c r="XCM40" s="5"/>
      <c r="XCN40" s="5"/>
      <c r="XCO40" s="5"/>
      <c r="XCP40" s="5"/>
      <c r="XCQ40" s="5"/>
      <c r="XCR40" s="5"/>
      <c r="XCS40" s="5"/>
      <c r="XCT40" s="5"/>
      <c r="XCU40" s="5"/>
      <c r="XCV40" s="5"/>
      <c r="XCW40" s="5"/>
      <c r="XCX40" s="5"/>
      <c r="XCY40" s="5"/>
      <c r="XCZ40" s="5"/>
      <c r="XDA40" s="5"/>
      <c r="XDB40" s="5"/>
      <c r="XDC40" s="5"/>
      <c r="XDD40" s="5"/>
      <c r="XDE40" s="5"/>
      <c r="XDF40" s="5"/>
      <c r="XDG40" s="5"/>
      <c r="XDH40" s="5"/>
      <c r="XDI40" s="5"/>
      <c r="XDJ40" s="5"/>
      <c r="XDK40" s="5"/>
      <c r="XDL40" s="5"/>
      <c r="XDM40" s="5"/>
      <c r="XDN40" s="5"/>
      <c r="XDO40" s="5"/>
      <c r="XDP40" s="5"/>
      <c r="XDQ40" s="5"/>
      <c r="XDR40" s="5"/>
      <c r="XDS40" s="5"/>
      <c r="XDT40" s="5"/>
      <c r="XDU40" s="5"/>
      <c r="XDV40" s="5"/>
      <c r="XDW40" s="5"/>
      <c r="XDX40" s="5"/>
      <c r="XDY40" s="5"/>
      <c r="XDZ40" s="5"/>
      <c r="XEA40" s="5"/>
      <c r="XEB40" s="5"/>
      <c r="XEC40" s="5"/>
      <c r="XED40" s="5"/>
      <c r="XEE40" s="5"/>
      <c r="XEF40" s="5"/>
    </row>
    <row r="41" s="1" customFormat="1" ht="16.5" spans="1:6 16248:16360">
      <c r="A41" s="8">
        <v>39</v>
      </c>
      <c r="B41" s="9" t="s">
        <v>103</v>
      </c>
      <c r="C41" s="8">
        <v>2</v>
      </c>
      <c r="D41" s="8">
        <v>1</v>
      </c>
      <c r="E41" s="8">
        <v>16.5</v>
      </c>
      <c r="F41" s="8">
        <v>16.5</v>
      </c>
      <c r="WZX41"/>
      <c r="WZY41"/>
      <c r="WZZ41"/>
      <c r="XAA41"/>
      <c r="XAB41"/>
      <c r="XAC41"/>
      <c r="XAD41"/>
      <c r="XAE41"/>
      <c r="XAF41"/>
      <c r="XAG41"/>
      <c r="XAH41"/>
      <c r="XAI41"/>
      <c r="XAJ41"/>
      <c r="XAK41"/>
      <c r="XAL41"/>
      <c r="XAM41"/>
      <c r="XAN41"/>
      <c r="XAO41"/>
      <c r="XAP41"/>
      <c r="XAQ41"/>
      <c r="XAR41"/>
      <c r="XAS41"/>
      <c r="XAT41"/>
      <c r="XAU41"/>
      <c r="XAV41"/>
      <c r="XAW41"/>
      <c r="XAX41"/>
      <c r="XAY41"/>
      <c r="XAZ41"/>
      <c r="XBA41"/>
      <c r="XBB41"/>
      <c r="XBC41"/>
      <c r="XBD41"/>
      <c r="XBE41"/>
      <c r="XBF41"/>
      <c r="XBG41"/>
      <c r="XBH41"/>
      <c r="XBI41"/>
      <c r="XBJ41"/>
      <c r="XBK41" s="5"/>
      <c r="XBL41" s="5"/>
      <c r="XBM41" s="5"/>
      <c r="XBN41" s="5"/>
      <c r="XBO41" s="5"/>
      <c r="XBP41" s="5"/>
      <c r="XBQ41" s="5"/>
      <c r="XBR41" s="5"/>
      <c r="XBS41" s="5"/>
      <c r="XBT41" s="5"/>
      <c r="XBU41" s="5"/>
      <c r="XBV41" s="5"/>
      <c r="XBW41" s="5"/>
      <c r="XBX41" s="5"/>
      <c r="XBY41" s="5"/>
      <c r="XBZ41" s="5"/>
      <c r="XCA41" s="5"/>
      <c r="XCB41" s="5"/>
      <c r="XCC41" s="5"/>
      <c r="XCD41" s="5"/>
      <c r="XCE41" s="5"/>
      <c r="XCF41" s="5"/>
      <c r="XCG41" s="5"/>
      <c r="XCH41" s="5"/>
      <c r="XCI41" s="5"/>
      <c r="XCJ41" s="5"/>
      <c r="XCK41" s="5"/>
      <c r="XCL41" s="5"/>
      <c r="XCM41" s="5"/>
      <c r="XCN41" s="5"/>
      <c r="XCO41" s="5"/>
      <c r="XCP41" s="5"/>
      <c r="XCQ41" s="5"/>
      <c r="XCR41" s="5"/>
      <c r="XCS41" s="5"/>
      <c r="XCT41" s="5"/>
      <c r="XCU41" s="5"/>
      <c r="XCV41" s="5"/>
      <c r="XCW41" s="5"/>
      <c r="XCX41" s="5"/>
      <c r="XCY41" s="5"/>
      <c r="XCZ41" s="5"/>
      <c r="XDA41" s="5"/>
      <c r="XDB41" s="5"/>
      <c r="XDC41" s="5"/>
      <c r="XDD41" s="5"/>
      <c r="XDE41" s="5"/>
      <c r="XDF41" s="5"/>
      <c r="XDG41" s="5"/>
      <c r="XDH41" s="5"/>
      <c r="XDI41" s="5"/>
      <c r="XDJ41" s="5"/>
      <c r="XDK41" s="5"/>
      <c r="XDL41" s="5"/>
      <c r="XDM41" s="5"/>
      <c r="XDN41" s="5"/>
      <c r="XDO41" s="5"/>
      <c r="XDP41" s="5"/>
      <c r="XDQ41" s="5"/>
      <c r="XDR41" s="5"/>
      <c r="XDS41" s="5"/>
      <c r="XDT41" s="5"/>
      <c r="XDU41" s="5"/>
      <c r="XDV41" s="5"/>
      <c r="XDW41" s="5"/>
      <c r="XDX41" s="5"/>
      <c r="XDY41" s="5"/>
      <c r="XDZ41" s="5"/>
      <c r="XEA41" s="5"/>
      <c r="XEB41" s="5"/>
      <c r="XEC41" s="5"/>
      <c r="XED41" s="5"/>
      <c r="XEE41" s="5"/>
      <c r="XEF41" s="5"/>
    </row>
    <row r="42" s="1" customFormat="1" ht="16.5" spans="1:6 16248:16360">
      <c r="A42" s="8">
        <v>40</v>
      </c>
      <c r="B42" s="9" t="s">
        <v>104</v>
      </c>
      <c r="C42" s="8">
        <v>0</v>
      </c>
      <c r="D42" s="8">
        <v>2</v>
      </c>
      <c r="E42" s="8">
        <v>25</v>
      </c>
      <c r="F42" s="8">
        <v>50</v>
      </c>
      <c r="WZX42"/>
      <c r="WZY42"/>
      <c r="WZZ42"/>
      <c r="XAA42"/>
      <c r="XAB42"/>
      <c r="XAC42"/>
      <c r="XAD42"/>
      <c r="XAE42"/>
      <c r="XAF42"/>
      <c r="XAG42"/>
      <c r="XAH42"/>
      <c r="XAI42"/>
      <c r="XAJ42"/>
      <c r="XAK42"/>
      <c r="XAL42"/>
      <c r="XAM42"/>
      <c r="XAN42"/>
      <c r="XAO42"/>
      <c r="XAP42"/>
      <c r="XAQ42"/>
      <c r="XAR42"/>
      <c r="XAS42"/>
      <c r="XAT42"/>
      <c r="XAU42"/>
      <c r="XAV42"/>
      <c r="XAW42"/>
      <c r="XAX42"/>
      <c r="XAY42"/>
      <c r="XAZ42"/>
      <c r="XBA42"/>
      <c r="XBB42"/>
      <c r="XBC42"/>
      <c r="XBD42"/>
      <c r="XBE42"/>
      <c r="XBF42"/>
      <c r="XBG42"/>
      <c r="XBH42"/>
      <c r="XBI42"/>
      <c r="XBJ42"/>
      <c r="XBK42" s="5"/>
      <c r="XBL42" s="5"/>
      <c r="XBM42" s="5"/>
      <c r="XBN42" s="5"/>
      <c r="XBO42" s="5"/>
      <c r="XBP42" s="5"/>
      <c r="XBQ42" s="5"/>
      <c r="XBR42" s="5"/>
      <c r="XBS42" s="5"/>
      <c r="XBT42" s="5"/>
      <c r="XBU42" s="5"/>
      <c r="XBV42" s="5"/>
      <c r="XBW42" s="5"/>
      <c r="XBX42" s="5"/>
      <c r="XBY42" s="5"/>
      <c r="XBZ42" s="5"/>
      <c r="XCA42" s="5"/>
      <c r="XCB42" s="5"/>
      <c r="XCC42" s="5"/>
      <c r="XCD42" s="5"/>
      <c r="XCE42" s="5"/>
      <c r="XCF42" s="5"/>
      <c r="XCG42" s="5"/>
      <c r="XCH42" s="5"/>
      <c r="XCI42" s="5"/>
      <c r="XCJ42" s="5"/>
      <c r="XCK42" s="5"/>
      <c r="XCL42" s="5"/>
      <c r="XCM42" s="5"/>
      <c r="XCN42" s="5"/>
      <c r="XCO42" s="5"/>
      <c r="XCP42" s="5"/>
      <c r="XCQ42" s="5"/>
      <c r="XCR42" s="5"/>
      <c r="XCS42" s="5"/>
      <c r="XCT42" s="5"/>
      <c r="XCU42" s="5"/>
      <c r="XCV42" s="5"/>
      <c r="XCW42" s="5"/>
      <c r="XCX42" s="5"/>
      <c r="XCY42" s="5"/>
      <c r="XCZ42" s="5"/>
      <c r="XDA42" s="5"/>
      <c r="XDB42" s="5"/>
      <c r="XDC42" s="5"/>
      <c r="XDD42" s="5"/>
      <c r="XDE42" s="5"/>
      <c r="XDF42" s="5"/>
      <c r="XDG42" s="5"/>
      <c r="XDH42" s="5"/>
      <c r="XDI42" s="5"/>
      <c r="XDJ42" s="5"/>
      <c r="XDK42" s="5"/>
      <c r="XDL42" s="5"/>
      <c r="XDM42" s="5"/>
      <c r="XDN42" s="5"/>
      <c r="XDO42" s="5"/>
      <c r="XDP42" s="5"/>
      <c r="XDQ42" s="5"/>
      <c r="XDR42" s="5"/>
      <c r="XDS42" s="5"/>
      <c r="XDT42" s="5"/>
      <c r="XDU42" s="5"/>
      <c r="XDV42" s="5"/>
      <c r="XDW42" s="5"/>
      <c r="XDX42" s="5"/>
      <c r="XDY42" s="5"/>
      <c r="XDZ42" s="5"/>
      <c r="XEA42" s="5"/>
      <c r="XEB42" s="5"/>
      <c r="XEC42" s="5"/>
      <c r="XED42" s="5"/>
      <c r="XEE42" s="5"/>
      <c r="XEF42" s="5"/>
    </row>
    <row r="43" s="1" customFormat="1" ht="16.5" customHeight="1" spans="1:6 16248:16360">
      <c r="A43" s="8">
        <v>41</v>
      </c>
      <c r="B43" s="9" t="s">
        <v>105</v>
      </c>
      <c r="C43" s="8">
        <v>0</v>
      </c>
      <c r="D43" s="8">
        <v>1</v>
      </c>
      <c r="E43" s="8">
        <v>25</v>
      </c>
      <c r="F43" s="8">
        <v>25</v>
      </c>
      <c r="WZX43"/>
      <c r="WZY43"/>
      <c r="WZZ43"/>
      <c r="XAA43"/>
      <c r="XAB43"/>
      <c r="XAC43"/>
      <c r="XAD43"/>
      <c r="XAE43"/>
      <c r="XAF43"/>
      <c r="XAG43"/>
      <c r="XAH43"/>
      <c r="XAI43"/>
      <c r="XAJ43"/>
      <c r="XAK43"/>
      <c r="XAL43"/>
      <c r="XAM43"/>
      <c r="XAN43"/>
      <c r="XAO43"/>
      <c r="XAP43"/>
      <c r="XAQ43"/>
      <c r="XAR43"/>
      <c r="XAS43"/>
      <c r="XAT43"/>
      <c r="XAU43"/>
      <c r="XAV43"/>
      <c r="XAW43"/>
      <c r="XAX43"/>
      <c r="XAY43"/>
      <c r="XAZ43"/>
      <c r="XBA43"/>
      <c r="XBB43"/>
      <c r="XBC43"/>
      <c r="XBD43"/>
      <c r="XBE43"/>
      <c r="XBF43"/>
      <c r="XBG43"/>
      <c r="XBH43"/>
      <c r="XBI43"/>
      <c r="XBJ43"/>
      <c r="XBK43" s="5"/>
      <c r="XBL43" s="5"/>
      <c r="XBM43" s="5"/>
      <c r="XBN43" s="5"/>
      <c r="XBO43" s="5"/>
      <c r="XBP43" s="5"/>
      <c r="XBQ43" s="5"/>
      <c r="XBR43" s="5"/>
      <c r="XBS43" s="5"/>
      <c r="XBT43" s="5"/>
      <c r="XBU43" s="5"/>
      <c r="XBV43" s="5"/>
      <c r="XBW43" s="5"/>
      <c r="XBX43" s="5"/>
      <c r="XBY43" s="5"/>
      <c r="XBZ43" s="5"/>
      <c r="XCA43" s="5"/>
      <c r="XCB43" s="5"/>
      <c r="XCC43" s="5"/>
      <c r="XCD43" s="5"/>
      <c r="XCE43" s="5"/>
      <c r="XCF43" s="5"/>
      <c r="XCG43" s="5"/>
      <c r="XCH43" s="5"/>
      <c r="XCI43" s="5"/>
      <c r="XCJ43" s="5"/>
      <c r="XCK43" s="5"/>
      <c r="XCL43" s="5"/>
      <c r="XCM43" s="5"/>
      <c r="XCN43" s="5"/>
      <c r="XCO43" s="5"/>
      <c r="XCP43" s="5"/>
      <c r="XCQ43" s="5"/>
      <c r="XCR43" s="5"/>
      <c r="XCS43" s="5"/>
      <c r="XCT43" s="5"/>
      <c r="XCU43" s="5"/>
      <c r="XCV43" s="5"/>
      <c r="XCW43" s="5"/>
      <c r="XCX43" s="5"/>
      <c r="XCY43" s="5"/>
      <c r="XCZ43" s="5"/>
      <c r="XDA43" s="5"/>
      <c r="XDB43" s="5"/>
      <c r="XDC43" s="5"/>
      <c r="XDD43" s="5"/>
      <c r="XDE43" s="5"/>
      <c r="XDF43" s="5"/>
      <c r="XDG43" s="5"/>
      <c r="XDH43" s="5"/>
      <c r="XDI43" s="5"/>
      <c r="XDJ43" s="5"/>
      <c r="XDK43" s="5"/>
      <c r="XDL43" s="5"/>
      <c r="XDM43" s="5"/>
      <c r="XDN43" s="5"/>
      <c r="XDO43" s="5"/>
      <c r="XDP43" s="5"/>
      <c r="XDQ43" s="5"/>
      <c r="XDR43" s="5"/>
      <c r="XDS43" s="5"/>
      <c r="XDT43" s="5"/>
      <c r="XDU43" s="5"/>
      <c r="XDV43" s="5"/>
      <c r="XDW43" s="5"/>
      <c r="XDX43" s="5"/>
      <c r="XDY43" s="5"/>
      <c r="XDZ43" s="5"/>
      <c r="XEA43" s="5"/>
      <c r="XEB43" s="5"/>
      <c r="XEC43" s="5"/>
      <c r="XED43" s="5"/>
      <c r="XEE43" s="5"/>
      <c r="XEF43" s="5"/>
    </row>
    <row r="44" s="1" customFormat="1" ht="16.5" customHeight="1" spans="1:6 16248:16360">
      <c r="A44" s="8">
        <v>42</v>
      </c>
      <c r="B44" s="9" t="s">
        <v>21</v>
      </c>
      <c r="C44" s="8">
        <v>6</v>
      </c>
      <c r="D44" s="8">
        <v>3</v>
      </c>
      <c r="E44" s="8">
        <v>16.5</v>
      </c>
      <c r="F44" s="8">
        <v>49.5</v>
      </c>
      <c r="WZX44"/>
      <c r="WZY44"/>
      <c r="WZZ44"/>
      <c r="XAA44"/>
      <c r="XAB44"/>
      <c r="XAC44"/>
      <c r="XAD44"/>
      <c r="XAE44"/>
      <c r="XAF44"/>
      <c r="XAG44"/>
      <c r="XAH44"/>
      <c r="XAI44"/>
      <c r="XAJ44"/>
      <c r="XAK44"/>
      <c r="XAL44"/>
      <c r="XAM44"/>
      <c r="XAN44"/>
      <c r="XAO44"/>
      <c r="XAP44"/>
      <c r="XAQ44"/>
      <c r="XAR44"/>
      <c r="XAS44"/>
      <c r="XAT44"/>
      <c r="XAU44"/>
      <c r="XAV44"/>
      <c r="XAW44"/>
      <c r="XAX44"/>
      <c r="XAY44"/>
      <c r="XAZ44"/>
      <c r="XBA44"/>
      <c r="XBB44"/>
      <c r="XBC44"/>
      <c r="XBD44"/>
      <c r="XBE44"/>
      <c r="XBF44"/>
      <c r="XBG44"/>
      <c r="XBH44"/>
      <c r="XBI44"/>
      <c r="XBJ44"/>
      <c r="XBK44" s="5"/>
      <c r="XBL44" s="5"/>
      <c r="XBM44" s="5"/>
      <c r="XBN44" s="5"/>
      <c r="XBO44" s="5"/>
      <c r="XBP44" s="5"/>
      <c r="XBQ44" s="5"/>
      <c r="XBR44" s="5"/>
      <c r="XBS44" s="5"/>
      <c r="XBT44" s="5"/>
      <c r="XBU44" s="5"/>
      <c r="XBV44" s="5"/>
      <c r="XBW44" s="5"/>
      <c r="XBX44" s="5"/>
      <c r="XBY44" s="5"/>
      <c r="XBZ44" s="5"/>
      <c r="XCA44" s="5"/>
      <c r="XCB44" s="5"/>
      <c r="XCC44" s="5"/>
      <c r="XCD44" s="5"/>
      <c r="XCE44" s="5"/>
      <c r="XCF44" s="5"/>
      <c r="XCG44" s="5"/>
      <c r="XCH44" s="5"/>
      <c r="XCI44" s="5"/>
      <c r="XCJ44" s="5"/>
      <c r="XCK44" s="5"/>
      <c r="XCL44" s="5"/>
      <c r="XCM44" s="5"/>
      <c r="XCN44" s="5"/>
      <c r="XCO44" s="5"/>
      <c r="XCP44" s="5"/>
      <c r="XCQ44" s="5"/>
      <c r="XCR44" s="5"/>
      <c r="XCS44" s="5"/>
      <c r="XCT44" s="5"/>
      <c r="XCU44" s="5"/>
      <c r="XCV44" s="5"/>
      <c r="XCW44" s="5"/>
      <c r="XCX44" s="5"/>
      <c r="XCY44" s="5"/>
      <c r="XCZ44" s="5"/>
      <c r="XDA44" s="5"/>
      <c r="XDB44" s="5"/>
      <c r="XDC44" s="5"/>
      <c r="XDD44" s="5"/>
      <c r="XDE44" s="5"/>
      <c r="XDF44" s="5"/>
      <c r="XDG44" s="5"/>
      <c r="XDH44" s="5"/>
      <c r="XDI44" s="5"/>
      <c r="XDJ44" s="5"/>
      <c r="XDK44" s="5"/>
      <c r="XDL44" s="5"/>
      <c r="XDM44" s="5"/>
      <c r="XDN44" s="5"/>
      <c r="XDO44" s="5"/>
      <c r="XDP44" s="5"/>
      <c r="XDQ44" s="5"/>
      <c r="XDR44" s="5"/>
      <c r="XDS44" s="5"/>
      <c r="XDT44" s="5"/>
      <c r="XDU44" s="5"/>
      <c r="XDV44" s="5"/>
      <c r="XDW44" s="5"/>
      <c r="XDX44" s="5"/>
      <c r="XDY44" s="5"/>
      <c r="XDZ44" s="5"/>
      <c r="XEA44" s="5"/>
      <c r="XEB44" s="5"/>
      <c r="XEC44" s="5"/>
      <c r="XED44" s="5"/>
      <c r="XEE44" s="5"/>
      <c r="XEF44" s="5"/>
    </row>
    <row r="45" s="1" customFormat="1" ht="16.5" customHeight="1" spans="1:6 16248:16360">
      <c r="A45" s="8">
        <v>43</v>
      </c>
      <c r="B45" s="9" t="s">
        <v>106</v>
      </c>
      <c r="C45" s="8">
        <v>6</v>
      </c>
      <c r="D45" s="8">
        <v>2</v>
      </c>
      <c r="E45" s="8">
        <v>16.5</v>
      </c>
      <c r="F45" s="8">
        <v>33</v>
      </c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/>
      <c r="XBJ45"/>
      <c r="XBK45" s="5"/>
      <c r="XBL45" s="5"/>
      <c r="XBM45" s="5"/>
      <c r="XBN45" s="5"/>
      <c r="XBO45" s="5"/>
      <c r="XBP45" s="5"/>
      <c r="XBQ45" s="5"/>
      <c r="XBR45" s="5"/>
      <c r="XBS45" s="5"/>
      <c r="XBT45" s="5"/>
      <c r="XBU45" s="5"/>
      <c r="XBV45" s="5"/>
      <c r="XBW45" s="5"/>
      <c r="XBX45" s="5"/>
      <c r="XBY45" s="5"/>
      <c r="XBZ45" s="5"/>
      <c r="XCA45" s="5"/>
      <c r="XCB45" s="5"/>
      <c r="XCC45" s="5"/>
      <c r="XCD45" s="5"/>
      <c r="XCE45" s="5"/>
      <c r="XCF45" s="5"/>
      <c r="XCG45" s="5"/>
      <c r="XCH45" s="5"/>
      <c r="XCI45" s="5"/>
      <c r="XCJ45" s="5"/>
      <c r="XCK45" s="5"/>
      <c r="XCL45" s="5"/>
      <c r="XCM45" s="5"/>
      <c r="XCN45" s="5"/>
      <c r="XCO45" s="5"/>
      <c r="XCP45" s="5"/>
      <c r="XCQ45" s="5"/>
      <c r="XCR45" s="5"/>
      <c r="XCS45" s="5"/>
      <c r="XCT45" s="5"/>
      <c r="XCU45" s="5"/>
      <c r="XCV45" s="5"/>
      <c r="XCW45" s="5"/>
      <c r="XCX45" s="5"/>
      <c r="XCY45" s="5"/>
      <c r="XCZ45" s="5"/>
      <c r="XDA45" s="5"/>
      <c r="XDB45" s="5"/>
      <c r="XDC45" s="5"/>
      <c r="XDD45" s="5"/>
      <c r="XDE45" s="5"/>
      <c r="XDF45" s="5"/>
      <c r="XDG45" s="5"/>
      <c r="XDH45" s="5"/>
      <c r="XDI45" s="5"/>
      <c r="XDJ45" s="5"/>
      <c r="XDK45" s="5"/>
      <c r="XDL45" s="5"/>
      <c r="XDM45" s="5"/>
      <c r="XDN45" s="5"/>
      <c r="XDO45" s="5"/>
      <c r="XDP45" s="5"/>
      <c r="XDQ45" s="5"/>
      <c r="XDR45" s="5"/>
      <c r="XDS45" s="5"/>
      <c r="XDT45" s="5"/>
      <c r="XDU45" s="5"/>
      <c r="XDV45" s="5"/>
      <c r="XDW45" s="5"/>
      <c r="XDX45" s="5"/>
      <c r="XDY45" s="5"/>
      <c r="XDZ45" s="5"/>
      <c r="XEA45" s="5"/>
      <c r="XEB45" s="5"/>
      <c r="XEC45" s="5"/>
      <c r="XED45" s="5"/>
      <c r="XEE45" s="5"/>
      <c r="XEF45" s="5"/>
    </row>
    <row r="46" s="1" customFormat="1" ht="16.5" customHeight="1" spans="1:6 16248:16360">
      <c r="A46" s="8">
        <v>44</v>
      </c>
      <c r="B46" s="9" t="s">
        <v>23</v>
      </c>
      <c r="C46" s="8">
        <v>1</v>
      </c>
      <c r="D46" s="8">
        <v>1</v>
      </c>
      <c r="E46" s="8">
        <v>16.5</v>
      </c>
      <c r="F46" s="8">
        <v>16.5</v>
      </c>
      <c r="WZX46"/>
      <c r="WZY46"/>
      <c r="WZZ46"/>
      <c r="XAA46"/>
      <c r="XAB46"/>
      <c r="XAC46"/>
      <c r="XAD46"/>
      <c r="XAE46"/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/>
      <c r="XBH46"/>
      <c r="XBI46"/>
      <c r="XBJ46"/>
      <c r="XBK46" s="5"/>
      <c r="XBL46" s="5"/>
      <c r="XBM46" s="5"/>
      <c r="XBN46" s="5"/>
      <c r="XBO46" s="5"/>
      <c r="XBP46" s="5"/>
      <c r="XBQ46" s="5"/>
      <c r="XBR46" s="5"/>
      <c r="XBS46" s="5"/>
      <c r="XBT46" s="5"/>
      <c r="XBU46" s="5"/>
      <c r="XBV46" s="5"/>
      <c r="XBW46" s="5"/>
      <c r="XBX46" s="5"/>
      <c r="XBY46" s="5"/>
      <c r="XBZ46" s="5"/>
      <c r="XCA46" s="5"/>
      <c r="XCB46" s="5"/>
      <c r="XCC46" s="5"/>
      <c r="XCD46" s="5"/>
      <c r="XCE46" s="5"/>
      <c r="XCF46" s="5"/>
      <c r="XCG46" s="5"/>
      <c r="XCH46" s="5"/>
      <c r="XCI46" s="5"/>
      <c r="XCJ46" s="5"/>
      <c r="XCK46" s="5"/>
      <c r="XCL46" s="5"/>
      <c r="XCM46" s="5"/>
      <c r="XCN46" s="5"/>
      <c r="XCO46" s="5"/>
      <c r="XCP46" s="5"/>
      <c r="XCQ46" s="5"/>
      <c r="XCR46" s="5"/>
      <c r="XCS46" s="5"/>
      <c r="XCT46" s="5"/>
      <c r="XCU46" s="5"/>
      <c r="XCV46" s="5"/>
      <c r="XCW46" s="5"/>
      <c r="XCX46" s="5"/>
      <c r="XCY46" s="5"/>
      <c r="XCZ46" s="5"/>
      <c r="XDA46" s="5"/>
      <c r="XDB46" s="5"/>
      <c r="XDC46" s="5"/>
      <c r="XDD46" s="5"/>
      <c r="XDE46" s="5"/>
      <c r="XDF46" s="5"/>
      <c r="XDG46" s="5"/>
      <c r="XDH46" s="5"/>
      <c r="XDI46" s="5"/>
      <c r="XDJ46" s="5"/>
      <c r="XDK46" s="5"/>
      <c r="XDL46" s="5"/>
      <c r="XDM46" s="5"/>
      <c r="XDN46" s="5"/>
      <c r="XDO46" s="5"/>
      <c r="XDP46" s="5"/>
      <c r="XDQ46" s="5"/>
      <c r="XDR46" s="5"/>
      <c r="XDS46" s="5"/>
      <c r="XDT46" s="5"/>
      <c r="XDU46" s="5"/>
      <c r="XDV46" s="5"/>
      <c r="XDW46" s="5"/>
      <c r="XDX46" s="5"/>
      <c r="XDY46" s="5"/>
      <c r="XDZ46" s="5"/>
      <c r="XEA46" s="5"/>
      <c r="XEB46" s="5"/>
      <c r="XEC46" s="5"/>
      <c r="XED46" s="5"/>
      <c r="XEE46" s="5"/>
      <c r="XEF46" s="5"/>
    </row>
    <row r="47" s="1" customFormat="1" ht="16.5" customHeight="1" spans="1:6 16248:16360">
      <c r="A47" s="8">
        <v>45</v>
      </c>
      <c r="B47" s="9" t="s">
        <v>107</v>
      </c>
      <c r="C47" s="8">
        <f>3*D47</f>
        <v>15</v>
      </c>
      <c r="D47" s="8">
        <v>5</v>
      </c>
      <c r="E47" s="8">
        <v>16.5</v>
      </c>
      <c r="F47" s="8">
        <f>E47*D47</f>
        <v>82.5</v>
      </c>
      <c r="WZX47"/>
      <c r="WZY47"/>
      <c r="WZZ47"/>
      <c r="XAA47"/>
      <c r="XAB47"/>
      <c r="XAC47"/>
      <c r="XAD47"/>
      <c r="XAE47"/>
      <c r="XAF47"/>
      <c r="XAG47"/>
      <c r="XAH47"/>
      <c r="XAI47"/>
      <c r="XAJ47"/>
      <c r="XAK47"/>
      <c r="XAL47"/>
      <c r="XAM47"/>
      <c r="XAN47"/>
      <c r="XAO47"/>
      <c r="XAP47"/>
      <c r="XAQ47"/>
      <c r="XAR47"/>
      <c r="XAS47"/>
      <c r="XAT47"/>
      <c r="XAU47"/>
      <c r="XAV47"/>
      <c r="XAW47"/>
      <c r="XAX47"/>
      <c r="XAY47"/>
      <c r="XAZ47"/>
      <c r="XBA47"/>
      <c r="XBB47"/>
      <c r="XBC47"/>
      <c r="XBD47"/>
      <c r="XBE47"/>
      <c r="XBF47"/>
      <c r="XBG47"/>
      <c r="XBH47"/>
      <c r="XBI47"/>
      <c r="XBJ47"/>
      <c r="XBK47" s="5"/>
      <c r="XBL47" s="5"/>
      <c r="XBM47" s="5"/>
      <c r="XBN47" s="5"/>
      <c r="XBO47" s="5"/>
      <c r="XBP47" s="5"/>
      <c r="XBQ47" s="5"/>
      <c r="XBR47" s="5"/>
      <c r="XBS47" s="5"/>
      <c r="XBT47" s="5"/>
      <c r="XBU47" s="5"/>
      <c r="XBV47" s="5"/>
      <c r="XBW47" s="5"/>
      <c r="XBX47" s="5"/>
      <c r="XBY47" s="5"/>
      <c r="XBZ47" s="5"/>
      <c r="XCA47" s="5"/>
      <c r="XCB47" s="5"/>
      <c r="XCC47" s="5"/>
      <c r="XCD47" s="5"/>
      <c r="XCE47" s="5"/>
      <c r="XCF47" s="5"/>
      <c r="XCG47" s="5"/>
      <c r="XCH47" s="5"/>
      <c r="XCI47" s="5"/>
      <c r="XCJ47" s="5"/>
      <c r="XCK47" s="5"/>
      <c r="XCL47" s="5"/>
      <c r="XCM47" s="5"/>
      <c r="XCN47" s="5"/>
      <c r="XCO47" s="5"/>
      <c r="XCP47" s="5"/>
      <c r="XCQ47" s="5"/>
      <c r="XCR47" s="5"/>
      <c r="XCS47" s="5"/>
      <c r="XCT47" s="5"/>
      <c r="XCU47" s="5"/>
      <c r="XCV47" s="5"/>
      <c r="XCW47" s="5"/>
      <c r="XCX47" s="5"/>
      <c r="XCY47" s="5"/>
      <c r="XCZ47" s="5"/>
      <c r="XDA47" s="5"/>
      <c r="XDB47" s="5"/>
      <c r="XDC47" s="5"/>
      <c r="XDD47" s="5"/>
      <c r="XDE47" s="5"/>
      <c r="XDF47" s="5"/>
      <c r="XDG47" s="5"/>
      <c r="XDH47" s="5"/>
      <c r="XDI47" s="5"/>
      <c r="XDJ47" s="5"/>
      <c r="XDK47" s="5"/>
      <c r="XDL47" s="5"/>
      <c r="XDM47" s="5"/>
      <c r="XDN47" s="5"/>
      <c r="XDO47" s="5"/>
      <c r="XDP47" s="5"/>
      <c r="XDQ47" s="5"/>
      <c r="XDR47" s="5"/>
      <c r="XDS47" s="5"/>
      <c r="XDT47" s="5"/>
      <c r="XDU47" s="5"/>
      <c r="XDV47" s="5"/>
      <c r="XDW47" s="5"/>
      <c r="XDX47" s="5"/>
      <c r="XDY47" s="5"/>
      <c r="XDZ47" s="5"/>
      <c r="XEA47" s="5"/>
      <c r="XEB47" s="5"/>
      <c r="XEC47" s="5"/>
      <c r="XED47" s="5"/>
      <c r="XEE47" s="5"/>
      <c r="XEF47" s="5"/>
    </row>
    <row r="48" s="1" customFormat="1" ht="16.5" customHeight="1" spans="1:6 16248:16360">
      <c r="A48" s="8">
        <v>46</v>
      </c>
      <c r="B48" s="9" t="s">
        <v>108</v>
      </c>
      <c r="C48" s="8">
        <v>9</v>
      </c>
      <c r="D48" s="8">
        <v>1</v>
      </c>
      <c r="E48" s="8">
        <v>49.5</v>
      </c>
      <c r="F48" s="8">
        <v>49.5</v>
      </c>
      <c r="WZX48"/>
      <c r="WZY48"/>
      <c r="WZZ48"/>
      <c r="XAA48"/>
      <c r="XAB48"/>
      <c r="XAC48"/>
      <c r="XAD48"/>
      <c r="XAE48"/>
      <c r="XAF48"/>
      <c r="XAG48"/>
      <c r="XAH48"/>
      <c r="XAI48"/>
      <c r="XAJ48"/>
      <c r="XAK48"/>
      <c r="XAL48"/>
      <c r="XAM48"/>
      <c r="XAN48"/>
      <c r="XAO48"/>
      <c r="XAP48"/>
      <c r="XAQ48"/>
      <c r="XAR48"/>
      <c r="XAS48"/>
      <c r="XAT48"/>
      <c r="XAU48"/>
      <c r="XAV48"/>
      <c r="XAW48"/>
      <c r="XAX48"/>
      <c r="XAY48"/>
      <c r="XAZ48"/>
      <c r="XBA48"/>
      <c r="XBB48"/>
      <c r="XBC48"/>
      <c r="XBD48"/>
      <c r="XBE48"/>
      <c r="XBF48"/>
      <c r="XBG48"/>
      <c r="XBH48"/>
      <c r="XBI48"/>
      <c r="XBJ48"/>
      <c r="XBK48" s="5"/>
      <c r="XBL48" s="5"/>
      <c r="XBM48" s="5"/>
      <c r="XBN48" s="5"/>
      <c r="XBO48" s="5"/>
      <c r="XBP48" s="5"/>
      <c r="XBQ48" s="5"/>
      <c r="XBR48" s="5"/>
      <c r="XBS48" s="5"/>
      <c r="XBT48" s="5"/>
      <c r="XBU48" s="5"/>
      <c r="XBV48" s="5"/>
      <c r="XBW48" s="5"/>
      <c r="XBX48" s="5"/>
      <c r="XBY48" s="5"/>
      <c r="XBZ48" s="5"/>
      <c r="XCA48" s="5"/>
      <c r="XCB48" s="5"/>
      <c r="XCC48" s="5"/>
      <c r="XCD48" s="5"/>
      <c r="XCE48" s="5"/>
      <c r="XCF48" s="5"/>
      <c r="XCG48" s="5"/>
      <c r="XCH48" s="5"/>
      <c r="XCI48" s="5"/>
      <c r="XCJ48" s="5"/>
      <c r="XCK48" s="5"/>
      <c r="XCL48" s="5"/>
      <c r="XCM48" s="5"/>
      <c r="XCN48" s="5"/>
      <c r="XCO48" s="5"/>
      <c r="XCP48" s="5"/>
      <c r="XCQ48" s="5"/>
      <c r="XCR48" s="5"/>
      <c r="XCS48" s="5"/>
      <c r="XCT48" s="5"/>
      <c r="XCU48" s="5"/>
      <c r="XCV48" s="5"/>
      <c r="XCW48" s="5"/>
      <c r="XCX48" s="5"/>
      <c r="XCY48" s="5"/>
      <c r="XCZ48" s="5"/>
      <c r="XDA48" s="5"/>
      <c r="XDB48" s="5"/>
      <c r="XDC48" s="5"/>
      <c r="XDD48" s="5"/>
      <c r="XDE48" s="5"/>
      <c r="XDF48" s="5"/>
      <c r="XDG48" s="5"/>
      <c r="XDH48" s="5"/>
      <c r="XDI48" s="5"/>
      <c r="XDJ48" s="5"/>
      <c r="XDK48" s="5"/>
      <c r="XDL48" s="5"/>
      <c r="XDM48" s="5"/>
      <c r="XDN48" s="5"/>
      <c r="XDO48" s="5"/>
      <c r="XDP48" s="5"/>
      <c r="XDQ48" s="5"/>
      <c r="XDR48" s="5"/>
      <c r="XDS48" s="5"/>
      <c r="XDT48" s="5"/>
      <c r="XDU48" s="5"/>
      <c r="XDV48" s="5"/>
      <c r="XDW48" s="5"/>
      <c r="XDX48" s="5"/>
      <c r="XDY48" s="5"/>
      <c r="XDZ48" s="5"/>
      <c r="XEA48" s="5"/>
      <c r="XEB48" s="5"/>
      <c r="XEC48" s="5"/>
      <c r="XED48" s="5"/>
      <c r="XEE48" s="5"/>
      <c r="XEF48" s="5"/>
    </row>
    <row r="49" s="1" customFormat="1" ht="16.5" customHeight="1" spans="1:6 16248:16376">
      <c r="A49" s="8">
        <v>47</v>
      </c>
      <c r="B49" s="9" t="s">
        <v>109</v>
      </c>
      <c r="C49" s="8">
        <v>45</v>
      </c>
      <c r="D49" s="8">
        <v>5</v>
      </c>
      <c r="E49" s="8">
        <v>49.5</v>
      </c>
      <c r="F49" s="8">
        <v>247.5</v>
      </c>
      <c r="WZX49"/>
      <c r="WZY49"/>
      <c r="WZZ49"/>
      <c r="XAA49"/>
      <c r="XAB49"/>
      <c r="XAC49"/>
      <c r="XAD49"/>
      <c r="XAE49"/>
      <c r="XAF49"/>
      <c r="XAG49"/>
      <c r="XAH49"/>
      <c r="XAI49"/>
      <c r="XAJ49"/>
      <c r="XAK49"/>
      <c r="XAL49"/>
      <c r="XAM49"/>
      <c r="XAN49"/>
      <c r="XAO49"/>
      <c r="XAP49"/>
      <c r="XAQ49"/>
      <c r="XAR49"/>
      <c r="XAS49"/>
      <c r="XAT49"/>
      <c r="XAU49"/>
      <c r="XAV49"/>
      <c r="XAW49"/>
      <c r="XAX49"/>
      <c r="XAY49"/>
      <c r="XAZ49"/>
      <c r="XBA49"/>
      <c r="XBB49"/>
      <c r="XBC49"/>
      <c r="XBD49"/>
      <c r="XBE49"/>
      <c r="XBF49"/>
      <c r="XBG49"/>
      <c r="XBH49"/>
      <c r="XBI49"/>
      <c r="XBJ49"/>
      <c r="XBK49" s="5"/>
      <c r="XBL49" s="5"/>
      <c r="XBM49" s="5"/>
      <c r="XBN49" s="5"/>
      <c r="XBO49" s="5"/>
      <c r="XBP49" s="5"/>
      <c r="XBQ49" s="5"/>
      <c r="XBR49" s="5"/>
      <c r="XBS49" s="5"/>
      <c r="XBT49" s="5"/>
      <c r="XBU49" s="5"/>
      <c r="XBV49" s="5"/>
      <c r="XBW49" s="5"/>
      <c r="XBX49" s="5"/>
      <c r="XBY49" s="5"/>
      <c r="XBZ49" s="5"/>
      <c r="XCA49" s="5"/>
      <c r="XCB49" s="5"/>
      <c r="XCC49" s="5"/>
      <c r="XCD49" s="5"/>
      <c r="XCE49" s="5"/>
      <c r="XCF49" s="5"/>
      <c r="XCG49" s="5"/>
      <c r="XCH49" s="5"/>
      <c r="XCI49" s="5"/>
      <c r="XCJ49" s="5"/>
      <c r="XCK49" s="5"/>
      <c r="XCL49" s="5"/>
      <c r="XCM49" s="5"/>
      <c r="XCN49" s="5"/>
      <c r="XCO49" s="5"/>
      <c r="XCP49" s="5"/>
      <c r="XCQ49" s="5"/>
      <c r="XCR49" s="5"/>
      <c r="XCS49" s="5"/>
      <c r="XCT49" s="5"/>
      <c r="XCU49" s="5"/>
      <c r="XCV49" s="5"/>
      <c r="XCW49" s="5"/>
      <c r="XCX49" s="5"/>
      <c r="XCY49" s="5"/>
      <c r="XCZ49" s="5"/>
      <c r="XDA49" s="5"/>
      <c r="XDB49" s="5"/>
      <c r="XDC49" s="5"/>
      <c r="XDD49" s="5"/>
      <c r="XDE49" s="5"/>
      <c r="XDF49" s="5"/>
      <c r="XDG49" s="5"/>
      <c r="XDH49" s="5"/>
      <c r="XDI49" s="5"/>
      <c r="XDJ49" s="5"/>
      <c r="XDK49" s="5"/>
      <c r="XDL49" s="5"/>
      <c r="XDM49" s="5"/>
      <c r="XDN49" s="5"/>
      <c r="XDO49" s="5"/>
      <c r="XDP49" s="5"/>
      <c r="XDQ49" s="5"/>
      <c r="XDR49" s="5"/>
      <c r="XDS49" s="5"/>
      <c r="XDT49" s="5"/>
      <c r="XDU49" s="5"/>
      <c r="XDV49" s="5"/>
      <c r="XDW49" s="5"/>
      <c r="XDX49" s="5"/>
      <c r="XDY49" s="5"/>
      <c r="XDZ49" s="5"/>
      <c r="XEA49" s="5"/>
      <c r="XEB49" s="5"/>
      <c r="XEC49" s="5"/>
      <c r="XED49" s="5"/>
      <c r="XEE49" s="5"/>
      <c r="XEF49" s="5"/>
      <c r="XEG49" s="5"/>
      <c r="XEH49" s="5"/>
      <c r="XEI49" s="5"/>
      <c r="XEJ49" s="5"/>
      <c r="XEK49" s="5"/>
      <c r="XEL49" s="5"/>
      <c r="XEM49" s="5"/>
      <c r="XEN49" s="5"/>
      <c r="XEO49" s="5"/>
      <c r="XEP49" s="5"/>
      <c r="XEQ49" s="5"/>
      <c r="XER49" s="5"/>
      <c r="XES49" s="5"/>
      <c r="XET49" s="5"/>
      <c r="XEU49" s="5"/>
      <c r="XEV49" s="5"/>
    </row>
    <row r="50" s="1" customFormat="1" ht="16.5" customHeight="1" spans="1:6 16248:16376">
      <c r="A50" s="8">
        <v>48</v>
      </c>
      <c r="B50" s="9" t="s">
        <v>110</v>
      </c>
      <c r="C50" s="8">
        <v>10</v>
      </c>
      <c r="D50" s="8">
        <v>1</v>
      </c>
      <c r="E50" s="8">
        <v>55</v>
      </c>
      <c r="F50" s="8">
        <v>55</v>
      </c>
      <c r="WZX50"/>
      <c r="WZY50"/>
      <c r="WZZ50"/>
      <c r="XAA50"/>
      <c r="XAB50"/>
      <c r="XAC50"/>
      <c r="XAD50"/>
      <c r="XAE50"/>
      <c r="XAF50"/>
      <c r="XAG50"/>
      <c r="XAH50"/>
      <c r="XAI50"/>
      <c r="XAJ50"/>
      <c r="XAK50"/>
      <c r="XAL50"/>
      <c r="XAM50"/>
      <c r="XAN50"/>
      <c r="XAO50"/>
      <c r="XAP50"/>
      <c r="XAQ50"/>
      <c r="XAR50"/>
      <c r="XAS50"/>
      <c r="XAT50"/>
      <c r="XAU50"/>
      <c r="XAV50"/>
      <c r="XAW50"/>
      <c r="XAX50"/>
      <c r="XAY50"/>
      <c r="XAZ50"/>
      <c r="XBA50"/>
      <c r="XBB50"/>
      <c r="XBC50"/>
      <c r="XBD50"/>
      <c r="XBE50"/>
      <c r="XBF50"/>
      <c r="XBG50"/>
      <c r="XBH50"/>
      <c r="XBI50"/>
      <c r="XBJ50"/>
      <c r="XBK50" s="5"/>
      <c r="XBL50" s="5"/>
      <c r="XBM50" s="5"/>
      <c r="XBN50" s="5"/>
      <c r="XBO50" s="5"/>
      <c r="XBP50" s="5"/>
      <c r="XBQ50" s="5"/>
      <c r="XBR50" s="5"/>
      <c r="XBS50" s="5"/>
      <c r="XBT50" s="5"/>
      <c r="XBU50" s="5"/>
      <c r="XBV50" s="5"/>
      <c r="XBW50" s="5"/>
      <c r="XBX50" s="5"/>
      <c r="XBY50" s="5"/>
      <c r="XBZ50" s="5"/>
      <c r="XCA50" s="5"/>
      <c r="XCB50" s="5"/>
      <c r="XCC50" s="5"/>
      <c r="XCD50" s="5"/>
      <c r="XCE50" s="5"/>
      <c r="XCF50" s="5"/>
      <c r="XCG50" s="5"/>
      <c r="XCH50" s="5"/>
      <c r="XCI50" s="5"/>
      <c r="XCJ50" s="5"/>
      <c r="XCK50" s="5"/>
      <c r="XCL50" s="5"/>
      <c r="XCM50" s="5"/>
      <c r="XCN50" s="5"/>
      <c r="XCO50" s="5"/>
      <c r="XCP50" s="5"/>
      <c r="XCQ50" s="5"/>
      <c r="XCR50" s="5"/>
      <c r="XCS50" s="5"/>
      <c r="XCT50" s="5"/>
      <c r="XCU50" s="5"/>
      <c r="XCV50" s="5"/>
      <c r="XCW50" s="5"/>
      <c r="XCX50" s="5"/>
      <c r="XCY50" s="5"/>
      <c r="XCZ50" s="5"/>
      <c r="XDA50" s="5"/>
      <c r="XDB50" s="5"/>
      <c r="XDC50" s="5"/>
      <c r="XDD50" s="5"/>
      <c r="XDE50" s="5"/>
      <c r="XDF50" s="5"/>
      <c r="XDG50" s="5"/>
      <c r="XDH50" s="5"/>
      <c r="XDI50" s="5"/>
      <c r="XDJ50" s="5"/>
      <c r="XDK50" s="5"/>
      <c r="XDL50" s="5"/>
      <c r="XDM50" s="5"/>
      <c r="XDN50" s="5"/>
      <c r="XDO50" s="5"/>
      <c r="XDP50" s="5"/>
      <c r="XDQ50" s="5"/>
      <c r="XDR50" s="5"/>
      <c r="XDS50" s="5"/>
      <c r="XDT50" s="5"/>
      <c r="XDU50" s="5"/>
      <c r="XDV50" s="5"/>
      <c r="XDW50" s="5"/>
      <c r="XDX50" s="5"/>
      <c r="XDY50" s="5"/>
      <c r="XDZ50" s="5"/>
      <c r="XEA50" s="5"/>
      <c r="XEB50" s="5"/>
      <c r="XEC50" s="5"/>
      <c r="XED50" s="5"/>
      <c r="XEE50" s="5"/>
      <c r="XEF50" s="5"/>
      <c r="XEG50" s="5"/>
      <c r="XEH50" s="5"/>
      <c r="XEI50" s="5"/>
      <c r="XEJ50" s="5"/>
      <c r="XEK50" s="5"/>
      <c r="XEL50" s="5"/>
      <c r="XEM50" s="5"/>
      <c r="XEN50" s="5"/>
      <c r="XEO50" s="5"/>
      <c r="XEP50" s="5"/>
      <c r="XEQ50" s="5"/>
      <c r="XER50" s="5"/>
      <c r="XES50" s="5"/>
      <c r="XET50" s="5"/>
      <c r="XEU50" s="5"/>
      <c r="XEV50" s="5"/>
    </row>
    <row r="51" s="1" customFormat="1" ht="16.5" customHeight="1" spans="1:6 16248:16376">
      <c r="A51" s="8">
        <v>49</v>
      </c>
      <c r="B51" s="9" t="s">
        <v>111</v>
      </c>
      <c r="C51" s="8">
        <v>160</v>
      </c>
      <c r="D51" s="8">
        <v>16</v>
      </c>
      <c r="E51" s="8">
        <v>49.5</v>
      </c>
      <c r="F51" s="8">
        <v>792</v>
      </c>
      <c r="WZX51"/>
      <c r="WZY51"/>
      <c r="WZZ51"/>
      <c r="XAA51"/>
      <c r="XAB51"/>
      <c r="XAC51"/>
      <c r="XAD51"/>
      <c r="XAE51"/>
      <c r="XAF51"/>
      <c r="XAG51"/>
      <c r="XAH51"/>
      <c r="XAI51"/>
      <c r="XAJ51"/>
      <c r="XAK51"/>
      <c r="XAL51"/>
      <c r="XAM51"/>
      <c r="XAN51"/>
      <c r="XAO51"/>
      <c r="XAP51"/>
      <c r="XAQ51"/>
      <c r="XAR51"/>
      <c r="XAS51"/>
      <c r="XAT51"/>
      <c r="XAU51"/>
      <c r="XAV51"/>
      <c r="XAW51"/>
      <c r="XAX51"/>
      <c r="XAY51"/>
      <c r="XAZ51"/>
      <c r="XBA51"/>
      <c r="XBB51"/>
      <c r="XBC51"/>
      <c r="XBD51"/>
      <c r="XBE51"/>
      <c r="XBF51"/>
      <c r="XBG51"/>
      <c r="XBH51"/>
      <c r="XBI51"/>
      <c r="XBJ51"/>
      <c r="XBK51" s="5"/>
      <c r="XBL51" s="5"/>
      <c r="XBM51" s="5"/>
      <c r="XBN51" s="5"/>
      <c r="XBO51" s="5"/>
      <c r="XBP51" s="5"/>
      <c r="XBQ51" s="5"/>
      <c r="XBR51" s="5"/>
      <c r="XBS51" s="5"/>
      <c r="XBT51" s="5"/>
      <c r="XBU51" s="5"/>
      <c r="XBV51" s="5"/>
      <c r="XBW51" s="5"/>
      <c r="XBX51" s="5"/>
      <c r="XBY51" s="5"/>
      <c r="XBZ51" s="5"/>
      <c r="XCA51" s="5"/>
      <c r="XCB51" s="5"/>
      <c r="XCC51" s="5"/>
      <c r="XCD51" s="5"/>
      <c r="XCE51" s="5"/>
      <c r="XCF51" s="5"/>
      <c r="XCG51" s="5"/>
      <c r="XCH51" s="5"/>
      <c r="XCI51" s="5"/>
      <c r="XCJ51" s="5"/>
      <c r="XCK51" s="5"/>
      <c r="XCL51" s="5"/>
      <c r="XCM51" s="5"/>
      <c r="XCN51" s="5"/>
      <c r="XCO51" s="5"/>
      <c r="XCP51" s="5"/>
      <c r="XCQ51" s="5"/>
      <c r="XCR51" s="5"/>
      <c r="XCS51" s="5"/>
      <c r="XCT51" s="5"/>
      <c r="XCU51" s="5"/>
      <c r="XCV51" s="5"/>
      <c r="XCW51" s="5"/>
      <c r="XCX51" s="5"/>
      <c r="XCY51" s="5"/>
      <c r="XCZ51" s="5"/>
      <c r="XDA51" s="5"/>
      <c r="XDB51" s="5"/>
      <c r="XDC51" s="5"/>
      <c r="XDD51" s="5"/>
      <c r="XDE51" s="5"/>
      <c r="XDF51" s="5"/>
      <c r="XDG51" s="5"/>
      <c r="XDH51" s="5"/>
      <c r="XDI51" s="5"/>
      <c r="XDJ51" s="5"/>
      <c r="XDK51" s="5"/>
      <c r="XDL51" s="5"/>
      <c r="XDM51" s="5"/>
      <c r="XDN51" s="5"/>
      <c r="XDO51" s="5"/>
      <c r="XDP51" s="5"/>
      <c r="XDQ51" s="5"/>
      <c r="XDR51" s="5"/>
      <c r="XDS51" s="5"/>
      <c r="XDT51" s="5"/>
      <c r="XDU51" s="5"/>
      <c r="XDV51" s="5"/>
      <c r="XDW51" s="5"/>
      <c r="XDX51" s="5"/>
      <c r="XDY51" s="5"/>
      <c r="XDZ51" s="5"/>
      <c r="XEA51" s="5"/>
      <c r="XEB51" s="5"/>
      <c r="XEC51" s="5"/>
      <c r="XED51" s="5"/>
      <c r="XEE51" s="5"/>
      <c r="XEF51" s="5"/>
      <c r="XEG51" s="5"/>
      <c r="XEH51" s="5"/>
      <c r="XEI51" s="5"/>
      <c r="XEJ51" s="5"/>
      <c r="XEK51" s="5"/>
      <c r="XEL51" s="5"/>
      <c r="XEM51" s="5"/>
      <c r="XEN51" s="5"/>
      <c r="XEO51" s="5"/>
      <c r="XEP51" s="5"/>
      <c r="XEQ51" s="5"/>
      <c r="XER51" s="5"/>
      <c r="XES51" s="5"/>
      <c r="XET51" s="5"/>
      <c r="XEU51" s="5"/>
      <c r="XEV51" s="5"/>
    </row>
    <row r="52" s="1" customFormat="1" ht="16.5" customHeight="1" spans="1:6 16248:16376">
      <c r="A52" s="8">
        <v>50</v>
      </c>
      <c r="B52" s="9" t="s">
        <v>112</v>
      </c>
      <c r="C52" s="8">
        <v>153</v>
      </c>
      <c r="D52" s="8">
        <v>17</v>
      </c>
      <c r="E52" s="8">
        <v>49.5</v>
      </c>
      <c r="F52" s="8">
        <v>841.5</v>
      </c>
      <c r="WZX52"/>
      <c r="WZY52"/>
      <c r="WZZ52"/>
      <c r="XAA52"/>
      <c r="XAB52"/>
      <c r="XAC52"/>
      <c r="XAD52"/>
      <c r="XAE52"/>
      <c r="XAF52"/>
      <c r="XAG52"/>
      <c r="XAH52"/>
      <c r="XAI52"/>
      <c r="XAJ52"/>
      <c r="XAK52"/>
      <c r="XAL52"/>
      <c r="XAM52"/>
      <c r="XAN52"/>
      <c r="XAO52"/>
      <c r="XAP52"/>
      <c r="XAQ52"/>
      <c r="XAR52"/>
      <c r="XAS52"/>
      <c r="XAT52"/>
      <c r="XAU52"/>
      <c r="XAV52"/>
      <c r="XAW52"/>
      <c r="XAX52"/>
      <c r="XAY52"/>
      <c r="XAZ52"/>
      <c r="XBA52"/>
      <c r="XBB52"/>
      <c r="XBC52"/>
      <c r="XBD52"/>
      <c r="XBE52"/>
      <c r="XBF52"/>
      <c r="XBG52"/>
      <c r="XBH52"/>
      <c r="XBI52"/>
      <c r="XBJ52"/>
      <c r="XBK52" s="5"/>
      <c r="XBL52" s="5"/>
      <c r="XBM52" s="5"/>
      <c r="XBN52" s="5"/>
      <c r="XBO52" s="5"/>
      <c r="XBP52" s="5"/>
      <c r="XBQ52" s="5"/>
      <c r="XBR52" s="5"/>
      <c r="XBS52" s="5"/>
      <c r="XBT52" s="5"/>
      <c r="XBU52" s="5"/>
      <c r="XBV52" s="5"/>
      <c r="XBW52" s="5"/>
      <c r="XBX52" s="5"/>
      <c r="XBY52" s="5"/>
      <c r="XBZ52" s="5"/>
      <c r="XCA52" s="5"/>
      <c r="XCB52" s="5"/>
      <c r="XCC52" s="5"/>
      <c r="XCD52" s="5"/>
      <c r="XCE52" s="5"/>
      <c r="XCF52" s="5"/>
      <c r="XCG52" s="5"/>
      <c r="XCH52" s="5"/>
      <c r="XCI52" s="5"/>
      <c r="XCJ52" s="5"/>
      <c r="XCK52" s="5"/>
      <c r="XCL52" s="5"/>
      <c r="XCM52" s="5"/>
      <c r="XCN52" s="5"/>
      <c r="XCO52" s="5"/>
      <c r="XCP52" s="5"/>
      <c r="XCQ52" s="5"/>
      <c r="XCR52" s="5"/>
      <c r="XCS52" s="5"/>
      <c r="XCT52" s="5"/>
      <c r="XCU52" s="5"/>
      <c r="XCV52" s="5"/>
      <c r="XCW52" s="5"/>
      <c r="XCX52" s="5"/>
      <c r="XCY52" s="5"/>
      <c r="XCZ52" s="5"/>
      <c r="XDA52" s="5"/>
      <c r="XDB52" s="5"/>
      <c r="XDC52" s="5"/>
      <c r="XDD52" s="5"/>
      <c r="XDE52" s="5"/>
      <c r="XDF52" s="5"/>
      <c r="XDG52" s="5"/>
      <c r="XDH52" s="5"/>
      <c r="XDI52" s="5"/>
      <c r="XDJ52" s="5"/>
      <c r="XDK52" s="5"/>
      <c r="XDL52" s="5"/>
      <c r="XDM52" s="5"/>
      <c r="XDN52" s="5"/>
      <c r="XDO52" s="5"/>
      <c r="XDP52" s="5"/>
      <c r="XDQ52" s="5"/>
      <c r="XDR52" s="5"/>
      <c r="XDS52" s="5"/>
      <c r="XDT52" s="5"/>
      <c r="XDU52" s="5"/>
      <c r="XDV52" s="5"/>
      <c r="XDW52" s="5"/>
      <c r="XDX52" s="5"/>
      <c r="XDY52" s="5"/>
      <c r="XDZ52" s="5"/>
      <c r="XEA52" s="5"/>
      <c r="XEB52" s="5"/>
      <c r="XEC52" s="5"/>
      <c r="XED52" s="5"/>
      <c r="XEE52" s="5"/>
      <c r="XEF52" s="5"/>
      <c r="XEG52" s="5"/>
      <c r="XEH52" s="5"/>
      <c r="XEI52" s="5"/>
      <c r="XEJ52" s="5"/>
      <c r="XEK52" s="5"/>
      <c r="XEL52" s="5"/>
      <c r="XEM52" s="5"/>
      <c r="XEN52" s="5"/>
      <c r="XEO52" s="5"/>
      <c r="XEP52" s="5"/>
      <c r="XEQ52" s="5"/>
      <c r="XER52" s="5"/>
      <c r="XES52" s="5"/>
      <c r="XET52" s="5"/>
      <c r="XEU52" s="5"/>
      <c r="XEV52" s="5"/>
    </row>
    <row r="53" s="1" customFormat="1" ht="16.5" spans="1:6 16248:16376">
      <c r="A53" s="8">
        <v>51</v>
      </c>
      <c r="B53" s="9" t="s">
        <v>113</v>
      </c>
      <c r="C53" s="8">
        <v>4</v>
      </c>
      <c r="D53" s="8">
        <v>1</v>
      </c>
      <c r="E53" s="8">
        <v>22</v>
      </c>
      <c r="F53" s="8">
        <v>22</v>
      </c>
      <c r="WZX53"/>
      <c r="WZY53"/>
      <c r="WZZ53"/>
      <c r="XAA53"/>
      <c r="XAB53"/>
      <c r="XAC53"/>
      <c r="XAD53"/>
      <c r="XAE53"/>
      <c r="XAF53"/>
      <c r="XAG53"/>
      <c r="XAH53"/>
      <c r="XAI53"/>
      <c r="XAJ53"/>
      <c r="XAK53"/>
      <c r="XAL53"/>
      <c r="XAM53"/>
      <c r="XAN53"/>
      <c r="XAO53"/>
      <c r="XAP53"/>
      <c r="XAQ53"/>
      <c r="XAR53"/>
      <c r="XAS53"/>
      <c r="XAT53"/>
      <c r="XAU53"/>
      <c r="XAV53"/>
      <c r="XAW53"/>
      <c r="XAX53"/>
      <c r="XAY53"/>
      <c r="XAZ53"/>
      <c r="XBA53"/>
      <c r="XBB53"/>
      <c r="XBC53"/>
      <c r="XBD53"/>
      <c r="XBE53"/>
      <c r="XBF53"/>
      <c r="XBG53"/>
      <c r="XBH53"/>
      <c r="XBI53"/>
      <c r="XBJ53"/>
      <c r="XBK53" s="5"/>
      <c r="XBL53" s="5"/>
      <c r="XBM53" s="5"/>
      <c r="XBN53" s="5"/>
      <c r="XBO53" s="5"/>
      <c r="XBP53" s="5"/>
      <c r="XBQ53" s="5"/>
      <c r="XBR53" s="5"/>
      <c r="XBS53" s="5"/>
      <c r="XBT53" s="5"/>
      <c r="XBU53" s="5"/>
      <c r="XBV53" s="5"/>
      <c r="XBW53" s="5"/>
      <c r="XBX53" s="5"/>
      <c r="XBY53" s="5"/>
      <c r="XBZ53" s="5"/>
      <c r="XCA53" s="5"/>
      <c r="XCB53" s="5"/>
      <c r="XCC53" s="5"/>
      <c r="XCD53" s="5"/>
      <c r="XCE53" s="5"/>
      <c r="XCF53" s="5"/>
      <c r="XCG53" s="5"/>
      <c r="XCH53" s="5"/>
      <c r="XCI53" s="5"/>
      <c r="XCJ53" s="5"/>
      <c r="XCK53" s="5"/>
      <c r="XCL53" s="5"/>
      <c r="XCM53" s="5"/>
      <c r="XCN53" s="5"/>
      <c r="XCO53" s="5"/>
      <c r="XCP53" s="5"/>
      <c r="XCQ53" s="5"/>
      <c r="XCR53" s="5"/>
      <c r="XCS53" s="5"/>
      <c r="XCT53" s="5"/>
      <c r="XCU53" s="5"/>
      <c r="XCV53" s="5"/>
      <c r="XCW53" s="5"/>
      <c r="XCX53" s="5"/>
      <c r="XCY53" s="5"/>
      <c r="XCZ53" s="5"/>
      <c r="XDA53" s="5"/>
      <c r="XDB53" s="5"/>
      <c r="XDC53" s="5"/>
      <c r="XDD53" s="5"/>
      <c r="XDE53" s="5"/>
      <c r="XDF53" s="5"/>
      <c r="XDG53" s="5"/>
      <c r="XDH53" s="5"/>
      <c r="XDI53" s="5"/>
      <c r="XDJ53" s="5"/>
      <c r="XDK53" s="5"/>
      <c r="XDL53" s="5"/>
      <c r="XDM53" s="5"/>
      <c r="XDN53" s="5"/>
      <c r="XDO53" s="5"/>
      <c r="XDP53" s="5"/>
      <c r="XDQ53" s="5"/>
      <c r="XDR53" s="5"/>
      <c r="XDS53" s="5"/>
      <c r="XDT53" s="5"/>
      <c r="XDU53" s="5"/>
      <c r="XDV53" s="5"/>
      <c r="XDW53" s="5"/>
      <c r="XDX53" s="5"/>
      <c r="XDY53" s="5"/>
      <c r="XDZ53" s="5"/>
      <c r="XEA53" s="5"/>
      <c r="XEB53" s="5"/>
      <c r="XEC53" s="5"/>
      <c r="XED53" s="5"/>
      <c r="XEE53" s="5"/>
      <c r="XEF53" s="5"/>
      <c r="XEG53" s="5"/>
      <c r="XEH53" s="5"/>
      <c r="XEI53" s="5"/>
      <c r="XEJ53" s="5"/>
      <c r="XEK53" s="5"/>
      <c r="XEL53" s="5"/>
      <c r="XEM53" s="5"/>
      <c r="XEN53" s="5"/>
      <c r="XEO53" s="5"/>
      <c r="XEP53" s="5"/>
      <c r="XEQ53" s="5"/>
      <c r="XER53" s="5"/>
      <c r="XES53" s="5"/>
      <c r="XET53" s="5"/>
      <c r="XEU53" s="5"/>
      <c r="XEV53" s="5"/>
    </row>
    <row r="54" s="1" customFormat="1" ht="16.5" spans="1:6 16248:16376">
      <c r="A54" s="8">
        <v>52</v>
      </c>
      <c r="B54" s="9" t="s">
        <v>114</v>
      </c>
      <c r="C54" s="8">
        <v>1</v>
      </c>
      <c r="D54" s="8">
        <v>1</v>
      </c>
      <c r="E54" s="8">
        <v>16.5</v>
      </c>
      <c r="F54" s="8">
        <v>16.5</v>
      </c>
      <c r="WZX54"/>
      <c r="WZY54"/>
      <c r="WZZ54"/>
      <c r="XAA54"/>
      <c r="XAB54"/>
      <c r="XAC54"/>
      <c r="XAD54"/>
      <c r="XAE54"/>
      <c r="XAF54"/>
      <c r="XAG54"/>
      <c r="XAH54"/>
      <c r="XAI54"/>
      <c r="XAJ54"/>
      <c r="XAK54"/>
      <c r="XAL54"/>
      <c r="XAM54"/>
      <c r="XAN54"/>
      <c r="XAO54"/>
      <c r="XAP54"/>
      <c r="XAQ54"/>
      <c r="XAR54"/>
      <c r="XAS54"/>
      <c r="XAT54"/>
      <c r="XAU54"/>
      <c r="XAV54"/>
      <c r="XAW54"/>
      <c r="XAX54"/>
      <c r="XAY54"/>
      <c r="XAZ54"/>
      <c r="XBA54"/>
      <c r="XBB54"/>
      <c r="XBC54"/>
      <c r="XBD54"/>
      <c r="XBE54"/>
      <c r="XBF54"/>
      <c r="XBG54"/>
      <c r="XBH54"/>
      <c r="XBI54"/>
      <c r="XBJ54"/>
      <c r="XBK54" s="5"/>
      <c r="XBL54" s="5"/>
      <c r="XBM54" s="5"/>
      <c r="XBN54" s="5"/>
      <c r="XBO54" s="5"/>
      <c r="XBP54" s="5"/>
      <c r="XBQ54" s="5"/>
      <c r="XBR54" s="5"/>
      <c r="XBS54" s="5"/>
      <c r="XBT54" s="5"/>
      <c r="XBU54" s="5"/>
      <c r="XBV54" s="5"/>
      <c r="XBW54" s="5"/>
      <c r="XBX54" s="5"/>
      <c r="XBY54" s="5"/>
      <c r="XBZ54" s="5"/>
      <c r="XCA54" s="5"/>
      <c r="XCB54" s="5"/>
      <c r="XCC54" s="5"/>
      <c r="XCD54" s="5"/>
      <c r="XCE54" s="5"/>
      <c r="XCF54" s="5"/>
      <c r="XCG54" s="5"/>
      <c r="XCH54" s="5"/>
      <c r="XCI54" s="5"/>
      <c r="XCJ54" s="5"/>
      <c r="XCK54" s="5"/>
      <c r="XCL54" s="5"/>
      <c r="XCM54" s="5"/>
      <c r="XCN54" s="5"/>
      <c r="XCO54" s="5"/>
      <c r="XCP54" s="5"/>
      <c r="XCQ54" s="5"/>
      <c r="XCR54" s="5"/>
      <c r="XCS54" s="5"/>
      <c r="XCT54" s="5"/>
      <c r="XCU54" s="5"/>
      <c r="XCV54" s="5"/>
      <c r="XCW54" s="5"/>
      <c r="XCX54" s="5"/>
      <c r="XCY54" s="5"/>
      <c r="XCZ54" s="5"/>
      <c r="XDA54" s="5"/>
      <c r="XDB54" s="5"/>
      <c r="XDC54" s="5"/>
      <c r="XDD54" s="5"/>
      <c r="XDE54" s="5"/>
      <c r="XDF54" s="5"/>
      <c r="XDG54" s="5"/>
      <c r="XDH54" s="5"/>
      <c r="XDI54" s="5"/>
      <c r="XDJ54" s="5"/>
      <c r="XDK54" s="5"/>
      <c r="XDL54" s="5"/>
      <c r="XDM54" s="5"/>
      <c r="XDN54" s="5"/>
      <c r="XDO54" s="5"/>
      <c r="XDP54" s="5"/>
      <c r="XDQ54" s="5"/>
      <c r="XDR54" s="5"/>
      <c r="XDS54" s="5"/>
      <c r="XDT54" s="5"/>
      <c r="XDU54" s="5"/>
      <c r="XDV54" s="5"/>
      <c r="XDW54" s="5"/>
      <c r="XDX54" s="5"/>
      <c r="XDY54" s="5"/>
      <c r="XDZ54" s="5"/>
      <c r="XEA54" s="5"/>
      <c r="XEB54" s="5"/>
      <c r="XEC54" s="5"/>
      <c r="XED54" s="5"/>
      <c r="XEE54" s="5"/>
      <c r="XEF54" s="5"/>
      <c r="XEG54" s="5"/>
      <c r="XEH54" s="5"/>
      <c r="XEI54" s="5"/>
      <c r="XEJ54" s="5"/>
      <c r="XEK54" s="5"/>
      <c r="XEL54" s="5"/>
      <c r="XEM54" s="5"/>
      <c r="XEN54" s="5"/>
      <c r="XEO54" s="5"/>
      <c r="XEP54" s="5"/>
      <c r="XEQ54" s="5"/>
      <c r="XER54" s="5"/>
      <c r="XES54" s="5"/>
      <c r="XET54" s="5"/>
      <c r="XEU54" s="5"/>
      <c r="XEV54" s="5"/>
    </row>
    <row r="55" s="1" customFormat="1" ht="16.5" spans="1:6 16248:16376">
      <c r="A55" s="8">
        <v>53</v>
      </c>
      <c r="B55" s="9" t="s">
        <v>115</v>
      </c>
      <c r="C55" s="8">
        <v>8</v>
      </c>
      <c r="D55" s="8">
        <v>4</v>
      </c>
      <c r="E55" s="8">
        <v>16.5</v>
      </c>
      <c r="F55" s="8">
        <v>66</v>
      </c>
      <c r="WZX55"/>
      <c r="WZY55"/>
      <c r="WZZ55"/>
      <c r="XAA55"/>
      <c r="XAB55"/>
      <c r="XAC55"/>
      <c r="XAD55"/>
      <c r="XAE55"/>
      <c r="XAF55"/>
      <c r="XAG55"/>
      <c r="XAH55"/>
      <c r="XAI55"/>
      <c r="XAJ55"/>
      <c r="XAK55"/>
      <c r="XAL55"/>
      <c r="XAM55"/>
      <c r="XAN55"/>
      <c r="XAO55"/>
      <c r="XAP55"/>
      <c r="XAQ55"/>
      <c r="XAR55"/>
      <c r="XAS55"/>
      <c r="XAT55"/>
      <c r="XAU55"/>
      <c r="XAV55"/>
      <c r="XAW55"/>
      <c r="XAX55"/>
      <c r="XAY55"/>
      <c r="XAZ55"/>
      <c r="XBA55"/>
      <c r="XBB55"/>
      <c r="XBC55"/>
      <c r="XBD55"/>
      <c r="XBE55"/>
      <c r="XBF55"/>
      <c r="XBG55"/>
      <c r="XBH55"/>
      <c r="XBI55"/>
      <c r="XBJ55"/>
      <c r="XBK55" s="5"/>
      <c r="XBL55" s="5"/>
      <c r="XBM55" s="5"/>
      <c r="XBN55" s="5"/>
      <c r="XBO55" s="5"/>
      <c r="XBP55" s="5"/>
      <c r="XBQ55" s="5"/>
      <c r="XBR55" s="5"/>
      <c r="XBS55" s="5"/>
      <c r="XBT55" s="5"/>
      <c r="XBU55" s="5"/>
      <c r="XBV55" s="5"/>
      <c r="XBW55" s="5"/>
      <c r="XBX55" s="5"/>
      <c r="XBY55" s="5"/>
      <c r="XBZ55" s="5"/>
      <c r="XCA55" s="5"/>
      <c r="XCB55" s="5"/>
      <c r="XCC55" s="5"/>
      <c r="XCD55" s="5"/>
      <c r="XCE55" s="5"/>
      <c r="XCF55" s="5"/>
      <c r="XCG55" s="5"/>
      <c r="XCH55" s="5"/>
      <c r="XCI55" s="5"/>
      <c r="XCJ55" s="5"/>
      <c r="XCK55" s="5"/>
      <c r="XCL55" s="5"/>
      <c r="XCM55" s="5"/>
      <c r="XCN55" s="5"/>
      <c r="XCO55" s="5"/>
      <c r="XCP55" s="5"/>
      <c r="XCQ55" s="5"/>
      <c r="XCR55" s="5"/>
      <c r="XCS55" s="5"/>
      <c r="XCT55" s="5"/>
      <c r="XCU55" s="5"/>
      <c r="XCV55" s="5"/>
      <c r="XCW55" s="5"/>
      <c r="XCX55" s="5"/>
      <c r="XCY55" s="5"/>
      <c r="XCZ55" s="5"/>
      <c r="XDA55" s="5"/>
      <c r="XDB55" s="5"/>
      <c r="XDC55" s="5"/>
      <c r="XDD55" s="5"/>
      <c r="XDE55" s="5"/>
      <c r="XDF55" s="5"/>
      <c r="XDG55" s="5"/>
      <c r="XDH55" s="5"/>
      <c r="XDI55" s="5"/>
      <c r="XDJ55" s="5"/>
      <c r="XDK55" s="5"/>
      <c r="XDL55" s="5"/>
      <c r="XDM55" s="5"/>
      <c r="XDN55" s="5"/>
      <c r="XDO55" s="5"/>
      <c r="XDP55" s="5"/>
      <c r="XDQ55" s="5"/>
      <c r="XDR55" s="5"/>
      <c r="XDS55" s="5"/>
      <c r="XDT55" s="5"/>
      <c r="XDU55" s="5"/>
      <c r="XDV55" s="5"/>
      <c r="XDW55" s="5"/>
      <c r="XDX55" s="5"/>
      <c r="XDY55" s="5"/>
      <c r="XDZ55" s="5"/>
      <c r="XEA55" s="5"/>
      <c r="XEB55" s="5"/>
      <c r="XEC55" s="5"/>
      <c r="XED55" s="5"/>
      <c r="XEE55" s="5"/>
      <c r="XEF55" s="5"/>
      <c r="XEG55" s="5"/>
      <c r="XEH55" s="5"/>
      <c r="XEI55" s="5"/>
      <c r="XEJ55" s="5"/>
      <c r="XEK55" s="5"/>
      <c r="XEL55" s="5"/>
      <c r="XEM55" s="5"/>
      <c r="XEN55" s="5"/>
      <c r="XEO55" s="5"/>
      <c r="XEP55" s="5"/>
      <c r="XEQ55" s="5"/>
      <c r="XER55" s="5"/>
      <c r="XES55" s="5"/>
      <c r="XET55" s="5"/>
      <c r="XEU55" s="5"/>
      <c r="XEV55" s="5"/>
    </row>
    <row r="56" s="1" customFormat="1" ht="16.5" spans="1:6 16248:16376">
      <c r="A56" s="8">
        <v>54</v>
      </c>
      <c r="B56" s="9" t="s">
        <v>116</v>
      </c>
      <c r="C56" s="8">
        <v>36</v>
      </c>
      <c r="D56" s="8">
        <v>4</v>
      </c>
      <c r="E56" s="8">
        <v>49.5</v>
      </c>
      <c r="F56" s="8">
        <v>198</v>
      </c>
      <c r="WZX56"/>
      <c r="WZY56"/>
      <c r="WZZ56"/>
      <c r="XAA56"/>
      <c r="XAB56"/>
      <c r="XAC56"/>
      <c r="XAD56"/>
      <c r="XAE56"/>
      <c r="XAF56"/>
      <c r="XAG56"/>
      <c r="XAH56"/>
      <c r="XAI56"/>
      <c r="XAJ56"/>
      <c r="XAK56"/>
      <c r="XAL56"/>
      <c r="XAM56"/>
      <c r="XAN56"/>
      <c r="XAO56"/>
      <c r="XAP56"/>
      <c r="XAQ56"/>
      <c r="XAR56"/>
      <c r="XAS56"/>
      <c r="XAT56"/>
      <c r="XAU56"/>
      <c r="XAV56"/>
      <c r="XAW56"/>
      <c r="XAX56"/>
      <c r="XAY56"/>
      <c r="XAZ56"/>
      <c r="XBA56"/>
      <c r="XBB56"/>
      <c r="XBC56"/>
      <c r="XBD56"/>
      <c r="XBE56"/>
      <c r="XBF56"/>
      <c r="XBG56"/>
      <c r="XBH56"/>
      <c r="XBI56"/>
      <c r="XBJ56"/>
      <c r="XBK56" s="5"/>
      <c r="XBL56" s="5"/>
      <c r="XBM56" s="5"/>
      <c r="XBN56" s="5"/>
      <c r="XBO56" s="5"/>
      <c r="XBP56" s="5"/>
      <c r="XBQ56" s="5"/>
      <c r="XBR56" s="5"/>
      <c r="XBS56" s="5"/>
      <c r="XBT56" s="5"/>
      <c r="XBU56" s="5"/>
      <c r="XBV56" s="5"/>
      <c r="XBW56" s="5"/>
      <c r="XBX56" s="5"/>
      <c r="XBY56" s="5"/>
      <c r="XBZ56" s="5"/>
      <c r="XCA56" s="5"/>
      <c r="XCB56" s="5"/>
      <c r="XCC56" s="5"/>
      <c r="XCD56" s="5"/>
      <c r="XCE56" s="5"/>
      <c r="XCF56" s="5"/>
      <c r="XCG56" s="5"/>
      <c r="XCH56" s="5"/>
      <c r="XCI56" s="5"/>
      <c r="XCJ56" s="5"/>
      <c r="XCK56" s="5"/>
      <c r="XCL56" s="5"/>
      <c r="XCM56" s="5"/>
      <c r="XCN56" s="5"/>
      <c r="XCO56" s="5"/>
      <c r="XCP56" s="5"/>
      <c r="XCQ56" s="5"/>
      <c r="XCR56" s="5"/>
      <c r="XCS56" s="5"/>
      <c r="XCT56" s="5"/>
      <c r="XCU56" s="5"/>
      <c r="XCV56" s="5"/>
      <c r="XCW56" s="5"/>
      <c r="XCX56" s="5"/>
      <c r="XCY56" s="5"/>
      <c r="XCZ56" s="5"/>
      <c r="XDA56" s="5"/>
      <c r="XDB56" s="5"/>
      <c r="XDC56" s="5"/>
      <c r="XDD56" s="5"/>
      <c r="XDE56" s="5"/>
      <c r="XDF56" s="5"/>
      <c r="XDG56" s="5"/>
      <c r="XDH56" s="5"/>
      <c r="XDI56" s="5"/>
      <c r="XDJ56" s="5"/>
      <c r="XDK56" s="5"/>
      <c r="XDL56" s="5"/>
      <c r="XDM56" s="5"/>
      <c r="XDN56" s="5"/>
      <c r="XDO56" s="5"/>
      <c r="XDP56" s="5"/>
      <c r="XDQ56" s="5"/>
      <c r="XDR56" s="5"/>
      <c r="XDS56" s="5"/>
      <c r="XDT56" s="5"/>
      <c r="XDU56" s="5"/>
      <c r="XDV56" s="5"/>
      <c r="XDW56" s="5"/>
      <c r="XDX56" s="5"/>
      <c r="XDY56" s="5"/>
      <c r="XDZ56" s="5"/>
      <c r="XEA56" s="5"/>
      <c r="XEB56" s="5"/>
      <c r="XEC56" s="5"/>
      <c r="XED56" s="5"/>
      <c r="XEE56" s="5"/>
      <c r="XEF56" s="5"/>
      <c r="XEG56" s="5"/>
      <c r="XEH56" s="5"/>
      <c r="XEI56" s="5"/>
      <c r="XEJ56" s="5"/>
      <c r="XEK56" s="5"/>
      <c r="XEL56" s="5"/>
      <c r="XEM56" s="5"/>
      <c r="XEN56" s="5"/>
      <c r="XEO56" s="5"/>
      <c r="XEP56" s="5"/>
      <c r="XEQ56" s="5"/>
      <c r="XER56" s="5"/>
      <c r="XES56" s="5"/>
      <c r="XET56" s="5"/>
      <c r="XEU56" s="5"/>
      <c r="XEV56" s="5"/>
    </row>
    <row r="57" s="1" customFormat="1" ht="16.5" spans="1:6 16248:16376">
      <c r="A57" s="8">
        <v>55</v>
      </c>
      <c r="B57" s="9" t="s">
        <v>117</v>
      </c>
      <c r="C57" s="8">
        <v>8</v>
      </c>
      <c r="D57" s="8">
        <v>1</v>
      </c>
      <c r="E57" s="8">
        <v>44</v>
      </c>
      <c r="F57" s="8">
        <v>44</v>
      </c>
      <c r="WZX57"/>
      <c r="WZY57"/>
      <c r="WZZ57"/>
      <c r="XAA57"/>
      <c r="XAB57"/>
      <c r="XAC57"/>
      <c r="XAD57"/>
      <c r="XAE57"/>
      <c r="XAF57"/>
      <c r="XAG57"/>
      <c r="XAH57"/>
      <c r="XAI57"/>
      <c r="XAJ57"/>
      <c r="XAK57"/>
      <c r="XAL57"/>
      <c r="XAM57"/>
      <c r="XAN57"/>
      <c r="XAO57"/>
      <c r="XAP57"/>
      <c r="XAQ57"/>
      <c r="XAR57"/>
      <c r="XAS57"/>
      <c r="XAT57"/>
      <c r="XAU57"/>
      <c r="XAV57"/>
      <c r="XAW57"/>
      <c r="XAX57"/>
      <c r="XAY57"/>
      <c r="XAZ57"/>
      <c r="XBA57"/>
      <c r="XBB57"/>
      <c r="XBC57"/>
      <c r="XBD57"/>
      <c r="XBE57"/>
      <c r="XBF57"/>
      <c r="XBG57"/>
      <c r="XBH57"/>
      <c r="XBI57"/>
      <c r="XBJ57"/>
      <c r="XBK57" s="5"/>
      <c r="XBL57" s="5"/>
      <c r="XBM57" s="5"/>
      <c r="XBN57" s="5"/>
      <c r="XBO57" s="5"/>
      <c r="XBP57" s="5"/>
      <c r="XBQ57" s="5"/>
      <c r="XBR57" s="5"/>
      <c r="XBS57" s="5"/>
      <c r="XBT57" s="5"/>
      <c r="XBU57" s="5"/>
      <c r="XBV57" s="5"/>
      <c r="XBW57" s="5"/>
      <c r="XBX57" s="5"/>
      <c r="XBY57" s="5"/>
      <c r="XBZ57" s="5"/>
      <c r="XCA57" s="5"/>
      <c r="XCB57" s="5"/>
      <c r="XCC57" s="5"/>
      <c r="XCD57" s="5"/>
      <c r="XCE57" s="5"/>
      <c r="XCF57" s="5"/>
      <c r="XCG57" s="5"/>
      <c r="XCH57" s="5"/>
      <c r="XCI57" s="5"/>
      <c r="XCJ57" s="5"/>
      <c r="XCK57" s="5"/>
      <c r="XCL57" s="5"/>
      <c r="XCM57" s="5"/>
      <c r="XCN57" s="5"/>
      <c r="XCO57" s="5"/>
      <c r="XCP57" s="5"/>
      <c r="XCQ57" s="5"/>
      <c r="XCR57" s="5"/>
      <c r="XCS57" s="5"/>
      <c r="XCT57" s="5"/>
      <c r="XCU57" s="5"/>
      <c r="XCV57" s="5"/>
      <c r="XCW57" s="5"/>
      <c r="XCX57" s="5"/>
      <c r="XCY57" s="5"/>
      <c r="XCZ57" s="5"/>
      <c r="XDA57" s="5"/>
      <c r="XDB57" s="5"/>
      <c r="XDC57" s="5"/>
      <c r="XDD57" s="5"/>
      <c r="XDE57" s="5"/>
      <c r="XDF57" s="5"/>
      <c r="XDG57" s="5"/>
      <c r="XDH57" s="5"/>
      <c r="XDI57" s="5"/>
      <c r="XDJ57" s="5"/>
      <c r="XDK57" s="5"/>
      <c r="XDL57" s="5"/>
      <c r="XDM57" s="5"/>
      <c r="XDN57" s="5"/>
      <c r="XDO57" s="5"/>
      <c r="XDP57" s="5"/>
      <c r="XDQ57" s="5"/>
      <c r="XDR57" s="5"/>
      <c r="XDS57" s="5"/>
      <c r="XDT57" s="5"/>
      <c r="XDU57" s="5"/>
      <c r="XDV57" s="5"/>
      <c r="XDW57" s="5"/>
      <c r="XDX57" s="5"/>
      <c r="XDY57" s="5"/>
      <c r="XDZ57" s="5"/>
      <c r="XEA57" s="5"/>
      <c r="XEB57" s="5"/>
      <c r="XEC57" s="5"/>
      <c r="XED57" s="5"/>
      <c r="XEE57" s="5"/>
      <c r="XEF57" s="5"/>
      <c r="XEG57" s="5"/>
      <c r="XEH57" s="5"/>
      <c r="XEI57" s="5"/>
      <c r="XEJ57" s="5"/>
      <c r="XEK57" s="5"/>
      <c r="XEL57" s="5"/>
      <c r="XEM57" s="5"/>
      <c r="XEN57" s="5"/>
      <c r="XEO57" s="5"/>
      <c r="XEP57" s="5"/>
      <c r="XEQ57" s="5"/>
      <c r="XER57" s="5"/>
      <c r="XES57" s="5"/>
      <c r="XET57" s="5"/>
      <c r="XEU57" s="5"/>
      <c r="XEV57" s="5"/>
    </row>
    <row r="58" s="1" customFormat="1" ht="16.5" spans="1:6 16248:16376">
      <c r="A58" s="8">
        <v>56</v>
      </c>
      <c r="B58" s="9" t="s">
        <v>118</v>
      </c>
      <c r="C58" s="8">
        <v>90</v>
      </c>
      <c r="D58" s="8">
        <v>15</v>
      </c>
      <c r="E58" s="8">
        <v>33</v>
      </c>
      <c r="F58" s="8">
        <v>495</v>
      </c>
      <c r="WZX58"/>
      <c r="WZY58"/>
      <c r="WZZ58"/>
      <c r="XAA58"/>
      <c r="XAB58"/>
      <c r="XAC58"/>
      <c r="XAD58"/>
      <c r="XAE58"/>
      <c r="XAF58"/>
      <c r="XAG58"/>
      <c r="XAH58"/>
      <c r="XAI58"/>
      <c r="XAJ58"/>
      <c r="XAK58"/>
      <c r="XAL58"/>
      <c r="XAM58"/>
      <c r="XAN58"/>
      <c r="XAO58"/>
      <c r="XAP58"/>
      <c r="XAQ58"/>
      <c r="XAR58"/>
      <c r="XAS58"/>
      <c r="XAT58"/>
      <c r="XAU58"/>
      <c r="XAV58"/>
      <c r="XAW58"/>
      <c r="XAX58"/>
      <c r="XAY58"/>
      <c r="XAZ58"/>
      <c r="XBA58"/>
      <c r="XBB58"/>
      <c r="XBC58"/>
      <c r="XBD58"/>
      <c r="XBE58"/>
      <c r="XBF58"/>
      <c r="XBG58"/>
      <c r="XBH58"/>
      <c r="XBI58"/>
      <c r="XBJ58"/>
      <c r="XBK58" s="5"/>
      <c r="XBL58" s="5"/>
      <c r="XBM58" s="5"/>
      <c r="XBN58" s="5"/>
      <c r="XBO58" s="5"/>
      <c r="XBP58" s="5"/>
      <c r="XBQ58" s="5"/>
      <c r="XBR58" s="5"/>
      <c r="XBS58" s="5"/>
      <c r="XBT58" s="5"/>
      <c r="XBU58" s="5"/>
      <c r="XBV58" s="5"/>
      <c r="XBW58" s="5"/>
      <c r="XBX58" s="5"/>
      <c r="XBY58" s="5"/>
      <c r="XBZ58" s="5"/>
      <c r="XCA58" s="5"/>
      <c r="XCB58" s="5"/>
      <c r="XCC58" s="5"/>
      <c r="XCD58" s="5"/>
      <c r="XCE58" s="5"/>
      <c r="XCF58" s="5"/>
      <c r="XCG58" s="5"/>
      <c r="XCH58" s="5"/>
      <c r="XCI58" s="5"/>
      <c r="XCJ58" s="5"/>
      <c r="XCK58" s="5"/>
      <c r="XCL58" s="5"/>
      <c r="XCM58" s="5"/>
      <c r="XCN58" s="5"/>
      <c r="XCO58" s="5"/>
      <c r="XCP58" s="5"/>
      <c r="XCQ58" s="5"/>
      <c r="XCR58" s="5"/>
      <c r="XCS58" s="5"/>
      <c r="XCT58" s="5"/>
      <c r="XCU58" s="5"/>
      <c r="XCV58" s="5"/>
      <c r="XCW58" s="5"/>
      <c r="XCX58" s="5"/>
      <c r="XCY58" s="5"/>
      <c r="XCZ58" s="5"/>
      <c r="XDA58" s="5"/>
      <c r="XDB58" s="5"/>
      <c r="XDC58" s="5"/>
      <c r="XDD58" s="5"/>
      <c r="XDE58" s="5"/>
      <c r="XDF58" s="5"/>
      <c r="XDG58" s="5"/>
      <c r="XDH58" s="5"/>
      <c r="XDI58" s="5"/>
      <c r="XDJ58" s="5"/>
      <c r="XDK58" s="5"/>
      <c r="XDL58" s="5"/>
      <c r="XDM58" s="5"/>
      <c r="XDN58" s="5"/>
      <c r="XDO58" s="5"/>
      <c r="XDP58" s="5"/>
      <c r="XDQ58" s="5"/>
      <c r="XDR58" s="5"/>
      <c r="XDS58" s="5"/>
      <c r="XDT58" s="5"/>
      <c r="XDU58" s="5"/>
      <c r="XDV58" s="5"/>
      <c r="XDW58" s="5"/>
      <c r="XDX58" s="5"/>
      <c r="XDY58" s="5"/>
      <c r="XDZ58" s="5"/>
      <c r="XEA58" s="5"/>
      <c r="XEB58" s="5"/>
      <c r="XEC58" s="5"/>
      <c r="XED58" s="5"/>
      <c r="XEE58" s="5"/>
      <c r="XEF58" s="5"/>
      <c r="XEG58" s="5"/>
      <c r="XEH58" s="5"/>
      <c r="XEI58" s="5"/>
      <c r="XEJ58" s="5"/>
      <c r="XEK58" s="5"/>
      <c r="XEL58" s="5"/>
      <c r="XEM58" s="5"/>
      <c r="XEN58" s="5"/>
      <c r="XEO58" s="5"/>
      <c r="XEP58" s="5"/>
      <c r="XEQ58" s="5"/>
      <c r="XER58" s="5"/>
      <c r="XES58" s="5"/>
      <c r="XET58" s="5"/>
      <c r="XEU58" s="5"/>
      <c r="XEV58" s="5"/>
    </row>
    <row r="59" s="1" customFormat="1" ht="16.5" spans="1:6 16248:16376">
      <c r="A59" s="8">
        <v>57</v>
      </c>
      <c r="B59" s="9" t="s">
        <v>119</v>
      </c>
      <c r="C59" s="8">
        <v>4</v>
      </c>
      <c r="D59" s="8">
        <v>2</v>
      </c>
      <c r="E59" s="8">
        <v>16.5</v>
      </c>
      <c r="F59" s="8">
        <v>33</v>
      </c>
      <c r="WZX59"/>
      <c r="WZY59"/>
      <c r="WZZ59"/>
      <c r="XAA59"/>
      <c r="XAB59"/>
      <c r="XAC59"/>
      <c r="XAD59"/>
      <c r="XAE59"/>
      <c r="XAF59"/>
      <c r="XAG59"/>
      <c r="XAH59"/>
      <c r="XAI59"/>
      <c r="XAJ59"/>
      <c r="XAK59"/>
      <c r="XAL59"/>
      <c r="XAM59"/>
      <c r="XAN59"/>
      <c r="XAO59"/>
      <c r="XAP59"/>
      <c r="XAQ59"/>
      <c r="XAR59"/>
      <c r="XAS59"/>
      <c r="XAT59"/>
      <c r="XAU59"/>
      <c r="XAV59"/>
      <c r="XAW59"/>
      <c r="XAX59"/>
      <c r="XAY59"/>
      <c r="XAZ59"/>
      <c r="XBA59"/>
      <c r="XBB59"/>
      <c r="XBC59"/>
      <c r="XBD59"/>
      <c r="XBE59"/>
      <c r="XBF59"/>
      <c r="XBG59"/>
      <c r="XBH59"/>
      <c r="XBI59"/>
      <c r="XBJ59"/>
      <c r="XBK59" s="5"/>
      <c r="XBL59" s="5"/>
      <c r="XBM59" s="5"/>
      <c r="XBN59" s="5"/>
      <c r="XBO59" s="5"/>
      <c r="XBP59" s="5"/>
      <c r="XBQ59" s="5"/>
      <c r="XBR59" s="5"/>
      <c r="XBS59" s="5"/>
      <c r="XBT59" s="5"/>
      <c r="XBU59" s="5"/>
      <c r="XBV59" s="5"/>
      <c r="XBW59" s="5"/>
      <c r="XBX59" s="5"/>
      <c r="XBY59" s="5"/>
      <c r="XBZ59" s="5"/>
      <c r="XCA59" s="5"/>
      <c r="XCB59" s="5"/>
      <c r="XCC59" s="5"/>
      <c r="XCD59" s="5"/>
      <c r="XCE59" s="5"/>
      <c r="XCF59" s="5"/>
      <c r="XCG59" s="5"/>
      <c r="XCH59" s="5"/>
      <c r="XCI59" s="5"/>
      <c r="XCJ59" s="5"/>
      <c r="XCK59" s="5"/>
      <c r="XCL59" s="5"/>
      <c r="XCM59" s="5"/>
      <c r="XCN59" s="5"/>
      <c r="XCO59" s="5"/>
      <c r="XCP59" s="5"/>
      <c r="XCQ59" s="5"/>
      <c r="XCR59" s="5"/>
      <c r="XCS59" s="5"/>
      <c r="XCT59" s="5"/>
      <c r="XCU59" s="5"/>
      <c r="XCV59" s="5"/>
      <c r="XCW59" s="5"/>
      <c r="XCX59" s="5"/>
      <c r="XCY59" s="5"/>
      <c r="XCZ59" s="5"/>
      <c r="XDA59" s="5"/>
      <c r="XDB59" s="5"/>
      <c r="XDC59" s="5"/>
      <c r="XDD59" s="5"/>
      <c r="XDE59" s="5"/>
      <c r="XDF59" s="5"/>
      <c r="XDG59" s="5"/>
      <c r="XDH59" s="5"/>
      <c r="XDI59" s="5"/>
      <c r="XDJ59" s="5"/>
      <c r="XDK59" s="5"/>
      <c r="XDL59" s="5"/>
      <c r="XDM59" s="5"/>
      <c r="XDN59" s="5"/>
      <c r="XDO59" s="5"/>
      <c r="XDP59" s="5"/>
      <c r="XDQ59" s="5"/>
      <c r="XDR59" s="5"/>
      <c r="XDS59" s="5"/>
      <c r="XDT59" s="5"/>
      <c r="XDU59" s="5"/>
      <c r="XDV59" s="5"/>
      <c r="XDW59" s="5"/>
      <c r="XDX59" s="5"/>
      <c r="XDY59" s="5"/>
      <c r="XDZ59" s="5"/>
      <c r="XEA59" s="5"/>
      <c r="XEB59" s="5"/>
      <c r="XEC59" s="5"/>
      <c r="XED59" s="5"/>
      <c r="XEE59" s="5"/>
      <c r="XEF59" s="5"/>
      <c r="XEG59" s="5"/>
      <c r="XEH59" s="5"/>
      <c r="XEI59" s="5"/>
      <c r="XEJ59" s="5"/>
      <c r="XEK59" s="5"/>
      <c r="XEL59" s="5"/>
      <c r="XEM59" s="5"/>
      <c r="XEN59" s="5"/>
      <c r="XEO59" s="5"/>
      <c r="XEP59" s="5"/>
      <c r="XEQ59" s="5"/>
      <c r="XER59" s="5"/>
      <c r="XES59" s="5"/>
      <c r="XET59" s="5"/>
      <c r="XEU59" s="5"/>
      <c r="XEV59" s="5"/>
    </row>
    <row r="60" s="1" customFormat="1" ht="16.5" spans="1:6 16248:16376">
      <c r="A60" s="8">
        <v>58</v>
      </c>
      <c r="B60" s="9" t="s">
        <v>120</v>
      </c>
      <c r="C60" s="8">
        <v>72</v>
      </c>
      <c r="D60" s="8">
        <v>36</v>
      </c>
      <c r="E60" s="8">
        <v>16.5</v>
      </c>
      <c r="F60" s="8">
        <v>594</v>
      </c>
      <c r="WZX60"/>
      <c r="WZY60"/>
      <c r="WZZ60"/>
      <c r="XAA60"/>
      <c r="XAB60"/>
      <c r="XAC60"/>
      <c r="XAD60"/>
      <c r="XAE60"/>
      <c r="XAF60"/>
      <c r="XAG60"/>
      <c r="XAH60"/>
      <c r="XAI60"/>
      <c r="XAJ60"/>
      <c r="XAK60"/>
      <c r="XAL60"/>
      <c r="XAM60"/>
      <c r="XAN60"/>
      <c r="XAO60"/>
      <c r="XAP60"/>
      <c r="XAQ60"/>
      <c r="XAR60"/>
      <c r="XAS60"/>
      <c r="XAT60"/>
      <c r="XAU60"/>
      <c r="XAV60"/>
      <c r="XAW60"/>
      <c r="XAX60"/>
      <c r="XAY60"/>
      <c r="XAZ60"/>
      <c r="XBA60"/>
      <c r="XBB60"/>
      <c r="XBC60"/>
      <c r="XBD60"/>
      <c r="XBE60"/>
      <c r="XBF60"/>
      <c r="XBG60"/>
      <c r="XBH60"/>
      <c r="XBI60"/>
      <c r="XBJ60"/>
      <c r="XBK60" s="5"/>
      <c r="XBL60" s="5"/>
      <c r="XBM60" s="5"/>
      <c r="XBN60" s="5"/>
      <c r="XBO60" s="5"/>
      <c r="XBP60" s="5"/>
      <c r="XBQ60" s="5"/>
      <c r="XBR60" s="5"/>
      <c r="XBS60" s="5"/>
      <c r="XBT60" s="5"/>
      <c r="XBU60" s="5"/>
      <c r="XBV60" s="5"/>
      <c r="XBW60" s="5"/>
      <c r="XBX60" s="5"/>
      <c r="XBY60" s="5"/>
      <c r="XBZ60" s="5"/>
      <c r="XCA60" s="5"/>
      <c r="XCB60" s="5"/>
      <c r="XCC60" s="5"/>
      <c r="XCD60" s="5"/>
      <c r="XCE60" s="5"/>
      <c r="XCF60" s="5"/>
      <c r="XCG60" s="5"/>
      <c r="XCH60" s="5"/>
      <c r="XCI60" s="5"/>
      <c r="XCJ60" s="5"/>
      <c r="XCK60" s="5"/>
      <c r="XCL60" s="5"/>
      <c r="XCM60" s="5"/>
      <c r="XCN60" s="5"/>
      <c r="XCO60" s="5"/>
      <c r="XCP60" s="5"/>
      <c r="XCQ60" s="5"/>
      <c r="XCR60" s="5"/>
      <c r="XCS60" s="5"/>
      <c r="XCT60" s="5"/>
      <c r="XCU60" s="5"/>
      <c r="XCV60" s="5"/>
      <c r="XCW60" s="5"/>
      <c r="XCX60" s="5"/>
      <c r="XCY60" s="5"/>
      <c r="XCZ60" s="5"/>
      <c r="XDA60" s="5"/>
      <c r="XDB60" s="5"/>
      <c r="XDC60" s="5"/>
      <c r="XDD60" s="5"/>
      <c r="XDE60" s="5"/>
      <c r="XDF60" s="5"/>
      <c r="XDG60" s="5"/>
      <c r="XDH60" s="5"/>
      <c r="XDI60" s="5"/>
      <c r="XDJ60" s="5"/>
      <c r="XDK60" s="5"/>
      <c r="XDL60" s="5"/>
      <c r="XDM60" s="5"/>
      <c r="XDN60" s="5"/>
      <c r="XDO60" s="5"/>
      <c r="XDP60" s="5"/>
      <c r="XDQ60" s="5"/>
      <c r="XDR60" s="5"/>
      <c r="XDS60" s="5"/>
      <c r="XDT60" s="5"/>
      <c r="XDU60" s="5"/>
      <c r="XDV60" s="5"/>
      <c r="XDW60" s="5"/>
      <c r="XDX60" s="5"/>
      <c r="XDY60" s="5"/>
      <c r="XDZ60" s="5"/>
      <c r="XEA60" s="5"/>
      <c r="XEB60" s="5"/>
      <c r="XEC60" s="5"/>
      <c r="XED60" s="5"/>
      <c r="XEE60" s="5"/>
      <c r="XEF60" s="5"/>
      <c r="XEG60" s="5"/>
      <c r="XEH60" s="5"/>
      <c r="XEI60" s="5"/>
      <c r="XEJ60" s="5"/>
      <c r="XEK60" s="5"/>
      <c r="XEL60" s="5"/>
      <c r="XEM60" s="5"/>
      <c r="XEN60" s="5"/>
      <c r="XEO60" s="5"/>
      <c r="XEP60" s="5"/>
      <c r="XEQ60" s="5"/>
      <c r="XER60" s="5"/>
      <c r="XES60" s="5"/>
      <c r="XET60" s="5"/>
      <c r="XEU60" s="5"/>
      <c r="XEV60" s="5"/>
    </row>
    <row r="61" s="1" customFormat="1" ht="16.5" spans="1:6 16248:16376">
      <c r="A61" s="8">
        <v>59</v>
      </c>
      <c r="B61" s="9" t="s">
        <v>121</v>
      </c>
      <c r="C61" s="8">
        <v>48</v>
      </c>
      <c r="D61" s="8">
        <v>48</v>
      </c>
      <c r="E61" s="8">
        <v>16.5</v>
      </c>
      <c r="F61" s="8">
        <v>792</v>
      </c>
      <c r="WZX61"/>
      <c r="WZY61"/>
      <c r="WZZ61"/>
      <c r="XAA61"/>
      <c r="XAB61"/>
      <c r="XAC61"/>
      <c r="XAD61"/>
      <c r="XAE61"/>
      <c r="XAF61"/>
      <c r="XAG61"/>
      <c r="XAH61"/>
      <c r="XAI61"/>
      <c r="XAJ61"/>
      <c r="XAK61"/>
      <c r="XAL61"/>
      <c r="XAM61"/>
      <c r="XAN61"/>
      <c r="XAO61"/>
      <c r="XAP61"/>
      <c r="XAQ61"/>
      <c r="XAR61"/>
      <c r="XAS61"/>
      <c r="XAT61"/>
      <c r="XAU61"/>
      <c r="XAV61"/>
      <c r="XAW61"/>
      <c r="XAX61"/>
      <c r="XAY61"/>
      <c r="XAZ61"/>
      <c r="XBA61"/>
      <c r="XBB61"/>
      <c r="XBC61"/>
      <c r="XBD61"/>
      <c r="XBE61"/>
      <c r="XBF61"/>
      <c r="XBG61"/>
      <c r="XBH61"/>
      <c r="XBI61"/>
      <c r="XBJ61"/>
      <c r="XBK61" s="5"/>
      <c r="XBL61" s="5"/>
      <c r="XBM61" s="5"/>
      <c r="XBN61" s="5"/>
      <c r="XBO61" s="5"/>
      <c r="XBP61" s="5"/>
      <c r="XBQ61" s="5"/>
      <c r="XBR61" s="5"/>
      <c r="XBS61" s="5"/>
      <c r="XBT61" s="5"/>
      <c r="XBU61" s="5"/>
      <c r="XBV61" s="5"/>
      <c r="XBW61" s="5"/>
      <c r="XBX61" s="5"/>
      <c r="XBY61" s="5"/>
      <c r="XBZ61" s="5"/>
      <c r="XCA61" s="5"/>
      <c r="XCB61" s="5"/>
      <c r="XCC61" s="5"/>
      <c r="XCD61" s="5"/>
      <c r="XCE61" s="5"/>
      <c r="XCF61" s="5"/>
      <c r="XCG61" s="5"/>
      <c r="XCH61" s="5"/>
      <c r="XCI61" s="5"/>
      <c r="XCJ61" s="5"/>
      <c r="XCK61" s="5"/>
      <c r="XCL61" s="5"/>
      <c r="XCM61" s="5"/>
      <c r="XCN61" s="5"/>
      <c r="XCO61" s="5"/>
      <c r="XCP61" s="5"/>
      <c r="XCQ61" s="5"/>
      <c r="XCR61" s="5"/>
      <c r="XCS61" s="5"/>
      <c r="XCT61" s="5"/>
      <c r="XCU61" s="5"/>
      <c r="XCV61" s="5"/>
      <c r="XCW61" s="5"/>
      <c r="XCX61" s="5"/>
      <c r="XCY61" s="5"/>
      <c r="XCZ61" s="5"/>
      <c r="XDA61" s="5"/>
      <c r="XDB61" s="5"/>
      <c r="XDC61" s="5"/>
      <c r="XDD61" s="5"/>
      <c r="XDE61" s="5"/>
      <c r="XDF61" s="5"/>
      <c r="XDG61" s="5"/>
      <c r="XDH61" s="5"/>
      <c r="XDI61" s="5"/>
      <c r="XDJ61" s="5"/>
      <c r="XDK61" s="5"/>
      <c r="XDL61" s="5"/>
      <c r="XDM61" s="5"/>
      <c r="XDN61" s="5"/>
      <c r="XDO61" s="5"/>
      <c r="XDP61" s="5"/>
      <c r="XDQ61" s="5"/>
      <c r="XDR61" s="5"/>
      <c r="XDS61" s="5"/>
      <c r="XDT61" s="5"/>
      <c r="XDU61" s="5"/>
      <c r="XDV61" s="5"/>
      <c r="XDW61" s="5"/>
      <c r="XDX61" s="5"/>
      <c r="XDY61" s="5"/>
      <c r="XDZ61" s="5"/>
      <c r="XEA61" s="5"/>
      <c r="XEB61" s="5"/>
      <c r="XEC61" s="5"/>
      <c r="XED61" s="5"/>
      <c r="XEE61" s="5"/>
      <c r="XEF61" s="5"/>
      <c r="XEG61" s="5"/>
      <c r="XEH61" s="5"/>
      <c r="XEI61" s="5"/>
      <c r="XEJ61" s="5"/>
      <c r="XEK61" s="5"/>
      <c r="XEL61" s="5"/>
      <c r="XEM61" s="5"/>
      <c r="XEN61" s="5"/>
      <c r="XEO61" s="5"/>
      <c r="XEP61" s="5"/>
      <c r="XEQ61" s="5"/>
      <c r="XER61" s="5"/>
      <c r="XES61" s="5"/>
      <c r="XET61" s="5"/>
      <c r="XEU61" s="5"/>
      <c r="XEV61" s="5"/>
    </row>
    <row r="62" s="1" customFormat="1" ht="16.5" spans="1:6 16248:16376">
      <c r="A62" s="8">
        <v>60</v>
      </c>
      <c r="B62" s="9" t="s">
        <v>122</v>
      </c>
      <c r="C62" s="8">
        <v>7</v>
      </c>
      <c r="D62" s="8">
        <v>7</v>
      </c>
      <c r="E62" s="8">
        <v>8</v>
      </c>
      <c r="F62" s="8">
        <v>56</v>
      </c>
      <c r="WZX62"/>
      <c r="WZY62"/>
      <c r="WZZ62"/>
      <c r="XAA62"/>
      <c r="XAB62"/>
      <c r="XAC62"/>
      <c r="XAD62"/>
      <c r="XAE62"/>
      <c r="XAF62"/>
      <c r="XAG62"/>
      <c r="XAH62"/>
      <c r="XAI62"/>
      <c r="XAJ62"/>
      <c r="XAK62"/>
      <c r="XAL62"/>
      <c r="XAM62"/>
      <c r="XAN62"/>
      <c r="XAO62"/>
      <c r="XAP62"/>
      <c r="XAQ62"/>
      <c r="XAR62"/>
      <c r="XAS62"/>
      <c r="XAT62"/>
      <c r="XAU62"/>
      <c r="XAV62"/>
      <c r="XAW62"/>
      <c r="XAX62"/>
      <c r="XAY62"/>
      <c r="XAZ62"/>
      <c r="XBA62"/>
      <c r="XBB62"/>
      <c r="XBC62"/>
      <c r="XBD62"/>
      <c r="XBE62"/>
      <c r="XBF62"/>
      <c r="XBG62"/>
      <c r="XBH62"/>
      <c r="XBI62"/>
      <c r="XBJ62"/>
      <c r="XBK62" s="5"/>
      <c r="XBL62" s="5"/>
      <c r="XBM62" s="5"/>
      <c r="XBN62" s="5"/>
      <c r="XBO62" s="5"/>
      <c r="XBP62" s="5"/>
      <c r="XBQ62" s="5"/>
      <c r="XBR62" s="5"/>
      <c r="XBS62" s="5"/>
      <c r="XBT62" s="5"/>
      <c r="XBU62" s="5"/>
      <c r="XBV62" s="5"/>
      <c r="XBW62" s="5"/>
      <c r="XBX62" s="5"/>
      <c r="XBY62" s="5"/>
      <c r="XBZ62" s="5"/>
      <c r="XCA62" s="5"/>
      <c r="XCB62" s="5"/>
      <c r="XCC62" s="5"/>
      <c r="XCD62" s="5"/>
      <c r="XCE62" s="5"/>
      <c r="XCF62" s="5"/>
      <c r="XCG62" s="5"/>
      <c r="XCH62" s="5"/>
      <c r="XCI62" s="5"/>
      <c r="XCJ62" s="5"/>
      <c r="XCK62" s="5"/>
      <c r="XCL62" s="5"/>
      <c r="XCM62" s="5"/>
      <c r="XCN62" s="5"/>
      <c r="XCO62" s="5"/>
      <c r="XCP62" s="5"/>
      <c r="XCQ62" s="5"/>
      <c r="XCR62" s="5"/>
      <c r="XCS62" s="5"/>
      <c r="XCT62" s="5"/>
      <c r="XCU62" s="5"/>
      <c r="XCV62" s="5"/>
      <c r="XCW62" s="5"/>
      <c r="XCX62" s="5"/>
      <c r="XCY62" s="5"/>
      <c r="XCZ62" s="5"/>
      <c r="XDA62" s="5"/>
      <c r="XDB62" s="5"/>
      <c r="XDC62" s="5"/>
      <c r="XDD62" s="5"/>
      <c r="XDE62" s="5"/>
      <c r="XDF62" s="5"/>
      <c r="XDG62" s="5"/>
      <c r="XDH62" s="5"/>
      <c r="XDI62" s="5"/>
      <c r="XDJ62" s="5"/>
      <c r="XDK62" s="5"/>
      <c r="XDL62" s="5"/>
      <c r="XDM62" s="5"/>
      <c r="XDN62" s="5"/>
      <c r="XDO62" s="5"/>
      <c r="XDP62" s="5"/>
      <c r="XDQ62" s="5"/>
      <c r="XDR62" s="5"/>
      <c r="XDS62" s="5"/>
      <c r="XDT62" s="5"/>
      <c r="XDU62" s="5"/>
      <c r="XDV62" s="5"/>
      <c r="XDW62" s="5"/>
      <c r="XDX62" s="5"/>
      <c r="XDY62" s="5"/>
      <c r="XDZ62" s="5"/>
      <c r="XEA62" s="5"/>
      <c r="XEB62" s="5"/>
      <c r="XEC62" s="5"/>
      <c r="XED62" s="5"/>
      <c r="XEE62" s="5"/>
      <c r="XEF62" s="5"/>
      <c r="XEG62" s="5"/>
      <c r="XEH62" s="5"/>
      <c r="XEI62" s="5"/>
      <c r="XEJ62" s="5"/>
      <c r="XEK62" s="5"/>
      <c r="XEL62" s="5"/>
      <c r="XEM62" s="5"/>
      <c r="XEN62" s="5"/>
      <c r="XEO62" s="5"/>
      <c r="XEP62" s="5"/>
      <c r="XEQ62" s="5"/>
      <c r="XER62" s="5"/>
      <c r="XES62" s="5"/>
      <c r="XET62" s="5"/>
      <c r="XEU62" s="5"/>
      <c r="XEV62" s="5"/>
    </row>
    <row r="63" s="1" customFormat="1" ht="16.5" spans="1:6 16248:16376">
      <c r="A63" s="8">
        <v>61</v>
      </c>
      <c r="B63" s="9" t="s">
        <v>123</v>
      </c>
      <c r="C63" s="8">
        <v>16</v>
      </c>
      <c r="D63" s="8">
        <v>8</v>
      </c>
      <c r="E63" s="8">
        <v>16.5</v>
      </c>
      <c r="F63" s="8">
        <v>132</v>
      </c>
      <c r="WZX63"/>
      <c r="WZY63"/>
      <c r="WZZ63"/>
      <c r="XAA63"/>
      <c r="XAB63"/>
      <c r="XAC63"/>
      <c r="XAD63"/>
      <c r="XAE63"/>
      <c r="XAF63"/>
      <c r="XAG63"/>
      <c r="XAH63"/>
      <c r="XAI63"/>
      <c r="XAJ63"/>
      <c r="XAK63"/>
      <c r="XAL63"/>
      <c r="XAM63"/>
      <c r="XAN63"/>
      <c r="XAO63"/>
      <c r="XAP63"/>
      <c r="XAQ63"/>
      <c r="XAR63"/>
      <c r="XAS63"/>
      <c r="XAT63"/>
      <c r="XAU63"/>
      <c r="XAV63"/>
      <c r="XAW63"/>
      <c r="XAX63"/>
      <c r="XAY63"/>
      <c r="XAZ63"/>
      <c r="XBA63"/>
      <c r="XBB63"/>
      <c r="XBC63"/>
      <c r="XBD63"/>
      <c r="XBE63"/>
      <c r="XBF63"/>
      <c r="XBG63"/>
      <c r="XBH63"/>
      <c r="XBI63"/>
      <c r="XBJ63"/>
      <c r="XBK63" s="5"/>
      <c r="XBL63" s="5"/>
      <c r="XBM63" s="5"/>
      <c r="XBN63" s="5"/>
      <c r="XBO63" s="5"/>
      <c r="XBP63" s="5"/>
      <c r="XBQ63" s="5"/>
      <c r="XBR63" s="5"/>
      <c r="XBS63" s="5"/>
      <c r="XBT63" s="5"/>
      <c r="XBU63" s="5"/>
      <c r="XBV63" s="5"/>
      <c r="XBW63" s="5"/>
      <c r="XBX63" s="5"/>
      <c r="XBY63" s="5"/>
      <c r="XBZ63" s="5"/>
      <c r="XCA63" s="5"/>
      <c r="XCB63" s="5"/>
      <c r="XCC63" s="5"/>
      <c r="XCD63" s="5"/>
      <c r="XCE63" s="5"/>
      <c r="XCF63" s="5"/>
      <c r="XCG63" s="5"/>
      <c r="XCH63" s="5"/>
      <c r="XCI63" s="5"/>
      <c r="XCJ63" s="5"/>
      <c r="XCK63" s="5"/>
      <c r="XCL63" s="5"/>
      <c r="XCM63" s="5"/>
      <c r="XCN63" s="5"/>
      <c r="XCO63" s="5"/>
      <c r="XCP63" s="5"/>
      <c r="XCQ63" s="5"/>
      <c r="XCR63" s="5"/>
      <c r="XCS63" s="5"/>
      <c r="XCT63" s="5"/>
      <c r="XCU63" s="5"/>
      <c r="XCV63" s="5"/>
      <c r="XCW63" s="5"/>
      <c r="XCX63" s="5"/>
      <c r="XCY63" s="5"/>
      <c r="XCZ63" s="5"/>
      <c r="XDA63" s="5"/>
      <c r="XDB63" s="5"/>
      <c r="XDC63" s="5"/>
      <c r="XDD63" s="5"/>
      <c r="XDE63" s="5"/>
      <c r="XDF63" s="5"/>
      <c r="XDG63" s="5"/>
      <c r="XDH63" s="5"/>
      <c r="XDI63" s="5"/>
      <c r="XDJ63" s="5"/>
      <c r="XDK63" s="5"/>
      <c r="XDL63" s="5"/>
      <c r="XDM63" s="5"/>
      <c r="XDN63" s="5"/>
      <c r="XDO63" s="5"/>
      <c r="XDP63" s="5"/>
      <c r="XDQ63" s="5"/>
      <c r="XDR63" s="5"/>
      <c r="XDS63" s="5"/>
      <c r="XDT63" s="5"/>
      <c r="XDU63" s="5"/>
      <c r="XDV63" s="5"/>
      <c r="XDW63" s="5"/>
      <c r="XDX63" s="5"/>
      <c r="XDY63" s="5"/>
      <c r="XDZ63" s="5"/>
      <c r="XEA63" s="5"/>
      <c r="XEB63" s="5"/>
      <c r="XEC63" s="5"/>
      <c r="XED63" s="5"/>
      <c r="XEE63" s="5"/>
      <c r="XEF63" s="5"/>
      <c r="XEG63" s="5"/>
      <c r="XEH63" s="5"/>
      <c r="XEI63" s="5"/>
      <c r="XEJ63" s="5"/>
      <c r="XEK63" s="5"/>
      <c r="XEL63" s="5"/>
      <c r="XEM63" s="5"/>
      <c r="XEN63" s="5"/>
      <c r="XEO63" s="5"/>
      <c r="XEP63" s="5"/>
      <c r="XEQ63" s="5"/>
      <c r="XER63" s="5"/>
      <c r="XES63" s="5"/>
      <c r="XET63" s="5"/>
      <c r="XEU63" s="5"/>
      <c r="XEV63" s="5"/>
    </row>
    <row r="64" s="1" customFormat="1" ht="16.5" spans="1:6 16248:16376">
      <c r="A64" s="8">
        <v>62</v>
      </c>
      <c r="B64" s="9" t="s">
        <v>124</v>
      </c>
      <c r="C64" s="8">
        <v>24</v>
      </c>
      <c r="D64" s="8">
        <v>2</v>
      </c>
      <c r="E64" s="8">
        <v>66</v>
      </c>
      <c r="F64" s="8">
        <v>132</v>
      </c>
      <c r="WZX64"/>
      <c r="WZY64"/>
      <c r="WZZ64"/>
      <c r="XAA64"/>
      <c r="XAB64"/>
      <c r="XAC64"/>
      <c r="XAD64"/>
      <c r="XAE64"/>
      <c r="XAF64"/>
      <c r="XAG64"/>
      <c r="XAH64"/>
      <c r="XAI64"/>
      <c r="XAJ64"/>
      <c r="XAK64"/>
      <c r="XAL64"/>
      <c r="XAM64"/>
      <c r="XAN64"/>
      <c r="XAO64"/>
      <c r="XAP64"/>
      <c r="XAQ64"/>
      <c r="XAR64"/>
      <c r="XAS64"/>
      <c r="XAT64"/>
      <c r="XAU64"/>
      <c r="XAV64"/>
      <c r="XAW64"/>
      <c r="XAX64"/>
      <c r="XAY64"/>
      <c r="XAZ64"/>
      <c r="XBA64"/>
      <c r="XBB64"/>
      <c r="XBC64"/>
      <c r="XBD64"/>
      <c r="XBE64"/>
      <c r="XBF64"/>
      <c r="XBG64"/>
      <c r="XBH64"/>
      <c r="XBI64"/>
      <c r="XBJ64"/>
      <c r="XBK64" s="5"/>
      <c r="XBL64" s="5"/>
      <c r="XBM64" s="5"/>
      <c r="XBN64" s="5"/>
      <c r="XBO64" s="5"/>
      <c r="XBP64" s="5"/>
      <c r="XBQ64" s="5"/>
      <c r="XBR64" s="5"/>
      <c r="XBS64" s="5"/>
      <c r="XBT64" s="5"/>
      <c r="XBU64" s="5"/>
      <c r="XBV64" s="5"/>
      <c r="XBW64" s="5"/>
      <c r="XBX64" s="5"/>
      <c r="XBY64" s="5"/>
      <c r="XBZ64" s="5"/>
      <c r="XCA64" s="5"/>
      <c r="XCB64" s="5"/>
      <c r="XCC64" s="5"/>
      <c r="XCD64" s="5"/>
      <c r="XCE64" s="5"/>
      <c r="XCF64" s="5"/>
      <c r="XCG64" s="5"/>
      <c r="XCH64" s="5"/>
      <c r="XCI64" s="5"/>
      <c r="XCJ64" s="5"/>
      <c r="XCK64" s="5"/>
      <c r="XCL64" s="5"/>
      <c r="XCM64" s="5"/>
      <c r="XCN64" s="5"/>
      <c r="XCO64" s="5"/>
      <c r="XCP64" s="5"/>
      <c r="XCQ64" s="5"/>
      <c r="XCR64" s="5"/>
      <c r="XCS64" s="5"/>
      <c r="XCT64" s="5"/>
      <c r="XCU64" s="5"/>
      <c r="XCV64" s="5"/>
      <c r="XCW64" s="5"/>
      <c r="XCX64" s="5"/>
      <c r="XCY64" s="5"/>
      <c r="XCZ64" s="5"/>
      <c r="XDA64" s="5"/>
      <c r="XDB64" s="5"/>
      <c r="XDC64" s="5"/>
      <c r="XDD64" s="5"/>
      <c r="XDE64" s="5"/>
      <c r="XDF64" s="5"/>
      <c r="XDG64" s="5"/>
      <c r="XDH64" s="5"/>
      <c r="XDI64" s="5"/>
      <c r="XDJ64" s="5"/>
      <c r="XDK64" s="5"/>
      <c r="XDL64" s="5"/>
      <c r="XDM64" s="5"/>
      <c r="XDN64" s="5"/>
      <c r="XDO64" s="5"/>
      <c r="XDP64" s="5"/>
      <c r="XDQ64" s="5"/>
      <c r="XDR64" s="5"/>
      <c r="XDS64" s="5"/>
      <c r="XDT64" s="5"/>
      <c r="XDU64" s="5"/>
      <c r="XDV64" s="5"/>
      <c r="XDW64" s="5"/>
      <c r="XDX64" s="5"/>
      <c r="XDY64" s="5"/>
      <c r="XDZ64" s="5"/>
      <c r="XEA64" s="5"/>
      <c r="XEB64" s="5"/>
      <c r="XEC64" s="5"/>
      <c r="XED64" s="5"/>
      <c r="XEE64" s="5"/>
      <c r="XEF64" s="5"/>
      <c r="XEG64" s="5"/>
      <c r="XEH64" s="5"/>
      <c r="XEI64" s="5"/>
      <c r="XEJ64" s="5"/>
      <c r="XEK64" s="5"/>
      <c r="XEL64" s="5"/>
      <c r="XEM64" s="5"/>
      <c r="XEN64" s="5"/>
      <c r="XEO64" s="5"/>
      <c r="XEP64" s="5"/>
      <c r="XEQ64" s="5"/>
      <c r="XER64" s="5"/>
      <c r="XES64" s="5"/>
      <c r="XET64" s="5"/>
      <c r="XEU64" s="5"/>
      <c r="XEV64" s="5"/>
    </row>
    <row r="65" s="1" customFormat="1" ht="16.5" spans="1:6 16248:16376">
      <c r="A65" s="8">
        <v>63</v>
      </c>
      <c r="B65" s="9" t="s">
        <v>125</v>
      </c>
      <c r="C65" s="8">
        <v>75</v>
      </c>
      <c r="D65" s="8">
        <v>5</v>
      </c>
      <c r="E65" s="8">
        <v>82.5</v>
      </c>
      <c r="F65" s="8">
        <v>412.5</v>
      </c>
      <c r="WZX65"/>
      <c r="WZY65"/>
      <c r="WZZ65"/>
      <c r="XAA65"/>
      <c r="XAB65"/>
      <c r="XAC65"/>
      <c r="XAD65"/>
      <c r="XAE65"/>
      <c r="XAF65"/>
      <c r="XAG65"/>
      <c r="XAH65"/>
      <c r="XAI65"/>
      <c r="XAJ65"/>
      <c r="XAK65"/>
      <c r="XAL65"/>
      <c r="XAM65"/>
      <c r="XAN65"/>
      <c r="XAO65"/>
      <c r="XAP65"/>
      <c r="XAQ65"/>
      <c r="XAR65"/>
      <c r="XAS65"/>
      <c r="XAT65"/>
      <c r="XAU65"/>
      <c r="XAV65"/>
      <c r="XAW65"/>
      <c r="XAX65"/>
      <c r="XAY65"/>
      <c r="XAZ65"/>
      <c r="XBA65"/>
      <c r="XBB65"/>
      <c r="XBC65"/>
      <c r="XBD65"/>
      <c r="XBE65"/>
      <c r="XBF65"/>
      <c r="XBG65"/>
      <c r="XBH65"/>
      <c r="XBI65"/>
      <c r="XBJ65"/>
      <c r="XBK65" s="5"/>
      <c r="XBL65" s="5"/>
      <c r="XBM65" s="5"/>
      <c r="XBN65" s="5"/>
      <c r="XBO65" s="5"/>
      <c r="XBP65" s="5"/>
      <c r="XBQ65" s="5"/>
      <c r="XBR65" s="5"/>
      <c r="XBS65" s="5"/>
      <c r="XBT65" s="5"/>
      <c r="XBU65" s="5"/>
      <c r="XBV65" s="5"/>
      <c r="XBW65" s="5"/>
      <c r="XBX65" s="5"/>
      <c r="XBY65" s="5"/>
      <c r="XBZ65" s="5"/>
      <c r="XCA65" s="5"/>
      <c r="XCB65" s="5"/>
      <c r="XCC65" s="5"/>
      <c r="XCD65" s="5"/>
      <c r="XCE65" s="5"/>
      <c r="XCF65" s="5"/>
      <c r="XCG65" s="5"/>
      <c r="XCH65" s="5"/>
      <c r="XCI65" s="5"/>
      <c r="XCJ65" s="5"/>
      <c r="XCK65" s="5"/>
      <c r="XCL65" s="5"/>
      <c r="XCM65" s="5"/>
      <c r="XCN65" s="5"/>
      <c r="XCO65" s="5"/>
      <c r="XCP65" s="5"/>
      <c r="XCQ65" s="5"/>
      <c r="XCR65" s="5"/>
      <c r="XCS65" s="5"/>
      <c r="XCT65" s="5"/>
      <c r="XCU65" s="5"/>
      <c r="XCV65" s="5"/>
      <c r="XCW65" s="5"/>
      <c r="XCX65" s="5"/>
      <c r="XCY65" s="5"/>
      <c r="XCZ65" s="5"/>
      <c r="XDA65" s="5"/>
      <c r="XDB65" s="5"/>
      <c r="XDC65" s="5"/>
      <c r="XDD65" s="5"/>
      <c r="XDE65" s="5"/>
      <c r="XDF65" s="5"/>
      <c r="XDG65" s="5"/>
      <c r="XDH65" s="5"/>
      <c r="XDI65" s="5"/>
      <c r="XDJ65" s="5"/>
      <c r="XDK65" s="5"/>
      <c r="XDL65" s="5"/>
      <c r="XDM65" s="5"/>
      <c r="XDN65" s="5"/>
      <c r="XDO65" s="5"/>
      <c r="XDP65" s="5"/>
      <c r="XDQ65" s="5"/>
      <c r="XDR65" s="5"/>
      <c r="XDS65" s="5"/>
      <c r="XDT65" s="5"/>
      <c r="XDU65" s="5"/>
      <c r="XDV65" s="5"/>
      <c r="XDW65" s="5"/>
      <c r="XDX65" s="5"/>
      <c r="XDY65" s="5"/>
      <c r="XDZ65" s="5"/>
      <c r="XEA65" s="5"/>
      <c r="XEB65" s="5"/>
      <c r="XEC65" s="5"/>
      <c r="XED65" s="5"/>
      <c r="XEE65" s="5"/>
      <c r="XEF65" s="5"/>
      <c r="XEG65" s="5"/>
      <c r="XEH65" s="5"/>
      <c r="XEI65" s="5"/>
      <c r="XEJ65" s="5"/>
      <c r="XEK65" s="5"/>
      <c r="XEL65" s="5"/>
      <c r="XEM65" s="5"/>
      <c r="XEN65" s="5"/>
      <c r="XEO65" s="5"/>
      <c r="XEP65" s="5"/>
      <c r="XEQ65" s="5"/>
      <c r="XER65" s="5"/>
      <c r="XES65" s="5"/>
      <c r="XET65" s="5"/>
      <c r="XEU65" s="5"/>
      <c r="XEV65" s="5"/>
    </row>
    <row r="66" s="1" customFormat="1" ht="16.5" spans="1:6 16248:16376">
      <c r="A66" s="8">
        <v>64</v>
      </c>
      <c r="B66" s="9" t="s">
        <v>126</v>
      </c>
      <c r="C66" s="8">
        <v>13</v>
      </c>
      <c r="D66" s="8">
        <v>1</v>
      </c>
      <c r="E66" s="8">
        <v>71.5</v>
      </c>
      <c r="F66" s="8">
        <v>71.5</v>
      </c>
      <c r="WZX66"/>
      <c r="WZY66"/>
      <c r="WZZ66"/>
      <c r="XAA66"/>
      <c r="XAB66"/>
      <c r="XAC66"/>
      <c r="XAD66"/>
      <c r="XAE66"/>
      <c r="XAF66"/>
      <c r="XAG66"/>
      <c r="XAH66"/>
      <c r="XAI66"/>
      <c r="XAJ66"/>
      <c r="XAK66"/>
      <c r="XAL66"/>
      <c r="XAM66"/>
      <c r="XAN66"/>
      <c r="XAO66"/>
      <c r="XAP66"/>
      <c r="XAQ66"/>
      <c r="XAR66"/>
      <c r="XAS66"/>
      <c r="XAT66"/>
      <c r="XAU66"/>
      <c r="XAV66"/>
      <c r="XAW66"/>
      <c r="XAX66"/>
      <c r="XAY66"/>
      <c r="XAZ66"/>
      <c r="XBA66"/>
      <c r="XBB66"/>
      <c r="XBC66"/>
      <c r="XBD66"/>
      <c r="XBE66"/>
      <c r="XBF66"/>
      <c r="XBG66"/>
      <c r="XBH66"/>
      <c r="XBI66"/>
      <c r="XBJ66"/>
      <c r="XBK66" s="5"/>
      <c r="XBL66" s="5"/>
      <c r="XBM66" s="5"/>
      <c r="XBN66" s="5"/>
      <c r="XBO66" s="5"/>
      <c r="XBP66" s="5"/>
      <c r="XBQ66" s="5"/>
      <c r="XBR66" s="5"/>
      <c r="XBS66" s="5"/>
      <c r="XBT66" s="5"/>
      <c r="XBU66" s="5"/>
      <c r="XBV66" s="5"/>
      <c r="XBW66" s="5"/>
      <c r="XBX66" s="5"/>
      <c r="XBY66" s="5"/>
      <c r="XBZ66" s="5"/>
      <c r="XCA66" s="5"/>
      <c r="XCB66" s="5"/>
      <c r="XCC66" s="5"/>
      <c r="XCD66" s="5"/>
      <c r="XCE66" s="5"/>
      <c r="XCF66" s="5"/>
      <c r="XCG66" s="5"/>
      <c r="XCH66" s="5"/>
      <c r="XCI66" s="5"/>
      <c r="XCJ66" s="5"/>
      <c r="XCK66" s="5"/>
      <c r="XCL66" s="5"/>
      <c r="XCM66" s="5"/>
      <c r="XCN66" s="5"/>
      <c r="XCO66" s="5"/>
      <c r="XCP66" s="5"/>
      <c r="XCQ66" s="5"/>
      <c r="XCR66" s="5"/>
      <c r="XCS66" s="5"/>
      <c r="XCT66" s="5"/>
      <c r="XCU66" s="5"/>
      <c r="XCV66" s="5"/>
      <c r="XCW66" s="5"/>
      <c r="XCX66" s="5"/>
      <c r="XCY66" s="5"/>
      <c r="XCZ66" s="5"/>
      <c r="XDA66" s="5"/>
      <c r="XDB66" s="5"/>
      <c r="XDC66" s="5"/>
      <c r="XDD66" s="5"/>
      <c r="XDE66" s="5"/>
      <c r="XDF66" s="5"/>
      <c r="XDG66" s="5"/>
      <c r="XDH66" s="5"/>
      <c r="XDI66" s="5"/>
      <c r="XDJ66" s="5"/>
      <c r="XDK66" s="5"/>
      <c r="XDL66" s="5"/>
      <c r="XDM66" s="5"/>
      <c r="XDN66" s="5"/>
      <c r="XDO66" s="5"/>
      <c r="XDP66" s="5"/>
      <c r="XDQ66" s="5"/>
      <c r="XDR66" s="5"/>
      <c r="XDS66" s="5"/>
      <c r="XDT66" s="5"/>
      <c r="XDU66" s="5"/>
      <c r="XDV66" s="5"/>
      <c r="XDW66" s="5"/>
      <c r="XDX66" s="5"/>
      <c r="XDY66" s="5"/>
      <c r="XDZ66" s="5"/>
      <c r="XEA66" s="5"/>
      <c r="XEB66" s="5"/>
      <c r="XEC66" s="5"/>
      <c r="XED66" s="5"/>
      <c r="XEE66" s="5"/>
      <c r="XEF66" s="5"/>
      <c r="XEG66" s="5"/>
      <c r="XEH66" s="5"/>
      <c r="XEI66" s="5"/>
      <c r="XEJ66" s="5"/>
      <c r="XEK66" s="5"/>
      <c r="XEL66" s="5"/>
      <c r="XEM66" s="5"/>
      <c r="XEN66" s="5"/>
      <c r="XEO66" s="5"/>
      <c r="XEP66" s="5"/>
      <c r="XEQ66" s="5"/>
      <c r="XER66" s="5"/>
      <c r="XES66" s="5"/>
      <c r="XET66" s="5"/>
      <c r="XEU66" s="5"/>
      <c r="XEV66" s="5"/>
    </row>
    <row r="67" ht="16.5" spans="1:6 16248:16376">
      <c r="A67" s="8">
        <v>65</v>
      </c>
      <c r="B67" s="9" t="s">
        <v>127</v>
      </c>
      <c r="C67" s="8">
        <v>7</v>
      </c>
      <c r="D67" s="8">
        <v>1</v>
      </c>
      <c r="E67" s="8">
        <v>38.5</v>
      </c>
      <c r="F67" s="8">
        <v>38.5</v>
      </c>
    </row>
    <row r="68" ht="16.5" spans="1:6 16248:16376">
      <c r="A68" s="8">
        <v>66</v>
      </c>
      <c r="B68" s="9" t="s">
        <v>128</v>
      </c>
      <c r="C68" s="8">
        <v>53</v>
      </c>
      <c r="D68" s="8">
        <v>53</v>
      </c>
      <c r="E68" s="8">
        <v>16.5</v>
      </c>
      <c r="F68" s="8">
        <v>874.5</v>
      </c>
    </row>
    <row r="69" ht="16.5" spans="1:6 16248:16376">
      <c r="A69" s="8">
        <v>67</v>
      </c>
      <c r="B69" s="9" t="s">
        <v>129</v>
      </c>
      <c r="C69" s="8">
        <v>10</v>
      </c>
      <c r="D69" s="8">
        <v>1</v>
      </c>
      <c r="E69" s="8">
        <v>165</v>
      </c>
      <c r="F69" s="8">
        <v>165</v>
      </c>
    </row>
    <row r="70" ht="16.5" spans="1:6 16248:16376">
      <c r="A70" s="8">
        <v>68</v>
      </c>
      <c r="B70" s="9" t="s">
        <v>130</v>
      </c>
      <c r="C70" s="8">
        <v>3</v>
      </c>
      <c r="D70" s="8">
        <v>1</v>
      </c>
      <c r="E70" s="8">
        <v>16.5</v>
      </c>
      <c r="F70" s="8">
        <v>16.5</v>
      </c>
    </row>
    <row r="71" ht="16.5" spans="1:6 16248:16376">
      <c r="A71" s="8">
        <v>69</v>
      </c>
      <c r="B71" s="9" t="s">
        <v>131</v>
      </c>
      <c r="C71" s="8">
        <v>2</v>
      </c>
      <c r="D71" s="8">
        <v>1</v>
      </c>
      <c r="E71" s="8">
        <v>16.5</v>
      </c>
      <c r="F71" s="8">
        <v>16.5</v>
      </c>
    </row>
    <row r="72" ht="16.5" spans="1:6 16248:16376">
      <c r="A72" s="8">
        <v>70</v>
      </c>
      <c r="B72" s="9" t="s">
        <v>132</v>
      </c>
      <c r="C72" s="8">
        <f>104/2</f>
        <v>52</v>
      </c>
      <c r="D72" s="8">
        <v>1</v>
      </c>
      <c r="E72" s="8">
        <v>286</v>
      </c>
      <c r="F72" s="8">
        <f>E72</f>
        <v>286</v>
      </c>
    </row>
    <row r="73" ht="16.5" spans="1:6 16248:16376">
      <c r="A73" s="8">
        <v>71</v>
      </c>
      <c r="B73" s="9" t="s">
        <v>133</v>
      </c>
      <c r="C73" s="8">
        <v>48</v>
      </c>
      <c r="D73" s="8">
        <v>1</v>
      </c>
      <c r="E73" s="8">
        <v>264</v>
      </c>
      <c r="F73" s="8">
        <v>264</v>
      </c>
    </row>
    <row r="74" ht="16.5" spans="1:6 16248:16376">
      <c r="A74" s="8">
        <v>72</v>
      </c>
      <c r="B74" s="9" t="s">
        <v>134</v>
      </c>
      <c r="C74" s="8">
        <v>9</v>
      </c>
      <c r="D74" s="8">
        <v>1</v>
      </c>
      <c r="E74" s="8">
        <v>49.5</v>
      </c>
      <c r="F74" s="8">
        <v>49.5</v>
      </c>
    </row>
    <row r="75" ht="16.5" spans="1:6 16248:16376">
      <c r="A75" s="8">
        <v>73</v>
      </c>
      <c r="B75" s="9" t="s">
        <v>135</v>
      </c>
      <c r="C75" s="8">
        <v>2</v>
      </c>
      <c r="D75" s="8">
        <v>1</v>
      </c>
      <c r="E75" s="8">
        <v>16.5</v>
      </c>
      <c r="F75" s="8">
        <v>16.5</v>
      </c>
    </row>
    <row r="76" ht="16.5" spans="1:6 16248:16376">
      <c r="A76" s="8">
        <v>74</v>
      </c>
      <c r="B76" s="9" t="s">
        <v>136</v>
      </c>
      <c r="C76" s="8">
        <v>140</v>
      </c>
      <c r="D76" s="8">
        <v>5</v>
      </c>
      <c r="E76" s="8">
        <v>154</v>
      </c>
      <c r="F76" s="8">
        <v>770</v>
      </c>
    </row>
    <row r="77" ht="16.5" spans="1:6 16248:16376">
      <c r="A77" s="8">
        <v>75</v>
      </c>
      <c r="B77" s="9" t="s">
        <v>137</v>
      </c>
      <c r="C77" s="8">
        <v>36</v>
      </c>
      <c r="D77" s="8">
        <v>12</v>
      </c>
      <c r="E77" s="8">
        <v>16.5</v>
      </c>
      <c r="F77" s="8">
        <v>198</v>
      </c>
    </row>
    <row r="78" ht="16.5" spans="1:6 16248:16376">
      <c r="A78" s="8">
        <v>76</v>
      </c>
      <c r="B78" s="9" t="s">
        <v>40</v>
      </c>
      <c r="C78" s="8">
        <v>0</v>
      </c>
      <c r="D78" s="8">
        <v>139</v>
      </c>
      <c r="E78" s="8">
        <v>2.5</v>
      </c>
      <c r="F78" s="8">
        <v>347.5</v>
      </c>
    </row>
    <row r="79" ht="16.5" spans="1:6 16248:16376">
      <c r="A79" s="8">
        <v>77</v>
      </c>
      <c r="B79" s="9" t="s">
        <v>138</v>
      </c>
      <c r="C79" s="8">
        <v>11</v>
      </c>
      <c r="D79" s="8">
        <v>11</v>
      </c>
      <c r="E79" s="8">
        <v>16.5</v>
      </c>
      <c r="F79" s="8">
        <v>181.5</v>
      </c>
    </row>
    <row r="80" ht="16.5" spans="1:6 16248:16376">
      <c r="A80" s="8">
        <v>78</v>
      </c>
      <c r="B80" s="9" t="s">
        <v>139</v>
      </c>
      <c r="C80" s="8">
        <v>1</v>
      </c>
      <c r="D80" s="8">
        <v>1</v>
      </c>
      <c r="E80" s="8">
        <v>16.5</v>
      </c>
      <c r="F80" s="8">
        <v>16.5</v>
      </c>
    </row>
    <row r="81" ht="16.5" spans="1:6">
      <c r="A81" s="8">
        <v>79</v>
      </c>
      <c r="B81" s="9" t="s">
        <v>140</v>
      </c>
      <c r="C81" s="8">
        <v>8265</v>
      </c>
      <c r="D81" s="8">
        <v>285</v>
      </c>
      <c r="E81" s="8">
        <v>159.5</v>
      </c>
      <c r="F81" s="8">
        <v>45457.5</v>
      </c>
    </row>
    <row r="82" ht="16.5" spans="1:6">
      <c r="A82" s="8">
        <v>80</v>
      </c>
      <c r="B82" s="9" t="s">
        <v>141</v>
      </c>
      <c r="C82" s="8">
        <v>252</v>
      </c>
      <c r="D82" s="8">
        <v>84</v>
      </c>
      <c r="E82" s="8">
        <v>16.5</v>
      </c>
      <c r="F82" s="8">
        <v>1386</v>
      </c>
    </row>
    <row r="83" ht="16.5" spans="1:6">
      <c r="A83" s="8">
        <v>81</v>
      </c>
      <c r="B83" s="9" t="s">
        <v>142</v>
      </c>
      <c r="C83" s="8">
        <v>0</v>
      </c>
      <c r="D83" s="8">
        <v>6</v>
      </c>
      <c r="E83" s="8">
        <v>4</v>
      </c>
      <c r="F83" s="8">
        <v>24</v>
      </c>
    </row>
    <row r="84" ht="16.5" spans="1:6">
      <c r="A84" s="8">
        <v>82</v>
      </c>
      <c r="B84" s="9" t="s">
        <v>143</v>
      </c>
      <c r="C84" s="8">
        <v>18</v>
      </c>
      <c r="D84" s="8">
        <v>9</v>
      </c>
      <c r="E84" s="8">
        <v>16.5</v>
      </c>
      <c r="F84" s="8">
        <v>148.5</v>
      </c>
    </row>
    <row r="85" ht="16.5" spans="1:6">
      <c r="A85" s="8">
        <v>83</v>
      </c>
      <c r="B85" s="9" t="s">
        <v>144</v>
      </c>
      <c r="C85" s="8">
        <v>2</v>
      </c>
      <c r="D85" s="8">
        <v>1</v>
      </c>
      <c r="E85" s="8">
        <v>16.5</v>
      </c>
      <c r="F85" s="8">
        <v>16.5</v>
      </c>
    </row>
    <row r="86" ht="16.5" spans="1:6">
      <c r="A86" s="8">
        <v>84</v>
      </c>
      <c r="B86" s="9" t="s">
        <v>145</v>
      </c>
      <c r="C86" s="8">
        <v>66</v>
      </c>
      <c r="D86" s="8">
        <v>3</v>
      </c>
      <c r="E86" s="8">
        <v>121</v>
      </c>
      <c r="F86" s="8">
        <v>363</v>
      </c>
    </row>
    <row r="87" ht="16.5" spans="1:6">
      <c r="A87" s="8">
        <v>85</v>
      </c>
      <c r="B87" s="9" t="s">
        <v>146</v>
      </c>
      <c r="C87" s="8">
        <v>4</v>
      </c>
      <c r="D87" s="8">
        <v>1</v>
      </c>
      <c r="E87" s="8">
        <v>22</v>
      </c>
      <c r="F87" s="8">
        <v>22</v>
      </c>
    </row>
    <row r="88" ht="16.5" spans="1:6">
      <c r="A88" s="8">
        <v>86</v>
      </c>
      <c r="B88" s="9" t="s">
        <v>147</v>
      </c>
      <c r="C88" s="8">
        <v>20</v>
      </c>
      <c r="D88" s="8">
        <v>4</v>
      </c>
      <c r="E88" s="8">
        <v>27.5</v>
      </c>
      <c r="F88" s="8">
        <v>110</v>
      </c>
    </row>
    <row r="89" ht="16.5" spans="1:6">
      <c r="A89" s="8">
        <v>87</v>
      </c>
      <c r="B89" s="9" t="s">
        <v>148</v>
      </c>
      <c r="C89" s="8">
        <v>8</v>
      </c>
      <c r="D89" s="8">
        <v>1</v>
      </c>
      <c r="E89" s="8">
        <v>44</v>
      </c>
      <c r="F89" s="8">
        <v>44</v>
      </c>
    </row>
    <row r="90" ht="16.5" spans="1:6">
      <c r="A90" s="8">
        <v>88</v>
      </c>
      <c r="B90" s="9" t="s">
        <v>149</v>
      </c>
      <c r="C90" s="8">
        <v>1</v>
      </c>
      <c r="D90" s="8">
        <v>1</v>
      </c>
      <c r="E90" s="8">
        <v>8</v>
      </c>
      <c r="F90" s="8">
        <v>8</v>
      </c>
    </row>
    <row r="91" ht="16.5" spans="1:6">
      <c r="A91" s="8">
        <v>89</v>
      </c>
      <c r="B91" s="9" t="s">
        <v>150</v>
      </c>
      <c r="C91" s="8">
        <v>1</v>
      </c>
      <c r="D91" s="8">
        <v>1</v>
      </c>
      <c r="E91" s="8">
        <v>8</v>
      </c>
      <c r="F91" s="8">
        <v>8</v>
      </c>
    </row>
    <row r="92" ht="16.5" spans="1:6">
      <c r="A92" s="8">
        <v>90</v>
      </c>
      <c r="B92" s="9" t="s">
        <v>151</v>
      </c>
      <c r="C92" s="8">
        <v>30</v>
      </c>
      <c r="D92" s="8">
        <v>3</v>
      </c>
      <c r="E92" s="8">
        <v>55</v>
      </c>
      <c r="F92" s="8">
        <v>165</v>
      </c>
    </row>
    <row r="93" ht="16.5" spans="1:6">
      <c r="A93" s="8">
        <v>91</v>
      </c>
      <c r="B93" s="9" t="s">
        <v>41</v>
      </c>
      <c r="C93" s="8">
        <v>4525</v>
      </c>
      <c r="D93" s="8">
        <v>181</v>
      </c>
      <c r="E93" s="8">
        <v>137.5</v>
      </c>
      <c r="F93" s="8">
        <v>24887.5</v>
      </c>
    </row>
    <row r="94" ht="16.5" spans="1:6">
      <c r="A94" s="8">
        <v>92</v>
      </c>
      <c r="B94" s="9" t="s">
        <v>42</v>
      </c>
      <c r="C94" s="8">
        <v>1</v>
      </c>
      <c r="D94" s="8">
        <v>1</v>
      </c>
      <c r="E94" s="8">
        <v>8</v>
      </c>
      <c r="F94" s="8">
        <v>8</v>
      </c>
    </row>
    <row r="95" ht="16.5" spans="1:6">
      <c r="A95" s="8">
        <v>93</v>
      </c>
      <c r="B95" s="9" t="s">
        <v>152</v>
      </c>
      <c r="C95" s="8">
        <v>9</v>
      </c>
      <c r="D95" s="8">
        <v>3</v>
      </c>
      <c r="E95" s="8">
        <v>16.5</v>
      </c>
      <c r="F95" s="8">
        <v>49.5</v>
      </c>
    </row>
    <row r="96" ht="16.5" spans="1:6">
      <c r="A96" s="8">
        <v>94</v>
      </c>
      <c r="B96" s="9" t="s">
        <v>153</v>
      </c>
      <c r="C96" s="8">
        <v>52</v>
      </c>
      <c r="D96" s="8">
        <v>26</v>
      </c>
      <c r="E96" s="8">
        <v>16.5</v>
      </c>
      <c r="F96" s="8">
        <v>429</v>
      </c>
    </row>
    <row r="97" ht="16.5" spans="1:6">
      <c r="A97" s="8">
        <v>95</v>
      </c>
      <c r="B97" s="9" t="s">
        <v>154</v>
      </c>
      <c r="C97" s="8">
        <v>92</v>
      </c>
      <c r="D97" s="8">
        <v>23</v>
      </c>
      <c r="E97" s="8">
        <v>22</v>
      </c>
      <c r="F97" s="8">
        <v>506</v>
      </c>
    </row>
    <row r="98" ht="16.5" spans="1:6">
      <c r="A98" s="8">
        <v>96</v>
      </c>
      <c r="B98" s="9" t="s">
        <v>47</v>
      </c>
      <c r="C98" s="8">
        <v>0</v>
      </c>
      <c r="D98" s="8">
        <v>37</v>
      </c>
      <c r="E98" s="8">
        <v>30</v>
      </c>
      <c r="F98" s="8">
        <v>1110</v>
      </c>
    </row>
    <row r="99" ht="16.5" spans="1:6">
      <c r="A99" s="8">
        <v>97</v>
      </c>
      <c r="B99" s="9" t="s">
        <v>155</v>
      </c>
      <c r="C99" s="8">
        <v>0</v>
      </c>
      <c r="D99" s="8">
        <v>77</v>
      </c>
      <c r="E99" s="8">
        <v>2.5</v>
      </c>
      <c r="F99" s="8">
        <v>192.5</v>
      </c>
    </row>
    <row r="100" ht="16.5" spans="1:6">
      <c r="A100" s="8">
        <v>98</v>
      </c>
      <c r="B100" s="9" t="s">
        <v>156</v>
      </c>
      <c r="C100" s="8">
        <v>0</v>
      </c>
      <c r="D100" s="8">
        <v>62</v>
      </c>
      <c r="E100" s="8">
        <v>25</v>
      </c>
      <c r="F100" s="8">
        <v>1550</v>
      </c>
    </row>
    <row r="101" ht="16.5" spans="1:6">
      <c r="A101" s="8">
        <v>99</v>
      </c>
      <c r="B101" s="9" t="s">
        <v>157</v>
      </c>
      <c r="C101" s="8">
        <v>204</v>
      </c>
      <c r="D101" s="8">
        <v>6</v>
      </c>
      <c r="E101" s="8">
        <v>187</v>
      </c>
      <c r="F101" s="8">
        <v>1122</v>
      </c>
    </row>
    <row r="102" ht="16.5" spans="1:6">
      <c r="A102" s="8">
        <v>100</v>
      </c>
      <c r="B102" s="9" t="s">
        <v>158</v>
      </c>
      <c r="C102" s="8">
        <v>2</v>
      </c>
      <c r="D102" s="8">
        <v>1</v>
      </c>
      <c r="E102" s="8">
        <v>44</v>
      </c>
      <c r="F102" s="8">
        <v>44</v>
      </c>
    </row>
    <row r="103" ht="16.5" spans="1:6">
      <c r="A103" s="8">
        <v>101</v>
      </c>
      <c r="B103" s="9" t="s">
        <v>159</v>
      </c>
      <c r="C103" s="8">
        <v>32</v>
      </c>
      <c r="D103" s="8">
        <v>8</v>
      </c>
      <c r="E103" s="8">
        <v>22</v>
      </c>
      <c r="F103" s="8">
        <v>176</v>
      </c>
    </row>
    <row r="104" ht="16.5" spans="1:6">
      <c r="A104" s="8">
        <v>102</v>
      </c>
      <c r="B104" s="9" t="s">
        <v>160</v>
      </c>
      <c r="C104" s="8">
        <v>9</v>
      </c>
      <c r="D104" s="8">
        <v>9</v>
      </c>
      <c r="E104" s="8">
        <v>16.5</v>
      </c>
      <c r="F104" s="8">
        <v>148.5</v>
      </c>
    </row>
    <row r="105" ht="16.5" spans="1:6">
      <c r="A105" s="8">
        <v>103</v>
      </c>
      <c r="B105" s="9" t="s">
        <v>161</v>
      </c>
      <c r="C105" s="8">
        <v>3</v>
      </c>
      <c r="D105" s="8">
        <v>1</v>
      </c>
      <c r="E105" s="8">
        <v>16.5</v>
      </c>
      <c r="F105" s="8">
        <v>16.5</v>
      </c>
    </row>
    <row r="106" ht="16.5" spans="1:6">
      <c r="A106" s="8">
        <v>104</v>
      </c>
      <c r="B106" s="9" t="s">
        <v>162</v>
      </c>
      <c r="C106" s="8">
        <v>0</v>
      </c>
      <c r="D106" s="8">
        <v>12</v>
      </c>
      <c r="E106" s="8">
        <v>25</v>
      </c>
      <c r="F106" s="8">
        <v>300</v>
      </c>
    </row>
    <row r="107" ht="16.5" spans="1:6">
      <c r="A107" s="8">
        <v>105</v>
      </c>
      <c r="B107" s="9" t="s">
        <v>163</v>
      </c>
      <c r="C107" s="8">
        <v>0</v>
      </c>
      <c r="D107" s="8">
        <v>156</v>
      </c>
      <c r="E107" s="8">
        <v>35</v>
      </c>
      <c r="F107" s="8">
        <v>5460</v>
      </c>
    </row>
    <row r="108" ht="16.5" spans="1:6">
      <c r="A108" s="8">
        <v>106</v>
      </c>
      <c r="B108" s="9" t="s">
        <v>164</v>
      </c>
      <c r="C108" s="8">
        <v>10784</v>
      </c>
      <c r="D108" s="8">
        <v>337</v>
      </c>
      <c r="E108" s="8">
        <v>176</v>
      </c>
      <c r="F108" s="8">
        <v>59312</v>
      </c>
    </row>
    <row r="109" ht="16.5" spans="1:6">
      <c r="A109" s="8">
        <v>107</v>
      </c>
      <c r="B109" s="9" t="s">
        <v>165</v>
      </c>
      <c r="C109" s="8">
        <v>0</v>
      </c>
      <c r="D109" s="8">
        <v>6</v>
      </c>
      <c r="E109" s="8">
        <v>4</v>
      </c>
      <c r="F109" s="8">
        <v>24</v>
      </c>
    </row>
    <row r="110" ht="16.5" spans="1:6">
      <c r="A110" s="8">
        <v>108</v>
      </c>
      <c r="B110" s="9" t="s">
        <v>166</v>
      </c>
      <c r="C110" s="8">
        <v>0</v>
      </c>
      <c r="D110" s="8">
        <v>7</v>
      </c>
      <c r="E110" s="8">
        <v>25</v>
      </c>
      <c r="F110" s="8">
        <v>175</v>
      </c>
    </row>
    <row r="111" ht="16.5" spans="1:6">
      <c r="A111" s="8">
        <v>109</v>
      </c>
      <c r="B111" s="9" t="s">
        <v>167</v>
      </c>
      <c r="C111" s="8">
        <v>22</v>
      </c>
      <c r="D111" s="8">
        <v>2</v>
      </c>
      <c r="E111" s="8">
        <v>60.5</v>
      </c>
      <c r="F111" s="8">
        <v>121</v>
      </c>
    </row>
    <row r="112" ht="16.5" spans="1:6">
      <c r="A112" s="8">
        <v>110</v>
      </c>
      <c r="B112" s="9" t="s">
        <v>168</v>
      </c>
      <c r="C112" s="8">
        <v>88</v>
      </c>
      <c r="D112" s="8">
        <v>8</v>
      </c>
      <c r="E112" s="8">
        <v>60.5</v>
      </c>
      <c r="F112" s="8">
        <v>484</v>
      </c>
    </row>
    <row r="113" ht="16.5" spans="1:6">
      <c r="A113" s="8">
        <v>111</v>
      </c>
      <c r="B113" s="9" t="s">
        <v>169</v>
      </c>
      <c r="C113" s="8">
        <v>13</v>
      </c>
      <c r="D113" s="8">
        <v>1</v>
      </c>
      <c r="E113" s="8">
        <v>71.5</v>
      </c>
      <c r="F113" s="8">
        <v>71.5</v>
      </c>
    </row>
    <row r="114" ht="16.5" spans="1:6">
      <c r="A114" s="8">
        <v>112</v>
      </c>
      <c r="B114" s="9" t="s">
        <v>170</v>
      </c>
      <c r="C114" s="8">
        <v>1</v>
      </c>
      <c r="D114" s="8">
        <v>1</v>
      </c>
      <c r="E114" s="8">
        <v>8</v>
      </c>
      <c r="F114" s="8">
        <v>8</v>
      </c>
    </row>
    <row r="115" ht="16.5" spans="1:6">
      <c r="A115" s="8">
        <v>113</v>
      </c>
      <c r="B115" s="9" t="s">
        <v>171</v>
      </c>
      <c r="C115" s="8">
        <v>1</v>
      </c>
      <c r="D115" s="8">
        <v>1</v>
      </c>
      <c r="E115" s="8">
        <v>8</v>
      </c>
      <c r="F115" s="8">
        <v>8</v>
      </c>
    </row>
    <row r="116" ht="16.5" spans="1:6">
      <c r="A116" s="8">
        <v>114</v>
      </c>
      <c r="B116" s="9" t="s">
        <v>172</v>
      </c>
      <c r="C116" s="8">
        <v>24</v>
      </c>
      <c r="D116" s="8">
        <v>2</v>
      </c>
      <c r="E116" s="8">
        <v>66</v>
      </c>
      <c r="F116" s="8">
        <v>132</v>
      </c>
    </row>
    <row r="117" ht="16.5" spans="1:6">
      <c r="A117" s="8">
        <v>115</v>
      </c>
      <c r="B117" s="9" t="s">
        <v>173</v>
      </c>
      <c r="C117" s="8">
        <v>8</v>
      </c>
      <c r="D117" s="8">
        <v>1</v>
      </c>
      <c r="E117" s="8">
        <v>44</v>
      </c>
      <c r="F117" s="8">
        <v>44</v>
      </c>
    </row>
    <row r="118" ht="16.5" spans="1:6">
      <c r="A118" s="8">
        <v>116</v>
      </c>
      <c r="B118" s="9" t="s">
        <v>174</v>
      </c>
      <c r="C118" s="8">
        <v>21</v>
      </c>
      <c r="D118" s="8">
        <v>7</v>
      </c>
      <c r="E118" s="8">
        <v>16.5</v>
      </c>
      <c r="F118" s="8">
        <v>115.5</v>
      </c>
    </row>
    <row r="119" ht="16.5" spans="1:6">
      <c r="A119" s="8">
        <v>117</v>
      </c>
      <c r="B119" s="9" t="s">
        <v>175</v>
      </c>
      <c r="C119" s="8">
        <v>6</v>
      </c>
      <c r="D119" s="8">
        <v>3</v>
      </c>
      <c r="E119" s="8">
        <v>16.5</v>
      </c>
      <c r="F119" s="8">
        <v>49.5</v>
      </c>
    </row>
    <row r="120" ht="16.5" spans="1:6">
      <c r="A120" s="8">
        <v>118</v>
      </c>
      <c r="B120" s="9" t="s">
        <v>176</v>
      </c>
      <c r="C120" s="8">
        <v>174</v>
      </c>
      <c r="D120" s="8">
        <v>87</v>
      </c>
      <c r="E120" s="8">
        <v>16.5</v>
      </c>
      <c r="F120" s="8">
        <v>1435.5</v>
      </c>
    </row>
    <row r="121" ht="16.5" spans="1:6">
      <c r="A121" s="8">
        <v>119</v>
      </c>
      <c r="B121" s="9" t="s">
        <v>177</v>
      </c>
      <c r="C121" s="8">
        <v>58</v>
      </c>
      <c r="D121" s="8">
        <v>58</v>
      </c>
      <c r="E121" s="8">
        <v>16.5</v>
      </c>
      <c r="F121" s="8">
        <v>957</v>
      </c>
    </row>
    <row r="122" ht="16.5" spans="1:6">
      <c r="A122" s="8">
        <v>120</v>
      </c>
      <c r="B122" s="9" t="s">
        <v>178</v>
      </c>
      <c r="C122" s="8">
        <v>14</v>
      </c>
      <c r="D122" s="8">
        <v>7</v>
      </c>
      <c r="E122" s="8">
        <v>16.5</v>
      </c>
      <c r="F122" s="8">
        <v>115.5</v>
      </c>
    </row>
    <row r="123" ht="16.5" spans="1:6">
      <c r="A123" s="8">
        <v>121</v>
      </c>
      <c r="B123" s="9" t="s">
        <v>179</v>
      </c>
      <c r="C123" s="8">
        <v>3</v>
      </c>
      <c r="D123" s="8">
        <v>1</v>
      </c>
      <c r="E123" s="8">
        <v>16.5</v>
      </c>
      <c r="F123" s="8">
        <v>16.5</v>
      </c>
    </row>
    <row r="124" ht="16.5" spans="1:6">
      <c r="A124" s="8">
        <v>122</v>
      </c>
      <c r="B124" s="9" t="s">
        <v>63</v>
      </c>
      <c r="C124" s="8">
        <v>28</v>
      </c>
      <c r="D124" s="8">
        <v>14</v>
      </c>
      <c r="E124" s="8">
        <v>16.5</v>
      </c>
      <c r="F124" s="8">
        <v>231</v>
      </c>
    </row>
    <row r="125" ht="16.5" spans="1:6">
      <c r="A125" s="8">
        <v>123</v>
      </c>
      <c r="B125" s="9" t="s">
        <v>180</v>
      </c>
      <c r="C125" s="8">
        <v>16</v>
      </c>
      <c r="D125" s="8">
        <v>8</v>
      </c>
      <c r="E125" s="8">
        <v>16.5</v>
      </c>
      <c r="F125" s="8">
        <v>132</v>
      </c>
    </row>
    <row r="126" ht="16.5" spans="1:6">
      <c r="A126" s="8">
        <v>124</v>
      </c>
      <c r="B126" s="9" t="s">
        <v>181</v>
      </c>
      <c r="C126" s="8">
        <v>1</v>
      </c>
      <c r="D126" s="8">
        <v>1</v>
      </c>
      <c r="E126" s="8">
        <v>16.5</v>
      </c>
      <c r="F126" s="8">
        <v>16.5</v>
      </c>
    </row>
    <row r="127" ht="16.5" spans="1:6">
      <c r="A127" s="8">
        <v>125</v>
      </c>
      <c r="B127" s="9" t="s">
        <v>182</v>
      </c>
      <c r="C127" s="8">
        <v>93</v>
      </c>
      <c r="D127" s="8">
        <v>3</v>
      </c>
      <c r="E127" s="8">
        <v>170.5</v>
      </c>
      <c r="F127" s="8">
        <v>511.5</v>
      </c>
    </row>
    <row r="128" ht="16.5" spans="1:6">
      <c r="A128" s="8">
        <v>126</v>
      </c>
      <c r="B128" s="9" t="s">
        <v>183</v>
      </c>
      <c r="C128" s="8">
        <v>101</v>
      </c>
      <c r="D128" s="8">
        <v>1</v>
      </c>
      <c r="E128" s="8">
        <v>555.5</v>
      </c>
      <c r="F128" s="8">
        <v>555.5</v>
      </c>
    </row>
    <row r="129" ht="16.5" spans="1:6">
      <c r="A129" s="8">
        <v>127</v>
      </c>
      <c r="B129" s="9" t="s">
        <v>184</v>
      </c>
      <c r="C129" s="8">
        <v>10</v>
      </c>
      <c r="D129" s="8">
        <v>1</v>
      </c>
      <c r="E129" s="8">
        <v>55</v>
      </c>
      <c r="F129" s="8">
        <v>55</v>
      </c>
    </row>
    <row r="130" ht="16.5" spans="1:6">
      <c r="A130" s="8">
        <v>128</v>
      </c>
      <c r="B130" s="9" t="s">
        <v>185</v>
      </c>
      <c r="C130" s="8">
        <v>5</v>
      </c>
      <c r="D130" s="8">
        <v>1</v>
      </c>
      <c r="E130" s="8">
        <v>27.5</v>
      </c>
      <c r="F130" s="8">
        <v>27.5</v>
      </c>
    </row>
    <row r="131" ht="16.5" spans="1:6">
      <c r="A131" s="8">
        <v>129</v>
      </c>
      <c r="B131" s="9" t="s">
        <v>186</v>
      </c>
      <c r="C131" s="8">
        <v>2</v>
      </c>
      <c r="D131" s="8">
        <v>1</v>
      </c>
      <c r="E131" s="8">
        <v>13.5</v>
      </c>
      <c r="F131" s="8">
        <v>13.5</v>
      </c>
    </row>
    <row r="132" ht="16.5" spans="1:6">
      <c r="A132" s="8">
        <v>130</v>
      </c>
      <c r="B132" s="9" t="s">
        <v>187</v>
      </c>
      <c r="C132" s="8">
        <v>4</v>
      </c>
      <c r="D132" s="8">
        <v>1</v>
      </c>
      <c r="E132" s="8">
        <v>22</v>
      </c>
      <c r="F132" s="8">
        <v>22</v>
      </c>
    </row>
    <row r="133" ht="16.5" spans="1:6">
      <c r="A133" s="8">
        <v>131</v>
      </c>
      <c r="B133" s="9" t="s">
        <v>188</v>
      </c>
      <c r="C133" s="8">
        <v>6</v>
      </c>
      <c r="D133" s="8">
        <v>1</v>
      </c>
      <c r="E133" s="8">
        <v>33</v>
      </c>
      <c r="F133" s="8">
        <v>33</v>
      </c>
    </row>
    <row r="134" ht="16.5" spans="1:6">
      <c r="A134" s="8">
        <v>132</v>
      </c>
      <c r="B134" s="9" t="s">
        <v>189</v>
      </c>
      <c r="C134" s="8">
        <v>9</v>
      </c>
      <c r="D134" s="8">
        <v>1</v>
      </c>
      <c r="E134" s="8">
        <v>49.5</v>
      </c>
      <c r="F134" s="8">
        <v>49.5</v>
      </c>
    </row>
    <row r="135" ht="16.5" spans="1:6">
      <c r="A135" s="12" t="s">
        <v>190</v>
      </c>
      <c r="B135" s="13"/>
      <c r="C135" s="13"/>
      <c r="D135" s="13"/>
      <c r="E135" s="14"/>
      <c r="F135" s="8">
        <f>SUM(F3:F134)</f>
        <v>168167.5</v>
      </c>
    </row>
  </sheetData>
  <autoFilter xmlns:etc="http://www.wps.cn/officeDocument/2017/etCustomData" ref="A2:XEV135" etc:filterBottomFollowUsedRange="0">
    <extLst/>
  </autoFilter>
  <mergeCells count="2">
    <mergeCell ref="A1:F1"/>
    <mergeCell ref="A135:E135"/>
  </mergeCells>
  <pageMargins left="0.25" right="0.25" top="0.75" bottom="0.75" header="0.298611111111111" footer="0.298611111111111"/>
  <pageSetup paperSize="9" scale="9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手术二区</vt:lpstr>
      <vt:lpstr>手术一区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2024-05-24T05:02:00Z</dcterms:created>
  <dcterms:modified xsi:type="dcterms:W3CDTF">2026-03-25T01:45:16Z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9B6B6B32EDAE4111A9E7223C058FAEE5_13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