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呼兰区第一人民医院" sheetId="1" r:id="rId1"/>
  </sheets>
  <externalReferences>
    <externalReference r:id="rId2"/>
  </externalReferences>
  <definedNames>
    <definedName name="_xlnm.Print_Titles" localSheetId="0">呼兰区第一人民医院!$1:$4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<sst xmlns="http://schemas.openxmlformats.org/spreadsheetml/2006/main" count="41" uniqueCount="18">
  <si>
    <t/>
  </si>
  <si>
    <r>
      <rPr>
        <b/>
        <sz val="14"/>
        <color rgb="FF000000"/>
        <rFont val="宋体"/>
        <charset val="134"/>
      </rPr>
      <t>哈尔滨市呼兰区第一人民医院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</si>
  <si>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哈尔滨市呼兰区第一人民医院</t>
    </r>
  </si>
  <si>
    <t>从:2026年4月1日  至: 2026年4月30日 灭菌费用总清单如下：</t>
  </si>
  <si>
    <t>序号</t>
  </si>
  <si>
    <t>条目</t>
  </si>
  <si>
    <t>费用</t>
  </si>
  <si>
    <t>备注</t>
  </si>
  <si>
    <t>灭菌费用</t>
  </si>
  <si>
    <t>7折优惠</t>
  </si>
  <si>
    <t>费用调整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</si>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</sst>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7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178" fontId="3" fillId="0" borderId="2" xfId="0" applyNumberFormat="1" applyFont="1" applyFill="1" applyBorder="1" applyAlignment="1">
      <alignment horizontal="center" vertical="top" wrapText="1" readingOrder="1"/>
    </xf>
    <xf numFmtId="178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270885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628;&#20848;&#20154;&#27665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门诊耳鼻喉"/>
      <sheetName val="门诊妇科"/>
      <sheetName val="门诊肛肠科"/>
      <sheetName val="门诊计划生育"/>
      <sheetName val="门诊口腔科"/>
      <sheetName val="门诊手术室"/>
      <sheetName val="门诊外科"/>
      <sheetName val="门诊眼科"/>
      <sheetName val="外科（住院处）"/>
      <sheetName val="住院处手术室"/>
      <sheetName val="费用调整"/>
    </sheetNames>
    <sheetDataSet>
      <sheetData sheetId="0">
        <row r="10">
          <cell r="K10">
            <v>585.2</v>
          </cell>
        </row>
      </sheetData>
      <sheetData sheetId="1">
        <row r="8">
          <cell r="K8">
            <v>3614.44999999999</v>
          </cell>
        </row>
      </sheetData>
      <sheetData sheetId="2">
        <row r="8">
          <cell r="K8">
            <v>231</v>
          </cell>
        </row>
      </sheetData>
      <sheetData sheetId="3">
        <row r="8">
          <cell r="K8">
            <v>1199.1</v>
          </cell>
        </row>
      </sheetData>
      <sheetData sheetId="4">
        <row r="8">
          <cell r="K8">
            <v>700</v>
          </cell>
        </row>
      </sheetData>
      <sheetData sheetId="5">
        <row r="8">
          <cell r="K8">
            <v>1780.1</v>
          </cell>
        </row>
      </sheetData>
      <sheetData sheetId="6">
        <row r="8">
          <cell r="K8">
            <v>831.6</v>
          </cell>
        </row>
      </sheetData>
      <sheetData sheetId="7">
        <row r="8">
          <cell r="K8">
            <v>316.4</v>
          </cell>
        </row>
      </sheetData>
      <sheetData sheetId="8">
        <row r="8">
          <cell r="K8">
            <v>746.55</v>
          </cell>
        </row>
      </sheetData>
      <sheetData sheetId="9">
        <row r="8">
          <cell r="K8">
            <v>1794.8</v>
          </cell>
        </row>
      </sheetData>
      <sheetData sheetId="10">
        <row r="7">
          <cell r="I7">
            <v>-1.05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8.5" customWidth="1"/>
    <col min="5" max="5" width="18.875" customWidth="1"/>
    <col min="6" max="6" width="14.725" customWidth="1"/>
    <col min="7" max="7" width="22" customWidth="1"/>
    <col min="8" max="8" width="26.125" customWidth="1"/>
    <col min="9" max="10" width="9.375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8">
        <v>1</v>
      </c>
      <c r="E12" s="6" t="s">
        <v>8</v>
      </c>
      <c r="F12" s="9">
        <f>[1]门诊耳鼻喉!$K$10+[1]门诊妇科!$K$8+[1]门诊肛肠科!$K$8+[1]门诊计划生育!$K$8+[1]门诊口腔科!$K$8+[1]门诊手术室!$K$8+[1]门诊外科!$K$8+[1]门诊眼科!$K$8+'[1]外科（住院处）'!$K$8+[1]住院处手术室!$K$8</f>
        <v>11799.2</v>
      </c>
      <c r="G12" s="7"/>
      <c r="H12" s="6" t="s">
        <v>9</v>
      </c>
    </row>
    <row r="13" ht="30" customHeight="1" spans="3:8">
      <c r="D13" s="8">
        <v>2</v>
      </c>
      <c r="E13" s="8" t="s">
        <v>10</v>
      </c>
      <c r="F13" s="10">
        <f>[1]费用调整!$I$7</f>
        <v>-1.05</v>
      </c>
      <c r="G13" s="11"/>
      <c r="H13" s="6"/>
    </row>
    <row r="14" ht="30" customHeight="1" spans="3:8">
      <c r="D14" s="8">
        <v>3</v>
      </c>
      <c r="E14" s="6" t="s">
        <v>11</v>
      </c>
      <c r="F14" s="9">
        <f>13*50</f>
        <v>650</v>
      </c>
      <c r="G14" s="7" t="s">
        <v>0</v>
      </c>
      <c r="H14" s="6" t="s">
        <v>12</v>
      </c>
    </row>
    <row r="15" ht="30" customHeight="1" spans="3:8">
      <c r="D15" s="6" t="s">
        <v>13</v>
      </c>
      <c r="E15" s="7" t="s">
        <v>0</v>
      </c>
      <c r="F15" s="9">
        <f>SUM(F12:G14)</f>
        <v>12448.15</v>
      </c>
      <c r="G15" s="7" t="s">
        <v>0</v>
      </c>
      <c r="H15" s="6" t="s">
        <v>0</v>
      </c>
    </row>
    <row r="16" ht="30" customHeight="1" spans="3:8">
      <c r="D16" s="6" t="s">
        <v>14</v>
      </c>
      <c r="E16" s="7" t="s">
        <v>0</v>
      </c>
      <c r="F16" s="12">
        <f>F15</f>
        <v>12448.15</v>
      </c>
      <c r="G16" s="13"/>
      <c r="H16" s="6"/>
    </row>
    <row r="17" ht="12" customHeight="1" spans="4:8">
      <c r="D17" s="4" t="s">
        <v>0</v>
      </c>
    </row>
    <row r="18" ht="188.7" customHeight="1" spans="4:8">
      <c r="D18" s="5" t="s">
        <v>15</v>
      </c>
    </row>
    <row r="19" ht="18.75" spans="4:8">
      <c r="D19" s="14" t="s">
        <v>0</v>
      </c>
      <c r="E19" s="14" t="s">
        <v>0</v>
      </c>
      <c r="F19" s="15" t="s">
        <v>16</v>
      </c>
      <c r="H19" s="14" t="s">
        <v>0</v>
      </c>
    </row>
    <row r="20" ht="36" customHeight="1" spans="4:8">
      <c r="D20" s="16" t="s">
        <v>17</v>
      </c>
    </row>
    <row r="2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呼兰区第一人民医院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2026-01-07T04:43:00Z</dcterms:created>
  <dcterms:modified xsi:type="dcterms:W3CDTF">2026-05-12T05:36:02Z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53195CB952D144259679077E5B50F0B0_13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