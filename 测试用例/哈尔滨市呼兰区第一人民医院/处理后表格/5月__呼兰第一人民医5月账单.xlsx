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门诊耳鼻喉" sheetId="1" r:id="rId1"/>
    <sheet name="门诊妇科" sheetId="2" r:id="rId2"/>
    <sheet name="门诊肛肠科" sheetId="3" r:id="rId3"/>
    <sheet name="门诊计划生育" sheetId="4" r:id="rId4"/>
    <sheet name="门诊口腔科" sheetId="5" r:id="rId5"/>
    <sheet name="门诊手术室" sheetId="6" r:id="rId6"/>
    <sheet name="门诊外科" sheetId="7" r:id="rId7"/>
    <sheet name="门诊眼科" sheetId="8" r:id="rId8"/>
    <sheet name="外科（住院处）" sheetId="9" r:id="rId9"/>
    <sheet name="住院处手术室" sheetId="10" r:id="rId10"/>
  </sheets>
  <definedNames>
    <definedName name="_xlnm._FilterDatabase" localSheetId="1" hidden="1">门诊妇科!$A$7:$K$145</definedName>
    <definedName name="_xlnm._FilterDatabase" localSheetId="3" hidden="1">门诊计划生育!$A$8:$K$78</definedName>
    <definedName name="_xlnm._FilterDatabase" localSheetId="4" hidden="1">门诊口腔科!$A$7:$K$47</definedName>
    <definedName name="_xlnm._FilterDatabase" localSheetId="5" hidden="1">门诊手术室!$A$8:$K$27</definedName>
    <definedName name="_xlnm._FilterDatabase" localSheetId="6" hidden="1">门诊外科!$A$7:$K$34</definedName>
    <definedName name="_xlnm._FilterDatabase" localSheetId="7" hidden="1">门诊眼科!$A$8:$K$44</definedName>
    <definedName name="_xlnm._FilterDatabase" localSheetId="8" hidden="1">'外科（住院处）'!$A$7:$K$26</definedName>
    <definedName name="_xlnm._FilterDatabase" localSheetId="9" hidden="1">住院处手术室!$A$8:$K$49</definedName>
    <definedName name="_xlnm.Print_Titles" localSheetId="0">门诊耳鼻喉!$1:$6</definedName>
    <definedName name="_xlnm.Print_Titles" localSheetId="1">门诊妇科!$1:$6</definedName>
    <definedName name="_xlnm.Print_Titles" localSheetId="2">门诊肛肠科!$1:$6</definedName>
    <definedName name="_xlnm.Print_Titles" localSheetId="3">门诊计划生育!$1:$6</definedName>
    <definedName name="_xlnm.Print_Titles" localSheetId="4">门诊口腔科!$1:$6</definedName>
    <definedName name="_xlnm.Print_Titles" localSheetId="5">门诊手术室!$1:$6</definedName>
    <definedName name="_xlnm.Print_Titles" localSheetId="6">门诊外科!$1:$6</definedName>
    <definedName name="_xlnm.Print_Titles" localSheetId="7">门诊眼科!$1:$6</definedName>
    <definedName name="_xlnm.Print_Titles" localSheetId="8">'外科（住院处）'!$1:$6</definedName>
    <definedName name="_xlnm.Print_Titles" localSheetId="9">住院处手术室!$1:$6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<sst xmlns="http://schemas.openxmlformats.org/spreadsheetml/2006/main" count="992" uniqueCount="112">
  <si>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</si>
  <si>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</si>
  <si>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</si>
  <si>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呼兰区第一人民医院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</si>
  <si>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</si>
  <si>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</si>
  <si>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</si>
  <si>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</si>
  <si>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</si>
  <si>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</si>
  <si>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</si>
  <si>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</si>
  <si>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门诊耳鼻喉</t>
  </si>
  <si>
    <t>器械包(ZSD)</t>
  </si>
  <si>
    <t>耳鼻喉器械包</t>
  </si>
  <si>
    <t>缝合包</t>
  </si>
  <si>
    <t>额外包(纸塑袋)</t>
  </si>
  <si>
    <t>镊子1剪刀1止血钳1/Z1526</t>
  </si>
  <si>
    <t>镊子缸-2/Z2044</t>
  </si>
  <si>
    <t>门诊妇科</t>
  </si>
  <si>
    <t>宫颈钳-1/Z1535</t>
  </si>
  <si>
    <t>窥器-1/Z1526</t>
  </si>
  <si>
    <t>扩棒5.5号-1件/Z7526</t>
  </si>
  <si>
    <t>扩棒5号-1件/Z7526</t>
  </si>
  <si>
    <t>扩棒6.5号-1件/Z7526</t>
  </si>
  <si>
    <t>取环钩-1/Z7537</t>
  </si>
  <si>
    <t>探针-1/Z7537</t>
  </si>
  <si>
    <t>止血钳-1/Z1029</t>
  </si>
  <si>
    <t>刮宫包</t>
  </si>
  <si>
    <t>扩棒4.5号-1/Z7526</t>
  </si>
  <si>
    <t>扩棒4号-1/Z7526</t>
  </si>
  <si>
    <t>镊子-1/Z7534</t>
  </si>
  <si>
    <t>取环包</t>
  </si>
  <si>
    <t>扩棒6号-1件/Z7526</t>
  </si>
  <si>
    <t>吸头5号-1/Z7534</t>
  </si>
  <si>
    <t>吸头6号-1/Z7534</t>
  </si>
  <si>
    <t>剪刀-1/Z1029</t>
  </si>
  <si>
    <t>扩棒7号-1/Z7526</t>
  </si>
  <si>
    <t>取环器-1/Z1535</t>
  </si>
  <si>
    <t>吸头7号-1/Z7534</t>
  </si>
  <si>
    <t>妇科刮勺-1/Z7537</t>
  </si>
  <si>
    <t>扩棒7.5号-1件/Z7526</t>
  </si>
  <si>
    <t>扩棒8.5号-1/Z7526</t>
  </si>
  <si>
    <t>扩棒8号-1件/Z7526</t>
  </si>
  <si>
    <t>扩棒9号-1/Z7526</t>
  </si>
  <si>
    <t>卵圆钳-1/Z1535</t>
  </si>
  <si>
    <t>病理钳-1/Z2032</t>
  </si>
  <si>
    <t>门诊肛肠科</t>
  </si>
  <si>
    <t>切开包</t>
  </si>
  <si>
    <t>门诊计划生育</t>
  </si>
  <si>
    <t>8号吸头-1/Z7534</t>
  </si>
  <si>
    <t>带环包</t>
  </si>
  <si>
    <t>门诊口腔科</t>
  </si>
  <si>
    <t>拔牙钳-1/Z1029</t>
  </si>
  <si>
    <t>拔牙挺-1/Z7526</t>
  </si>
  <si>
    <t>洁牙机手柄-1/Z7526</t>
  </si>
  <si>
    <t>洁牙尖-1/Z7520</t>
  </si>
  <si>
    <t>抛光刷-1/z7520</t>
  </si>
  <si>
    <t>手机-1/Z1026</t>
  </si>
  <si>
    <t>持针器-1/Z1026</t>
  </si>
  <si>
    <t>挖勺-1/Z7534</t>
  </si>
  <si>
    <t>敷料包(纸塑袋)</t>
  </si>
  <si>
    <t>棉球/Z2032</t>
  </si>
  <si>
    <t>刮勺-1/Z7534</t>
  </si>
  <si>
    <t>刷头-1/Z7520</t>
  </si>
  <si>
    <t>三角挺-1/Z1026</t>
  </si>
  <si>
    <t>门诊手术室</t>
  </si>
  <si>
    <t>器械包</t>
  </si>
  <si>
    <t>额外包(无纺布)</t>
  </si>
  <si>
    <t>持物钳罐-3 /W7050</t>
  </si>
  <si>
    <t>大盆1小盆1碗1盘1/W9050</t>
  </si>
  <si>
    <t>腔镜器械包</t>
  </si>
  <si>
    <t>大盆1小盆1盘1/W9050</t>
  </si>
  <si>
    <t>辅助器械包（二包）</t>
  </si>
  <si>
    <t>吸引器-1/z7534</t>
  </si>
  <si>
    <t>开胸包</t>
  </si>
  <si>
    <t>肝脏拉钩-4/W7050</t>
  </si>
  <si>
    <t>门诊外科</t>
  </si>
  <si>
    <t>剪刀缸-2/Z1535</t>
  </si>
  <si>
    <t>器械切开包</t>
  </si>
  <si>
    <t>剪刀缸-3/W6050</t>
  </si>
  <si>
    <t>门诊眼科</t>
  </si>
  <si>
    <t>眼科器械包</t>
  </si>
  <si>
    <t>孔巾/Z2032</t>
  </si>
  <si>
    <t>棉签/Z1026</t>
  </si>
  <si>
    <t>纱布/Z1526</t>
  </si>
  <si>
    <t>睑板钩-1件/z7526</t>
  </si>
  <si>
    <t>止血钳-1件/z1029</t>
  </si>
  <si>
    <t>显微无钩镊-1件/z7526</t>
  </si>
  <si>
    <t>睑板腺按摩镊-1件/z7520</t>
  </si>
  <si>
    <t>显微有钩镊-1/Z7520</t>
  </si>
  <si>
    <t>外科（住院处）</t>
  </si>
  <si>
    <t>消毒缸-1/Z2032</t>
  </si>
  <si>
    <t>持物钳罐-4/W7050</t>
  </si>
  <si>
    <t>剪刀缸-4/W6050</t>
  </si>
  <si>
    <t>住院处手术室</t>
  </si>
  <si>
    <t>蚊氏包</t>
  </si>
  <si>
    <t>弯盘-2/Z2032</t>
  </si>
  <si>
    <t>敷料包(无纺布包)</t>
  </si>
  <si>
    <t>刷手服（男）/W1250</t>
  </si>
  <si>
    <t>棉球/Z1020</t>
  </si>
  <si>
    <t>外科包</t>
  </si>
  <si>
    <t>大盆1小盆1/W9050</t>
  </si>
  <si>
    <t>持针器（短）-1/z1029</t>
  </si>
  <si>
    <t>剥离子-1/Z7526</t>
  </si>
  <si>
    <t>大肌钩-2/Z1535</t>
  </si>
  <si>
    <t>大镊子-2/Z1035</t>
  </si>
  <si>
    <t>小肌钩-2/Z1026</t>
  </si>
  <si>
    <t>咬骨钳-1/Z1535</t>
  </si>
  <si>
    <t>止血钳-6//W6050</t>
  </si>
  <si>
    <t>绷带/Z1526</t>
  </si>
  <si>
    <t>科服/W1250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</si>
</sst>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  <c r="L9">
        <f>K10+门诊妇科!K8+门诊肛肠科!K8+门诊计划生育!K8+门诊口腔科!K8+门诊手术室!K8+门诊外科!K8+门诊眼科!K8+'外科（住院处）'!K8+住院处手术室!K8</f>
        <v>9774.8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9</v>
      </c>
      <c r="J10" s="10"/>
      <c r="K10" s="10">
        <v>473.55</v>
      </c>
    </row>
    <row r="11" spans="2:12">
      <c r="D11" s="11">
        <v>46144</v>
      </c>
      <c r="E11" s="12">
        <v>1600053</v>
      </c>
      <c r="F11" s="12" t="s">
        <v>13</v>
      </c>
      <c r="G11" s="13">
        <v>20316613</v>
      </c>
      <c r="H11" s="12" t="s">
        <v>14</v>
      </c>
      <c r="I11" s="13">
        <v>1</v>
      </c>
      <c r="J11" s="14">
        <v>69.3</v>
      </c>
      <c r="K11" s="14">
        <v>69.3</v>
      </c>
      <c r="L11">
        <f>J11/0.7</f>
        <v>99</v>
      </c>
    </row>
    <row r="12" spans="2:12">
      <c r="D12" s="11">
        <v>46149</v>
      </c>
      <c r="E12" s="12">
        <v>1600837</v>
      </c>
      <c r="F12" s="12" t="s">
        <v>13</v>
      </c>
      <c r="G12" s="13">
        <v>20316613</v>
      </c>
      <c r="H12" s="12" t="s">
        <v>14</v>
      </c>
      <c r="I12" s="13">
        <v>1</v>
      </c>
      <c r="J12" s="14">
        <v>69.3</v>
      </c>
      <c r="K12" s="14">
        <v>69.3</v>
      </c>
      <c r="L12">
        <f t="shared" ref="L12:L19" si="0">J12/0.7</f>
        <v>99</v>
      </c>
    </row>
    <row r="13" spans="2:12">
      <c r="D13" s="11">
        <v>46154</v>
      </c>
      <c r="E13" s="12">
        <v>1602400</v>
      </c>
      <c r="F13" s="12" t="s">
        <v>13</v>
      </c>
      <c r="G13" s="13">
        <v>20316613</v>
      </c>
      <c r="H13" s="12" t="s">
        <v>14</v>
      </c>
      <c r="I13" s="13">
        <v>1</v>
      </c>
      <c r="J13" s="14">
        <v>69.3</v>
      </c>
      <c r="K13" s="14">
        <v>69.3</v>
      </c>
      <c r="L13">
        <f t="shared" si="0"/>
        <v>99</v>
      </c>
    </row>
    <row r="14" spans="2:12">
      <c r="D14" s="11">
        <v>46158</v>
      </c>
      <c r="E14" s="12">
        <v>1603789</v>
      </c>
      <c r="F14" s="12" t="s">
        <v>13</v>
      </c>
      <c r="G14" s="13">
        <v>20316613</v>
      </c>
      <c r="H14" s="12" t="s">
        <v>14</v>
      </c>
      <c r="I14" s="13">
        <v>1</v>
      </c>
      <c r="J14" s="14">
        <v>69.3</v>
      </c>
      <c r="K14" s="14">
        <v>69.3</v>
      </c>
      <c r="L14">
        <f t="shared" si="0"/>
        <v>99</v>
      </c>
    </row>
    <row r="15" spans="2:12">
      <c r="D15" s="11">
        <v>46163</v>
      </c>
      <c r="E15" s="12">
        <v>1605177</v>
      </c>
      <c r="F15" s="12" t="s">
        <v>13</v>
      </c>
      <c r="G15" s="13">
        <v>20316613</v>
      </c>
      <c r="H15" s="12" t="s">
        <v>14</v>
      </c>
      <c r="I15" s="13">
        <v>1</v>
      </c>
      <c r="J15" s="14">
        <v>69.3</v>
      </c>
      <c r="K15" s="14">
        <v>69.3</v>
      </c>
      <c r="L15">
        <f t="shared" si="0"/>
        <v>99</v>
      </c>
    </row>
    <row r="16" spans="2:12">
      <c r="D16" s="11">
        <v>46168</v>
      </c>
      <c r="E16" s="12">
        <v>1606526</v>
      </c>
      <c r="F16" s="12" t="s">
        <v>13</v>
      </c>
      <c r="G16" s="13">
        <v>20316613</v>
      </c>
      <c r="H16" s="12" t="s">
        <v>14</v>
      </c>
      <c r="I16" s="13">
        <v>1</v>
      </c>
      <c r="J16" s="14">
        <v>69.3</v>
      </c>
      <c r="K16" s="14">
        <v>69.3</v>
      </c>
      <c r="L16">
        <f t="shared" si="0"/>
        <v>99</v>
      </c>
    </row>
    <row r="17" spans="4:12">
      <c r="D17" s="11">
        <v>46168</v>
      </c>
      <c r="E17" s="12">
        <v>1606526</v>
      </c>
      <c r="F17" s="12" t="s">
        <v>13</v>
      </c>
      <c r="G17" s="13">
        <v>20316605</v>
      </c>
      <c r="H17" s="12" t="s">
        <v>15</v>
      </c>
      <c r="I17" s="13">
        <v>1</v>
      </c>
      <c r="J17" s="14">
        <v>34.65</v>
      </c>
      <c r="K17" s="14">
        <v>34.65</v>
      </c>
      <c r="L17">
        <f t="shared" si="0"/>
        <v>49.5</v>
      </c>
    </row>
    <row r="18" spans="4:12">
      <c r="D18" s="11">
        <v>46170</v>
      </c>
      <c r="E18" s="12">
        <v>1607268</v>
      </c>
      <c r="F18" s="12" t="s">
        <v>16</v>
      </c>
      <c r="G18" s="13">
        <v>20373746</v>
      </c>
      <c r="H18" s="12" t="s">
        <v>17</v>
      </c>
      <c r="I18" s="13">
        <v>1</v>
      </c>
      <c r="J18" s="14">
        <v>11.55</v>
      </c>
      <c r="K18" s="14">
        <v>11.55</v>
      </c>
      <c r="L18">
        <f t="shared" si="0"/>
        <v>16.5</v>
      </c>
    </row>
    <row r="19" spans="4:12">
      <c r="D19" s="11">
        <v>46170</v>
      </c>
      <c r="E19" s="12">
        <v>1607268</v>
      </c>
      <c r="F19" s="12" t="s">
        <v>16</v>
      </c>
      <c r="G19" s="13">
        <v>20322119</v>
      </c>
      <c r="H19" s="12" t="s">
        <v>18</v>
      </c>
      <c r="I19" s="13">
        <v>1</v>
      </c>
      <c r="J19" s="14">
        <v>11.55</v>
      </c>
      <c r="K19" s="14">
        <v>11.55</v>
      </c>
      <c r="L19">
        <f t="shared" si="0"/>
        <v>16.5</v>
      </c>
    </row>
    <row r="20" ht="0.05" customHeight="1"/>
  </sheetData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19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287</v>
      </c>
      <c r="J8" s="10"/>
      <c r="K8" s="10">
        <v>3170.3</v>
      </c>
    </row>
    <row r="9" spans="1:12">
      <c r="D9" s="11">
        <v>46144</v>
      </c>
      <c r="E9" s="12">
        <v>1600054</v>
      </c>
      <c r="F9" s="12" t="s">
        <v>16</v>
      </c>
      <c r="G9" s="13">
        <v>20318012</v>
      </c>
      <c r="H9" s="12" t="s">
        <v>20</v>
      </c>
      <c r="I9" s="13">
        <v>1</v>
      </c>
      <c r="J9" s="14">
        <v>7.7</v>
      </c>
      <c r="K9" s="14">
        <v>7.7</v>
      </c>
      <c r="L9">
        <f>J9/0.7</f>
        <v>11</v>
      </c>
    </row>
    <row r="10" spans="1:12">
      <c r="D10" s="11">
        <v>46144</v>
      </c>
      <c r="E10" s="12">
        <v>1600054</v>
      </c>
      <c r="F10" s="12" t="s">
        <v>16</v>
      </c>
      <c r="G10" s="13">
        <v>20318011</v>
      </c>
      <c r="H10" s="12" t="s">
        <v>21</v>
      </c>
      <c r="I10" s="13">
        <v>1</v>
      </c>
      <c r="J10" s="14">
        <v>7.7</v>
      </c>
      <c r="K10" s="14">
        <v>7.7</v>
      </c>
      <c r="L10">
        <f t="shared" ref="L10:L41" si="0">J10/0.7</f>
        <v>11</v>
      </c>
    </row>
    <row r="11" spans="1:12">
      <c r="D11" s="11">
        <v>46144</v>
      </c>
      <c r="E11" s="12">
        <v>1600054</v>
      </c>
      <c r="F11" s="12" t="s">
        <v>16</v>
      </c>
      <c r="G11" s="13">
        <v>20332509</v>
      </c>
      <c r="H11" s="12" t="s">
        <v>22</v>
      </c>
      <c r="I11" s="13">
        <v>1</v>
      </c>
      <c r="J11" s="14">
        <v>5.6</v>
      </c>
      <c r="K11" s="14">
        <v>5.6</v>
      </c>
      <c r="L11">
        <f t="shared" si="0"/>
        <v>8</v>
      </c>
    </row>
    <row r="12" spans="1:12">
      <c r="D12" s="11">
        <v>46144</v>
      </c>
      <c r="E12" s="12">
        <v>1600054</v>
      </c>
      <c r="F12" s="12" t="s">
        <v>16</v>
      </c>
      <c r="G12" s="13">
        <v>20320558</v>
      </c>
      <c r="H12" s="12" t="s">
        <v>23</v>
      </c>
      <c r="I12" s="13">
        <v>1</v>
      </c>
      <c r="J12" s="14">
        <v>5.6</v>
      </c>
      <c r="K12" s="14">
        <v>5.6</v>
      </c>
      <c r="L12">
        <f t="shared" si="0"/>
        <v>8</v>
      </c>
    </row>
    <row r="13" spans="1:12">
      <c r="D13" s="11">
        <v>46144</v>
      </c>
      <c r="E13" s="12">
        <v>1600054</v>
      </c>
      <c r="F13" s="12" t="s">
        <v>16</v>
      </c>
      <c r="G13" s="13">
        <v>20332792</v>
      </c>
      <c r="H13" s="12" t="s">
        <v>24</v>
      </c>
      <c r="I13" s="13">
        <v>1</v>
      </c>
      <c r="J13" s="14">
        <v>5.6</v>
      </c>
      <c r="K13" s="14">
        <v>5.6</v>
      </c>
      <c r="L13">
        <f t="shared" si="0"/>
        <v>8</v>
      </c>
    </row>
    <row r="14" spans="1:12">
      <c r="D14" s="11">
        <v>46144</v>
      </c>
      <c r="E14" s="12">
        <v>1600054</v>
      </c>
      <c r="F14" s="12" t="s">
        <v>16</v>
      </c>
      <c r="G14" s="13">
        <v>20329902</v>
      </c>
      <c r="H14" s="12" t="s">
        <v>25</v>
      </c>
      <c r="I14" s="13">
        <v>1</v>
      </c>
      <c r="J14" s="14">
        <v>5.6</v>
      </c>
      <c r="K14" s="14">
        <v>5.6</v>
      </c>
      <c r="L14">
        <f t="shared" si="0"/>
        <v>8</v>
      </c>
    </row>
    <row r="15" spans="1:12">
      <c r="D15" s="11">
        <v>46144</v>
      </c>
      <c r="E15" s="12">
        <v>1600054</v>
      </c>
      <c r="F15" s="12" t="s">
        <v>16</v>
      </c>
      <c r="G15" s="13">
        <v>20320659</v>
      </c>
      <c r="H15" s="12" t="s">
        <v>26</v>
      </c>
      <c r="I15" s="13">
        <v>1</v>
      </c>
      <c r="J15" s="14">
        <v>5.6</v>
      </c>
      <c r="K15" s="14">
        <v>5.6</v>
      </c>
      <c r="L15">
        <f t="shared" si="0"/>
        <v>8</v>
      </c>
    </row>
    <row r="16" spans="1:12">
      <c r="D16" s="11">
        <v>46144</v>
      </c>
      <c r="E16" s="12">
        <v>1600054</v>
      </c>
      <c r="F16" s="12" t="s">
        <v>16</v>
      </c>
      <c r="G16" s="13">
        <v>20316536</v>
      </c>
      <c r="H16" s="12" t="s">
        <v>27</v>
      </c>
      <c r="I16" s="13">
        <v>5</v>
      </c>
      <c r="J16" s="14">
        <v>5.6</v>
      </c>
      <c r="K16" s="14">
        <v>28</v>
      </c>
      <c r="L16">
        <f t="shared" si="0"/>
        <v>8</v>
      </c>
    </row>
    <row r="17" spans="4:12">
      <c r="D17" s="11">
        <v>46144</v>
      </c>
      <c r="E17" s="12">
        <v>1600054</v>
      </c>
      <c r="F17" s="12" t="s">
        <v>13</v>
      </c>
      <c r="G17" s="13">
        <v>20316495</v>
      </c>
      <c r="H17" s="12" t="s">
        <v>28</v>
      </c>
      <c r="I17" s="13">
        <v>2</v>
      </c>
      <c r="J17" s="14">
        <v>53.9</v>
      </c>
      <c r="K17" s="14">
        <v>107.8</v>
      </c>
      <c r="L17">
        <f t="shared" si="0"/>
        <v>77</v>
      </c>
    </row>
    <row r="18" spans="4:12">
      <c r="D18" s="11">
        <v>46147</v>
      </c>
      <c r="E18" s="12">
        <v>1600287</v>
      </c>
      <c r="F18" s="12" t="s">
        <v>16</v>
      </c>
      <c r="G18" s="13">
        <v>20318012</v>
      </c>
      <c r="H18" s="12" t="s">
        <v>20</v>
      </c>
      <c r="I18" s="13">
        <v>6</v>
      </c>
      <c r="J18" s="14">
        <v>7.7</v>
      </c>
      <c r="K18" s="14">
        <v>46.2</v>
      </c>
      <c r="L18">
        <f t="shared" si="0"/>
        <v>11</v>
      </c>
    </row>
    <row r="19" spans="4:12">
      <c r="D19" s="11">
        <v>46147</v>
      </c>
      <c r="E19" s="12">
        <v>1600287</v>
      </c>
      <c r="F19" s="12" t="s">
        <v>16</v>
      </c>
      <c r="G19" s="13">
        <v>20318011</v>
      </c>
      <c r="H19" s="12" t="s">
        <v>21</v>
      </c>
      <c r="I19" s="13">
        <v>4</v>
      </c>
      <c r="J19" s="14">
        <v>7.7</v>
      </c>
      <c r="K19" s="14">
        <v>30.8</v>
      </c>
      <c r="L19">
        <f t="shared" si="0"/>
        <v>11</v>
      </c>
    </row>
    <row r="20" spans="4:12">
      <c r="D20" s="11">
        <v>46147</v>
      </c>
      <c r="E20" s="12">
        <v>1600287</v>
      </c>
      <c r="F20" s="12" t="s">
        <v>16</v>
      </c>
      <c r="G20" s="13">
        <v>20316520</v>
      </c>
      <c r="H20" s="12" t="s">
        <v>29</v>
      </c>
      <c r="I20" s="13">
        <v>4</v>
      </c>
      <c r="J20" s="14">
        <v>5.6</v>
      </c>
      <c r="K20" s="14">
        <v>22.4</v>
      </c>
      <c r="L20">
        <f t="shared" si="0"/>
        <v>8</v>
      </c>
    </row>
    <row r="21" spans="4:12">
      <c r="D21" s="11">
        <v>46147</v>
      </c>
      <c r="E21" s="12">
        <v>1600287</v>
      </c>
      <c r="F21" s="12" t="s">
        <v>16</v>
      </c>
      <c r="G21" s="13">
        <v>20316522</v>
      </c>
      <c r="H21" s="12" t="s">
        <v>30</v>
      </c>
      <c r="I21" s="13">
        <v>1</v>
      </c>
      <c r="J21" s="14">
        <v>5.6</v>
      </c>
      <c r="K21" s="14">
        <v>5.6</v>
      </c>
      <c r="L21">
        <f t="shared" si="0"/>
        <v>8</v>
      </c>
    </row>
    <row r="22" spans="4:12">
      <c r="D22" s="11">
        <v>46147</v>
      </c>
      <c r="E22" s="12">
        <v>1600287</v>
      </c>
      <c r="F22" s="12" t="s">
        <v>16</v>
      </c>
      <c r="G22" s="13">
        <v>20316710</v>
      </c>
      <c r="H22" s="12" t="s">
        <v>31</v>
      </c>
      <c r="I22" s="13">
        <v>5</v>
      </c>
      <c r="J22" s="14">
        <v>5.6</v>
      </c>
      <c r="K22" s="14">
        <v>28</v>
      </c>
      <c r="L22">
        <f t="shared" si="0"/>
        <v>8</v>
      </c>
    </row>
    <row r="23" spans="4:12">
      <c r="D23" s="11">
        <v>46147</v>
      </c>
      <c r="E23" s="12">
        <v>1600287</v>
      </c>
      <c r="F23" s="12" t="s">
        <v>16</v>
      </c>
      <c r="G23" s="13">
        <v>20329902</v>
      </c>
      <c r="H23" s="12" t="s">
        <v>25</v>
      </c>
      <c r="I23" s="13">
        <v>4</v>
      </c>
      <c r="J23" s="14">
        <v>5.6</v>
      </c>
      <c r="K23" s="14">
        <v>22.4</v>
      </c>
      <c r="L23">
        <f t="shared" si="0"/>
        <v>8</v>
      </c>
    </row>
    <row r="24" spans="4:12">
      <c r="D24" s="11">
        <v>46147</v>
      </c>
      <c r="E24" s="12">
        <v>1600287</v>
      </c>
      <c r="F24" s="12" t="s">
        <v>16</v>
      </c>
      <c r="G24" s="13">
        <v>20320659</v>
      </c>
      <c r="H24" s="12" t="s">
        <v>26</v>
      </c>
      <c r="I24" s="13">
        <v>4</v>
      </c>
      <c r="J24" s="14">
        <v>5.6</v>
      </c>
      <c r="K24" s="14">
        <v>22.4</v>
      </c>
      <c r="L24">
        <f t="shared" si="0"/>
        <v>8</v>
      </c>
    </row>
    <row r="25" spans="4:12">
      <c r="D25" s="11">
        <v>46147</v>
      </c>
      <c r="E25" s="12">
        <v>1600287</v>
      </c>
      <c r="F25" s="12" t="s">
        <v>16</v>
      </c>
      <c r="G25" s="13">
        <v>20316536</v>
      </c>
      <c r="H25" s="12" t="s">
        <v>27</v>
      </c>
      <c r="I25" s="13">
        <v>2</v>
      </c>
      <c r="J25" s="14">
        <v>5.6</v>
      </c>
      <c r="K25" s="14">
        <v>11.2</v>
      </c>
      <c r="L25">
        <f t="shared" si="0"/>
        <v>8</v>
      </c>
    </row>
    <row r="26" spans="4:12">
      <c r="D26" s="11">
        <v>46147</v>
      </c>
      <c r="E26" s="12">
        <v>1600287</v>
      </c>
      <c r="F26" s="12" t="s">
        <v>13</v>
      </c>
      <c r="G26" s="13">
        <v>20351726</v>
      </c>
      <c r="H26" s="12" t="s">
        <v>32</v>
      </c>
      <c r="I26" s="13">
        <v>3</v>
      </c>
      <c r="J26" s="14">
        <v>38.5</v>
      </c>
      <c r="K26" s="14">
        <v>115.5</v>
      </c>
      <c r="L26">
        <f t="shared" si="0"/>
        <v>55</v>
      </c>
    </row>
    <row r="27" spans="4:12">
      <c r="D27" s="11">
        <v>46149</v>
      </c>
      <c r="E27" s="12">
        <v>1600838</v>
      </c>
      <c r="F27" s="12" t="s">
        <v>16</v>
      </c>
      <c r="G27" s="13">
        <v>20318012</v>
      </c>
      <c r="H27" s="12" t="s">
        <v>20</v>
      </c>
      <c r="I27" s="13">
        <v>4</v>
      </c>
      <c r="J27" s="14">
        <v>7.7</v>
      </c>
      <c r="K27" s="14">
        <v>30.8</v>
      </c>
      <c r="L27">
        <f t="shared" si="0"/>
        <v>11</v>
      </c>
    </row>
    <row r="28" spans="4:12">
      <c r="D28" s="11">
        <v>46149</v>
      </c>
      <c r="E28" s="12">
        <v>1600838</v>
      </c>
      <c r="F28" s="12" t="s">
        <v>16</v>
      </c>
      <c r="G28" s="13">
        <v>20318011</v>
      </c>
      <c r="H28" s="12" t="s">
        <v>21</v>
      </c>
      <c r="I28" s="13">
        <v>3</v>
      </c>
      <c r="J28" s="14">
        <v>7.7</v>
      </c>
      <c r="K28" s="14">
        <v>23.1</v>
      </c>
      <c r="L28">
        <f t="shared" si="0"/>
        <v>11</v>
      </c>
    </row>
    <row r="29" spans="4:12">
      <c r="D29" s="11">
        <v>46149</v>
      </c>
      <c r="E29" s="12">
        <v>1600838</v>
      </c>
      <c r="F29" s="12" t="s">
        <v>16</v>
      </c>
      <c r="G29" s="13">
        <v>20332509</v>
      </c>
      <c r="H29" s="12" t="s">
        <v>22</v>
      </c>
      <c r="I29" s="13">
        <v>1</v>
      </c>
      <c r="J29" s="14">
        <v>5.6</v>
      </c>
      <c r="K29" s="14">
        <v>5.6</v>
      </c>
      <c r="L29">
        <f t="shared" si="0"/>
        <v>8</v>
      </c>
    </row>
    <row r="30" spans="4:12">
      <c r="D30" s="11">
        <v>46149</v>
      </c>
      <c r="E30" s="12">
        <v>1600838</v>
      </c>
      <c r="F30" s="12" t="s">
        <v>16</v>
      </c>
      <c r="G30" s="13">
        <v>20320558</v>
      </c>
      <c r="H30" s="12" t="s">
        <v>23</v>
      </c>
      <c r="I30" s="13">
        <v>3</v>
      </c>
      <c r="J30" s="14">
        <v>5.6</v>
      </c>
      <c r="K30" s="14">
        <v>16.8</v>
      </c>
      <c r="L30">
        <f t="shared" si="0"/>
        <v>8</v>
      </c>
    </row>
    <row r="31" spans="4:12">
      <c r="D31" s="11">
        <v>46149</v>
      </c>
      <c r="E31" s="12">
        <v>1600838</v>
      </c>
      <c r="F31" s="12" t="s">
        <v>16</v>
      </c>
      <c r="G31" s="13">
        <v>20332792</v>
      </c>
      <c r="H31" s="12" t="s">
        <v>24</v>
      </c>
      <c r="I31" s="13">
        <v>1</v>
      </c>
      <c r="J31" s="14">
        <v>5.6</v>
      </c>
      <c r="K31" s="14">
        <v>5.6</v>
      </c>
      <c r="L31">
        <f t="shared" si="0"/>
        <v>8</v>
      </c>
    </row>
    <row r="32" spans="4:12">
      <c r="D32" s="11">
        <v>46149</v>
      </c>
      <c r="E32" s="12">
        <v>1600838</v>
      </c>
      <c r="F32" s="12" t="s">
        <v>16</v>
      </c>
      <c r="G32" s="13">
        <v>20316516</v>
      </c>
      <c r="H32" s="12" t="s">
        <v>33</v>
      </c>
      <c r="I32" s="13">
        <v>1</v>
      </c>
      <c r="J32" s="14">
        <v>5.6</v>
      </c>
      <c r="K32" s="14">
        <v>5.6</v>
      </c>
      <c r="L32">
        <f t="shared" si="0"/>
        <v>8</v>
      </c>
    </row>
    <row r="33" spans="4:12">
      <c r="D33" s="11">
        <v>46149</v>
      </c>
      <c r="E33" s="12">
        <v>1600838</v>
      </c>
      <c r="F33" s="12" t="s">
        <v>16</v>
      </c>
      <c r="G33" s="13">
        <v>20316710</v>
      </c>
      <c r="H33" s="12" t="s">
        <v>31</v>
      </c>
      <c r="I33" s="13">
        <v>1</v>
      </c>
      <c r="J33" s="14">
        <v>5.6</v>
      </c>
      <c r="K33" s="14">
        <v>5.6</v>
      </c>
      <c r="L33">
        <f t="shared" si="0"/>
        <v>8</v>
      </c>
    </row>
    <row r="34" spans="4:12">
      <c r="D34" s="11">
        <v>46149</v>
      </c>
      <c r="E34" s="12">
        <v>1600838</v>
      </c>
      <c r="F34" s="12" t="s">
        <v>16</v>
      </c>
      <c r="G34" s="13">
        <v>20329902</v>
      </c>
      <c r="H34" s="12" t="s">
        <v>25</v>
      </c>
      <c r="I34" s="13">
        <v>4</v>
      </c>
      <c r="J34" s="14">
        <v>5.6</v>
      </c>
      <c r="K34" s="14">
        <v>22.4</v>
      </c>
      <c r="L34">
        <f t="shared" si="0"/>
        <v>8</v>
      </c>
    </row>
    <row r="35" spans="4:12">
      <c r="D35" s="11">
        <v>46149</v>
      </c>
      <c r="E35" s="12">
        <v>1600838</v>
      </c>
      <c r="F35" s="12" t="s">
        <v>16</v>
      </c>
      <c r="G35" s="13">
        <v>20320659</v>
      </c>
      <c r="H35" s="12" t="s">
        <v>26</v>
      </c>
      <c r="I35" s="13">
        <v>4</v>
      </c>
      <c r="J35" s="14">
        <v>5.6</v>
      </c>
      <c r="K35" s="14">
        <v>22.4</v>
      </c>
      <c r="L35">
        <f t="shared" si="0"/>
        <v>8</v>
      </c>
    </row>
    <row r="36" spans="4:12">
      <c r="D36" s="11">
        <v>46149</v>
      </c>
      <c r="E36" s="12">
        <v>1600838</v>
      </c>
      <c r="F36" s="12" t="s">
        <v>16</v>
      </c>
      <c r="G36" s="13">
        <v>20316708</v>
      </c>
      <c r="H36" s="12" t="s">
        <v>34</v>
      </c>
      <c r="I36" s="13">
        <v>1</v>
      </c>
      <c r="J36" s="14">
        <v>5.6</v>
      </c>
      <c r="K36" s="14">
        <v>5.6</v>
      </c>
      <c r="L36">
        <f t="shared" si="0"/>
        <v>8</v>
      </c>
    </row>
    <row r="37" spans="4:12">
      <c r="D37" s="11">
        <v>46149</v>
      </c>
      <c r="E37" s="12">
        <v>1600838</v>
      </c>
      <c r="F37" s="12" t="s">
        <v>16</v>
      </c>
      <c r="G37" s="13">
        <v>20316819</v>
      </c>
      <c r="H37" s="12" t="s">
        <v>35</v>
      </c>
      <c r="I37" s="13">
        <v>1</v>
      </c>
      <c r="J37" s="14">
        <v>5.6</v>
      </c>
      <c r="K37" s="14">
        <v>5.6</v>
      </c>
      <c r="L37">
        <f t="shared" si="0"/>
        <v>8</v>
      </c>
    </row>
    <row r="38" spans="4:12">
      <c r="D38" s="11">
        <v>46149</v>
      </c>
      <c r="E38" s="12">
        <v>1600838</v>
      </c>
      <c r="F38" s="12" t="s">
        <v>16</v>
      </c>
      <c r="G38" s="13">
        <v>20316536</v>
      </c>
      <c r="H38" s="12" t="s">
        <v>27</v>
      </c>
      <c r="I38" s="13">
        <v>4</v>
      </c>
      <c r="J38" s="14">
        <v>5.6</v>
      </c>
      <c r="K38" s="14">
        <v>22.4</v>
      </c>
      <c r="L38">
        <f t="shared" si="0"/>
        <v>8</v>
      </c>
    </row>
    <row r="39" spans="4:12">
      <c r="D39" s="11">
        <v>46149</v>
      </c>
      <c r="E39" s="12">
        <v>1600838</v>
      </c>
      <c r="F39" s="12" t="s">
        <v>13</v>
      </c>
      <c r="G39" s="13">
        <v>20316495</v>
      </c>
      <c r="H39" s="12" t="s">
        <v>28</v>
      </c>
      <c r="I39" s="13">
        <v>1</v>
      </c>
      <c r="J39" s="14">
        <v>53.9</v>
      </c>
      <c r="K39" s="14">
        <v>53.9</v>
      </c>
      <c r="L39">
        <f t="shared" si="0"/>
        <v>77</v>
      </c>
    </row>
    <row r="40" spans="4:12">
      <c r="D40" s="11">
        <v>46151</v>
      </c>
      <c r="E40" s="12">
        <v>1601674</v>
      </c>
      <c r="F40" s="12" t="s">
        <v>16</v>
      </c>
      <c r="G40" s="13">
        <v>20318012</v>
      </c>
      <c r="H40" s="12" t="s">
        <v>20</v>
      </c>
      <c r="I40" s="13">
        <v>3</v>
      </c>
      <c r="J40" s="14">
        <v>7.7</v>
      </c>
      <c r="K40" s="14">
        <v>23.1</v>
      </c>
      <c r="L40">
        <f t="shared" si="0"/>
        <v>11</v>
      </c>
    </row>
    <row r="41" spans="4:12">
      <c r="D41" s="11">
        <v>46151</v>
      </c>
      <c r="E41" s="12">
        <v>1601674</v>
      </c>
      <c r="F41" s="12" t="s">
        <v>16</v>
      </c>
      <c r="G41" s="13">
        <v>20316532</v>
      </c>
      <c r="H41" s="12" t="s">
        <v>36</v>
      </c>
      <c r="I41" s="13">
        <v>1</v>
      </c>
      <c r="J41" s="14">
        <v>5.6</v>
      </c>
      <c r="K41" s="14">
        <v>5.6</v>
      </c>
      <c r="L41">
        <f t="shared" si="0"/>
        <v>8</v>
      </c>
    </row>
    <row r="42" spans="4:12">
      <c r="D42" s="11">
        <v>46151</v>
      </c>
      <c r="E42" s="12">
        <v>1601674</v>
      </c>
      <c r="F42" s="12" t="s">
        <v>16</v>
      </c>
      <c r="G42" s="13">
        <v>20318011</v>
      </c>
      <c r="H42" s="12" t="s">
        <v>21</v>
      </c>
      <c r="I42" s="13">
        <v>4</v>
      </c>
      <c r="J42" s="14">
        <v>7.7</v>
      </c>
      <c r="K42" s="14">
        <v>30.8</v>
      </c>
      <c r="L42">
        <f t="shared" ref="L42:L73" si="1">J42/0.7</f>
        <v>11</v>
      </c>
    </row>
    <row r="43" spans="4:12">
      <c r="D43" s="11">
        <v>46151</v>
      </c>
      <c r="E43" s="12">
        <v>1601674</v>
      </c>
      <c r="F43" s="12" t="s">
        <v>16</v>
      </c>
      <c r="G43" s="13">
        <v>20332509</v>
      </c>
      <c r="H43" s="12" t="s">
        <v>22</v>
      </c>
      <c r="I43" s="13">
        <v>1</v>
      </c>
      <c r="J43" s="14">
        <v>5.6</v>
      </c>
      <c r="K43" s="14">
        <v>5.6</v>
      </c>
      <c r="L43">
        <f t="shared" si="1"/>
        <v>8</v>
      </c>
    </row>
    <row r="44" spans="4:12">
      <c r="D44" s="11">
        <v>46151</v>
      </c>
      <c r="E44" s="12">
        <v>1601674</v>
      </c>
      <c r="F44" s="12" t="s">
        <v>16</v>
      </c>
      <c r="G44" s="13">
        <v>20320558</v>
      </c>
      <c r="H44" s="12" t="s">
        <v>23</v>
      </c>
      <c r="I44" s="13">
        <v>2</v>
      </c>
      <c r="J44" s="14">
        <v>5.6</v>
      </c>
      <c r="K44" s="14">
        <v>11.2</v>
      </c>
      <c r="L44">
        <f t="shared" si="1"/>
        <v>8</v>
      </c>
    </row>
    <row r="45" spans="4:12">
      <c r="D45" s="11">
        <v>46151</v>
      </c>
      <c r="E45" s="12">
        <v>1601674</v>
      </c>
      <c r="F45" s="12" t="s">
        <v>16</v>
      </c>
      <c r="G45" s="13">
        <v>20316516</v>
      </c>
      <c r="H45" s="12" t="s">
        <v>33</v>
      </c>
      <c r="I45" s="13">
        <v>1</v>
      </c>
      <c r="J45" s="14">
        <v>5.6</v>
      </c>
      <c r="K45" s="14">
        <v>5.6</v>
      </c>
      <c r="L45">
        <f t="shared" si="1"/>
        <v>8</v>
      </c>
    </row>
    <row r="46" spans="4:12">
      <c r="D46" s="11">
        <v>46151</v>
      </c>
      <c r="E46" s="12">
        <v>1601674</v>
      </c>
      <c r="F46" s="12" t="s">
        <v>16</v>
      </c>
      <c r="G46" s="13">
        <v>20332793</v>
      </c>
      <c r="H46" s="12" t="s">
        <v>37</v>
      </c>
      <c r="I46" s="13">
        <v>1</v>
      </c>
      <c r="J46" s="14">
        <v>5.6</v>
      </c>
      <c r="K46" s="14">
        <v>5.6</v>
      </c>
      <c r="L46">
        <f t="shared" si="1"/>
        <v>8</v>
      </c>
    </row>
    <row r="47" spans="4:12">
      <c r="D47" s="11">
        <v>46151</v>
      </c>
      <c r="E47" s="12">
        <v>1601674</v>
      </c>
      <c r="F47" s="12" t="s">
        <v>16</v>
      </c>
      <c r="G47" s="13">
        <v>20329902</v>
      </c>
      <c r="H47" s="12" t="s">
        <v>25</v>
      </c>
      <c r="I47" s="13">
        <v>2</v>
      </c>
      <c r="J47" s="14">
        <v>5.6</v>
      </c>
      <c r="K47" s="14">
        <v>11.2</v>
      </c>
      <c r="L47">
        <f t="shared" si="1"/>
        <v>8</v>
      </c>
    </row>
    <row r="48" spans="4:12">
      <c r="D48" s="11">
        <v>46151</v>
      </c>
      <c r="E48" s="12">
        <v>1601674</v>
      </c>
      <c r="F48" s="12" t="s">
        <v>16</v>
      </c>
      <c r="G48" s="13">
        <v>20316500</v>
      </c>
      <c r="H48" s="12" t="s">
        <v>38</v>
      </c>
      <c r="I48" s="13">
        <v>1</v>
      </c>
      <c r="J48" s="14">
        <v>7.7</v>
      </c>
      <c r="K48" s="14">
        <v>7.7</v>
      </c>
      <c r="L48">
        <f t="shared" si="1"/>
        <v>11</v>
      </c>
    </row>
    <row r="49" spans="4:12">
      <c r="D49" s="11">
        <v>46151</v>
      </c>
      <c r="E49" s="12">
        <v>1601674</v>
      </c>
      <c r="F49" s="12" t="s">
        <v>16</v>
      </c>
      <c r="G49" s="13">
        <v>20320659</v>
      </c>
      <c r="H49" s="12" t="s">
        <v>26</v>
      </c>
      <c r="I49" s="13">
        <v>4</v>
      </c>
      <c r="J49" s="14">
        <v>5.6</v>
      </c>
      <c r="K49" s="14">
        <v>22.4</v>
      </c>
      <c r="L49">
        <f t="shared" si="1"/>
        <v>8</v>
      </c>
    </row>
    <row r="50" spans="4:12">
      <c r="D50" s="11">
        <v>46151</v>
      </c>
      <c r="E50" s="12">
        <v>1601674</v>
      </c>
      <c r="F50" s="12" t="s">
        <v>16</v>
      </c>
      <c r="G50" s="13">
        <v>20316708</v>
      </c>
      <c r="H50" s="12" t="s">
        <v>34</v>
      </c>
      <c r="I50" s="13">
        <v>1</v>
      </c>
      <c r="J50" s="14">
        <v>5.6</v>
      </c>
      <c r="K50" s="14">
        <v>5.6</v>
      </c>
      <c r="L50">
        <f t="shared" si="1"/>
        <v>8</v>
      </c>
    </row>
    <row r="51" spans="4:12">
      <c r="D51" s="11">
        <v>46151</v>
      </c>
      <c r="E51" s="12">
        <v>1601674</v>
      </c>
      <c r="F51" s="12" t="s">
        <v>16</v>
      </c>
      <c r="G51" s="13">
        <v>20316819</v>
      </c>
      <c r="H51" s="12" t="s">
        <v>35</v>
      </c>
      <c r="I51" s="13">
        <v>1</v>
      </c>
      <c r="J51" s="14">
        <v>5.6</v>
      </c>
      <c r="K51" s="14">
        <v>5.6</v>
      </c>
      <c r="L51">
        <f t="shared" si="1"/>
        <v>8</v>
      </c>
    </row>
    <row r="52" spans="4:12">
      <c r="D52" s="11">
        <v>46151</v>
      </c>
      <c r="E52" s="12">
        <v>1601674</v>
      </c>
      <c r="F52" s="12" t="s">
        <v>16</v>
      </c>
      <c r="G52" s="13">
        <v>20316536</v>
      </c>
      <c r="H52" s="12" t="s">
        <v>27</v>
      </c>
      <c r="I52" s="13">
        <v>2</v>
      </c>
      <c r="J52" s="14">
        <v>5.6</v>
      </c>
      <c r="K52" s="14">
        <v>11.2</v>
      </c>
      <c r="L52">
        <f t="shared" si="1"/>
        <v>8</v>
      </c>
    </row>
    <row r="53" spans="4:12">
      <c r="D53" s="11">
        <v>46151</v>
      </c>
      <c r="E53" s="12">
        <v>1601674</v>
      </c>
      <c r="F53" s="12" t="s">
        <v>13</v>
      </c>
      <c r="G53" s="13">
        <v>20316495</v>
      </c>
      <c r="H53" s="12" t="s">
        <v>28</v>
      </c>
      <c r="I53" s="13">
        <v>1</v>
      </c>
      <c r="J53" s="14">
        <v>53.9</v>
      </c>
      <c r="K53" s="14">
        <v>53.9</v>
      </c>
      <c r="L53">
        <f t="shared" si="1"/>
        <v>77</v>
      </c>
    </row>
    <row r="54" spans="4:12">
      <c r="D54" s="11">
        <v>46151</v>
      </c>
      <c r="E54" s="12">
        <v>1601674</v>
      </c>
      <c r="F54" s="12" t="s">
        <v>13</v>
      </c>
      <c r="G54" s="13">
        <v>20351726</v>
      </c>
      <c r="H54" s="12" t="s">
        <v>32</v>
      </c>
      <c r="I54" s="13">
        <v>1</v>
      </c>
      <c r="J54" s="14">
        <v>38.5</v>
      </c>
      <c r="K54" s="14">
        <v>38.5</v>
      </c>
      <c r="L54">
        <f t="shared" si="1"/>
        <v>55</v>
      </c>
    </row>
    <row r="55" spans="4:12">
      <c r="D55" s="11">
        <v>46154</v>
      </c>
      <c r="E55" s="12">
        <v>1602401</v>
      </c>
      <c r="F55" s="12" t="s">
        <v>16</v>
      </c>
      <c r="G55" s="13">
        <v>20318012</v>
      </c>
      <c r="H55" s="12" t="s">
        <v>20</v>
      </c>
      <c r="I55" s="13">
        <v>3</v>
      </c>
      <c r="J55" s="14">
        <v>7.7</v>
      </c>
      <c r="K55" s="14">
        <v>23.1</v>
      </c>
      <c r="L55">
        <f t="shared" si="1"/>
        <v>11</v>
      </c>
    </row>
    <row r="56" spans="4:12">
      <c r="D56" s="11">
        <v>46154</v>
      </c>
      <c r="E56" s="12">
        <v>1602401</v>
      </c>
      <c r="F56" s="12" t="s">
        <v>16</v>
      </c>
      <c r="G56" s="13">
        <v>20318011</v>
      </c>
      <c r="H56" s="12" t="s">
        <v>21</v>
      </c>
      <c r="I56" s="13">
        <v>3</v>
      </c>
      <c r="J56" s="14">
        <v>7.7</v>
      </c>
      <c r="K56" s="14">
        <v>23.1</v>
      </c>
      <c r="L56">
        <f t="shared" si="1"/>
        <v>11</v>
      </c>
    </row>
    <row r="57" spans="4:12">
      <c r="D57" s="11">
        <v>46154</v>
      </c>
      <c r="E57" s="12">
        <v>1602401</v>
      </c>
      <c r="F57" s="12" t="s">
        <v>16</v>
      </c>
      <c r="G57" s="13">
        <v>20316520</v>
      </c>
      <c r="H57" s="12" t="s">
        <v>29</v>
      </c>
      <c r="I57" s="13">
        <v>2</v>
      </c>
      <c r="J57" s="14">
        <v>5.6</v>
      </c>
      <c r="K57" s="14">
        <v>11.2</v>
      </c>
      <c r="L57">
        <f t="shared" si="1"/>
        <v>8</v>
      </c>
    </row>
    <row r="58" spans="4:12">
      <c r="D58" s="11">
        <v>46154</v>
      </c>
      <c r="E58" s="12">
        <v>1602401</v>
      </c>
      <c r="F58" s="12" t="s">
        <v>16</v>
      </c>
      <c r="G58" s="13">
        <v>20320558</v>
      </c>
      <c r="H58" s="12" t="s">
        <v>23</v>
      </c>
      <c r="I58" s="13">
        <v>1</v>
      </c>
      <c r="J58" s="14">
        <v>5.6</v>
      </c>
      <c r="K58" s="14">
        <v>5.6</v>
      </c>
      <c r="L58">
        <f t="shared" si="1"/>
        <v>8</v>
      </c>
    </row>
    <row r="59" spans="4:12">
      <c r="D59" s="11">
        <v>46154</v>
      </c>
      <c r="E59" s="12">
        <v>1602401</v>
      </c>
      <c r="F59" s="12" t="s">
        <v>16</v>
      </c>
      <c r="G59" s="13">
        <v>20316710</v>
      </c>
      <c r="H59" s="12" t="s">
        <v>31</v>
      </c>
      <c r="I59" s="13">
        <v>3</v>
      </c>
      <c r="J59" s="14">
        <v>5.6</v>
      </c>
      <c r="K59" s="14">
        <v>16.8</v>
      </c>
      <c r="L59">
        <f t="shared" si="1"/>
        <v>8</v>
      </c>
    </row>
    <row r="60" spans="4:12">
      <c r="D60" s="11">
        <v>46154</v>
      </c>
      <c r="E60" s="12">
        <v>1602401</v>
      </c>
      <c r="F60" s="12" t="s">
        <v>16</v>
      </c>
      <c r="G60" s="13">
        <v>20329902</v>
      </c>
      <c r="H60" s="12" t="s">
        <v>25</v>
      </c>
      <c r="I60" s="13">
        <v>3</v>
      </c>
      <c r="J60" s="14">
        <v>5.6</v>
      </c>
      <c r="K60" s="14">
        <v>16.8</v>
      </c>
      <c r="L60">
        <f t="shared" si="1"/>
        <v>8</v>
      </c>
    </row>
    <row r="61" spans="4:12">
      <c r="D61" s="11">
        <v>46154</v>
      </c>
      <c r="E61" s="12">
        <v>1602401</v>
      </c>
      <c r="F61" s="12" t="s">
        <v>16</v>
      </c>
      <c r="G61" s="13">
        <v>20320659</v>
      </c>
      <c r="H61" s="12" t="s">
        <v>26</v>
      </c>
      <c r="I61" s="13">
        <v>3</v>
      </c>
      <c r="J61" s="14">
        <v>5.6</v>
      </c>
      <c r="K61" s="14">
        <v>16.8</v>
      </c>
      <c r="L61">
        <f t="shared" si="1"/>
        <v>8</v>
      </c>
    </row>
    <row r="62" spans="4:12">
      <c r="D62" s="11">
        <v>46154</v>
      </c>
      <c r="E62" s="12">
        <v>1602401</v>
      </c>
      <c r="F62" s="12" t="s">
        <v>16</v>
      </c>
      <c r="G62" s="13">
        <v>20316708</v>
      </c>
      <c r="H62" s="12" t="s">
        <v>34</v>
      </c>
      <c r="I62" s="13">
        <v>1</v>
      </c>
      <c r="J62" s="14">
        <v>5.6</v>
      </c>
      <c r="K62" s="14">
        <v>5.6</v>
      </c>
      <c r="L62">
        <f t="shared" si="1"/>
        <v>8</v>
      </c>
    </row>
    <row r="63" spans="4:12">
      <c r="D63" s="11">
        <v>46154</v>
      </c>
      <c r="E63" s="12">
        <v>1602401</v>
      </c>
      <c r="F63" s="12" t="s">
        <v>16</v>
      </c>
      <c r="G63" s="13">
        <v>20316819</v>
      </c>
      <c r="H63" s="12" t="s">
        <v>35</v>
      </c>
      <c r="I63" s="13">
        <v>1</v>
      </c>
      <c r="J63" s="14">
        <v>5.6</v>
      </c>
      <c r="K63" s="14">
        <v>5.6</v>
      </c>
      <c r="L63">
        <f t="shared" si="1"/>
        <v>8</v>
      </c>
    </row>
    <row r="64" spans="4:12">
      <c r="D64" s="11">
        <v>46154</v>
      </c>
      <c r="E64" s="12">
        <v>1602401</v>
      </c>
      <c r="F64" s="12" t="s">
        <v>16</v>
      </c>
      <c r="G64" s="13">
        <v>20316536</v>
      </c>
      <c r="H64" s="12" t="s">
        <v>27</v>
      </c>
      <c r="I64" s="13">
        <v>4</v>
      </c>
      <c r="J64" s="14">
        <v>5.6</v>
      </c>
      <c r="K64" s="14">
        <v>22.4</v>
      </c>
      <c r="L64">
        <f t="shared" si="1"/>
        <v>8</v>
      </c>
    </row>
    <row r="65" spans="4:12">
      <c r="D65" s="11">
        <v>46154</v>
      </c>
      <c r="E65" s="12">
        <v>1602401</v>
      </c>
      <c r="F65" s="12" t="s">
        <v>13</v>
      </c>
      <c r="G65" s="13">
        <v>20316495</v>
      </c>
      <c r="H65" s="12" t="s">
        <v>28</v>
      </c>
      <c r="I65" s="13">
        <v>5</v>
      </c>
      <c r="J65" s="14">
        <v>53.9</v>
      </c>
      <c r="K65" s="14">
        <v>269.5</v>
      </c>
      <c r="L65">
        <f t="shared" si="1"/>
        <v>77</v>
      </c>
    </row>
    <row r="66" spans="4:12">
      <c r="D66" s="11">
        <v>46156</v>
      </c>
      <c r="E66" s="12">
        <v>1603143</v>
      </c>
      <c r="F66" s="12" t="s">
        <v>16</v>
      </c>
      <c r="G66" s="13">
        <v>20327452</v>
      </c>
      <c r="H66" s="12" t="s">
        <v>39</v>
      </c>
      <c r="I66" s="13">
        <v>1</v>
      </c>
      <c r="J66" s="14">
        <v>5.6</v>
      </c>
      <c r="K66" s="14">
        <v>5.6</v>
      </c>
      <c r="L66">
        <f t="shared" si="1"/>
        <v>8</v>
      </c>
    </row>
    <row r="67" spans="4:12">
      <c r="D67" s="11">
        <v>46156</v>
      </c>
      <c r="E67" s="12">
        <v>1603143</v>
      </c>
      <c r="F67" s="12" t="s">
        <v>16</v>
      </c>
      <c r="G67" s="13">
        <v>20316536</v>
      </c>
      <c r="H67" s="12" t="s">
        <v>27</v>
      </c>
      <c r="I67" s="13">
        <v>1</v>
      </c>
      <c r="J67" s="14">
        <v>5.6</v>
      </c>
      <c r="K67" s="14">
        <v>5.6</v>
      </c>
      <c r="L67">
        <f t="shared" si="1"/>
        <v>8</v>
      </c>
    </row>
    <row r="68" spans="4:12">
      <c r="D68" s="11">
        <v>46156</v>
      </c>
      <c r="E68" s="12">
        <v>1603143</v>
      </c>
      <c r="F68" s="12" t="s">
        <v>13</v>
      </c>
      <c r="G68" s="13">
        <v>20316495</v>
      </c>
      <c r="H68" s="12" t="s">
        <v>28</v>
      </c>
      <c r="I68" s="13">
        <v>3</v>
      </c>
      <c r="J68" s="14">
        <v>53.9</v>
      </c>
      <c r="K68" s="14">
        <v>161.7</v>
      </c>
      <c r="L68">
        <f t="shared" si="1"/>
        <v>77</v>
      </c>
    </row>
    <row r="69" spans="4:12">
      <c r="D69" s="11">
        <v>46158</v>
      </c>
      <c r="E69" s="12">
        <v>1603790</v>
      </c>
      <c r="F69" s="12" t="s">
        <v>16</v>
      </c>
      <c r="G69" s="13">
        <v>20316709</v>
      </c>
      <c r="H69" s="12" t="s">
        <v>40</v>
      </c>
      <c r="I69" s="13">
        <v>1</v>
      </c>
      <c r="J69" s="14">
        <v>5.6</v>
      </c>
      <c r="K69" s="14">
        <v>5.6</v>
      </c>
      <c r="L69">
        <f t="shared" si="1"/>
        <v>8</v>
      </c>
    </row>
    <row r="70" spans="4:12">
      <c r="D70" s="11">
        <v>46158</v>
      </c>
      <c r="E70" s="12">
        <v>1603790</v>
      </c>
      <c r="F70" s="12" t="s">
        <v>16</v>
      </c>
      <c r="G70" s="13">
        <v>20318012</v>
      </c>
      <c r="H70" s="12" t="s">
        <v>20</v>
      </c>
      <c r="I70" s="13">
        <v>3</v>
      </c>
      <c r="J70" s="14">
        <v>7.7</v>
      </c>
      <c r="K70" s="14">
        <v>23.1</v>
      </c>
      <c r="L70">
        <f t="shared" si="1"/>
        <v>11</v>
      </c>
    </row>
    <row r="71" spans="4:12">
      <c r="D71" s="11">
        <v>46158</v>
      </c>
      <c r="E71" s="12">
        <v>1603790</v>
      </c>
      <c r="F71" s="12" t="s">
        <v>16</v>
      </c>
      <c r="G71" s="13">
        <v>20318011</v>
      </c>
      <c r="H71" s="12" t="s">
        <v>21</v>
      </c>
      <c r="I71" s="13">
        <v>3</v>
      </c>
      <c r="J71" s="14">
        <v>7.7</v>
      </c>
      <c r="K71" s="14">
        <v>23.1</v>
      </c>
      <c r="L71">
        <f t="shared" si="1"/>
        <v>11</v>
      </c>
    </row>
    <row r="72" spans="4:12">
      <c r="D72" s="11">
        <v>46158</v>
      </c>
      <c r="E72" s="12">
        <v>1603790</v>
      </c>
      <c r="F72" s="12" t="s">
        <v>16</v>
      </c>
      <c r="G72" s="13">
        <v>20332509</v>
      </c>
      <c r="H72" s="12" t="s">
        <v>22</v>
      </c>
      <c r="I72" s="13">
        <v>1</v>
      </c>
      <c r="J72" s="14">
        <v>5.6</v>
      </c>
      <c r="K72" s="14">
        <v>5.6</v>
      </c>
      <c r="L72">
        <f t="shared" si="1"/>
        <v>8</v>
      </c>
    </row>
    <row r="73" spans="4:12">
      <c r="D73" s="11">
        <v>46158</v>
      </c>
      <c r="E73" s="12">
        <v>1603790</v>
      </c>
      <c r="F73" s="12" t="s">
        <v>16</v>
      </c>
      <c r="G73" s="13">
        <v>20320558</v>
      </c>
      <c r="H73" s="12" t="s">
        <v>23</v>
      </c>
      <c r="I73" s="13">
        <v>1</v>
      </c>
      <c r="J73" s="14">
        <v>5.6</v>
      </c>
      <c r="K73" s="14">
        <v>5.6</v>
      </c>
      <c r="L73">
        <f t="shared" si="1"/>
        <v>8</v>
      </c>
    </row>
    <row r="74" spans="4:12">
      <c r="D74" s="11">
        <v>46158</v>
      </c>
      <c r="E74" s="12">
        <v>1603790</v>
      </c>
      <c r="F74" s="12" t="s">
        <v>16</v>
      </c>
      <c r="G74" s="13">
        <v>20329902</v>
      </c>
      <c r="H74" s="12" t="s">
        <v>25</v>
      </c>
      <c r="I74" s="13">
        <v>2</v>
      </c>
      <c r="J74" s="14">
        <v>5.6</v>
      </c>
      <c r="K74" s="14">
        <v>11.2</v>
      </c>
      <c r="L74">
        <f t="shared" ref="L74:L105" si="2">J74/0.7</f>
        <v>8</v>
      </c>
    </row>
    <row r="75" spans="4:12">
      <c r="D75" s="11">
        <v>46158</v>
      </c>
      <c r="E75" s="12">
        <v>1603790</v>
      </c>
      <c r="F75" s="12" t="s">
        <v>16</v>
      </c>
      <c r="G75" s="13">
        <v>20320659</v>
      </c>
      <c r="H75" s="12" t="s">
        <v>26</v>
      </c>
      <c r="I75" s="13">
        <v>3</v>
      </c>
      <c r="J75" s="14">
        <v>5.6</v>
      </c>
      <c r="K75" s="14">
        <v>16.8</v>
      </c>
      <c r="L75">
        <f t="shared" si="2"/>
        <v>8</v>
      </c>
    </row>
    <row r="76" spans="4:12">
      <c r="D76" s="11">
        <v>46158</v>
      </c>
      <c r="E76" s="12">
        <v>1603790</v>
      </c>
      <c r="F76" s="12" t="s">
        <v>16</v>
      </c>
      <c r="G76" s="13">
        <v>20316708</v>
      </c>
      <c r="H76" s="12" t="s">
        <v>34</v>
      </c>
      <c r="I76" s="13">
        <v>1</v>
      </c>
      <c r="J76" s="14">
        <v>5.6</v>
      </c>
      <c r="K76" s="14">
        <v>5.6</v>
      </c>
      <c r="L76">
        <f t="shared" si="2"/>
        <v>8</v>
      </c>
    </row>
    <row r="77" spans="4:12">
      <c r="D77" s="11">
        <v>46161</v>
      </c>
      <c r="E77" s="12">
        <v>1604410</v>
      </c>
      <c r="F77" s="12" t="s">
        <v>16</v>
      </c>
      <c r="G77" s="13">
        <v>20318012</v>
      </c>
      <c r="H77" s="12" t="s">
        <v>20</v>
      </c>
      <c r="I77" s="13">
        <v>7</v>
      </c>
      <c r="J77" s="14">
        <v>7.7</v>
      </c>
      <c r="K77" s="14">
        <v>53.9</v>
      </c>
      <c r="L77">
        <f t="shared" si="2"/>
        <v>11</v>
      </c>
    </row>
    <row r="78" spans="4:12">
      <c r="D78" s="11">
        <v>46161</v>
      </c>
      <c r="E78" s="12">
        <v>1604410</v>
      </c>
      <c r="F78" s="12" t="s">
        <v>16</v>
      </c>
      <c r="G78" s="13">
        <v>20318011</v>
      </c>
      <c r="H78" s="12" t="s">
        <v>21</v>
      </c>
      <c r="I78" s="13">
        <v>6</v>
      </c>
      <c r="J78" s="14">
        <v>7.7</v>
      </c>
      <c r="K78" s="14">
        <v>46.2</v>
      </c>
      <c r="L78">
        <f t="shared" si="2"/>
        <v>11</v>
      </c>
    </row>
    <row r="79" spans="4:12">
      <c r="D79" s="11">
        <v>46161</v>
      </c>
      <c r="E79" s="12">
        <v>1604410</v>
      </c>
      <c r="F79" s="12" t="s">
        <v>16</v>
      </c>
      <c r="G79" s="13">
        <v>20320558</v>
      </c>
      <c r="H79" s="12" t="s">
        <v>23</v>
      </c>
      <c r="I79" s="13">
        <v>2</v>
      </c>
      <c r="J79" s="14">
        <v>5.6</v>
      </c>
      <c r="K79" s="14">
        <v>11.2</v>
      </c>
      <c r="L79">
        <f t="shared" si="2"/>
        <v>8</v>
      </c>
    </row>
    <row r="80" spans="4:12">
      <c r="D80" s="11">
        <v>46161</v>
      </c>
      <c r="E80" s="12">
        <v>1604410</v>
      </c>
      <c r="F80" s="12" t="s">
        <v>16</v>
      </c>
      <c r="G80" s="13">
        <v>20332792</v>
      </c>
      <c r="H80" s="12" t="s">
        <v>24</v>
      </c>
      <c r="I80" s="13">
        <v>1</v>
      </c>
      <c r="J80" s="14">
        <v>5.6</v>
      </c>
      <c r="K80" s="14">
        <v>5.6</v>
      </c>
      <c r="L80">
        <f t="shared" si="2"/>
        <v>8</v>
      </c>
    </row>
    <row r="81" spans="4:12">
      <c r="D81" s="11">
        <v>46161</v>
      </c>
      <c r="E81" s="12">
        <v>1604410</v>
      </c>
      <c r="F81" s="12" t="s">
        <v>16</v>
      </c>
      <c r="G81" s="13">
        <v>20316516</v>
      </c>
      <c r="H81" s="12" t="s">
        <v>33</v>
      </c>
      <c r="I81" s="13">
        <v>2</v>
      </c>
      <c r="J81" s="14">
        <v>5.6</v>
      </c>
      <c r="K81" s="14">
        <v>11.2</v>
      </c>
      <c r="L81">
        <f t="shared" si="2"/>
        <v>8</v>
      </c>
    </row>
    <row r="82" spans="4:12">
      <c r="D82" s="11">
        <v>46161</v>
      </c>
      <c r="E82" s="12">
        <v>1604410</v>
      </c>
      <c r="F82" s="12" t="s">
        <v>16</v>
      </c>
      <c r="G82" s="13">
        <v>20347321</v>
      </c>
      <c r="H82" s="12" t="s">
        <v>41</v>
      </c>
      <c r="I82" s="13">
        <v>1</v>
      </c>
      <c r="J82" s="14">
        <v>5.6</v>
      </c>
      <c r="K82" s="14">
        <v>5.6</v>
      </c>
      <c r="L82">
        <f t="shared" si="2"/>
        <v>8</v>
      </c>
    </row>
    <row r="83" spans="4:12">
      <c r="D83" s="11">
        <v>46161</v>
      </c>
      <c r="E83" s="12">
        <v>1604410</v>
      </c>
      <c r="F83" s="12" t="s">
        <v>16</v>
      </c>
      <c r="G83" s="13">
        <v>20332793</v>
      </c>
      <c r="H83" s="12" t="s">
        <v>37</v>
      </c>
      <c r="I83" s="13">
        <v>1</v>
      </c>
      <c r="J83" s="14">
        <v>5.6</v>
      </c>
      <c r="K83" s="14">
        <v>5.6</v>
      </c>
      <c r="L83">
        <f t="shared" si="2"/>
        <v>8</v>
      </c>
    </row>
    <row r="84" spans="4:12">
      <c r="D84" s="11">
        <v>46161</v>
      </c>
      <c r="E84" s="12">
        <v>1604410</v>
      </c>
      <c r="F84" s="12" t="s">
        <v>16</v>
      </c>
      <c r="G84" s="13">
        <v>20329902</v>
      </c>
      <c r="H84" s="12" t="s">
        <v>25</v>
      </c>
      <c r="I84" s="13">
        <v>4</v>
      </c>
      <c r="J84" s="14">
        <v>5.6</v>
      </c>
      <c r="K84" s="14">
        <v>22.4</v>
      </c>
      <c r="L84">
        <f t="shared" si="2"/>
        <v>8</v>
      </c>
    </row>
    <row r="85" spans="4:12">
      <c r="D85" s="11">
        <v>46161</v>
      </c>
      <c r="E85" s="12">
        <v>1604410</v>
      </c>
      <c r="F85" s="12" t="s">
        <v>16</v>
      </c>
      <c r="G85" s="13">
        <v>20320659</v>
      </c>
      <c r="H85" s="12" t="s">
        <v>26</v>
      </c>
      <c r="I85" s="13">
        <v>7</v>
      </c>
      <c r="J85" s="14">
        <v>5.6</v>
      </c>
      <c r="K85" s="14">
        <v>39.2</v>
      </c>
      <c r="L85">
        <f t="shared" si="2"/>
        <v>8</v>
      </c>
    </row>
    <row r="86" spans="4:12">
      <c r="D86" s="11">
        <v>46161</v>
      </c>
      <c r="E86" s="12">
        <v>1604410</v>
      </c>
      <c r="F86" s="12" t="s">
        <v>16</v>
      </c>
      <c r="G86" s="13">
        <v>20316819</v>
      </c>
      <c r="H86" s="12" t="s">
        <v>35</v>
      </c>
      <c r="I86" s="13">
        <v>2</v>
      </c>
      <c r="J86" s="14">
        <v>5.6</v>
      </c>
      <c r="K86" s="14">
        <v>11.2</v>
      </c>
      <c r="L86">
        <f t="shared" si="2"/>
        <v>8</v>
      </c>
    </row>
    <row r="87" spans="4:12">
      <c r="D87" s="11">
        <v>46161</v>
      </c>
      <c r="E87" s="12">
        <v>1604410</v>
      </c>
      <c r="F87" s="12" t="s">
        <v>16</v>
      </c>
      <c r="G87" s="13">
        <v>20327452</v>
      </c>
      <c r="H87" s="12" t="s">
        <v>39</v>
      </c>
      <c r="I87" s="13">
        <v>1</v>
      </c>
      <c r="J87" s="14">
        <v>5.6</v>
      </c>
      <c r="K87" s="14">
        <v>5.6</v>
      </c>
      <c r="L87">
        <f t="shared" si="2"/>
        <v>8</v>
      </c>
    </row>
    <row r="88" spans="4:12">
      <c r="D88" s="11">
        <v>46161</v>
      </c>
      <c r="E88" s="12">
        <v>1604410</v>
      </c>
      <c r="F88" s="12" t="s">
        <v>16</v>
      </c>
      <c r="G88" s="13">
        <v>20316536</v>
      </c>
      <c r="H88" s="12" t="s">
        <v>27</v>
      </c>
      <c r="I88" s="13">
        <v>2</v>
      </c>
      <c r="J88" s="14">
        <v>5.6</v>
      </c>
      <c r="K88" s="14">
        <v>11.2</v>
      </c>
      <c r="L88">
        <f t="shared" si="2"/>
        <v>8</v>
      </c>
    </row>
    <row r="89" spans="4:12">
      <c r="D89" s="11">
        <v>46161</v>
      </c>
      <c r="E89" s="12">
        <v>1604410</v>
      </c>
      <c r="F89" s="12" t="s">
        <v>13</v>
      </c>
      <c r="G89" s="13">
        <v>20316495</v>
      </c>
      <c r="H89" s="12" t="s">
        <v>28</v>
      </c>
      <c r="I89" s="13">
        <v>5</v>
      </c>
      <c r="J89" s="14">
        <v>53.9</v>
      </c>
      <c r="K89" s="14">
        <v>269.5</v>
      </c>
      <c r="L89">
        <f t="shared" si="2"/>
        <v>77</v>
      </c>
    </row>
    <row r="90" spans="4:12">
      <c r="D90" s="11">
        <v>46161</v>
      </c>
      <c r="E90" s="12">
        <v>1604410</v>
      </c>
      <c r="F90" s="12" t="s">
        <v>13</v>
      </c>
      <c r="G90" s="13">
        <v>20351726</v>
      </c>
      <c r="H90" s="12" t="s">
        <v>32</v>
      </c>
      <c r="I90" s="13">
        <v>1</v>
      </c>
      <c r="J90" s="14">
        <v>38.5</v>
      </c>
      <c r="K90" s="14">
        <v>38.5</v>
      </c>
      <c r="L90">
        <f t="shared" si="2"/>
        <v>55</v>
      </c>
    </row>
    <row r="91" spans="4:12">
      <c r="D91" s="11">
        <v>46163</v>
      </c>
      <c r="E91" s="12">
        <v>1605178</v>
      </c>
      <c r="F91" s="12" t="s">
        <v>16</v>
      </c>
      <c r="G91" s="13">
        <v>20318012</v>
      </c>
      <c r="H91" s="12" t="s">
        <v>20</v>
      </c>
      <c r="I91" s="13">
        <v>1</v>
      </c>
      <c r="J91" s="14">
        <v>7.7</v>
      </c>
      <c r="K91" s="14">
        <v>7.7</v>
      </c>
      <c r="L91">
        <f t="shared" si="2"/>
        <v>11</v>
      </c>
    </row>
    <row r="92" spans="4:12">
      <c r="D92" s="11">
        <v>46163</v>
      </c>
      <c r="E92" s="12">
        <v>1605178</v>
      </c>
      <c r="F92" s="12" t="s">
        <v>16</v>
      </c>
      <c r="G92" s="13">
        <v>20316532</v>
      </c>
      <c r="H92" s="12" t="s">
        <v>36</v>
      </c>
      <c r="I92" s="13">
        <v>1</v>
      </c>
      <c r="J92" s="14">
        <v>5.6</v>
      </c>
      <c r="K92" s="14">
        <v>5.6</v>
      </c>
      <c r="L92">
        <f t="shared" si="2"/>
        <v>8</v>
      </c>
    </row>
    <row r="93" spans="4:12">
      <c r="D93" s="11">
        <v>46163</v>
      </c>
      <c r="E93" s="12">
        <v>1605178</v>
      </c>
      <c r="F93" s="12" t="s">
        <v>16</v>
      </c>
      <c r="G93" s="13">
        <v>20318011</v>
      </c>
      <c r="H93" s="12" t="s">
        <v>21</v>
      </c>
      <c r="I93" s="13">
        <v>2</v>
      </c>
      <c r="J93" s="14">
        <v>7.7</v>
      </c>
      <c r="K93" s="14">
        <v>15.4</v>
      </c>
      <c r="L93">
        <f t="shared" si="2"/>
        <v>11</v>
      </c>
    </row>
    <row r="94" spans="4:12">
      <c r="D94" s="11">
        <v>46163</v>
      </c>
      <c r="E94" s="12">
        <v>1605178</v>
      </c>
      <c r="F94" s="12" t="s">
        <v>16</v>
      </c>
      <c r="G94" s="13">
        <v>20316520</v>
      </c>
      <c r="H94" s="12" t="s">
        <v>29</v>
      </c>
      <c r="I94" s="13">
        <v>1</v>
      </c>
      <c r="J94" s="14">
        <v>5.6</v>
      </c>
      <c r="K94" s="14">
        <v>5.6</v>
      </c>
      <c r="L94">
        <f t="shared" si="2"/>
        <v>8</v>
      </c>
    </row>
    <row r="95" spans="4:12">
      <c r="D95" s="11">
        <v>46163</v>
      </c>
      <c r="E95" s="12">
        <v>1605178</v>
      </c>
      <c r="F95" s="12" t="s">
        <v>16</v>
      </c>
      <c r="G95" s="13">
        <v>20316507</v>
      </c>
      <c r="H95" s="12" t="s">
        <v>42</v>
      </c>
      <c r="I95" s="13">
        <v>1</v>
      </c>
      <c r="J95" s="14">
        <v>5.6</v>
      </c>
      <c r="K95" s="14">
        <v>5.6</v>
      </c>
      <c r="L95">
        <f t="shared" si="2"/>
        <v>8</v>
      </c>
    </row>
    <row r="96" spans="4:12">
      <c r="D96" s="11">
        <v>46163</v>
      </c>
      <c r="E96" s="12">
        <v>1605178</v>
      </c>
      <c r="F96" s="12" t="s">
        <v>16</v>
      </c>
      <c r="G96" s="13">
        <v>20316506</v>
      </c>
      <c r="H96" s="12" t="s">
        <v>43</v>
      </c>
      <c r="I96" s="13">
        <v>1</v>
      </c>
      <c r="J96" s="14">
        <v>5.6</v>
      </c>
      <c r="K96" s="14">
        <v>5.6</v>
      </c>
      <c r="L96">
        <f t="shared" si="2"/>
        <v>8</v>
      </c>
    </row>
    <row r="97" spans="4:12">
      <c r="D97" s="11">
        <v>46163</v>
      </c>
      <c r="E97" s="12">
        <v>1605178</v>
      </c>
      <c r="F97" s="12" t="s">
        <v>16</v>
      </c>
      <c r="G97" s="13">
        <v>20316510</v>
      </c>
      <c r="H97" s="12" t="s">
        <v>44</v>
      </c>
      <c r="I97" s="13">
        <v>1</v>
      </c>
      <c r="J97" s="14">
        <v>5.6</v>
      </c>
      <c r="K97" s="14">
        <v>5.6</v>
      </c>
      <c r="L97">
        <f t="shared" si="2"/>
        <v>8</v>
      </c>
    </row>
    <row r="98" spans="4:12">
      <c r="D98" s="11">
        <v>46163</v>
      </c>
      <c r="E98" s="12">
        <v>1605178</v>
      </c>
      <c r="F98" s="12" t="s">
        <v>16</v>
      </c>
      <c r="G98" s="13">
        <v>20316497</v>
      </c>
      <c r="H98" s="12" t="s">
        <v>45</v>
      </c>
      <c r="I98" s="13">
        <v>1</v>
      </c>
      <c r="J98" s="14">
        <v>7.7</v>
      </c>
      <c r="K98" s="14">
        <v>7.7</v>
      </c>
      <c r="L98">
        <f t="shared" si="2"/>
        <v>11</v>
      </c>
    </row>
    <row r="99" spans="4:12">
      <c r="D99" s="11">
        <v>46163</v>
      </c>
      <c r="E99" s="12">
        <v>1605178</v>
      </c>
      <c r="F99" s="12" t="s">
        <v>16</v>
      </c>
      <c r="G99" s="13">
        <v>20316710</v>
      </c>
      <c r="H99" s="12" t="s">
        <v>31</v>
      </c>
      <c r="I99" s="13">
        <v>1</v>
      </c>
      <c r="J99" s="14">
        <v>5.6</v>
      </c>
      <c r="K99" s="14">
        <v>5.6</v>
      </c>
      <c r="L99">
        <f t="shared" si="2"/>
        <v>8</v>
      </c>
    </row>
    <row r="100" spans="4:12">
      <c r="D100" s="11">
        <v>46163</v>
      </c>
      <c r="E100" s="12">
        <v>1605178</v>
      </c>
      <c r="F100" s="12" t="s">
        <v>16</v>
      </c>
      <c r="G100" s="13">
        <v>20320659</v>
      </c>
      <c r="H100" s="12" t="s">
        <v>26</v>
      </c>
      <c r="I100" s="13">
        <v>1</v>
      </c>
      <c r="J100" s="14">
        <v>5.6</v>
      </c>
      <c r="K100" s="14">
        <v>5.6</v>
      </c>
      <c r="L100">
        <f t="shared" si="2"/>
        <v>8</v>
      </c>
    </row>
    <row r="101" spans="4:12">
      <c r="D101" s="11">
        <v>46163</v>
      </c>
      <c r="E101" s="12">
        <v>1605178</v>
      </c>
      <c r="F101" s="12" t="s">
        <v>16</v>
      </c>
      <c r="G101" s="13">
        <v>20316819</v>
      </c>
      <c r="H101" s="12" t="s">
        <v>35</v>
      </c>
      <c r="I101" s="13">
        <v>1</v>
      </c>
      <c r="J101" s="14">
        <v>5.6</v>
      </c>
      <c r="K101" s="14">
        <v>5.6</v>
      </c>
      <c r="L101">
        <f t="shared" si="2"/>
        <v>8</v>
      </c>
    </row>
    <row r="102" spans="4:12">
      <c r="D102" s="11">
        <v>46163</v>
      </c>
      <c r="E102" s="12">
        <v>1605178</v>
      </c>
      <c r="F102" s="12" t="s">
        <v>16</v>
      </c>
      <c r="G102" s="13">
        <v>20316536</v>
      </c>
      <c r="H102" s="12" t="s">
        <v>27</v>
      </c>
      <c r="I102" s="13">
        <v>2</v>
      </c>
      <c r="J102" s="14">
        <v>5.6</v>
      </c>
      <c r="K102" s="14">
        <v>11.2</v>
      </c>
      <c r="L102">
        <f t="shared" si="2"/>
        <v>8</v>
      </c>
    </row>
    <row r="103" spans="4:12">
      <c r="D103" s="11">
        <v>46163</v>
      </c>
      <c r="E103" s="12">
        <v>1605178</v>
      </c>
      <c r="F103" s="12" t="s">
        <v>13</v>
      </c>
      <c r="G103" s="13">
        <v>20316495</v>
      </c>
      <c r="H103" s="12" t="s">
        <v>28</v>
      </c>
      <c r="I103" s="13">
        <v>3</v>
      </c>
      <c r="J103" s="14">
        <v>53.9</v>
      </c>
      <c r="K103" s="14">
        <v>161.7</v>
      </c>
      <c r="L103">
        <f t="shared" si="2"/>
        <v>77</v>
      </c>
    </row>
    <row r="104" spans="4:12">
      <c r="D104" s="11">
        <v>46165</v>
      </c>
      <c r="E104" s="12">
        <v>1605849</v>
      </c>
      <c r="F104" s="12" t="s">
        <v>16</v>
      </c>
      <c r="G104" s="13">
        <v>20318012</v>
      </c>
      <c r="H104" s="12" t="s">
        <v>20</v>
      </c>
      <c r="I104" s="13">
        <v>2</v>
      </c>
      <c r="J104" s="14">
        <v>7.7</v>
      </c>
      <c r="K104" s="14">
        <v>15.4</v>
      </c>
      <c r="L104">
        <f t="shared" si="2"/>
        <v>11</v>
      </c>
    </row>
    <row r="105" spans="4:12">
      <c r="D105" s="11">
        <v>46165</v>
      </c>
      <c r="E105" s="12">
        <v>1605849</v>
      </c>
      <c r="F105" s="12" t="s">
        <v>16</v>
      </c>
      <c r="G105" s="13">
        <v>20318011</v>
      </c>
      <c r="H105" s="12" t="s">
        <v>21</v>
      </c>
      <c r="I105" s="13">
        <v>2</v>
      </c>
      <c r="J105" s="14">
        <v>7.7</v>
      </c>
      <c r="K105" s="14">
        <v>15.4</v>
      </c>
      <c r="L105">
        <f t="shared" si="2"/>
        <v>11</v>
      </c>
    </row>
    <row r="106" spans="4:12">
      <c r="D106" s="11">
        <v>46165</v>
      </c>
      <c r="E106" s="12">
        <v>1605849</v>
      </c>
      <c r="F106" s="12" t="s">
        <v>16</v>
      </c>
      <c r="G106" s="13">
        <v>20320558</v>
      </c>
      <c r="H106" s="12" t="s">
        <v>23</v>
      </c>
      <c r="I106" s="13">
        <v>1</v>
      </c>
      <c r="J106" s="14">
        <v>5.6</v>
      </c>
      <c r="K106" s="14">
        <v>5.6</v>
      </c>
      <c r="L106">
        <f t="shared" ref="L106:L137" si="3">J106/0.7</f>
        <v>8</v>
      </c>
    </row>
    <row r="107" spans="4:12">
      <c r="D107" s="11">
        <v>46165</v>
      </c>
      <c r="E107" s="12">
        <v>1605849</v>
      </c>
      <c r="F107" s="12" t="s">
        <v>16</v>
      </c>
      <c r="G107" s="13">
        <v>20332792</v>
      </c>
      <c r="H107" s="12" t="s">
        <v>24</v>
      </c>
      <c r="I107" s="13">
        <v>1</v>
      </c>
      <c r="J107" s="14">
        <v>5.6</v>
      </c>
      <c r="K107" s="14">
        <v>5.6</v>
      </c>
      <c r="L107">
        <f t="shared" si="3"/>
        <v>8</v>
      </c>
    </row>
    <row r="108" spans="4:12">
      <c r="D108" s="11">
        <v>46165</v>
      </c>
      <c r="E108" s="12">
        <v>1605849</v>
      </c>
      <c r="F108" s="12" t="s">
        <v>16</v>
      </c>
      <c r="G108" s="13">
        <v>20316516</v>
      </c>
      <c r="H108" s="12" t="s">
        <v>33</v>
      </c>
      <c r="I108" s="13">
        <v>1</v>
      </c>
      <c r="J108" s="14">
        <v>5.6</v>
      </c>
      <c r="K108" s="14">
        <v>5.6</v>
      </c>
      <c r="L108">
        <f t="shared" si="3"/>
        <v>8</v>
      </c>
    </row>
    <row r="109" spans="4:12">
      <c r="D109" s="11">
        <v>46165</v>
      </c>
      <c r="E109" s="12">
        <v>1605849</v>
      </c>
      <c r="F109" s="12" t="s">
        <v>16</v>
      </c>
      <c r="G109" s="13">
        <v>20329902</v>
      </c>
      <c r="H109" s="12" t="s">
        <v>25</v>
      </c>
      <c r="I109" s="13">
        <v>1</v>
      </c>
      <c r="J109" s="14">
        <v>5.6</v>
      </c>
      <c r="K109" s="14">
        <v>5.6</v>
      </c>
      <c r="L109">
        <f t="shared" si="3"/>
        <v>8</v>
      </c>
    </row>
    <row r="110" spans="4:12">
      <c r="D110" s="11">
        <v>46165</v>
      </c>
      <c r="E110" s="12">
        <v>1605849</v>
      </c>
      <c r="F110" s="12" t="s">
        <v>16</v>
      </c>
      <c r="G110" s="13">
        <v>20320659</v>
      </c>
      <c r="H110" s="12" t="s">
        <v>26</v>
      </c>
      <c r="I110" s="13">
        <v>2</v>
      </c>
      <c r="J110" s="14">
        <v>5.6</v>
      </c>
      <c r="K110" s="14">
        <v>11.2</v>
      </c>
      <c r="L110">
        <f t="shared" si="3"/>
        <v>8</v>
      </c>
    </row>
    <row r="111" spans="4:12">
      <c r="D111" s="11">
        <v>46165</v>
      </c>
      <c r="E111" s="12">
        <v>1605849</v>
      </c>
      <c r="F111" s="12" t="s">
        <v>16</v>
      </c>
      <c r="G111" s="13">
        <v>20316708</v>
      </c>
      <c r="H111" s="12" t="s">
        <v>34</v>
      </c>
      <c r="I111" s="13">
        <v>1</v>
      </c>
      <c r="J111" s="14">
        <v>5.6</v>
      </c>
      <c r="K111" s="14">
        <v>5.6</v>
      </c>
      <c r="L111">
        <f t="shared" si="3"/>
        <v>8</v>
      </c>
    </row>
    <row r="112" spans="4:12">
      <c r="D112" s="11">
        <v>46165</v>
      </c>
      <c r="E112" s="12">
        <v>1605849</v>
      </c>
      <c r="F112" s="12" t="s">
        <v>16</v>
      </c>
      <c r="G112" s="13">
        <v>20316819</v>
      </c>
      <c r="H112" s="12" t="s">
        <v>35</v>
      </c>
      <c r="I112" s="13">
        <v>1</v>
      </c>
      <c r="J112" s="14">
        <v>5.6</v>
      </c>
      <c r="K112" s="14">
        <v>5.6</v>
      </c>
      <c r="L112">
        <f t="shared" si="3"/>
        <v>8</v>
      </c>
    </row>
    <row r="113" spans="4:12">
      <c r="D113" s="11">
        <v>46165</v>
      </c>
      <c r="E113" s="12">
        <v>1605849</v>
      </c>
      <c r="F113" s="12" t="s">
        <v>13</v>
      </c>
      <c r="G113" s="13">
        <v>20316495</v>
      </c>
      <c r="H113" s="12" t="s">
        <v>28</v>
      </c>
      <c r="I113" s="13">
        <v>1</v>
      </c>
      <c r="J113" s="14">
        <v>53.9</v>
      </c>
      <c r="K113" s="14">
        <v>53.9</v>
      </c>
      <c r="L113">
        <f t="shared" si="3"/>
        <v>77</v>
      </c>
    </row>
    <row r="114" spans="4:12">
      <c r="D114" s="11">
        <v>46165</v>
      </c>
      <c r="E114" s="12">
        <v>1605849</v>
      </c>
      <c r="F114" s="12" t="s">
        <v>13</v>
      </c>
      <c r="G114" s="13">
        <v>20351726</v>
      </c>
      <c r="H114" s="12" t="s">
        <v>32</v>
      </c>
      <c r="I114" s="13">
        <v>1</v>
      </c>
      <c r="J114" s="14">
        <v>38.5</v>
      </c>
      <c r="K114" s="14">
        <v>38.5</v>
      </c>
      <c r="L114">
        <f t="shared" si="3"/>
        <v>55</v>
      </c>
    </row>
    <row r="115" spans="4:12">
      <c r="D115" s="11">
        <v>46168</v>
      </c>
      <c r="E115" s="12">
        <v>1606527</v>
      </c>
      <c r="F115" s="12" t="s">
        <v>16</v>
      </c>
      <c r="G115" s="13">
        <v>20316538</v>
      </c>
      <c r="H115" s="12" t="s">
        <v>46</v>
      </c>
      <c r="I115" s="13">
        <v>1</v>
      </c>
      <c r="J115" s="14">
        <v>9.1</v>
      </c>
      <c r="K115" s="14">
        <v>9.1</v>
      </c>
      <c r="L115">
        <f t="shared" si="3"/>
        <v>13</v>
      </c>
    </row>
    <row r="116" spans="4:12">
      <c r="D116" s="11">
        <v>46168</v>
      </c>
      <c r="E116" s="12">
        <v>1606527</v>
      </c>
      <c r="F116" s="12" t="s">
        <v>16</v>
      </c>
      <c r="G116" s="13">
        <v>20318012</v>
      </c>
      <c r="H116" s="12" t="s">
        <v>20</v>
      </c>
      <c r="I116" s="13">
        <v>1</v>
      </c>
      <c r="J116" s="14">
        <v>7.7</v>
      </c>
      <c r="K116" s="14">
        <v>7.7</v>
      </c>
      <c r="L116">
        <f t="shared" si="3"/>
        <v>11</v>
      </c>
    </row>
    <row r="117" spans="4:12">
      <c r="D117" s="11">
        <v>46168</v>
      </c>
      <c r="E117" s="12">
        <v>1606527</v>
      </c>
      <c r="F117" s="12" t="s">
        <v>16</v>
      </c>
      <c r="G117" s="13">
        <v>20318011</v>
      </c>
      <c r="H117" s="12" t="s">
        <v>21</v>
      </c>
      <c r="I117" s="13">
        <v>1</v>
      </c>
      <c r="J117" s="14">
        <v>7.7</v>
      </c>
      <c r="K117" s="14">
        <v>7.7</v>
      </c>
      <c r="L117">
        <f t="shared" si="3"/>
        <v>11</v>
      </c>
    </row>
    <row r="118" spans="4:12">
      <c r="D118" s="11">
        <v>46168</v>
      </c>
      <c r="E118" s="12">
        <v>1606527</v>
      </c>
      <c r="F118" s="12" t="s">
        <v>16</v>
      </c>
      <c r="G118" s="13">
        <v>20316520</v>
      </c>
      <c r="H118" s="12" t="s">
        <v>29</v>
      </c>
      <c r="I118" s="13">
        <v>1</v>
      </c>
      <c r="J118" s="14">
        <v>5.6</v>
      </c>
      <c r="K118" s="14">
        <v>5.6</v>
      </c>
      <c r="L118">
        <f t="shared" si="3"/>
        <v>8</v>
      </c>
    </row>
    <row r="119" spans="4:12">
      <c r="D119" s="11">
        <v>46168</v>
      </c>
      <c r="E119" s="12">
        <v>1606527</v>
      </c>
      <c r="F119" s="12" t="s">
        <v>16</v>
      </c>
      <c r="G119" s="13">
        <v>20316497</v>
      </c>
      <c r="H119" s="12" t="s">
        <v>45</v>
      </c>
      <c r="I119" s="13">
        <v>1</v>
      </c>
      <c r="J119" s="14">
        <v>7.7</v>
      </c>
      <c r="K119" s="14">
        <v>7.7</v>
      </c>
      <c r="L119">
        <f t="shared" si="3"/>
        <v>11</v>
      </c>
    </row>
    <row r="120" spans="4:12">
      <c r="D120" s="11">
        <v>46168</v>
      </c>
      <c r="E120" s="12">
        <v>1606527</v>
      </c>
      <c r="F120" s="12" t="s">
        <v>16</v>
      </c>
      <c r="G120" s="13">
        <v>20316710</v>
      </c>
      <c r="H120" s="12" t="s">
        <v>31</v>
      </c>
      <c r="I120" s="13">
        <v>1</v>
      </c>
      <c r="J120" s="14">
        <v>5.6</v>
      </c>
      <c r="K120" s="14">
        <v>5.6</v>
      </c>
      <c r="L120">
        <f t="shared" si="3"/>
        <v>8</v>
      </c>
    </row>
    <row r="121" spans="4:12">
      <c r="D121" s="11">
        <v>46168</v>
      </c>
      <c r="E121" s="12">
        <v>1606527</v>
      </c>
      <c r="F121" s="12" t="s">
        <v>16</v>
      </c>
      <c r="G121" s="13">
        <v>20320659</v>
      </c>
      <c r="H121" s="12" t="s">
        <v>26</v>
      </c>
      <c r="I121" s="13">
        <v>1</v>
      </c>
      <c r="J121" s="14">
        <v>5.6</v>
      </c>
      <c r="K121" s="14">
        <v>5.6</v>
      </c>
      <c r="L121">
        <f t="shared" si="3"/>
        <v>8</v>
      </c>
    </row>
    <row r="122" spans="4:12">
      <c r="D122" s="11">
        <v>46168</v>
      </c>
      <c r="E122" s="12">
        <v>1606527</v>
      </c>
      <c r="F122" s="12" t="s">
        <v>16</v>
      </c>
      <c r="G122" s="13">
        <v>20316536</v>
      </c>
      <c r="H122" s="12" t="s">
        <v>27</v>
      </c>
      <c r="I122" s="13">
        <v>4</v>
      </c>
      <c r="J122" s="14">
        <v>5.6</v>
      </c>
      <c r="K122" s="14">
        <v>22.4</v>
      </c>
      <c r="L122">
        <f t="shared" si="3"/>
        <v>8</v>
      </c>
    </row>
    <row r="123" spans="4:12">
      <c r="D123" s="11">
        <v>46168</v>
      </c>
      <c r="E123" s="12">
        <v>1606527</v>
      </c>
      <c r="F123" s="12" t="s">
        <v>13</v>
      </c>
      <c r="G123" s="13">
        <v>20316495</v>
      </c>
      <c r="H123" s="12" t="s">
        <v>28</v>
      </c>
      <c r="I123" s="13">
        <v>1</v>
      </c>
      <c r="J123" s="14">
        <v>53.9</v>
      </c>
      <c r="K123" s="14">
        <v>53.9</v>
      </c>
      <c r="L123">
        <f t="shared" si="3"/>
        <v>77</v>
      </c>
    </row>
    <row r="124" spans="4:12">
      <c r="D124" s="11">
        <v>46170</v>
      </c>
      <c r="E124" s="12">
        <v>1607269</v>
      </c>
      <c r="F124" s="12" t="s">
        <v>16</v>
      </c>
      <c r="G124" s="13">
        <v>20316709</v>
      </c>
      <c r="H124" s="12" t="s">
        <v>40</v>
      </c>
      <c r="I124" s="13">
        <v>1</v>
      </c>
      <c r="J124" s="14">
        <v>5.6</v>
      </c>
      <c r="K124" s="14">
        <v>5.6</v>
      </c>
      <c r="L124">
        <f t="shared" si="3"/>
        <v>8</v>
      </c>
    </row>
    <row r="125" spans="4:12">
      <c r="D125" s="11">
        <v>46170</v>
      </c>
      <c r="E125" s="12">
        <v>1607269</v>
      </c>
      <c r="F125" s="12" t="s">
        <v>16</v>
      </c>
      <c r="G125" s="13">
        <v>20318012</v>
      </c>
      <c r="H125" s="12" t="s">
        <v>20</v>
      </c>
      <c r="I125" s="13">
        <v>6</v>
      </c>
      <c r="J125" s="14">
        <v>7.7</v>
      </c>
      <c r="K125" s="14">
        <v>46.2</v>
      </c>
      <c r="L125">
        <f t="shared" si="3"/>
        <v>11</v>
      </c>
    </row>
    <row r="126" spans="4:12">
      <c r="D126" s="11">
        <v>46170</v>
      </c>
      <c r="E126" s="12">
        <v>1607269</v>
      </c>
      <c r="F126" s="12" t="s">
        <v>16</v>
      </c>
      <c r="G126" s="13">
        <v>20318011</v>
      </c>
      <c r="H126" s="12" t="s">
        <v>21</v>
      </c>
      <c r="I126" s="13">
        <v>5</v>
      </c>
      <c r="J126" s="14">
        <v>7.7</v>
      </c>
      <c r="K126" s="14">
        <v>38.5</v>
      </c>
      <c r="L126">
        <f t="shared" si="3"/>
        <v>11</v>
      </c>
    </row>
    <row r="127" spans="4:12">
      <c r="D127" s="11">
        <v>46170</v>
      </c>
      <c r="E127" s="12">
        <v>1607269</v>
      </c>
      <c r="F127" s="12" t="s">
        <v>16</v>
      </c>
      <c r="G127" s="13">
        <v>20332509</v>
      </c>
      <c r="H127" s="12" t="s">
        <v>22</v>
      </c>
      <c r="I127" s="13">
        <v>1</v>
      </c>
      <c r="J127" s="14">
        <v>5.6</v>
      </c>
      <c r="K127" s="14">
        <v>5.6</v>
      </c>
      <c r="L127">
        <f t="shared" si="3"/>
        <v>8</v>
      </c>
    </row>
    <row r="128" spans="4:12">
      <c r="D128" s="11">
        <v>46170</v>
      </c>
      <c r="E128" s="12">
        <v>1607269</v>
      </c>
      <c r="F128" s="12" t="s">
        <v>16</v>
      </c>
      <c r="G128" s="13">
        <v>20320558</v>
      </c>
      <c r="H128" s="12" t="s">
        <v>23</v>
      </c>
      <c r="I128" s="13">
        <v>2</v>
      </c>
      <c r="J128" s="14">
        <v>5.6</v>
      </c>
      <c r="K128" s="14">
        <v>11.2</v>
      </c>
      <c r="L128">
        <f t="shared" si="3"/>
        <v>8</v>
      </c>
    </row>
    <row r="129" spans="4:12">
      <c r="D129" s="11">
        <v>46170</v>
      </c>
      <c r="E129" s="12">
        <v>1607269</v>
      </c>
      <c r="F129" s="12" t="s">
        <v>16</v>
      </c>
      <c r="G129" s="13">
        <v>20316516</v>
      </c>
      <c r="H129" s="12" t="s">
        <v>33</v>
      </c>
      <c r="I129" s="13">
        <v>1</v>
      </c>
      <c r="J129" s="14">
        <v>5.6</v>
      </c>
      <c r="K129" s="14">
        <v>5.6</v>
      </c>
      <c r="L129">
        <f t="shared" si="3"/>
        <v>8</v>
      </c>
    </row>
    <row r="130" spans="4:12">
      <c r="D130" s="11">
        <v>46170</v>
      </c>
      <c r="E130" s="12">
        <v>1607269</v>
      </c>
      <c r="F130" s="12" t="s">
        <v>16</v>
      </c>
      <c r="G130" s="13">
        <v>20329902</v>
      </c>
      <c r="H130" s="12" t="s">
        <v>25</v>
      </c>
      <c r="I130" s="13">
        <v>3</v>
      </c>
      <c r="J130" s="14">
        <v>5.6</v>
      </c>
      <c r="K130" s="14">
        <v>16.8</v>
      </c>
      <c r="L130">
        <f t="shared" si="3"/>
        <v>8</v>
      </c>
    </row>
    <row r="131" spans="4:12">
      <c r="D131" s="11">
        <v>46170</v>
      </c>
      <c r="E131" s="12">
        <v>1607269</v>
      </c>
      <c r="F131" s="12" t="s">
        <v>16</v>
      </c>
      <c r="G131" s="13">
        <v>20316500</v>
      </c>
      <c r="H131" s="12" t="s">
        <v>38</v>
      </c>
      <c r="I131" s="13">
        <v>1</v>
      </c>
      <c r="J131" s="14">
        <v>7.7</v>
      </c>
      <c r="K131" s="14">
        <v>7.7</v>
      </c>
      <c r="L131">
        <f t="shared" si="3"/>
        <v>11</v>
      </c>
    </row>
    <row r="132" spans="4:12">
      <c r="D132" s="11">
        <v>46170</v>
      </c>
      <c r="E132" s="12">
        <v>1607269</v>
      </c>
      <c r="F132" s="12" t="s">
        <v>16</v>
      </c>
      <c r="G132" s="13">
        <v>20320659</v>
      </c>
      <c r="H132" s="12" t="s">
        <v>26</v>
      </c>
      <c r="I132" s="13">
        <v>5</v>
      </c>
      <c r="J132" s="14">
        <v>5.6</v>
      </c>
      <c r="K132" s="14">
        <v>28</v>
      </c>
      <c r="L132">
        <f t="shared" si="3"/>
        <v>8</v>
      </c>
    </row>
    <row r="133" spans="4:12">
      <c r="D133" s="11">
        <v>46170</v>
      </c>
      <c r="E133" s="12">
        <v>1607269</v>
      </c>
      <c r="F133" s="12" t="s">
        <v>16</v>
      </c>
      <c r="G133" s="13">
        <v>20316708</v>
      </c>
      <c r="H133" s="12" t="s">
        <v>34</v>
      </c>
      <c r="I133" s="13">
        <v>1</v>
      </c>
      <c r="J133" s="14">
        <v>5.6</v>
      </c>
      <c r="K133" s="14">
        <v>5.6</v>
      </c>
      <c r="L133">
        <f t="shared" si="3"/>
        <v>8</v>
      </c>
    </row>
    <row r="134" spans="4:12">
      <c r="D134" s="11">
        <v>46170</v>
      </c>
      <c r="E134" s="12">
        <v>1607269</v>
      </c>
      <c r="F134" s="12" t="s">
        <v>16</v>
      </c>
      <c r="G134" s="13">
        <v>20316536</v>
      </c>
      <c r="H134" s="12" t="s">
        <v>27</v>
      </c>
      <c r="I134" s="13">
        <v>4</v>
      </c>
      <c r="J134" s="14">
        <v>5.6</v>
      </c>
      <c r="K134" s="14">
        <v>22.4</v>
      </c>
      <c r="L134">
        <f t="shared" si="3"/>
        <v>8</v>
      </c>
    </row>
    <row r="135" spans="4:12">
      <c r="D135" s="11">
        <v>46170</v>
      </c>
      <c r="E135" s="12">
        <v>1607269</v>
      </c>
      <c r="F135" s="12" t="s">
        <v>13</v>
      </c>
      <c r="G135" s="13">
        <v>20316495</v>
      </c>
      <c r="H135" s="12" t="s">
        <v>28</v>
      </c>
      <c r="I135" s="13">
        <v>1</v>
      </c>
      <c r="J135" s="14">
        <v>53.9</v>
      </c>
      <c r="K135" s="14">
        <v>53.9</v>
      </c>
      <c r="L135">
        <f t="shared" si="3"/>
        <v>77</v>
      </c>
    </row>
    <row r="136" spans="4:12">
      <c r="D136" s="11">
        <v>46170</v>
      </c>
      <c r="E136" s="12">
        <v>1607269</v>
      </c>
      <c r="F136" s="12" t="s">
        <v>13</v>
      </c>
      <c r="G136" s="13">
        <v>20351726</v>
      </c>
      <c r="H136" s="12" t="s">
        <v>32</v>
      </c>
      <c r="I136" s="13">
        <v>1</v>
      </c>
      <c r="J136" s="14">
        <v>38.5</v>
      </c>
      <c r="K136" s="14">
        <v>38.5</v>
      </c>
      <c r="L136">
        <f t="shared" si="3"/>
        <v>55</v>
      </c>
    </row>
    <row r="137" spans="4:12">
      <c r="D137" s="11">
        <v>46172</v>
      </c>
      <c r="E137" s="12">
        <v>1607887</v>
      </c>
      <c r="F137" s="12" t="s">
        <v>16</v>
      </c>
      <c r="G137" s="13">
        <v>20318012</v>
      </c>
      <c r="H137" s="12" t="s">
        <v>20</v>
      </c>
      <c r="I137" s="13">
        <v>3</v>
      </c>
      <c r="J137" s="14">
        <v>7.7</v>
      </c>
      <c r="K137" s="14">
        <v>23.1</v>
      </c>
      <c r="L137">
        <f t="shared" si="3"/>
        <v>11</v>
      </c>
    </row>
    <row r="138" spans="4:12">
      <c r="D138" s="11">
        <v>46172</v>
      </c>
      <c r="E138" s="12">
        <v>1607887</v>
      </c>
      <c r="F138" s="12" t="s">
        <v>16</v>
      </c>
      <c r="G138" s="13">
        <v>20318011</v>
      </c>
      <c r="H138" s="12" t="s">
        <v>21</v>
      </c>
      <c r="I138" s="13">
        <v>3</v>
      </c>
      <c r="J138" s="14">
        <v>7.7</v>
      </c>
      <c r="K138" s="14">
        <v>23.1</v>
      </c>
      <c r="L138">
        <f>J138/0.7</f>
        <v>11</v>
      </c>
    </row>
    <row r="139" spans="4:12">
      <c r="D139" s="11">
        <v>46172</v>
      </c>
      <c r="E139" s="12">
        <v>1607887</v>
      </c>
      <c r="F139" s="12" t="s">
        <v>16</v>
      </c>
      <c r="G139" s="13">
        <v>20316520</v>
      </c>
      <c r="H139" s="12" t="s">
        <v>29</v>
      </c>
      <c r="I139" s="13">
        <v>1</v>
      </c>
      <c r="J139" s="14">
        <v>5.6</v>
      </c>
      <c r="K139" s="14">
        <v>5.6</v>
      </c>
      <c r="L139">
        <f>J139/0.7</f>
        <v>8</v>
      </c>
    </row>
    <row r="140" spans="4:12">
      <c r="D140" s="11">
        <v>46172</v>
      </c>
      <c r="E140" s="12">
        <v>1607887</v>
      </c>
      <c r="F140" s="12" t="s">
        <v>16</v>
      </c>
      <c r="G140" s="13">
        <v>20320558</v>
      </c>
      <c r="H140" s="12" t="s">
        <v>23</v>
      </c>
      <c r="I140" s="13">
        <v>1</v>
      </c>
      <c r="J140" s="14">
        <v>5.6</v>
      </c>
      <c r="K140" s="14">
        <v>5.6</v>
      </c>
      <c r="L140">
        <f>J140/0.7</f>
        <v>8</v>
      </c>
    </row>
    <row r="141" spans="4:12">
      <c r="D141" s="11">
        <v>46172</v>
      </c>
      <c r="E141" s="12">
        <v>1607887</v>
      </c>
      <c r="F141" s="12" t="s">
        <v>16</v>
      </c>
      <c r="G141" s="13">
        <v>20316710</v>
      </c>
      <c r="H141" s="12" t="s">
        <v>31</v>
      </c>
      <c r="I141" s="13">
        <v>4</v>
      </c>
      <c r="J141" s="14">
        <v>5.6</v>
      </c>
      <c r="K141" s="14">
        <v>22.4</v>
      </c>
      <c r="L141">
        <f>J141/0.7</f>
        <v>8</v>
      </c>
    </row>
    <row r="142" spans="4:12">
      <c r="D142" s="11">
        <v>46172</v>
      </c>
      <c r="E142" s="12">
        <v>1607887</v>
      </c>
      <c r="F142" s="12" t="s">
        <v>16</v>
      </c>
      <c r="G142" s="13">
        <v>20329902</v>
      </c>
      <c r="H142" s="12" t="s">
        <v>25</v>
      </c>
      <c r="I142" s="13">
        <v>2</v>
      </c>
      <c r="J142" s="14">
        <v>5.6</v>
      </c>
      <c r="K142" s="14">
        <v>11.2</v>
      </c>
      <c r="L142">
        <f>J142/0.7</f>
        <v>8</v>
      </c>
    </row>
    <row r="143" spans="4:12">
      <c r="D143" s="11">
        <v>46172</v>
      </c>
      <c r="E143" s="12">
        <v>1607887</v>
      </c>
      <c r="F143" s="12" t="s">
        <v>16</v>
      </c>
      <c r="G143" s="13">
        <v>20320659</v>
      </c>
      <c r="H143" s="12" t="s">
        <v>26</v>
      </c>
      <c r="I143" s="13">
        <v>3</v>
      </c>
      <c r="J143" s="14">
        <v>5.6</v>
      </c>
      <c r="K143" s="14">
        <v>16.8</v>
      </c>
      <c r="L143">
        <f>J143/0.7</f>
        <v>8</v>
      </c>
    </row>
    <row r="144" spans="4:12">
      <c r="D144" s="11">
        <v>46172</v>
      </c>
      <c r="E144" s="12">
        <v>1607887</v>
      </c>
      <c r="F144" s="12" t="s">
        <v>16</v>
      </c>
      <c r="G144" s="13">
        <v>20316536</v>
      </c>
      <c r="H144" s="12" t="s">
        <v>27</v>
      </c>
      <c r="I144" s="13">
        <v>1</v>
      </c>
      <c r="J144" s="14">
        <v>5.6</v>
      </c>
      <c r="K144" s="14">
        <v>5.6</v>
      </c>
      <c r="L144">
        <f>J144/0.7</f>
        <v>8</v>
      </c>
    </row>
    <row r="145" spans="4:12">
      <c r="D145" s="11">
        <v>46172</v>
      </c>
      <c r="E145" s="12">
        <v>1607887</v>
      </c>
      <c r="F145" s="12" t="s">
        <v>13</v>
      </c>
      <c r="G145" s="13">
        <v>20316495</v>
      </c>
      <c r="H145" s="12" t="s">
        <v>28</v>
      </c>
      <c r="I145" s="13">
        <v>1</v>
      </c>
      <c r="J145" s="14">
        <v>53.9</v>
      </c>
      <c r="K145" s="14">
        <v>53.9</v>
      </c>
      <c r="L145">
        <f>J145/0.7</f>
        <v>77</v>
      </c>
    </row>
    <row r="146" ht="0.05" customHeight="1"/>
  </sheetData>
  <autoFilter xmlns:etc="http://www.wps.cn/officeDocument/2017/etCustomData" ref="A7:K145" etc:filterBottomFollowUsedRange="0">
    <extLst/>
  </autoFilter>
  <mergeCells count="5">
    <mergeCell ref="D8:H8"/>
    <mergeCell ref="C7:C145"/>
    <mergeCell ref="B4:H5"/>
    <mergeCell ref="A7:B1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47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154</v>
      </c>
    </row>
    <row r="9" spans="1:11">
      <c r="D9" s="11">
        <v>46149</v>
      </c>
      <c r="E9" s="12">
        <v>1600839</v>
      </c>
      <c r="F9" s="12" t="s">
        <v>13</v>
      </c>
      <c r="G9" s="13">
        <v>20316503</v>
      </c>
      <c r="H9" s="12" t="s">
        <v>48</v>
      </c>
      <c r="I9" s="13">
        <v>1</v>
      </c>
      <c r="J9" s="14">
        <v>38.5</v>
      </c>
      <c r="K9" s="14">
        <v>38.5</v>
      </c>
    </row>
    <row r="10" spans="1:11">
      <c r="D10" s="11">
        <v>46165</v>
      </c>
      <c r="E10" s="12">
        <v>1605850</v>
      </c>
      <c r="F10" s="12" t="s">
        <v>13</v>
      </c>
      <c r="G10" s="13">
        <v>20316503</v>
      </c>
      <c r="H10" s="12" t="s">
        <v>48</v>
      </c>
      <c r="I10" s="13">
        <v>1</v>
      </c>
      <c r="J10" s="14">
        <v>38.5</v>
      </c>
      <c r="K10" s="14">
        <v>38.5</v>
      </c>
    </row>
    <row r="11" spans="1:11">
      <c r="D11" s="11">
        <v>46168</v>
      </c>
      <c r="E11" s="12">
        <v>1606528</v>
      </c>
      <c r="F11" s="12" t="s">
        <v>13</v>
      </c>
      <c r="G11" s="13">
        <v>20316503</v>
      </c>
      <c r="H11" s="12" t="s">
        <v>48</v>
      </c>
      <c r="I11" s="13">
        <v>1</v>
      </c>
      <c r="J11" s="14">
        <v>38.5</v>
      </c>
      <c r="K11" s="14">
        <v>38.5</v>
      </c>
    </row>
    <row r="12" spans="1:11">
      <c r="D12" s="11">
        <v>46170</v>
      </c>
      <c r="E12" s="12">
        <v>1607270</v>
      </c>
      <c r="F12" s="12" t="s">
        <v>13</v>
      </c>
      <c r="G12" s="13">
        <v>20316503</v>
      </c>
      <c r="H12" s="12" t="s">
        <v>48</v>
      </c>
      <c r="I12" s="13">
        <v>1</v>
      </c>
      <c r="J12" s="14">
        <v>38.5</v>
      </c>
      <c r="K12" s="14">
        <v>38.5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49</v>
      </c>
      <c r="E8" s="8" t="s">
        <v>2</v>
      </c>
      <c r="F8" s="8" t="s">
        <v>2</v>
      </c>
      <c r="G8" s="8" t="s">
        <v>2</v>
      </c>
      <c r="H8" s="8" t="s">
        <v>2</v>
      </c>
      <c r="I8" s="9">
        <v>98</v>
      </c>
      <c r="J8" s="10"/>
      <c r="K8" s="10">
        <v>866.950000000001</v>
      </c>
    </row>
    <row r="9" spans="1:12">
      <c r="D9" s="11">
        <v>46147</v>
      </c>
      <c r="E9" s="12">
        <v>1600288</v>
      </c>
      <c r="F9" s="12" t="s">
        <v>13</v>
      </c>
      <c r="G9" s="13">
        <v>20316511</v>
      </c>
      <c r="H9" s="12" t="s">
        <v>28</v>
      </c>
      <c r="I9" s="13">
        <v>1</v>
      </c>
      <c r="J9" s="14">
        <v>65.45</v>
      </c>
      <c r="K9" s="14">
        <v>65.45</v>
      </c>
      <c r="L9">
        <f>J9/0.7</f>
        <v>93.5</v>
      </c>
    </row>
    <row r="10" spans="1:12">
      <c r="D10" s="11">
        <v>46149</v>
      </c>
      <c r="E10" s="12">
        <v>1600840</v>
      </c>
      <c r="F10" s="12" t="s">
        <v>16</v>
      </c>
      <c r="G10" s="13">
        <v>20318012</v>
      </c>
      <c r="H10" s="12" t="s">
        <v>20</v>
      </c>
      <c r="I10" s="13">
        <v>2</v>
      </c>
      <c r="J10" s="14">
        <v>7.7</v>
      </c>
      <c r="K10" s="14">
        <v>15.4</v>
      </c>
      <c r="L10">
        <f t="shared" ref="L10:L41" si="0">J10/0.7</f>
        <v>11</v>
      </c>
    </row>
    <row r="11" spans="1:12">
      <c r="D11" s="11">
        <v>46149</v>
      </c>
      <c r="E11" s="12">
        <v>1600840</v>
      </c>
      <c r="F11" s="12" t="s">
        <v>16</v>
      </c>
      <c r="G11" s="13">
        <v>20318011</v>
      </c>
      <c r="H11" s="12" t="s">
        <v>21</v>
      </c>
      <c r="I11" s="13">
        <v>2</v>
      </c>
      <c r="J11" s="14">
        <v>7.7</v>
      </c>
      <c r="K11" s="14">
        <v>15.4</v>
      </c>
      <c r="L11">
        <f t="shared" si="0"/>
        <v>11</v>
      </c>
    </row>
    <row r="12" spans="1:12">
      <c r="D12" s="11">
        <v>46149</v>
      </c>
      <c r="E12" s="12">
        <v>1600840</v>
      </c>
      <c r="F12" s="12" t="s">
        <v>16</v>
      </c>
      <c r="G12" s="13">
        <v>20332509</v>
      </c>
      <c r="H12" s="12" t="s">
        <v>22</v>
      </c>
      <c r="I12" s="13">
        <v>1</v>
      </c>
      <c r="J12" s="14">
        <v>5.6</v>
      </c>
      <c r="K12" s="14">
        <v>5.6</v>
      </c>
      <c r="L12">
        <f t="shared" si="0"/>
        <v>8</v>
      </c>
    </row>
    <row r="13" spans="1:12">
      <c r="D13" s="11">
        <v>46149</v>
      </c>
      <c r="E13" s="12">
        <v>1600840</v>
      </c>
      <c r="F13" s="12" t="s">
        <v>16</v>
      </c>
      <c r="G13" s="13">
        <v>20316516</v>
      </c>
      <c r="H13" s="12" t="s">
        <v>33</v>
      </c>
      <c r="I13" s="13">
        <v>1</v>
      </c>
      <c r="J13" s="14">
        <v>5.6</v>
      </c>
      <c r="K13" s="14">
        <v>5.6</v>
      </c>
      <c r="L13">
        <f t="shared" si="0"/>
        <v>8</v>
      </c>
    </row>
    <row r="14" spans="1:12">
      <c r="D14" s="11">
        <v>46149</v>
      </c>
      <c r="E14" s="12">
        <v>1600840</v>
      </c>
      <c r="F14" s="12" t="s">
        <v>16</v>
      </c>
      <c r="G14" s="13">
        <v>20329902</v>
      </c>
      <c r="H14" s="12" t="s">
        <v>25</v>
      </c>
      <c r="I14" s="13">
        <v>1</v>
      </c>
      <c r="J14" s="14">
        <v>5.6</v>
      </c>
      <c r="K14" s="14">
        <v>5.6</v>
      </c>
      <c r="L14">
        <f t="shared" si="0"/>
        <v>8</v>
      </c>
    </row>
    <row r="15" spans="1:12">
      <c r="D15" s="11">
        <v>46149</v>
      </c>
      <c r="E15" s="12">
        <v>1600840</v>
      </c>
      <c r="F15" s="12" t="s">
        <v>16</v>
      </c>
      <c r="G15" s="13">
        <v>20316500</v>
      </c>
      <c r="H15" s="12" t="s">
        <v>38</v>
      </c>
      <c r="I15" s="13">
        <v>1</v>
      </c>
      <c r="J15" s="14">
        <v>7.7</v>
      </c>
      <c r="K15" s="14">
        <v>7.7</v>
      </c>
      <c r="L15">
        <f t="shared" si="0"/>
        <v>11</v>
      </c>
    </row>
    <row r="16" spans="1:12">
      <c r="D16" s="11">
        <v>46149</v>
      </c>
      <c r="E16" s="12">
        <v>1600840</v>
      </c>
      <c r="F16" s="12" t="s">
        <v>16</v>
      </c>
      <c r="G16" s="13">
        <v>20320659</v>
      </c>
      <c r="H16" s="12" t="s">
        <v>26</v>
      </c>
      <c r="I16" s="13">
        <v>2</v>
      </c>
      <c r="J16" s="14">
        <v>5.6</v>
      </c>
      <c r="K16" s="14">
        <v>11.2</v>
      </c>
      <c r="L16">
        <f t="shared" si="0"/>
        <v>8</v>
      </c>
    </row>
    <row r="17" spans="4:12">
      <c r="D17" s="11">
        <v>46149</v>
      </c>
      <c r="E17" s="12">
        <v>1600840</v>
      </c>
      <c r="F17" s="12" t="s">
        <v>16</v>
      </c>
      <c r="G17" s="13">
        <v>20316536</v>
      </c>
      <c r="H17" s="12" t="s">
        <v>27</v>
      </c>
      <c r="I17" s="13">
        <v>1</v>
      </c>
      <c r="J17" s="14">
        <v>5.6</v>
      </c>
      <c r="K17" s="14">
        <v>5.6</v>
      </c>
      <c r="L17">
        <f t="shared" si="0"/>
        <v>8</v>
      </c>
    </row>
    <row r="18" spans="4:12">
      <c r="D18" s="11">
        <v>46151</v>
      </c>
      <c r="E18" s="12">
        <v>1601675</v>
      </c>
      <c r="F18" s="12" t="s">
        <v>16</v>
      </c>
      <c r="G18" s="13">
        <v>20316820</v>
      </c>
      <c r="H18" s="12" t="s">
        <v>50</v>
      </c>
      <c r="I18" s="13">
        <v>1</v>
      </c>
      <c r="J18" s="14">
        <v>5.6</v>
      </c>
      <c r="K18" s="14">
        <v>5.6</v>
      </c>
      <c r="L18">
        <f t="shared" si="0"/>
        <v>8</v>
      </c>
    </row>
    <row r="19" spans="4:12">
      <c r="D19" s="11">
        <v>46151</v>
      </c>
      <c r="E19" s="12">
        <v>1601675</v>
      </c>
      <c r="F19" s="12" t="s">
        <v>16</v>
      </c>
      <c r="G19" s="13">
        <v>20316709</v>
      </c>
      <c r="H19" s="12" t="s">
        <v>40</v>
      </c>
      <c r="I19" s="13">
        <v>1</v>
      </c>
      <c r="J19" s="14">
        <v>5.6</v>
      </c>
      <c r="K19" s="14">
        <v>5.6</v>
      </c>
      <c r="L19">
        <f t="shared" si="0"/>
        <v>8</v>
      </c>
    </row>
    <row r="20" spans="4:12">
      <c r="D20" s="11">
        <v>46151</v>
      </c>
      <c r="E20" s="12">
        <v>1601675</v>
      </c>
      <c r="F20" s="12" t="s">
        <v>16</v>
      </c>
      <c r="G20" s="13">
        <v>20318012</v>
      </c>
      <c r="H20" s="12" t="s">
        <v>20</v>
      </c>
      <c r="I20" s="13">
        <v>3</v>
      </c>
      <c r="J20" s="14">
        <v>7.7</v>
      </c>
      <c r="K20" s="14">
        <v>23.1</v>
      </c>
      <c r="L20">
        <f t="shared" si="0"/>
        <v>11</v>
      </c>
    </row>
    <row r="21" spans="4:12">
      <c r="D21" s="11">
        <v>46151</v>
      </c>
      <c r="E21" s="12">
        <v>1601675</v>
      </c>
      <c r="F21" s="12" t="s">
        <v>16</v>
      </c>
      <c r="G21" s="13">
        <v>20318011</v>
      </c>
      <c r="H21" s="12" t="s">
        <v>21</v>
      </c>
      <c r="I21" s="13">
        <v>2</v>
      </c>
      <c r="J21" s="14">
        <v>7.7</v>
      </c>
      <c r="K21" s="14">
        <v>15.4</v>
      </c>
      <c r="L21">
        <f t="shared" si="0"/>
        <v>11</v>
      </c>
    </row>
    <row r="22" spans="4:12">
      <c r="D22" s="11">
        <v>46151</v>
      </c>
      <c r="E22" s="12">
        <v>1601675</v>
      </c>
      <c r="F22" s="12" t="s">
        <v>16</v>
      </c>
      <c r="G22" s="13">
        <v>20316516</v>
      </c>
      <c r="H22" s="12" t="s">
        <v>33</v>
      </c>
      <c r="I22" s="13">
        <v>1</v>
      </c>
      <c r="J22" s="14">
        <v>5.6</v>
      </c>
      <c r="K22" s="14">
        <v>5.6</v>
      </c>
      <c r="L22">
        <f t="shared" si="0"/>
        <v>8</v>
      </c>
    </row>
    <row r="23" spans="4:12">
      <c r="D23" s="11">
        <v>46151</v>
      </c>
      <c r="E23" s="12">
        <v>1601675</v>
      </c>
      <c r="F23" s="12" t="s">
        <v>16</v>
      </c>
      <c r="G23" s="13">
        <v>20347321</v>
      </c>
      <c r="H23" s="12" t="s">
        <v>41</v>
      </c>
      <c r="I23" s="13">
        <v>1</v>
      </c>
      <c r="J23" s="14">
        <v>5.6</v>
      </c>
      <c r="K23" s="14">
        <v>5.6</v>
      </c>
      <c r="L23">
        <f t="shared" si="0"/>
        <v>8</v>
      </c>
    </row>
    <row r="24" spans="4:12">
      <c r="D24" s="11">
        <v>46151</v>
      </c>
      <c r="E24" s="12">
        <v>1601675</v>
      </c>
      <c r="F24" s="12" t="s">
        <v>16</v>
      </c>
      <c r="G24" s="13">
        <v>20332793</v>
      </c>
      <c r="H24" s="12" t="s">
        <v>37</v>
      </c>
      <c r="I24" s="13">
        <v>1</v>
      </c>
      <c r="J24" s="14">
        <v>5.6</v>
      </c>
      <c r="K24" s="14">
        <v>5.6</v>
      </c>
      <c r="L24">
        <f t="shared" si="0"/>
        <v>8</v>
      </c>
    </row>
    <row r="25" spans="4:12">
      <c r="D25" s="11">
        <v>46151</v>
      </c>
      <c r="E25" s="12">
        <v>1601675</v>
      </c>
      <c r="F25" s="12" t="s">
        <v>16</v>
      </c>
      <c r="G25" s="13">
        <v>20316506</v>
      </c>
      <c r="H25" s="12" t="s">
        <v>43</v>
      </c>
      <c r="I25" s="13">
        <v>1</v>
      </c>
      <c r="J25" s="14">
        <v>5.6</v>
      </c>
      <c r="K25" s="14">
        <v>5.6</v>
      </c>
      <c r="L25">
        <f t="shared" si="0"/>
        <v>8</v>
      </c>
    </row>
    <row r="26" spans="4:12">
      <c r="D26" s="11">
        <v>46151</v>
      </c>
      <c r="E26" s="12">
        <v>1601675</v>
      </c>
      <c r="F26" s="12" t="s">
        <v>16</v>
      </c>
      <c r="G26" s="13">
        <v>20316497</v>
      </c>
      <c r="H26" s="12" t="s">
        <v>45</v>
      </c>
      <c r="I26" s="13">
        <v>1</v>
      </c>
      <c r="J26" s="14">
        <v>7.7</v>
      </c>
      <c r="K26" s="14">
        <v>7.7</v>
      </c>
      <c r="L26">
        <f t="shared" si="0"/>
        <v>11</v>
      </c>
    </row>
    <row r="27" spans="4:12">
      <c r="D27" s="11">
        <v>46151</v>
      </c>
      <c r="E27" s="12">
        <v>1601675</v>
      </c>
      <c r="F27" s="12" t="s">
        <v>16</v>
      </c>
      <c r="G27" s="13">
        <v>20329902</v>
      </c>
      <c r="H27" s="12" t="s">
        <v>25</v>
      </c>
      <c r="I27" s="13">
        <v>1</v>
      </c>
      <c r="J27" s="14">
        <v>5.6</v>
      </c>
      <c r="K27" s="14">
        <v>5.6</v>
      </c>
      <c r="L27">
        <f t="shared" si="0"/>
        <v>8</v>
      </c>
    </row>
    <row r="28" spans="4:12">
      <c r="D28" s="11">
        <v>46151</v>
      </c>
      <c r="E28" s="12">
        <v>1601675</v>
      </c>
      <c r="F28" s="12" t="s">
        <v>16</v>
      </c>
      <c r="G28" s="13">
        <v>20316500</v>
      </c>
      <c r="H28" s="12" t="s">
        <v>38</v>
      </c>
      <c r="I28" s="13">
        <v>2</v>
      </c>
      <c r="J28" s="14">
        <v>7.7</v>
      </c>
      <c r="K28" s="14">
        <v>15.4</v>
      </c>
      <c r="L28">
        <f t="shared" si="0"/>
        <v>11</v>
      </c>
    </row>
    <row r="29" spans="4:12">
      <c r="D29" s="11">
        <v>46151</v>
      </c>
      <c r="E29" s="12">
        <v>1601675</v>
      </c>
      <c r="F29" s="12" t="s">
        <v>16</v>
      </c>
      <c r="G29" s="13">
        <v>20320659</v>
      </c>
      <c r="H29" s="12" t="s">
        <v>26</v>
      </c>
      <c r="I29" s="13">
        <v>2</v>
      </c>
      <c r="J29" s="14">
        <v>5.6</v>
      </c>
      <c r="K29" s="14">
        <v>11.2</v>
      </c>
      <c r="L29">
        <f t="shared" si="0"/>
        <v>8</v>
      </c>
    </row>
    <row r="30" spans="4:12">
      <c r="D30" s="11">
        <v>46151</v>
      </c>
      <c r="E30" s="12">
        <v>1601675</v>
      </c>
      <c r="F30" s="12" t="s">
        <v>16</v>
      </c>
      <c r="G30" s="13">
        <v>20316819</v>
      </c>
      <c r="H30" s="12" t="s">
        <v>35</v>
      </c>
      <c r="I30" s="13">
        <v>1</v>
      </c>
      <c r="J30" s="14">
        <v>5.6</v>
      </c>
      <c r="K30" s="14">
        <v>5.6</v>
      </c>
      <c r="L30">
        <f t="shared" si="0"/>
        <v>8</v>
      </c>
    </row>
    <row r="31" spans="4:12">
      <c r="D31" s="11">
        <v>46151</v>
      </c>
      <c r="E31" s="12">
        <v>1601675</v>
      </c>
      <c r="F31" s="12" t="s">
        <v>16</v>
      </c>
      <c r="G31" s="13">
        <v>20316536</v>
      </c>
      <c r="H31" s="12" t="s">
        <v>27</v>
      </c>
      <c r="I31" s="13">
        <v>1</v>
      </c>
      <c r="J31" s="14">
        <v>5.6</v>
      </c>
      <c r="K31" s="14">
        <v>5.6</v>
      </c>
      <c r="L31">
        <f t="shared" si="0"/>
        <v>8</v>
      </c>
    </row>
    <row r="32" spans="4:12">
      <c r="D32" s="11">
        <v>46154</v>
      </c>
      <c r="E32" s="12">
        <v>1602402</v>
      </c>
      <c r="F32" s="12" t="s">
        <v>16</v>
      </c>
      <c r="G32" s="13">
        <v>20318012</v>
      </c>
      <c r="H32" s="12" t="s">
        <v>20</v>
      </c>
      <c r="I32" s="13">
        <v>2</v>
      </c>
      <c r="J32" s="14">
        <v>7.7</v>
      </c>
      <c r="K32" s="14">
        <v>15.4</v>
      </c>
      <c r="L32">
        <f t="shared" si="0"/>
        <v>11</v>
      </c>
    </row>
    <row r="33" spans="4:12">
      <c r="D33" s="11">
        <v>46154</v>
      </c>
      <c r="E33" s="12">
        <v>1602402</v>
      </c>
      <c r="F33" s="12" t="s">
        <v>16</v>
      </c>
      <c r="G33" s="13">
        <v>20320558</v>
      </c>
      <c r="H33" s="12" t="s">
        <v>23</v>
      </c>
      <c r="I33" s="13">
        <v>1</v>
      </c>
      <c r="J33" s="14">
        <v>5.6</v>
      </c>
      <c r="K33" s="14">
        <v>5.6</v>
      </c>
      <c r="L33">
        <f t="shared" si="0"/>
        <v>8</v>
      </c>
    </row>
    <row r="34" spans="4:12">
      <c r="D34" s="11">
        <v>46154</v>
      </c>
      <c r="E34" s="12">
        <v>1602402</v>
      </c>
      <c r="F34" s="12" t="s">
        <v>16</v>
      </c>
      <c r="G34" s="13">
        <v>20329902</v>
      </c>
      <c r="H34" s="12" t="s">
        <v>25</v>
      </c>
      <c r="I34" s="13">
        <v>2</v>
      </c>
      <c r="J34" s="14">
        <v>5.6</v>
      </c>
      <c r="K34" s="14">
        <v>11.2</v>
      </c>
      <c r="L34">
        <f t="shared" si="0"/>
        <v>8</v>
      </c>
    </row>
    <row r="35" spans="4:12">
      <c r="D35" s="11">
        <v>46154</v>
      </c>
      <c r="E35" s="12">
        <v>1602402</v>
      </c>
      <c r="F35" s="12" t="s">
        <v>16</v>
      </c>
      <c r="G35" s="13">
        <v>20320659</v>
      </c>
      <c r="H35" s="12" t="s">
        <v>26</v>
      </c>
      <c r="I35" s="13">
        <v>2</v>
      </c>
      <c r="J35" s="14">
        <v>5.6</v>
      </c>
      <c r="K35" s="14">
        <v>11.2</v>
      </c>
      <c r="L35">
        <f t="shared" si="0"/>
        <v>8</v>
      </c>
    </row>
    <row r="36" spans="4:12">
      <c r="D36" s="11">
        <v>46154</v>
      </c>
      <c r="E36" s="12">
        <v>1602402</v>
      </c>
      <c r="F36" s="12" t="s">
        <v>16</v>
      </c>
      <c r="G36" s="13">
        <v>20316536</v>
      </c>
      <c r="H36" s="12" t="s">
        <v>27</v>
      </c>
      <c r="I36" s="13">
        <v>1</v>
      </c>
      <c r="J36" s="14">
        <v>5.6</v>
      </c>
      <c r="K36" s="14">
        <v>5.6</v>
      </c>
      <c r="L36">
        <f t="shared" si="0"/>
        <v>8</v>
      </c>
    </row>
    <row r="37" spans="4:12">
      <c r="D37" s="11">
        <v>46156</v>
      </c>
      <c r="E37" s="12">
        <v>1603144</v>
      </c>
      <c r="F37" s="12" t="s">
        <v>16</v>
      </c>
      <c r="G37" s="13">
        <v>20318012</v>
      </c>
      <c r="H37" s="12" t="s">
        <v>20</v>
      </c>
      <c r="I37" s="13">
        <v>1</v>
      </c>
      <c r="J37" s="14">
        <v>7.7</v>
      </c>
      <c r="K37" s="14">
        <v>7.7</v>
      </c>
      <c r="L37">
        <f t="shared" si="0"/>
        <v>11</v>
      </c>
    </row>
    <row r="38" spans="4:12">
      <c r="D38" s="11">
        <v>46156</v>
      </c>
      <c r="E38" s="12">
        <v>1603144</v>
      </c>
      <c r="F38" s="12" t="s">
        <v>16</v>
      </c>
      <c r="G38" s="13">
        <v>20320558</v>
      </c>
      <c r="H38" s="12" t="s">
        <v>23</v>
      </c>
      <c r="I38" s="13">
        <v>1</v>
      </c>
      <c r="J38" s="14">
        <v>5.6</v>
      </c>
      <c r="K38" s="14">
        <v>5.6</v>
      </c>
      <c r="L38">
        <f t="shared" si="0"/>
        <v>8</v>
      </c>
    </row>
    <row r="39" spans="4:12">
      <c r="D39" s="11">
        <v>46156</v>
      </c>
      <c r="E39" s="12">
        <v>1603144</v>
      </c>
      <c r="F39" s="12" t="s">
        <v>16</v>
      </c>
      <c r="G39" s="13">
        <v>20329902</v>
      </c>
      <c r="H39" s="12" t="s">
        <v>25</v>
      </c>
      <c r="I39" s="13">
        <v>1</v>
      </c>
      <c r="J39" s="14">
        <v>5.6</v>
      </c>
      <c r="K39" s="14">
        <v>5.6</v>
      </c>
      <c r="L39">
        <f t="shared" si="0"/>
        <v>8</v>
      </c>
    </row>
    <row r="40" spans="4:12">
      <c r="D40" s="11">
        <v>46156</v>
      </c>
      <c r="E40" s="12">
        <v>1603144</v>
      </c>
      <c r="F40" s="12" t="s">
        <v>16</v>
      </c>
      <c r="G40" s="13">
        <v>20320659</v>
      </c>
      <c r="H40" s="12" t="s">
        <v>26</v>
      </c>
      <c r="I40" s="13">
        <v>1</v>
      </c>
      <c r="J40" s="14">
        <v>5.6</v>
      </c>
      <c r="K40" s="14">
        <v>5.6</v>
      </c>
      <c r="L40">
        <f t="shared" si="0"/>
        <v>8</v>
      </c>
    </row>
    <row r="41" spans="4:12">
      <c r="D41" s="11">
        <v>46156</v>
      </c>
      <c r="E41" s="12">
        <v>1603144</v>
      </c>
      <c r="F41" s="12" t="s">
        <v>16</v>
      </c>
      <c r="G41" s="13">
        <v>20316536</v>
      </c>
      <c r="H41" s="12" t="s">
        <v>27</v>
      </c>
      <c r="I41" s="13">
        <v>1</v>
      </c>
      <c r="J41" s="14">
        <v>5.6</v>
      </c>
      <c r="K41" s="14">
        <v>5.6</v>
      </c>
      <c r="L41">
        <f t="shared" si="0"/>
        <v>8</v>
      </c>
    </row>
    <row r="42" spans="4:12">
      <c r="D42" s="11">
        <v>46158</v>
      </c>
      <c r="E42" s="12">
        <v>1603791</v>
      </c>
      <c r="F42" s="12" t="s">
        <v>16</v>
      </c>
      <c r="G42" s="13">
        <v>20316709</v>
      </c>
      <c r="H42" s="12" t="s">
        <v>40</v>
      </c>
      <c r="I42" s="13">
        <v>1</v>
      </c>
      <c r="J42" s="14">
        <v>5.6</v>
      </c>
      <c r="K42" s="14">
        <v>5.6</v>
      </c>
      <c r="L42">
        <f t="shared" ref="L42:L73" si="1">J42/0.7</f>
        <v>8</v>
      </c>
    </row>
    <row r="43" spans="4:12">
      <c r="D43" s="11">
        <v>46158</v>
      </c>
      <c r="E43" s="12">
        <v>1603791</v>
      </c>
      <c r="F43" s="12" t="s">
        <v>16</v>
      </c>
      <c r="G43" s="13">
        <v>20318012</v>
      </c>
      <c r="H43" s="12" t="s">
        <v>20</v>
      </c>
      <c r="I43" s="13">
        <v>1</v>
      </c>
      <c r="J43" s="14">
        <v>7.7</v>
      </c>
      <c r="K43" s="14">
        <v>7.7</v>
      </c>
      <c r="L43">
        <f t="shared" si="1"/>
        <v>11</v>
      </c>
    </row>
    <row r="44" spans="4:12">
      <c r="D44" s="11">
        <v>46158</v>
      </c>
      <c r="E44" s="12">
        <v>1603791</v>
      </c>
      <c r="F44" s="12" t="s">
        <v>16</v>
      </c>
      <c r="G44" s="13">
        <v>20318011</v>
      </c>
      <c r="H44" s="12" t="s">
        <v>21</v>
      </c>
      <c r="I44" s="13">
        <v>1</v>
      </c>
      <c r="J44" s="14">
        <v>7.7</v>
      </c>
      <c r="K44" s="14">
        <v>7.7</v>
      </c>
      <c r="L44">
        <f t="shared" si="1"/>
        <v>11</v>
      </c>
    </row>
    <row r="45" spans="4:12">
      <c r="D45" s="11">
        <v>46158</v>
      </c>
      <c r="E45" s="12">
        <v>1603791</v>
      </c>
      <c r="F45" s="12" t="s">
        <v>16</v>
      </c>
      <c r="G45" s="13">
        <v>20332509</v>
      </c>
      <c r="H45" s="12" t="s">
        <v>22</v>
      </c>
      <c r="I45" s="13">
        <v>1</v>
      </c>
      <c r="J45" s="14">
        <v>5.6</v>
      </c>
      <c r="K45" s="14">
        <v>5.6</v>
      </c>
      <c r="L45">
        <f t="shared" si="1"/>
        <v>8</v>
      </c>
    </row>
    <row r="46" spans="4:12">
      <c r="D46" s="11">
        <v>46158</v>
      </c>
      <c r="E46" s="12">
        <v>1603791</v>
      </c>
      <c r="F46" s="12" t="s">
        <v>16</v>
      </c>
      <c r="G46" s="13">
        <v>20320659</v>
      </c>
      <c r="H46" s="12" t="s">
        <v>26</v>
      </c>
      <c r="I46" s="13">
        <v>1</v>
      </c>
      <c r="J46" s="14">
        <v>5.6</v>
      </c>
      <c r="K46" s="14">
        <v>5.6</v>
      </c>
      <c r="L46">
        <f t="shared" si="1"/>
        <v>8</v>
      </c>
    </row>
    <row r="47" spans="4:12">
      <c r="D47" s="11">
        <v>46158</v>
      </c>
      <c r="E47" s="12">
        <v>1603791</v>
      </c>
      <c r="F47" s="12" t="s">
        <v>13</v>
      </c>
      <c r="G47" s="13">
        <v>20316517</v>
      </c>
      <c r="H47" s="12" t="s">
        <v>51</v>
      </c>
      <c r="I47" s="13">
        <v>1</v>
      </c>
      <c r="J47" s="14">
        <v>42.35</v>
      </c>
      <c r="K47" s="14">
        <v>42.35</v>
      </c>
      <c r="L47">
        <f t="shared" si="1"/>
        <v>60.5</v>
      </c>
    </row>
    <row r="48" spans="4:12">
      <c r="D48" s="11">
        <v>46161</v>
      </c>
      <c r="E48" s="12">
        <v>1604411</v>
      </c>
      <c r="F48" s="12" t="s">
        <v>13</v>
      </c>
      <c r="G48" s="13">
        <v>20316511</v>
      </c>
      <c r="H48" s="12" t="s">
        <v>28</v>
      </c>
      <c r="I48" s="13">
        <v>1</v>
      </c>
      <c r="J48" s="14">
        <v>65.45</v>
      </c>
      <c r="K48" s="14">
        <v>65.45</v>
      </c>
      <c r="L48">
        <f t="shared" si="1"/>
        <v>93.5</v>
      </c>
    </row>
    <row r="49" spans="4:12">
      <c r="D49" s="11">
        <v>46163</v>
      </c>
      <c r="E49" s="12">
        <v>1605179</v>
      </c>
      <c r="F49" s="12" t="s">
        <v>16</v>
      </c>
      <c r="G49" s="13">
        <v>20316532</v>
      </c>
      <c r="H49" s="12" t="s">
        <v>36</v>
      </c>
      <c r="I49" s="13">
        <v>1</v>
      </c>
      <c r="J49" s="14">
        <v>5.6</v>
      </c>
      <c r="K49" s="14">
        <v>5.6</v>
      </c>
      <c r="L49">
        <f t="shared" si="1"/>
        <v>8</v>
      </c>
    </row>
    <row r="50" spans="4:12">
      <c r="D50" s="11">
        <v>46163</v>
      </c>
      <c r="E50" s="12">
        <v>1605179</v>
      </c>
      <c r="F50" s="12" t="s">
        <v>16</v>
      </c>
      <c r="G50" s="13">
        <v>20316536</v>
      </c>
      <c r="H50" s="12" t="s">
        <v>27</v>
      </c>
      <c r="I50" s="13">
        <v>3</v>
      </c>
      <c r="J50" s="14">
        <v>5.6</v>
      </c>
      <c r="K50" s="14">
        <v>16.8</v>
      </c>
      <c r="L50">
        <f t="shared" si="1"/>
        <v>8</v>
      </c>
    </row>
    <row r="51" spans="4:12">
      <c r="D51" s="11">
        <v>46165</v>
      </c>
      <c r="E51" s="12">
        <v>1605851</v>
      </c>
      <c r="F51" s="12" t="s">
        <v>16</v>
      </c>
      <c r="G51" s="13">
        <v>20318012</v>
      </c>
      <c r="H51" s="12" t="s">
        <v>20</v>
      </c>
      <c r="I51" s="13">
        <v>2</v>
      </c>
      <c r="J51" s="14">
        <v>7.7</v>
      </c>
      <c r="K51" s="14">
        <v>15.4</v>
      </c>
      <c r="L51">
        <f t="shared" si="1"/>
        <v>11</v>
      </c>
    </row>
    <row r="52" spans="4:12">
      <c r="D52" s="11">
        <v>46165</v>
      </c>
      <c r="E52" s="12">
        <v>1605851</v>
      </c>
      <c r="F52" s="12" t="s">
        <v>16</v>
      </c>
      <c r="G52" s="13">
        <v>20316520</v>
      </c>
      <c r="H52" s="12" t="s">
        <v>29</v>
      </c>
      <c r="I52" s="13">
        <v>1</v>
      </c>
      <c r="J52" s="14">
        <v>5.6</v>
      </c>
      <c r="K52" s="14">
        <v>5.6</v>
      </c>
      <c r="L52">
        <f t="shared" si="1"/>
        <v>8</v>
      </c>
    </row>
    <row r="53" spans="4:12">
      <c r="D53" s="11">
        <v>46165</v>
      </c>
      <c r="E53" s="12">
        <v>1605851</v>
      </c>
      <c r="F53" s="12" t="s">
        <v>16</v>
      </c>
      <c r="G53" s="13">
        <v>20329902</v>
      </c>
      <c r="H53" s="12" t="s">
        <v>25</v>
      </c>
      <c r="I53" s="13">
        <v>2</v>
      </c>
      <c r="J53" s="14">
        <v>5.6</v>
      </c>
      <c r="K53" s="14">
        <v>11.2</v>
      </c>
      <c r="L53">
        <f t="shared" si="1"/>
        <v>8</v>
      </c>
    </row>
    <row r="54" spans="4:12">
      <c r="D54" s="11">
        <v>46165</v>
      </c>
      <c r="E54" s="12">
        <v>1605851</v>
      </c>
      <c r="F54" s="12" t="s">
        <v>16</v>
      </c>
      <c r="G54" s="13">
        <v>20316500</v>
      </c>
      <c r="H54" s="12" t="s">
        <v>38</v>
      </c>
      <c r="I54" s="13">
        <v>1</v>
      </c>
      <c r="J54" s="14">
        <v>7.7</v>
      </c>
      <c r="K54" s="14">
        <v>7.7</v>
      </c>
      <c r="L54">
        <f t="shared" si="1"/>
        <v>11</v>
      </c>
    </row>
    <row r="55" spans="4:12">
      <c r="D55" s="11">
        <v>46165</v>
      </c>
      <c r="E55" s="12">
        <v>1605851</v>
      </c>
      <c r="F55" s="12" t="s">
        <v>16</v>
      </c>
      <c r="G55" s="13">
        <v>20320659</v>
      </c>
      <c r="H55" s="12" t="s">
        <v>26</v>
      </c>
      <c r="I55" s="13">
        <v>2</v>
      </c>
      <c r="J55" s="14">
        <v>5.6</v>
      </c>
      <c r="K55" s="14">
        <v>11.2</v>
      </c>
      <c r="L55">
        <f t="shared" si="1"/>
        <v>8</v>
      </c>
    </row>
    <row r="56" spans="4:12">
      <c r="D56" s="11">
        <v>46165</v>
      </c>
      <c r="E56" s="12">
        <v>1605851</v>
      </c>
      <c r="F56" s="12" t="s">
        <v>13</v>
      </c>
      <c r="G56" s="13">
        <v>20316511</v>
      </c>
      <c r="H56" s="12" t="s">
        <v>28</v>
      </c>
      <c r="I56" s="13">
        <v>1</v>
      </c>
      <c r="J56" s="14">
        <v>65.45</v>
      </c>
      <c r="K56" s="14">
        <v>65.45</v>
      </c>
      <c r="L56">
        <f t="shared" si="1"/>
        <v>93.5</v>
      </c>
    </row>
    <row r="57" spans="4:12">
      <c r="D57" s="11">
        <v>46168</v>
      </c>
      <c r="E57" s="12">
        <v>1606529</v>
      </c>
      <c r="F57" s="12" t="s">
        <v>16</v>
      </c>
      <c r="G57" s="13">
        <v>20318012</v>
      </c>
      <c r="H57" s="12" t="s">
        <v>20</v>
      </c>
      <c r="I57" s="13">
        <v>4</v>
      </c>
      <c r="J57" s="14">
        <v>7.7</v>
      </c>
      <c r="K57" s="14">
        <v>30.8</v>
      </c>
      <c r="L57">
        <f t="shared" si="1"/>
        <v>11</v>
      </c>
    </row>
    <row r="58" spans="4:12">
      <c r="D58" s="11">
        <v>46168</v>
      </c>
      <c r="E58" s="12">
        <v>1606529</v>
      </c>
      <c r="F58" s="12" t="s">
        <v>16</v>
      </c>
      <c r="G58" s="13">
        <v>20318011</v>
      </c>
      <c r="H58" s="12" t="s">
        <v>21</v>
      </c>
      <c r="I58" s="13">
        <v>1</v>
      </c>
      <c r="J58" s="14">
        <v>7.7</v>
      </c>
      <c r="K58" s="14">
        <v>7.7</v>
      </c>
      <c r="L58">
        <f t="shared" si="1"/>
        <v>11</v>
      </c>
    </row>
    <row r="59" spans="4:12">
      <c r="D59" s="11">
        <v>46168</v>
      </c>
      <c r="E59" s="12">
        <v>1606529</v>
      </c>
      <c r="F59" s="12" t="s">
        <v>16</v>
      </c>
      <c r="G59" s="13">
        <v>20320558</v>
      </c>
      <c r="H59" s="12" t="s">
        <v>23</v>
      </c>
      <c r="I59" s="13">
        <v>1</v>
      </c>
      <c r="J59" s="14">
        <v>5.6</v>
      </c>
      <c r="K59" s="14">
        <v>5.6</v>
      </c>
      <c r="L59">
        <f t="shared" si="1"/>
        <v>8</v>
      </c>
    </row>
    <row r="60" spans="4:12">
      <c r="D60" s="11">
        <v>46168</v>
      </c>
      <c r="E60" s="12">
        <v>1606529</v>
      </c>
      <c r="F60" s="12" t="s">
        <v>16</v>
      </c>
      <c r="G60" s="13">
        <v>20332792</v>
      </c>
      <c r="H60" s="12" t="s">
        <v>24</v>
      </c>
      <c r="I60" s="13">
        <v>1</v>
      </c>
      <c r="J60" s="14">
        <v>5.6</v>
      </c>
      <c r="K60" s="14">
        <v>5.6</v>
      </c>
      <c r="L60">
        <f t="shared" si="1"/>
        <v>8</v>
      </c>
    </row>
    <row r="61" spans="4:12">
      <c r="D61" s="11">
        <v>46168</v>
      </c>
      <c r="E61" s="12">
        <v>1606529</v>
      </c>
      <c r="F61" s="12" t="s">
        <v>16</v>
      </c>
      <c r="G61" s="13">
        <v>20316516</v>
      </c>
      <c r="H61" s="12" t="s">
        <v>33</v>
      </c>
      <c r="I61" s="13">
        <v>2</v>
      </c>
      <c r="J61" s="14">
        <v>5.6</v>
      </c>
      <c r="K61" s="14">
        <v>11.2</v>
      </c>
      <c r="L61">
        <f t="shared" si="1"/>
        <v>8</v>
      </c>
    </row>
    <row r="62" spans="4:12">
      <c r="D62" s="11">
        <v>46168</v>
      </c>
      <c r="E62" s="12">
        <v>1606529</v>
      </c>
      <c r="F62" s="12" t="s">
        <v>16</v>
      </c>
      <c r="G62" s="13">
        <v>20347321</v>
      </c>
      <c r="H62" s="12" t="s">
        <v>41</v>
      </c>
      <c r="I62" s="13">
        <v>1</v>
      </c>
      <c r="J62" s="14">
        <v>5.6</v>
      </c>
      <c r="K62" s="14">
        <v>5.6</v>
      </c>
      <c r="L62">
        <f t="shared" si="1"/>
        <v>8</v>
      </c>
    </row>
    <row r="63" spans="4:12">
      <c r="D63" s="11">
        <v>46168</v>
      </c>
      <c r="E63" s="12">
        <v>1606529</v>
      </c>
      <c r="F63" s="12" t="s">
        <v>16</v>
      </c>
      <c r="G63" s="13">
        <v>20332793</v>
      </c>
      <c r="H63" s="12" t="s">
        <v>37</v>
      </c>
      <c r="I63" s="13">
        <v>1</v>
      </c>
      <c r="J63" s="14">
        <v>5.6</v>
      </c>
      <c r="K63" s="14">
        <v>5.6</v>
      </c>
      <c r="L63">
        <f t="shared" si="1"/>
        <v>8</v>
      </c>
    </row>
    <row r="64" spans="4:12">
      <c r="D64" s="11">
        <v>46168</v>
      </c>
      <c r="E64" s="12">
        <v>1606529</v>
      </c>
      <c r="F64" s="12" t="s">
        <v>16</v>
      </c>
      <c r="G64" s="13">
        <v>20329902</v>
      </c>
      <c r="H64" s="12" t="s">
        <v>25</v>
      </c>
      <c r="I64" s="13">
        <v>2</v>
      </c>
      <c r="J64" s="14">
        <v>5.6</v>
      </c>
      <c r="K64" s="14">
        <v>11.2</v>
      </c>
      <c r="L64">
        <f t="shared" si="1"/>
        <v>8</v>
      </c>
    </row>
    <row r="65" spans="4:12">
      <c r="D65" s="11">
        <v>46168</v>
      </c>
      <c r="E65" s="12">
        <v>1606529</v>
      </c>
      <c r="F65" s="12" t="s">
        <v>16</v>
      </c>
      <c r="G65" s="13">
        <v>20320659</v>
      </c>
      <c r="H65" s="12" t="s">
        <v>26</v>
      </c>
      <c r="I65" s="13">
        <v>4</v>
      </c>
      <c r="J65" s="14">
        <v>5.6</v>
      </c>
      <c r="K65" s="14">
        <v>22.4</v>
      </c>
      <c r="L65">
        <f t="shared" si="1"/>
        <v>8</v>
      </c>
    </row>
    <row r="66" spans="4:12">
      <c r="D66" s="11">
        <v>46168</v>
      </c>
      <c r="E66" s="12">
        <v>1606529</v>
      </c>
      <c r="F66" s="12" t="s">
        <v>16</v>
      </c>
      <c r="G66" s="13">
        <v>20316819</v>
      </c>
      <c r="H66" s="12" t="s">
        <v>35</v>
      </c>
      <c r="I66" s="13">
        <v>1</v>
      </c>
      <c r="J66" s="14">
        <v>5.6</v>
      </c>
      <c r="K66" s="14">
        <v>5.6</v>
      </c>
      <c r="L66">
        <f t="shared" si="1"/>
        <v>8</v>
      </c>
    </row>
    <row r="67" spans="4:12">
      <c r="D67" s="11">
        <v>46168</v>
      </c>
      <c r="E67" s="12">
        <v>1606529</v>
      </c>
      <c r="F67" s="12" t="s">
        <v>16</v>
      </c>
      <c r="G67" s="13">
        <v>20327452</v>
      </c>
      <c r="H67" s="12" t="s">
        <v>39</v>
      </c>
      <c r="I67" s="13">
        <v>1</v>
      </c>
      <c r="J67" s="14">
        <v>5.6</v>
      </c>
      <c r="K67" s="14">
        <v>5.6</v>
      </c>
      <c r="L67">
        <f t="shared" si="1"/>
        <v>8</v>
      </c>
    </row>
    <row r="68" spans="4:12">
      <c r="D68" s="11">
        <v>46168</v>
      </c>
      <c r="E68" s="12">
        <v>1606529</v>
      </c>
      <c r="F68" s="12" t="s">
        <v>16</v>
      </c>
      <c r="G68" s="13">
        <v>20316536</v>
      </c>
      <c r="H68" s="12" t="s">
        <v>27</v>
      </c>
      <c r="I68" s="13">
        <v>2</v>
      </c>
      <c r="J68" s="14">
        <v>5.6</v>
      </c>
      <c r="K68" s="14">
        <v>11.2</v>
      </c>
      <c r="L68">
        <f t="shared" si="1"/>
        <v>8</v>
      </c>
    </row>
    <row r="69" spans="4:12">
      <c r="D69" s="11">
        <v>46170</v>
      </c>
      <c r="E69" s="12">
        <v>1607271</v>
      </c>
      <c r="F69" s="12" t="s">
        <v>16</v>
      </c>
      <c r="G69" s="13">
        <v>20318012</v>
      </c>
      <c r="H69" s="12" t="s">
        <v>20</v>
      </c>
      <c r="I69" s="13">
        <v>2</v>
      </c>
      <c r="J69" s="14">
        <v>7.7</v>
      </c>
      <c r="K69" s="14">
        <v>15.4</v>
      </c>
      <c r="L69">
        <f t="shared" si="1"/>
        <v>11</v>
      </c>
    </row>
    <row r="70" spans="4:12">
      <c r="D70" s="11">
        <v>46170</v>
      </c>
      <c r="E70" s="12">
        <v>1607271</v>
      </c>
      <c r="F70" s="12" t="s">
        <v>16</v>
      </c>
      <c r="G70" s="13">
        <v>20318011</v>
      </c>
      <c r="H70" s="12" t="s">
        <v>21</v>
      </c>
      <c r="I70" s="13">
        <v>2</v>
      </c>
      <c r="J70" s="14">
        <v>7.7</v>
      </c>
      <c r="K70" s="14">
        <v>15.4</v>
      </c>
      <c r="L70">
        <f t="shared" si="1"/>
        <v>11</v>
      </c>
    </row>
    <row r="71" spans="4:12">
      <c r="D71" s="11">
        <v>46170</v>
      </c>
      <c r="E71" s="12">
        <v>1607271</v>
      </c>
      <c r="F71" s="12" t="s">
        <v>16</v>
      </c>
      <c r="G71" s="13">
        <v>20320558</v>
      </c>
      <c r="H71" s="12" t="s">
        <v>23</v>
      </c>
      <c r="I71" s="13">
        <v>1</v>
      </c>
      <c r="J71" s="14">
        <v>5.6</v>
      </c>
      <c r="K71" s="14">
        <v>5.6</v>
      </c>
      <c r="L71">
        <f t="shared" si="1"/>
        <v>8</v>
      </c>
    </row>
    <row r="72" spans="4:12">
      <c r="D72" s="11">
        <v>46170</v>
      </c>
      <c r="E72" s="12">
        <v>1607271</v>
      </c>
      <c r="F72" s="12" t="s">
        <v>16</v>
      </c>
      <c r="G72" s="13">
        <v>20329902</v>
      </c>
      <c r="H72" s="12" t="s">
        <v>25</v>
      </c>
      <c r="I72" s="13">
        <v>1</v>
      </c>
      <c r="J72" s="14">
        <v>5.6</v>
      </c>
      <c r="K72" s="14">
        <v>5.6</v>
      </c>
      <c r="L72">
        <f t="shared" si="1"/>
        <v>8</v>
      </c>
    </row>
    <row r="73" spans="4:12">
      <c r="D73" s="11">
        <v>46170</v>
      </c>
      <c r="E73" s="12">
        <v>1607271</v>
      </c>
      <c r="F73" s="12" t="s">
        <v>16</v>
      </c>
      <c r="G73" s="13">
        <v>20316500</v>
      </c>
      <c r="H73" s="12" t="s">
        <v>38</v>
      </c>
      <c r="I73" s="13">
        <v>1</v>
      </c>
      <c r="J73" s="14">
        <v>7.7</v>
      </c>
      <c r="K73" s="14">
        <v>7.7</v>
      </c>
      <c r="L73">
        <f t="shared" si="1"/>
        <v>11</v>
      </c>
    </row>
    <row r="74" spans="4:12">
      <c r="D74" s="11">
        <v>46170</v>
      </c>
      <c r="E74" s="12">
        <v>1607271</v>
      </c>
      <c r="F74" s="12" t="s">
        <v>16</v>
      </c>
      <c r="G74" s="13">
        <v>20320659</v>
      </c>
      <c r="H74" s="12" t="s">
        <v>26</v>
      </c>
      <c r="I74" s="13">
        <v>2</v>
      </c>
      <c r="J74" s="14">
        <v>5.6</v>
      </c>
      <c r="K74" s="14">
        <v>11.2</v>
      </c>
      <c r="L74">
        <f>J74/0.7</f>
        <v>8</v>
      </c>
    </row>
    <row r="75" spans="4:12">
      <c r="D75" s="11">
        <v>46170</v>
      </c>
      <c r="E75" s="12">
        <v>1607271</v>
      </c>
      <c r="F75" s="12" t="s">
        <v>16</v>
      </c>
      <c r="G75" s="13">
        <v>20316536</v>
      </c>
      <c r="H75" s="12" t="s">
        <v>27</v>
      </c>
      <c r="I75" s="13">
        <v>1</v>
      </c>
      <c r="J75" s="14">
        <v>5.6</v>
      </c>
      <c r="K75" s="14">
        <v>5.6</v>
      </c>
      <c r="L75">
        <f>J75/0.7</f>
        <v>8</v>
      </c>
    </row>
    <row r="76" spans="4:12">
      <c r="D76" s="11">
        <v>46172</v>
      </c>
      <c r="E76" s="12">
        <v>1607888</v>
      </c>
      <c r="F76" s="12" t="s">
        <v>16</v>
      </c>
      <c r="G76" s="13">
        <v>20316708</v>
      </c>
      <c r="H76" s="12" t="s">
        <v>34</v>
      </c>
      <c r="I76" s="13">
        <v>1</v>
      </c>
      <c r="J76" s="14">
        <v>5.6</v>
      </c>
      <c r="K76" s="14">
        <v>5.6</v>
      </c>
      <c r="L76">
        <f>J76/0.7</f>
        <v>8</v>
      </c>
    </row>
    <row r="77" spans="4:12">
      <c r="D77" s="11">
        <v>46172</v>
      </c>
      <c r="E77" s="12">
        <v>1607888</v>
      </c>
      <c r="F77" s="12" t="s">
        <v>16</v>
      </c>
      <c r="G77" s="13">
        <v>20316536</v>
      </c>
      <c r="H77" s="12" t="s">
        <v>27</v>
      </c>
      <c r="I77" s="13">
        <v>1</v>
      </c>
      <c r="J77" s="14">
        <v>5.6</v>
      </c>
      <c r="K77" s="14">
        <v>5.6</v>
      </c>
      <c r="L77">
        <f>J77/0.7</f>
        <v>8</v>
      </c>
    </row>
    <row r="78" spans="4:12">
      <c r="D78" s="11">
        <v>46172</v>
      </c>
      <c r="E78" s="12">
        <v>1607888</v>
      </c>
      <c r="F78" s="12" t="s">
        <v>13</v>
      </c>
      <c r="G78" s="13">
        <v>20316517</v>
      </c>
      <c r="H78" s="12" t="s">
        <v>51</v>
      </c>
      <c r="I78" s="13">
        <v>1</v>
      </c>
      <c r="J78" s="14">
        <v>42.35</v>
      </c>
      <c r="K78" s="14">
        <v>42.35</v>
      </c>
      <c r="L78">
        <f>J78/0.7</f>
        <v>60.5</v>
      </c>
    </row>
    <row r="79" ht="0.05" customHeight="1"/>
  </sheetData>
  <autoFilter xmlns:etc="http://www.wps.cn/officeDocument/2017/etCustomData" ref="A8:K78" etc:filterBottomFollowUsedRange="0">
    <extLst/>
  </autoFilter>
  <mergeCells count="5">
    <mergeCell ref="D8:H8"/>
    <mergeCell ref="C7:C78"/>
    <mergeCell ref="B4:H5"/>
    <mergeCell ref="A7:B7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120</v>
      </c>
      <c r="J8" s="10"/>
      <c r="K8" s="10">
        <v>649.6</v>
      </c>
    </row>
    <row r="9" spans="1:12">
      <c r="D9" s="11">
        <v>46147</v>
      </c>
      <c r="E9" s="12">
        <v>1600289</v>
      </c>
      <c r="F9" s="12" t="s">
        <v>16</v>
      </c>
      <c r="G9" s="13">
        <v>20316528</v>
      </c>
      <c r="H9" s="12" t="s">
        <v>53</v>
      </c>
      <c r="I9" s="13">
        <v>4</v>
      </c>
      <c r="J9" s="14">
        <v>5.6</v>
      </c>
      <c r="K9" s="14">
        <v>22.4</v>
      </c>
      <c r="L9">
        <f>J9/0.7</f>
        <v>8</v>
      </c>
    </row>
    <row r="10" spans="1:12">
      <c r="D10" s="11">
        <v>46147</v>
      </c>
      <c r="E10" s="12">
        <v>1600289</v>
      </c>
      <c r="F10" s="12" t="s">
        <v>16</v>
      </c>
      <c r="G10" s="13">
        <v>20316526</v>
      </c>
      <c r="H10" s="12" t="s">
        <v>54</v>
      </c>
      <c r="I10" s="13">
        <v>4</v>
      </c>
      <c r="J10" s="14">
        <v>5.6</v>
      </c>
      <c r="K10" s="14">
        <v>22.4</v>
      </c>
      <c r="L10">
        <f t="shared" ref="L10:L47" si="0">J10/0.7</f>
        <v>8</v>
      </c>
    </row>
    <row r="11" spans="1:12">
      <c r="D11" s="11">
        <v>46147</v>
      </c>
      <c r="E11" s="12">
        <v>1600289</v>
      </c>
      <c r="F11" s="12" t="s">
        <v>16</v>
      </c>
      <c r="G11" s="13">
        <v>20316532</v>
      </c>
      <c r="H11" s="12" t="s">
        <v>36</v>
      </c>
      <c r="I11" s="13">
        <v>2</v>
      </c>
      <c r="J11" s="14">
        <v>5.6</v>
      </c>
      <c r="K11" s="14">
        <v>11.2</v>
      </c>
      <c r="L11">
        <f t="shared" si="0"/>
        <v>8</v>
      </c>
    </row>
    <row r="12" spans="1:12">
      <c r="D12" s="11">
        <v>46147</v>
      </c>
      <c r="E12" s="12">
        <v>1600289</v>
      </c>
      <c r="F12" s="12" t="s">
        <v>16</v>
      </c>
      <c r="G12" s="13">
        <v>20394652</v>
      </c>
      <c r="H12" s="12" t="s">
        <v>55</v>
      </c>
      <c r="I12" s="13">
        <v>1</v>
      </c>
      <c r="J12" s="14">
        <v>5.6</v>
      </c>
      <c r="K12" s="14">
        <v>5.6</v>
      </c>
      <c r="L12">
        <f t="shared" si="0"/>
        <v>8</v>
      </c>
    </row>
    <row r="13" spans="1:12">
      <c r="D13" s="11">
        <v>46147</v>
      </c>
      <c r="E13" s="12">
        <v>1600289</v>
      </c>
      <c r="F13" s="12" t="s">
        <v>16</v>
      </c>
      <c r="G13" s="13">
        <v>20394915</v>
      </c>
      <c r="H13" s="12" t="s">
        <v>56</v>
      </c>
      <c r="I13" s="13">
        <v>1</v>
      </c>
      <c r="J13" s="14">
        <v>5.6</v>
      </c>
      <c r="K13" s="14">
        <v>5.6</v>
      </c>
      <c r="L13">
        <f t="shared" si="0"/>
        <v>8</v>
      </c>
    </row>
    <row r="14" spans="1:12">
      <c r="D14" s="11">
        <v>46147</v>
      </c>
      <c r="E14" s="12">
        <v>1600289</v>
      </c>
      <c r="F14" s="12" t="s">
        <v>16</v>
      </c>
      <c r="G14" s="13">
        <v>20316710</v>
      </c>
      <c r="H14" s="12" t="s">
        <v>31</v>
      </c>
      <c r="I14" s="13">
        <v>2</v>
      </c>
      <c r="J14" s="14">
        <v>5.6</v>
      </c>
      <c r="K14" s="14">
        <v>11.2</v>
      </c>
      <c r="L14">
        <f t="shared" si="0"/>
        <v>8</v>
      </c>
    </row>
    <row r="15" spans="1:12">
      <c r="D15" s="11">
        <v>46147</v>
      </c>
      <c r="E15" s="12">
        <v>1600289</v>
      </c>
      <c r="F15" s="12" t="s">
        <v>16</v>
      </c>
      <c r="G15" s="13">
        <v>20399196</v>
      </c>
      <c r="H15" s="12" t="s">
        <v>57</v>
      </c>
      <c r="I15" s="13">
        <v>1</v>
      </c>
      <c r="J15" s="14">
        <v>5.6</v>
      </c>
      <c r="K15" s="14">
        <v>5.6</v>
      </c>
      <c r="L15">
        <f t="shared" si="0"/>
        <v>8</v>
      </c>
    </row>
    <row r="16" spans="1:12">
      <c r="D16" s="11">
        <v>46147</v>
      </c>
      <c r="E16" s="12">
        <v>1600289</v>
      </c>
      <c r="F16" s="12" t="s">
        <v>16</v>
      </c>
      <c r="G16" s="13">
        <v>20316524</v>
      </c>
      <c r="H16" s="12" t="s">
        <v>58</v>
      </c>
      <c r="I16" s="13">
        <v>1</v>
      </c>
      <c r="J16" s="14">
        <v>5.6</v>
      </c>
      <c r="K16" s="14">
        <v>5.6</v>
      </c>
      <c r="L16">
        <f t="shared" si="0"/>
        <v>8</v>
      </c>
    </row>
    <row r="17" spans="4:12">
      <c r="D17" s="11">
        <v>46151</v>
      </c>
      <c r="E17" s="12">
        <v>1601676</v>
      </c>
      <c r="F17" s="12" t="s">
        <v>16</v>
      </c>
      <c r="G17" s="13">
        <v>20316528</v>
      </c>
      <c r="H17" s="12" t="s">
        <v>53</v>
      </c>
      <c r="I17" s="13">
        <v>5</v>
      </c>
      <c r="J17" s="14">
        <v>5.6</v>
      </c>
      <c r="K17" s="14">
        <v>28</v>
      </c>
      <c r="L17">
        <f t="shared" si="0"/>
        <v>8</v>
      </c>
    </row>
    <row r="18" spans="4:12">
      <c r="D18" s="11">
        <v>46151</v>
      </c>
      <c r="E18" s="12">
        <v>1601676</v>
      </c>
      <c r="F18" s="12" t="s">
        <v>16</v>
      </c>
      <c r="G18" s="13">
        <v>20316526</v>
      </c>
      <c r="H18" s="12" t="s">
        <v>54</v>
      </c>
      <c r="I18" s="13">
        <v>3</v>
      </c>
      <c r="J18" s="14">
        <v>5.6</v>
      </c>
      <c r="K18" s="14">
        <v>16.8</v>
      </c>
      <c r="L18">
        <f t="shared" si="0"/>
        <v>8</v>
      </c>
    </row>
    <row r="19" spans="4:12">
      <c r="D19" s="11">
        <v>46154</v>
      </c>
      <c r="E19" s="12">
        <v>1602403</v>
      </c>
      <c r="F19" s="12" t="s">
        <v>16</v>
      </c>
      <c r="G19" s="13">
        <v>20316528</v>
      </c>
      <c r="H19" s="12" t="s">
        <v>53</v>
      </c>
      <c r="I19" s="13">
        <v>8</v>
      </c>
      <c r="J19" s="14">
        <v>5.6</v>
      </c>
      <c r="K19" s="14">
        <v>44.8</v>
      </c>
      <c r="L19">
        <f t="shared" si="0"/>
        <v>8</v>
      </c>
    </row>
    <row r="20" spans="4:12">
      <c r="D20" s="11">
        <v>46154</v>
      </c>
      <c r="E20" s="12">
        <v>1602403</v>
      </c>
      <c r="F20" s="12" t="s">
        <v>16</v>
      </c>
      <c r="G20" s="13">
        <v>20316526</v>
      </c>
      <c r="H20" s="12" t="s">
        <v>54</v>
      </c>
      <c r="I20" s="13">
        <v>6</v>
      </c>
      <c r="J20" s="14">
        <v>5.6</v>
      </c>
      <c r="K20" s="14">
        <v>33.6</v>
      </c>
      <c r="L20">
        <f t="shared" si="0"/>
        <v>8</v>
      </c>
    </row>
    <row r="21" spans="4:12">
      <c r="D21" s="11">
        <v>46154</v>
      </c>
      <c r="E21" s="12">
        <v>1602403</v>
      </c>
      <c r="F21" s="12" t="s">
        <v>16</v>
      </c>
      <c r="G21" s="13">
        <v>20318066</v>
      </c>
      <c r="H21" s="12" t="s">
        <v>59</v>
      </c>
      <c r="I21" s="13">
        <v>1</v>
      </c>
      <c r="J21" s="14">
        <v>5.6</v>
      </c>
      <c r="K21" s="14">
        <v>5.6</v>
      </c>
      <c r="L21">
        <f t="shared" si="0"/>
        <v>8</v>
      </c>
    </row>
    <row r="22" spans="4:12">
      <c r="D22" s="11">
        <v>46154</v>
      </c>
      <c r="E22" s="12">
        <v>1602403</v>
      </c>
      <c r="F22" s="12" t="s">
        <v>16</v>
      </c>
      <c r="G22" s="13">
        <v>20316532</v>
      </c>
      <c r="H22" s="12" t="s">
        <v>36</v>
      </c>
      <c r="I22" s="13">
        <v>2</v>
      </c>
      <c r="J22" s="14">
        <v>5.6</v>
      </c>
      <c r="K22" s="14">
        <v>11.2</v>
      </c>
      <c r="L22">
        <f t="shared" si="0"/>
        <v>8</v>
      </c>
    </row>
    <row r="23" spans="4:12">
      <c r="D23" s="11">
        <v>46154</v>
      </c>
      <c r="E23" s="12">
        <v>1602403</v>
      </c>
      <c r="F23" s="12" t="s">
        <v>16</v>
      </c>
      <c r="G23" s="13">
        <v>20394652</v>
      </c>
      <c r="H23" s="12" t="s">
        <v>55</v>
      </c>
      <c r="I23" s="13">
        <v>1</v>
      </c>
      <c r="J23" s="14">
        <v>5.6</v>
      </c>
      <c r="K23" s="14">
        <v>5.6</v>
      </c>
      <c r="L23">
        <f t="shared" si="0"/>
        <v>8</v>
      </c>
    </row>
    <row r="24" spans="4:12">
      <c r="D24" s="11">
        <v>46154</v>
      </c>
      <c r="E24" s="12">
        <v>1602403</v>
      </c>
      <c r="F24" s="12" t="s">
        <v>16</v>
      </c>
      <c r="G24" s="13">
        <v>20394915</v>
      </c>
      <c r="H24" s="12" t="s">
        <v>56</v>
      </c>
      <c r="I24" s="13">
        <v>1</v>
      </c>
      <c r="J24" s="14">
        <v>5.6</v>
      </c>
      <c r="K24" s="14">
        <v>5.6</v>
      </c>
      <c r="L24">
        <f t="shared" si="0"/>
        <v>8</v>
      </c>
    </row>
    <row r="25" spans="4:12">
      <c r="D25" s="11">
        <v>46154</v>
      </c>
      <c r="E25" s="12">
        <v>1602403</v>
      </c>
      <c r="F25" s="12" t="s">
        <v>16</v>
      </c>
      <c r="G25" s="13">
        <v>20316598</v>
      </c>
      <c r="H25" s="12" t="s">
        <v>60</v>
      </c>
      <c r="I25" s="13">
        <v>2</v>
      </c>
      <c r="J25" s="14">
        <v>5.6</v>
      </c>
      <c r="K25" s="14">
        <v>11.2</v>
      </c>
      <c r="L25">
        <f t="shared" si="0"/>
        <v>8</v>
      </c>
    </row>
    <row r="26" spans="4:12">
      <c r="D26" s="11">
        <v>46154</v>
      </c>
      <c r="E26" s="12">
        <v>1602403</v>
      </c>
      <c r="F26" s="12" t="s">
        <v>61</v>
      </c>
      <c r="G26" s="13">
        <v>20362769</v>
      </c>
      <c r="H26" s="12" t="s">
        <v>62</v>
      </c>
      <c r="I26" s="13">
        <v>8</v>
      </c>
      <c r="J26" s="14">
        <v>2.8</v>
      </c>
      <c r="K26" s="14">
        <v>22.4</v>
      </c>
      <c r="L26">
        <f t="shared" si="0"/>
        <v>4</v>
      </c>
    </row>
    <row r="27" spans="4:12">
      <c r="D27" s="11">
        <v>46156</v>
      </c>
      <c r="E27" s="12">
        <v>1603145</v>
      </c>
      <c r="F27" s="12" t="s">
        <v>16</v>
      </c>
      <c r="G27" s="13">
        <v>20316528</v>
      </c>
      <c r="H27" s="12" t="s">
        <v>53</v>
      </c>
      <c r="I27" s="13">
        <v>2</v>
      </c>
      <c r="J27" s="14">
        <v>5.6</v>
      </c>
      <c r="K27" s="14">
        <v>11.2</v>
      </c>
      <c r="L27">
        <f t="shared" si="0"/>
        <v>8</v>
      </c>
    </row>
    <row r="28" spans="4:12">
      <c r="D28" s="11">
        <v>46156</v>
      </c>
      <c r="E28" s="12">
        <v>1603145</v>
      </c>
      <c r="F28" s="12" t="s">
        <v>16</v>
      </c>
      <c r="G28" s="13">
        <v>20316526</v>
      </c>
      <c r="H28" s="12" t="s">
        <v>54</v>
      </c>
      <c r="I28" s="13">
        <v>2</v>
      </c>
      <c r="J28" s="14">
        <v>5.6</v>
      </c>
      <c r="K28" s="14">
        <v>11.2</v>
      </c>
      <c r="L28">
        <f t="shared" si="0"/>
        <v>8</v>
      </c>
    </row>
    <row r="29" spans="4:12">
      <c r="D29" s="11">
        <v>46156</v>
      </c>
      <c r="E29" s="12">
        <v>1603145</v>
      </c>
      <c r="F29" s="12" t="s">
        <v>16</v>
      </c>
      <c r="G29" s="13">
        <v>20357820</v>
      </c>
      <c r="H29" s="12" t="s">
        <v>63</v>
      </c>
      <c r="I29" s="13">
        <v>2</v>
      </c>
      <c r="J29" s="14">
        <v>5.6</v>
      </c>
      <c r="K29" s="14">
        <v>11.2</v>
      </c>
      <c r="L29">
        <f t="shared" si="0"/>
        <v>8</v>
      </c>
    </row>
    <row r="30" spans="4:12">
      <c r="D30" s="11">
        <v>46156</v>
      </c>
      <c r="E30" s="12">
        <v>1603145</v>
      </c>
      <c r="F30" s="12" t="s">
        <v>16</v>
      </c>
      <c r="G30" s="13">
        <v>20316532</v>
      </c>
      <c r="H30" s="12" t="s">
        <v>36</v>
      </c>
      <c r="I30" s="13">
        <v>1</v>
      </c>
      <c r="J30" s="14">
        <v>5.6</v>
      </c>
      <c r="K30" s="14">
        <v>5.6</v>
      </c>
      <c r="L30">
        <f t="shared" si="0"/>
        <v>8</v>
      </c>
    </row>
    <row r="31" spans="4:12">
      <c r="D31" s="11">
        <v>46156</v>
      </c>
      <c r="E31" s="12">
        <v>1603145</v>
      </c>
      <c r="F31" s="12" t="s">
        <v>16</v>
      </c>
      <c r="G31" s="13">
        <v>20316524</v>
      </c>
      <c r="H31" s="12" t="s">
        <v>58</v>
      </c>
      <c r="I31" s="13">
        <v>1</v>
      </c>
      <c r="J31" s="14">
        <v>5.6</v>
      </c>
      <c r="K31" s="14">
        <v>5.6</v>
      </c>
      <c r="L31">
        <f t="shared" si="0"/>
        <v>8</v>
      </c>
    </row>
    <row r="32" spans="4:12">
      <c r="D32" s="11">
        <v>46156</v>
      </c>
      <c r="E32" s="12">
        <v>1603145</v>
      </c>
      <c r="F32" s="12" t="s">
        <v>16</v>
      </c>
      <c r="G32" s="13">
        <v>20425532</v>
      </c>
      <c r="H32" s="12" t="s">
        <v>64</v>
      </c>
      <c r="I32" s="13">
        <v>1</v>
      </c>
      <c r="J32" s="14">
        <v>5.6</v>
      </c>
      <c r="K32" s="14">
        <v>5.6</v>
      </c>
      <c r="L32">
        <f t="shared" si="0"/>
        <v>8</v>
      </c>
    </row>
    <row r="33" spans="4:12">
      <c r="D33" s="11">
        <v>46158</v>
      </c>
      <c r="E33" s="12">
        <v>1603792</v>
      </c>
      <c r="F33" s="12" t="s">
        <v>16</v>
      </c>
      <c r="G33" s="13">
        <v>20316528</v>
      </c>
      <c r="H33" s="12" t="s">
        <v>53</v>
      </c>
      <c r="I33" s="13">
        <v>4</v>
      </c>
      <c r="J33" s="14">
        <v>5.6</v>
      </c>
      <c r="K33" s="14">
        <v>22.4</v>
      </c>
      <c r="L33">
        <f t="shared" si="0"/>
        <v>8</v>
      </c>
    </row>
    <row r="34" spans="4:12">
      <c r="D34" s="11">
        <v>46158</v>
      </c>
      <c r="E34" s="12">
        <v>1603792</v>
      </c>
      <c r="F34" s="12" t="s">
        <v>16</v>
      </c>
      <c r="G34" s="13">
        <v>20316526</v>
      </c>
      <c r="H34" s="12" t="s">
        <v>54</v>
      </c>
      <c r="I34" s="13">
        <v>5</v>
      </c>
      <c r="J34" s="14">
        <v>5.6</v>
      </c>
      <c r="K34" s="14">
        <v>28</v>
      </c>
      <c r="L34">
        <f t="shared" si="0"/>
        <v>8</v>
      </c>
    </row>
    <row r="35" spans="4:12">
      <c r="D35" s="11">
        <v>46161</v>
      </c>
      <c r="E35" s="12">
        <v>1604412</v>
      </c>
      <c r="F35" s="12" t="s">
        <v>16</v>
      </c>
      <c r="G35" s="13">
        <v>20316528</v>
      </c>
      <c r="H35" s="12" t="s">
        <v>53</v>
      </c>
      <c r="I35" s="13">
        <v>9</v>
      </c>
      <c r="J35" s="14">
        <v>5.6</v>
      </c>
      <c r="K35" s="14">
        <v>50.4</v>
      </c>
      <c r="L35">
        <f t="shared" si="0"/>
        <v>8</v>
      </c>
    </row>
    <row r="36" spans="4:12">
      <c r="D36" s="11">
        <v>46161</v>
      </c>
      <c r="E36" s="12">
        <v>1604412</v>
      </c>
      <c r="F36" s="12" t="s">
        <v>16</v>
      </c>
      <c r="G36" s="13">
        <v>20316526</v>
      </c>
      <c r="H36" s="12" t="s">
        <v>54</v>
      </c>
      <c r="I36" s="13">
        <v>10</v>
      </c>
      <c r="J36" s="14">
        <v>5.6</v>
      </c>
      <c r="K36" s="14">
        <v>56</v>
      </c>
      <c r="L36">
        <f t="shared" si="0"/>
        <v>8</v>
      </c>
    </row>
    <row r="37" spans="4:12">
      <c r="D37" s="11">
        <v>46161</v>
      </c>
      <c r="E37" s="12">
        <v>1604412</v>
      </c>
      <c r="F37" s="12" t="s">
        <v>16</v>
      </c>
      <c r="G37" s="13">
        <v>20318066</v>
      </c>
      <c r="H37" s="12" t="s">
        <v>59</v>
      </c>
      <c r="I37" s="13">
        <v>2</v>
      </c>
      <c r="J37" s="14">
        <v>5.6</v>
      </c>
      <c r="K37" s="14">
        <v>11.2</v>
      </c>
      <c r="L37">
        <f t="shared" si="0"/>
        <v>8</v>
      </c>
    </row>
    <row r="38" spans="4:12">
      <c r="D38" s="11">
        <v>46161</v>
      </c>
      <c r="E38" s="12">
        <v>1604412</v>
      </c>
      <c r="F38" s="12" t="s">
        <v>16</v>
      </c>
      <c r="G38" s="13">
        <v>20316532</v>
      </c>
      <c r="H38" s="12" t="s">
        <v>36</v>
      </c>
      <c r="I38" s="13">
        <v>1</v>
      </c>
      <c r="J38" s="14">
        <v>5.6</v>
      </c>
      <c r="K38" s="14">
        <v>5.6</v>
      </c>
      <c r="L38">
        <f t="shared" si="0"/>
        <v>8</v>
      </c>
    </row>
    <row r="39" spans="4:12">
      <c r="D39" s="11">
        <v>46161</v>
      </c>
      <c r="E39" s="12">
        <v>1604412</v>
      </c>
      <c r="F39" s="12" t="s">
        <v>16</v>
      </c>
      <c r="G39" s="13">
        <v>20394652</v>
      </c>
      <c r="H39" s="12" t="s">
        <v>55</v>
      </c>
      <c r="I39" s="13">
        <v>1</v>
      </c>
      <c r="J39" s="14">
        <v>5.6</v>
      </c>
      <c r="K39" s="14">
        <v>5.6</v>
      </c>
      <c r="L39">
        <f t="shared" si="0"/>
        <v>8</v>
      </c>
    </row>
    <row r="40" spans="4:12">
      <c r="D40" s="11">
        <v>46161</v>
      </c>
      <c r="E40" s="12">
        <v>1604412</v>
      </c>
      <c r="F40" s="12" t="s">
        <v>16</v>
      </c>
      <c r="G40" s="13">
        <v>20394915</v>
      </c>
      <c r="H40" s="12" t="s">
        <v>56</v>
      </c>
      <c r="I40" s="13">
        <v>1</v>
      </c>
      <c r="J40" s="14">
        <v>5.6</v>
      </c>
      <c r="K40" s="14">
        <v>5.6</v>
      </c>
      <c r="L40">
        <f t="shared" si="0"/>
        <v>8</v>
      </c>
    </row>
    <row r="41" spans="4:12">
      <c r="D41" s="11">
        <v>46161</v>
      </c>
      <c r="E41" s="12">
        <v>1604412</v>
      </c>
      <c r="F41" s="12" t="s">
        <v>16</v>
      </c>
      <c r="G41" s="13">
        <v>20316535</v>
      </c>
      <c r="H41" s="12" t="s">
        <v>65</v>
      </c>
      <c r="I41" s="13">
        <v>1</v>
      </c>
      <c r="J41" s="14">
        <v>5.6</v>
      </c>
      <c r="K41" s="14">
        <v>5.6</v>
      </c>
      <c r="L41">
        <f t="shared" si="0"/>
        <v>8</v>
      </c>
    </row>
    <row r="42" spans="4:12">
      <c r="D42" s="11">
        <v>46161</v>
      </c>
      <c r="E42" s="12">
        <v>1604412</v>
      </c>
      <c r="F42" s="12" t="s">
        <v>16</v>
      </c>
      <c r="G42" s="13">
        <v>20316598</v>
      </c>
      <c r="H42" s="12" t="s">
        <v>60</v>
      </c>
      <c r="I42" s="13">
        <v>3</v>
      </c>
      <c r="J42" s="14">
        <v>5.6</v>
      </c>
      <c r="K42" s="14">
        <v>16.8</v>
      </c>
      <c r="L42">
        <f t="shared" si="0"/>
        <v>8</v>
      </c>
    </row>
    <row r="43" spans="4:12">
      <c r="D43" s="11">
        <v>46168</v>
      </c>
      <c r="E43" s="12">
        <v>1606530</v>
      </c>
      <c r="F43" s="12" t="s">
        <v>16</v>
      </c>
      <c r="G43" s="13">
        <v>20316528</v>
      </c>
      <c r="H43" s="12" t="s">
        <v>53</v>
      </c>
      <c r="I43" s="13">
        <v>6</v>
      </c>
      <c r="J43" s="14">
        <v>5.6</v>
      </c>
      <c r="K43" s="14">
        <v>33.6</v>
      </c>
      <c r="L43">
        <f t="shared" si="0"/>
        <v>8</v>
      </c>
    </row>
    <row r="44" spans="4:12">
      <c r="D44" s="11">
        <v>46168</v>
      </c>
      <c r="E44" s="12">
        <v>1606530</v>
      </c>
      <c r="F44" s="12" t="s">
        <v>16</v>
      </c>
      <c r="G44" s="13">
        <v>20316526</v>
      </c>
      <c r="H44" s="12" t="s">
        <v>54</v>
      </c>
      <c r="I44" s="13">
        <v>2</v>
      </c>
      <c r="J44" s="14">
        <v>5.6</v>
      </c>
      <c r="K44" s="14">
        <v>11.2</v>
      </c>
      <c r="L44">
        <f t="shared" si="0"/>
        <v>8</v>
      </c>
    </row>
    <row r="45" spans="4:12">
      <c r="D45" s="11">
        <v>46170</v>
      </c>
      <c r="E45" s="12">
        <v>1607272</v>
      </c>
      <c r="F45" s="12" t="s">
        <v>16</v>
      </c>
      <c r="G45" s="13">
        <v>20316528</v>
      </c>
      <c r="H45" s="12" t="s">
        <v>53</v>
      </c>
      <c r="I45" s="13">
        <v>1</v>
      </c>
      <c r="J45" s="14">
        <v>5.6</v>
      </c>
      <c r="K45" s="14">
        <v>5.6</v>
      </c>
      <c r="L45">
        <f t="shared" si="0"/>
        <v>8</v>
      </c>
    </row>
    <row r="46" spans="4:12">
      <c r="D46" s="11">
        <v>46172</v>
      </c>
      <c r="E46" s="12">
        <v>1607889</v>
      </c>
      <c r="F46" s="12" t="s">
        <v>16</v>
      </c>
      <c r="G46" s="13">
        <v>20316528</v>
      </c>
      <c r="H46" s="12" t="s">
        <v>53</v>
      </c>
      <c r="I46" s="13">
        <v>6</v>
      </c>
      <c r="J46" s="14">
        <v>5.6</v>
      </c>
      <c r="K46" s="14">
        <v>33.6</v>
      </c>
      <c r="L46">
        <f t="shared" si="0"/>
        <v>8</v>
      </c>
    </row>
    <row r="47" spans="4:12">
      <c r="D47" s="11">
        <v>46172</v>
      </c>
      <c r="E47" s="12">
        <v>1607889</v>
      </c>
      <c r="F47" s="12" t="s">
        <v>16</v>
      </c>
      <c r="G47" s="13">
        <v>20316526</v>
      </c>
      <c r="H47" s="12" t="s">
        <v>54</v>
      </c>
      <c r="I47" s="13">
        <v>6</v>
      </c>
      <c r="J47" s="14">
        <v>5.6</v>
      </c>
      <c r="K47" s="14">
        <v>33.6</v>
      </c>
      <c r="L47">
        <f t="shared" si="0"/>
        <v>8</v>
      </c>
    </row>
    <row r="48" ht="0.05" customHeight="1"/>
  </sheetData>
  <autoFilter xmlns:etc="http://www.wps.cn/officeDocument/2017/etCustomData" ref="A7:K47" etc:filterBottomFollowUsedRange="0">
    <extLst/>
  </autoFilter>
  <mergeCells count="5">
    <mergeCell ref="D8:H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66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1072.05</v>
      </c>
    </row>
    <row r="9" spans="1:12">
      <c r="D9" s="11">
        <v>46144</v>
      </c>
      <c r="E9" s="12">
        <v>1600055</v>
      </c>
      <c r="F9" s="12" t="s">
        <v>67</v>
      </c>
      <c r="G9" s="13">
        <v>20316496</v>
      </c>
      <c r="H9" s="12" t="s">
        <v>67</v>
      </c>
      <c r="I9" s="13">
        <v>1</v>
      </c>
      <c r="J9" s="14">
        <v>177.1</v>
      </c>
      <c r="K9" s="14">
        <v>177.1</v>
      </c>
      <c r="L9">
        <f>J9/0.7</f>
        <v>253</v>
      </c>
    </row>
    <row r="10" spans="1:12">
      <c r="D10" s="11">
        <v>46144</v>
      </c>
      <c r="E10" s="12">
        <v>1600055</v>
      </c>
      <c r="F10" s="12" t="s">
        <v>68</v>
      </c>
      <c r="G10" s="13">
        <v>20316627</v>
      </c>
      <c r="H10" s="12" t="s">
        <v>69</v>
      </c>
      <c r="I10" s="13">
        <v>1</v>
      </c>
      <c r="J10" s="14">
        <v>11.55</v>
      </c>
      <c r="K10" s="14">
        <v>11.55</v>
      </c>
      <c r="L10">
        <f t="shared" ref="L10:L27" si="0">J10/0.7</f>
        <v>16.5</v>
      </c>
    </row>
    <row r="11" spans="1:12">
      <c r="D11" s="11">
        <v>46144</v>
      </c>
      <c r="E11" s="12">
        <v>1600055</v>
      </c>
      <c r="F11" s="12" t="s">
        <v>68</v>
      </c>
      <c r="G11" s="13">
        <v>20316798</v>
      </c>
      <c r="H11" s="12" t="s">
        <v>70</v>
      </c>
      <c r="I11" s="13">
        <v>1</v>
      </c>
      <c r="J11" s="14">
        <v>15.4</v>
      </c>
      <c r="K11" s="14">
        <v>15.4</v>
      </c>
      <c r="L11">
        <f t="shared" si="0"/>
        <v>22</v>
      </c>
    </row>
    <row r="12" spans="1:12">
      <c r="D12" s="11">
        <v>46151</v>
      </c>
      <c r="E12" s="12">
        <v>1601677</v>
      </c>
      <c r="F12" s="12" t="s">
        <v>13</v>
      </c>
      <c r="G12" s="13">
        <v>20316504</v>
      </c>
      <c r="H12" s="12" t="s">
        <v>71</v>
      </c>
      <c r="I12" s="13">
        <v>1</v>
      </c>
      <c r="J12" s="14">
        <v>100.1</v>
      </c>
      <c r="K12" s="14">
        <v>100.1</v>
      </c>
      <c r="L12">
        <f t="shared" si="0"/>
        <v>143</v>
      </c>
    </row>
    <row r="13" spans="1:12">
      <c r="D13" s="11">
        <v>46151</v>
      </c>
      <c r="E13" s="12">
        <v>1601677</v>
      </c>
      <c r="F13" s="12" t="s">
        <v>68</v>
      </c>
      <c r="G13" s="13">
        <v>20316627</v>
      </c>
      <c r="H13" s="12" t="s">
        <v>69</v>
      </c>
      <c r="I13" s="13">
        <v>1</v>
      </c>
      <c r="J13" s="14">
        <v>11.55</v>
      </c>
      <c r="K13" s="14">
        <v>11.55</v>
      </c>
      <c r="L13">
        <f t="shared" si="0"/>
        <v>16.5</v>
      </c>
    </row>
    <row r="14" spans="1:12">
      <c r="D14" s="11">
        <v>46151</v>
      </c>
      <c r="E14" s="12">
        <v>1601677</v>
      </c>
      <c r="F14" s="12" t="s">
        <v>68</v>
      </c>
      <c r="G14" s="13">
        <v>20316906</v>
      </c>
      <c r="H14" s="12" t="s">
        <v>72</v>
      </c>
      <c r="I14" s="13">
        <v>1</v>
      </c>
      <c r="J14" s="14">
        <v>11.55</v>
      </c>
      <c r="K14" s="14">
        <v>11.55</v>
      </c>
      <c r="L14">
        <f t="shared" si="0"/>
        <v>16.5</v>
      </c>
    </row>
    <row r="15" spans="1:12">
      <c r="D15" s="11">
        <v>46165</v>
      </c>
      <c r="E15" s="12">
        <v>1605852</v>
      </c>
      <c r="F15" s="12" t="s">
        <v>67</v>
      </c>
      <c r="G15" s="13">
        <v>20316541</v>
      </c>
      <c r="H15" s="12" t="s">
        <v>73</v>
      </c>
      <c r="I15" s="13">
        <v>1</v>
      </c>
      <c r="J15" s="14">
        <v>130.9</v>
      </c>
      <c r="K15" s="14">
        <v>130.9</v>
      </c>
      <c r="L15">
        <f t="shared" si="0"/>
        <v>187</v>
      </c>
    </row>
    <row r="16" spans="1:12">
      <c r="D16" s="11">
        <v>46165</v>
      </c>
      <c r="E16" s="12">
        <v>1605852</v>
      </c>
      <c r="F16" s="12" t="s">
        <v>67</v>
      </c>
      <c r="G16" s="13">
        <v>20316496</v>
      </c>
      <c r="H16" s="12" t="s">
        <v>67</v>
      </c>
      <c r="I16" s="13">
        <v>1</v>
      </c>
      <c r="J16" s="14">
        <v>177.1</v>
      </c>
      <c r="K16" s="14">
        <v>177.1</v>
      </c>
      <c r="L16">
        <f t="shared" si="0"/>
        <v>253</v>
      </c>
    </row>
    <row r="17" spans="4:12">
      <c r="D17" s="11">
        <v>46165</v>
      </c>
      <c r="E17" s="12">
        <v>1605852</v>
      </c>
      <c r="F17" s="12" t="s">
        <v>68</v>
      </c>
      <c r="G17" s="13">
        <v>20316627</v>
      </c>
      <c r="H17" s="12" t="s">
        <v>69</v>
      </c>
      <c r="I17" s="13">
        <v>1</v>
      </c>
      <c r="J17" s="14">
        <v>11.55</v>
      </c>
      <c r="K17" s="14">
        <v>11.55</v>
      </c>
      <c r="L17">
        <f t="shared" si="0"/>
        <v>16.5</v>
      </c>
    </row>
    <row r="18" spans="4:12">
      <c r="D18" s="11">
        <v>46165</v>
      </c>
      <c r="E18" s="12">
        <v>1605852</v>
      </c>
      <c r="F18" s="12" t="s">
        <v>68</v>
      </c>
      <c r="G18" s="13">
        <v>20316798</v>
      </c>
      <c r="H18" s="12" t="s">
        <v>70</v>
      </c>
      <c r="I18" s="13">
        <v>1</v>
      </c>
      <c r="J18" s="14">
        <v>15.4</v>
      </c>
      <c r="K18" s="14">
        <v>15.4</v>
      </c>
      <c r="L18">
        <f t="shared" si="0"/>
        <v>22</v>
      </c>
    </row>
    <row r="19" spans="4:12">
      <c r="D19" s="11">
        <v>46170</v>
      </c>
      <c r="E19" s="12">
        <v>1607273</v>
      </c>
      <c r="F19" s="12" t="s">
        <v>67</v>
      </c>
      <c r="G19" s="13">
        <v>20316496</v>
      </c>
      <c r="H19" s="12" t="s">
        <v>67</v>
      </c>
      <c r="I19" s="13">
        <v>1</v>
      </c>
      <c r="J19" s="14">
        <v>177.1</v>
      </c>
      <c r="K19" s="14">
        <v>177.1</v>
      </c>
      <c r="L19">
        <f t="shared" si="0"/>
        <v>253</v>
      </c>
    </row>
    <row r="20" spans="4:12">
      <c r="D20" s="11">
        <v>46170</v>
      </c>
      <c r="E20" s="12">
        <v>1607273</v>
      </c>
      <c r="F20" s="12" t="s">
        <v>16</v>
      </c>
      <c r="G20" s="13">
        <v>20380938</v>
      </c>
      <c r="H20" s="12" t="s">
        <v>74</v>
      </c>
      <c r="I20" s="13">
        <v>1</v>
      </c>
      <c r="J20" s="14">
        <v>5.6</v>
      </c>
      <c r="K20" s="14">
        <v>5.6</v>
      </c>
      <c r="L20">
        <f t="shared" si="0"/>
        <v>8</v>
      </c>
    </row>
    <row r="21" spans="4:12">
      <c r="D21" s="11">
        <v>46170</v>
      </c>
      <c r="E21" s="12">
        <v>1607273</v>
      </c>
      <c r="F21" s="12" t="s">
        <v>68</v>
      </c>
      <c r="G21" s="13">
        <v>20316627</v>
      </c>
      <c r="H21" s="12" t="s">
        <v>69</v>
      </c>
      <c r="I21" s="13">
        <v>1</v>
      </c>
      <c r="J21" s="14">
        <v>11.55</v>
      </c>
      <c r="K21" s="14">
        <v>11.55</v>
      </c>
      <c r="L21">
        <f t="shared" si="0"/>
        <v>16.5</v>
      </c>
    </row>
    <row r="22" spans="4:12">
      <c r="D22" s="11">
        <v>46170</v>
      </c>
      <c r="E22" s="12">
        <v>1607273</v>
      </c>
      <c r="F22" s="12" t="s">
        <v>68</v>
      </c>
      <c r="G22" s="13">
        <v>20316798</v>
      </c>
      <c r="H22" s="12" t="s">
        <v>70</v>
      </c>
      <c r="I22" s="13">
        <v>1</v>
      </c>
      <c r="J22" s="14">
        <v>15.4</v>
      </c>
      <c r="K22" s="14">
        <v>15.4</v>
      </c>
      <c r="L22">
        <f t="shared" si="0"/>
        <v>22</v>
      </c>
    </row>
    <row r="23" spans="4:12">
      <c r="D23" s="11">
        <v>46172</v>
      </c>
      <c r="E23" s="12">
        <v>1607890</v>
      </c>
      <c r="F23" s="12" t="s">
        <v>67</v>
      </c>
      <c r="G23" s="13">
        <v>20316554</v>
      </c>
      <c r="H23" s="12" t="s">
        <v>75</v>
      </c>
      <c r="I23" s="13">
        <v>1</v>
      </c>
      <c r="J23" s="14">
        <v>61.6</v>
      </c>
      <c r="K23" s="14">
        <v>61.6</v>
      </c>
      <c r="L23">
        <f t="shared" si="0"/>
        <v>88</v>
      </c>
    </row>
    <row r="24" spans="4:12">
      <c r="D24" s="11">
        <v>46172</v>
      </c>
      <c r="E24" s="12">
        <v>1607890</v>
      </c>
      <c r="F24" s="12" t="s">
        <v>13</v>
      </c>
      <c r="G24" s="13">
        <v>20316504</v>
      </c>
      <c r="H24" s="12" t="s">
        <v>71</v>
      </c>
      <c r="I24" s="13">
        <v>1</v>
      </c>
      <c r="J24" s="14">
        <v>100.1</v>
      </c>
      <c r="K24" s="14">
        <v>100.1</v>
      </c>
      <c r="L24">
        <f t="shared" si="0"/>
        <v>143</v>
      </c>
    </row>
    <row r="25" spans="4:12">
      <c r="D25" s="11">
        <v>46172</v>
      </c>
      <c r="E25" s="12">
        <v>1607890</v>
      </c>
      <c r="F25" s="12" t="s">
        <v>68</v>
      </c>
      <c r="G25" s="13">
        <v>20316627</v>
      </c>
      <c r="H25" s="12" t="s">
        <v>69</v>
      </c>
      <c r="I25" s="13">
        <v>1</v>
      </c>
      <c r="J25" s="14">
        <v>11.55</v>
      </c>
      <c r="K25" s="14">
        <v>11.55</v>
      </c>
      <c r="L25">
        <f t="shared" si="0"/>
        <v>16.5</v>
      </c>
    </row>
    <row r="26" spans="4:12">
      <c r="D26" s="11">
        <v>46172</v>
      </c>
      <c r="E26" s="12">
        <v>1607890</v>
      </c>
      <c r="F26" s="12" t="s">
        <v>68</v>
      </c>
      <c r="G26" s="13">
        <v>20316906</v>
      </c>
      <c r="H26" s="12" t="s">
        <v>72</v>
      </c>
      <c r="I26" s="13">
        <v>1</v>
      </c>
      <c r="J26" s="14">
        <v>11.55</v>
      </c>
      <c r="K26" s="14">
        <v>11.55</v>
      </c>
      <c r="L26">
        <f t="shared" si="0"/>
        <v>16.5</v>
      </c>
    </row>
    <row r="27" spans="4:12">
      <c r="D27" s="11">
        <v>46172</v>
      </c>
      <c r="E27" s="12">
        <v>1607890</v>
      </c>
      <c r="F27" s="12" t="s">
        <v>68</v>
      </c>
      <c r="G27" s="13">
        <v>20316567</v>
      </c>
      <c r="H27" s="12" t="s">
        <v>76</v>
      </c>
      <c r="I27" s="13">
        <v>1</v>
      </c>
      <c r="J27" s="14">
        <v>15.4</v>
      </c>
      <c r="K27" s="14">
        <v>15.4</v>
      </c>
      <c r="L27">
        <f t="shared" si="0"/>
        <v>22</v>
      </c>
    </row>
  </sheetData>
  <autoFilter xmlns:etc="http://www.wps.cn/officeDocument/2017/etCustomData" ref="A8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77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53</v>
      </c>
      <c r="J8" s="10"/>
      <c r="K8" s="10">
        <v>1062.6</v>
      </c>
    </row>
    <row r="9" spans="1:12">
      <c r="D9" s="11">
        <v>46144</v>
      </c>
      <c r="E9" s="12">
        <v>1600056</v>
      </c>
      <c r="F9" s="12" t="s">
        <v>16</v>
      </c>
      <c r="G9" s="13">
        <v>20318015</v>
      </c>
      <c r="H9" s="12" t="s">
        <v>78</v>
      </c>
      <c r="I9" s="13">
        <v>2</v>
      </c>
      <c r="J9" s="14">
        <v>11.55</v>
      </c>
      <c r="K9" s="14">
        <v>23.1</v>
      </c>
      <c r="L9">
        <f>J9/0.7</f>
        <v>16.5</v>
      </c>
    </row>
    <row r="10" spans="1:12">
      <c r="D10" s="11">
        <v>46144</v>
      </c>
      <c r="E10" s="12">
        <v>1600056</v>
      </c>
      <c r="F10" s="12" t="s">
        <v>13</v>
      </c>
      <c r="G10" s="13">
        <v>20316560</v>
      </c>
      <c r="H10" s="12" t="s">
        <v>79</v>
      </c>
      <c r="I10" s="13">
        <v>1</v>
      </c>
      <c r="J10" s="14">
        <v>23.1</v>
      </c>
      <c r="K10" s="14">
        <v>23.1</v>
      </c>
      <c r="L10">
        <f t="shared" ref="L10:L34" si="0">J10/0.7</f>
        <v>33</v>
      </c>
    </row>
    <row r="11" spans="1:12">
      <c r="D11" s="11">
        <v>46147</v>
      </c>
      <c r="E11" s="12">
        <v>1600290</v>
      </c>
      <c r="F11" s="12" t="s">
        <v>16</v>
      </c>
      <c r="G11" s="13">
        <v>20318015</v>
      </c>
      <c r="H11" s="12" t="s">
        <v>78</v>
      </c>
      <c r="I11" s="13">
        <v>1</v>
      </c>
      <c r="J11" s="14">
        <v>11.55</v>
      </c>
      <c r="K11" s="14">
        <v>11.55</v>
      </c>
      <c r="L11">
        <f t="shared" si="0"/>
        <v>16.5</v>
      </c>
    </row>
    <row r="12" spans="1:12">
      <c r="D12" s="11">
        <v>46147</v>
      </c>
      <c r="E12" s="12">
        <v>1600290</v>
      </c>
      <c r="F12" s="12" t="s">
        <v>13</v>
      </c>
      <c r="G12" s="13">
        <v>20316560</v>
      </c>
      <c r="H12" s="12" t="s">
        <v>79</v>
      </c>
      <c r="I12" s="13">
        <v>3</v>
      </c>
      <c r="J12" s="14">
        <v>23.1</v>
      </c>
      <c r="K12" s="14">
        <v>69.3</v>
      </c>
      <c r="L12">
        <f t="shared" si="0"/>
        <v>33</v>
      </c>
    </row>
    <row r="13" spans="1:12">
      <c r="D13" s="11">
        <v>46149</v>
      </c>
      <c r="E13" s="12">
        <v>1600841</v>
      </c>
      <c r="F13" s="12" t="s">
        <v>13</v>
      </c>
      <c r="G13" s="13">
        <v>20316560</v>
      </c>
      <c r="H13" s="12" t="s">
        <v>79</v>
      </c>
      <c r="I13" s="13">
        <v>4</v>
      </c>
      <c r="J13" s="14">
        <v>23.1</v>
      </c>
      <c r="K13" s="14">
        <v>92.4</v>
      </c>
      <c r="L13">
        <f t="shared" si="0"/>
        <v>33</v>
      </c>
    </row>
    <row r="14" spans="1:12">
      <c r="D14" s="11">
        <v>46149</v>
      </c>
      <c r="E14" s="12">
        <v>1600841</v>
      </c>
      <c r="F14" s="12" t="s">
        <v>68</v>
      </c>
      <c r="G14" s="13">
        <v>20316562</v>
      </c>
      <c r="H14" s="12" t="s">
        <v>80</v>
      </c>
      <c r="I14" s="13">
        <v>1</v>
      </c>
      <c r="J14" s="14">
        <v>11.55</v>
      </c>
      <c r="K14" s="14">
        <v>11.55</v>
      </c>
      <c r="L14">
        <f t="shared" si="0"/>
        <v>16.5</v>
      </c>
    </row>
    <row r="15" spans="1:12">
      <c r="D15" s="11">
        <v>46151</v>
      </c>
      <c r="E15" s="12">
        <v>1601678</v>
      </c>
      <c r="F15" s="12" t="s">
        <v>16</v>
      </c>
      <c r="G15" s="13">
        <v>20318015</v>
      </c>
      <c r="H15" s="12" t="s">
        <v>78</v>
      </c>
      <c r="I15" s="13">
        <v>1</v>
      </c>
      <c r="J15" s="14">
        <v>11.55</v>
      </c>
      <c r="K15" s="14">
        <v>11.55</v>
      </c>
      <c r="L15">
        <f t="shared" si="0"/>
        <v>16.5</v>
      </c>
    </row>
    <row r="16" spans="1:12">
      <c r="D16" s="11">
        <v>46151</v>
      </c>
      <c r="E16" s="12">
        <v>1601678</v>
      </c>
      <c r="F16" s="12" t="s">
        <v>13</v>
      </c>
      <c r="G16" s="13">
        <v>20316560</v>
      </c>
      <c r="H16" s="12" t="s">
        <v>79</v>
      </c>
      <c r="I16" s="13">
        <v>5</v>
      </c>
      <c r="J16" s="14">
        <v>23.1</v>
      </c>
      <c r="K16" s="14">
        <v>115.5</v>
      </c>
      <c r="L16">
        <f t="shared" si="0"/>
        <v>33</v>
      </c>
    </row>
    <row r="17" spans="4:12">
      <c r="D17" s="11">
        <v>46154</v>
      </c>
      <c r="E17" s="12">
        <v>1602404</v>
      </c>
      <c r="F17" s="12" t="s">
        <v>16</v>
      </c>
      <c r="G17" s="13">
        <v>20318015</v>
      </c>
      <c r="H17" s="12" t="s">
        <v>78</v>
      </c>
      <c r="I17" s="13">
        <v>1</v>
      </c>
      <c r="J17" s="14">
        <v>11.55</v>
      </c>
      <c r="K17" s="14">
        <v>11.55</v>
      </c>
      <c r="L17">
        <f t="shared" si="0"/>
        <v>16.5</v>
      </c>
    </row>
    <row r="18" spans="4:12">
      <c r="D18" s="11">
        <v>46154</v>
      </c>
      <c r="E18" s="12">
        <v>1602404</v>
      </c>
      <c r="F18" s="12" t="s">
        <v>13</v>
      </c>
      <c r="G18" s="13">
        <v>20316560</v>
      </c>
      <c r="H18" s="12" t="s">
        <v>79</v>
      </c>
      <c r="I18" s="13">
        <v>4</v>
      </c>
      <c r="J18" s="14">
        <v>23.1</v>
      </c>
      <c r="K18" s="14">
        <v>92.4</v>
      </c>
      <c r="L18">
        <f t="shared" si="0"/>
        <v>33</v>
      </c>
    </row>
    <row r="19" spans="4:12">
      <c r="D19" s="11">
        <v>46156</v>
      </c>
      <c r="E19" s="12">
        <v>1603146</v>
      </c>
      <c r="F19" s="12" t="s">
        <v>16</v>
      </c>
      <c r="G19" s="13">
        <v>20318015</v>
      </c>
      <c r="H19" s="12" t="s">
        <v>78</v>
      </c>
      <c r="I19" s="13">
        <v>1</v>
      </c>
      <c r="J19" s="14">
        <v>11.55</v>
      </c>
      <c r="K19" s="14">
        <v>11.55</v>
      </c>
      <c r="L19">
        <f t="shared" si="0"/>
        <v>16.5</v>
      </c>
    </row>
    <row r="20" spans="4:12">
      <c r="D20" s="11">
        <v>46156</v>
      </c>
      <c r="E20" s="12">
        <v>1603146</v>
      </c>
      <c r="F20" s="12" t="s">
        <v>13</v>
      </c>
      <c r="G20" s="13">
        <v>20316560</v>
      </c>
      <c r="H20" s="12" t="s">
        <v>79</v>
      </c>
      <c r="I20" s="13">
        <v>2</v>
      </c>
      <c r="J20" s="14">
        <v>23.1</v>
      </c>
      <c r="K20" s="14">
        <v>46.2</v>
      </c>
      <c r="L20">
        <f t="shared" si="0"/>
        <v>33</v>
      </c>
    </row>
    <row r="21" spans="4:12">
      <c r="D21" s="11">
        <v>46158</v>
      </c>
      <c r="E21" s="12">
        <v>1603793</v>
      </c>
      <c r="F21" s="12" t="s">
        <v>13</v>
      </c>
      <c r="G21" s="13">
        <v>20316560</v>
      </c>
      <c r="H21" s="12" t="s">
        <v>79</v>
      </c>
      <c r="I21" s="13">
        <v>3</v>
      </c>
      <c r="J21" s="14">
        <v>23.1</v>
      </c>
      <c r="K21" s="14">
        <v>69.3</v>
      </c>
      <c r="L21">
        <f t="shared" si="0"/>
        <v>33</v>
      </c>
    </row>
    <row r="22" spans="4:12">
      <c r="D22" s="11">
        <v>46158</v>
      </c>
      <c r="E22" s="12">
        <v>1603793</v>
      </c>
      <c r="F22" s="12" t="s">
        <v>68</v>
      </c>
      <c r="G22" s="13">
        <v>20316562</v>
      </c>
      <c r="H22" s="12" t="s">
        <v>80</v>
      </c>
      <c r="I22" s="13">
        <v>1</v>
      </c>
      <c r="J22" s="14">
        <v>11.55</v>
      </c>
      <c r="K22" s="14">
        <v>11.55</v>
      </c>
      <c r="L22">
        <f t="shared" si="0"/>
        <v>16.5</v>
      </c>
    </row>
    <row r="23" spans="4:12">
      <c r="D23" s="11">
        <v>46161</v>
      </c>
      <c r="E23" s="12">
        <v>1604413</v>
      </c>
      <c r="F23" s="12" t="s">
        <v>16</v>
      </c>
      <c r="G23" s="13">
        <v>20318015</v>
      </c>
      <c r="H23" s="12" t="s">
        <v>78</v>
      </c>
      <c r="I23" s="13">
        <v>1</v>
      </c>
      <c r="J23" s="14">
        <v>11.55</v>
      </c>
      <c r="K23" s="14">
        <v>11.55</v>
      </c>
      <c r="L23">
        <f t="shared" si="0"/>
        <v>16.5</v>
      </c>
    </row>
    <row r="24" spans="4:12">
      <c r="D24" s="11">
        <v>46161</v>
      </c>
      <c r="E24" s="12">
        <v>1604413</v>
      </c>
      <c r="F24" s="12" t="s">
        <v>13</v>
      </c>
      <c r="G24" s="13">
        <v>20316560</v>
      </c>
      <c r="H24" s="12" t="s">
        <v>79</v>
      </c>
      <c r="I24" s="13">
        <v>5</v>
      </c>
      <c r="J24" s="14">
        <v>23.1</v>
      </c>
      <c r="K24" s="14">
        <v>115.5</v>
      </c>
      <c r="L24">
        <f t="shared" si="0"/>
        <v>33</v>
      </c>
    </row>
    <row r="25" spans="4:12">
      <c r="D25" s="11">
        <v>46163</v>
      </c>
      <c r="E25" s="12">
        <v>1605180</v>
      </c>
      <c r="F25" s="12" t="s">
        <v>16</v>
      </c>
      <c r="G25" s="13">
        <v>20318015</v>
      </c>
      <c r="H25" s="12" t="s">
        <v>78</v>
      </c>
      <c r="I25" s="13">
        <v>1</v>
      </c>
      <c r="J25" s="14">
        <v>11.55</v>
      </c>
      <c r="K25" s="14">
        <v>11.55</v>
      </c>
      <c r="L25">
        <f t="shared" si="0"/>
        <v>16.5</v>
      </c>
    </row>
    <row r="26" spans="4:12">
      <c r="D26" s="11">
        <v>46163</v>
      </c>
      <c r="E26" s="12">
        <v>1605180</v>
      </c>
      <c r="F26" s="12" t="s">
        <v>13</v>
      </c>
      <c r="G26" s="13">
        <v>20316560</v>
      </c>
      <c r="H26" s="12" t="s">
        <v>79</v>
      </c>
      <c r="I26" s="13">
        <v>1</v>
      </c>
      <c r="J26" s="14">
        <v>23.1</v>
      </c>
      <c r="K26" s="14">
        <v>23.1</v>
      </c>
      <c r="L26">
        <f t="shared" si="0"/>
        <v>33</v>
      </c>
    </row>
    <row r="27" spans="4:12">
      <c r="D27" s="11">
        <v>46165</v>
      </c>
      <c r="E27" s="12">
        <v>1605853</v>
      </c>
      <c r="F27" s="12" t="s">
        <v>16</v>
      </c>
      <c r="G27" s="13">
        <v>20318015</v>
      </c>
      <c r="H27" s="12" t="s">
        <v>78</v>
      </c>
      <c r="I27" s="13">
        <v>1</v>
      </c>
      <c r="J27" s="14">
        <v>11.55</v>
      </c>
      <c r="K27" s="14">
        <v>11.55</v>
      </c>
      <c r="L27">
        <f t="shared" si="0"/>
        <v>16.5</v>
      </c>
    </row>
    <row r="28" spans="4:12">
      <c r="D28" s="11">
        <v>46165</v>
      </c>
      <c r="E28" s="12">
        <v>1605853</v>
      </c>
      <c r="F28" s="12" t="s">
        <v>13</v>
      </c>
      <c r="G28" s="13">
        <v>20316560</v>
      </c>
      <c r="H28" s="12" t="s">
        <v>79</v>
      </c>
      <c r="I28" s="13">
        <v>3</v>
      </c>
      <c r="J28" s="14">
        <v>23.1</v>
      </c>
      <c r="K28" s="14">
        <v>69.3</v>
      </c>
      <c r="L28">
        <f t="shared" si="0"/>
        <v>33</v>
      </c>
    </row>
    <row r="29" spans="4:12">
      <c r="D29" s="11">
        <v>46168</v>
      </c>
      <c r="E29" s="12">
        <v>1606531</v>
      </c>
      <c r="F29" s="12" t="s">
        <v>16</v>
      </c>
      <c r="G29" s="13">
        <v>20318015</v>
      </c>
      <c r="H29" s="12" t="s">
        <v>78</v>
      </c>
      <c r="I29" s="13">
        <v>1</v>
      </c>
      <c r="J29" s="14">
        <v>11.55</v>
      </c>
      <c r="K29" s="14">
        <v>11.55</v>
      </c>
      <c r="L29">
        <f t="shared" si="0"/>
        <v>16.5</v>
      </c>
    </row>
    <row r="30" spans="4:12">
      <c r="D30" s="11">
        <v>46168</v>
      </c>
      <c r="E30" s="12">
        <v>1606531</v>
      </c>
      <c r="F30" s="12" t="s">
        <v>13</v>
      </c>
      <c r="G30" s="13">
        <v>20316560</v>
      </c>
      <c r="H30" s="12" t="s">
        <v>79</v>
      </c>
      <c r="I30" s="13">
        <v>4</v>
      </c>
      <c r="J30" s="14">
        <v>23.1</v>
      </c>
      <c r="K30" s="14">
        <v>92.4</v>
      </c>
      <c r="L30">
        <f t="shared" si="0"/>
        <v>33</v>
      </c>
    </row>
    <row r="31" spans="4:12">
      <c r="D31" s="11">
        <v>46170</v>
      </c>
      <c r="E31" s="12">
        <v>1607274</v>
      </c>
      <c r="F31" s="12" t="s">
        <v>13</v>
      </c>
      <c r="G31" s="13">
        <v>20316560</v>
      </c>
      <c r="H31" s="12" t="s">
        <v>79</v>
      </c>
      <c r="I31" s="13">
        <v>3</v>
      </c>
      <c r="J31" s="14">
        <v>23.1</v>
      </c>
      <c r="K31" s="14">
        <v>69.3</v>
      </c>
      <c r="L31">
        <f t="shared" si="0"/>
        <v>33</v>
      </c>
    </row>
    <row r="32" spans="4:12">
      <c r="D32" s="11">
        <v>46170</v>
      </c>
      <c r="E32" s="12">
        <v>1607328</v>
      </c>
      <c r="F32" s="12" t="s">
        <v>68</v>
      </c>
      <c r="G32" s="13">
        <v>20316562</v>
      </c>
      <c r="H32" s="12" t="s">
        <v>80</v>
      </c>
      <c r="I32" s="13">
        <v>1</v>
      </c>
      <c r="J32" s="14">
        <v>11.55</v>
      </c>
      <c r="K32" s="14">
        <v>11.55</v>
      </c>
      <c r="L32">
        <f t="shared" si="0"/>
        <v>16.5</v>
      </c>
    </row>
    <row r="33" spans="4:12">
      <c r="D33" s="11">
        <v>46172</v>
      </c>
      <c r="E33" s="12">
        <v>1607891</v>
      </c>
      <c r="F33" s="12" t="s">
        <v>16</v>
      </c>
      <c r="G33" s="13">
        <v>20318015</v>
      </c>
      <c r="H33" s="12" t="s">
        <v>78</v>
      </c>
      <c r="I33" s="13">
        <v>1</v>
      </c>
      <c r="J33" s="14">
        <v>11.55</v>
      </c>
      <c r="K33" s="14">
        <v>11.55</v>
      </c>
      <c r="L33">
        <f t="shared" si="0"/>
        <v>16.5</v>
      </c>
    </row>
    <row r="34" spans="4:12">
      <c r="D34" s="11">
        <v>46172</v>
      </c>
      <c r="E34" s="12">
        <v>1607891</v>
      </c>
      <c r="F34" s="12" t="s">
        <v>13</v>
      </c>
      <c r="G34" s="13">
        <v>20316560</v>
      </c>
      <c r="H34" s="12" t="s">
        <v>79</v>
      </c>
      <c r="I34" s="13">
        <v>1</v>
      </c>
      <c r="J34" s="14">
        <v>23.1</v>
      </c>
      <c r="K34" s="14">
        <v>23.1</v>
      </c>
      <c r="L34">
        <f t="shared" si="0"/>
        <v>33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  <col min="12" max="12" width="12.625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81</v>
      </c>
      <c r="E8" s="8" t="s">
        <v>2</v>
      </c>
      <c r="F8" s="8" t="s">
        <v>2</v>
      </c>
      <c r="G8" s="8" t="s">
        <v>2</v>
      </c>
      <c r="H8" s="8" t="s">
        <v>2</v>
      </c>
      <c r="I8" s="9">
        <v>99</v>
      </c>
      <c r="J8" s="10"/>
      <c r="K8" s="10">
        <v>557.9</v>
      </c>
    </row>
    <row r="9" spans="1:12">
      <c r="D9" s="11">
        <v>46149</v>
      </c>
      <c r="E9" s="12">
        <v>1600842</v>
      </c>
      <c r="F9" s="12" t="s">
        <v>13</v>
      </c>
      <c r="G9" s="13">
        <v>20316548</v>
      </c>
      <c r="H9" s="12" t="s">
        <v>82</v>
      </c>
      <c r="I9" s="13">
        <v>2</v>
      </c>
      <c r="J9" s="14">
        <v>23.1</v>
      </c>
      <c r="K9" s="14">
        <v>46.2</v>
      </c>
      <c r="L9">
        <f>J9/0.7</f>
        <v>33</v>
      </c>
    </row>
    <row r="10" spans="1:12">
      <c r="D10" s="11">
        <v>46149</v>
      </c>
      <c r="E10" s="12">
        <v>1600842</v>
      </c>
      <c r="F10" s="12" t="s">
        <v>61</v>
      </c>
      <c r="G10" s="13">
        <v>20317963</v>
      </c>
      <c r="H10" s="12" t="s">
        <v>83</v>
      </c>
      <c r="I10" s="13">
        <v>2</v>
      </c>
      <c r="J10" s="14">
        <v>2.8</v>
      </c>
      <c r="K10" s="14">
        <v>5.6</v>
      </c>
      <c r="L10">
        <f t="shared" ref="L10:L44" si="0">J10/0.7</f>
        <v>4</v>
      </c>
    </row>
    <row r="11" spans="1:12">
      <c r="D11" s="11">
        <v>46149</v>
      </c>
      <c r="E11" s="12">
        <v>1600842</v>
      </c>
      <c r="F11" s="12" t="s">
        <v>61</v>
      </c>
      <c r="G11" s="13">
        <v>20316711</v>
      </c>
      <c r="H11" s="12" t="s">
        <v>84</v>
      </c>
      <c r="I11" s="13">
        <v>2</v>
      </c>
      <c r="J11" s="14">
        <v>1.75</v>
      </c>
      <c r="K11" s="14">
        <v>3.5</v>
      </c>
      <c r="L11">
        <f t="shared" si="0"/>
        <v>2.5</v>
      </c>
    </row>
    <row r="12" spans="1:12">
      <c r="D12" s="11">
        <v>46149</v>
      </c>
      <c r="E12" s="12">
        <v>1600842</v>
      </c>
      <c r="F12" s="12" t="s">
        <v>61</v>
      </c>
      <c r="G12" s="13">
        <v>20379232</v>
      </c>
      <c r="H12" s="12" t="s">
        <v>85</v>
      </c>
      <c r="I12" s="13">
        <v>2</v>
      </c>
      <c r="J12" s="14">
        <v>1.75</v>
      </c>
      <c r="K12" s="14">
        <v>3.5</v>
      </c>
      <c r="L12">
        <f t="shared" si="0"/>
        <v>2.5</v>
      </c>
    </row>
    <row r="13" spans="1:12">
      <c r="D13" s="11">
        <v>46156</v>
      </c>
      <c r="E13" s="12">
        <v>1603147</v>
      </c>
      <c r="F13" s="12" t="s">
        <v>13</v>
      </c>
      <c r="G13" s="13">
        <v>20316548</v>
      </c>
      <c r="H13" s="12" t="s">
        <v>82</v>
      </c>
      <c r="I13" s="13">
        <v>2</v>
      </c>
      <c r="J13" s="14">
        <v>23.1</v>
      </c>
      <c r="K13" s="14">
        <v>46.2</v>
      </c>
      <c r="L13">
        <f t="shared" si="0"/>
        <v>33</v>
      </c>
    </row>
    <row r="14" spans="1:12">
      <c r="D14" s="11">
        <v>46156</v>
      </c>
      <c r="E14" s="12">
        <v>1603147</v>
      </c>
      <c r="F14" s="12" t="s">
        <v>61</v>
      </c>
      <c r="G14" s="13">
        <v>20317963</v>
      </c>
      <c r="H14" s="12" t="s">
        <v>83</v>
      </c>
      <c r="I14" s="13">
        <v>2</v>
      </c>
      <c r="J14" s="14">
        <v>2.8</v>
      </c>
      <c r="K14" s="14">
        <v>5.6</v>
      </c>
      <c r="L14">
        <f t="shared" si="0"/>
        <v>4</v>
      </c>
    </row>
    <row r="15" spans="1:12">
      <c r="D15" s="11">
        <v>46156</v>
      </c>
      <c r="E15" s="12">
        <v>1603147</v>
      </c>
      <c r="F15" s="12" t="s">
        <v>61</v>
      </c>
      <c r="G15" s="13">
        <v>20316711</v>
      </c>
      <c r="H15" s="12" t="s">
        <v>84</v>
      </c>
      <c r="I15" s="13">
        <v>2</v>
      </c>
      <c r="J15" s="14">
        <v>1.75</v>
      </c>
      <c r="K15" s="14">
        <v>3.5</v>
      </c>
      <c r="L15">
        <f t="shared" si="0"/>
        <v>2.5</v>
      </c>
    </row>
    <row r="16" spans="1:12">
      <c r="D16" s="11">
        <v>46156</v>
      </c>
      <c r="E16" s="12">
        <v>1603147</v>
      </c>
      <c r="F16" s="12" t="s">
        <v>61</v>
      </c>
      <c r="G16" s="13">
        <v>20379232</v>
      </c>
      <c r="H16" s="12" t="s">
        <v>85</v>
      </c>
      <c r="I16" s="13">
        <v>2</v>
      </c>
      <c r="J16" s="14">
        <v>1.75</v>
      </c>
      <c r="K16" s="14">
        <v>3.5</v>
      </c>
      <c r="L16">
        <f t="shared" si="0"/>
        <v>2.5</v>
      </c>
    </row>
    <row r="17" spans="4:12">
      <c r="D17" s="11">
        <v>46158</v>
      </c>
      <c r="E17" s="12">
        <v>1603794</v>
      </c>
      <c r="F17" s="12" t="s">
        <v>16</v>
      </c>
      <c r="G17" s="13">
        <v>20322119</v>
      </c>
      <c r="H17" s="12" t="s">
        <v>18</v>
      </c>
      <c r="I17" s="13">
        <v>1</v>
      </c>
      <c r="J17" s="14">
        <v>11.55</v>
      </c>
      <c r="K17" s="14">
        <v>11.55</v>
      </c>
      <c r="L17">
        <f t="shared" si="0"/>
        <v>16.5</v>
      </c>
    </row>
    <row r="18" spans="4:12">
      <c r="D18" s="11">
        <v>46158</v>
      </c>
      <c r="E18" s="12">
        <v>1603794</v>
      </c>
      <c r="F18" s="12" t="s">
        <v>13</v>
      </c>
      <c r="G18" s="13">
        <v>20316548</v>
      </c>
      <c r="H18" s="12" t="s">
        <v>82</v>
      </c>
      <c r="I18" s="13">
        <v>4</v>
      </c>
      <c r="J18" s="14">
        <v>23.1</v>
      </c>
      <c r="K18" s="14">
        <v>92.4</v>
      </c>
      <c r="L18">
        <f t="shared" si="0"/>
        <v>33</v>
      </c>
    </row>
    <row r="19" spans="4:12">
      <c r="D19" s="11">
        <v>46158</v>
      </c>
      <c r="E19" s="12">
        <v>1603794</v>
      </c>
      <c r="F19" s="12" t="s">
        <v>61</v>
      </c>
      <c r="G19" s="13">
        <v>20317963</v>
      </c>
      <c r="H19" s="12" t="s">
        <v>83</v>
      </c>
      <c r="I19" s="13">
        <v>4</v>
      </c>
      <c r="J19" s="14">
        <v>2.8</v>
      </c>
      <c r="K19" s="14">
        <v>11.2</v>
      </c>
      <c r="L19">
        <f t="shared" si="0"/>
        <v>4</v>
      </c>
    </row>
    <row r="20" spans="4:12">
      <c r="D20" s="11">
        <v>46158</v>
      </c>
      <c r="E20" s="12">
        <v>1603794</v>
      </c>
      <c r="F20" s="12" t="s">
        <v>61</v>
      </c>
      <c r="G20" s="13">
        <v>20316711</v>
      </c>
      <c r="H20" s="12" t="s">
        <v>84</v>
      </c>
      <c r="I20" s="13">
        <v>20</v>
      </c>
      <c r="J20" s="14">
        <v>1.75</v>
      </c>
      <c r="K20" s="14">
        <v>35</v>
      </c>
      <c r="L20">
        <f t="shared" si="0"/>
        <v>2.5</v>
      </c>
    </row>
    <row r="21" spans="4:12">
      <c r="D21" s="11">
        <v>46158</v>
      </c>
      <c r="E21" s="12">
        <v>1603794</v>
      </c>
      <c r="F21" s="12" t="s">
        <v>61</v>
      </c>
      <c r="G21" s="13">
        <v>20379232</v>
      </c>
      <c r="H21" s="12" t="s">
        <v>85</v>
      </c>
      <c r="I21" s="13">
        <v>10</v>
      </c>
      <c r="J21" s="14">
        <v>1.75</v>
      </c>
      <c r="K21" s="14">
        <v>17.5</v>
      </c>
      <c r="L21">
        <f t="shared" si="0"/>
        <v>2.5</v>
      </c>
    </row>
    <row r="22" spans="4:12">
      <c r="D22" s="11">
        <v>46165</v>
      </c>
      <c r="E22" s="12">
        <v>1605854</v>
      </c>
      <c r="F22" s="12" t="s">
        <v>16</v>
      </c>
      <c r="G22" s="13">
        <v>20355070</v>
      </c>
      <c r="H22" s="12" t="s">
        <v>86</v>
      </c>
      <c r="I22" s="13">
        <v>1</v>
      </c>
      <c r="J22" s="14">
        <v>5.6</v>
      </c>
      <c r="K22" s="14">
        <v>5.6</v>
      </c>
      <c r="L22">
        <f t="shared" si="0"/>
        <v>8</v>
      </c>
    </row>
    <row r="23" spans="4:12">
      <c r="D23" s="11">
        <v>46165</v>
      </c>
      <c r="E23" s="12">
        <v>1605854</v>
      </c>
      <c r="F23" s="12" t="s">
        <v>16</v>
      </c>
      <c r="G23" s="13">
        <v>20322119</v>
      </c>
      <c r="H23" s="12" t="s">
        <v>18</v>
      </c>
      <c r="I23" s="13">
        <v>1</v>
      </c>
      <c r="J23" s="14">
        <v>11.55</v>
      </c>
      <c r="K23" s="14">
        <v>11.55</v>
      </c>
      <c r="L23">
        <f t="shared" si="0"/>
        <v>16.5</v>
      </c>
    </row>
    <row r="24" spans="4:12">
      <c r="D24" s="11">
        <v>46165</v>
      </c>
      <c r="E24" s="12">
        <v>1605854</v>
      </c>
      <c r="F24" s="12" t="s">
        <v>13</v>
      </c>
      <c r="G24" s="13">
        <v>20316548</v>
      </c>
      <c r="H24" s="12" t="s">
        <v>82</v>
      </c>
      <c r="I24" s="13">
        <v>1</v>
      </c>
      <c r="J24" s="14">
        <v>23.1</v>
      </c>
      <c r="K24" s="14">
        <v>23.1</v>
      </c>
      <c r="L24">
        <f t="shared" si="0"/>
        <v>33</v>
      </c>
    </row>
    <row r="25" spans="4:12">
      <c r="D25" s="11">
        <v>46165</v>
      </c>
      <c r="E25" s="12">
        <v>1605854</v>
      </c>
      <c r="F25" s="12" t="s">
        <v>61</v>
      </c>
      <c r="G25" s="13">
        <v>20317963</v>
      </c>
      <c r="H25" s="12" t="s">
        <v>83</v>
      </c>
      <c r="I25" s="13">
        <v>1</v>
      </c>
      <c r="J25" s="14">
        <v>2.8</v>
      </c>
      <c r="K25" s="14">
        <v>2.8</v>
      </c>
      <c r="L25">
        <f t="shared" si="0"/>
        <v>4</v>
      </c>
    </row>
    <row r="26" spans="4:12">
      <c r="D26" s="11">
        <v>46165</v>
      </c>
      <c r="E26" s="12">
        <v>1605854</v>
      </c>
      <c r="F26" s="12" t="s">
        <v>61</v>
      </c>
      <c r="G26" s="13">
        <v>20316711</v>
      </c>
      <c r="H26" s="12" t="s">
        <v>84</v>
      </c>
      <c r="I26" s="13">
        <v>1</v>
      </c>
      <c r="J26" s="14">
        <v>1.75</v>
      </c>
      <c r="K26" s="14">
        <v>1.75</v>
      </c>
      <c r="L26">
        <f t="shared" si="0"/>
        <v>2.5</v>
      </c>
    </row>
    <row r="27" spans="4:12">
      <c r="D27" s="11">
        <v>46165</v>
      </c>
      <c r="E27" s="12">
        <v>1605854</v>
      </c>
      <c r="F27" s="12" t="s">
        <v>61</v>
      </c>
      <c r="G27" s="13">
        <v>20379232</v>
      </c>
      <c r="H27" s="12" t="s">
        <v>85</v>
      </c>
      <c r="I27" s="13">
        <v>1</v>
      </c>
      <c r="J27" s="14">
        <v>1.75</v>
      </c>
      <c r="K27" s="14">
        <v>1.75</v>
      </c>
      <c r="L27">
        <f t="shared" si="0"/>
        <v>2.5</v>
      </c>
    </row>
    <row r="28" spans="4:12">
      <c r="D28" s="11">
        <v>46168</v>
      </c>
      <c r="E28" s="12">
        <v>1606532</v>
      </c>
      <c r="F28" s="12" t="s">
        <v>16</v>
      </c>
      <c r="G28" s="13">
        <v>20355072</v>
      </c>
      <c r="H28" s="12" t="s">
        <v>87</v>
      </c>
      <c r="I28" s="13">
        <v>1</v>
      </c>
      <c r="J28" s="14">
        <v>5.6</v>
      </c>
      <c r="K28" s="14">
        <v>5.6</v>
      </c>
      <c r="L28">
        <f t="shared" si="0"/>
        <v>8</v>
      </c>
    </row>
    <row r="29" spans="4:12">
      <c r="D29" s="11">
        <v>46168</v>
      </c>
      <c r="E29" s="12">
        <v>1606532</v>
      </c>
      <c r="F29" s="12" t="s">
        <v>13</v>
      </c>
      <c r="G29" s="13">
        <v>20316548</v>
      </c>
      <c r="H29" s="12" t="s">
        <v>82</v>
      </c>
      <c r="I29" s="13">
        <v>2</v>
      </c>
      <c r="J29" s="14">
        <v>23.1</v>
      </c>
      <c r="K29" s="14">
        <v>46.2</v>
      </c>
      <c r="L29">
        <f t="shared" si="0"/>
        <v>33</v>
      </c>
    </row>
    <row r="30" spans="4:12">
      <c r="D30" s="11">
        <v>46168</v>
      </c>
      <c r="E30" s="12">
        <v>1606532</v>
      </c>
      <c r="F30" s="12" t="s">
        <v>61</v>
      </c>
      <c r="G30" s="13">
        <v>20317963</v>
      </c>
      <c r="H30" s="12" t="s">
        <v>83</v>
      </c>
      <c r="I30" s="13">
        <v>2</v>
      </c>
      <c r="J30" s="14">
        <v>2.8</v>
      </c>
      <c r="K30" s="14">
        <v>5.6</v>
      </c>
      <c r="L30">
        <f t="shared" si="0"/>
        <v>4</v>
      </c>
    </row>
    <row r="31" spans="4:12">
      <c r="D31" s="11">
        <v>46168</v>
      </c>
      <c r="E31" s="12">
        <v>1606532</v>
      </c>
      <c r="F31" s="12" t="s">
        <v>61</v>
      </c>
      <c r="G31" s="13">
        <v>20316711</v>
      </c>
      <c r="H31" s="12" t="s">
        <v>84</v>
      </c>
      <c r="I31" s="13">
        <v>2</v>
      </c>
      <c r="J31" s="14">
        <v>1.75</v>
      </c>
      <c r="K31" s="14">
        <v>3.5</v>
      </c>
      <c r="L31">
        <f t="shared" si="0"/>
        <v>2.5</v>
      </c>
    </row>
    <row r="32" spans="4:12">
      <c r="D32" s="11">
        <v>46168</v>
      </c>
      <c r="E32" s="12">
        <v>1606532</v>
      </c>
      <c r="F32" s="12" t="s">
        <v>61</v>
      </c>
      <c r="G32" s="13">
        <v>20379232</v>
      </c>
      <c r="H32" s="12" t="s">
        <v>85</v>
      </c>
      <c r="I32" s="13">
        <v>2</v>
      </c>
      <c r="J32" s="14">
        <v>1.75</v>
      </c>
      <c r="K32" s="14">
        <v>3.5</v>
      </c>
      <c r="L32">
        <f t="shared" si="0"/>
        <v>2.5</v>
      </c>
    </row>
    <row r="33" spans="4:12">
      <c r="D33" s="11">
        <v>46170</v>
      </c>
      <c r="E33" s="12">
        <v>1607275</v>
      </c>
      <c r="F33" s="12" t="s">
        <v>16</v>
      </c>
      <c r="G33" s="13">
        <v>20355076</v>
      </c>
      <c r="H33" s="12" t="s">
        <v>88</v>
      </c>
      <c r="I33" s="13">
        <v>1</v>
      </c>
      <c r="J33" s="14">
        <v>5.6</v>
      </c>
      <c r="K33" s="14">
        <v>5.6</v>
      </c>
      <c r="L33">
        <f t="shared" si="0"/>
        <v>8</v>
      </c>
    </row>
    <row r="34" spans="4:12">
      <c r="D34" s="11">
        <v>46170</v>
      </c>
      <c r="E34" s="12">
        <v>1607275</v>
      </c>
      <c r="F34" s="12" t="s">
        <v>13</v>
      </c>
      <c r="G34" s="13">
        <v>20316548</v>
      </c>
      <c r="H34" s="12" t="s">
        <v>82</v>
      </c>
      <c r="I34" s="13">
        <v>1</v>
      </c>
      <c r="J34" s="14">
        <v>23.1</v>
      </c>
      <c r="K34" s="14">
        <v>23.1</v>
      </c>
      <c r="L34">
        <f t="shared" si="0"/>
        <v>33</v>
      </c>
    </row>
    <row r="35" spans="4:12">
      <c r="D35" s="11">
        <v>46170</v>
      </c>
      <c r="E35" s="12">
        <v>1607275</v>
      </c>
      <c r="F35" s="12" t="s">
        <v>61</v>
      </c>
      <c r="G35" s="13">
        <v>20317963</v>
      </c>
      <c r="H35" s="12" t="s">
        <v>83</v>
      </c>
      <c r="I35" s="13">
        <v>1</v>
      </c>
      <c r="J35" s="14">
        <v>2.8</v>
      </c>
      <c r="K35" s="14">
        <v>2.8</v>
      </c>
      <c r="L35">
        <f t="shared" si="0"/>
        <v>4</v>
      </c>
    </row>
    <row r="36" spans="4:12">
      <c r="D36" s="11">
        <v>46170</v>
      </c>
      <c r="E36" s="12">
        <v>1607275</v>
      </c>
      <c r="F36" s="12" t="s">
        <v>61</v>
      </c>
      <c r="G36" s="13">
        <v>20316711</v>
      </c>
      <c r="H36" s="12" t="s">
        <v>84</v>
      </c>
      <c r="I36" s="13">
        <v>1</v>
      </c>
      <c r="J36" s="14">
        <v>1.75</v>
      </c>
      <c r="K36" s="14">
        <v>1.75</v>
      </c>
      <c r="L36">
        <f t="shared" si="0"/>
        <v>2.5</v>
      </c>
    </row>
    <row r="37" spans="4:12">
      <c r="D37" s="11">
        <v>46170</v>
      </c>
      <c r="E37" s="12">
        <v>1607275</v>
      </c>
      <c r="F37" s="12" t="s">
        <v>61</v>
      </c>
      <c r="G37" s="13">
        <v>20379232</v>
      </c>
      <c r="H37" s="12" t="s">
        <v>85</v>
      </c>
      <c r="I37" s="13">
        <v>1</v>
      </c>
      <c r="J37" s="14">
        <v>1.75</v>
      </c>
      <c r="K37" s="14">
        <v>1.75</v>
      </c>
      <c r="L37">
        <f t="shared" si="0"/>
        <v>2.5</v>
      </c>
    </row>
    <row r="38" spans="4:12">
      <c r="D38" s="11">
        <v>46172</v>
      </c>
      <c r="E38" s="12">
        <v>1607892</v>
      </c>
      <c r="F38" s="12" t="s">
        <v>16</v>
      </c>
      <c r="G38" s="13">
        <v>20355073</v>
      </c>
      <c r="H38" s="12" t="s">
        <v>89</v>
      </c>
      <c r="I38" s="13">
        <v>1</v>
      </c>
      <c r="J38" s="14">
        <v>5.6</v>
      </c>
      <c r="K38" s="14">
        <v>5.6</v>
      </c>
      <c r="L38">
        <f t="shared" si="0"/>
        <v>8</v>
      </c>
    </row>
    <row r="39" spans="4:12">
      <c r="D39" s="11">
        <v>46172</v>
      </c>
      <c r="E39" s="12">
        <v>1607892</v>
      </c>
      <c r="F39" s="12" t="s">
        <v>16</v>
      </c>
      <c r="G39" s="13">
        <v>20322119</v>
      </c>
      <c r="H39" s="12" t="s">
        <v>18</v>
      </c>
      <c r="I39" s="13">
        <v>1</v>
      </c>
      <c r="J39" s="14">
        <v>11.55</v>
      </c>
      <c r="K39" s="14">
        <v>11.55</v>
      </c>
      <c r="L39">
        <f t="shared" si="0"/>
        <v>16.5</v>
      </c>
    </row>
    <row r="40" spans="4:12">
      <c r="D40" s="11">
        <v>46172</v>
      </c>
      <c r="E40" s="12">
        <v>1607892</v>
      </c>
      <c r="F40" s="12" t="s">
        <v>16</v>
      </c>
      <c r="G40" s="13">
        <v>20355077</v>
      </c>
      <c r="H40" s="12" t="s">
        <v>90</v>
      </c>
      <c r="I40" s="13">
        <v>1</v>
      </c>
      <c r="J40" s="14">
        <v>5.6</v>
      </c>
      <c r="K40" s="14">
        <v>5.6</v>
      </c>
      <c r="L40">
        <f t="shared" si="0"/>
        <v>8</v>
      </c>
    </row>
    <row r="41" spans="4:12">
      <c r="D41" s="11">
        <v>46172</v>
      </c>
      <c r="E41" s="12">
        <v>1607892</v>
      </c>
      <c r="F41" s="12" t="s">
        <v>13</v>
      </c>
      <c r="G41" s="13">
        <v>20316548</v>
      </c>
      <c r="H41" s="12" t="s">
        <v>82</v>
      </c>
      <c r="I41" s="13">
        <v>3</v>
      </c>
      <c r="J41" s="14">
        <v>23.1</v>
      </c>
      <c r="K41" s="14">
        <v>69.3</v>
      </c>
      <c r="L41">
        <f t="shared" si="0"/>
        <v>33</v>
      </c>
    </row>
    <row r="42" spans="4:12">
      <c r="D42" s="11">
        <v>46172</v>
      </c>
      <c r="E42" s="12">
        <v>1607892</v>
      </c>
      <c r="F42" s="12" t="s">
        <v>61</v>
      </c>
      <c r="G42" s="13">
        <v>20317963</v>
      </c>
      <c r="H42" s="12" t="s">
        <v>83</v>
      </c>
      <c r="I42" s="13">
        <v>3</v>
      </c>
      <c r="J42" s="14">
        <v>2.8</v>
      </c>
      <c r="K42" s="14">
        <v>8.4</v>
      </c>
      <c r="L42">
        <f t="shared" si="0"/>
        <v>4</v>
      </c>
    </row>
    <row r="43" spans="4:12">
      <c r="D43" s="11">
        <v>46172</v>
      </c>
      <c r="E43" s="12">
        <v>1607892</v>
      </c>
      <c r="F43" s="12" t="s">
        <v>61</v>
      </c>
      <c r="G43" s="13">
        <v>20316711</v>
      </c>
      <c r="H43" s="12" t="s">
        <v>84</v>
      </c>
      <c r="I43" s="13">
        <v>10</v>
      </c>
      <c r="J43" s="14">
        <v>1.75</v>
      </c>
      <c r="K43" s="14">
        <v>17.5</v>
      </c>
      <c r="L43">
        <f t="shared" si="0"/>
        <v>2.5</v>
      </c>
    </row>
    <row r="44" spans="4:12">
      <c r="D44" s="11">
        <v>46172</v>
      </c>
      <c r="E44" s="12">
        <v>1607892</v>
      </c>
      <c r="F44" s="12" t="s">
        <v>61</v>
      </c>
      <c r="G44" s="13">
        <v>20379232</v>
      </c>
      <c r="H44" s="12" t="s">
        <v>85</v>
      </c>
      <c r="I44" s="13">
        <v>5</v>
      </c>
      <c r="J44" s="14">
        <v>1.75</v>
      </c>
      <c r="K44" s="14">
        <v>8.75</v>
      </c>
      <c r="L44">
        <f t="shared" si="0"/>
        <v>2.5</v>
      </c>
    </row>
    <row r="45" ht="0.05" customHeight="1"/>
  </sheetData>
  <autoFilter xmlns:etc="http://www.wps.cn/officeDocument/2017/etCustomData" ref="A8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91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719.25</v>
      </c>
    </row>
    <row r="9" spans="1:12">
      <c r="D9" s="11">
        <v>46144</v>
      </c>
      <c r="E9" s="12">
        <v>1600057</v>
      </c>
      <c r="F9" s="12" t="s">
        <v>13</v>
      </c>
      <c r="G9" s="13">
        <v>20316568</v>
      </c>
      <c r="H9" s="12" t="s">
        <v>48</v>
      </c>
      <c r="I9" s="13">
        <v>3</v>
      </c>
      <c r="J9" s="14">
        <v>26.95</v>
      </c>
      <c r="K9" s="14">
        <v>80.85</v>
      </c>
      <c r="L9">
        <f>J9/0.7</f>
        <v>38.5</v>
      </c>
    </row>
    <row r="10" spans="1:12">
      <c r="D10" s="11">
        <v>46147</v>
      </c>
      <c r="E10" s="12">
        <v>1600291</v>
      </c>
      <c r="F10" s="12" t="s">
        <v>16</v>
      </c>
      <c r="G10" s="13">
        <v>20316907</v>
      </c>
      <c r="H10" s="12" t="s">
        <v>92</v>
      </c>
      <c r="I10" s="13">
        <v>4</v>
      </c>
      <c r="J10" s="14">
        <v>9.1</v>
      </c>
      <c r="K10" s="14">
        <v>36.4</v>
      </c>
      <c r="L10">
        <f t="shared" ref="L10:L26" si="0">J10/0.7</f>
        <v>13</v>
      </c>
    </row>
    <row r="11" spans="1:12">
      <c r="D11" s="11">
        <v>46147</v>
      </c>
      <c r="E11" s="12">
        <v>1600291</v>
      </c>
      <c r="F11" s="12" t="s">
        <v>13</v>
      </c>
      <c r="G11" s="13">
        <v>20316568</v>
      </c>
      <c r="H11" s="12" t="s">
        <v>48</v>
      </c>
      <c r="I11" s="13">
        <v>2</v>
      </c>
      <c r="J11" s="14">
        <v>26.95</v>
      </c>
      <c r="K11" s="14">
        <v>53.9</v>
      </c>
      <c r="L11">
        <f t="shared" si="0"/>
        <v>38.5</v>
      </c>
    </row>
    <row r="12" spans="1:12">
      <c r="D12" s="11">
        <v>46147</v>
      </c>
      <c r="E12" s="12">
        <v>1600291</v>
      </c>
      <c r="F12" s="12" t="s">
        <v>68</v>
      </c>
      <c r="G12" s="13">
        <v>20316766</v>
      </c>
      <c r="H12" s="12" t="s">
        <v>93</v>
      </c>
      <c r="I12" s="13">
        <v>1</v>
      </c>
      <c r="J12" s="14">
        <v>15.4</v>
      </c>
      <c r="K12" s="14">
        <v>15.4</v>
      </c>
      <c r="L12">
        <f t="shared" si="0"/>
        <v>22</v>
      </c>
    </row>
    <row r="13" spans="1:12">
      <c r="D13" s="11">
        <v>46149</v>
      </c>
      <c r="E13" s="12">
        <v>1600843</v>
      </c>
      <c r="F13" s="12" t="s">
        <v>13</v>
      </c>
      <c r="G13" s="13">
        <v>20316568</v>
      </c>
      <c r="H13" s="12" t="s">
        <v>48</v>
      </c>
      <c r="I13" s="13">
        <v>3</v>
      </c>
      <c r="J13" s="14">
        <v>26.95</v>
      </c>
      <c r="K13" s="14">
        <v>80.85</v>
      </c>
      <c r="L13">
        <f t="shared" si="0"/>
        <v>38.5</v>
      </c>
    </row>
    <row r="14" spans="1:12">
      <c r="D14" s="11">
        <v>46154</v>
      </c>
      <c r="E14" s="12">
        <v>1602405</v>
      </c>
      <c r="F14" s="12" t="s">
        <v>16</v>
      </c>
      <c r="G14" s="13">
        <v>20316907</v>
      </c>
      <c r="H14" s="12" t="s">
        <v>92</v>
      </c>
      <c r="I14" s="13">
        <v>4</v>
      </c>
      <c r="J14" s="14">
        <v>9.1</v>
      </c>
      <c r="K14" s="14">
        <v>36.4</v>
      </c>
      <c r="L14">
        <f t="shared" si="0"/>
        <v>13</v>
      </c>
    </row>
    <row r="15" spans="1:12">
      <c r="D15" s="11">
        <v>46154</v>
      </c>
      <c r="E15" s="12">
        <v>1602405</v>
      </c>
      <c r="F15" s="12" t="s">
        <v>13</v>
      </c>
      <c r="G15" s="13">
        <v>20316568</v>
      </c>
      <c r="H15" s="12" t="s">
        <v>48</v>
      </c>
      <c r="I15" s="13">
        <v>1</v>
      </c>
      <c r="J15" s="14">
        <v>26.95</v>
      </c>
      <c r="K15" s="14">
        <v>26.95</v>
      </c>
      <c r="L15">
        <f t="shared" si="0"/>
        <v>38.5</v>
      </c>
    </row>
    <row r="16" spans="1:12">
      <c r="D16" s="11">
        <v>46154</v>
      </c>
      <c r="E16" s="12">
        <v>1602405</v>
      </c>
      <c r="F16" s="12" t="s">
        <v>68</v>
      </c>
      <c r="G16" s="13">
        <v>20370247</v>
      </c>
      <c r="H16" s="12" t="s">
        <v>94</v>
      </c>
      <c r="I16" s="13">
        <v>1</v>
      </c>
      <c r="J16" s="14">
        <v>15.4</v>
      </c>
      <c r="K16" s="14">
        <v>15.4</v>
      </c>
      <c r="L16">
        <f t="shared" si="0"/>
        <v>22</v>
      </c>
    </row>
    <row r="17" spans="4:12">
      <c r="D17" s="11">
        <v>46156</v>
      </c>
      <c r="E17" s="12">
        <v>1603148</v>
      </c>
      <c r="F17" s="12" t="s">
        <v>13</v>
      </c>
      <c r="G17" s="13">
        <v>20316568</v>
      </c>
      <c r="H17" s="12" t="s">
        <v>48</v>
      </c>
      <c r="I17" s="13">
        <v>2</v>
      </c>
      <c r="J17" s="14">
        <v>26.95</v>
      </c>
      <c r="K17" s="14">
        <v>53.9</v>
      </c>
      <c r="L17">
        <f t="shared" si="0"/>
        <v>38.5</v>
      </c>
    </row>
    <row r="18" spans="4:12">
      <c r="D18" s="11">
        <v>46161</v>
      </c>
      <c r="E18" s="12">
        <v>1604414</v>
      </c>
      <c r="F18" s="12" t="s">
        <v>16</v>
      </c>
      <c r="G18" s="13">
        <v>20316907</v>
      </c>
      <c r="H18" s="12" t="s">
        <v>92</v>
      </c>
      <c r="I18" s="13">
        <v>4</v>
      </c>
      <c r="J18" s="14">
        <v>9.1</v>
      </c>
      <c r="K18" s="14">
        <v>36.4</v>
      </c>
      <c r="L18">
        <f t="shared" si="0"/>
        <v>13</v>
      </c>
    </row>
    <row r="19" spans="4:12">
      <c r="D19" s="11">
        <v>46161</v>
      </c>
      <c r="E19" s="12">
        <v>1604414</v>
      </c>
      <c r="F19" s="12" t="s">
        <v>13</v>
      </c>
      <c r="G19" s="13">
        <v>20316568</v>
      </c>
      <c r="H19" s="12" t="s">
        <v>48</v>
      </c>
      <c r="I19" s="13">
        <v>1</v>
      </c>
      <c r="J19" s="14">
        <v>26.95</v>
      </c>
      <c r="K19" s="14">
        <v>26.95</v>
      </c>
      <c r="L19">
        <f t="shared" si="0"/>
        <v>38.5</v>
      </c>
    </row>
    <row r="20" spans="4:12">
      <c r="D20" s="11">
        <v>46161</v>
      </c>
      <c r="E20" s="12">
        <v>1604414</v>
      </c>
      <c r="F20" s="12" t="s">
        <v>68</v>
      </c>
      <c r="G20" s="13">
        <v>20316766</v>
      </c>
      <c r="H20" s="12" t="s">
        <v>93</v>
      </c>
      <c r="I20" s="13">
        <v>1</v>
      </c>
      <c r="J20" s="14">
        <v>15.4</v>
      </c>
      <c r="K20" s="14">
        <v>15.4</v>
      </c>
      <c r="L20">
        <f t="shared" si="0"/>
        <v>22</v>
      </c>
    </row>
    <row r="21" spans="4:12">
      <c r="D21" s="11">
        <v>46163</v>
      </c>
      <c r="E21" s="12">
        <v>1605181</v>
      </c>
      <c r="F21" s="12" t="s">
        <v>13</v>
      </c>
      <c r="G21" s="13">
        <v>20316568</v>
      </c>
      <c r="H21" s="12" t="s">
        <v>48</v>
      </c>
      <c r="I21" s="13">
        <v>1</v>
      </c>
      <c r="J21" s="14">
        <v>26.95</v>
      </c>
      <c r="K21" s="14">
        <v>26.95</v>
      </c>
      <c r="L21">
        <f t="shared" si="0"/>
        <v>38.5</v>
      </c>
    </row>
    <row r="22" spans="4:12">
      <c r="D22" s="11">
        <v>46165</v>
      </c>
      <c r="E22" s="12">
        <v>1605855</v>
      </c>
      <c r="F22" s="12" t="s">
        <v>13</v>
      </c>
      <c r="G22" s="13">
        <v>20316568</v>
      </c>
      <c r="H22" s="12" t="s">
        <v>48</v>
      </c>
      <c r="I22" s="13">
        <v>4</v>
      </c>
      <c r="J22" s="14">
        <v>26.95</v>
      </c>
      <c r="K22" s="14">
        <v>107.8</v>
      </c>
      <c r="L22">
        <f t="shared" si="0"/>
        <v>38.5</v>
      </c>
    </row>
    <row r="23" spans="4:12">
      <c r="D23" s="11">
        <v>46168</v>
      </c>
      <c r="E23" s="12">
        <v>1606533</v>
      </c>
      <c r="F23" s="12" t="s">
        <v>16</v>
      </c>
      <c r="G23" s="13">
        <v>20316907</v>
      </c>
      <c r="H23" s="12" t="s">
        <v>92</v>
      </c>
      <c r="I23" s="13">
        <v>4</v>
      </c>
      <c r="J23" s="14">
        <v>9.1</v>
      </c>
      <c r="K23" s="14">
        <v>36.4</v>
      </c>
      <c r="L23">
        <f t="shared" si="0"/>
        <v>13</v>
      </c>
    </row>
    <row r="24" spans="4:12">
      <c r="D24" s="11">
        <v>46168</v>
      </c>
      <c r="E24" s="12">
        <v>1606533</v>
      </c>
      <c r="F24" s="12" t="s">
        <v>68</v>
      </c>
      <c r="G24" s="13">
        <v>20316766</v>
      </c>
      <c r="H24" s="12" t="s">
        <v>93</v>
      </c>
      <c r="I24" s="13">
        <v>1</v>
      </c>
      <c r="J24" s="14">
        <v>15.4</v>
      </c>
      <c r="K24" s="14">
        <v>15.4</v>
      </c>
      <c r="L24">
        <f t="shared" si="0"/>
        <v>22</v>
      </c>
    </row>
    <row r="25" spans="4:12">
      <c r="D25" s="11">
        <v>46170</v>
      </c>
      <c r="E25" s="12">
        <v>1607276</v>
      </c>
      <c r="F25" s="12" t="s">
        <v>13</v>
      </c>
      <c r="G25" s="13">
        <v>20316568</v>
      </c>
      <c r="H25" s="12" t="s">
        <v>48</v>
      </c>
      <c r="I25" s="13">
        <v>1</v>
      </c>
      <c r="J25" s="14">
        <v>26.95</v>
      </c>
      <c r="K25" s="14">
        <v>26.95</v>
      </c>
      <c r="L25">
        <f t="shared" si="0"/>
        <v>38.5</v>
      </c>
    </row>
    <row r="26" spans="4:12">
      <c r="D26" s="11">
        <v>46172</v>
      </c>
      <c r="E26" s="12">
        <v>1607893</v>
      </c>
      <c r="F26" s="12" t="s">
        <v>13</v>
      </c>
      <c r="G26" s="13">
        <v>20316568</v>
      </c>
      <c r="H26" s="12" t="s">
        <v>48</v>
      </c>
      <c r="I26" s="13">
        <v>1</v>
      </c>
      <c r="J26" s="14">
        <v>26.95</v>
      </c>
      <c r="K26" s="14">
        <v>26.95</v>
      </c>
      <c r="L26">
        <f t="shared" si="0"/>
        <v>38.5</v>
      </c>
    </row>
    <row r="27" ht="0.05" customHeight="1"/>
  </sheetData>
  <autoFilter xmlns:etc="http://www.wps.cn/officeDocument/2017/etCustomData" ref="A7:K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56</v>
      </c>
      <c r="J8" s="10"/>
      <c r="K8" s="10">
        <v>1048.6</v>
      </c>
    </row>
    <row r="9" spans="1:12">
      <c r="D9" s="11">
        <v>46144</v>
      </c>
      <c r="E9" s="12">
        <v>1600058</v>
      </c>
      <c r="F9" s="12" t="s">
        <v>67</v>
      </c>
      <c r="G9" s="13">
        <v>20316624</v>
      </c>
      <c r="H9" s="12" t="s">
        <v>96</v>
      </c>
      <c r="I9" s="13">
        <v>1</v>
      </c>
      <c r="J9" s="14">
        <v>80.85</v>
      </c>
      <c r="K9" s="14">
        <v>80.85</v>
      </c>
      <c r="L9">
        <f>J9/0.7</f>
        <v>115.5</v>
      </c>
    </row>
    <row r="10" spans="1:12">
      <c r="D10" s="11">
        <v>46144</v>
      </c>
      <c r="E10" s="12">
        <v>1600058</v>
      </c>
      <c r="F10" s="12" t="s">
        <v>16</v>
      </c>
      <c r="G10" s="13">
        <v>20316625</v>
      </c>
      <c r="H10" s="12" t="s">
        <v>97</v>
      </c>
      <c r="I10" s="13">
        <v>1</v>
      </c>
      <c r="J10" s="14">
        <v>11.55</v>
      </c>
      <c r="K10" s="14">
        <v>11.55</v>
      </c>
      <c r="L10">
        <f t="shared" ref="L10:L49" si="0">J10/0.7</f>
        <v>16.5</v>
      </c>
    </row>
    <row r="11" spans="1:12">
      <c r="D11" s="11">
        <v>46144</v>
      </c>
      <c r="E11" s="12">
        <v>1600058</v>
      </c>
      <c r="F11" s="12" t="s">
        <v>98</v>
      </c>
      <c r="G11" s="13">
        <v>20316714</v>
      </c>
      <c r="H11" s="12" t="s">
        <v>99</v>
      </c>
      <c r="I11" s="13">
        <v>2</v>
      </c>
      <c r="J11" s="14">
        <v>24.5</v>
      </c>
      <c r="K11" s="14">
        <v>49</v>
      </c>
      <c r="L11">
        <f t="shared" si="0"/>
        <v>35</v>
      </c>
    </row>
    <row r="12" spans="1:12">
      <c r="D12" s="11">
        <v>46144</v>
      </c>
      <c r="E12" s="12">
        <v>1600058</v>
      </c>
      <c r="F12" s="12" t="s">
        <v>68</v>
      </c>
      <c r="G12" s="13">
        <v>20316627</v>
      </c>
      <c r="H12" s="12" t="s">
        <v>69</v>
      </c>
      <c r="I12" s="13">
        <v>1</v>
      </c>
      <c r="J12" s="14">
        <v>11.55</v>
      </c>
      <c r="K12" s="14">
        <v>11.55</v>
      </c>
      <c r="L12">
        <f t="shared" si="0"/>
        <v>16.5</v>
      </c>
    </row>
    <row r="13" spans="1:12">
      <c r="D13" s="11">
        <v>46144</v>
      </c>
      <c r="E13" s="12">
        <v>1600058</v>
      </c>
      <c r="F13" s="12" t="s">
        <v>61</v>
      </c>
      <c r="G13" s="13">
        <v>20316563</v>
      </c>
      <c r="H13" s="12" t="s">
        <v>100</v>
      </c>
      <c r="I13" s="13">
        <v>1</v>
      </c>
      <c r="J13" s="14">
        <v>1.75</v>
      </c>
      <c r="K13" s="14">
        <v>1.75</v>
      </c>
      <c r="L13">
        <f t="shared" si="0"/>
        <v>2.5</v>
      </c>
    </row>
    <row r="14" spans="1:12">
      <c r="D14" s="11">
        <v>46149</v>
      </c>
      <c r="E14" s="12">
        <v>1600844</v>
      </c>
      <c r="F14" s="12" t="s">
        <v>67</v>
      </c>
      <c r="G14" s="13">
        <v>20316621</v>
      </c>
      <c r="H14" s="12" t="s">
        <v>101</v>
      </c>
      <c r="I14" s="13">
        <v>1</v>
      </c>
      <c r="J14" s="14">
        <v>80.85</v>
      </c>
      <c r="K14" s="14">
        <v>80.85</v>
      </c>
      <c r="L14">
        <f t="shared" si="0"/>
        <v>115.5</v>
      </c>
    </row>
    <row r="15" spans="1:12">
      <c r="D15" s="11">
        <v>46149</v>
      </c>
      <c r="E15" s="12">
        <v>1600844</v>
      </c>
      <c r="F15" s="12" t="s">
        <v>16</v>
      </c>
      <c r="G15" s="13">
        <v>20316625</v>
      </c>
      <c r="H15" s="12" t="s">
        <v>97</v>
      </c>
      <c r="I15" s="13">
        <v>1</v>
      </c>
      <c r="J15" s="14">
        <v>11.55</v>
      </c>
      <c r="K15" s="14">
        <v>11.55</v>
      </c>
      <c r="L15">
        <f t="shared" si="0"/>
        <v>16.5</v>
      </c>
    </row>
    <row r="16" spans="1:12">
      <c r="D16" s="11">
        <v>46149</v>
      </c>
      <c r="E16" s="12">
        <v>1600844</v>
      </c>
      <c r="F16" s="12" t="s">
        <v>68</v>
      </c>
      <c r="G16" s="13">
        <v>20316627</v>
      </c>
      <c r="H16" s="12" t="s">
        <v>69</v>
      </c>
      <c r="I16" s="13">
        <v>1</v>
      </c>
      <c r="J16" s="14">
        <v>11.55</v>
      </c>
      <c r="K16" s="14">
        <v>11.55</v>
      </c>
      <c r="L16">
        <f t="shared" si="0"/>
        <v>16.5</v>
      </c>
    </row>
    <row r="17" spans="4:12">
      <c r="D17" s="11">
        <v>46149</v>
      </c>
      <c r="E17" s="12">
        <v>1600844</v>
      </c>
      <c r="F17" s="12" t="s">
        <v>68</v>
      </c>
      <c r="G17" s="13">
        <v>20316622</v>
      </c>
      <c r="H17" s="12" t="s">
        <v>102</v>
      </c>
      <c r="I17" s="13">
        <v>1</v>
      </c>
      <c r="J17" s="14">
        <v>11.55</v>
      </c>
      <c r="K17" s="14">
        <v>11.55</v>
      </c>
      <c r="L17">
        <f t="shared" si="0"/>
        <v>16.5</v>
      </c>
    </row>
    <row r="18" spans="4:12">
      <c r="D18" s="11">
        <v>46149</v>
      </c>
      <c r="E18" s="12">
        <v>1600844</v>
      </c>
      <c r="F18" s="12" t="s">
        <v>61</v>
      </c>
      <c r="G18" s="13">
        <v>20316563</v>
      </c>
      <c r="H18" s="12" t="s">
        <v>100</v>
      </c>
      <c r="I18" s="13">
        <v>1</v>
      </c>
      <c r="J18" s="14">
        <v>1.75</v>
      </c>
      <c r="K18" s="14">
        <v>1.75</v>
      </c>
      <c r="L18">
        <f t="shared" si="0"/>
        <v>2.5</v>
      </c>
    </row>
    <row r="19" spans="4:12">
      <c r="D19" s="11">
        <v>46158</v>
      </c>
      <c r="E19" s="12">
        <v>1603795</v>
      </c>
      <c r="F19" s="12" t="s">
        <v>16</v>
      </c>
      <c r="G19" s="13">
        <v>20353276</v>
      </c>
      <c r="H19" s="12" t="s">
        <v>103</v>
      </c>
      <c r="I19" s="13">
        <v>1</v>
      </c>
      <c r="J19" s="14">
        <v>5.6</v>
      </c>
      <c r="K19" s="14">
        <v>5.6</v>
      </c>
      <c r="L19">
        <f t="shared" si="0"/>
        <v>8</v>
      </c>
    </row>
    <row r="20" spans="4:12">
      <c r="D20" s="11">
        <v>46158</v>
      </c>
      <c r="E20" s="12">
        <v>1603795</v>
      </c>
      <c r="F20" s="12" t="s">
        <v>16</v>
      </c>
      <c r="G20" s="13">
        <v>20316532</v>
      </c>
      <c r="H20" s="12" t="s">
        <v>36</v>
      </c>
      <c r="I20" s="13">
        <v>1</v>
      </c>
      <c r="J20" s="14">
        <v>5.6</v>
      </c>
      <c r="K20" s="14">
        <v>5.6</v>
      </c>
      <c r="L20">
        <f t="shared" si="0"/>
        <v>8</v>
      </c>
    </row>
    <row r="21" spans="4:12">
      <c r="D21" s="11">
        <v>46158</v>
      </c>
      <c r="E21" s="12">
        <v>1603795</v>
      </c>
      <c r="F21" s="12" t="s">
        <v>98</v>
      </c>
      <c r="G21" s="13">
        <v>20316714</v>
      </c>
      <c r="H21" s="12" t="s">
        <v>99</v>
      </c>
      <c r="I21" s="13">
        <v>2</v>
      </c>
      <c r="J21" s="14">
        <v>24.5</v>
      </c>
      <c r="K21" s="14">
        <v>49</v>
      </c>
      <c r="L21">
        <f t="shared" si="0"/>
        <v>35</v>
      </c>
    </row>
    <row r="22" spans="4:12">
      <c r="D22" s="11">
        <v>46163</v>
      </c>
      <c r="E22" s="12">
        <v>1605182</v>
      </c>
      <c r="F22" s="12" t="s">
        <v>67</v>
      </c>
      <c r="G22" s="13">
        <v>20316621</v>
      </c>
      <c r="H22" s="12" t="s">
        <v>101</v>
      </c>
      <c r="I22" s="13">
        <v>1</v>
      </c>
      <c r="J22" s="14">
        <v>80.85</v>
      </c>
      <c r="K22" s="14">
        <v>80.85</v>
      </c>
      <c r="L22">
        <f t="shared" si="0"/>
        <v>115.5</v>
      </c>
    </row>
    <row r="23" spans="4:12">
      <c r="D23" s="11">
        <v>46163</v>
      </c>
      <c r="E23" s="12">
        <v>1605182</v>
      </c>
      <c r="F23" s="12" t="s">
        <v>16</v>
      </c>
      <c r="G23" s="13">
        <v>20318277</v>
      </c>
      <c r="H23" s="12" t="s">
        <v>104</v>
      </c>
      <c r="I23" s="13">
        <v>1</v>
      </c>
      <c r="J23" s="14">
        <v>5.6</v>
      </c>
      <c r="K23" s="14">
        <v>5.6</v>
      </c>
      <c r="L23">
        <f t="shared" si="0"/>
        <v>8</v>
      </c>
    </row>
    <row r="24" spans="4:12">
      <c r="D24" s="11">
        <v>46163</v>
      </c>
      <c r="E24" s="12">
        <v>1605182</v>
      </c>
      <c r="F24" s="12" t="s">
        <v>16</v>
      </c>
      <c r="G24" s="13">
        <v>20320475</v>
      </c>
      <c r="H24" s="12" t="s">
        <v>105</v>
      </c>
      <c r="I24" s="13">
        <v>1</v>
      </c>
      <c r="J24" s="14">
        <v>11.55</v>
      </c>
      <c r="K24" s="14">
        <v>11.55</v>
      </c>
      <c r="L24">
        <f t="shared" si="0"/>
        <v>16.5</v>
      </c>
    </row>
    <row r="25" spans="4:12">
      <c r="D25" s="11">
        <v>46163</v>
      </c>
      <c r="E25" s="12">
        <v>1605182</v>
      </c>
      <c r="F25" s="12" t="s">
        <v>16</v>
      </c>
      <c r="G25" s="13">
        <v>20316608</v>
      </c>
      <c r="H25" s="12" t="s">
        <v>106</v>
      </c>
      <c r="I25" s="13">
        <v>2</v>
      </c>
      <c r="J25" s="14">
        <v>9.45</v>
      </c>
      <c r="K25" s="14">
        <v>18.9</v>
      </c>
      <c r="L25">
        <f t="shared" si="0"/>
        <v>13.5</v>
      </c>
    </row>
    <row r="26" spans="4:12">
      <c r="D26" s="11">
        <v>46163</v>
      </c>
      <c r="E26" s="12">
        <v>1605182</v>
      </c>
      <c r="F26" s="12" t="s">
        <v>16</v>
      </c>
      <c r="G26" s="13">
        <v>20316625</v>
      </c>
      <c r="H26" s="12" t="s">
        <v>97</v>
      </c>
      <c r="I26" s="13">
        <v>1</v>
      </c>
      <c r="J26" s="14">
        <v>11.55</v>
      </c>
      <c r="K26" s="14">
        <v>11.55</v>
      </c>
      <c r="L26">
        <f t="shared" si="0"/>
        <v>16.5</v>
      </c>
    </row>
    <row r="27" spans="4:12">
      <c r="D27" s="11">
        <v>46163</v>
      </c>
      <c r="E27" s="12">
        <v>1605182</v>
      </c>
      <c r="F27" s="12" t="s">
        <v>16</v>
      </c>
      <c r="G27" s="13">
        <v>20320476</v>
      </c>
      <c r="H27" s="12" t="s">
        <v>107</v>
      </c>
      <c r="I27" s="13">
        <v>1</v>
      </c>
      <c r="J27" s="14">
        <v>9.45</v>
      </c>
      <c r="K27" s="14">
        <v>9.45</v>
      </c>
      <c r="L27">
        <f t="shared" si="0"/>
        <v>13.5</v>
      </c>
    </row>
    <row r="28" spans="4:12">
      <c r="D28" s="11">
        <v>46163</v>
      </c>
      <c r="E28" s="12">
        <v>1605182</v>
      </c>
      <c r="F28" s="12" t="s">
        <v>16</v>
      </c>
      <c r="G28" s="13">
        <v>20318043</v>
      </c>
      <c r="H28" s="12" t="s">
        <v>108</v>
      </c>
      <c r="I28" s="13">
        <v>1</v>
      </c>
      <c r="J28" s="14">
        <v>7.7</v>
      </c>
      <c r="K28" s="14">
        <v>7.7</v>
      </c>
      <c r="L28">
        <f t="shared" si="0"/>
        <v>11</v>
      </c>
    </row>
    <row r="29" spans="4:12">
      <c r="D29" s="11">
        <v>46163</v>
      </c>
      <c r="E29" s="12">
        <v>1605182</v>
      </c>
      <c r="F29" s="12" t="s">
        <v>68</v>
      </c>
      <c r="G29" s="13">
        <v>20316627</v>
      </c>
      <c r="H29" s="12" t="s">
        <v>69</v>
      </c>
      <c r="I29" s="13">
        <v>1</v>
      </c>
      <c r="J29" s="14">
        <v>11.55</v>
      </c>
      <c r="K29" s="14">
        <v>11.55</v>
      </c>
      <c r="L29">
        <f t="shared" si="0"/>
        <v>16.5</v>
      </c>
    </row>
    <row r="30" spans="4:12">
      <c r="D30" s="11">
        <v>46163</v>
      </c>
      <c r="E30" s="12">
        <v>1605182</v>
      </c>
      <c r="F30" s="12" t="s">
        <v>68</v>
      </c>
      <c r="G30" s="13">
        <v>20316622</v>
      </c>
      <c r="H30" s="12" t="s">
        <v>102</v>
      </c>
      <c r="I30" s="13">
        <v>1</v>
      </c>
      <c r="J30" s="14">
        <v>11.55</v>
      </c>
      <c r="K30" s="14">
        <v>11.55</v>
      </c>
      <c r="L30">
        <f t="shared" si="0"/>
        <v>16.5</v>
      </c>
    </row>
    <row r="31" spans="4:12">
      <c r="D31" s="11">
        <v>46163</v>
      </c>
      <c r="E31" s="12">
        <v>1605182</v>
      </c>
      <c r="F31" s="12" t="s">
        <v>68</v>
      </c>
      <c r="G31" s="13">
        <v>20353082</v>
      </c>
      <c r="H31" s="12" t="s">
        <v>109</v>
      </c>
      <c r="I31" s="13">
        <v>3</v>
      </c>
      <c r="J31" s="14">
        <v>23.1</v>
      </c>
      <c r="K31" s="14">
        <v>69.3</v>
      </c>
      <c r="L31">
        <f t="shared" si="0"/>
        <v>33</v>
      </c>
    </row>
    <row r="32" spans="4:12">
      <c r="D32" s="11">
        <v>46163</v>
      </c>
      <c r="E32" s="12">
        <v>1605182</v>
      </c>
      <c r="F32" s="12" t="s">
        <v>61</v>
      </c>
      <c r="G32" s="13">
        <v>20318016</v>
      </c>
      <c r="H32" s="12" t="s">
        <v>110</v>
      </c>
      <c r="I32" s="13">
        <v>4</v>
      </c>
      <c r="J32" s="14">
        <v>1.75</v>
      </c>
      <c r="K32" s="14">
        <v>7</v>
      </c>
      <c r="L32">
        <f t="shared" si="0"/>
        <v>2.5</v>
      </c>
    </row>
    <row r="33" spans="4:12">
      <c r="D33" s="11">
        <v>46163</v>
      </c>
      <c r="E33" s="12">
        <v>1605182</v>
      </c>
      <c r="F33" s="12" t="s">
        <v>61</v>
      </c>
      <c r="G33" s="13">
        <v>20316711</v>
      </c>
      <c r="H33" s="12" t="s">
        <v>84</v>
      </c>
      <c r="I33" s="13">
        <v>4</v>
      </c>
      <c r="J33" s="14">
        <v>1.75</v>
      </c>
      <c r="K33" s="14">
        <v>7</v>
      </c>
      <c r="L33">
        <f t="shared" si="0"/>
        <v>2.5</v>
      </c>
    </row>
    <row r="34" spans="4:12">
      <c r="D34" s="11">
        <v>46163</v>
      </c>
      <c r="E34" s="12">
        <v>1605182</v>
      </c>
      <c r="F34" s="12" t="s">
        <v>61</v>
      </c>
      <c r="G34" s="13">
        <v>20316563</v>
      </c>
      <c r="H34" s="12" t="s">
        <v>100</v>
      </c>
      <c r="I34" s="13">
        <v>1</v>
      </c>
      <c r="J34" s="14">
        <v>1.75</v>
      </c>
      <c r="K34" s="14">
        <v>1.75</v>
      </c>
      <c r="L34">
        <f t="shared" si="0"/>
        <v>2.5</v>
      </c>
    </row>
    <row r="35" spans="4:12">
      <c r="D35" s="11">
        <v>46163</v>
      </c>
      <c r="E35" s="12">
        <v>1605246</v>
      </c>
      <c r="F35" s="12" t="s">
        <v>98</v>
      </c>
      <c r="G35" s="13">
        <v>20316714</v>
      </c>
      <c r="H35" s="12" t="s">
        <v>99</v>
      </c>
      <c r="I35" s="13">
        <v>1</v>
      </c>
      <c r="J35" s="14">
        <v>24.5</v>
      </c>
      <c r="K35" s="14">
        <v>24.5</v>
      </c>
      <c r="L35">
        <f t="shared" si="0"/>
        <v>35</v>
      </c>
    </row>
    <row r="36" spans="4:12">
      <c r="D36" s="11">
        <v>46168</v>
      </c>
      <c r="E36" s="12">
        <v>1606534</v>
      </c>
      <c r="F36" s="12" t="s">
        <v>67</v>
      </c>
      <c r="G36" s="13">
        <v>20316621</v>
      </c>
      <c r="H36" s="12" t="s">
        <v>101</v>
      </c>
      <c r="I36" s="13">
        <v>1</v>
      </c>
      <c r="J36" s="14">
        <v>80.85</v>
      </c>
      <c r="K36" s="14">
        <v>80.85</v>
      </c>
      <c r="L36">
        <f t="shared" si="0"/>
        <v>115.5</v>
      </c>
    </row>
    <row r="37" spans="4:12">
      <c r="D37" s="11">
        <v>46168</v>
      </c>
      <c r="E37" s="12">
        <v>1606534</v>
      </c>
      <c r="F37" s="12" t="s">
        <v>67</v>
      </c>
      <c r="G37" s="13">
        <v>20316624</v>
      </c>
      <c r="H37" s="12" t="s">
        <v>96</v>
      </c>
      <c r="I37" s="13">
        <v>1</v>
      </c>
      <c r="J37" s="14">
        <v>80.85</v>
      </c>
      <c r="K37" s="14">
        <v>80.85</v>
      </c>
      <c r="L37">
        <f t="shared" si="0"/>
        <v>115.5</v>
      </c>
    </row>
    <row r="38" spans="4:12">
      <c r="D38" s="11">
        <v>46168</v>
      </c>
      <c r="E38" s="12">
        <v>1606534</v>
      </c>
      <c r="F38" s="12" t="s">
        <v>16</v>
      </c>
      <c r="G38" s="13">
        <v>20316625</v>
      </c>
      <c r="H38" s="12" t="s">
        <v>97</v>
      </c>
      <c r="I38" s="13">
        <v>2</v>
      </c>
      <c r="J38" s="14">
        <v>11.55</v>
      </c>
      <c r="K38" s="14">
        <v>23.1</v>
      </c>
      <c r="L38">
        <f t="shared" si="0"/>
        <v>16.5</v>
      </c>
    </row>
    <row r="39" spans="4:12">
      <c r="D39" s="11">
        <v>46168</v>
      </c>
      <c r="E39" s="12">
        <v>1606534</v>
      </c>
      <c r="F39" s="12" t="s">
        <v>98</v>
      </c>
      <c r="G39" s="13">
        <v>20318570</v>
      </c>
      <c r="H39" s="12" t="s">
        <v>111</v>
      </c>
      <c r="I39" s="13">
        <v>1</v>
      </c>
      <c r="J39" s="14">
        <v>24.5</v>
      </c>
      <c r="K39" s="14">
        <v>24.5</v>
      </c>
      <c r="L39">
        <f t="shared" si="0"/>
        <v>35</v>
      </c>
    </row>
    <row r="40" spans="4:12">
      <c r="D40" s="11">
        <v>46168</v>
      </c>
      <c r="E40" s="12">
        <v>1606534</v>
      </c>
      <c r="F40" s="12" t="s">
        <v>98</v>
      </c>
      <c r="G40" s="13">
        <v>20316714</v>
      </c>
      <c r="H40" s="12" t="s">
        <v>99</v>
      </c>
      <c r="I40" s="13">
        <v>2</v>
      </c>
      <c r="J40" s="14">
        <v>24.5</v>
      </c>
      <c r="K40" s="14">
        <v>49</v>
      </c>
      <c r="L40">
        <f t="shared" si="0"/>
        <v>35</v>
      </c>
    </row>
    <row r="41" spans="4:12">
      <c r="D41" s="11">
        <v>46168</v>
      </c>
      <c r="E41" s="12">
        <v>1606534</v>
      </c>
      <c r="F41" s="12" t="s">
        <v>68</v>
      </c>
      <c r="G41" s="13">
        <v>20316627</v>
      </c>
      <c r="H41" s="12" t="s">
        <v>69</v>
      </c>
      <c r="I41" s="13">
        <v>2</v>
      </c>
      <c r="J41" s="14">
        <v>11.55</v>
      </c>
      <c r="K41" s="14">
        <v>23.1</v>
      </c>
      <c r="L41">
        <f t="shared" si="0"/>
        <v>16.5</v>
      </c>
    </row>
    <row r="42" spans="4:12">
      <c r="D42" s="11">
        <v>46168</v>
      </c>
      <c r="E42" s="12">
        <v>1606534</v>
      </c>
      <c r="F42" s="12" t="s">
        <v>68</v>
      </c>
      <c r="G42" s="13">
        <v>20316622</v>
      </c>
      <c r="H42" s="12" t="s">
        <v>102</v>
      </c>
      <c r="I42" s="13">
        <v>1</v>
      </c>
      <c r="J42" s="14">
        <v>11.55</v>
      </c>
      <c r="K42" s="14">
        <v>11.55</v>
      </c>
      <c r="L42">
        <f t="shared" si="0"/>
        <v>16.5</v>
      </c>
    </row>
    <row r="43" spans="4:12">
      <c r="D43" s="11">
        <v>46168</v>
      </c>
      <c r="E43" s="12">
        <v>1606534</v>
      </c>
      <c r="F43" s="12" t="s">
        <v>61</v>
      </c>
      <c r="G43" s="13">
        <v>20316563</v>
      </c>
      <c r="H43" s="12" t="s">
        <v>100</v>
      </c>
      <c r="I43" s="13">
        <v>2</v>
      </c>
      <c r="J43" s="14">
        <v>1.75</v>
      </c>
      <c r="K43" s="14">
        <v>3.5</v>
      </c>
      <c r="L43">
        <f t="shared" si="0"/>
        <v>2.5</v>
      </c>
    </row>
    <row r="44" spans="4:12">
      <c r="D44" s="11">
        <v>46172</v>
      </c>
      <c r="E44" s="12">
        <v>1607894</v>
      </c>
      <c r="F44" s="12" t="s">
        <v>67</v>
      </c>
      <c r="G44" s="13">
        <v>20316621</v>
      </c>
      <c r="H44" s="12" t="s">
        <v>101</v>
      </c>
      <c r="I44" s="13">
        <v>1</v>
      </c>
      <c r="J44" s="14">
        <v>80.85</v>
      </c>
      <c r="K44" s="14">
        <v>80.85</v>
      </c>
      <c r="L44">
        <f t="shared" si="0"/>
        <v>115.5</v>
      </c>
    </row>
    <row r="45" spans="4:12">
      <c r="D45" s="11">
        <v>46172</v>
      </c>
      <c r="E45" s="12">
        <v>1607894</v>
      </c>
      <c r="F45" s="12" t="s">
        <v>16</v>
      </c>
      <c r="G45" s="13">
        <v>20316625</v>
      </c>
      <c r="H45" s="12" t="s">
        <v>97</v>
      </c>
      <c r="I45" s="13">
        <v>1</v>
      </c>
      <c r="J45" s="14">
        <v>11.55</v>
      </c>
      <c r="K45" s="14">
        <v>11.55</v>
      </c>
      <c r="L45">
        <f t="shared" si="0"/>
        <v>16.5</v>
      </c>
    </row>
    <row r="46" spans="4:12">
      <c r="D46" s="11">
        <v>46172</v>
      </c>
      <c r="E46" s="12">
        <v>1607894</v>
      </c>
      <c r="F46" s="12" t="s">
        <v>98</v>
      </c>
      <c r="G46" s="13">
        <v>20316714</v>
      </c>
      <c r="H46" s="12" t="s">
        <v>99</v>
      </c>
      <c r="I46" s="13">
        <v>1</v>
      </c>
      <c r="J46" s="14">
        <v>24.5</v>
      </c>
      <c r="K46" s="14">
        <v>24.5</v>
      </c>
      <c r="L46">
        <f t="shared" si="0"/>
        <v>35</v>
      </c>
    </row>
    <row r="47" spans="4:12">
      <c r="D47" s="11">
        <v>46172</v>
      </c>
      <c r="E47" s="12">
        <v>1607894</v>
      </c>
      <c r="F47" s="12" t="s">
        <v>68</v>
      </c>
      <c r="G47" s="13">
        <v>20316627</v>
      </c>
      <c r="H47" s="12" t="s">
        <v>69</v>
      </c>
      <c r="I47" s="13">
        <v>1</v>
      </c>
      <c r="J47" s="14">
        <v>11.55</v>
      </c>
      <c r="K47" s="14">
        <v>11.55</v>
      </c>
      <c r="L47">
        <f t="shared" si="0"/>
        <v>16.5</v>
      </c>
    </row>
    <row r="48" spans="4:12">
      <c r="D48" s="11">
        <v>46172</v>
      </c>
      <c r="E48" s="12">
        <v>1607894</v>
      </c>
      <c r="F48" s="12" t="s">
        <v>68</v>
      </c>
      <c r="G48" s="13">
        <v>20316622</v>
      </c>
      <c r="H48" s="12" t="s">
        <v>102</v>
      </c>
      <c r="I48" s="13">
        <v>1</v>
      </c>
      <c r="J48" s="14">
        <v>11.55</v>
      </c>
      <c r="K48" s="14">
        <v>11.55</v>
      </c>
      <c r="L48">
        <f t="shared" si="0"/>
        <v>16.5</v>
      </c>
    </row>
    <row r="49" spans="4:12">
      <c r="D49" s="11">
        <v>46172</v>
      </c>
      <c r="E49" s="12">
        <v>1607894</v>
      </c>
      <c r="F49" s="12" t="s">
        <v>61</v>
      </c>
      <c r="G49" s="13">
        <v>20316563</v>
      </c>
      <c r="H49" s="12" t="s">
        <v>100</v>
      </c>
      <c r="I49" s="13">
        <v>1</v>
      </c>
      <c r="J49" s="14">
        <v>1.75</v>
      </c>
      <c r="K49" s="14">
        <v>1.75</v>
      </c>
      <c r="L49">
        <f t="shared" si="0"/>
        <v>2.5</v>
      </c>
    </row>
    <row r="50" ht="0.05" customHeight="1"/>
  </sheetData>
  <autoFilter xmlns:etc="http://www.wps.cn/officeDocument/2017/etCustomData" ref="A8:K49" etc:filterBottomFollowUsedRange="0">
    <extLst/>
  </autoFilter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8:47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门诊耳鼻喉</vt:lpstr>
      <vt:lpstr>门诊妇科</vt:lpstr>
      <vt:lpstr>门诊肛肠科</vt:lpstr>
      <vt:lpstr>门诊计划生育</vt:lpstr>
      <vt:lpstr>门诊口腔科</vt:lpstr>
      <vt:lpstr>门诊手术室</vt:lpstr>
      <vt:lpstr>门诊外科</vt:lpstr>
      <vt:lpstr>门诊眼科</vt:lpstr>
      <vt:lpstr>外科（住院处）</vt:lpstr>
      <vt:lpstr>住院处手术室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2026-06-05T00:48:00Z</dcterms:created>
  <dcterms:modified xsi:type="dcterms:W3CDTF">2026-06-09T02:42:51Z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403FC7F9E0CE4275BCDBA6D9C6C65813_12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