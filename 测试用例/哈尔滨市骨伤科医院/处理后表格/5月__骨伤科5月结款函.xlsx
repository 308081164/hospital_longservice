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445" windowHeight="11805"/>
  </bookViews>
  <sheets>
    <sheet name="哈尔滨市骨伤科医院" sheetId="1" r:id="rId1"/>
  </sheets>
  <externalReferences>
    <externalReference r:id="rId2"/>
  </externalReferences>
  <definedNames>
    <definedName name="_xlnm.Print_Titles" localSheetId="0">哈尔滨市骨伤科医院!$1:$4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<sst xmlns="http://schemas.openxmlformats.org/spreadsheetml/2006/main" count="43" uniqueCount="18">
  <si>
    <t/>
  </si>
  <si>
    <r>
      <rPr>
        <b/>
        <sz val="14"/>
        <color rgb="FF000000"/>
        <rFont val="宋体"/>
        <charset val="134"/>
      </rPr>
      <t>哈尔滨市骨伤科医院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</si>
  <si>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哈尔滨市骨伤科医院</t>
    </r>
  </si>
  <si>
    <t>从:2026年5月1日  至: 2026年5月31日 灭菌费用总清单如下：</t>
  </si>
  <si>
    <t>序号</t>
  </si>
  <si>
    <t>条目</t>
  </si>
  <si>
    <t>费用</t>
  </si>
  <si>
    <t>备注</t>
  </si>
  <si>
    <t>灭菌费用</t>
  </si>
  <si>
    <t>费用调整104.5已减</t>
  </si>
  <si>
    <t>外来器械灭菌</t>
  </si>
  <si>
    <t>物流费用</t>
  </si>
  <si>
    <r>
      <t>50</t>
    </r>
    <r>
      <rPr>
        <sz val="14"/>
        <color rgb="FF000000"/>
        <rFont val="宋体"/>
        <charset val="134"/>
      </rPr>
      <t>元</t>
    </r>
    <r>
      <rPr>
        <sz val="14"/>
        <color rgb="FF000000"/>
        <rFont val="Droid Sans Fallback"/>
        <charset val="134"/>
      </rPr>
      <t>/</t>
    </r>
    <r>
      <rPr>
        <sz val="14"/>
        <color rgb="FF000000"/>
        <rFont val="宋体"/>
        <charset val="134"/>
      </rPr>
      <t>次</t>
    </r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</si>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</sst>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3" applyNumberFormat="0" applyAlignment="0" applyProtection="0">
      <alignment vertical="center"/>
    </xf>
    <xf numFmtId="0" fontId="15" fillId="4" borderId="14" applyNumberFormat="0" applyAlignment="0" applyProtection="0">
      <alignment vertical="center"/>
    </xf>
    <xf numFmtId="0" fontId="16" fillId="4" borderId="13" applyNumberFormat="0" applyAlignment="0" applyProtection="0">
      <alignment vertical="center"/>
    </xf>
    <xf numFmtId="0" fontId="17" fillId="5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22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3" fillId="0" borderId="4" xfId="49" applyNumberFormat="1" applyFont="1" applyFill="1" applyBorder="1" applyAlignment="1">
      <alignment horizontal="center" vertical="top" wrapText="1" readingOrder="1"/>
    </xf>
    <xf numFmtId="0" fontId="0" fillId="0" borderId="5" xfId="49" applyNumberFormat="1" applyFont="1" applyFill="1" applyBorder="1" applyAlignment="1">
      <alignment vertical="top" wrapText="1"/>
    </xf>
    <xf numFmtId="176" fontId="4" fillId="0" borderId="6" xfId="49" applyNumberFormat="1" applyFont="1" applyFill="1" applyBorder="1" applyAlignment="1">
      <alignment horizontal="center" vertical="top" wrapText="1" readingOrder="1"/>
    </xf>
    <xf numFmtId="176" fontId="4" fillId="0" borderId="3" xfId="49" applyNumberFormat="1" applyFont="1" applyFill="1" applyBorder="1" applyAlignment="1">
      <alignment horizontal="center" vertical="top" wrapText="1" readingOrder="1"/>
    </xf>
    <xf numFmtId="0" fontId="0" fillId="0" borderId="7" xfId="0" applyFont="1" applyFill="1" applyBorder="1" applyAlignment="1">
      <alignment horizontal="center" vertical="center"/>
    </xf>
    <xf numFmtId="0" fontId="4" fillId="0" borderId="8" xfId="49" applyNumberFormat="1" applyFont="1" applyFill="1" applyBorder="1" applyAlignment="1">
      <alignment horizontal="center" vertical="top" wrapText="1" readingOrder="1"/>
    </xf>
    <xf numFmtId="0" fontId="4" fillId="0" borderId="9" xfId="49" applyNumberFormat="1" applyFont="1" applyFill="1" applyBorder="1" applyAlignment="1">
      <alignment horizontal="center" vertical="top" wrapText="1" readingOrder="1"/>
    </xf>
    <xf numFmtId="177" fontId="4" fillId="0" borderId="2" xfId="49" applyNumberFormat="1" applyFont="1" applyFill="1" applyBorder="1" applyAlignment="1">
      <alignment horizontal="center" vertical="top" wrapText="1" readingOrder="1"/>
    </xf>
    <xf numFmtId="177" fontId="0" fillId="0" borderId="3" xfId="49" applyNumberFormat="1" applyFont="1" applyFill="1" applyBorder="1" applyAlignment="1">
      <alignment vertical="top" wrapText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36719;&#20214;\&#24494;&#20449;&#32842;&#22825;&#35760;&#24405;\xwechat_files\wxid_b46k1zf97jnr22_036b\msg\file\2026-06\&#39592;&#20260;&#31185;5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急诊"/>
      <sheetName val="手术室"/>
      <sheetName val="外来器械"/>
      <sheetName val="费用调整"/>
    </sheetNames>
    <sheetDataSet>
      <sheetData sheetId="0">
        <row r="10">
          <cell r="K10">
            <v>247.6</v>
          </cell>
        </row>
      </sheetData>
      <sheetData sheetId="1">
        <row r="8">
          <cell r="K8">
            <v>130512.5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1"/>
  <sheetViews>
    <sheetView showGridLines="0" tabSelected="1" view="pageBreakPreview" zoomScaleNormal="100" workbookViewId="0">
      <pane ySplit="4" topLeftCell="A10" activePane="bottomLeft" state="frozen"/>
      <selection/>
      <selection pane="bottomLeft" activeCell="H16" sqref="H16:I16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4.375" customWidth="1"/>
    <col min="8" max="8" width="24.975" customWidth="1"/>
    <col min="9" max="9" width="1.575" customWidth="1"/>
    <col min="10" max="10" width="9.375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8">
        <v>1</v>
      </c>
      <c r="E12" s="6" t="s">
        <v>8</v>
      </c>
      <c r="F12" s="9">
        <f>[1]急诊!$K$10+[1]手术室!$K$8-104.5</f>
        <v>130655.6</v>
      </c>
      <c r="G12" s="7"/>
      <c r="H12" s="10" t="s">
        <v>9</v>
      </c>
      <c r="I12" s="11"/>
    </row>
    <row r="13" ht="30" customHeight="1" spans="3:9">
      <c r="D13" s="8">
        <v>2</v>
      </c>
      <c r="E13" s="6" t="s">
        <v>10</v>
      </c>
      <c r="F13" s="12">
        <v>10146.5</v>
      </c>
      <c r="G13" s="13"/>
      <c r="H13" s="14"/>
      <c r="I13" s="14"/>
    </row>
    <row r="14" ht="30" customHeight="1" spans="3:9">
      <c r="D14" s="8">
        <v>3</v>
      </c>
      <c r="E14" s="6" t="s">
        <v>11</v>
      </c>
      <c r="F14" s="12">
        <f>29*50</f>
        <v>1450</v>
      </c>
      <c r="G14" s="13"/>
      <c r="H14" s="15" t="s">
        <v>12</v>
      </c>
      <c r="I14" s="16"/>
    </row>
    <row r="15" ht="30" customHeight="1" spans="3:9">
      <c r="D15" s="6" t="s">
        <v>13</v>
      </c>
      <c r="E15" s="7" t="s">
        <v>0</v>
      </c>
      <c r="F15" s="9">
        <f>F12+F13+F14</f>
        <v>142252.1</v>
      </c>
      <c r="G15" s="7"/>
      <c r="H15" s="6" t="s">
        <v>0</v>
      </c>
      <c r="I15" s="7" t="s">
        <v>0</v>
      </c>
    </row>
    <row r="16" ht="30" customHeight="1" spans="3:9">
      <c r="D16" s="6" t="s">
        <v>14</v>
      </c>
      <c r="E16" s="7" t="s">
        <v>0</v>
      </c>
      <c r="F16" s="17">
        <f>F15</f>
        <v>142252.1</v>
      </c>
      <c r="G16" s="18"/>
      <c r="H16" s="6" t="s">
        <v>0</v>
      </c>
      <c r="I16" s="7" t="s">
        <v>0</v>
      </c>
    </row>
    <row r="17" ht="12" customHeight="1" spans="4:8">
      <c r="D17" s="4" t="s">
        <v>0</v>
      </c>
    </row>
    <row r="18" ht="227" customHeight="1" spans="4:8">
      <c r="D18" s="5" t="s">
        <v>15</v>
      </c>
    </row>
    <row r="19" ht="35" customHeight="1" spans="4:8">
      <c r="D19" s="19" t="s">
        <v>0</v>
      </c>
      <c r="E19" s="19" t="s">
        <v>0</v>
      </c>
      <c r="F19" s="20" t="s">
        <v>16</v>
      </c>
      <c r="H19" s="19" t="s">
        <v>0</v>
      </c>
    </row>
    <row r="20" ht="36" customHeight="1" spans="4:8">
      <c r="D20" s="21" t="s">
        <v>17</v>
      </c>
    </row>
    <row r="21" ht="67.5" customHeight="1"/>
  </sheetData>
  <mergeCells count="27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F14:G14"/>
    <mergeCell ref="H14:I14"/>
    <mergeCell ref="D15:E15"/>
    <mergeCell ref="F15:G15"/>
    <mergeCell ref="H15:I15"/>
    <mergeCell ref="D16:E16"/>
    <mergeCell ref="F16:G16"/>
    <mergeCell ref="H16:I16"/>
    <mergeCell ref="D17:I17"/>
    <mergeCell ref="D18:I18"/>
    <mergeCell ref="F19:G19"/>
    <mergeCell ref="H19:I19"/>
    <mergeCell ref="D20:I20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哈尔滨市骨伤科医院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2024-12-04T02:45:00Z</dcterms:created>
  <dcterms:modified xsi:type="dcterms:W3CDTF">2026-06-02T04:29:03Z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67588DAAB4134A0980E8B07226FC5B0D_13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