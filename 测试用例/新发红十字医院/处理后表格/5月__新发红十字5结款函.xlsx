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2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<sst xmlns="http://schemas.openxmlformats.org/spreadsheetml/2006/main" count="29" uniqueCount="29">
  <si>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哈尔滨市道里区新发红十字医院5月份结款通知函</t>
  </si>
  <si>
    <t>致：哈尔滨市道里区新发红十字医院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</si>
  <si>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5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 5</t>
    </r>
    <r>
      <rPr>
        <u/>
        <sz val="14"/>
        <color theme="1"/>
        <rFont val="宋体"/>
        <charset val="134"/>
        <scheme val="minor"/>
      </rPr>
      <t xml:space="preserve">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</si>
  <si>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</si>
  <si>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</si>
  <si>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</si>
  <si>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系统灭菌费用</t>
  </si>
  <si>
    <t>高温75折后费用（实收）</t>
  </si>
  <si>
    <t>低温、敷料</t>
  </si>
  <si>
    <t>加急灭菌费用</t>
  </si>
  <si>
    <t>减免后加急灭菌费用</t>
  </si>
  <si>
    <t>物流费</t>
  </si>
  <si>
    <t>加急物流费</t>
  </si>
  <si>
    <t>减免后加急物流费</t>
  </si>
  <si>
    <t>设备抵扣</t>
  </si>
  <si>
    <t>费用折抵-3270元</t>
  </si>
  <si>
    <t>费用调整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</si>
  <si>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</si>
  <si>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</si>
  <si>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</si>
  <si>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</si>
  <si>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</si>
  <si>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账号：23050186585100001105</t>
  </si>
  <si>
    <t>开户银行：中国建设银行哈尔滨平房支行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</si>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</sst>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;[Red]0.00"/>
    <numFmt numFmtId="178" formatCode="0.00_);[Red]\(0.00\)"/>
    <numFmt numFmtId="179" formatCode="[DBNum2][$RMB]General;[Red][DBNum2][$RMB]General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</cellStyleXfs>
  <cellXfs count="3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77" fontId="3" fillId="0" borderId="4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 wrapText="1"/>
    </xf>
    <xf numFmtId="178" fontId="4" fillId="0" borderId="4" xfId="0" applyNumberFormat="1" applyFont="1" applyFill="1" applyBorder="1" applyAlignment="1">
      <alignment horizontal="center" vertical="center" wrapText="1"/>
    </xf>
    <xf numFmtId="178" fontId="4" fillId="0" borderId="5" xfId="0" applyNumberFormat="1" applyFont="1" applyFill="1" applyBorder="1" applyAlignment="1">
      <alignment horizontal="center" vertical="center" wrapText="1"/>
    </xf>
    <xf numFmtId="179" fontId="4" fillId="0" borderId="3" xfId="0" applyNumberFormat="1" applyFont="1" applyFill="1" applyBorder="1" applyAlignment="1">
      <alignment horizontal="center" vertical="center" wrapText="1"/>
    </xf>
    <xf numFmtId="179" fontId="4" fillId="0" borderId="4" xfId="0" applyNumberFormat="1" applyFont="1" applyFill="1" applyBorder="1" applyAlignment="1">
      <alignment horizontal="center" vertical="center" wrapText="1"/>
    </xf>
    <xf numFmtId="179" fontId="4" fillId="0" borderId="5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31" fontId="4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4252595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6719;&#20214;\&#24494;&#20449;&#32842;&#22825;&#35760;&#24405;\xwechat_files\wxid_b46k1zf97jnr22_036b\msg\file\2026-06\&#26032;&#21457;&#32418;&#21313;&#23383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产科"/>
      <sheetName val="妇产科低温辅料"/>
      <sheetName val="口腔"/>
      <sheetName val="手术室"/>
      <sheetName val="手术室低温辅料"/>
      <sheetName val="外科"/>
      <sheetName val="加急"/>
    </sheetNames>
    <sheetDataSet>
      <sheetData sheetId="0"/>
      <sheetData sheetId="1">
        <row r="5">
          <cell r="H5">
            <v>44</v>
          </cell>
        </row>
        <row r="11">
          <cell r="H11">
            <v>2.5</v>
          </cell>
        </row>
      </sheetData>
      <sheetData sheetId="2"/>
      <sheetData sheetId="3"/>
      <sheetData sheetId="4">
        <row r="52">
          <cell r="H52">
            <v>3531</v>
          </cell>
        </row>
        <row r="63">
          <cell r="H63">
            <v>210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view="pageBreakPreview" zoomScaleNormal="100" workbookViewId="0">
      <selection activeCell="E18" sqref="E18:H18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24.625" style="1" customWidth="1"/>
    <col min="5" max="5" width="9" style="1"/>
    <col min="6" max="6" width="21.375" style="1" customWidth="1"/>
    <col min="7" max="7" width="5.625" style="1" customWidth="1"/>
    <col min="8" max="8" width="16.625" style="1" customWidth="1"/>
    <col min="9" max="9" width="9.375" style="1"/>
    <col min="10" max="16379" width="9" style="1"/>
  </cols>
  <sheetData>
    <row r="1" s="1" customFormat="1"/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30" customHeight="1" spans="1:8">
      <c r="A3" s="4"/>
      <c r="B3" s="5" t="s">
        <v>0</v>
      </c>
      <c r="C3" s="5"/>
      <c r="D3" s="5"/>
      <c r="E3" s="5"/>
      <c r="F3" s="5"/>
      <c r="G3" s="5"/>
      <c r="H3" s="5"/>
    </row>
    <row r="4" s="1" customFormat="1" ht="24" customHeight="1" spans="1:8">
      <c r="A4" s="4"/>
      <c r="B4" s="6" t="s">
        <v>1</v>
      </c>
      <c r="C4" s="6"/>
      <c r="D4" s="6"/>
      <c r="E4" s="6"/>
      <c r="F4" s="6"/>
      <c r="G4" s="6"/>
      <c r="H4" s="6"/>
    </row>
    <row r="5" s="1" customFormat="1" ht="24" customHeight="1" spans="1:8">
      <c r="A5" s="4"/>
      <c r="B5" s="7" t="s">
        <v>2</v>
      </c>
      <c r="C5" s="7"/>
      <c r="D5" s="7"/>
      <c r="E5" s="7"/>
      <c r="F5" s="7"/>
      <c r="G5" s="7"/>
      <c r="H5" s="7"/>
    </row>
    <row r="6" s="1" customFormat="1" ht="24" customHeight="1" spans="1:8">
      <c r="A6" s="4"/>
      <c r="B6" s="8" t="s">
        <v>3</v>
      </c>
      <c r="C6" s="9" t="s">
        <v>4</v>
      </c>
      <c r="D6" s="9"/>
      <c r="E6" s="10" t="s">
        <v>5</v>
      </c>
      <c r="F6" s="11"/>
      <c r="G6" s="11"/>
      <c r="H6" s="12"/>
    </row>
    <row r="7" s="1" customFormat="1" ht="24" customHeight="1" spans="1:8">
      <c r="A7" s="4"/>
      <c r="B7" s="8">
        <v>1</v>
      </c>
      <c r="C7" s="8" t="s">
        <v>6</v>
      </c>
      <c r="D7" s="8"/>
      <c r="E7" s="10">
        <v>12306.5</v>
      </c>
      <c r="F7" s="11"/>
      <c r="G7" s="11"/>
      <c r="H7" s="12"/>
    </row>
    <row r="8" s="1" customFormat="1" ht="24" customHeight="1" spans="1:8">
      <c r="A8" s="4"/>
      <c r="B8" s="8">
        <v>2</v>
      </c>
      <c r="C8" s="8" t="s">
        <v>7</v>
      </c>
      <c r="D8" s="8"/>
      <c r="E8" s="13">
        <f>E7*0.75</f>
        <v>9229.875</v>
      </c>
      <c r="F8" s="14"/>
      <c r="G8" s="14"/>
      <c r="H8" s="15"/>
    </row>
    <row r="9" s="1" customFormat="1" ht="24" customHeight="1" spans="1:8">
      <c r="A9" s="4"/>
      <c r="B9" s="8">
        <v>3</v>
      </c>
      <c r="C9" s="10" t="s">
        <v>8</v>
      </c>
      <c r="D9" s="12"/>
      <c r="E9" s="10">
        <f>[1]妇产科低温辅料!$H$5+[1]妇产科低温辅料!$H$11+[1]手术室低温辅料!$H$52+[1]手术室低温辅料!$H$63</f>
        <v>3787.5</v>
      </c>
      <c r="F9" s="11"/>
      <c r="G9" s="11"/>
      <c r="H9" s="12"/>
    </row>
    <row r="10" s="1" customFormat="1" ht="24" customHeight="1" spans="1:8">
      <c r="A10" s="4"/>
      <c r="B10" s="8">
        <v>4</v>
      </c>
      <c r="C10" s="10" t="s">
        <v>9</v>
      </c>
      <c r="D10" s="12"/>
      <c r="E10" s="16">
        <v>6440</v>
      </c>
      <c r="F10" s="17"/>
      <c r="G10" s="17"/>
      <c r="H10" s="18"/>
    </row>
    <row r="11" s="1" customFormat="1" ht="24" customHeight="1" spans="1:8">
      <c r="A11" s="4"/>
      <c r="B11" s="8">
        <v>5</v>
      </c>
      <c r="C11" s="10" t="s">
        <v>10</v>
      </c>
      <c r="D11" s="12"/>
      <c r="E11" s="16">
        <f>E10-128.8</f>
        <v>6311.2</v>
      </c>
      <c r="F11" s="17"/>
      <c r="G11" s="17"/>
      <c r="H11" s="18"/>
    </row>
    <row r="12" s="1" customFormat="1" ht="24" customHeight="1" spans="1:8">
      <c r="A12" s="4"/>
      <c r="B12" s="8">
        <v>6</v>
      </c>
      <c r="C12" s="10" t="s">
        <v>11</v>
      </c>
      <c r="D12" s="12"/>
      <c r="E12" s="19">
        <f>21*50</f>
        <v>1050</v>
      </c>
      <c r="F12" s="20"/>
      <c r="G12" s="20"/>
      <c r="H12" s="21"/>
    </row>
    <row r="13" s="1" customFormat="1" ht="24" customHeight="1" spans="1:8">
      <c r="A13" s="4"/>
      <c r="B13" s="8">
        <v>7</v>
      </c>
      <c r="C13" s="10" t="s">
        <v>12</v>
      </c>
      <c r="D13" s="12"/>
      <c r="E13" s="10">
        <v>1650</v>
      </c>
      <c r="F13" s="11"/>
      <c r="G13" s="11"/>
      <c r="H13" s="12"/>
    </row>
    <row r="14" s="1" customFormat="1" ht="24" customHeight="1" spans="1:8">
      <c r="A14" s="4"/>
      <c r="B14" s="8">
        <v>8</v>
      </c>
      <c r="C14" s="10" t="s">
        <v>13</v>
      </c>
      <c r="D14" s="12"/>
      <c r="E14" s="10">
        <f>E13*0.9</f>
        <v>1485</v>
      </c>
      <c r="F14" s="11"/>
      <c r="G14" s="11"/>
      <c r="H14" s="12"/>
    </row>
    <row r="15" s="1" customFormat="1" ht="24" customHeight="1" spans="1:8">
      <c r="A15" s="4"/>
      <c r="B15" s="8">
        <v>9</v>
      </c>
      <c r="C15" s="10" t="s">
        <v>14</v>
      </c>
      <c r="D15" s="12"/>
      <c r="E15" s="10" t="s">
        <v>15</v>
      </c>
      <c r="F15" s="11"/>
      <c r="G15" s="11"/>
      <c r="H15" s="12"/>
    </row>
    <row r="16" s="1" customFormat="1" ht="24" customHeight="1" spans="1:8">
      <c r="A16" s="4"/>
      <c r="B16" s="8">
        <v>10</v>
      </c>
      <c r="C16" s="10" t="s">
        <v>16</v>
      </c>
      <c r="D16" s="12"/>
      <c r="E16" s="10">
        <v>0</v>
      </c>
      <c r="F16" s="11"/>
      <c r="G16" s="11"/>
      <c r="H16" s="12"/>
    </row>
    <row r="17" s="1" customFormat="1" ht="24" customHeight="1" spans="1:8">
      <c r="A17" s="4"/>
      <c r="B17" s="9" t="s">
        <v>17</v>
      </c>
      <c r="C17" s="9"/>
      <c r="D17" s="9"/>
      <c r="E17" s="22">
        <f>E8+E9+E11+E12+E14-3270+E16</f>
        <v>18593.575</v>
      </c>
      <c r="F17" s="23"/>
      <c r="G17" s="23"/>
      <c r="H17" s="24"/>
    </row>
    <row r="18" s="1" customFormat="1" ht="24" customHeight="1" spans="1:8">
      <c r="A18" s="4"/>
      <c r="B18" s="9" t="s">
        <v>18</v>
      </c>
      <c r="C18" s="9"/>
      <c r="D18" s="9"/>
      <c r="E18" s="25">
        <f>E17</f>
        <v>18593.575</v>
      </c>
      <c r="F18" s="26"/>
      <c r="G18" s="26"/>
      <c r="H18" s="27"/>
    </row>
    <row r="19" s="1" customFormat="1" ht="24" customHeight="1" spans="1:8">
      <c r="A19" s="4"/>
      <c r="B19" s="28" t="s">
        <v>19</v>
      </c>
      <c r="C19" s="28"/>
      <c r="D19" s="28"/>
      <c r="E19" s="28"/>
      <c r="F19" s="28"/>
      <c r="G19" s="28"/>
      <c r="H19" s="28"/>
    </row>
    <row r="20" s="1" customFormat="1" ht="45" customHeight="1" spans="1:8">
      <c r="A20" s="4"/>
      <c r="B20" s="29" t="s">
        <v>20</v>
      </c>
      <c r="C20" s="29"/>
      <c r="D20" s="29"/>
      <c r="E20" s="29"/>
      <c r="F20" s="29"/>
      <c r="G20" s="29"/>
      <c r="H20" s="29"/>
    </row>
    <row r="21" s="1" customFormat="1" ht="24" customHeight="1" spans="1:8">
      <c r="A21" s="4"/>
      <c r="B21" s="30" t="s">
        <v>21</v>
      </c>
      <c r="C21" s="30"/>
      <c r="D21" s="30"/>
      <c r="E21" s="30"/>
      <c r="F21" s="30"/>
      <c r="G21" s="30"/>
      <c r="H21" s="30"/>
    </row>
    <row r="22" s="1" customFormat="1" ht="24" customHeight="1" spans="1:8">
      <c r="A22" s="4"/>
      <c r="B22" s="30" t="s">
        <v>22</v>
      </c>
      <c r="C22" s="30"/>
      <c r="D22" s="30"/>
      <c r="E22" s="30"/>
      <c r="F22" s="30"/>
      <c r="G22" s="30"/>
      <c r="H22" s="30"/>
    </row>
    <row r="23" s="1" customFormat="1" ht="24" customHeight="1" spans="1:8">
      <c r="A23" s="4"/>
      <c r="B23" s="30" t="s">
        <v>23</v>
      </c>
      <c r="C23" s="30"/>
      <c r="D23" s="30"/>
      <c r="E23" s="30"/>
      <c r="F23" s="30"/>
      <c r="G23" s="30"/>
      <c r="H23" s="30"/>
    </row>
    <row r="24" s="1" customFormat="1" ht="24" customHeight="1" spans="1:8">
      <c r="A24" s="4"/>
      <c r="B24" s="30" t="s">
        <v>24</v>
      </c>
      <c r="C24" s="30"/>
      <c r="D24" s="30"/>
      <c r="E24" s="30"/>
      <c r="F24" s="30"/>
      <c r="G24" s="30"/>
      <c r="H24" s="30"/>
    </row>
    <row r="25" s="1" customFormat="1" ht="40" customHeight="1" spans="1:8">
      <c r="A25" s="4"/>
      <c r="B25" s="31" t="s">
        <v>25</v>
      </c>
      <c r="C25" s="30"/>
      <c r="D25" s="30"/>
      <c r="E25" s="30"/>
      <c r="F25" s="30"/>
      <c r="G25" s="30"/>
      <c r="H25" s="30"/>
    </row>
    <row r="26" s="1" customFormat="1" ht="18.75" spans="1:8">
      <c r="A26" s="4"/>
      <c r="B26" s="32" t="s">
        <v>26</v>
      </c>
      <c r="C26" s="32"/>
      <c r="D26" s="32"/>
      <c r="E26" s="32"/>
      <c r="F26" s="32"/>
      <c r="G26" s="32"/>
      <c r="H26" s="32"/>
    </row>
    <row r="27" s="1" customFormat="1" ht="25" customHeight="1" spans="1:8">
      <c r="A27" s="4"/>
      <c r="B27" s="33" t="s">
        <v>27</v>
      </c>
      <c r="C27" s="33"/>
      <c r="D27" s="33"/>
      <c r="E27" s="33"/>
      <c r="F27" s="33"/>
      <c r="G27" s="33"/>
      <c r="H27" s="33"/>
    </row>
    <row r="28" s="1" customFormat="1" ht="24" customHeight="1" spans="1:8">
      <c r="A28" s="4"/>
      <c r="B28" s="34" t="s">
        <v>28</v>
      </c>
      <c r="C28" s="34"/>
      <c r="D28" s="34"/>
      <c r="E28" s="34"/>
      <c r="F28" s="34"/>
      <c r="G28" s="34"/>
      <c r="H28" s="34"/>
    </row>
    <row r="29" s="1" customFormat="1" ht="24" customHeight="1" spans="1:8">
      <c r="A29" s="4"/>
      <c r="B29" s="35">
        <v>46173</v>
      </c>
      <c r="C29" s="35"/>
      <c r="D29" s="35"/>
      <c r="E29" s="35"/>
      <c r="F29" s="35"/>
      <c r="G29" s="35"/>
      <c r="H29" s="35"/>
    </row>
    <row r="30" s="1" customFormat="1" spans="1:8">
      <c r="A30" s="4"/>
      <c r="B30" s="4"/>
      <c r="C30" s="4"/>
      <c r="D30" s="4"/>
      <c r="E30" s="4"/>
      <c r="F30" s="4"/>
      <c r="G30" s="4"/>
      <c r="H30" s="4"/>
    </row>
  </sheetData>
  <mergeCells count="40">
    <mergeCell ref="B3:H3"/>
    <mergeCell ref="B4:H4"/>
    <mergeCell ref="B5:H5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C11:D11"/>
    <mergeCell ref="E11:H11"/>
    <mergeCell ref="C12:D12"/>
    <mergeCell ref="E12:H12"/>
    <mergeCell ref="C13:D13"/>
    <mergeCell ref="E13:H13"/>
    <mergeCell ref="C14:D14"/>
    <mergeCell ref="E14:H14"/>
    <mergeCell ref="C15:D15"/>
    <mergeCell ref="E15:H15"/>
    <mergeCell ref="C16:D16"/>
    <mergeCell ref="E16:H16"/>
    <mergeCell ref="B17:D17"/>
    <mergeCell ref="E17:H17"/>
    <mergeCell ref="B18:D18"/>
    <mergeCell ref="E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街道无人</cp:lastModifiedBy>
  <dcterms:created xsi:type="dcterms:W3CDTF">2021-08-03T08:42:00Z</dcterms:created>
  <dcterms:modified xsi:type="dcterms:W3CDTF">2026-06-05T02:06:01Z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4398F7DDB06B4DC092FFE47D798E21ED_13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