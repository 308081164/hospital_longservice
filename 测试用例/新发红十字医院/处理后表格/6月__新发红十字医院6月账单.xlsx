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3" activeTab="4"/>
  </bookViews>
  <sheets>
    <sheet name="妇产科" sheetId="1" r:id="rId1"/>
    <sheet name="妇产科低温敷料" sheetId="6" r:id="rId2"/>
    <sheet name="口腔" sheetId="2" r:id="rId3"/>
    <sheet name="手术室" sheetId="3" r:id="rId4"/>
    <sheet name="手术室低温敷料" sheetId="7" r:id="rId5"/>
    <sheet name="外科" sheetId="4" r:id="rId6"/>
    <sheet name="外科低温敷料" sheetId="8" r:id="rId7"/>
    <sheet name="加急" sheetId="5" r:id="rId8"/>
  </sheets>
  <definedNames>
    <definedName name="_xlnm._FilterDatabase" localSheetId="0" hidden="1">妇产科!$A$8:$K$53</definedName>
    <definedName name="_xlnm._FilterDatabase" localSheetId="3" hidden="1">手术室!$A$7:$K$152</definedName>
    <definedName name="_xlnm._FilterDatabase" localSheetId="4" hidden="1">手术室低温敷料!$A$2:$H$95</definedName>
    <definedName name="_xlnm._FilterDatabase" localSheetId="5" hidden="1">外科!$A$7:$K$37</definedName>
    <definedName name="_xlnm.Print_Titles" localSheetId="0">妇产科!$1:$5</definedName>
    <definedName name="_xlnm.Print_Titles" localSheetId="2">口腔!$1:$6</definedName>
    <definedName name="_xlnm.Print_Titles" localSheetId="3">手术室!$1:$6</definedName>
    <definedName name="_xlnm.Print_Titles" localSheetId="5">外科!$1:$6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<sst xmlns="http://schemas.openxmlformats.org/spreadsheetml/2006/main" count="927" uniqueCount="149">
  <si>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</si>
  <si>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</si>
  <si>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</si>
  <si>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新发红十字医院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</si>
  <si>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</si>
  <si>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</si>
  <si>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</si>
  <si>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</si>
  <si>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</si>
  <si>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</si>
  <si>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</si>
  <si>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</si>
  <si>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妇产科</t>
  </si>
  <si>
    <t>额外包(纸塑袋)</t>
  </si>
  <si>
    <t>宫颈钳-1/Z1535</t>
  </si>
  <si>
    <t>剪刀（高温）-1/Z1026</t>
  </si>
  <si>
    <t>平镊-1/Z7534</t>
  </si>
  <si>
    <t>吸头5号-1/Z734</t>
  </si>
  <si>
    <t>中弯-1/Z1029</t>
  </si>
  <si>
    <t>器械包(ZSD)</t>
  </si>
  <si>
    <t>人流包-7件</t>
  </si>
  <si>
    <t>额外包(无纺布)</t>
  </si>
  <si>
    <t>取环包-4/W6050</t>
  </si>
  <si>
    <t>5号扩棒-1/Z7526</t>
  </si>
  <si>
    <t>8号扩棒-1/Z7526</t>
  </si>
  <si>
    <t>穿刺针-1/Z7520</t>
  </si>
  <si>
    <t>扩棒（ 4 4.5 5 5.5）-4/Z1026</t>
  </si>
  <si>
    <t>扩棒（6.5 7.5）-2件/z7526</t>
  </si>
  <si>
    <t>扩棒6.5-1/Z7526</t>
  </si>
  <si>
    <t>镊子-1/Z7530</t>
  </si>
  <si>
    <t>带环包-4/W6050</t>
  </si>
  <si>
    <t>取环包-5件/W6050</t>
  </si>
  <si>
    <t>器械包</t>
  </si>
  <si>
    <t>产包-7件</t>
  </si>
  <si>
    <t>卵圆钳-1/Z1535</t>
  </si>
  <si>
    <t>扩棒（3.5 4 4.5 5 5.5 6） -6/Z1026</t>
  </si>
  <si>
    <t>扩棒-2件/Z7526</t>
  </si>
  <si>
    <t>扩棒3.5号-1/Z7526</t>
  </si>
  <si>
    <t>取环器-1/Z1035</t>
  </si>
  <si>
    <t>带环包-4件/W6050</t>
  </si>
  <si>
    <t>活检钳1镊子1/Z2032</t>
  </si>
  <si>
    <t>扩棒（3.5 4 4.5 5）-4Z1026</t>
  </si>
  <si>
    <t>清宫包-6/W6050</t>
  </si>
  <si>
    <t>新发红十字医院妇产科6月低温消毒明细</t>
  </si>
  <si>
    <t>额外包(低温等离子)</t>
  </si>
  <si>
    <t>Leep刀头-1/Z7526</t>
  </si>
  <si>
    <t>合计</t>
  </si>
  <si>
    <t>新发红十字医院妇产科6月敷料消毒明细</t>
  </si>
  <si>
    <t>敷料包(纸塑袋)</t>
  </si>
  <si>
    <t>带线棉球/Z1526</t>
  </si>
  <si>
    <t>棉球/Z2032</t>
  </si>
  <si>
    <t>口腔</t>
  </si>
  <si>
    <t>拔牙钳-1/Z1029</t>
  </si>
  <si>
    <t>拔牙铤-1/Z7526</t>
  </si>
  <si>
    <t>洁牙机手柄-1/Z7526</t>
  </si>
  <si>
    <t>手机-1/Z7526</t>
  </si>
  <si>
    <t>手术室</t>
  </si>
  <si>
    <t>甲状腺包</t>
  </si>
  <si>
    <t>肛肠包-4/W6050</t>
  </si>
  <si>
    <t>盆2，盘1/W7050</t>
  </si>
  <si>
    <t>外科包-10/W6050</t>
  </si>
  <si>
    <t>持物钳缸-3件/W6050</t>
  </si>
  <si>
    <t>骨锉 咬骨钳(2件）/W6050</t>
  </si>
  <si>
    <t>外科包-7件/W6050</t>
  </si>
  <si>
    <t>小拉钩-2/Z1026</t>
  </si>
  <si>
    <t>电切器械包</t>
  </si>
  <si>
    <t>开腹包</t>
  </si>
  <si>
    <t>外科包</t>
  </si>
  <si>
    <t>碗2盘1（3件）/W6050</t>
  </si>
  <si>
    <t>换药碗-1/z2530</t>
  </si>
  <si>
    <t>盆1碗1盘1/W7050</t>
  </si>
  <si>
    <t>蚊式钳-6/W6050</t>
  </si>
  <si>
    <t>巾钳子（一样大小）-2/Z1530</t>
  </si>
  <si>
    <t>克氏针-3/Z7530</t>
  </si>
  <si>
    <t>探子-2/Z1526</t>
  </si>
  <si>
    <t>止血钳-1/Z1029</t>
  </si>
  <si>
    <t>扁桃体包-9件/W7050</t>
  </si>
  <si>
    <t>S拉钩大-2件 /W6050</t>
  </si>
  <si>
    <t>肠钳-2/W6050</t>
  </si>
  <si>
    <t>剥离子-1/Z7530</t>
  </si>
  <si>
    <t>扣钳-1/Z1535</t>
  </si>
  <si>
    <t>凿子-1/Z7530</t>
  </si>
  <si>
    <t>老虎钳-1/W6050</t>
  </si>
  <si>
    <t>小S拉钩-2件/W6050</t>
  </si>
  <si>
    <t>取环包-6件/W6050</t>
  </si>
  <si>
    <t>外科包-11/W6050</t>
  </si>
  <si>
    <t>大弯-1/Z1535</t>
  </si>
  <si>
    <t>改锥（梅花）-1/1029</t>
  </si>
  <si>
    <t>骨锉-1/Z7534</t>
  </si>
  <si>
    <t>腔镜普通器械包</t>
  </si>
  <si>
    <t>举宫包-5/W6050</t>
  </si>
  <si>
    <t>外科包-10件/W6050</t>
  </si>
  <si>
    <t>巾钳子-2，卵圆钳1/Z1535</t>
  </si>
  <si>
    <t>电钻-3/W6050</t>
  </si>
  <si>
    <t>外科包-11件/W6050</t>
  </si>
  <si>
    <t>产科器械包</t>
  </si>
  <si>
    <t>导尿管-1/Z7534</t>
  </si>
  <si>
    <t>阴道拉钩-2件/Z2044</t>
  </si>
  <si>
    <t>肌钩-2/Z1026</t>
  </si>
  <si>
    <t>克氏针-2/Z7530</t>
  </si>
  <si>
    <t>新发红十字医院手术室6月低温消毒明细</t>
  </si>
  <si>
    <t>闭合夹-1/Z2060</t>
  </si>
  <si>
    <t>穿刺器（5MM,10MM）-2/Z1532</t>
  </si>
  <si>
    <t>腹腔镜器械-6/Z2060</t>
  </si>
  <si>
    <t>气腹管-1/W7050</t>
  </si>
  <si>
    <t>12度镜头-1/双/Z1550</t>
  </si>
  <si>
    <t>30度镜头-1/双/Z1550</t>
  </si>
  <si>
    <t>持针器（低温）-1/Z2060</t>
  </si>
  <si>
    <t>电切镜器材-4/Z2045</t>
  </si>
  <si>
    <t>电切线-1/Z3040</t>
  </si>
  <si>
    <t>水管-1/W7050</t>
  </si>
  <si>
    <t>膀胱镜器械-5件/Z2060</t>
  </si>
  <si>
    <t>灯把-1/Z2535</t>
  </si>
  <si>
    <t>环状电极-1/Z1045</t>
  </si>
  <si>
    <t>转换器-1/Z1026</t>
  </si>
  <si>
    <t>电凝钩1 导线1/Z2060</t>
  </si>
  <si>
    <t>0度镜头-1/双/Z1550</t>
  </si>
  <si>
    <t>膀胱镜器械-3件/Z2060</t>
  </si>
  <si>
    <t>异物钳-2件/Z2044</t>
  </si>
  <si>
    <t>单包装包(老肯低温)</t>
  </si>
  <si>
    <t>宫腔检查镜-3件/Z2060</t>
  </si>
  <si>
    <t>穿刺器（10mm）-1/Z1530</t>
  </si>
  <si>
    <t>穿刺器（5mm）-1/Z1530</t>
  </si>
  <si>
    <t>举宫棒-1/Z7560</t>
  </si>
  <si>
    <t>双极钳1双极线1/z2060</t>
  </si>
  <si>
    <t>旋切器械-6/Z2060</t>
  </si>
  <si>
    <t>旋切线-1/Z3040</t>
  </si>
  <si>
    <t>抓钳-1/Z2060</t>
  </si>
  <si>
    <t>弹簧钳-1/Z1550</t>
  </si>
  <si>
    <t>微克夹钳-1/Z2060</t>
  </si>
  <si>
    <t>30度宫腔镜-3件/Z2060</t>
  </si>
  <si>
    <t>新发红十字医院手术室6月敷料消毒明细</t>
  </si>
  <si>
    <t>敷料包(无纺布包)</t>
  </si>
  <si>
    <t>擦手巾/W9050</t>
  </si>
  <si>
    <t>外科</t>
  </si>
  <si>
    <t>外科器械盘</t>
  </si>
  <si>
    <t>镊子-3/Z1035</t>
  </si>
  <si>
    <t>外科门诊器械包</t>
  </si>
  <si>
    <t>缝合包-8件</t>
  </si>
  <si>
    <t>镊子缸-2/Z2044</t>
  </si>
  <si>
    <t>镊子缸（3件）/W6050</t>
  </si>
  <si>
    <t>新发红十字医院外科6月敷料消毒明细</t>
  </si>
  <si>
    <t>新发红十字医院2026年6月加急灭菌费合计3861.88元，加急物流费合计600元，总计金额4461.88元。</t>
  </si>
  <si>
    <t>新发红十字医院2026年6月1日加急灭菌费261.5+261.5*25%=326.88元，执行低消500元，加急物流费150元，合计金额650元。</t>
  </si>
  <si>
    <t>镜头-1/双Z1550</t>
  </si>
  <si>
    <t>新发红十字医院2026年6月7日加急灭菌费1051.5+1051.5*25%=1314.38元，加急物流费150元，合计金额1464.38元。</t>
  </si>
  <si>
    <t>低温组件-1/z7520</t>
  </si>
  <si>
    <t>新发红十字医院2026年6月22日加急灭菌费513+513*25%=641.25元，加急物流费150元，合计金额791.25元。</t>
  </si>
  <si>
    <t>新发红十字医院2026年6月23日加急灭菌费1125+1125*25%=1406.25元，加急物流费150元，合计金额1556.25元。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</si>
</sst>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yyyy/m/d"/>
    <numFmt numFmtId="177" formatCode="[$-10804]0.00;\(0.00\)"/>
  </numFmts>
  <fonts count="33">
    <font>
      <sz val="11"/>
      <name val="宋体"/>
      <charset val="134"/>
      <scheme val="minor"/>
    </font>
    <font>
      <b/>
      <sz val="12"/>
      <name val="宋体"/>
      <charset val="134"/>
      <scheme val="major"/>
    </font>
    <font>
      <b/>
      <sz val="11"/>
      <name val="宋体"/>
      <charset val="134"/>
      <scheme val="minor"/>
    </font>
    <font>
      <sz val="10"/>
      <name val="宋体"/>
      <charset val="134"/>
    </font>
    <font>
      <sz val="10"/>
      <color rgb="FF000000"/>
      <name val="Droid Sans Fallback"/>
      <charset val="134"/>
    </font>
    <font>
      <sz val="10"/>
      <name val="Droid Sans Fallback"/>
      <charset val="134"/>
    </font>
    <font>
      <b/>
      <sz val="14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宋体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4" borderId="9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2" applyNumberFormat="0" applyAlignment="0" applyProtection="0">
      <alignment vertical="center"/>
    </xf>
    <xf numFmtId="0" fontId="22" fillId="6" borderId="13" applyNumberFormat="0" applyAlignment="0" applyProtection="0">
      <alignment vertical="center"/>
    </xf>
    <xf numFmtId="0" fontId="23" fillId="6" borderId="12" applyNumberFormat="0" applyAlignment="0" applyProtection="0">
      <alignment vertical="center"/>
    </xf>
    <xf numFmtId="0" fontId="24" fillId="7" borderId="14" applyNumberFormat="0" applyAlignment="0" applyProtection="0">
      <alignment vertical="center"/>
    </xf>
    <xf numFmtId="0" fontId="25" fillId="0" borderId="15" applyNumberFormat="0" applyFill="0" applyAlignment="0" applyProtection="0">
      <alignment vertical="center"/>
    </xf>
    <xf numFmtId="0" fontId="26" fillId="0" borderId="16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2" fillId="0" borderId="0"/>
  </cellStyleXfs>
  <cellXfs count="34">
    <xf numFmtId="0" fontId="0" fillId="0" borderId="0" xfId="49" applyFont="1" applyFill="1" applyBorder="1"/>
    <xf numFmtId="0" fontId="0" fillId="0" borderId="0" xfId="0" applyFont="1" applyFill="1" applyBorder="1" applyAlignment="1"/>
    <xf numFmtId="0" fontId="1" fillId="0" borderId="0" xfId="0" applyNumberFormat="1" applyFont="1" applyFill="1" applyAlignment="1">
      <alignment horizontal="center" vertical="center" readingOrder="1"/>
    </xf>
    <xf numFmtId="0" fontId="2" fillId="0" borderId="0" xfId="0" applyFont="1" applyFill="1" applyAlignment="1">
      <alignment horizontal="center" vertical="center" wrapText="1"/>
    </xf>
    <xf numFmtId="0" fontId="3" fillId="0" borderId="1" xfId="0" applyNumberFormat="1" applyFont="1" applyFill="1" applyBorder="1" applyAlignment="1">
      <alignment horizontal="center" vertical="top" wrapText="1" readingOrder="1"/>
    </xf>
    <xf numFmtId="176" fontId="4" fillId="0" borderId="1" xfId="49" applyNumberFormat="1" applyFont="1" applyFill="1" applyBorder="1" applyAlignment="1">
      <alignment vertical="top" wrapText="1" readingOrder="1"/>
    </xf>
    <xf numFmtId="0" fontId="4" fillId="0" borderId="1" xfId="49" applyNumberFormat="1" applyFont="1" applyFill="1" applyBorder="1" applyAlignment="1">
      <alignment vertical="top" wrapText="1" readingOrder="1"/>
    </xf>
    <xf numFmtId="0" fontId="4" fillId="0" borderId="1" xfId="49" applyNumberFormat="1" applyFont="1" applyFill="1" applyBorder="1" applyAlignment="1">
      <alignment horizontal="center" vertical="top" wrapText="1" readingOrder="1"/>
    </xf>
    <xf numFmtId="0" fontId="5" fillId="0" borderId="1" xfId="49" applyNumberFormat="1" applyFont="1" applyFill="1" applyBorder="1" applyAlignment="1">
      <alignment horizontal="center" vertical="top" wrapText="1" readingOrder="1"/>
    </xf>
    <xf numFmtId="177" fontId="4" fillId="0" borderId="1" xfId="49" applyNumberFormat="1" applyFont="1" applyFill="1" applyBorder="1" applyAlignment="1">
      <alignment horizontal="center" vertical="top" wrapText="1" readingOrder="1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top" wrapText="1" readingOrder="1"/>
    </xf>
    <xf numFmtId="177" fontId="4" fillId="0" borderId="1" xfId="0" applyNumberFormat="1" applyFont="1" applyFill="1" applyBorder="1" applyAlignment="1">
      <alignment horizontal="center" vertical="top" wrapText="1" readingOrder="1"/>
    </xf>
    <xf numFmtId="0" fontId="7" fillId="0" borderId="0" xfId="49" applyNumberFormat="1" applyFont="1" applyFill="1" applyBorder="1" applyAlignment="1">
      <alignment horizontal="left" vertical="top" wrapText="1" readingOrder="1"/>
    </xf>
    <xf numFmtId="0" fontId="8" fillId="0" borderId="0" xfId="49" applyNumberFormat="1" applyFont="1" applyFill="1" applyBorder="1" applyAlignment="1">
      <alignment vertical="top" wrapText="1" readingOrder="1"/>
    </xf>
    <xf numFmtId="0" fontId="4" fillId="0" borderId="0" xfId="49" applyNumberFormat="1" applyFont="1" applyFill="1" applyBorder="1" applyAlignment="1">
      <alignment vertical="top" wrapText="1" readingOrder="1"/>
    </xf>
    <xf numFmtId="0" fontId="0" fillId="0" borderId="5" xfId="49" applyNumberFormat="1" applyFont="1" applyFill="1" applyBorder="1" applyAlignment="1">
      <alignment vertical="top" wrapText="1"/>
    </xf>
    <xf numFmtId="0" fontId="4" fillId="0" borderId="5" xfId="49" applyNumberFormat="1" applyFont="1" applyFill="1" applyBorder="1" applyAlignment="1">
      <alignment vertical="top" wrapText="1" readingOrder="1"/>
    </xf>
    <xf numFmtId="0" fontId="4" fillId="0" borderId="6" xfId="49" applyNumberFormat="1" applyFont="1" applyFill="1" applyBorder="1" applyAlignment="1">
      <alignment horizontal="center" vertical="top" wrapText="1" readingOrder="1"/>
    </xf>
    <xf numFmtId="0" fontId="9" fillId="2" borderId="7" xfId="49" applyNumberFormat="1" applyFont="1" applyFill="1" applyBorder="1" applyAlignment="1">
      <alignment vertical="top" wrapText="1" readingOrder="1"/>
    </xf>
    <xf numFmtId="0" fontId="0" fillId="0" borderId="8" xfId="49" applyNumberFormat="1" applyFont="1" applyFill="1" applyBorder="1" applyAlignment="1">
      <alignment vertical="top" wrapText="1"/>
    </xf>
    <xf numFmtId="0" fontId="9" fillId="2" borderId="7" xfId="49" applyNumberFormat="1" applyFont="1" applyFill="1" applyBorder="1" applyAlignment="1">
      <alignment horizontal="center" vertical="top" wrapText="1" readingOrder="1"/>
    </xf>
    <xf numFmtId="177" fontId="9" fillId="2" borderId="7" xfId="49" applyNumberFormat="1" applyFont="1" applyFill="1" applyBorder="1" applyAlignment="1">
      <alignment horizontal="center" vertical="top" wrapText="1" readingOrder="1"/>
    </xf>
    <xf numFmtId="176" fontId="4" fillId="0" borderId="7" xfId="49" applyNumberFormat="1" applyFont="1" applyFill="1" applyBorder="1" applyAlignment="1">
      <alignment vertical="top" wrapText="1" readingOrder="1"/>
    </xf>
    <xf numFmtId="0" fontId="4" fillId="0" borderId="7" xfId="49" applyNumberFormat="1" applyFont="1" applyFill="1" applyBorder="1" applyAlignment="1">
      <alignment vertical="top" wrapText="1" readingOrder="1"/>
    </xf>
    <xf numFmtId="0" fontId="4" fillId="0" borderId="7" xfId="49" applyNumberFormat="1" applyFont="1" applyFill="1" applyBorder="1" applyAlignment="1">
      <alignment horizontal="center" vertical="top" wrapText="1" readingOrder="1"/>
    </xf>
    <xf numFmtId="177" fontId="4" fillId="0" borderId="7" xfId="49" applyNumberFormat="1" applyFont="1" applyFill="1" applyBorder="1" applyAlignment="1">
      <alignment horizontal="center" vertical="top" wrapText="1" readingOrder="1"/>
    </xf>
    <xf numFmtId="0" fontId="10" fillId="3" borderId="7" xfId="49" applyNumberFormat="1" applyFont="1" applyFill="1" applyBorder="1" applyAlignment="1">
      <alignment vertical="top" wrapText="1" readingOrder="1"/>
    </xf>
    <xf numFmtId="0" fontId="11" fillId="3" borderId="7" xfId="49" applyNumberFormat="1" applyFont="1" applyFill="1" applyBorder="1" applyAlignment="1">
      <alignment horizontal="center" vertical="top" wrapText="1" readingOrder="1"/>
    </xf>
    <xf numFmtId="177" fontId="11" fillId="3" borderId="7" xfId="49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266700</xdr:colOff>
      <xdr:row>0</xdr:row>
      <xdr:rowOff>161925</xdr:rowOff>
    </xdr:from>
    <xdr:to>
      <xdr:col>10</xdr:col>
      <xdr:colOff>776688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89750" y="161925"/>
          <a:ext cx="509905" cy="50863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200025</xdr:colOff>
      <xdr:row>1</xdr:row>
      <xdr:rowOff>85725</xdr:rowOff>
    </xdr:from>
    <xdr:to>
      <xdr:col>10</xdr:col>
      <xdr:colOff>710013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23075" y="257175"/>
          <a:ext cx="509905" cy="5086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228600</xdr:colOff>
      <xdr:row>1</xdr:row>
      <xdr:rowOff>76200</xdr:rowOff>
    </xdr:from>
    <xdr:to>
      <xdr:col>10</xdr:col>
      <xdr:colOff>738588</xdr:colOff>
      <xdr:row>4</xdr:row>
      <xdr:rowOff>73660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51650" y="247650"/>
          <a:ext cx="509905" cy="5086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219075</xdr:colOff>
      <xdr:row>0</xdr:row>
      <xdr:rowOff>161925</xdr:rowOff>
    </xdr:from>
    <xdr:to>
      <xdr:col>10</xdr:col>
      <xdr:colOff>729063</xdr:colOff>
      <xdr:row>3</xdr:row>
      <xdr:rowOff>180975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6842125" y="16192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showGridLines="0" view="pageBreakPreview" zoomScaleNormal="100" workbookViewId="0">
      <pane ySplit="5" topLeftCell="A6" activePane="bottomLeft" state="frozen"/>
      <selection/>
      <selection pane="bottomLeft" activeCell="L10" sqref="L1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2:12">
      <c r="C1" s="17" t="s">
        <v>0</v>
      </c>
    </row>
    <row r="2" ht="23.05" customHeight="1"/>
    <row r="3" ht="2" customHeight="1"/>
    <row r="4" ht="15.2" customHeight="1" spans="2:12">
      <c r="B4" s="18" t="s">
        <v>1</v>
      </c>
    </row>
    <row r="5" ht="2.95" customHeight="1"/>
    <row r="6" ht="3.95" customHeight="1" spans="2:12">
      <c r="B6" s="20" t="s">
        <v>2</v>
      </c>
      <c r="C6" s="20" t="s">
        <v>2</v>
      </c>
      <c r="D6" s="20" t="s">
        <v>2</v>
      </c>
      <c r="E6" s="20" t="s">
        <v>2</v>
      </c>
      <c r="F6" s="20" t="s">
        <v>2</v>
      </c>
      <c r="G6" s="20" t="s">
        <v>2</v>
      </c>
      <c r="H6" s="20" t="s">
        <v>2</v>
      </c>
      <c r="I6" s="20" t="s">
        <v>2</v>
      </c>
      <c r="J6" s="20" t="s">
        <v>2</v>
      </c>
      <c r="K6" s="20" t="s">
        <v>2</v>
      </c>
    </row>
    <row r="7" ht="15" spans="2:12">
      <c r="C7" s="19" t="s">
        <v>2</v>
      </c>
      <c r="D7" s="31" t="s">
        <v>3</v>
      </c>
      <c r="E7" s="24" t="s">
        <v>2</v>
      </c>
      <c r="F7" s="24" t="s">
        <v>2</v>
      </c>
      <c r="G7" s="24" t="s">
        <v>2</v>
      </c>
      <c r="H7" s="24" t="s">
        <v>2</v>
      </c>
      <c r="I7" s="32"/>
      <c r="J7" s="33"/>
      <c r="K7" s="33"/>
    </row>
    <row r="8" spans="2:12">
      <c r="C8" s="19" t="s">
        <v>2</v>
      </c>
      <c r="D8" s="29" t="s">
        <v>4</v>
      </c>
      <c r="E8" s="29" t="s">
        <v>5</v>
      </c>
      <c r="F8" s="29" t="s">
        <v>6</v>
      </c>
      <c r="G8" s="29" t="s">
        <v>7</v>
      </c>
      <c r="H8" s="29" t="s">
        <v>8</v>
      </c>
      <c r="I8" s="29" t="s">
        <v>9</v>
      </c>
      <c r="J8" s="29" t="s">
        <v>10</v>
      </c>
      <c r="K8" s="29" t="s">
        <v>11</v>
      </c>
    </row>
    <row r="9" ht="14.25" spans="2:12">
      <c r="D9" s="23" t="s">
        <v>12</v>
      </c>
      <c r="E9" s="24" t="s">
        <v>2</v>
      </c>
      <c r="F9" s="24" t="s">
        <v>2</v>
      </c>
      <c r="G9" s="24" t="s">
        <v>2</v>
      </c>
      <c r="H9" s="24" t="s">
        <v>2</v>
      </c>
      <c r="I9" s="25">
        <f>SUM(I10:I53)</f>
        <v>68</v>
      </c>
      <c r="J9" s="26"/>
      <c r="K9" s="26">
        <f>SUM(K10:K53)</f>
        <v>1359.5</v>
      </c>
      <c r="L9">
        <f>K9+口腔!K8+手术室!K8+外科!K8</f>
        <v>13536.5</v>
      </c>
    </row>
    <row r="10" spans="2:12">
      <c r="D10" s="27">
        <v>46175</v>
      </c>
      <c r="E10" s="28">
        <v>1608594</v>
      </c>
      <c r="F10" s="28" t="s">
        <v>13</v>
      </c>
      <c r="G10" s="29">
        <v>20005572</v>
      </c>
      <c r="H10" s="28" t="s">
        <v>14</v>
      </c>
      <c r="I10" s="29">
        <v>1</v>
      </c>
      <c r="J10" s="30">
        <v>11</v>
      </c>
      <c r="K10" s="30">
        <v>11</v>
      </c>
    </row>
    <row r="11" spans="2:12">
      <c r="D11" s="27">
        <v>46175</v>
      </c>
      <c r="E11" s="28">
        <v>1608594</v>
      </c>
      <c r="F11" s="28" t="s">
        <v>13</v>
      </c>
      <c r="G11" s="29">
        <v>20004215</v>
      </c>
      <c r="H11" s="28" t="s">
        <v>15</v>
      </c>
      <c r="I11" s="29">
        <v>1</v>
      </c>
      <c r="J11" s="30">
        <v>8</v>
      </c>
      <c r="K11" s="30">
        <v>8</v>
      </c>
    </row>
    <row r="12" spans="2:12">
      <c r="D12" s="27">
        <v>46175</v>
      </c>
      <c r="E12" s="28">
        <v>1608594</v>
      </c>
      <c r="F12" s="28" t="s">
        <v>13</v>
      </c>
      <c r="G12" s="29">
        <v>20325889</v>
      </c>
      <c r="H12" s="28" t="s">
        <v>16</v>
      </c>
      <c r="I12" s="29">
        <v>1</v>
      </c>
      <c r="J12" s="30">
        <v>8</v>
      </c>
      <c r="K12" s="30">
        <v>8</v>
      </c>
    </row>
    <row r="13" spans="2:12">
      <c r="D13" s="27">
        <v>46175</v>
      </c>
      <c r="E13" s="28">
        <v>1608594</v>
      </c>
      <c r="F13" s="28" t="s">
        <v>13</v>
      </c>
      <c r="G13" s="29">
        <v>20004662</v>
      </c>
      <c r="H13" s="28" t="s">
        <v>17</v>
      </c>
      <c r="I13" s="29">
        <v>1</v>
      </c>
      <c r="J13" s="30">
        <v>8</v>
      </c>
      <c r="K13" s="30">
        <v>8</v>
      </c>
    </row>
    <row r="14" spans="2:12">
      <c r="D14" s="27">
        <v>46175</v>
      </c>
      <c r="E14" s="28">
        <v>1608594</v>
      </c>
      <c r="F14" s="28" t="s">
        <v>13</v>
      </c>
      <c r="G14" s="29">
        <v>20004206</v>
      </c>
      <c r="H14" s="28" t="s">
        <v>18</v>
      </c>
      <c r="I14" s="29">
        <v>1</v>
      </c>
      <c r="J14" s="30">
        <v>8</v>
      </c>
      <c r="K14" s="30">
        <v>8</v>
      </c>
    </row>
    <row r="15" spans="2:12">
      <c r="D15" s="27">
        <v>46175</v>
      </c>
      <c r="E15" s="28">
        <v>1608594</v>
      </c>
      <c r="F15" s="28" t="s">
        <v>19</v>
      </c>
      <c r="G15" s="29">
        <v>20004166</v>
      </c>
      <c r="H15" s="28" t="s">
        <v>20</v>
      </c>
      <c r="I15" s="29">
        <v>1</v>
      </c>
      <c r="J15" s="30">
        <v>44</v>
      </c>
      <c r="K15" s="30">
        <v>44</v>
      </c>
    </row>
    <row r="16" spans="2:12">
      <c r="D16" s="27">
        <v>46175</v>
      </c>
      <c r="E16" s="28">
        <v>1608594</v>
      </c>
      <c r="F16" s="28" t="s">
        <v>21</v>
      </c>
      <c r="G16" s="29">
        <v>20004185</v>
      </c>
      <c r="H16" s="28" t="s">
        <v>22</v>
      </c>
      <c r="I16" s="29">
        <v>1</v>
      </c>
      <c r="J16" s="30">
        <v>22</v>
      </c>
      <c r="K16" s="30">
        <v>22</v>
      </c>
    </row>
    <row r="17" spans="4:11">
      <c r="D17" s="27">
        <v>46177</v>
      </c>
      <c r="E17" s="28">
        <v>1609324</v>
      </c>
      <c r="F17" s="28" t="s">
        <v>13</v>
      </c>
      <c r="G17" s="29">
        <v>20428461</v>
      </c>
      <c r="H17" s="28" t="s">
        <v>23</v>
      </c>
      <c r="I17" s="29">
        <v>1</v>
      </c>
      <c r="J17" s="30">
        <v>8</v>
      </c>
      <c r="K17" s="30">
        <v>8</v>
      </c>
    </row>
    <row r="18" spans="4:11">
      <c r="D18" s="27">
        <v>46177</v>
      </c>
      <c r="E18" s="28">
        <v>1609324</v>
      </c>
      <c r="F18" s="28" t="s">
        <v>13</v>
      </c>
      <c r="G18" s="29">
        <v>20428462</v>
      </c>
      <c r="H18" s="28" t="s">
        <v>24</v>
      </c>
      <c r="I18" s="29">
        <v>1</v>
      </c>
      <c r="J18" s="30">
        <v>8</v>
      </c>
      <c r="K18" s="30">
        <v>8</v>
      </c>
    </row>
    <row r="19" spans="4:11">
      <c r="D19" s="27">
        <v>46177</v>
      </c>
      <c r="E19" s="28">
        <v>1609324</v>
      </c>
      <c r="F19" s="28" t="s">
        <v>13</v>
      </c>
      <c r="G19" s="29">
        <v>20004216</v>
      </c>
      <c r="H19" s="28" t="s">
        <v>25</v>
      </c>
      <c r="I19" s="29">
        <v>1</v>
      </c>
      <c r="J19" s="30">
        <v>8</v>
      </c>
      <c r="K19" s="30">
        <v>8</v>
      </c>
    </row>
    <row r="20" spans="4:11">
      <c r="D20" s="27">
        <v>46177</v>
      </c>
      <c r="E20" s="28">
        <v>1609324</v>
      </c>
      <c r="F20" s="28" t="s">
        <v>13</v>
      </c>
      <c r="G20" s="29">
        <v>20004708</v>
      </c>
      <c r="H20" s="28" t="s">
        <v>26</v>
      </c>
      <c r="I20" s="29">
        <v>1</v>
      </c>
      <c r="J20" s="30">
        <v>22</v>
      </c>
      <c r="K20" s="30">
        <v>22</v>
      </c>
    </row>
    <row r="21" spans="4:11">
      <c r="D21" s="27">
        <v>46177</v>
      </c>
      <c r="E21" s="28">
        <v>1609324</v>
      </c>
      <c r="F21" s="28" t="s">
        <v>13</v>
      </c>
      <c r="G21" s="29">
        <v>20400852</v>
      </c>
      <c r="H21" s="28" t="s">
        <v>27</v>
      </c>
      <c r="I21" s="29">
        <v>1</v>
      </c>
      <c r="J21" s="30">
        <v>13.5</v>
      </c>
      <c r="K21" s="30">
        <v>13.5</v>
      </c>
    </row>
    <row r="22" spans="4:11">
      <c r="D22" s="27">
        <v>46177</v>
      </c>
      <c r="E22" s="28">
        <v>1609324</v>
      </c>
      <c r="F22" s="28" t="s">
        <v>13</v>
      </c>
      <c r="G22" s="29">
        <v>20310442</v>
      </c>
      <c r="H22" s="28" t="s">
        <v>28</v>
      </c>
      <c r="I22" s="29">
        <v>1</v>
      </c>
      <c r="J22" s="30">
        <v>8</v>
      </c>
      <c r="K22" s="30">
        <v>8</v>
      </c>
    </row>
    <row r="23" spans="4:11">
      <c r="D23" s="27">
        <v>46177</v>
      </c>
      <c r="E23" s="28">
        <v>1609324</v>
      </c>
      <c r="F23" s="28" t="s">
        <v>13</v>
      </c>
      <c r="G23" s="29">
        <v>20359374</v>
      </c>
      <c r="H23" s="28" t="s">
        <v>29</v>
      </c>
      <c r="I23" s="29">
        <v>2</v>
      </c>
      <c r="J23" s="30">
        <v>8</v>
      </c>
      <c r="K23" s="30">
        <v>16</v>
      </c>
    </row>
    <row r="24" spans="4:11">
      <c r="D24" s="27">
        <v>46177</v>
      </c>
      <c r="E24" s="28">
        <v>1609324</v>
      </c>
      <c r="F24" s="28" t="s">
        <v>13</v>
      </c>
      <c r="G24" s="29">
        <v>20004206</v>
      </c>
      <c r="H24" s="28" t="s">
        <v>18</v>
      </c>
      <c r="I24" s="29">
        <v>1</v>
      </c>
      <c r="J24" s="30">
        <v>8</v>
      </c>
      <c r="K24" s="30">
        <v>8</v>
      </c>
    </row>
    <row r="25" spans="4:11">
      <c r="D25" s="27">
        <v>46177</v>
      </c>
      <c r="E25" s="28">
        <v>1609324</v>
      </c>
      <c r="F25" s="28" t="s">
        <v>19</v>
      </c>
      <c r="G25" s="29">
        <v>20004166</v>
      </c>
      <c r="H25" s="28" t="s">
        <v>20</v>
      </c>
      <c r="I25" s="29">
        <v>2</v>
      </c>
      <c r="J25" s="30">
        <v>44</v>
      </c>
      <c r="K25" s="30">
        <v>88</v>
      </c>
    </row>
    <row r="26" spans="4:11">
      <c r="D26" s="27">
        <v>46177</v>
      </c>
      <c r="E26" s="28">
        <v>1609324</v>
      </c>
      <c r="F26" s="28" t="s">
        <v>21</v>
      </c>
      <c r="G26" s="29">
        <v>20004165</v>
      </c>
      <c r="H26" s="28" t="s">
        <v>30</v>
      </c>
      <c r="I26" s="29">
        <v>1</v>
      </c>
      <c r="J26" s="30">
        <v>22</v>
      </c>
      <c r="K26" s="30">
        <v>22</v>
      </c>
    </row>
    <row r="27" spans="4:11">
      <c r="D27" s="27">
        <v>46177</v>
      </c>
      <c r="E27" s="28">
        <v>1609324</v>
      </c>
      <c r="F27" s="28" t="s">
        <v>21</v>
      </c>
      <c r="G27" s="29">
        <v>20011352</v>
      </c>
      <c r="H27" s="28" t="s">
        <v>31</v>
      </c>
      <c r="I27" s="29">
        <v>1</v>
      </c>
      <c r="J27" s="30">
        <v>27.5</v>
      </c>
      <c r="K27" s="30">
        <v>27.5</v>
      </c>
    </row>
    <row r="28" spans="4:11">
      <c r="D28" s="27">
        <v>46182</v>
      </c>
      <c r="E28" s="28">
        <v>1610713</v>
      </c>
      <c r="F28" s="28" t="s">
        <v>32</v>
      </c>
      <c r="G28" s="29">
        <v>20004645</v>
      </c>
      <c r="H28" s="28" t="s">
        <v>33</v>
      </c>
      <c r="I28" s="29">
        <v>1</v>
      </c>
      <c r="J28" s="30">
        <v>38.5</v>
      </c>
      <c r="K28" s="30">
        <v>38.5</v>
      </c>
    </row>
    <row r="29" spans="4:11">
      <c r="D29" s="27">
        <v>46182</v>
      </c>
      <c r="E29" s="28">
        <v>1610713</v>
      </c>
      <c r="F29" s="28" t="s">
        <v>13</v>
      </c>
      <c r="G29" s="29">
        <v>20004216</v>
      </c>
      <c r="H29" s="28" t="s">
        <v>25</v>
      </c>
      <c r="I29" s="29">
        <v>1</v>
      </c>
      <c r="J29" s="30">
        <v>8</v>
      </c>
      <c r="K29" s="30">
        <v>8</v>
      </c>
    </row>
    <row r="30" spans="4:11">
      <c r="D30" s="27">
        <v>46182</v>
      </c>
      <c r="E30" s="28">
        <v>1610713</v>
      </c>
      <c r="F30" s="28" t="s">
        <v>13</v>
      </c>
      <c r="G30" s="29">
        <v>20004228</v>
      </c>
      <c r="H30" s="28" t="s">
        <v>34</v>
      </c>
      <c r="I30" s="29">
        <v>1</v>
      </c>
      <c r="J30" s="30">
        <v>11</v>
      </c>
      <c r="K30" s="30">
        <v>11</v>
      </c>
    </row>
    <row r="31" spans="4:11">
      <c r="D31" s="27">
        <v>46182</v>
      </c>
      <c r="E31" s="28">
        <v>1610713</v>
      </c>
      <c r="F31" s="28" t="s">
        <v>19</v>
      </c>
      <c r="G31" s="29">
        <v>20004166</v>
      </c>
      <c r="H31" s="28" t="s">
        <v>20</v>
      </c>
      <c r="I31" s="29">
        <v>1</v>
      </c>
      <c r="J31" s="30">
        <v>44</v>
      </c>
      <c r="K31" s="30">
        <v>44</v>
      </c>
    </row>
    <row r="32" spans="4:11">
      <c r="D32" s="27">
        <v>46182</v>
      </c>
      <c r="E32" s="28">
        <v>1610713</v>
      </c>
      <c r="F32" s="28" t="s">
        <v>21</v>
      </c>
      <c r="G32" s="29">
        <v>20011352</v>
      </c>
      <c r="H32" s="28" t="s">
        <v>31</v>
      </c>
      <c r="I32" s="29">
        <v>2</v>
      </c>
      <c r="J32" s="30">
        <v>27.5</v>
      </c>
      <c r="K32" s="30">
        <v>55</v>
      </c>
    </row>
    <row r="33" spans="4:11">
      <c r="D33" s="27">
        <v>46193</v>
      </c>
      <c r="E33" s="28">
        <v>1613783</v>
      </c>
      <c r="F33" s="28" t="s">
        <v>32</v>
      </c>
      <c r="G33" s="29">
        <v>20004645</v>
      </c>
      <c r="H33" s="28" t="s">
        <v>33</v>
      </c>
      <c r="I33" s="29">
        <v>1</v>
      </c>
      <c r="J33" s="30">
        <v>38.5</v>
      </c>
      <c r="K33" s="30">
        <v>38.5</v>
      </c>
    </row>
    <row r="34" spans="4:11">
      <c r="D34" s="27">
        <v>46193</v>
      </c>
      <c r="E34" s="28">
        <v>1613783</v>
      </c>
      <c r="F34" s="28" t="s">
        <v>13</v>
      </c>
      <c r="G34" s="29">
        <v>20005572</v>
      </c>
      <c r="H34" s="28" t="s">
        <v>14</v>
      </c>
      <c r="I34" s="29">
        <v>2</v>
      </c>
      <c r="J34" s="30">
        <v>11</v>
      </c>
      <c r="K34" s="30">
        <v>22</v>
      </c>
    </row>
    <row r="35" spans="4:11">
      <c r="D35" s="27">
        <v>46193</v>
      </c>
      <c r="E35" s="28">
        <v>1613783</v>
      </c>
      <c r="F35" s="28" t="s">
        <v>13</v>
      </c>
      <c r="G35" s="29">
        <v>20004215</v>
      </c>
      <c r="H35" s="28" t="s">
        <v>15</v>
      </c>
      <c r="I35" s="29">
        <v>1</v>
      </c>
      <c r="J35" s="30">
        <v>8</v>
      </c>
      <c r="K35" s="30">
        <v>8</v>
      </c>
    </row>
    <row r="36" ht="25.5" spans="4:11">
      <c r="D36" s="27">
        <v>46193</v>
      </c>
      <c r="E36" s="28">
        <v>1613783</v>
      </c>
      <c r="F36" s="28" t="s">
        <v>13</v>
      </c>
      <c r="G36" s="29">
        <v>20347361</v>
      </c>
      <c r="H36" s="28" t="s">
        <v>35</v>
      </c>
      <c r="I36" s="29">
        <v>1</v>
      </c>
      <c r="J36" s="30">
        <v>33</v>
      </c>
      <c r="K36" s="30">
        <v>33</v>
      </c>
    </row>
    <row r="37" spans="4:11">
      <c r="D37" s="27">
        <v>46193</v>
      </c>
      <c r="E37" s="28">
        <v>1613783</v>
      </c>
      <c r="F37" s="28" t="s">
        <v>13</v>
      </c>
      <c r="G37" s="29">
        <v>20390913</v>
      </c>
      <c r="H37" s="28" t="s">
        <v>36</v>
      </c>
      <c r="I37" s="29">
        <v>1</v>
      </c>
      <c r="J37" s="30">
        <v>13.5</v>
      </c>
      <c r="K37" s="30">
        <v>13.5</v>
      </c>
    </row>
    <row r="38" spans="4:11">
      <c r="D38" s="27">
        <v>46193</v>
      </c>
      <c r="E38" s="28">
        <v>1613783</v>
      </c>
      <c r="F38" s="28" t="s">
        <v>13</v>
      </c>
      <c r="G38" s="29">
        <v>20013046</v>
      </c>
      <c r="H38" s="28" t="s">
        <v>37</v>
      </c>
      <c r="I38" s="29">
        <v>1</v>
      </c>
      <c r="J38" s="30">
        <v>8</v>
      </c>
      <c r="K38" s="30">
        <v>8</v>
      </c>
    </row>
    <row r="39" spans="4:11">
      <c r="D39" s="27">
        <v>46193</v>
      </c>
      <c r="E39" s="28">
        <v>1613783</v>
      </c>
      <c r="F39" s="28" t="s">
        <v>13</v>
      </c>
      <c r="G39" s="29">
        <v>20310442</v>
      </c>
      <c r="H39" s="28" t="s">
        <v>28</v>
      </c>
      <c r="I39" s="29">
        <v>1</v>
      </c>
      <c r="J39" s="30">
        <v>8</v>
      </c>
      <c r="K39" s="30">
        <v>8</v>
      </c>
    </row>
    <row r="40" spans="4:11">
      <c r="D40" s="27">
        <v>46193</v>
      </c>
      <c r="E40" s="28">
        <v>1613783</v>
      </c>
      <c r="F40" s="28" t="s">
        <v>13</v>
      </c>
      <c r="G40" s="29">
        <v>20359374</v>
      </c>
      <c r="H40" s="28" t="s">
        <v>29</v>
      </c>
      <c r="I40" s="29">
        <v>3</v>
      </c>
      <c r="J40" s="30">
        <v>8</v>
      </c>
      <c r="K40" s="30">
        <v>24</v>
      </c>
    </row>
    <row r="41" spans="4:11">
      <c r="D41" s="27">
        <v>46193</v>
      </c>
      <c r="E41" s="28">
        <v>1613783</v>
      </c>
      <c r="F41" s="28" t="s">
        <v>13</v>
      </c>
      <c r="G41" s="29">
        <v>20007692</v>
      </c>
      <c r="H41" s="28" t="s">
        <v>38</v>
      </c>
      <c r="I41" s="29">
        <v>2</v>
      </c>
      <c r="J41" s="30">
        <v>8</v>
      </c>
      <c r="K41" s="30">
        <v>16</v>
      </c>
    </row>
    <row r="42" spans="4:11">
      <c r="D42" s="27">
        <v>46193</v>
      </c>
      <c r="E42" s="28">
        <v>1613783</v>
      </c>
      <c r="F42" s="28" t="s">
        <v>13</v>
      </c>
      <c r="G42" s="29">
        <v>20004206</v>
      </c>
      <c r="H42" s="28" t="s">
        <v>18</v>
      </c>
      <c r="I42" s="29">
        <v>4</v>
      </c>
      <c r="J42" s="30">
        <v>8</v>
      </c>
      <c r="K42" s="30">
        <v>32</v>
      </c>
    </row>
    <row r="43" spans="4:11">
      <c r="D43" s="27">
        <v>46193</v>
      </c>
      <c r="E43" s="28">
        <v>1613783</v>
      </c>
      <c r="F43" s="28" t="s">
        <v>19</v>
      </c>
      <c r="G43" s="29">
        <v>20004166</v>
      </c>
      <c r="H43" s="28" t="s">
        <v>20</v>
      </c>
      <c r="I43" s="29">
        <v>2</v>
      </c>
      <c r="J43" s="30">
        <v>44</v>
      </c>
      <c r="K43" s="30">
        <v>88</v>
      </c>
    </row>
    <row r="44" spans="4:11">
      <c r="D44" s="27">
        <v>46193</v>
      </c>
      <c r="E44" s="28">
        <v>1613783</v>
      </c>
      <c r="F44" s="28" t="s">
        <v>21</v>
      </c>
      <c r="G44" s="29">
        <v>20011352</v>
      </c>
      <c r="H44" s="28" t="s">
        <v>31</v>
      </c>
      <c r="I44" s="29">
        <v>5</v>
      </c>
      <c r="J44" s="30">
        <v>27.5</v>
      </c>
      <c r="K44" s="30">
        <v>137.5</v>
      </c>
    </row>
    <row r="45" spans="4:11">
      <c r="D45" s="27">
        <v>46196</v>
      </c>
      <c r="E45" s="28">
        <v>1614414</v>
      </c>
      <c r="F45" s="28" t="s">
        <v>21</v>
      </c>
      <c r="G45" s="29">
        <v>20004181</v>
      </c>
      <c r="H45" s="28" t="s">
        <v>39</v>
      </c>
      <c r="I45" s="29">
        <v>4</v>
      </c>
      <c r="J45" s="30">
        <v>22</v>
      </c>
      <c r="K45" s="30">
        <v>88</v>
      </c>
    </row>
    <row r="46" spans="4:11">
      <c r="D46" s="27">
        <v>46196</v>
      </c>
      <c r="E46" s="28">
        <v>1614414</v>
      </c>
      <c r="F46" s="28" t="s">
        <v>21</v>
      </c>
      <c r="G46" s="29">
        <v>20011352</v>
      </c>
      <c r="H46" s="28" t="s">
        <v>31</v>
      </c>
      <c r="I46" s="29">
        <v>3</v>
      </c>
      <c r="J46" s="30">
        <v>27.5</v>
      </c>
      <c r="K46" s="30">
        <v>82.5</v>
      </c>
    </row>
    <row r="47" spans="4:11">
      <c r="D47" s="27">
        <v>46196</v>
      </c>
      <c r="E47" s="28">
        <v>1614461</v>
      </c>
      <c r="F47" s="28" t="s">
        <v>13</v>
      </c>
      <c r="G47" s="29">
        <v>20004212</v>
      </c>
      <c r="H47" s="28" t="s">
        <v>40</v>
      </c>
      <c r="I47" s="29">
        <v>1</v>
      </c>
      <c r="J47" s="30">
        <v>16.5</v>
      </c>
      <c r="K47" s="30">
        <v>16.5</v>
      </c>
    </row>
    <row r="48" spans="4:11">
      <c r="D48" s="27">
        <v>46196</v>
      </c>
      <c r="E48" s="28">
        <v>1614461</v>
      </c>
      <c r="F48" s="28" t="s">
        <v>13</v>
      </c>
      <c r="G48" s="29">
        <v>20014728</v>
      </c>
      <c r="H48" s="28" t="s">
        <v>41</v>
      </c>
      <c r="I48" s="29">
        <v>1</v>
      </c>
      <c r="J48" s="30">
        <v>22</v>
      </c>
      <c r="K48" s="30">
        <v>22</v>
      </c>
    </row>
    <row r="49" spans="4:11">
      <c r="D49" s="27">
        <v>46196</v>
      </c>
      <c r="E49" s="28">
        <v>1614461</v>
      </c>
      <c r="F49" s="28" t="s">
        <v>13</v>
      </c>
      <c r="G49" s="29">
        <v>20359374</v>
      </c>
      <c r="H49" s="28" t="s">
        <v>29</v>
      </c>
      <c r="I49" s="29">
        <v>3</v>
      </c>
      <c r="J49" s="30">
        <v>8</v>
      </c>
      <c r="K49" s="30">
        <v>24</v>
      </c>
    </row>
    <row r="50" spans="4:11">
      <c r="D50" s="27">
        <v>46203</v>
      </c>
      <c r="E50" s="28">
        <v>1616391</v>
      </c>
      <c r="F50" s="28" t="s">
        <v>32</v>
      </c>
      <c r="G50" s="29">
        <v>20004645</v>
      </c>
      <c r="H50" s="28" t="s">
        <v>33</v>
      </c>
      <c r="I50" s="29">
        <v>1</v>
      </c>
      <c r="J50" s="30">
        <v>38.5</v>
      </c>
      <c r="K50" s="30">
        <v>38.5</v>
      </c>
    </row>
    <row r="51" spans="4:11">
      <c r="D51" s="27">
        <v>46203</v>
      </c>
      <c r="E51" s="28">
        <v>1616391</v>
      </c>
      <c r="F51" s="28" t="s">
        <v>19</v>
      </c>
      <c r="G51" s="29">
        <v>20004166</v>
      </c>
      <c r="H51" s="28" t="s">
        <v>20</v>
      </c>
      <c r="I51" s="29">
        <v>2</v>
      </c>
      <c r="J51" s="30">
        <v>44</v>
      </c>
      <c r="K51" s="30">
        <v>88</v>
      </c>
    </row>
    <row r="52" spans="4:11">
      <c r="D52" s="27">
        <v>46203</v>
      </c>
      <c r="E52" s="28">
        <v>1616391</v>
      </c>
      <c r="F52" s="28" t="s">
        <v>21</v>
      </c>
      <c r="G52" s="29">
        <v>20004181</v>
      </c>
      <c r="H52" s="28" t="s">
        <v>39</v>
      </c>
      <c r="I52" s="29">
        <v>2</v>
      </c>
      <c r="J52" s="30">
        <v>22</v>
      </c>
      <c r="K52" s="30">
        <v>44</v>
      </c>
    </row>
    <row r="53" spans="4:11">
      <c r="D53" s="27">
        <v>46203</v>
      </c>
      <c r="E53" s="28">
        <v>1616391</v>
      </c>
      <c r="F53" s="28" t="s">
        <v>21</v>
      </c>
      <c r="G53" s="29">
        <v>20011965</v>
      </c>
      <c r="H53" s="28" t="s">
        <v>42</v>
      </c>
      <c r="I53" s="29">
        <v>1</v>
      </c>
      <c r="J53" s="30">
        <v>33</v>
      </c>
      <c r="K53" s="30">
        <v>33</v>
      </c>
    </row>
  </sheetData>
  <autoFilter xmlns:etc="http://www.wps.cn/officeDocument/2017/etCustomData" ref="A8:K53" etc:filterBottomFollowUsedRange="0">
    <extLst/>
  </autoFilter>
  <mergeCells count="6">
    <mergeCell ref="B4:H4"/>
    <mergeCell ref="D7:H7"/>
    <mergeCell ref="D9:H9"/>
    <mergeCell ref="C8:C53"/>
    <mergeCell ref="C1:H2"/>
    <mergeCell ref="A7:B53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15:16 
&amp;"-,Bold"&amp;10 黑龙江省铂康医疗灭菌有限公司 &amp;R&amp;"Droid Sans Fallback"&amp;9第&amp;P页，共&amp;N页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view="pageBreakPreview" zoomScaleNormal="100" workbookViewId="0">
      <selection activeCell="H9" sqref="H9:H10"/>
    </sheetView>
  </sheetViews>
  <sheetFormatPr defaultColWidth="9" defaultRowHeight="13.5" outlineLevelCol="7"/>
  <cols>
    <col min="1" max="1" width="10" style="1" customWidth="1"/>
    <col min="2" max="2" width="8.93333333333333" style="1" customWidth="1"/>
    <col min="3" max="3" width="14.95" style="1" customWidth="1"/>
    <col min="4" max="4" width="9.36666666666667" style="1" customWidth="1"/>
    <col min="5" max="5" width="24.8166666666667" style="1" customWidth="1"/>
    <col min="6" max="6" width="6.475" style="1" customWidth="1"/>
    <col min="7" max="7" width="12.2083333333333" style="1" customWidth="1"/>
    <col min="8" max="8" width="12.375" style="1" customWidth="1"/>
    <col min="9" max="16384" width="9" style="1"/>
  </cols>
  <sheetData>
    <row r="1" s="1" customFormat="1" ht="36" customHeight="1" spans="1:8">
      <c r="A1" s="14" t="s">
        <v>43</v>
      </c>
      <c r="B1" s="14"/>
      <c r="C1" s="14"/>
      <c r="D1" s="14"/>
      <c r="E1" s="14"/>
      <c r="F1" s="14"/>
      <c r="G1" s="14"/>
      <c r="H1" s="14"/>
    </row>
    <row r="2" s="1" customFormat="1" spans="1:8">
      <c r="A2" s="15" t="s">
        <v>4</v>
      </c>
      <c r="B2" s="15" t="s">
        <v>5</v>
      </c>
      <c r="C2" s="15" t="s">
        <v>6</v>
      </c>
      <c r="D2" s="15" t="s">
        <v>7</v>
      </c>
      <c r="E2" s="15" t="s">
        <v>8</v>
      </c>
      <c r="F2" s="15" t="s">
        <v>9</v>
      </c>
      <c r="G2" s="15" t="s">
        <v>10</v>
      </c>
      <c r="H2" s="15" t="s">
        <v>11</v>
      </c>
    </row>
    <row r="3" s="1" customFormat="1" spans="1:8">
      <c r="A3" s="27">
        <v>46178</v>
      </c>
      <c r="B3" s="28">
        <v>1609507</v>
      </c>
      <c r="C3" s="28" t="s">
        <v>44</v>
      </c>
      <c r="D3" s="29">
        <v>20004995</v>
      </c>
      <c r="E3" s="28" t="s">
        <v>45</v>
      </c>
      <c r="F3" s="29">
        <v>3</v>
      </c>
      <c r="G3" s="30">
        <v>22</v>
      </c>
      <c r="H3" s="30">
        <v>66</v>
      </c>
    </row>
    <row r="4" s="1" customFormat="1" spans="1:8">
      <c r="A4" s="13" t="s">
        <v>46</v>
      </c>
      <c r="B4" s="13"/>
      <c r="C4" s="13"/>
      <c r="D4" s="13"/>
      <c r="E4" s="13"/>
      <c r="F4" s="13"/>
      <c r="G4" s="13"/>
      <c r="H4" s="16">
        <f>SUM(H3:H3)</f>
        <v>66</v>
      </c>
    </row>
    <row r="7" s="1" customFormat="1" ht="36" customHeight="1" spans="1:8">
      <c r="A7" s="14" t="s">
        <v>47</v>
      </c>
      <c r="B7" s="14"/>
      <c r="C7" s="14"/>
      <c r="D7" s="14"/>
      <c r="E7" s="14"/>
      <c r="F7" s="14"/>
      <c r="G7" s="14"/>
      <c r="H7" s="14"/>
    </row>
    <row r="8" s="1" customFormat="1" spans="1:8">
      <c r="A8" s="15" t="s">
        <v>4</v>
      </c>
      <c r="B8" s="15" t="s">
        <v>5</v>
      </c>
      <c r="C8" s="15" t="s">
        <v>6</v>
      </c>
      <c r="D8" s="15" t="s">
        <v>7</v>
      </c>
      <c r="E8" s="15" t="s">
        <v>8</v>
      </c>
      <c r="F8" s="15" t="s">
        <v>9</v>
      </c>
      <c r="G8" s="15" t="s">
        <v>10</v>
      </c>
      <c r="H8" s="15" t="s">
        <v>11</v>
      </c>
    </row>
    <row r="9" s="1" customFormat="1" spans="1:8">
      <c r="A9" s="27">
        <v>46193</v>
      </c>
      <c r="B9" s="28">
        <v>1613783</v>
      </c>
      <c r="C9" s="28" t="s">
        <v>48</v>
      </c>
      <c r="D9" s="29">
        <v>20005426</v>
      </c>
      <c r="E9" s="28" t="s">
        <v>49</v>
      </c>
      <c r="F9" s="29">
        <v>5</v>
      </c>
      <c r="G9" s="30">
        <v>2.5</v>
      </c>
      <c r="H9" s="30">
        <v>12.5</v>
      </c>
    </row>
    <row r="10" s="1" customFormat="1" spans="1:8">
      <c r="A10" s="27">
        <v>46193</v>
      </c>
      <c r="B10" s="28">
        <v>1613783</v>
      </c>
      <c r="C10" s="28" t="s">
        <v>48</v>
      </c>
      <c r="D10" s="29">
        <v>20004272</v>
      </c>
      <c r="E10" s="28" t="s">
        <v>50</v>
      </c>
      <c r="F10" s="29">
        <v>10</v>
      </c>
      <c r="G10" s="30">
        <v>4</v>
      </c>
      <c r="H10" s="30">
        <v>40</v>
      </c>
    </row>
    <row r="11" s="1" customFormat="1" spans="1:8">
      <c r="A11" s="13" t="s">
        <v>46</v>
      </c>
      <c r="B11" s="13"/>
      <c r="C11" s="13"/>
      <c r="D11" s="13"/>
      <c r="E11" s="13"/>
      <c r="F11" s="13"/>
      <c r="G11" s="13"/>
      <c r="H11" s="16">
        <f>H9+H10</f>
        <v>52.5</v>
      </c>
    </row>
  </sheetData>
  <mergeCells count="4">
    <mergeCell ref="A1:H1"/>
    <mergeCell ref="A4:G4"/>
    <mergeCell ref="A7:H7"/>
    <mergeCell ref="A11:G11"/>
  </mergeCells>
  <pageMargins left="0.25" right="0.25" top="0.75" bottom="0.75" header="0.298611111111111" footer="0.298611111111111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2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51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v>54</v>
      </c>
      <c r="J8" s="26"/>
      <c r="K8" s="26">
        <v>432</v>
      </c>
    </row>
    <row r="9" spans="1:11">
      <c r="D9" s="27">
        <v>46183</v>
      </c>
      <c r="E9" s="28">
        <v>1611055</v>
      </c>
      <c r="F9" s="28" t="s">
        <v>13</v>
      </c>
      <c r="G9" s="29">
        <v>20004219</v>
      </c>
      <c r="H9" s="28" t="s">
        <v>52</v>
      </c>
      <c r="I9" s="29">
        <v>7</v>
      </c>
      <c r="J9" s="30">
        <v>8</v>
      </c>
      <c r="K9" s="30">
        <v>56</v>
      </c>
    </row>
    <row r="10" spans="1:11">
      <c r="D10" s="27">
        <v>46183</v>
      </c>
      <c r="E10" s="28">
        <v>1611055</v>
      </c>
      <c r="F10" s="28" t="s">
        <v>13</v>
      </c>
      <c r="G10" s="29">
        <v>20004210</v>
      </c>
      <c r="H10" s="28" t="s">
        <v>53</v>
      </c>
      <c r="I10" s="29">
        <v>13</v>
      </c>
      <c r="J10" s="30">
        <v>8</v>
      </c>
      <c r="K10" s="30">
        <v>104</v>
      </c>
    </row>
    <row r="11" spans="1:11">
      <c r="D11" s="27">
        <v>46183</v>
      </c>
      <c r="E11" s="28">
        <v>1611055</v>
      </c>
      <c r="F11" s="28" t="s">
        <v>13</v>
      </c>
      <c r="G11" s="29">
        <v>20349057</v>
      </c>
      <c r="H11" s="28" t="s">
        <v>54</v>
      </c>
      <c r="I11" s="29">
        <v>1</v>
      </c>
      <c r="J11" s="30">
        <v>8</v>
      </c>
      <c r="K11" s="30">
        <v>8</v>
      </c>
    </row>
    <row r="12" spans="1:11">
      <c r="D12" s="27">
        <v>46183</v>
      </c>
      <c r="E12" s="28">
        <v>1611055</v>
      </c>
      <c r="F12" s="28" t="s">
        <v>13</v>
      </c>
      <c r="G12" s="29">
        <v>20004214</v>
      </c>
      <c r="H12" s="28" t="s">
        <v>55</v>
      </c>
      <c r="I12" s="29">
        <v>5</v>
      </c>
      <c r="J12" s="30">
        <v>8</v>
      </c>
      <c r="K12" s="30">
        <v>40</v>
      </c>
    </row>
    <row r="13" spans="1:11">
      <c r="D13" s="27">
        <v>46195</v>
      </c>
      <c r="E13" s="28">
        <v>1614030</v>
      </c>
      <c r="F13" s="28" t="s">
        <v>13</v>
      </c>
      <c r="G13" s="29">
        <v>20004219</v>
      </c>
      <c r="H13" s="28" t="s">
        <v>52</v>
      </c>
      <c r="I13" s="29">
        <v>8</v>
      </c>
      <c r="J13" s="30">
        <v>8</v>
      </c>
      <c r="K13" s="30">
        <v>64</v>
      </c>
    </row>
    <row r="14" spans="1:11">
      <c r="D14" s="27">
        <v>46195</v>
      </c>
      <c r="E14" s="28">
        <v>1614030</v>
      </c>
      <c r="F14" s="28" t="s">
        <v>13</v>
      </c>
      <c r="G14" s="29">
        <v>20004210</v>
      </c>
      <c r="H14" s="28" t="s">
        <v>53</v>
      </c>
      <c r="I14" s="29">
        <v>3</v>
      </c>
      <c r="J14" s="30">
        <v>8</v>
      </c>
      <c r="K14" s="30">
        <v>24</v>
      </c>
    </row>
    <row r="15" spans="1:11">
      <c r="D15" s="27">
        <v>46195</v>
      </c>
      <c r="E15" s="28">
        <v>1614127</v>
      </c>
      <c r="F15" s="28" t="s">
        <v>13</v>
      </c>
      <c r="G15" s="29">
        <v>20004214</v>
      </c>
      <c r="H15" s="28" t="s">
        <v>55</v>
      </c>
      <c r="I15" s="29">
        <v>4</v>
      </c>
      <c r="J15" s="30">
        <v>8</v>
      </c>
      <c r="K15" s="30">
        <v>32</v>
      </c>
    </row>
    <row r="16" spans="1:11">
      <c r="D16" s="27">
        <v>46197</v>
      </c>
      <c r="E16" s="28">
        <v>1614793</v>
      </c>
      <c r="F16" s="28" t="s">
        <v>13</v>
      </c>
      <c r="G16" s="29">
        <v>20004219</v>
      </c>
      <c r="H16" s="28" t="s">
        <v>52</v>
      </c>
      <c r="I16" s="29">
        <v>3</v>
      </c>
      <c r="J16" s="30">
        <v>8</v>
      </c>
      <c r="K16" s="30">
        <v>24</v>
      </c>
    </row>
    <row r="17" spans="4:11">
      <c r="D17" s="27">
        <v>46197</v>
      </c>
      <c r="E17" s="28">
        <v>1614793</v>
      </c>
      <c r="F17" s="28" t="s">
        <v>13</v>
      </c>
      <c r="G17" s="29">
        <v>20004210</v>
      </c>
      <c r="H17" s="28" t="s">
        <v>53</v>
      </c>
      <c r="I17" s="29">
        <v>3</v>
      </c>
      <c r="J17" s="30">
        <v>8</v>
      </c>
      <c r="K17" s="30">
        <v>24</v>
      </c>
    </row>
    <row r="18" spans="4:11">
      <c r="D18" s="27">
        <v>46197</v>
      </c>
      <c r="E18" s="28">
        <v>1614821</v>
      </c>
      <c r="F18" s="28" t="s">
        <v>13</v>
      </c>
      <c r="G18" s="29">
        <v>20349057</v>
      </c>
      <c r="H18" s="28" t="s">
        <v>54</v>
      </c>
      <c r="I18" s="29">
        <v>2</v>
      </c>
      <c r="J18" s="30">
        <v>8</v>
      </c>
      <c r="K18" s="30">
        <v>16</v>
      </c>
    </row>
    <row r="19" spans="4:11">
      <c r="D19" s="27">
        <v>46197</v>
      </c>
      <c r="E19" s="28">
        <v>1614821</v>
      </c>
      <c r="F19" s="28" t="s">
        <v>13</v>
      </c>
      <c r="G19" s="29">
        <v>20004214</v>
      </c>
      <c r="H19" s="28" t="s">
        <v>55</v>
      </c>
      <c r="I19" s="29">
        <v>5</v>
      </c>
      <c r="J19" s="30">
        <v>8</v>
      </c>
      <c r="K19" s="30">
        <v>40</v>
      </c>
    </row>
  </sheetData>
  <mergeCells count="5">
    <mergeCell ref="D8:H8"/>
    <mergeCell ref="C7:C19"/>
    <mergeCell ref="B4:H5"/>
    <mergeCell ref="A7:B1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15:16 
&amp;"-,Bold"&amp;10 黑龙江省铂康医疗灭菌有限公司 &amp;R&amp;"Droid Sans Fallback"&amp;9第&amp;P页，共&amp;N页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15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56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f>SUM(I9:I152)</f>
        <v>213</v>
      </c>
      <c r="J8" s="26"/>
      <c r="K8" s="26">
        <f>SUM(K9:K152)</f>
        <v>8607.5</v>
      </c>
    </row>
    <row r="9" spans="1:11">
      <c r="D9" s="27">
        <v>46174</v>
      </c>
      <c r="E9" s="28">
        <v>1608180</v>
      </c>
      <c r="F9" s="28" t="s">
        <v>19</v>
      </c>
      <c r="G9" s="29">
        <v>20004162</v>
      </c>
      <c r="H9" s="28" t="s">
        <v>57</v>
      </c>
      <c r="I9" s="29">
        <v>1</v>
      </c>
      <c r="J9" s="30">
        <v>126.5</v>
      </c>
      <c r="K9" s="30">
        <f t="shared" ref="K9:K72" si="0">J9*I9</f>
        <v>126.5</v>
      </c>
    </row>
    <row r="10" spans="1:11">
      <c r="D10" s="27">
        <v>46174</v>
      </c>
      <c r="E10" s="28">
        <v>1608180</v>
      </c>
      <c r="F10" s="28" t="s">
        <v>21</v>
      </c>
      <c r="G10" s="29">
        <v>20004159</v>
      </c>
      <c r="H10" s="28" t="s">
        <v>58</v>
      </c>
      <c r="I10" s="29">
        <v>1</v>
      </c>
      <c r="J10" s="30">
        <v>22</v>
      </c>
      <c r="K10" s="30">
        <f t="shared" si="0"/>
        <v>22</v>
      </c>
    </row>
    <row r="11" spans="1:11">
      <c r="D11" s="27">
        <v>46174</v>
      </c>
      <c r="E11" s="28">
        <v>1608180</v>
      </c>
      <c r="F11" s="28" t="s">
        <v>21</v>
      </c>
      <c r="G11" s="29">
        <v>20004164</v>
      </c>
      <c r="H11" s="28" t="s">
        <v>59</v>
      </c>
      <c r="I11" s="29">
        <v>1</v>
      </c>
      <c r="J11" s="30">
        <v>16.5</v>
      </c>
      <c r="K11" s="30">
        <f t="shared" si="0"/>
        <v>16.5</v>
      </c>
    </row>
    <row r="12" spans="1:11">
      <c r="D12" s="27">
        <v>46174</v>
      </c>
      <c r="E12" s="28">
        <v>1608180</v>
      </c>
      <c r="F12" s="28" t="s">
        <v>21</v>
      </c>
      <c r="G12" s="29">
        <v>20007708</v>
      </c>
      <c r="H12" s="28" t="s">
        <v>60</v>
      </c>
      <c r="I12" s="29">
        <v>3</v>
      </c>
      <c r="J12" s="30">
        <v>55</v>
      </c>
      <c r="K12" s="30">
        <f t="shared" si="0"/>
        <v>165</v>
      </c>
    </row>
    <row r="13" spans="1:11">
      <c r="D13" s="27">
        <v>46175</v>
      </c>
      <c r="E13" s="28">
        <v>1608595</v>
      </c>
      <c r="F13" s="28" t="s">
        <v>21</v>
      </c>
      <c r="G13" s="29">
        <v>20004169</v>
      </c>
      <c r="H13" s="28" t="s">
        <v>61</v>
      </c>
      <c r="I13" s="29">
        <v>2</v>
      </c>
      <c r="J13" s="30">
        <v>16.5</v>
      </c>
      <c r="K13" s="30">
        <f t="shared" si="0"/>
        <v>33</v>
      </c>
    </row>
    <row r="14" spans="1:11">
      <c r="D14" s="27">
        <v>46175</v>
      </c>
      <c r="E14" s="28">
        <v>1608595</v>
      </c>
      <c r="F14" s="28" t="s">
        <v>21</v>
      </c>
      <c r="G14" s="29">
        <v>20004730</v>
      </c>
      <c r="H14" s="28" t="s">
        <v>62</v>
      </c>
      <c r="I14" s="29">
        <v>1</v>
      </c>
      <c r="J14" s="30">
        <v>16.5</v>
      </c>
      <c r="K14" s="30">
        <f t="shared" si="0"/>
        <v>16.5</v>
      </c>
    </row>
    <row r="15" spans="1:11">
      <c r="D15" s="27">
        <v>46175</v>
      </c>
      <c r="E15" s="28">
        <v>1608595</v>
      </c>
      <c r="F15" s="28" t="s">
        <v>21</v>
      </c>
      <c r="G15" s="29">
        <v>20007708</v>
      </c>
      <c r="H15" s="28" t="s">
        <v>60</v>
      </c>
      <c r="I15" s="29">
        <v>2</v>
      </c>
      <c r="J15" s="30">
        <v>55</v>
      </c>
      <c r="K15" s="30">
        <f t="shared" si="0"/>
        <v>110</v>
      </c>
    </row>
    <row r="16" spans="1:11">
      <c r="D16" s="27">
        <v>46175</v>
      </c>
      <c r="E16" s="28">
        <v>1608595</v>
      </c>
      <c r="F16" s="28" t="s">
        <v>21</v>
      </c>
      <c r="G16" s="29">
        <v>20369185</v>
      </c>
      <c r="H16" s="28" t="s">
        <v>63</v>
      </c>
      <c r="I16" s="29">
        <v>2</v>
      </c>
      <c r="J16" s="30">
        <v>38.5</v>
      </c>
      <c r="K16" s="30">
        <f t="shared" si="0"/>
        <v>77</v>
      </c>
    </row>
    <row r="17" spans="4:11">
      <c r="D17" s="27">
        <v>46176</v>
      </c>
      <c r="E17" s="28">
        <v>1608925</v>
      </c>
      <c r="F17" s="28" t="s">
        <v>13</v>
      </c>
      <c r="G17" s="29">
        <v>20004175</v>
      </c>
      <c r="H17" s="28" t="s">
        <v>64</v>
      </c>
      <c r="I17" s="29">
        <v>1</v>
      </c>
      <c r="J17" s="30">
        <v>13.5</v>
      </c>
      <c r="K17" s="30">
        <f t="shared" si="0"/>
        <v>13.5</v>
      </c>
    </row>
    <row r="18" spans="4:11">
      <c r="D18" s="27">
        <v>46176</v>
      </c>
      <c r="E18" s="28">
        <v>1608925</v>
      </c>
      <c r="F18" s="28" t="s">
        <v>19</v>
      </c>
      <c r="G18" s="29">
        <v>20013627</v>
      </c>
      <c r="H18" s="28" t="s">
        <v>65</v>
      </c>
      <c r="I18" s="29">
        <v>3</v>
      </c>
      <c r="J18" s="30">
        <v>82.5</v>
      </c>
      <c r="K18" s="30">
        <f t="shared" si="0"/>
        <v>247.5</v>
      </c>
    </row>
    <row r="19" spans="4:11">
      <c r="D19" s="27">
        <v>46176</v>
      </c>
      <c r="E19" s="28">
        <v>1608925</v>
      </c>
      <c r="F19" s="28" t="s">
        <v>19</v>
      </c>
      <c r="G19" s="29">
        <v>20004174</v>
      </c>
      <c r="H19" s="28" t="s">
        <v>66</v>
      </c>
      <c r="I19" s="29">
        <v>1</v>
      </c>
      <c r="J19" s="30">
        <v>170.5</v>
      </c>
      <c r="K19" s="30">
        <f t="shared" si="0"/>
        <v>170.5</v>
      </c>
    </row>
    <row r="20" spans="4:11">
      <c r="D20" s="27">
        <v>46176</v>
      </c>
      <c r="E20" s="28">
        <v>1608925</v>
      </c>
      <c r="F20" s="28" t="s">
        <v>19</v>
      </c>
      <c r="G20" s="29">
        <v>20004189</v>
      </c>
      <c r="H20" s="28" t="s">
        <v>67</v>
      </c>
      <c r="I20" s="29">
        <v>2</v>
      </c>
      <c r="J20" s="30">
        <v>99</v>
      </c>
      <c r="K20" s="30">
        <f t="shared" si="0"/>
        <v>198</v>
      </c>
    </row>
    <row r="21" spans="4:11">
      <c r="D21" s="27">
        <v>46176</v>
      </c>
      <c r="E21" s="28">
        <v>1608925</v>
      </c>
      <c r="F21" s="28" t="s">
        <v>21</v>
      </c>
      <c r="G21" s="29">
        <v>20004169</v>
      </c>
      <c r="H21" s="28" t="s">
        <v>61</v>
      </c>
      <c r="I21" s="29">
        <v>1</v>
      </c>
      <c r="J21" s="30">
        <v>16.5</v>
      </c>
      <c r="K21" s="30">
        <f t="shared" si="0"/>
        <v>16.5</v>
      </c>
    </row>
    <row r="22" spans="4:11">
      <c r="D22" s="27">
        <v>46176</v>
      </c>
      <c r="E22" s="28">
        <v>1608925</v>
      </c>
      <c r="F22" s="28" t="s">
        <v>21</v>
      </c>
      <c r="G22" s="29">
        <v>20007708</v>
      </c>
      <c r="H22" s="28" t="s">
        <v>60</v>
      </c>
      <c r="I22" s="29">
        <v>2</v>
      </c>
      <c r="J22" s="30">
        <v>55</v>
      </c>
      <c r="K22" s="30">
        <f t="shared" si="0"/>
        <v>110</v>
      </c>
    </row>
    <row r="23" spans="4:11">
      <c r="D23" s="27">
        <v>46176</v>
      </c>
      <c r="E23" s="28">
        <v>1608925</v>
      </c>
      <c r="F23" s="28" t="s">
        <v>21</v>
      </c>
      <c r="G23" s="29">
        <v>20369185</v>
      </c>
      <c r="H23" s="28" t="s">
        <v>63</v>
      </c>
      <c r="I23" s="29">
        <v>1</v>
      </c>
      <c r="J23" s="30">
        <v>38.5</v>
      </c>
      <c r="K23" s="30">
        <f t="shared" si="0"/>
        <v>38.5</v>
      </c>
    </row>
    <row r="24" spans="4:11">
      <c r="D24" s="27">
        <v>46176</v>
      </c>
      <c r="E24" s="28">
        <v>1608925</v>
      </c>
      <c r="F24" s="28" t="s">
        <v>21</v>
      </c>
      <c r="G24" s="29">
        <v>20004161</v>
      </c>
      <c r="H24" s="28" t="s">
        <v>68</v>
      </c>
      <c r="I24" s="29">
        <v>3</v>
      </c>
      <c r="J24" s="30">
        <v>16.5</v>
      </c>
      <c r="K24" s="30">
        <f t="shared" si="0"/>
        <v>49.5</v>
      </c>
    </row>
    <row r="25" spans="4:11">
      <c r="D25" s="27">
        <v>46177</v>
      </c>
      <c r="E25" s="28">
        <v>1609325</v>
      </c>
      <c r="F25" s="28" t="s">
        <v>13</v>
      </c>
      <c r="G25" s="29">
        <v>20428515</v>
      </c>
      <c r="H25" s="28" t="s">
        <v>69</v>
      </c>
      <c r="I25" s="29">
        <v>11</v>
      </c>
      <c r="J25" s="30">
        <v>16</v>
      </c>
      <c r="K25" s="30">
        <f t="shared" si="0"/>
        <v>176</v>
      </c>
    </row>
    <row r="26" spans="4:11">
      <c r="D26" s="27">
        <v>46177</v>
      </c>
      <c r="E26" s="28">
        <v>1609325</v>
      </c>
      <c r="F26" s="28" t="s">
        <v>13</v>
      </c>
      <c r="G26" s="29">
        <v>20004175</v>
      </c>
      <c r="H26" s="28" t="s">
        <v>64</v>
      </c>
      <c r="I26" s="29">
        <v>1</v>
      </c>
      <c r="J26" s="30">
        <v>13.5</v>
      </c>
      <c r="K26" s="30">
        <f t="shared" si="0"/>
        <v>13.5</v>
      </c>
    </row>
    <row r="27" spans="4:11">
      <c r="D27" s="27">
        <v>46177</v>
      </c>
      <c r="E27" s="28">
        <v>1609325</v>
      </c>
      <c r="F27" s="28" t="s">
        <v>19</v>
      </c>
      <c r="G27" s="29">
        <v>20004189</v>
      </c>
      <c r="H27" s="28" t="s">
        <v>67</v>
      </c>
      <c r="I27" s="29">
        <v>1</v>
      </c>
      <c r="J27" s="30">
        <v>99</v>
      </c>
      <c r="K27" s="30">
        <f t="shared" si="0"/>
        <v>99</v>
      </c>
    </row>
    <row r="28" spans="4:11">
      <c r="D28" s="27">
        <v>46177</v>
      </c>
      <c r="E28" s="28">
        <v>1609325</v>
      </c>
      <c r="F28" s="28" t="s">
        <v>21</v>
      </c>
      <c r="G28" s="29">
        <v>20004169</v>
      </c>
      <c r="H28" s="28" t="s">
        <v>61</v>
      </c>
      <c r="I28" s="29">
        <v>1</v>
      </c>
      <c r="J28" s="30">
        <v>16.5</v>
      </c>
      <c r="K28" s="30">
        <f t="shared" si="0"/>
        <v>16.5</v>
      </c>
    </row>
    <row r="29" spans="4:11">
      <c r="D29" s="27">
        <v>46177</v>
      </c>
      <c r="E29" s="28">
        <v>1609325</v>
      </c>
      <c r="F29" s="28" t="s">
        <v>21</v>
      </c>
      <c r="G29" s="29">
        <v>20312900</v>
      </c>
      <c r="H29" s="28" t="s">
        <v>70</v>
      </c>
      <c r="I29" s="29">
        <v>1</v>
      </c>
      <c r="J29" s="30">
        <v>16.5</v>
      </c>
      <c r="K29" s="30">
        <f t="shared" si="0"/>
        <v>16.5</v>
      </c>
    </row>
    <row r="30" spans="4:11">
      <c r="D30" s="27">
        <v>46177</v>
      </c>
      <c r="E30" s="28">
        <v>1609325</v>
      </c>
      <c r="F30" s="28" t="s">
        <v>21</v>
      </c>
      <c r="G30" s="29">
        <v>20007708</v>
      </c>
      <c r="H30" s="28" t="s">
        <v>60</v>
      </c>
      <c r="I30" s="29">
        <v>4</v>
      </c>
      <c r="J30" s="30">
        <v>55</v>
      </c>
      <c r="K30" s="30">
        <f t="shared" si="0"/>
        <v>220</v>
      </c>
    </row>
    <row r="31" spans="4:11">
      <c r="D31" s="27">
        <v>46177</v>
      </c>
      <c r="E31" s="28">
        <v>1609325</v>
      </c>
      <c r="F31" s="28" t="s">
        <v>21</v>
      </c>
      <c r="G31" s="29">
        <v>20320937</v>
      </c>
      <c r="H31" s="28" t="s">
        <v>71</v>
      </c>
      <c r="I31" s="29">
        <v>1</v>
      </c>
      <c r="J31" s="30">
        <v>33</v>
      </c>
      <c r="K31" s="30">
        <f t="shared" si="0"/>
        <v>33</v>
      </c>
    </row>
    <row r="32" spans="4:11">
      <c r="D32" s="27">
        <v>46178</v>
      </c>
      <c r="E32" s="28">
        <v>1609690</v>
      </c>
      <c r="F32" s="28" t="s">
        <v>13</v>
      </c>
      <c r="G32" s="29">
        <v>20312177</v>
      </c>
      <c r="H32" s="28" t="s">
        <v>72</v>
      </c>
      <c r="I32" s="29">
        <v>1</v>
      </c>
      <c r="J32" s="30">
        <v>16.5</v>
      </c>
      <c r="K32" s="30">
        <f t="shared" si="0"/>
        <v>16.5</v>
      </c>
    </row>
    <row r="33" spans="4:11">
      <c r="D33" s="27">
        <v>46178</v>
      </c>
      <c r="E33" s="28">
        <v>1609690</v>
      </c>
      <c r="F33" s="28" t="s">
        <v>13</v>
      </c>
      <c r="G33" s="29">
        <v>20008271</v>
      </c>
      <c r="H33" s="28" t="s">
        <v>73</v>
      </c>
      <c r="I33" s="29">
        <v>1</v>
      </c>
      <c r="J33" s="30">
        <v>8</v>
      </c>
      <c r="K33" s="30">
        <f t="shared" si="0"/>
        <v>8</v>
      </c>
    </row>
    <row r="34" spans="4:11">
      <c r="D34" s="27">
        <v>46178</v>
      </c>
      <c r="E34" s="28">
        <v>1609690</v>
      </c>
      <c r="F34" s="28" t="s">
        <v>13</v>
      </c>
      <c r="G34" s="29">
        <v>20015251</v>
      </c>
      <c r="H34" s="28" t="s">
        <v>74</v>
      </c>
      <c r="I34" s="29">
        <v>1</v>
      </c>
      <c r="J34" s="30">
        <v>16.5</v>
      </c>
      <c r="K34" s="30">
        <f t="shared" si="0"/>
        <v>16.5</v>
      </c>
    </row>
    <row r="35" spans="4:11">
      <c r="D35" s="27">
        <v>46178</v>
      </c>
      <c r="E35" s="28">
        <v>1609690</v>
      </c>
      <c r="F35" s="28" t="s">
        <v>13</v>
      </c>
      <c r="G35" s="29">
        <v>20005552</v>
      </c>
      <c r="H35" s="28" t="s">
        <v>75</v>
      </c>
      <c r="I35" s="29">
        <v>1</v>
      </c>
      <c r="J35" s="30">
        <v>8</v>
      </c>
      <c r="K35" s="30">
        <f t="shared" si="0"/>
        <v>8</v>
      </c>
    </row>
    <row r="36" spans="4:11">
      <c r="D36" s="27">
        <v>46178</v>
      </c>
      <c r="E36" s="28">
        <v>1609690</v>
      </c>
      <c r="F36" s="28" t="s">
        <v>21</v>
      </c>
      <c r="G36" s="29">
        <v>20367767</v>
      </c>
      <c r="H36" s="28" t="s">
        <v>76</v>
      </c>
      <c r="I36" s="29">
        <v>1</v>
      </c>
      <c r="J36" s="30">
        <v>49.5</v>
      </c>
      <c r="K36" s="30">
        <f t="shared" si="0"/>
        <v>49.5</v>
      </c>
    </row>
    <row r="37" spans="4:11">
      <c r="D37" s="27">
        <v>46178</v>
      </c>
      <c r="E37" s="28">
        <v>1609690</v>
      </c>
      <c r="F37" s="28" t="s">
        <v>21</v>
      </c>
      <c r="G37" s="29">
        <v>20004169</v>
      </c>
      <c r="H37" s="28" t="s">
        <v>61</v>
      </c>
      <c r="I37" s="29">
        <v>1</v>
      </c>
      <c r="J37" s="30">
        <v>16.5</v>
      </c>
      <c r="K37" s="30">
        <f t="shared" si="0"/>
        <v>16.5</v>
      </c>
    </row>
    <row r="38" spans="4:11">
      <c r="D38" s="27">
        <v>46178</v>
      </c>
      <c r="E38" s="28">
        <v>1609690</v>
      </c>
      <c r="F38" s="28" t="s">
        <v>21</v>
      </c>
      <c r="G38" s="29">
        <v>20007708</v>
      </c>
      <c r="H38" s="28" t="s">
        <v>60</v>
      </c>
      <c r="I38" s="29">
        <v>2</v>
      </c>
      <c r="J38" s="30">
        <v>55</v>
      </c>
      <c r="K38" s="30">
        <f t="shared" si="0"/>
        <v>110</v>
      </c>
    </row>
    <row r="39" spans="4:11">
      <c r="D39" s="27">
        <v>46182</v>
      </c>
      <c r="E39" s="28">
        <v>1610714</v>
      </c>
      <c r="F39" s="28" t="s">
        <v>19</v>
      </c>
      <c r="G39" s="29">
        <v>20004174</v>
      </c>
      <c r="H39" s="28" t="s">
        <v>66</v>
      </c>
      <c r="I39" s="29">
        <v>1</v>
      </c>
      <c r="J39" s="30">
        <v>170.5</v>
      </c>
      <c r="K39" s="30">
        <f t="shared" si="0"/>
        <v>170.5</v>
      </c>
    </row>
    <row r="40" spans="4:11">
      <c r="D40" s="27">
        <v>46182</v>
      </c>
      <c r="E40" s="28">
        <v>1610714</v>
      </c>
      <c r="F40" s="28" t="s">
        <v>19</v>
      </c>
      <c r="G40" s="29">
        <v>20004189</v>
      </c>
      <c r="H40" s="28" t="s">
        <v>67</v>
      </c>
      <c r="I40" s="29">
        <v>1</v>
      </c>
      <c r="J40" s="30">
        <v>99</v>
      </c>
      <c r="K40" s="30">
        <f t="shared" si="0"/>
        <v>99</v>
      </c>
    </row>
    <row r="41" spans="4:11">
      <c r="D41" s="27">
        <v>46182</v>
      </c>
      <c r="E41" s="28">
        <v>1610714</v>
      </c>
      <c r="F41" s="28" t="s">
        <v>21</v>
      </c>
      <c r="G41" s="29">
        <v>20004158</v>
      </c>
      <c r="H41" s="28" t="s">
        <v>77</v>
      </c>
      <c r="I41" s="29">
        <v>1</v>
      </c>
      <c r="J41" s="30">
        <v>16.5</v>
      </c>
      <c r="K41" s="30">
        <f t="shared" si="0"/>
        <v>16.5</v>
      </c>
    </row>
    <row r="42" spans="4:11">
      <c r="D42" s="27">
        <v>46182</v>
      </c>
      <c r="E42" s="28">
        <v>1610714</v>
      </c>
      <c r="F42" s="28" t="s">
        <v>21</v>
      </c>
      <c r="G42" s="29">
        <v>20004729</v>
      </c>
      <c r="H42" s="28" t="s">
        <v>78</v>
      </c>
      <c r="I42" s="29">
        <v>1</v>
      </c>
      <c r="J42" s="30">
        <v>16.5</v>
      </c>
      <c r="K42" s="30">
        <f t="shared" si="0"/>
        <v>16.5</v>
      </c>
    </row>
    <row r="43" spans="4:11">
      <c r="D43" s="27">
        <v>46182</v>
      </c>
      <c r="E43" s="28">
        <v>1610714</v>
      </c>
      <c r="F43" s="28" t="s">
        <v>21</v>
      </c>
      <c r="G43" s="29">
        <v>20004169</v>
      </c>
      <c r="H43" s="28" t="s">
        <v>61</v>
      </c>
      <c r="I43" s="29">
        <v>1</v>
      </c>
      <c r="J43" s="30">
        <v>16.5</v>
      </c>
      <c r="K43" s="30">
        <f t="shared" si="0"/>
        <v>16.5</v>
      </c>
    </row>
    <row r="44" spans="4:11">
      <c r="D44" s="27">
        <v>46182</v>
      </c>
      <c r="E44" s="28">
        <v>1610714</v>
      </c>
      <c r="F44" s="28" t="s">
        <v>21</v>
      </c>
      <c r="G44" s="29">
        <v>20004164</v>
      </c>
      <c r="H44" s="28" t="s">
        <v>59</v>
      </c>
      <c r="I44" s="29">
        <v>1</v>
      </c>
      <c r="J44" s="30">
        <v>16.5</v>
      </c>
      <c r="K44" s="30">
        <f t="shared" si="0"/>
        <v>16.5</v>
      </c>
    </row>
    <row r="45" spans="4:11">
      <c r="D45" s="27">
        <v>46182</v>
      </c>
      <c r="E45" s="28">
        <v>1610714</v>
      </c>
      <c r="F45" s="28" t="s">
        <v>21</v>
      </c>
      <c r="G45" s="29">
        <v>20004161</v>
      </c>
      <c r="H45" s="28" t="s">
        <v>68</v>
      </c>
      <c r="I45" s="29">
        <v>1</v>
      </c>
      <c r="J45" s="30">
        <v>16.5</v>
      </c>
      <c r="K45" s="30">
        <f t="shared" si="0"/>
        <v>16.5</v>
      </c>
    </row>
    <row r="46" spans="4:11">
      <c r="D46" s="27">
        <v>46183</v>
      </c>
      <c r="E46" s="28">
        <v>1611056</v>
      </c>
      <c r="F46" s="28" t="s">
        <v>13</v>
      </c>
      <c r="G46" s="29">
        <v>20004190</v>
      </c>
      <c r="H46" s="28" t="s">
        <v>79</v>
      </c>
      <c r="I46" s="29">
        <v>1</v>
      </c>
      <c r="J46" s="30">
        <v>8</v>
      </c>
      <c r="K46" s="30">
        <f t="shared" si="0"/>
        <v>8</v>
      </c>
    </row>
    <row r="47" spans="4:11">
      <c r="D47" s="27">
        <v>46183</v>
      </c>
      <c r="E47" s="28">
        <v>1611056</v>
      </c>
      <c r="F47" s="28" t="s">
        <v>13</v>
      </c>
      <c r="G47" s="29">
        <v>20312177</v>
      </c>
      <c r="H47" s="28" t="s">
        <v>72</v>
      </c>
      <c r="I47" s="29">
        <v>1</v>
      </c>
      <c r="J47" s="30">
        <v>16.5</v>
      </c>
      <c r="K47" s="30">
        <f t="shared" si="0"/>
        <v>16.5</v>
      </c>
    </row>
    <row r="48" spans="4:11">
      <c r="D48" s="27">
        <v>46183</v>
      </c>
      <c r="E48" s="28">
        <v>1611056</v>
      </c>
      <c r="F48" s="28" t="s">
        <v>13</v>
      </c>
      <c r="G48" s="29">
        <v>20004971</v>
      </c>
      <c r="H48" s="28" t="s">
        <v>80</v>
      </c>
      <c r="I48" s="29">
        <v>1</v>
      </c>
      <c r="J48" s="30">
        <v>11</v>
      </c>
      <c r="K48" s="30">
        <f t="shared" si="0"/>
        <v>11</v>
      </c>
    </row>
    <row r="49" spans="4:11">
      <c r="D49" s="27">
        <v>46183</v>
      </c>
      <c r="E49" s="28">
        <v>1611056</v>
      </c>
      <c r="F49" s="28" t="s">
        <v>13</v>
      </c>
      <c r="G49" s="29">
        <v>20314361</v>
      </c>
      <c r="H49" s="28" t="s">
        <v>81</v>
      </c>
      <c r="I49" s="29">
        <v>1</v>
      </c>
      <c r="J49" s="30">
        <v>8</v>
      </c>
      <c r="K49" s="30">
        <f t="shared" si="0"/>
        <v>8</v>
      </c>
    </row>
    <row r="50" spans="4:11">
      <c r="D50" s="27">
        <v>46183</v>
      </c>
      <c r="E50" s="28">
        <v>1611056</v>
      </c>
      <c r="F50" s="28" t="s">
        <v>19</v>
      </c>
      <c r="G50" s="29">
        <v>20004189</v>
      </c>
      <c r="H50" s="28" t="s">
        <v>67</v>
      </c>
      <c r="I50" s="29">
        <v>2</v>
      </c>
      <c r="J50" s="30">
        <v>99</v>
      </c>
      <c r="K50" s="30">
        <f t="shared" si="0"/>
        <v>198</v>
      </c>
    </row>
    <row r="51" spans="4:11">
      <c r="D51" s="27">
        <v>46183</v>
      </c>
      <c r="E51" s="28">
        <v>1611056</v>
      </c>
      <c r="F51" s="28" t="s">
        <v>21</v>
      </c>
      <c r="G51" s="29">
        <v>20004222</v>
      </c>
      <c r="H51" s="28" t="s">
        <v>82</v>
      </c>
      <c r="I51" s="29">
        <v>1</v>
      </c>
      <c r="J51" s="30">
        <v>16.5</v>
      </c>
      <c r="K51" s="30">
        <f t="shared" si="0"/>
        <v>16.5</v>
      </c>
    </row>
    <row r="52" spans="4:11">
      <c r="D52" s="27">
        <v>46183</v>
      </c>
      <c r="E52" s="28">
        <v>1611056</v>
      </c>
      <c r="F52" s="28" t="s">
        <v>21</v>
      </c>
      <c r="G52" s="29">
        <v>20312900</v>
      </c>
      <c r="H52" s="28" t="s">
        <v>70</v>
      </c>
      <c r="I52" s="29">
        <v>2</v>
      </c>
      <c r="J52" s="30">
        <v>16.5</v>
      </c>
      <c r="K52" s="30">
        <f t="shared" si="0"/>
        <v>33</v>
      </c>
    </row>
    <row r="53" spans="4:11">
      <c r="D53" s="27">
        <v>46183</v>
      </c>
      <c r="E53" s="28">
        <v>1611056</v>
      </c>
      <c r="F53" s="28" t="s">
        <v>21</v>
      </c>
      <c r="G53" s="29">
        <v>20007708</v>
      </c>
      <c r="H53" s="28" t="s">
        <v>60</v>
      </c>
      <c r="I53" s="29">
        <v>2</v>
      </c>
      <c r="J53" s="30">
        <v>55</v>
      </c>
      <c r="K53" s="30">
        <f t="shared" si="0"/>
        <v>110</v>
      </c>
    </row>
    <row r="54" spans="4:11">
      <c r="D54" s="27">
        <v>46183</v>
      </c>
      <c r="E54" s="28">
        <v>1611056</v>
      </c>
      <c r="F54" s="28" t="s">
        <v>21</v>
      </c>
      <c r="G54" s="29">
        <v>20320937</v>
      </c>
      <c r="H54" s="28" t="s">
        <v>71</v>
      </c>
      <c r="I54" s="29">
        <v>1</v>
      </c>
      <c r="J54" s="30">
        <v>33</v>
      </c>
      <c r="K54" s="30">
        <f t="shared" si="0"/>
        <v>33</v>
      </c>
    </row>
    <row r="55" spans="4:11">
      <c r="D55" s="27">
        <v>46183</v>
      </c>
      <c r="E55" s="28">
        <v>1611056</v>
      </c>
      <c r="F55" s="28" t="s">
        <v>21</v>
      </c>
      <c r="G55" s="29">
        <v>20004192</v>
      </c>
      <c r="H55" s="28" t="s">
        <v>83</v>
      </c>
      <c r="I55" s="29">
        <v>1</v>
      </c>
      <c r="J55" s="30">
        <v>16.5</v>
      </c>
      <c r="K55" s="30">
        <f t="shared" si="0"/>
        <v>16.5</v>
      </c>
    </row>
    <row r="56" spans="4:11">
      <c r="D56" s="27">
        <v>46184</v>
      </c>
      <c r="E56" s="28">
        <v>1611427</v>
      </c>
      <c r="F56" s="28" t="s">
        <v>13</v>
      </c>
      <c r="G56" s="29">
        <v>20428515</v>
      </c>
      <c r="H56" s="28" t="s">
        <v>69</v>
      </c>
      <c r="I56" s="29">
        <v>1</v>
      </c>
      <c r="J56" s="30">
        <v>16</v>
      </c>
      <c r="K56" s="30">
        <f t="shared" si="0"/>
        <v>16</v>
      </c>
    </row>
    <row r="57" spans="4:11">
      <c r="D57" s="27">
        <v>46184</v>
      </c>
      <c r="E57" s="28">
        <v>1611427</v>
      </c>
      <c r="F57" s="28" t="s">
        <v>19</v>
      </c>
      <c r="G57" s="29">
        <v>20004189</v>
      </c>
      <c r="H57" s="28" t="s">
        <v>67</v>
      </c>
      <c r="I57" s="29">
        <v>1</v>
      </c>
      <c r="J57" s="30">
        <v>99</v>
      </c>
      <c r="K57" s="30">
        <f t="shared" si="0"/>
        <v>99</v>
      </c>
    </row>
    <row r="58" spans="4:11">
      <c r="D58" s="27">
        <v>46184</v>
      </c>
      <c r="E58" s="28">
        <v>1611427</v>
      </c>
      <c r="F58" s="28" t="s">
        <v>21</v>
      </c>
      <c r="G58" s="29">
        <v>20312900</v>
      </c>
      <c r="H58" s="28" t="s">
        <v>70</v>
      </c>
      <c r="I58" s="29">
        <v>1</v>
      </c>
      <c r="J58" s="30">
        <v>16.5</v>
      </c>
      <c r="K58" s="30">
        <f t="shared" si="0"/>
        <v>16.5</v>
      </c>
    </row>
    <row r="59" spans="4:11">
      <c r="D59" s="27">
        <v>46184</v>
      </c>
      <c r="E59" s="28">
        <v>1611427</v>
      </c>
      <c r="F59" s="28" t="s">
        <v>21</v>
      </c>
      <c r="G59" s="29">
        <v>20014156</v>
      </c>
      <c r="H59" s="28" t="s">
        <v>84</v>
      </c>
      <c r="I59" s="29">
        <v>1</v>
      </c>
      <c r="J59" s="30">
        <v>33</v>
      </c>
      <c r="K59" s="30">
        <f t="shared" si="0"/>
        <v>33</v>
      </c>
    </row>
    <row r="60" spans="4:11">
      <c r="D60" s="27">
        <v>46184</v>
      </c>
      <c r="E60" s="28">
        <v>1611427</v>
      </c>
      <c r="F60" s="28" t="s">
        <v>21</v>
      </c>
      <c r="G60" s="29">
        <v>20007708</v>
      </c>
      <c r="H60" s="28" t="s">
        <v>85</v>
      </c>
      <c r="I60" s="29">
        <v>3</v>
      </c>
      <c r="J60" s="30">
        <v>60.5</v>
      </c>
      <c r="K60" s="30">
        <f t="shared" si="0"/>
        <v>181.5</v>
      </c>
    </row>
    <row r="61" spans="4:11">
      <c r="D61" s="27">
        <v>46185</v>
      </c>
      <c r="E61" s="28">
        <v>1611794</v>
      </c>
      <c r="F61" s="28" t="s">
        <v>13</v>
      </c>
      <c r="G61" s="29">
        <v>20004216</v>
      </c>
      <c r="H61" s="28" t="s">
        <v>25</v>
      </c>
      <c r="I61" s="29">
        <v>1</v>
      </c>
      <c r="J61" s="30">
        <v>8</v>
      </c>
      <c r="K61" s="30">
        <f t="shared" si="0"/>
        <v>8</v>
      </c>
    </row>
    <row r="62" spans="4:11">
      <c r="D62" s="27">
        <v>46185</v>
      </c>
      <c r="E62" s="28">
        <v>1611794</v>
      </c>
      <c r="F62" s="28" t="s">
        <v>13</v>
      </c>
      <c r="G62" s="29">
        <v>20365159</v>
      </c>
      <c r="H62" s="28" t="s">
        <v>86</v>
      </c>
      <c r="I62" s="29">
        <v>1</v>
      </c>
      <c r="J62" s="30">
        <v>11</v>
      </c>
      <c r="K62" s="30">
        <f t="shared" si="0"/>
        <v>11</v>
      </c>
    </row>
    <row r="63" spans="4:11">
      <c r="D63" s="27">
        <v>46185</v>
      </c>
      <c r="E63" s="28">
        <v>1611794</v>
      </c>
      <c r="F63" s="28" t="s">
        <v>13</v>
      </c>
      <c r="G63" s="29">
        <v>20008296</v>
      </c>
      <c r="H63" s="28" t="s">
        <v>87</v>
      </c>
      <c r="I63" s="29">
        <v>1</v>
      </c>
      <c r="J63" s="30">
        <v>8</v>
      </c>
      <c r="K63" s="30">
        <f t="shared" si="0"/>
        <v>8</v>
      </c>
    </row>
    <row r="64" spans="4:11">
      <c r="D64" s="27">
        <v>46185</v>
      </c>
      <c r="E64" s="28">
        <v>1611794</v>
      </c>
      <c r="F64" s="28" t="s">
        <v>13</v>
      </c>
      <c r="G64" s="29">
        <v>20406533</v>
      </c>
      <c r="H64" s="28" t="s">
        <v>88</v>
      </c>
      <c r="I64" s="29">
        <v>1</v>
      </c>
      <c r="J64" s="30">
        <v>8</v>
      </c>
      <c r="K64" s="30">
        <f t="shared" si="0"/>
        <v>8</v>
      </c>
    </row>
    <row r="65" spans="4:11">
      <c r="D65" s="27">
        <v>46185</v>
      </c>
      <c r="E65" s="28">
        <v>1611794</v>
      </c>
      <c r="F65" s="28" t="s">
        <v>13</v>
      </c>
      <c r="G65" s="29">
        <v>20314361</v>
      </c>
      <c r="H65" s="28" t="s">
        <v>81</v>
      </c>
      <c r="I65" s="29">
        <v>1</v>
      </c>
      <c r="J65" s="30">
        <v>8</v>
      </c>
      <c r="K65" s="30">
        <f t="shared" si="0"/>
        <v>8</v>
      </c>
    </row>
    <row r="66" spans="4:11">
      <c r="D66" s="27">
        <v>46185</v>
      </c>
      <c r="E66" s="28">
        <v>1611794</v>
      </c>
      <c r="F66" s="28" t="s">
        <v>19</v>
      </c>
      <c r="G66" s="29">
        <v>20006076</v>
      </c>
      <c r="H66" s="28" t="s">
        <v>89</v>
      </c>
      <c r="I66" s="29">
        <v>1</v>
      </c>
      <c r="J66" s="30">
        <v>88</v>
      </c>
      <c r="K66" s="30">
        <f t="shared" si="0"/>
        <v>88</v>
      </c>
    </row>
    <row r="67" spans="4:11">
      <c r="D67" s="27">
        <v>46185</v>
      </c>
      <c r="E67" s="28">
        <v>1611794</v>
      </c>
      <c r="F67" s="28" t="s">
        <v>19</v>
      </c>
      <c r="G67" s="29">
        <v>20004189</v>
      </c>
      <c r="H67" s="28" t="s">
        <v>67</v>
      </c>
      <c r="I67" s="29">
        <v>1</v>
      </c>
      <c r="J67" s="30">
        <v>99</v>
      </c>
      <c r="K67" s="30">
        <f t="shared" si="0"/>
        <v>99</v>
      </c>
    </row>
    <row r="68" spans="4:11">
      <c r="D68" s="27">
        <v>46185</v>
      </c>
      <c r="E68" s="28">
        <v>1611794</v>
      </c>
      <c r="F68" s="28" t="s">
        <v>21</v>
      </c>
      <c r="G68" s="29">
        <v>20004169</v>
      </c>
      <c r="H68" s="28" t="s">
        <v>61</v>
      </c>
      <c r="I68" s="29">
        <v>1</v>
      </c>
      <c r="J68" s="30">
        <v>16.5</v>
      </c>
      <c r="K68" s="30">
        <f t="shared" si="0"/>
        <v>16.5</v>
      </c>
    </row>
    <row r="69" spans="4:11">
      <c r="D69" s="27">
        <v>46185</v>
      </c>
      <c r="E69" s="28">
        <v>1611794</v>
      </c>
      <c r="F69" s="28" t="s">
        <v>21</v>
      </c>
      <c r="G69" s="29">
        <v>20368279</v>
      </c>
      <c r="H69" s="28" t="s">
        <v>90</v>
      </c>
      <c r="I69" s="29">
        <v>1</v>
      </c>
      <c r="J69" s="30">
        <v>27.5</v>
      </c>
      <c r="K69" s="30">
        <f t="shared" si="0"/>
        <v>27.5</v>
      </c>
    </row>
    <row r="70" spans="4:11">
      <c r="D70" s="27">
        <v>46185</v>
      </c>
      <c r="E70" s="28">
        <v>1611794</v>
      </c>
      <c r="F70" s="28" t="s">
        <v>21</v>
      </c>
      <c r="G70" s="29">
        <v>20007708</v>
      </c>
      <c r="H70" s="28" t="s">
        <v>91</v>
      </c>
      <c r="I70" s="29">
        <v>2</v>
      </c>
      <c r="J70" s="30">
        <v>55</v>
      </c>
      <c r="K70" s="30">
        <f t="shared" si="0"/>
        <v>110</v>
      </c>
    </row>
    <row r="71" spans="4:11">
      <c r="D71" s="27">
        <v>46185</v>
      </c>
      <c r="E71" s="28">
        <v>1611794</v>
      </c>
      <c r="F71" s="28" t="s">
        <v>21</v>
      </c>
      <c r="G71" s="29">
        <v>20004161</v>
      </c>
      <c r="H71" s="28" t="s">
        <v>68</v>
      </c>
      <c r="I71" s="29">
        <v>1</v>
      </c>
      <c r="J71" s="30">
        <v>16.5</v>
      </c>
      <c r="K71" s="30">
        <f t="shared" si="0"/>
        <v>16.5</v>
      </c>
    </row>
    <row r="72" spans="4:11">
      <c r="D72" s="27">
        <v>46189</v>
      </c>
      <c r="E72" s="28">
        <v>1612669</v>
      </c>
      <c r="F72" s="28" t="s">
        <v>13</v>
      </c>
      <c r="G72" s="29">
        <v>20428515</v>
      </c>
      <c r="H72" s="28" t="s">
        <v>69</v>
      </c>
      <c r="I72" s="29">
        <v>3</v>
      </c>
      <c r="J72" s="30">
        <v>16</v>
      </c>
      <c r="K72" s="30">
        <f t="shared" si="0"/>
        <v>48</v>
      </c>
    </row>
    <row r="73" spans="4:11">
      <c r="D73" s="27">
        <v>46189</v>
      </c>
      <c r="E73" s="28">
        <v>1612669</v>
      </c>
      <c r="F73" s="28" t="s">
        <v>13</v>
      </c>
      <c r="G73" s="29">
        <v>20005049</v>
      </c>
      <c r="H73" s="28" t="s">
        <v>92</v>
      </c>
      <c r="I73" s="29">
        <v>1</v>
      </c>
      <c r="J73" s="30">
        <v>16.5</v>
      </c>
      <c r="K73" s="30">
        <f t="shared" ref="K73:K136" si="1">J73*I73</f>
        <v>16.5</v>
      </c>
    </row>
    <row r="74" spans="4:11">
      <c r="D74" s="27">
        <v>46189</v>
      </c>
      <c r="E74" s="28">
        <v>1612669</v>
      </c>
      <c r="F74" s="28" t="s">
        <v>13</v>
      </c>
      <c r="G74" s="29">
        <v>20005552</v>
      </c>
      <c r="H74" s="28" t="s">
        <v>75</v>
      </c>
      <c r="I74" s="29">
        <v>1</v>
      </c>
      <c r="J74" s="30">
        <v>8</v>
      </c>
      <c r="K74" s="30">
        <f t="shared" si="1"/>
        <v>8</v>
      </c>
    </row>
    <row r="75" spans="4:11">
      <c r="D75" s="27">
        <v>46189</v>
      </c>
      <c r="E75" s="28">
        <v>1612669</v>
      </c>
      <c r="F75" s="28" t="s">
        <v>19</v>
      </c>
      <c r="G75" s="29">
        <v>20004189</v>
      </c>
      <c r="H75" s="28" t="s">
        <v>67</v>
      </c>
      <c r="I75" s="29">
        <v>2</v>
      </c>
      <c r="J75" s="30">
        <v>99</v>
      </c>
      <c r="K75" s="30">
        <f t="shared" si="1"/>
        <v>198</v>
      </c>
    </row>
    <row r="76" spans="4:11">
      <c r="D76" s="27">
        <v>46189</v>
      </c>
      <c r="E76" s="28">
        <v>1612669</v>
      </c>
      <c r="F76" s="28" t="s">
        <v>21</v>
      </c>
      <c r="G76" s="29">
        <v>20004169</v>
      </c>
      <c r="H76" s="28" t="s">
        <v>61</v>
      </c>
      <c r="I76" s="29">
        <v>1</v>
      </c>
      <c r="J76" s="30">
        <v>16.5</v>
      </c>
      <c r="K76" s="30">
        <f t="shared" si="1"/>
        <v>16.5</v>
      </c>
    </row>
    <row r="77" spans="4:11">
      <c r="D77" s="27">
        <v>46189</v>
      </c>
      <c r="E77" s="28">
        <v>1612669</v>
      </c>
      <c r="F77" s="28" t="s">
        <v>21</v>
      </c>
      <c r="G77" s="29">
        <v>20008645</v>
      </c>
      <c r="H77" s="28" t="s">
        <v>93</v>
      </c>
      <c r="I77" s="29">
        <v>1</v>
      </c>
      <c r="J77" s="30">
        <v>16.5</v>
      </c>
      <c r="K77" s="30">
        <f t="shared" si="1"/>
        <v>16.5</v>
      </c>
    </row>
    <row r="78" spans="4:11">
      <c r="D78" s="27">
        <v>46189</v>
      </c>
      <c r="E78" s="28">
        <v>1612669</v>
      </c>
      <c r="F78" s="28" t="s">
        <v>21</v>
      </c>
      <c r="G78" s="29">
        <v>20312900</v>
      </c>
      <c r="H78" s="28" t="s">
        <v>70</v>
      </c>
      <c r="I78" s="29">
        <v>2</v>
      </c>
      <c r="J78" s="30">
        <v>16.5</v>
      </c>
      <c r="K78" s="30">
        <f t="shared" si="1"/>
        <v>33</v>
      </c>
    </row>
    <row r="79" spans="4:11">
      <c r="D79" s="27">
        <v>46189</v>
      </c>
      <c r="E79" s="28">
        <v>1612669</v>
      </c>
      <c r="F79" s="28" t="s">
        <v>21</v>
      </c>
      <c r="G79" s="29">
        <v>20007708</v>
      </c>
      <c r="H79" s="28" t="s">
        <v>91</v>
      </c>
      <c r="I79" s="29">
        <v>3</v>
      </c>
      <c r="J79" s="30">
        <v>55</v>
      </c>
      <c r="K79" s="30">
        <f t="shared" si="1"/>
        <v>165</v>
      </c>
    </row>
    <row r="80" spans="4:11">
      <c r="D80" s="27">
        <v>46189</v>
      </c>
      <c r="E80" s="28">
        <v>1612669</v>
      </c>
      <c r="F80" s="28" t="s">
        <v>21</v>
      </c>
      <c r="G80" s="29">
        <v>20354993</v>
      </c>
      <c r="H80" s="28" t="s">
        <v>94</v>
      </c>
      <c r="I80" s="29">
        <v>1</v>
      </c>
      <c r="J80" s="30">
        <v>60.5</v>
      </c>
      <c r="K80" s="30">
        <f t="shared" si="1"/>
        <v>60.5</v>
      </c>
    </row>
    <row r="81" spans="4:11">
      <c r="D81" s="27">
        <v>46189</v>
      </c>
      <c r="E81" s="28">
        <v>1612669</v>
      </c>
      <c r="F81" s="28" t="s">
        <v>21</v>
      </c>
      <c r="G81" s="29">
        <v>20369185</v>
      </c>
      <c r="H81" s="28" t="s">
        <v>63</v>
      </c>
      <c r="I81" s="29">
        <v>2</v>
      </c>
      <c r="J81" s="30">
        <v>38.5</v>
      </c>
      <c r="K81" s="30">
        <f t="shared" si="1"/>
        <v>77</v>
      </c>
    </row>
    <row r="82" spans="4:11">
      <c r="D82" s="27">
        <v>46190</v>
      </c>
      <c r="E82" s="28">
        <v>1613112</v>
      </c>
      <c r="F82" s="28" t="s">
        <v>19</v>
      </c>
      <c r="G82" s="29">
        <v>20004163</v>
      </c>
      <c r="H82" s="28" t="s">
        <v>95</v>
      </c>
      <c r="I82" s="29">
        <v>1</v>
      </c>
      <c r="J82" s="30">
        <v>154</v>
      </c>
      <c r="K82" s="30">
        <f t="shared" si="1"/>
        <v>154</v>
      </c>
    </row>
    <row r="83" spans="4:11">
      <c r="D83" s="27">
        <v>46190</v>
      </c>
      <c r="E83" s="28">
        <v>1613112</v>
      </c>
      <c r="F83" s="28" t="s">
        <v>21</v>
      </c>
      <c r="G83" s="29">
        <v>20312900</v>
      </c>
      <c r="H83" s="28" t="s">
        <v>70</v>
      </c>
      <c r="I83" s="29">
        <v>4</v>
      </c>
      <c r="J83" s="30">
        <v>16.5</v>
      </c>
      <c r="K83" s="30">
        <f t="shared" si="1"/>
        <v>66</v>
      </c>
    </row>
    <row r="84" spans="4:11">
      <c r="D84" s="27">
        <v>46190</v>
      </c>
      <c r="E84" s="28">
        <v>1613112</v>
      </c>
      <c r="F84" s="28" t="s">
        <v>21</v>
      </c>
      <c r="G84" s="29">
        <v>20354993</v>
      </c>
      <c r="H84" s="28" t="s">
        <v>94</v>
      </c>
      <c r="I84" s="29">
        <v>1</v>
      </c>
      <c r="J84" s="30">
        <v>60.5</v>
      </c>
      <c r="K84" s="30">
        <f t="shared" si="1"/>
        <v>60.5</v>
      </c>
    </row>
    <row r="85" spans="4:11">
      <c r="D85" s="27">
        <v>46190</v>
      </c>
      <c r="E85" s="28">
        <v>1613112</v>
      </c>
      <c r="F85" s="28" t="s">
        <v>21</v>
      </c>
      <c r="G85" s="29">
        <v>20369185</v>
      </c>
      <c r="H85" s="28" t="s">
        <v>63</v>
      </c>
      <c r="I85" s="29">
        <v>2</v>
      </c>
      <c r="J85" s="30">
        <v>38.5</v>
      </c>
      <c r="K85" s="30">
        <f t="shared" si="1"/>
        <v>77</v>
      </c>
    </row>
    <row r="86" spans="4:11">
      <c r="D86" s="27">
        <v>46190</v>
      </c>
      <c r="E86" s="28">
        <v>1613114</v>
      </c>
      <c r="F86" s="28" t="s">
        <v>19</v>
      </c>
      <c r="G86" s="29">
        <v>20004163</v>
      </c>
      <c r="H86" s="28" t="s">
        <v>95</v>
      </c>
      <c r="I86" s="29">
        <v>1</v>
      </c>
      <c r="J86" s="30">
        <v>154</v>
      </c>
      <c r="K86" s="30">
        <f t="shared" si="1"/>
        <v>154</v>
      </c>
    </row>
    <row r="87" spans="4:11">
      <c r="D87" s="27">
        <v>46190</v>
      </c>
      <c r="E87" s="28">
        <v>1613114</v>
      </c>
      <c r="F87" s="28" t="s">
        <v>19</v>
      </c>
      <c r="G87" s="29">
        <v>20004189</v>
      </c>
      <c r="H87" s="28" t="s">
        <v>67</v>
      </c>
      <c r="I87" s="29">
        <v>1</v>
      </c>
      <c r="J87" s="30">
        <v>99</v>
      </c>
      <c r="K87" s="30">
        <f t="shared" si="1"/>
        <v>99</v>
      </c>
    </row>
    <row r="88" spans="4:11">
      <c r="D88" s="27">
        <v>46190</v>
      </c>
      <c r="E88" s="28">
        <v>1613114</v>
      </c>
      <c r="F88" s="28" t="s">
        <v>21</v>
      </c>
      <c r="G88" s="29">
        <v>20004169</v>
      </c>
      <c r="H88" s="28" t="s">
        <v>61</v>
      </c>
      <c r="I88" s="29">
        <v>3</v>
      </c>
      <c r="J88" s="30">
        <v>16.5</v>
      </c>
      <c r="K88" s="30">
        <f t="shared" si="1"/>
        <v>49.5</v>
      </c>
    </row>
    <row r="89" spans="4:11">
      <c r="D89" s="27">
        <v>46190</v>
      </c>
      <c r="E89" s="28">
        <v>1613117</v>
      </c>
      <c r="F89" s="28" t="s">
        <v>19</v>
      </c>
      <c r="G89" s="29">
        <v>20004189</v>
      </c>
      <c r="H89" s="28" t="s">
        <v>67</v>
      </c>
      <c r="I89" s="29">
        <v>1</v>
      </c>
      <c r="J89" s="30">
        <v>99</v>
      </c>
      <c r="K89" s="30">
        <f t="shared" si="1"/>
        <v>99</v>
      </c>
    </row>
    <row r="90" spans="4:11">
      <c r="D90" s="27">
        <v>46190</v>
      </c>
      <c r="E90" s="28">
        <v>1613120</v>
      </c>
      <c r="F90" s="28" t="s">
        <v>21</v>
      </c>
      <c r="G90" s="29">
        <v>20007708</v>
      </c>
      <c r="H90" s="28" t="s">
        <v>91</v>
      </c>
      <c r="I90" s="29">
        <v>1</v>
      </c>
      <c r="J90" s="30">
        <v>55</v>
      </c>
      <c r="K90" s="30">
        <f t="shared" si="1"/>
        <v>55</v>
      </c>
    </row>
    <row r="91" spans="4:11">
      <c r="D91" s="27">
        <v>46191</v>
      </c>
      <c r="E91" s="28">
        <v>1613179</v>
      </c>
      <c r="F91" s="28" t="s">
        <v>13</v>
      </c>
      <c r="G91" s="29">
        <v>20004190</v>
      </c>
      <c r="H91" s="28" t="s">
        <v>79</v>
      </c>
      <c r="I91" s="29">
        <v>1</v>
      </c>
      <c r="J91" s="30">
        <v>8</v>
      </c>
      <c r="K91" s="30">
        <f t="shared" si="1"/>
        <v>8</v>
      </c>
    </row>
    <row r="92" spans="4:11">
      <c r="D92" s="27">
        <v>46191</v>
      </c>
      <c r="E92" s="28">
        <v>1613179</v>
      </c>
      <c r="F92" s="28" t="s">
        <v>13</v>
      </c>
      <c r="G92" s="29">
        <v>20006052</v>
      </c>
      <c r="H92" s="28" t="s">
        <v>96</v>
      </c>
      <c r="I92" s="29">
        <v>1</v>
      </c>
      <c r="J92" s="30">
        <v>8</v>
      </c>
      <c r="K92" s="30">
        <f t="shared" si="1"/>
        <v>8</v>
      </c>
    </row>
    <row r="93" spans="4:11">
      <c r="D93" s="27">
        <v>46191</v>
      </c>
      <c r="E93" s="28">
        <v>1613179</v>
      </c>
      <c r="F93" s="28" t="s">
        <v>13</v>
      </c>
      <c r="G93" s="29">
        <v>20008271</v>
      </c>
      <c r="H93" s="28" t="s">
        <v>73</v>
      </c>
      <c r="I93" s="29">
        <v>2</v>
      </c>
      <c r="J93" s="30">
        <v>8</v>
      </c>
      <c r="K93" s="30">
        <f t="shared" si="1"/>
        <v>16</v>
      </c>
    </row>
    <row r="94" spans="4:11">
      <c r="D94" s="27">
        <v>46191</v>
      </c>
      <c r="E94" s="28">
        <v>1613179</v>
      </c>
      <c r="F94" s="28" t="s">
        <v>13</v>
      </c>
      <c r="G94" s="29">
        <v>20004971</v>
      </c>
      <c r="H94" s="28" t="s">
        <v>80</v>
      </c>
      <c r="I94" s="29">
        <v>2</v>
      </c>
      <c r="J94" s="30">
        <v>11</v>
      </c>
      <c r="K94" s="30">
        <f t="shared" si="1"/>
        <v>22</v>
      </c>
    </row>
    <row r="95" spans="4:11">
      <c r="D95" s="27">
        <v>46191</v>
      </c>
      <c r="E95" s="28">
        <v>1613179</v>
      </c>
      <c r="F95" s="28" t="s">
        <v>13</v>
      </c>
      <c r="G95" s="29">
        <v>20004160</v>
      </c>
      <c r="H95" s="28" t="s">
        <v>97</v>
      </c>
      <c r="I95" s="29">
        <v>2</v>
      </c>
      <c r="J95" s="30">
        <v>16.5</v>
      </c>
      <c r="K95" s="30">
        <f t="shared" si="1"/>
        <v>33</v>
      </c>
    </row>
    <row r="96" spans="4:11">
      <c r="D96" s="27">
        <v>46191</v>
      </c>
      <c r="E96" s="28">
        <v>1613179</v>
      </c>
      <c r="F96" s="28" t="s">
        <v>13</v>
      </c>
      <c r="G96" s="29">
        <v>20314361</v>
      </c>
      <c r="H96" s="28" t="s">
        <v>81</v>
      </c>
      <c r="I96" s="29">
        <v>1</v>
      </c>
      <c r="J96" s="30">
        <v>8</v>
      </c>
      <c r="K96" s="30">
        <f t="shared" si="1"/>
        <v>8</v>
      </c>
    </row>
    <row r="97" spans="4:11">
      <c r="D97" s="27">
        <v>46191</v>
      </c>
      <c r="E97" s="28">
        <v>1613179</v>
      </c>
      <c r="F97" s="28" t="s">
        <v>21</v>
      </c>
      <c r="G97" s="29">
        <v>20004192</v>
      </c>
      <c r="H97" s="28" t="s">
        <v>83</v>
      </c>
      <c r="I97" s="29">
        <v>1</v>
      </c>
      <c r="J97" s="30">
        <v>16.5</v>
      </c>
      <c r="K97" s="30">
        <f t="shared" si="1"/>
        <v>16.5</v>
      </c>
    </row>
    <row r="98" spans="4:11">
      <c r="D98" s="27">
        <v>46191</v>
      </c>
      <c r="E98" s="28">
        <v>1613453</v>
      </c>
      <c r="F98" s="28" t="s">
        <v>13</v>
      </c>
      <c r="G98" s="29">
        <v>20428515</v>
      </c>
      <c r="H98" s="28" t="s">
        <v>69</v>
      </c>
      <c r="I98" s="29">
        <v>1</v>
      </c>
      <c r="J98" s="30">
        <v>16</v>
      </c>
      <c r="K98" s="30">
        <f t="shared" si="1"/>
        <v>16</v>
      </c>
    </row>
    <row r="99" spans="4:11">
      <c r="D99" s="27">
        <v>46191</v>
      </c>
      <c r="E99" s="28">
        <v>1613453</v>
      </c>
      <c r="F99" s="28" t="s">
        <v>13</v>
      </c>
      <c r="G99" s="29">
        <v>20011122</v>
      </c>
      <c r="H99" s="28" t="s">
        <v>98</v>
      </c>
      <c r="I99" s="29">
        <v>1</v>
      </c>
      <c r="J99" s="30">
        <v>13.5</v>
      </c>
      <c r="K99" s="30">
        <f t="shared" si="1"/>
        <v>13.5</v>
      </c>
    </row>
    <row r="100" spans="4:11">
      <c r="D100" s="27">
        <v>46191</v>
      </c>
      <c r="E100" s="28">
        <v>1613453</v>
      </c>
      <c r="F100" s="28" t="s">
        <v>13</v>
      </c>
      <c r="G100" s="29">
        <v>20007692</v>
      </c>
      <c r="H100" s="28" t="s">
        <v>38</v>
      </c>
      <c r="I100" s="29">
        <v>1</v>
      </c>
      <c r="J100" s="30">
        <v>8</v>
      </c>
      <c r="K100" s="30">
        <f t="shared" si="1"/>
        <v>8</v>
      </c>
    </row>
    <row r="101" spans="4:11">
      <c r="D101" s="27">
        <v>46191</v>
      </c>
      <c r="E101" s="28">
        <v>1613453</v>
      </c>
      <c r="F101" s="28" t="s">
        <v>19</v>
      </c>
      <c r="G101" s="29">
        <v>20013627</v>
      </c>
      <c r="H101" s="28" t="s">
        <v>65</v>
      </c>
      <c r="I101" s="29">
        <v>3</v>
      </c>
      <c r="J101" s="30">
        <v>82.5</v>
      </c>
      <c r="K101" s="30">
        <f t="shared" si="1"/>
        <v>247.5</v>
      </c>
    </row>
    <row r="102" spans="4:11">
      <c r="D102" s="27">
        <v>46191</v>
      </c>
      <c r="E102" s="28">
        <v>1613453</v>
      </c>
      <c r="F102" s="28" t="s">
        <v>21</v>
      </c>
      <c r="G102" s="29">
        <v>20007708</v>
      </c>
      <c r="H102" s="28" t="s">
        <v>91</v>
      </c>
      <c r="I102" s="29">
        <v>2</v>
      </c>
      <c r="J102" s="30">
        <v>55</v>
      </c>
      <c r="K102" s="30">
        <f t="shared" si="1"/>
        <v>110</v>
      </c>
    </row>
    <row r="103" spans="4:11">
      <c r="D103" s="27">
        <v>46193</v>
      </c>
      <c r="E103" s="28">
        <v>1613784</v>
      </c>
      <c r="F103" s="28" t="s">
        <v>13</v>
      </c>
      <c r="G103" s="29">
        <v>20428515</v>
      </c>
      <c r="H103" s="28" t="s">
        <v>69</v>
      </c>
      <c r="I103" s="29">
        <v>1</v>
      </c>
      <c r="J103" s="30">
        <v>16</v>
      </c>
      <c r="K103" s="30">
        <f t="shared" si="1"/>
        <v>16</v>
      </c>
    </row>
    <row r="104" spans="4:11">
      <c r="D104" s="27">
        <v>46193</v>
      </c>
      <c r="E104" s="28">
        <v>1613784</v>
      </c>
      <c r="F104" s="28" t="s">
        <v>21</v>
      </c>
      <c r="G104" s="29">
        <v>20014156</v>
      </c>
      <c r="H104" s="28" t="s">
        <v>84</v>
      </c>
      <c r="I104" s="29">
        <v>1</v>
      </c>
      <c r="J104" s="30">
        <v>33</v>
      </c>
      <c r="K104" s="30">
        <f t="shared" si="1"/>
        <v>33</v>
      </c>
    </row>
    <row r="105" spans="4:11">
      <c r="D105" s="27">
        <v>46193</v>
      </c>
      <c r="E105" s="28">
        <v>1613784</v>
      </c>
      <c r="F105" s="28" t="s">
        <v>21</v>
      </c>
      <c r="G105" s="29">
        <v>20354993</v>
      </c>
      <c r="H105" s="28" t="s">
        <v>94</v>
      </c>
      <c r="I105" s="29">
        <v>1</v>
      </c>
      <c r="J105" s="30">
        <v>60.5</v>
      </c>
      <c r="K105" s="30">
        <f t="shared" si="1"/>
        <v>60.5</v>
      </c>
    </row>
    <row r="106" spans="4:11">
      <c r="D106" s="27">
        <v>46196</v>
      </c>
      <c r="E106" s="28">
        <v>1614415</v>
      </c>
      <c r="F106" s="28" t="s">
        <v>19</v>
      </c>
      <c r="G106" s="29">
        <v>20013627</v>
      </c>
      <c r="H106" s="28" t="s">
        <v>65</v>
      </c>
      <c r="I106" s="29">
        <v>1</v>
      </c>
      <c r="J106" s="30">
        <v>82.5</v>
      </c>
      <c r="K106" s="30">
        <f t="shared" si="1"/>
        <v>82.5</v>
      </c>
    </row>
    <row r="107" spans="4:11">
      <c r="D107" s="27">
        <v>46196</v>
      </c>
      <c r="E107" s="28">
        <v>1614415</v>
      </c>
      <c r="F107" s="28" t="s">
        <v>21</v>
      </c>
      <c r="G107" s="29">
        <v>20368279</v>
      </c>
      <c r="H107" s="28" t="s">
        <v>90</v>
      </c>
      <c r="I107" s="29">
        <v>1</v>
      </c>
      <c r="J107" s="30">
        <v>27.5</v>
      </c>
      <c r="K107" s="30">
        <f t="shared" si="1"/>
        <v>27.5</v>
      </c>
    </row>
    <row r="108" spans="4:11">
      <c r="D108" s="27">
        <v>46196</v>
      </c>
      <c r="E108" s="28">
        <v>1614415</v>
      </c>
      <c r="F108" s="28" t="s">
        <v>21</v>
      </c>
      <c r="G108" s="29">
        <v>20007708</v>
      </c>
      <c r="H108" s="28" t="s">
        <v>91</v>
      </c>
      <c r="I108" s="29">
        <v>3</v>
      </c>
      <c r="J108" s="30">
        <v>55</v>
      </c>
      <c r="K108" s="30">
        <f t="shared" si="1"/>
        <v>165</v>
      </c>
    </row>
    <row r="109" spans="4:11">
      <c r="D109" s="27">
        <v>46196</v>
      </c>
      <c r="E109" s="28">
        <v>1614415</v>
      </c>
      <c r="F109" s="28" t="s">
        <v>21</v>
      </c>
      <c r="G109" s="29">
        <v>20354993</v>
      </c>
      <c r="H109" s="28" t="s">
        <v>94</v>
      </c>
      <c r="I109" s="29">
        <v>3</v>
      </c>
      <c r="J109" s="30">
        <v>60.5</v>
      </c>
      <c r="K109" s="30">
        <f t="shared" si="1"/>
        <v>181.5</v>
      </c>
    </row>
    <row r="110" spans="4:11">
      <c r="D110" s="27">
        <v>46196</v>
      </c>
      <c r="E110" s="28">
        <v>1614462</v>
      </c>
      <c r="F110" s="28" t="s">
        <v>13</v>
      </c>
      <c r="G110" s="29">
        <v>20007692</v>
      </c>
      <c r="H110" s="28" t="s">
        <v>38</v>
      </c>
      <c r="I110" s="29">
        <v>1</v>
      </c>
      <c r="J110" s="30">
        <v>8</v>
      </c>
      <c r="K110" s="30">
        <f t="shared" si="1"/>
        <v>8</v>
      </c>
    </row>
    <row r="111" spans="4:11">
      <c r="D111" s="27">
        <v>46196</v>
      </c>
      <c r="E111" s="28">
        <v>1614462</v>
      </c>
      <c r="F111" s="28" t="s">
        <v>19</v>
      </c>
      <c r="G111" s="29">
        <v>20006076</v>
      </c>
      <c r="H111" s="28" t="s">
        <v>89</v>
      </c>
      <c r="I111" s="29">
        <v>1</v>
      </c>
      <c r="J111" s="30">
        <v>88</v>
      </c>
      <c r="K111" s="30">
        <f t="shared" si="1"/>
        <v>88</v>
      </c>
    </row>
    <row r="112" spans="4:11">
      <c r="D112" s="27">
        <v>46196</v>
      </c>
      <c r="E112" s="28">
        <v>1614468</v>
      </c>
      <c r="F112" s="28" t="s">
        <v>13</v>
      </c>
      <c r="G112" s="29">
        <v>20428515</v>
      </c>
      <c r="H112" s="28" t="s">
        <v>69</v>
      </c>
      <c r="I112" s="29">
        <v>2</v>
      </c>
      <c r="J112" s="30">
        <v>16</v>
      </c>
      <c r="K112" s="30">
        <f t="shared" si="1"/>
        <v>32</v>
      </c>
    </row>
    <row r="113" spans="4:11">
      <c r="D113" s="27">
        <v>46196</v>
      </c>
      <c r="E113" s="28">
        <v>1614468</v>
      </c>
      <c r="F113" s="28" t="s">
        <v>21</v>
      </c>
      <c r="G113" s="29">
        <v>20004159</v>
      </c>
      <c r="H113" s="28" t="s">
        <v>58</v>
      </c>
      <c r="I113" s="29">
        <v>1</v>
      </c>
      <c r="J113" s="30">
        <v>22</v>
      </c>
      <c r="K113" s="30">
        <f t="shared" si="1"/>
        <v>22</v>
      </c>
    </row>
    <row r="114" spans="4:11">
      <c r="D114" s="27">
        <v>46197</v>
      </c>
      <c r="E114" s="28">
        <v>1614794</v>
      </c>
      <c r="F114" s="28" t="s">
        <v>13</v>
      </c>
      <c r="G114" s="29">
        <v>20428515</v>
      </c>
      <c r="H114" s="28" t="s">
        <v>69</v>
      </c>
      <c r="I114" s="29">
        <v>1</v>
      </c>
      <c r="J114" s="30">
        <v>16</v>
      </c>
      <c r="K114" s="30">
        <f t="shared" si="1"/>
        <v>16</v>
      </c>
    </row>
    <row r="115" spans="4:11">
      <c r="D115" s="27">
        <v>46197</v>
      </c>
      <c r="E115" s="28">
        <v>1614794</v>
      </c>
      <c r="F115" s="28" t="s">
        <v>13</v>
      </c>
      <c r="G115" s="29">
        <v>20004971</v>
      </c>
      <c r="H115" s="28" t="s">
        <v>80</v>
      </c>
      <c r="I115" s="29">
        <v>1</v>
      </c>
      <c r="J115" s="30">
        <v>11</v>
      </c>
      <c r="K115" s="30">
        <f t="shared" si="1"/>
        <v>11</v>
      </c>
    </row>
    <row r="116" spans="4:11">
      <c r="D116" s="27">
        <v>46197</v>
      </c>
      <c r="E116" s="28">
        <v>1614794</v>
      </c>
      <c r="F116" s="28" t="s">
        <v>13</v>
      </c>
      <c r="G116" s="29">
        <v>20314361</v>
      </c>
      <c r="H116" s="28" t="s">
        <v>81</v>
      </c>
      <c r="I116" s="29">
        <v>1</v>
      </c>
      <c r="J116" s="30">
        <v>8</v>
      </c>
      <c r="K116" s="30">
        <f t="shared" si="1"/>
        <v>8</v>
      </c>
    </row>
    <row r="117" spans="4:11">
      <c r="D117" s="27">
        <v>46197</v>
      </c>
      <c r="E117" s="28">
        <v>1614794</v>
      </c>
      <c r="F117" s="28" t="s">
        <v>19</v>
      </c>
      <c r="G117" s="29">
        <v>20013627</v>
      </c>
      <c r="H117" s="28" t="s">
        <v>65</v>
      </c>
      <c r="I117" s="29">
        <v>3</v>
      </c>
      <c r="J117" s="30">
        <v>82.5</v>
      </c>
      <c r="K117" s="30">
        <f t="shared" si="1"/>
        <v>247.5</v>
      </c>
    </row>
    <row r="118" spans="4:11">
      <c r="D118" s="27">
        <v>46197</v>
      </c>
      <c r="E118" s="28">
        <v>1614794</v>
      </c>
      <c r="F118" s="28" t="s">
        <v>19</v>
      </c>
      <c r="G118" s="29">
        <v>20004189</v>
      </c>
      <c r="H118" s="28" t="s">
        <v>67</v>
      </c>
      <c r="I118" s="29">
        <v>1</v>
      </c>
      <c r="J118" s="30">
        <v>99</v>
      </c>
      <c r="K118" s="30">
        <f t="shared" si="1"/>
        <v>99</v>
      </c>
    </row>
    <row r="119" spans="4:11">
      <c r="D119" s="27">
        <v>46197</v>
      </c>
      <c r="E119" s="28">
        <v>1614794</v>
      </c>
      <c r="F119" s="28" t="s">
        <v>21</v>
      </c>
      <c r="G119" s="29">
        <v>20004169</v>
      </c>
      <c r="H119" s="28" t="s">
        <v>61</v>
      </c>
      <c r="I119" s="29">
        <v>1</v>
      </c>
      <c r="J119" s="30">
        <v>16.5</v>
      </c>
      <c r="K119" s="30">
        <f t="shared" si="1"/>
        <v>16.5</v>
      </c>
    </row>
    <row r="120" spans="4:11">
      <c r="D120" s="27">
        <v>46197</v>
      </c>
      <c r="E120" s="28">
        <v>1614794</v>
      </c>
      <c r="F120" s="28" t="s">
        <v>21</v>
      </c>
      <c r="G120" s="29">
        <v>20004730</v>
      </c>
      <c r="H120" s="28" t="s">
        <v>62</v>
      </c>
      <c r="I120" s="29">
        <v>1</v>
      </c>
      <c r="J120" s="30">
        <v>16.5</v>
      </c>
      <c r="K120" s="30">
        <f t="shared" si="1"/>
        <v>16.5</v>
      </c>
    </row>
    <row r="121" spans="4:11">
      <c r="D121" s="27">
        <v>46197</v>
      </c>
      <c r="E121" s="28">
        <v>1614794</v>
      </c>
      <c r="F121" s="28" t="s">
        <v>21</v>
      </c>
      <c r="G121" s="29">
        <v>20004164</v>
      </c>
      <c r="H121" s="28" t="s">
        <v>59</v>
      </c>
      <c r="I121" s="29">
        <v>1</v>
      </c>
      <c r="J121" s="30">
        <v>16.5</v>
      </c>
      <c r="K121" s="30">
        <f t="shared" si="1"/>
        <v>16.5</v>
      </c>
    </row>
    <row r="122" spans="4:11">
      <c r="D122" s="27">
        <v>46197</v>
      </c>
      <c r="E122" s="28">
        <v>1614794</v>
      </c>
      <c r="F122" s="28" t="s">
        <v>21</v>
      </c>
      <c r="G122" s="29">
        <v>20007708</v>
      </c>
      <c r="H122" s="28" t="s">
        <v>91</v>
      </c>
      <c r="I122" s="29">
        <v>1</v>
      </c>
      <c r="J122" s="30">
        <v>55</v>
      </c>
      <c r="K122" s="30">
        <f t="shared" si="1"/>
        <v>55</v>
      </c>
    </row>
    <row r="123" spans="4:11">
      <c r="D123" s="27">
        <v>46197</v>
      </c>
      <c r="E123" s="28">
        <v>1614794</v>
      </c>
      <c r="F123" s="28" t="s">
        <v>21</v>
      </c>
      <c r="G123" s="29">
        <v>20369185</v>
      </c>
      <c r="H123" s="28" t="s">
        <v>63</v>
      </c>
      <c r="I123" s="29">
        <v>3</v>
      </c>
      <c r="J123" s="30">
        <v>38.5</v>
      </c>
      <c r="K123" s="30">
        <f t="shared" si="1"/>
        <v>115.5</v>
      </c>
    </row>
    <row r="124" spans="4:11">
      <c r="D124" s="27">
        <v>46197</v>
      </c>
      <c r="E124" s="28">
        <v>1614794</v>
      </c>
      <c r="F124" s="28" t="s">
        <v>21</v>
      </c>
      <c r="G124" s="29">
        <v>20004192</v>
      </c>
      <c r="H124" s="28" t="s">
        <v>83</v>
      </c>
      <c r="I124" s="29">
        <v>1</v>
      </c>
      <c r="J124" s="30">
        <v>16.5</v>
      </c>
      <c r="K124" s="30">
        <f t="shared" si="1"/>
        <v>16.5</v>
      </c>
    </row>
    <row r="125" spans="4:11">
      <c r="D125" s="27">
        <v>46198</v>
      </c>
      <c r="E125" s="28">
        <v>1615196</v>
      </c>
      <c r="F125" s="28" t="s">
        <v>13</v>
      </c>
      <c r="G125" s="29">
        <v>20428515</v>
      </c>
      <c r="H125" s="28" t="s">
        <v>69</v>
      </c>
      <c r="I125" s="29">
        <v>1</v>
      </c>
      <c r="J125" s="30">
        <v>16</v>
      </c>
      <c r="K125" s="30">
        <f t="shared" si="1"/>
        <v>16</v>
      </c>
    </row>
    <row r="126" spans="4:11">
      <c r="D126" s="27">
        <v>46198</v>
      </c>
      <c r="E126" s="28">
        <v>1615196</v>
      </c>
      <c r="F126" s="28" t="s">
        <v>19</v>
      </c>
      <c r="G126" s="29">
        <v>20004189</v>
      </c>
      <c r="H126" s="28" t="s">
        <v>67</v>
      </c>
      <c r="I126" s="29">
        <v>2</v>
      </c>
      <c r="J126" s="30">
        <v>99</v>
      </c>
      <c r="K126" s="30">
        <f t="shared" si="1"/>
        <v>198</v>
      </c>
    </row>
    <row r="127" spans="4:11">
      <c r="D127" s="27">
        <v>46198</v>
      </c>
      <c r="E127" s="28">
        <v>1615196</v>
      </c>
      <c r="F127" s="28" t="s">
        <v>21</v>
      </c>
      <c r="G127" s="29">
        <v>20008645</v>
      </c>
      <c r="H127" s="28" t="s">
        <v>93</v>
      </c>
      <c r="I127" s="29">
        <v>1</v>
      </c>
      <c r="J127" s="30">
        <v>16.5</v>
      </c>
      <c r="K127" s="30">
        <f t="shared" si="1"/>
        <v>16.5</v>
      </c>
    </row>
    <row r="128" spans="4:11">
      <c r="D128" s="27">
        <v>46198</v>
      </c>
      <c r="E128" s="28">
        <v>1615196</v>
      </c>
      <c r="F128" s="28" t="s">
        <v>21</v>
      </c>
      <c r="G128" s="29">
        <v>20312900</v>
      </c>
      <c r="H128" s="28" t="s">
        <v>70</v>
      </c>
      <c r="I128" s="29">
        <v>1</v>
      </c>
      <c r="J128" s="30">
        <v>16.5</v>
      </c>
      <c r="K128" s="30">
        <f t="shared" si="1"/>
        <v>16.5</v>
      </c>
    </row>
    <row r="129" spans="4:11">
      <c r="D129" s="27">
        <v>46198</v>
      </c>
      <c r="E129" s="28">
        <v>1615196</v>
      </c>
      <c r="F129" s="28" t="s">
        <v>21</v>
      </c>
      <c r="G129" s="29">
        <v>20007708</v>
      </c>
      <c r="H129" s="28" t="s">
        <v>91</v>
      </c>
      <c r="I129" s="29">
        <v>1</v>
      </c>
      <c r="J129" s="30">
        <v>55</v>
      </c>
      <c r="K129" s="30">
        <f t="shared" si="1"/>
        <v>55</v>
      </c>
    </row>
    <row r="130" spans="4:11">
      <c r="D130" s="27">
        <v>46199</v>
      </c>
      <c r="E130" s="28">
        <v>1615483</v>
      </c>
      <c r="F130" s="28" t="s">
        <v>13</v>
      </c>
      <c r="G130" s="29">
        <v>20428515</v>
      </c>
      <c r="H130" s="28" t="s">
        <v>69</v>
      </c>
      <c r="I130" s="29">
        <v>1</v>
      </c>
      <c r="J130" s="30">
        <v>16</v>
      </c>
      <c r="K130" s="30">
        <f t="shared" si="1"/>
        <v>16</v>
      </c>
    </row>
    <row r="131" spans="4:11">
      <c r="D131" s="27">
        <v>46199</v>
      </c>
      <c r="E131" s="28">
        <v>1615483</v>
      </c>
      <c r="F131" s="28" t="s">
        <v>19</v>
      </c>
      <c r="G131" s="29">
        <v>20013627</v>
      </c>
      <c r="H131" s="28" t="s">
        <v>65</v>
      </c>
      <c r="I131" s="29">
        <v>1</v>
      </c>
      <c r="J131" s="30">
        <v>82.5</v>
      </c>
      <c r="K131" s="30">
        <f t="shared" si="1"/>
        <v>82.5</v>
      </c>
    </row>
    <row r="132" spans="4:11">
      <c r="D132" s="27">
        <v>46199</v>
      </c>
      <c r="E132" s="28">
        <v>1615483</v>
      </c>
      <c r="F132" s="28" t="s">
        <v>21</v>
      </c>
      <c r="G132" s="29">
        <v>20004169</v>
      </c>
      <c r="H132" s="28" t="s">
        <v>61</v>
      </c>
      <c r="I132" s="29">
        <v>2</v>
      </c>
      <c r="J132" s="30">
        <v>16.5</v>
      </c>
      <c r="K132" s="30">
        <f t="shared" si="1"/>
        <v>33</v>
      </c>
    </row>
    <row r="133" spans="4:11">
      <c r="D133" s="27">
        <v>46199</v>
      </c>
      <c r="E133" s="28">
        <v>1615483</v>
      </c>
      <c r="F133" s="28" t="s">
        <v>21</v>
      </c>
      <c r="G133" s="29">
        <v>20007708</v>
      </c>
      <c r="H133" s="28" t="s">
        <v>91</v>
      </c>
      <c r="I133" s="29">
        <v>1</v>
      </c>
      <c r="J133" s="30">
        <v>55</v>
      </c>
      <c r="K133" s="30">
        <f t="shared" si="1"/>
        <v>55</v>
      </c>
    </row>
    <row r="134" spans="4:11">
      <c r="D134" s="27">
        <v>46202</v>
      </c>
      <c r="E134" s="28">
        <v>1615965</v>
      </c>
      <c r="F134" s="28" t="s">
        <v>19</v>
      </c>
      <c r="G134" s="29">
        <v>20013627</v>
      </c>
      <c r="H134" s="28" t="s">
        <v>65</v>
      </c>
      <c r="I134" s="29">
        <v>1</v>
      </c>
      <c r="J134" s="30">
        <v>82.5</v>
      </c>
      <c r="K134" s="30">
        <f t="shared" si="1"/>
        <v>82.5</v>
      </c>
    </row>
    <row r="135" spans="4:11">
      <c r="D135" s="27">
        <v>46202</v>
      </c>
      <c r="E135" s="28">
        <v>1615965</v>
      </c>
      <c r="F135" s="28" t="s">
        <v>19</v>
      </c>
      <c r="G135" s="29">
        <v>20006076</v>
      </c>
      <c r="H135" s="28" t="s">
        <v>89</v>
      </c>
      <c r="I135" s="29">
        <v>1</v>
      </c>
      <c r="J135" s="30">
        <v>88</v>
      </c>
      <c r="K135" s="30">
        <f t="shared" si="1"/>
        <v>88</v>
      </c>
    </row>
    <row r="136" spans="4:11">
      <c r="D136" s="27">
        <v>46202</v>
      </c>
      <c r="E136" s="28">
        <v>1615965</v>
      </c>
      <c r="F136" s="28" t="s">
        <v>19</v>
      </c>
      <c r="G136" s="29">
        <v>20004189</v>
      </c>
      <c r="H136" s="28" t="s">
        <v>67</v>
      </c>
      <c r="I136" s="29">
        <v>3</v>
      </c>
      <c r="J136" s="30">
        <v>99</v>
      </c>
      <c r="K136" s="30">
        <f t="shared" si="1"/>
        <v>297</v>
      </c>
    </row>
    <row r="137" spans="4:11">
      <c r="D137" s="27">
        <v>46202</v>
      </c>
      <c r="E137" s="28">
        <v>1615965</v>
      </c>
      <c r="F137" s="28" t="s">
        <v>21</v>
      </c>
      <c r="G137" s="29">
        <v>20007708</v>
      </c>
      <c r="H137" s="28" t="s">
        <v>91</v>
      </c>
      <c r="I137" s="29">
        <v>3</v>
      </c>
      <c r="J137" s="30">
        <v>55</v>
      </c>
      <c r="K137" s="30">
        <f t="shared" ref="K137:K152" si="2">J137*I137</f>
        <v>165</v>
      </c>
    </row>
    <row r="138" spans="4:11">
      <c r="D138" s="27">
        <v>46202</v>
      </c>
      <c r="E138" s="28">
        <v>1615965</v>
      </c>
      <c r="F138" s="28" t="s">
        <v>21</v>
      </c>
      <c r="G138" s="29">
        <v>20369185</v>
      </c>
      <c r="H138" s="28" t="s">
        <v>63</v>
      </c>
      <c r="I138" s="29">
        <v>1</v>
      </c>
      <c r="J138" s="30">
        <v>38.5</v>
      </c>
      <c r="K138" s="30">
        <f t="shared" si="2"/>
        <v>38.5</v>
      </c>
    </row>
    <row r="139" spans="4:11">
      <c r="D139" s="27">
        <v>46202</v>
      </c>
      <c r="E139" s="28">
        <v>1616019</v>
      </c>
      <c r="F139" s="28" t="s">
        <v>13</v>
      </c>
      <c r="G139" s="29">
        <v>20004190</v>
      </c>
      <c r="H139" s="28" t="s">
        <v>79</v>
      </c>
      <c r="I139" s="29">
        <v>1</v>
      </c>
      <c r="J139" s="30">
        <v>8</v>
      </c>
      <c r="K139" s="30">
        <f t="shared" si="2"/>
        <v>8</v>
      </c>
    </row>
    <row r="140" spans="4:11">
      <c r="D140" s="27">
        <v>46202</v>
      </c>
      <c r="E140" s="28">
        <v>1616019</v>
      </c>
      <c r="F140" s="28" t="s">
        <v>13</v>
      </c>
      <c r="G140" s="29">
        <v>20428515</v>
      </c>
      <c r="H140" s="28" t="s">
        <v>69</v>
      </c>
      <c r="I140" s="29">
        <v>4</v>
      </c>
      <c r="J140" s="30">
        <v>16</v>
      </c>
      <c r="K140" s="30">
        <f t="shared" si="2"/>
        <v>64</v>
      </c>
    </row>
    <row r="141" spans="4:11">
      <c r="D141" s="27">
        <v>46202</v>
      </c>
      <c r="E141" s="28">
        <v>1616019</v>
      </c>
      <c r="F141" s="28" t="s">
        <v>13</v>
      </c>
      <c r="G141" s="29">
        <v>20004768</v>
      </c>
      <c r="H141" s="28" t="s">
        <v>99</v>
      </c>
      <c r="I141" s="29">
        <v>1</v>
      </c>
      <c r="J141" s="30">
        <v>8</v>
      </c>
      <c r="K141" s="30">
        <f t="shared" si="2"/>
        <v>8</v>
      </c>
    </row>
    <row r="142" spans="4:11">
      <c r="D142" s="27">
        <v>46202</v>
      </c>
      <c r="E142" s="28">
        <v>1616019</v>
      </c>
      <c r="F142" s="28" t="s">
        <v>13</v>
      </c>
      <c r="G142" s="29">
        <v>20008271</v>
      </c>
      <c r="H142" s="28" t="s">
        <v>73</v>
      </c>
      <c r="I142" s="29">
        <v>1</v>
      </c>
      <c r="J142" s="30">
        <v>8</v>
      </c>
      <c r="K142" s="30">
        <f t="shared" si="2"/>
        <v>8</v>
      </c>
    </row>
    <row r="143" spans="4:11">
      <c r="D143" s="27">
        <v>46202</v>
      </c>
      <c r="E143" s="28">
        <v>1616019</v>
      </c>
      <c r="F143" s="28" t="s">
        <v>21</v>
      </c>
      <c r="G143" s="29">
        <v>20004169</v>
      </c>
      <c r="H143" s="28" t="s">
        <v>61</v>
      </c>
      <c r="I143" s="29">
        <v>1</v>
      </c>
      <c r="J143" s="30">
        <v>16.5</v>
      </c>
      <c r="K143" s="30">
        <f t="shared" si="2"/>
        <v>16.5</v>
      </c>
    </row>
    <row r="144" spans="4:11">
      <c r="D144" s="27">
        <v>46202</v>
      </c>
      <c r="E144" s="28">
        <v>1616019</v>
      </c>
      <c r="F144" s="28" t="s">
        <v>21</v>
      </c>
      <c r="G144" s="29">
        <v>20008645</v>
      </c>
      <c r="H144" s="28" t="s">
        <v>93</v>
      </c>
      <c r="I144" s="29">
        <v>1</v>
      </c>
      <c r="J144" s="30">
        <v>16.5</v>
      </c>
      <c r="K144" s="30">
        <f t="shared" si="2"/>
        <v>16.5</v>
      </c>
    </row>
    <row r="145" spans="4:11">
      <c r="D145" s="27">
        <v>46202</v>
      </c>
      <c r="E145" s="28">
        <v>1616019</v>
      </c>
      <c r="F145" s="28" t="s">
        <v>21</v>
      </c>
      <c r="G145" s="29">
        <v>20312900</v>
      </c>
      <c r="H145" s="28" t="s">
        <v>70</v>
      </c>
      <c r="I145" s="29">
        <v>1</v>
      </c>
      <c r="J145" s="30">
        <v>16.5</v>
      </c>
      <c r="K145" s="30">
        <f t="shared" si="2"/>
        <v>16.5</v>
      </c>
    </row>
    <row r="146" spans="4:11">
      <c r="D146" s="27">
        <v>46202</v>
      </c>
      <c r="E146" s="28">
        <v>1616019</v>
      </c>
      <c r="F146" s="28" t="s">
        <v>21</v>
      </c>
      <c r="G146" s="29">
        <v>20004164</v>
      </c>
      <c r="H146" s="28" t="s">
        <v>59</v>
      </c>
      <c r="I146" s="29">
        <v>2</v>
      </c>
      <c r="J146" s="30">
        <v>16.5</v>
      </c>
      <c r="K146" s="30">
        <f t="shared" si="2"/>
        <v>33</v>
      </c>
    </row>
    <row r="147" spans="4:11">
      <c r="D147" s="27">
        <v>46202</v>
      </c>
      <c r="E147" s="28">
        <v>1616019</v>
      </c>
      <c r="F147" s="28" t="s">
        <v>21</v>
      </c>
      <c r="G147" s="29">
        <v>20004192</v>
      </c>
      <c r="H147" s="28" t="s">
        <v>83</v>
      </c>
      <c r="I147" s="29">
        <v>1</v>
      </c>
      <c r="J147" s="30">
        <v>16.5</v>
      </c>
      <c r="K147" s="30">
        <f t="shared" si="2"/>
        <v>16.5</v>
      </c>
    </row>
    <row r="148" spans="4:11">
      <c r="D148" s="27">
        <v>46203</v>
      </c>
      <c r="E148" s="28">
        <v>1616392</v>
      </c>
      <c r="F148" s="28" t="s">
        <v>13</v>
      </c>
      <c r="G148" s="29">
        <v>20428515</v>
      </c>
      <c r="H148" s="28" t="s">
        <v>69</v>
      </c>
      <c r="I148" s="29">
        <v>1</v>
      </c>
      <c r="J148" s="30">
        <v>16</v>
      </c>
      <c r="K148" s="30">
        <f t="shared" si="2"/>
        <v>16</v>
      </c>
    </row>
    <row r="149" spans="4:11">
      <c r="D149" s="27">
        <v>46203</v>
      </c>
      <c r="E149" s="28">
        <v>1616392</v>
      </c>
      <c r="F149" s="28" t="s">
        <v>19</v>
      </c>
      <c r="G149" s="29">
        <v>20013627</v>
      </c>
      <c r="H149" s="28" t="s">
        <v>65</v>
      </c>
      <c r="I149" s="29">
        <v>1</v>
      </c>
      <c r="J149" s="30">
        <v>82.5</v>
      </c>
      <c r="K149" s="30">
        <f t="shared" si="2"/>
        <v>82.5</v>
      </c>
    </row>
    <row r="150" spans="4:11">
      <c r="D150" s="27">
        <v>46203</v>
      </c>
      <c r="E150" s="28">
        <v>1616392</v>
      </c>
      <c r="F150" s="28" t="s">
        <v>21</v>
      </c>
      <c r="G150" s="29">
        <v>20004169</v>
      </c>
      <c r="H150" s="28" t="s">
        <v>61</v>
      </c>
      <c r="I150" s="29">
        <v>1</v>
      </c>
      <c r="J150" s="30">
        <v>16.5</v>
      </c>
      <c r="K150" s="30">
        <f t="shared" si="2"/>
        <v>16.5</v>
      </c>
    </row>
    <row r="151" spans="4:11">
      <c r="D151" s="27">
        <v>46203</v>
      </c>
      <c r="E151" s="28">
        <v>1616392</v>
      </c>
      <c r="F151" s="28" t="s">
        <v>21</v>
      </c>
      <c r="G151" s="29">
        <v>20007708</v>
      </c>
      <c r="H151" s="28" t="s">
        <v>91</v>
      </c>
      <c r="I151" s="29">
        <v>1</v>
      </c>
      <c r="J151" s="30">
        <v>55</v>
      </c>
      <c r="K151" s="30">
        <f t="shared" si="2"/>
        <v>55</v>
      </c>
    </row>
    <row r="152" spans="4:11">
      <c r="D152" s="27">
        <v>46203</v>
      </c>
      <c r="E152" s="28">
        <v>1616392</v>
      </c>
      <c r="F152" s="28" t="s">
        <v>21</v>
      </c>
      <c r="G152" s="29">
        <v>20369185</v>
      </c>
      <c r="H152" s="28" t="s">
        <v>63</v>
      </c>
      <c r="I152" s="29">
        <v>1</v>
      </c>
      <c r="J152" s="30">
        <v>38.5</v>
      </c>
      <c r="K152" s="30">
        <f t="shared" si="2"/>
        <v>38.5</v>
      </c>
    </row>
    <row r="153" ht="0.05" customHeight="1"/>
  </sheetData>
  <autoFilter xmlns:etc="http://www.wps.cn/officeDocument/2017/etCustomData" ref="A7:K152" etc:filterBottomFollowUsedRange="0">
    <extLst/>
  </autoFilter>
  <mergeCells count="5">
    <mergeCell ref="D8:H8"/>
    <mergeCell ref="C7:C152"/>
    <mergeCell ref="B4:H5"/>
    <mergeCell ref="C1:H2"/>
    <mergeCell ref="A7:B15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15:16 
&amp;"-,Bold"&amp;10 黑龙江省铂康医疗灭菌有限公司 &amp;R&amp;"Droid Sans Fallback"&amp;9第&amp;P页，共&amp;N页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02"/>
  <sheetViews>
    <sheetView tabSelected="1" view="pageBreakPreview" zoomScaleNormal="100" topLeftCell="A4" workbookViewId="0">
      <selection activeCell="I5" sqref="I5"/>
    </sheetView>
  </sheetViews>
  <sheetFormatPr defaultColWidth="9" defaultRowHeight="13.5"/>
  <cols>
    <col min="1" max="1" width="10" style="1" customWidth="1"/>
    <col min="2" max="2" width="8.93333333333333" style="1" customWidth="1"/>
    <col min="3" max="3" width="14.95" style="1" customWidth="1"/>
    <col min="4" max="4" width="9.36666666666667" style="1" customWidth="1"/>
    <col min="5" max="5" width="24.8166666666667" style="1" customWidth="1"/>
    <col min="6" max="6" width="6.475" style="1" customWidth="1"/>
    <col min="7" max="7" width="12.2083333333333" style="1" customWidth="1"/>
    <col min="8" max="8" width="12.375" style="1" customWidth="1"/>
    <col min="9" max="16384" width="9" style="1"/>
  </cols>
  <sheetData>
    <row r="1" s="1" customFormat="1" ht="36" customHeight="1" spans="1:9">
      <c r="A1" s="14" t="s">
        <v>100</v>
      </c>
      <c r="B1" s="14"/>
      <c r="C1" s="14"/>
      <c r="D1" s="14"/>
      <c r="E1" s="14"/>
      <c r="F1" s="14"/>
      <c r="G1" s="14"/>
      <c r="H1" s="14"/>
    </row>
    <row r="2" s="1" customFormat="1" spans="1:9">
      <c r="A2" s="15" t="s">
        <v>4</v>
      </c>
      <c r="B2" s="15" t="s">
        <v>5</v>
      </c>
      <c r="C2" s="15" t="s">
        <v>6</v>
      </c>
      <c r="D2" s="15" t="s">
        <v>7</v>
      </c>
      <c r="E2" s="15" t="s">
        <v>8</v>
      </c>
      <c r="F2" s="15" t="s">
        <v>9</v>
      </c>
      <c r="G2" s="15" t="s">
        <v>10</v>
      </c>
      <c r="H2" s="15" t="s">
        <v>11</v>
      </c>
    </row>
    <row r="3" s="1" customFormat="1" spans="1:9">
      <c r="A3" s="5">
        <v>46175</v>
      </c>
      <c r="B3" s="6">
        <v>1608364</v>
      </c>
      <c r="C3" s="6" t="s">
        <v>44</v>
      </c>
      <c r="D3" s="7">
        <v>20326334</v>
      </c>
      <c r="E3" s="6" t="s">
        <v>101</v>
      </c>
      <c r="F3" s="7">
        <v>1</v>
      </c>
      <c r="G3" s="9">
        <v>28</v>
      </c>
      <c r="H3" s="9">
        <v>28</v>
      </c>
    </row>
    <row r="4" s="1" customFormat="1" spans="1:9">
      <c r="A4" s="5">
        <v>46175</v>
      </c>
      <c r="B4" s="6">
        <v>1608364</v>
      </c>
      <c r="C4" s="6" t="s">
        <v>44</v>
      </c>
      <c r="D4" s="7">
        <v>20354890</v>
      </c>
      <c r="E4" s="6" t="s">
        <v>102</v>
      </c>
      <c r="F4" s="7">
        <v>1</v>
      </c>
      <c r="G4" s="9">
        <v>44</v>
      </c>
      <c r="H4" s="9">
        <v>44</v>
      </c>
      <c r="I4" s="1">
        <f>66+52.5+5042+150+68</f>
        <v>5378.5</v>
      </c>
    </row>
    <row r="5" s="1" customFormat="1" spans="1:9">
      <c r="A5" s="5">
        <v>46175</v>
      </c>
      <c r="B5" s="6">
        <v>1608364</v>
      </c>
      <c r="C5" s="6" t="s">
        <v>44</v>
      </c>
      <c r="D5" s="7">
        <v>20008235</v>
      </c>
      <c r="E5" s="6" t="s">
        <v>103</v>
      </c>
      <c r="F5" s="7">
        <v>1</v>
      </c>
      <c r="G5" s="9">
        <v>110</v>
      </c>
      <c r="H5" s="9">
        <v>110</v>
      </c>
    </row>
    <row r="6" s="1" customFormat="1" spans="1:9">
      <c r="A6" s="5">
        <v>46175</v>
      </c>
      <c r="B6" s="6">
        <v>1608364</v>
      </c>
      <c r="C6" s="6" t="s">
        <v>44</v>
      </c>
      <c r="D6" s="7">
        <v>20004870</v>
      </c>
      <c r="E6" s="6" t="s">
        <v>104</v>
      </c>
      <c r="F6" s="7">
        <v>1</v>
      </c>
      <c r="G6" s="9">
        <v>35</v>
      </c>
      <c r="H6" s="9">
        <v>35</v>
      </c>
    </row>
    <row r="7" s="1" customFormat="1" spans="1:9">
      <c r="A7" s="5">
        <v>46176</v>
      </c>
      <c r="B7" s="6">
        <v>1608959</v>
      </c>
      <c r="C7" s="6" t="s">
        <v>44</v>
      </c>
      <c r="D7" s="7">
        <v>20014742</v>
      </c>
      <c r="E7" s="6" t="s">
        <v>105</v>
      </c>
      <c r="F7" s="7">
        <v>1</v>
      </c>
      <c r="G7" s="9">
        <v>28</v>
      </c>
      <c r="H7" s="9">
        <v>28</v>
      </c>
    </row>
    <row r="8" s="1" customFormat="1" spans="1:9">
      <c r="A8" s="5">
        <v>46176</v>
      </c>
      <c r="B8" s="6">
        <v>1608959</v>
      </c>
      <c r="C8" s="6" t="s">
        <v>44</v>
      </c>
      <c r="D8" s="7">
        <v>20408418</v>
      </c>
      <c r="E8" s="6" t="s">
        <v>106</v>
      </c>
      <c r="F8" s="7">
        <v>1</v>
      </c>
      <c r="G8" s="9">
        <v>35</v>
      </c>
      <c r="H8" s="9">
        <v>35</v>
      </c>
    </row>
    <row r="9" s="1" customFormat="1" spans="1:9">
      <c r="A9" s="5">
        <v>46176</v>
      </c>
      <c r="B9" s="6">
        <v>1608959</v>
      </c>
      <c r="C9" s="6" t="s">
        <v>44</v>
      </c>
      <c r="D9" s="7">
        <v>20326334</v>
      </c>
      <c r="E9" s="6" t="s">
        <v>101</v>
      </c>
      <c r="F9" s="7">
        <v>1</v>
      </c>
      <c r="G9" s="9">
        <v>28</v>
      </c>
      <c r="H9" s="9">
        <v>28</v>
      </c>
    </row>
    <row r="10" s="1" customFormat="1" spans="1:9">
      <c r="A10" s="5">
        <v>46176</v>
      </c>
      <c r="B10" s="6">
        <v>1608959</v>
      </c>
      <c r="C10" s="6" t="s">
        <v>44</v>
      </c>
      <c r="D10" s="7">
        <v>20010868</v>
      </c>
      <c r="E10" s="6" t="s">
        <v>107</v>
      </c>
      <c r="F10" s="7">
        <v>1</v>
      </c>
      <c r="G10" s="9">
        <v>28</v>
      </c>
      <c r="H10" s="9">
        <v>28</v>
      </c>
    </row>
    <row r="11" s="1" customFormat="1" spans="1:9">
      <c r="A11" s="5">
        <v>46176</v>
      </c>
      <c r="B11" s="6">
        <v>1608959</v>
      </c>
      <c r="C11" s="6" t="s">
        <v>44</v>
      </c>
      <c r="D11" s="7">
        <v>20354890</v>
      </c>
      <c r="E11" s="6" t="s">
        <v>102</v>
      </c>
      <c r="F11" s="7">
        <v>1</v>
      </c>
      <c r="G11" s="9">
        <v>44</v>
      </c>
      <c r="H11" s="9">
        <v>44</v>
      </c>
    </row>
    <row r="12" s="1" customFormat="1" spans="1:9">
      <c r="A12" s="5">
        <v>46176</v>
      </c>
      <c r="B12" s="6">
        <v>1608959</v>
      </c>
      <c r="C12" s="6" t="s">
        <v>44</v>
      </c>
      <c r="D12" s="7">
        <v>20005099</v>
      </c>
      <c r="E12" s="6" t="s">
        <v>108</v>
      </c>
      <c r="F12" s="7">
        <v>1</v>
      </c>
      <c r="G12" s="9">
        <v>88</v>
      </c>
      <c r="H12" s="9">
        <v>88</v>
      </c>
    </row>
    <row r="13" s="1" customFormat="1" spans="1:9">
      <c r="A13" s="5">
        <v>46176</v>
      </c>
      <c r="B13" s="6">
        <v>1608959</v>
      </c>
      <c r="C13" s="6" t="s">
        <v>44</v>
      </c>
      <c r="D13" s="7">
        <v>20004218</v>
      </c>
      <c r="E13" s="6" t="s">
        <v>109</v>
      </c>
      <c r="F13" s="7">
        <v>1</v>
      </c>
      <c r="G13" s="9">
        <v>35</v>
      </c>
      <c r="H13" s="9">
        <v>35</v>
      </c>
    </row>
    <row r="14" s="1" customFormat="1" spans="1:9">
      <c r="A14" s="5">
        <v>46176</v>
      </c>
      <c r="B14" s="6">
        <v>1608959</v>
      </c>
      <c r="C14" s="6" t="s">
        <v>44</v>
      </c>
      <c r="D14" s="7">
        <v>20008235</v>
      </c>
      <c r="E14" s="6" t="s">
        <v>103</v>
      </c>
      <c r="F14" s="7">
        <v>1</v>
      </c>
      <c r="G14" s="9">
        <v>110</v>
      </c>
      <c r="H14" s="9">
        <v>110</v>
      </c>
    </row>
    <row r="15" s="1" customFormat="1" spans="1:9">
      <c r="A15" s="5">
        <v>46176</v>
      </c>
      <c r="B15" s="6">
        <v>1608959</v>
      </c>
      <c r="C15" s="6" t="s">
        <v>44</v>
      </c>
      <c r="D15" s="7">
        <v>20004870</v>
      </c>
      <c r="E15" s="6" t="s">
        <v>104</v>
      </c>
      <c r="F15" s="7">
        <v>1</v>
      </c>
      <c r="G15" s="9">
        <v>35</v>
      </c>
      <c r="H15" s="9">
        <v>35</v>
      </c>
    </row>
    <row r="16" s="1" customFormat="1" spans="1:9">
      <c r="A16" s="5">
        <v>46176</v>
      </c>
      <c r="B16" s="6">
        <v>1608959</v>
      </c>
      <c r="C16" s="6" t="s">
        <v>44</v>
      </c>
      <c r="D16" s="7">
        <v>20008657</v>
      </c>
      <c r="E16" s="6" t="s">
        <v>110</v>
      </c>
      <c r="F16" s="7">
        <v>1</v>
      </c>
      <c r="G16" s="9">
        <v>35</v>
      </c>
      <c r="H16" s="9">
        <v>35</v>
      </c>
    </row>
    <row r="17" s="1" customFormat="1" spans="1:8">
      <c r="A17" s="5">
        <v>46178</v>
      </c>
      <c r="B17" s="6">
        <v>1609661</v>
      </c>
      <c r="C17" s="6" t="s">
        <v>44</v>
      </c>
      <c r="D17" s="7">
        <v>20012263</v>
      </c>
      <c r="E17" s="6" t="s">
        <v>111</v>
      </c>
      <c r="F17" s="7">
        <v>1</v>
      </c>
      <c r="G17" s="9">
        <v>88</v>
      </c>
      <c r="H17" s="9">
        <v>88</v>
      </c>
    </row>
    <row r="18" s="1" customFormat="1" spans="1:8">
      <c r="A18" s="5">
        <v>46178</v>
      </c>
      <c r="B18" s="6">
        <v>1609661</v>
      </c>
      <c r="C18" s="6" t="s">
        <v>44</v>
      </c>
      <c r="D18" s="7">
        <v>20326334</v>
      </c>
      <c r="E18" s="6" t="s">
        <v>101</v>
      </c>
      <c r="F18" s="7">
        <v>1</v>
      </c>
      <c r="G18" s="9">
        <v>28</v>
      </c>
      <c r="H18" s="9">
        <v>28</v>
      </c>
    </row>
    <row r="19" s="1" customFormat="1" spans="1:8">
      <c r="A19" s="5">
        <v>46178</v>
      </c>
      <c r="B19" s="6">
        <v>1609661</v>
      </c>
      <c r="C19" s="6" t="s">
        <v>44</v>
      </c>
      <c r="D19" s="7">
        <v>20359205</v>
      </c>
      <c r="E19" s="6" t="s">
        <v>112</v>
      </c>
      <c r="F19" s="7">
        <v>1</v>
      </c>
      <c r="G19" s="9">
        <v>30</v>
      </c>
      <c r="H19" s="9">
        <v>30</v>
      </c>
    </row>
    <row r="20" s="1" customFormat="1" spans="1:8">
      <c r="A20" s="5">
        <v>46178</v>
      </c>
      <c r="B20" s="6">
        <v>1609661</v>
      </c>
      <c r="C20" s="6" t="s">
        <v>44</v>
      </c>
      <c r="D20" s="7">
        <v>20006035</v>
      </c>
      <c r="E20" s="6" t="s">
        <v>113</v>
      </c>
      <c r="F20" s="7">
        <v>1</v>
      </c>
      <c r="G20" s="9">
        <v>22</v>
      </c>
      <c r="H20" s="9">
        <v>22</v>
      </c>
    </row>
    <row r="21" s="1" customFormat="1" spans="1:8">
      <c r="A21" s="5">
        <v>46178</v>
      </c>
      <c r="B21" s="6">
        <v>1609661</v>
      </c>
      <c r="C21" s="6" t="s">
        <v>44</v>
      </c>
      <c r="D21" s="7">
        <v>20013105</v>
      </c>
      <c r="E21" s="6" t="s">
        <v>114</v>
      </c>
      <c r="F21" s="7">
        <v>1</v>
      </c>
      <c r="G21" s="9">
        <v>22</v>
      </c>
      <c r="H21" s="9">
        <v>22</v>
      </c>
    </row>
    <row r="22" s="1" customFormat="1" spans="1:8">
      <c r="A22" s="5">
        <v>46184</v>
      </c>
      <c r="B22" s="6">
        <v>1611216</v>
      </c>
      <c r="C22" s="6" t="s">
        <v>44</v>
      </c>
      <c r="D22" s="7">
        <v>20408418</v>
      </c>
      <c r="E22" s="6" t="s">
        <v>106</v>
      </c>
      <c r="F22" s="7">
        <v>1</v>
      </c>
      <c r="G22" s="9">
        <v>35</v>
      </c>
      <c r="H22" s="9">
        <v>35</v>
      </c>
    </row>
    <row r="23" s="1" customFormat="1" spans="1:8">
      <c r="A23" s="5">
        <v>46184</v>
      </c>
      <c r="B23" s="6">
        <v>1611216</v>
      </c>
      <c r="C23" s="6" t="s">
        <v>44</v>
      </c>
      <c r="D23" s="7">
        <v>20326334</v>
      </c>
      <c r="E23" s="6" t="s">
        <v>101</v>
      </c>
      <c r="F23" s="7">
        <v>1</v>
      </c>
      <c r="G23" s="9">
        <v>28</v>
      </c>
      <c r="H23" s="9">
        <v>28</v>
      </c>
    </row>
    <row r="24" s="1" customFormat="1" spans="1:8">
      <c r="A24" s="5">
        <v>46184</v>
      </c>
      <c r="B24" s="6">
        <v>1611216</v>
      </c>
      <c r="C24" s="6" t="s">
        <v>44</v>
      </c>
      <c r="D24" s="7">
        <v>20010868</v>
      </c>
      <c r="E24" s="6" t="s">
        <v>107</v>
      </c>
      <c r="F24" s="7">
        <v>1</v>
      </c>
      <c r="G24" s="9">
        <v>28</v>
      </c>
      <c r="H24" s="9">
        <v>28</v>
      </c>
    </row>
    <row r="25" s="1" customFormat="1" spans="1:8">
      <c r="A25" s="5">
        <v>46184</v>
      </c>
      <c r="B25" s="6">
        <v>1611216</v>
      </c>
      <c r="C25" s="6" t="s">
        <v>44</v>
      </c>
      <c r="D25" s="7">
        <v>20354890</v>
      </c>
      <c r="E25" s="6" t="s">
        <v>102</v>
      </c>
      <c r="F25" s="7">
        <v>1</v>
      </c>
      <c r="G25" s="9">
        <v>44</v>
      </c>
      <c r="H25" s="9">
        <v>44</v>
      </c>
    </row>
    <row r="26" s="1" customFormat="1" spans="1:8">
      <c r="A26" s="5">
        <v>46184</v>
      </c>
      <c r="B26" s="6">
        <v>1611216</v>
      </c>
      <c r="C26" s="6" t="s">
        <v>44</v>
      </c>
      <c r="D26" s="7">
        <v>20359205</v>
      </c>
      <c r="E26" s="6" t="s">
        <v>112</v>
      </c>
      <c r="F26" s="7">
        <v>2</v>
      </c>
      <c r="G26" s="9">
        <v>30</v>
      </c>
      <c r="H26" s="9">
        <v>60</v>
      </c>
    </row>
    <row r="27" s="1" customFormat="1" spans="1:8">
      <c r="A27" s="5">
        <v>46184</v>
      </c>
      <c r="B27" s="6">
        <v>1611216</v>
      </c>
      <c r="C27" s="6" t="s">
        <v>44</v>
      </c>
      <c r="D27" s="7">
        <v>20367439</v>
      </c>
      <c r="E27" s="6" t="s">
        <v>115</v>
      </c>
      <c r="F27" s="7">
        <v>1</v>
      </c>
      <c r="G27" s="9">
        <v>44</v>
      </c>
      <c r="H27" s="9">
        <v>44</v>
      </c>
    </row>
    <row r="28" s="1" customFormat="1" spans="1:8">
      <c r="A28" s="5">
        <v>46184</v>
      </c>
      <c r="B28" s="6">
        <v>1611216</v>
      </c>
      <c r="C28" s="6" t="s">
        <v>44</v>
      </c>
      <c r="D28" s="7">
        <v>20008235</v>
      </c>
      <c r="E28" s="6" t="s">
        <v>103</v>
      </c>
      <c r="F28" s="7">
        <v>1</v>
      </c>
      <c r="G28" s="9">
        <v>110</v>
      </c>
      <c r="H28" s="9">
        <v>110</v>
      </c>
    </row>
    <row r="29" s="1" customFormat="1" spans="1:8">
      <c r="A29" s="5">
        <v>46184</v>
      </c>
      <c r="B29" s="6">
        <v>1611216</v>
      </c>
      <c r="C29" s="6" t="s">
        <v>44</v>
      </c>
      <c r="D29" s="7">
        <v>20004870</v>
      </c>
      <c r="E29" s="6" t="s">
        <v>104</v>
      </c>
      <c r="F29" s="7">
        <v>1</v>
      </c>
      <c r="G29" s="9">
        <v>35</v>
      </c>
      <c r="H29" s="9">
        <v>35</v>
      </c>
    </row>
    <row r="30" s="1" customFormat="1" spans="1:8">
      <c r="A30" s="5">
        <v>46184</v>
      </c>
      <c r="B30" s="6">
        <v>1611465</v>
      </c>
      <c r="C30" s="6" t="s">
        <v>44</v>
      </c>
      <c r="D30" s="7">
        <v>20429393</v>
      </c>
      <c r="E30" s="6" t="s">
        <v>116</v>
      </c>
      <c r="F30" s="7">
        <v>1</v>
      </c>
      <c r="G30" s="9">
        <v>35</v>
      </c>
      <c r="H30" s="9">
        <v>35</v>
      </c>
    </row>
    <row r="31" s="1" customFormat="1" spans="1:8">
      <c r="A31" s="5">
        <v>46184</v>
      </c>
      <c r="B31" s="6">
        <v>1611465</v>
      </c>
      <c r="C31" s="6" t="s">
        <v>44</v>
      </c>
      <c r="D31" s="7">
        <v>20408418</v>
      </c>
      <c r="E31" s="6" t="s">
        <v>106</v>
      </c>
      <c r="F31" s="7">
        <v>1</v>
      </c>
      <c r="G31" s="9">
        <v>35</v>
      </c>
      <c r="H31" s="9">
        <v>35</v>
      </c>
    </row>
    <row r="32" s="1" customFormat="1" spans="1:8">
      <c r="A32" s="5">
        <v>46184</v>
      </c>
      <c r="B32" s="6">
        <v>1611465</v>
      </c>
      <c r="C32" s="6" t="s">
        <v>44</v>
      </c>
      <c r="D32" s="7">
        <v>20012263</v>
      </c>
      <c r="E32" s="6" t="s">
        <v>117</v>
      </c>
      <c r="F32" s="7">
        <v>1</v>
      </c>
      <c r="G32" s="9">
        <v>66</v>
      </c>
      <c r="H32" s="9">
        <v>66</v>
      </c>
    </row>
    <row r="33" s="1" customFormat="1" spans="1:8">
      <c r="A33" s="5">
        <v>46184</v>
      </c>
      <c r="B33" s="6">
        <v>1611465</v>
      </c>
      <c r="C33" s="6" t="s">
        <v>44</v>
      </c>
      <c r="D33" s="7">
        <v>20429394</v>
      </c>
      <c r="E33" s="6" t="s">
        <v>118</v>
      </c>
      <c r="F33" s="7">
        <v>1</v>
      </c>
      <c r="G33" s="9">
        <v>44</v>
      </c>
      <c r="H33" s="9">
        <v>44</v>
      </c>
    </row>
    <row r="34" s="1" customFormat="1" spans="1:8">
      <c r="A34" s="5">
        <v>46184</v>
      </c>
      <c r="B34" s="6">
        <v>1611465</v>
      </c>
      <c r="C34" s="6" t="s">
        <v>119</v>
      </c>
      <c r="D34" s="7">
        <v>20005093</v>
      </c>
      <c r="E34" s="6" t="s">
        <v>120</v>
      </c>
      <c r="F34" s="7">
        <v>1</v>
      </c>
      <c r="G34" s="9">
        <v>66</v>
      </c>
      <c r="H34" s="9">
        <v>66</v>
      </c>
    </row>
    <row r="35" s="1" customFormat="1" spans="1:8">
      <c r="A35" s="5">
        <v>46185</v>
      </c>
      <c r="B35" s="6">
        <v>1611942</v>
      </c>
      <c r="C35" s="6" t="s">
        <v>44</v>
      </c>
      <c r="D35" s="7">
        <v>20408418</v>
      </c>
      <c r="E35" s="6" t="s">
        <v>106</v>
      </c>
      <c r="F35" s="7">
        <v>1</v>
      </c>
      <c r="G35" s="9">
        <v>35</v>
      </c>
      <c r="H35" s="9">
        <v>35</v>
      </c>
    </row>
    <row r="36" s="1" customFormat="1" spans="1:8">
      <c r="A36" s="5">
        <v>46185</v>
      </c>
      <c r="B36" s="6">
        <v>1611942</v>
      </c>
      <c r="C36" s="6" t="s">
        <v>44</v>
      </c>
      <c r="D36" s="7">
        <v>20010868</v>
      </c>
      <c r="E36" s="6" t="s">
        <v>107</v>
      </c>
      <c r="F36" s="7">
        <v>1</v>
      </c>
      <c r="G36" s="9">
        <v>28</v>
      </c>
      <c r="H36" s="9">
        <v>28</v>
      </c>
    </row>
    <row r="37" s="1" customFormat="1" spans="1:8">
      <c r="A37" s="5">
        <v>46185</v>
      </c>
      <c r="B37" s="6">
        <v>1611942</v>
      </c>
      <c r="C37" s="6" t="s">
        <v>44</v>
      </c>
      <c r="D37" s="7">
        <v>20354960</v>
      </c>
      <c r="E37" s="6" t="s">
        <v>121</v>
      </c>
      <c r="F37" s="7">
        <v>1</v>
      </c>
      <c r="G37" s="9">
        <v>25</v>
      </c>
      <c r="H37" s="9">
        <v>25</v>
      </c>
    </row>
    <row r="38" s="1" customFormat="1" spans="1:8">
      <c r="A38" s="5">
        <v>46185</v>
      </c>
      <c r="B38" s="6">
        <v>1611942</v>
      </c>
      <c r="C38" s="6" t="s">
        <v>44</v>
      </c>
      <c r="D38" s="7">
        <v>20315651</v>
      </c>
      <c r="E38" s="6" t="s">
        <v>122</v>
      </c>
      <c r="F38" s="7">
        <v>1</v>
      </c>
      <c r="G38" s="9">
        <v>25</v>
      </c>
      <c r="H38" s="9">
        <v>25</v>
      </c>
    </row>
    <row r="39" s="1" customFormat="1" spans="1:8">
      <c r="A39" s="5">
        <v>46185</v>
      </c>
      <c r="B39" s="6">
        <v>1611942</v>
      </c>
      <c r="C39" s="6" t="s">
        <v>44</v>
      </c>
      <c r="D39" s="7">
        <v>20354890</v>
      </c>
      <c r="E39" s="6" t="s">
        <v>102</v>
      </c>
      <c r="F39" s="7">
        <v>1</v>
      </c>
      <c r="G39" s="9">
        <v>44</v>
      </c>
      <c r="H39" s="9">
        <v>44</v>
      </c>
    </row>
    <row r="40" s="1" customFormat="1" spans="1:8">
      <c r="A40" s="5">
        <v>46185</v>
      </c>
      <c r="B40" s="6">
        <v>1611942</v>
      </c>
      <c r="C40" s="6" t="s">
        <v>44</v>
      </c>
      <c r="D40" s="7">
        <v>20367439</v>
      </c>
      <c r="E40" s="6" t="s">
        <v>115</v>
      </c>
      <c r="F40" s="7">
        <v>1</v>
      </c>
      <c r="G40" s="9">
        <v>44</v>
      </c>
      <c r="H40" s="9">
        <v>44</v>
      </c>
    </row>
    <row r="41" s="1" customFormat="1" spans="1:8">
      <c r="A41" s="5">
        <v>46185</v>
      </c>
      <c r="B41" s="6">
        <v>1611942</v>
      </c>
      <c r="C41" s="6" t="s">
        <v>44</v>
      </c>
      <c r="D41" s="7">
        <v>20005099</v>
      </c>
      <c r="E41" s="6" t="s">
        <v>108</v>
      </c>
      <c r="F41" s="7">
        <v>1</v>
      </c>
      <c r="G41" s="9">
        <v>88</v>
      </c>
      <c r="H41" s="9">
        <v>88</v>
      </c>
    </row>
    <row r="42" s="1" customFormat="1" spans="1:8">
      <c r="A42" s="5">
        <v>46185</v>
      </c>
      <c r="B42" s="6">
        <v>1611942</v>
      </c>
      <c r="C42" s="6" t="s">
        <v>44</v>
      </c>
      <c r="D42" s="7">
        <v>20008235</v>
      </c>
      <c r="E42" s="6" t="s">
        <v>103</v>
      </c>
      <c r="F42" s="7">
        <v>1</v>
      </c>
      <c r="G42" s="9">
        <v>110</v>
      </c>
      <c r="H42" s="9">
        <v>110</v>
      </c>
    </row>
    <row r="43" s="1" customFormat="1" spans="1:8">
      <c r="A43" s="5">
        <v>46185</v>
      </c>
      <c r="B43" s="6">
        <v>1611942</v>
      </c>
      <c r="C43" s="6" t="s">
        <v>44</v>
      </c>
      <c r="D43" s="7">
        <v>20403747</v>
      </c>
      <c r="E43" s="6" t="s">
        <v>123</v>
      </c>
      <c r="F43" s="7">
        <v>1</v>
      </c>
      <c r="G43" s="9">
        <v>22</v>
      </c>
      <c r="H43" s="9">
        <v>22</v>
      </c>
    </row>
    <row r="44" s="1" customFormat="1" spans="1:8">
      <c r="A44" s="5">
        <v>46185</v>
      </c>
      <c r="B44" s="6">
        <v>1611942</v>
      </c>
      <c r="C44" s="6" t="s">
        <v>44</v>
      </c>
      <c r="D44" s="7">
        <v>20004870</v>
      </c>
      <c r="E44" s="6" t="s">
        <v>104</v>
      </c>
      <c r="F44" s="7">
        <v>1</v>
      </c>
      <c r="G44" s="9">
        <v>35</v>
      </c>
      <c r="H44" s="9">
        <v>35</v>
      </c>
    </row>
    <row r="45" s="1" customFormat="1" spans="1:8">
      <c r="A45" s="5">
        <v>46185</v>
      </c>
      <c r="B45" s="6">
        <v>1611942</v>
      </c>
      <c r="C45" s="6" t="s">
        <v>44</v>
      </c>
      <c r="D45" s="7">
        <v>20365781</v>
      </c>
      <c r="E45" s="6" t="s">
        <v>124</v>
      </c>
      <c r="F45" s="7">
        <v>1</v>
      </c>
      <c r="G45" s="9">
        <v>44</v>
      </c>
      <c r="H45" s="9">
        <v>44</v>
      </c>
    </row>
    <row r="46" s="1" customFormat="1" spans="1:8">
      <c r="A46" s="5">
        <v>46185</v>
      </c>
      <c r="B46" s="6">
        <v>1611942</v>
      </c>
      <c r="C46" s="6" t="s">
        <v>44</v>
      </c>
      <c r="D46" s="7">
        <v>20313222</v>
      </c>
      <c r="E46" s="6" t="s">
        <v>125</v>
      </c>
      <c r="F46" s="7">
        <v>1</v>
      </c>
      <c r="G46" s="9">
        <v>110</v>
      </c>
      <c r="H46" s="9">
        <v>110</v>
      </c>
    </row>
    <row r="47" s="1" customFormat="1" spans="1:8">
      <c r="A47" s="5">
        <v>46185</v>
      </c>
      <c r="B47" s="6">
        <v>1611942</v>
      </c>
      <c r="C47" s="6" t="s">
        <v>44</v>
      </c>
      <c r="D47" s="7">
        <v>20012384</v>
      </c>
      <c r="E47" s="6" t="s">
        <v>126</v>
      </c>
      <c r="F47" s="7">
        <v>1</v>
      </c>
      <c r="G47" s="9">
        <v>35</v>
      </c>
      <c r="H47" s="9">
        <v>35</v>
      </c>
    </row>
    <row r="48" s="1" customFormat="1" spans="1:8">
      <c r="A48" s="5">
        <v>46185</v>
      </c>
      <c r="B48" s="6">
        <v>1611942</v>
      </c>
      <c r="C48" s="6" t="s">
        <v>44</v>
      </c>
      <c r="D48" s="7">
        <v>20313947</v>
      </c>
      <c r="E48" s="6" t="s">
        <v>127</v>
      </c>
      <c r="F48" s="7">
        <v>1</v>
      </c>
      <c r="G48" s="9">
        <v>28</v>
      </c>
      <c r="H48" s="9">
        <v>28</v>
      </c>
    </row>
    <row r="49" s="1" customFormat="1" spans="1:8">
      <c r="A49" s="5">
        <v>46185</v>
      </c>
      <c r="B49" s="6">
        <v>1611942</v>
      </c>
      <c r="C49" s="6" t="s">
        <v>44</v>
      </c>
      <c r="D49" s="7">
        <v>20013105</v>
      </c>
      <c r="E49" s="6" t="s">
        <v>114</v>
      </c>
      <c r="F49" s="7">
        <v>1</v>
      </c>
      <c r="G49" s="9">
        <v>22</v>
      </c>
      <c r="H49" s="9">
        <v>22</v>
      </c>
    </row>
    <row r="50" s="1" customFormat="1" spans="1:8">
      <c r="A50" s="5">
        <v>46189</v>
      </c>
      <c r="B50" s="6">
        <v>1612463</v>
      </c>
      <c r="C50" s="6" t="s">
        <v>44</v>
      </c>
      <c r="D50" s="7">
        <v>20408418</v>
      </c>
      <c r="E50" s="6" t="s">
        <v>106</v>
      </c>
      <c r="F50" s="7">
        <v>1</v>
      </c>
      <c r="G50" s="9">
        <v>35</v>
      </c>
      <c r="H50" s="9">
        <v>35</v>
      </c>
    </row>
    <row r="51" s="1" customFormat="1" spans="1:8">
      <c r="A51" s="5">
        <v>46189</v>
      </c>
      <c r="B51" s="6">
        <v>1612463</v>
      </c>
      <c r="C51" s="6" t="s">
        <v>44</v>
      </c>
      <c r="D51" s="7">
        <v>20326334</v>
      </c>
      <c r="E51" s="6" t="s">
        <v>101</v>
      </c>
      <c r="F51" s="7">
        <v>1</v>
      </c>
      <c r="G51" s="9">
        <v>28</v>
      </c>
      <c r="H51" s="9">
        <v>28</v>
      </c>
    </row>
    <row r="52" s="1" customFormat="1" spans="1:8">
      <c r="A52" s="5">
        <v>46189</v>
      </c>
      <c r="B52" s="6">
        <v>1612463</v>
      </c>
      <c r="C52" s="6" t="s">
        <v>44</v>
      </c>
      <c r="D52" s="7">
        <v>20354890</v>
      </c>
      <c r="E52" s="6" t="s">
        <v>102</v>
      </c>
      <c r="F52" s="7">
        <v>1</v>
      </c>
      <c r="G52" s="9">
        <v>44</v>
      </c>
      <c r="H52" s="9">
        <v>44</v>
      </c>
    </row>
    <row r="53" s="1" customFormat="1" spans="1:8">
      <c r="A53" s="5">
        <v>46189</v>
      </c>
      <c r="B53" s="6">
        <v>1612463</v>
      </c>
      <c r="C53" s="6" t="s">
        <v>44</v>
      </c>
      <c r="D53" s="7">
        <v>20008235</v>
      </c>
      <c r="E53" s="6" t="s">
        <v>103</v>
      </c>
      <c r="F53" s="7">
        <v>1</v>
      </c>
      <c r="G53" s="9">
        <v>110</v>
      </c>
      <c r="H53" s="9">
        <v>110</v>
      </c>
    </row>
    <row r="54" s="1" customFormat="1" spans="1:8">
      <c r="A54" s="5">
        <v>46189</v>
      </c>
      <c r="B54" s="6">
        <v>1612463</v>
      </c>
      <c r="C54" s="6" t="s">
        <v>44</v>
      </c>
      <c r="D54" s="7">
        <v>20004870</v>
      </c>
      <c r="E54" s="6" t="s">
        <v>104</v>
      </c>
      <c r="F54" s="7">
        <v>1</v>
      </c>
      <c r="G54" s="9">
        <v>35</v>
      </c>
      <c r="H54" s="9">
        <v>35</v>
      </c>
    </row>
    <row r="55" s="1" customFormat="1" spans="1:8">
      <c r="A55" s="5">
        <v>46190</v>
      </c>
      <c r="B55" s="6">
        <v>1612858</v>
      </c>
      <c r="C55" s="6" t="s">
        <v>44</v>
      </c>
      <c r="D55" s="7">
        <v>20408418</v>
      </c>
      <c r="E55" s="6" t="s">
        <v>106</v>
      </c>
      <c r="F55" s="7">
        <v>2</v>
      </c>
      <c r="G55" s="9">
        <v>35</v>
      </c>
      <c r="H55" s="9">
        <v>70</v>
      </c>
    </row>
    <row r="56" s="1" customFormat="1" spans="1:8">
      <c r="A56" s="5">
        <v>46190</v>
      </c>
      <c r="B56" s="6">
        <v>1612858</v>
      </c>
      <c r="C56" s="6" t="s">
        <v>44</v>
      </c>
      <c r="D56" s="7">
        <v>20326334</v>
      </c>
      <c r="E56" s="6" t="s">
        <v>101</v>
      </c>
      <c r="F56" s="7">
        <v>2</v>
      </c>
      <c r="G56" s="9">
        <v>28</v>
      </c>
      <c r="H56" s="9">
        <v>56</v>
      </c>
    </row>
    <row r="57" s="1" customFormat="1" spans="1:8">
      <c r="A57" s="5">
        <v>46190</v>
      </c>
      <c r="B57" s="6">
        <v>1612858</v>
      </c>
      <c r="C57" s="6" t="s">
        <v>44</v>
      </c>
      <c r="D57" s="7">
        <v>20354890</v>
      </c>
      <c r="E57" s="6" t="s">
        <v>102</v>
      </c>
      <c r="F57" s="7">
        <v>2</v>
      </c>
      <c r="G57" s="9">
        <v>44</v>
      </c>
      <c r="H57" s="9">
        <v>88</v>
      </c>
    </row>
    <row r="58" s="1" customFormat="1" spans="1:8">
      <c r="A58" s="5">
        <v>46190</v>
      </c>
      <c r="B58" s="6">
        <v>1612858</v>
      </c>
      <c r="C58" s="6" t="s">
        <v>44</v>
      </c>
      <c r="D58" s="7">
        <v>20404321</v>
      </c>
      <c r="E58" s="6" t="s">
        <v>128</v>
      </c>
      <c r="F58" s="7">
        <v>1</v>
      </c>
      <c r="G58" s="9">
        <v>25</v>
      </c>
      <c r="H58" s="9">
        <v>25</v>
      </c>
    </row>
    <row r="59" s="1" customFormat="1" spans="1:8">
      <c r="A59" s="5">
        <v>46190</v>
      </c>
      <c r="B59" s="6">
        <v>1612858</v>
      </c>
      <c r="C59" s="6" t="s">
        <v>44</v>
      </c>
      <c r="D59" s="7">
        <v>20367439</v>
      </c>
      <c r="E59" s="6" t="s">
        <v>115</v>
      </c>
      <c r="F59" s="7">
        <v>1</v>
      </c>
      <c r="G59" s="9">
        <v>44</v>
      </c>
      <c r="H59" s="9">
        <v>44</v>
      </c>
    </row>
    <row r="60" s="1" customFormat="1" spans="1:8">
      <c r="A60" s="5">
        <v>46190</v>
      </c>
      <c r="B60" s="6">
        <v>1612858</v>
      </c>
      <c r="C60" s="6" t="s">
        <v>44</v>
      </c>
      <c r="D60" s="7">
        <v>20008235</v>
      </c>
      <c r="E60" s="6" t="s">
        <v>103</v>
      </c>
      <c r="F60" s="7">
        <v>2</v>
      </c>
      <c r="G60" s="9">
        <v>110</v>
      </c>
      <c r="H60" s="9">
        <v>220</v>
      </c>
    </row>
    <row r="61" s="1" customFormat="1" spans="1:8">
      <c r="A61" s="5">
        <v>46190</v>
      </c>
      <c r="B61" s="6">
        <v>1612858</v>
      </c>
      <c r="C61" s="6" t="s">
        <v>44</v>
      </c>
      <c r="D61" s="7">
        <v>20004870</v>
      </c>
      <c r="E61" s="6" t="s">
        <v>104</v>
      </c>
      <c r="F61" s="7">
        <v>2</v>
      </c>
      <c r="G61" s="9">
        <v>35</v>
      </c>
      <c r="H61" s="9">
        <v>70</v>
      </c>
    </row>
    <row r="62" s="1" customFormat="1" spans="1:8">
      <c r="A62" s="5">
        <v>46191</v>
      </c>
      <c r="B62" s="6">
        <v>1613265</v>
      </c>
      <c r="C62" s="6" t="s">
        <v>44</v>
      </c>
      <c r="D62" s="7">
        <v>20408418</v>
      </c>
      <c r="E62" s="6" t="s">
        <v>106</v>
      </c>
      <c r="F62" s="7">
        <v>2</v>
      </c>
      <c r="G62" s="9">
        <v>35</v>
      </c>
      <c r="H62" s="9">
        <v>70</v>
      </c>
    </row>
    <row r="63" s="1" customFormat="1" spans="1:8">
      <c r="A63" s="5">
        <v>46191</v>
      </c>
      <c r="B63" s="6">
        <v>1613265</v>
      </c>
      <c r="C63" s="6" t="s">
        <v>44</v>
      </c>
      <c r="D63" s="7">
        <v>20354890</v>
      </c>
      <c r="E63" s="6" t="s">
        <v>102</v>
      </c>
      <c r="F63" s="7">
        <v>2</v>
      </c>
      <c r="G63" s="9">
        <v>44</v>
      </c>
      <c r="H63" s="9">
        <v>88</v>
      </c>
    </row>
    <row r="64" spans="1:8">
      <c r="A64" s="5">
        <v>46191</v>
      </c>
      <c r="B64" s="6">
        <v>1613265</v>
      </c>
      <c r="C64" s="6" t="s">
        <v>44</v>
      </c>
      <c r="D64" s="7">
        <v>20359205</v>
      </c>
      <c r="E64" s="6" t="s">
        <v>112</v>
      </c>
      <c r="F64" s="7">
        <v>1</v>
      </c>
      <c r="G64" s="9">
        <v>30</v>
      </c>
      <c r="H64" s="9">
        <v>30</v>
      </c>
    </row>
    <row r="65" spans="1:8">
      <c r="A65" s="5">
        <v>46191</v>
      </c>
      <c r="B65" s="6">
        <v>1613265</v>
      </c>
      <c r="C65" s="6" t="s">
        <v>44</v>
      </c>
      <c r="D65" s="7">
        <v>20008235</v>
      </c>
      <c r="E65" s="6" t="s">
        <v>103</v>
      </c>
      <c r="F65" s="7">
        <v>2</v>
      </c>
      <c r="G65" s="9">
        <v>110</v>
      </c>
      <c r="H65" s="9">
        <v>220</v>
      </c>
    </row>
    <row r="66" spans="1:8">
      <c r="A66" s="5">
        <v>46191</v>
      </c>
      <c r="B66" s="6">
        <v>1613265</v>
      </c>
      <c r="C66" s="6" t="s">
        <v>44</v>
      </c>
      <c r="D66" s="7">
        <v>20004870</v>
      </c>
      <c r="E66" s="6" t="s">
        <v>104</v>
      </c>
      <c r="F66" s="7">
        <v>2</v>
      </c>
      <c r="G66" s="9">
        <v>35</v>
      </c>
      <c r="H66" s="9">
        <v>70</v>
      </c>
    </row>
    <row r="67" spans="1:8">
      <c r="A67" s="5">
        <v>46191</v>
      </c>
      <c r="B67" s="6">
        <v>1613265</v>
      </c>
      <c r="C67" s="6" t="s">
        <v>44</v>
      </c>
      <c r="D67" s="7">
        <v>20008657</v>
      </c>
      <c r="E67" s="6" t="s">
        <v>110</v>
      </c>
      <c r="F67" s="7">
        <v>1</v>
      </c>
      <c r="G67" s="9">
        <v>35</v>
      </c>
      <c r="H67" s="9">
        <v>35</v>
      </c>
    </row>
    <row r="68" spans="1:8">
      <c r="A68" s="5">
        <v>46191</v>
      </c>
      <c r="B68" s="6">
        <v>1613265</v>
      </c>
      <c r="C68" s="6" t="s">
        <v>44</v>
      </c>
      <c r="D68" s="7">
        <v>20006030</v>
      </c>
      <c r="E68" s="6" t="s">
        <v>129</v>
      </c>
      <c r="F68" s="7">
        <v>2</v>
      </c>
      <c r="G68" s="9">
        <v>28</v>
      </c>
      <c r="H68" s="9">
        <v>56</v>
      </c>
    </row>
    <row r="69" spans="1:8">
      <c r="A69" s="5">
        <v>46192</v>
      </c>
      <c r="B69" s="6">
        <v>1613626</v>
      </c>
      <c r="C69" s="6" t="s">
        <v>44</v>
      </c>
      <c r="D69" s="7">
        <v>20014742</v>
      </c>
      <c r="E69" s="6" t="s">
        <v>105</v>
      </c>
      <c r="F69" s="7">
        <v>2</v>
      </c>
      <c r="G69" s="9">
        <v>28</v>
      </c>
      <c r="H69" s="9">
        <v>56</v>
      </c>
    </row>
    <row r="70" spans="1:8">
      <c r="A70" s="5">
        <v>46192</v>
      </c>
      <c r="B70" s="6">
        <v>1613626</v>
      </c>
      <c r="C70" s="6" t="s">
        <v>44</v>
      </c>
      <c r="D70" s="7">
        <v>20005099</v>
      </c>
      <c r="E70" s="6" t="s">
        <v>108</v>
      </c>
      <c r="F70" s="7">
        <v>2</v>
      </c>
      <c r="G70" s="9">
        <v>88</v>
      </c>
      <c r="H70" s="9">
        <v>176</v>
      </c>
    </row>
    <row r="71" spans="1:8">
      <c r="A71" s="5">
        <v>46192</v>
      </c>
      <c r="B71" s="6">
        <v>1613626</v>
      </c>
      <c r="C71" s="6" t="s">
        <v>44</v>
      </c>
      <c r="D71" s="7">
        <v>20004218</v>
      </c>
      <c r="E71" s="6" t="s">
        <v>109</v>
      </c>
      <c r="F71" s="7">
        <v>2</v>
      </c>
      <c r="G71" s="9">
        <v>35</v>
      </c>
      <c r="H71" s="9">
        <v>70</v>
      </c>
    </row>
    <row r="72" spans="1:8">
      <c r="A72" s="5">
        <v>46192</v>
      </c>
      <c r="B72" s="6">
        <v>1613626</v>
      </c>
      <c r="C72" s="6" t="s">
        <v>44</v>
      </c>
      <c r="D72" s="7">
        <v>20008657</v>
      </c>
      <c r="E72" s="6" t="s">
        <v>110</v>
      </c>
      <c r="F72" s="7">
        <v>2</v>
      </c>
      <c r="G72" s="9">
        <v>35</v>
      </c>
      <c r="H72" s="9">
        <v>70</v>
      </c>
    </row>
    <row r="73" spans="1:8">
      <c r="A73" s="5">
        <v>46193</v>
      </c>
      <c r="B73" s="6">
        <v>1613787</v>
      </c>
      <c r="C73" s="6" t="s">
        <v>44</v>
      </c>
      <c r="D73" s="7">
        <v>20408418</v>
      </c>
      <c r="E73" s="6" t="s">
        <v>106</v>
      </c>
      <c r="F73" s="7">
        <v>1</v>
      </c>
      <c r="G73" s="9">
        <v>35</v>
      </c>
      <c r="H73" s="9">
        <v>35</v>
      </c>
    </row>
    <row r="74" spans="1:8">
      <c r="A74" s="5">
        <v>46193</v>
      </c>
      <c r="B74" s="6">
        <v>1613787</v>
      </c>
      <c r="C74" s="6" t="s">
        <v>44</v>
      </c>
      <c r="D74" s="7">
        <v>20326334</v>
      </c>
      <c r="E74" s="6" t="s">
        <v>101</v>
      </c>
      <c r="F74" s="8">
        <v>1</v>
      </c>
      <c r="G74" s="9">
        <v>28</v>
      </c>
      <c r="H74" s="9">
        <v>28</v>
      </c>
    </row>
    <row r="75" spans="1:8">
      <c r="A75" s="5">
        <v>46193</v>
      </c>
      <c r="B75" s="6">
        <v>1613787</v>
      </c>
      <c r="C75" s="6" t="s">
        <v>44</v>
      </c>
      <c r="D75" s="7">
        <v>20354890</v>
      </c>
      <c r="E75" s="6" t="s">
        <v>102</v>
      </c>
      <c r="F75" s="8">
        <v>1</v>
      </c>
      <c r="G75" s="9">
        <v>44</v>
      </c>
      <c r="H75" s="9">
        <v>44</v>
      </c>
    </row>
    <row r="76" spans="1:8">
      <c r="A76" s="5">
        <v>46193</v>
      </c>
      <c r="B76" s="6">
        <v>1613787</v>
      </c>
      <c r="C76" s="6" t="s">
        <v>44</v>
      </c>
      <c r="D76" s="7">
        <v>20008235</v>
      </c>
      <c r="E76" s="6" t="s">
        <v>103</v>
      </c>
      <c r="F76" s="8">
        <v>1</v>
      </c>
      <c r="G76" s="9">
        <v>110</v>
      </c>
      <c r="H76" s="9">
        <v>110</v>
      </c>
    </row>
    <row r="77" spans="1:8">
      <c r="A77" s="5">
        <v>46193</v>
      </c>
      <c r="B77" s="6">
        <v>1613787</v>
      </c>
      <c r="C77" s="6" t="s">
        <v>44</v>
      </c>
      <c r="D77" s="7">
        <v>20004870</v>
      </c>
      <c r="E77" s="6" t="s">
        <v>104</v>
      </c>
      <c r="F77" s="8">
        <v>1</v>
      </c>
      <c r="G77" s="9">
        <v>35</v>
      </c>
      <c r="H77" s="9">
        <v>35</v>
      </c>
    </row>
    <row r="78" spans="1:8">
      <c r="A78" s="5">
        <v>46193</v>
      </c>
      <c r="B78" s="6">
        <v>1613787</v>
      </c>
      <c r="C78" s="6" t="s">
        <v>44</v>
      </c>
      <c r="D78" s="7">
        <v>20008657</v>
      </c>
      <c r="E78" s="6" t="s">
        <v>110</v>
      </c>
      <c r="F78" s="8">
        <v>1</v>
      </c>
      <c r="G78" s="9">
        <v>35</v>
      </c>
      <c r="H78" s="9">
        <v>35</v>
      </c>
    </row>
    <row r="79" spans="1:8">
      <c r="A79" s="5">
        <v>46193</v>
      </c>
      <c r="B79" s="6">
        <v>1613787</v>
      </c>
      <c r="C79" s="6" t="s">
        <v>119</v>
      </c>
      <c r="D79" s="7">
        <v>20010955</v>
      </c>
      <c r="E79" s="6" t="s">
        <v>130</v>
      </c>
      <c r="F79" s="8">
        <v>1</v>
      </c>
      <c r="G79" s="9">
        <v>66</v>
      </c>
      <c r="H79" s="9">
        <v>66</v>
      </c>
    </row>
    <row r="80" spans="1:8">
      <c r="A80" s="5">
        <v>46200</v>
      </c>
      <c r="B80" s="6">
        <v>1615640</v>
      </c>
      <c r="C80" s="6" t="s">
        <v>44</v>
      </c>
      <c r="D80" s="7">
        <v>20014742</v>
      </c>
      <c r="E80" s="6" t="s">
        <v>105</v>
      </c>
      <c r="F80" s="7">
        <v>1</v>
      </c>
      <c r="G80" s="9">
        <v>28</v>
      </c>
      <c r="H80" s="9">
        <v>28</v>
      </c>
    </row>
    <row r="81" spans="1:8">
      <c r="A81" s="5">
        <v>46200</v>
      </c>
      <c r="B81" s="6">
        <v>1615640</v>
      </c>
      <c r="C81" s="6" t="s">
        <v>44</v>
      </c>
      <c r="D81" s="7">
        <v>20005099</v>
      </c>
      <c r="E81" s="6" t="s">
        <v>108</v>
      </c>
      <c r="F81" s="7">
        <v>1</v>
      </c>
      <c r="G81" s="9">
        <v>88</v>
      </c>
      <c r="H81" s="9">
        <v>88</v>
      </c>
    </row>
    <row r="82" spans="1:8">
      <c r="A82" s="5">
        <v>46200</v>
      </c>
      <c r="B82" s="6">
        <v>1615640</v>
      </c>
      <c r="C82" s="6" t="s">
        <v>44</v>
      </c>
      <c r="D82" s="7">
        <v>20004218</v>
      </c>
      <c r="E82" s="6" t="s">
        <v>109</v>
      </c>
      <c r="F82" s="7">
        <v>1</v>
      </c>
      <c r="G82" s="9">
        <v>35</v>
      </c>
      <c r="H82" s="9">
        <v>35</v>
      </c>
    </row>
    <row r="83" spans="1:8">
      <c r="A83" s="5">
        <v>46200</v>
      </c>
      <c r="B83" s="6">
        <v>1615640</v>
      </c>
      <c r="C83" s="6" t="s">
        <v>44</v>
      </c>
      <c r="D83" s="7">
        <v>20008657</v>
      </c>
      <c r="E83" s="6" t="s">
        <v>110</v>
      </c>
      <c r="F83" s="7">
        <v>1</v>
      </c>
      <c r="G83" s="9">
        <v>35</v>
      </c>
      <c r="H83" s="9">
        <v>35</v>
      </c>
    </row>
    <row r="84" spans="1:8">
      <c r="A84" s="5">
        <v>46203</v>
      </c>
      <c r="B84" s="6">
        <v>1616176</v>
      </c>
      <c r="C84" s="6" t="s">
        <v>44</v>
      </c>
      <c r="D84" s="7">
        <v>20014742</v>
      </c>
      <c r="E84" s="6" t="s">
        <v>105</v>
      </c>
      <c r="F84" s="7">
        <v>1</v>
      </c>
      <c r="G84" s="9">
        <v>28</v>
      </c>
      <c r="H84" s="9">
        <v>28</v>
      </c>
    </row>
    <row r="85" spans="1:8">
      <c r="A85" s="5">
        <v>46203</v>
      </c>
      <c r="B85" s="6">
        <v>1616176</v>
      </c>
      <c r="C85" s="6" t="s">
        <v>44</v>
      </c>
      <c r="D85" s="7">
        <v>20408418</v>
      </c>
      <c r="E85" s="6" t="s">
        <v>106</v>
      </c>
      <c r="F85" s="7">
        <v>1</v>
      </c>
      <c r="G85" s="9">
        <v>35</v>
      </c>
      <c r="H85" s="9">
        <v>35</v>
      </c>
    </row>
    <row r="86" spans="1:8">
      <c r="A86" s="5">
        <v>46203</v>
      </c>
      <c r="B86" s="6">
        <v>1616176</v>
      </c>
      <c r="C86" s="6" t="s">
        <v>44</v>
      </c>
      <c r="D86" s="7">
        <v>20315651</v>
      </c>
      <c r="E86" s="6" t="s">
        <v>122</v>
      </c>
      <c r="F86" s="7">
        <v>1</v>
      </c>
      <c r="G86" s="9">
        <v>25</v>
      </c>
      <c r="H86" s="9">
        <v>25</v>
      </c>
    </row>
    <row r="87" spans="1:8">
      <c r="A87" s="5">
        <v>46203</v>
      </c>
      <c r="B87" s="6">
        <v>1616176</v>
      </c>
      <c r="C87" s="6" t="s">
        <v>44</v>
      </c>
      <c r="D87" s="7">
        <v>20354890</v>
      </c>
      <c r="E87" s="6" t="s">
        <v>102</v>
      </c>
      <c r="F87" s="7">
        <v>1</v>
      </c>
      <c r="G87" s="9">
        <v>44</v>
      </c>
      <c r="H87" s="9">
        <v>44</v>
      </c>
    </row>
    <row r="88" spans="1:8">
      <c r="A88" s="5">
        <v>46203</v>
      </c>
      <c r="B88" s="6">
        <v>1616176</v>
      </c>
      <c r="C88" s="6" t="s">
        <v>44</v>
      </c>
      <c r="D88" s="7">
        <v>20359205</v>
      </c>
      <c r="E88" s="6" t="s">
        <v>112</v>
      </c>
      <c r="F88" s="7">
        <v>2</v>
      </c>
      <c r="G88" s="9">
        <v>30</v>
      </c>
      <c r="H88" s="9">
        <v>60</v>
      </c>
    </row>
    <row r="89" spans="1:8">
      <c r="A89" s="5">
        <v>46203</v>
      </c>
      <c r="B89" s="6">
        <v>1616176</v>
      </c>
      <c r="C89" s="6" t="s">
        <v>44</v>
      </c>
      <c r="D89" s="7">
        <v>20005099</v>
      </c>
      <c r="E89" s="6" t="s">
        <v>108</v>
      </c>
      <c r="F89" s="7">
        <v>1</v>
      </c>
      <c r="G89" s="9">
        <v>88</v>
      </c>
      <c r="H89" s="9">
        <v>88</v>
      </c>
    </row>
    <row r="90" spans="1:8">
      <c r="A90" s="5">
        <v>46203</v>
      </c>
      <c r="B90" s="6">
        <v>1616176</v>
      </c>
      <c r="C90" s="6" t="s">
        <v>44</v>
      </c>
      <c r="D90" s="7">
        <v>20004218</v>
      </c>
      <c r="E90" s="6" t="s">
        <v>109</v>
      </c>
      <c r="F90" s="7">
        <v>1</v>
      </c>
      <c r="G90" s="9">
        <v>35</v>
      </c>
      <c r="H90" s="9">
        <v>35</v>
      </c>
    </row>
    <row r="91" spans="1:8">
      <c r="A91" s="5">
        <v>46203</v>
      </c>
      <c r="B91" s="6">
        <v>1616176</v>
      </c>
      <c r="C91" s="6" t="s">
        <v>44</v>
      </c>
      <c r="D91" s="7">
        <v>20008235</v>
      </c>
      <c r="E91" s="6" t="s">
        <v>103</v>
      </c>
      <c r="F91" s="7">
        <v>1</v>
      </c>
      <c r="G91" s="9">
        <v>110</v>
      </c>
      <c r="H91" s="9">
        <v>110</v>
      </c>
    </row>
    <row r="92" spans="1:8">
      <c r="A92" s="5">
        <v>46203</v>
      </c>
      <c r="B92" s="6">
        <v>1616176</v>
      </c>
      <c r="C92" s="6" t="s">
        <v>44</v>
      </c>
      <c r="D92" s="7">
        <v>20004870</v>
      </c>
      <c r="E92" s="6" t="s">
        <v>104</v>
      </c>
      <c r="F92" s="7">
        <v>1</v>
      </c>
      <c r="G92" s="9">
        <v>35</v>
      </c>
      <c r="H92" s="9">
        <v>35</v>
      </c>
    </row>
    <row r="93" spans="1:8">
      <c r="A93" s="5">
        <v>46203</v>
      </c>
      <c r="B93" s="6">
        <v>1616176</v>
      </c>
      <c r="C93" s="6" t="s">
        <v>44</v>
      </c>
      <c r="D93" s="7">
        <v>20365781</v>
      </c>
      <c r="E93" s="6" t="s">
        <v>124</v>
      </c>
      <c r="F93" s="7">
        <v>1</v>
      </c>
      <c r="G93" s="9">
        <v>44</v>
      </c>
      <c r="H93" s="9">
        <v>44</v>
      </c>
    </row>
    <row r="94" spans="1:8">
      <c r="A94" s="5">
        <v>46203</v>
      </c>
      <c r="B94" s="6">
        <v>1616176</v>
      </c>
      <c r="C94" s="6" t="s">
        <v>44</v>
      </c>
      <c r="D94" s="7">
        <v>20008657</v>
      </c>
      <c r="E94" s="6" t="s">
        <v>110</v>
      </c>
      <c r="F94" s="7">
        <v>1</v>
      </c>
      <c r="G94" s="9">
        <v>35</v>
      </c>
      <c r="H94" s="9">
        <v>35</v>
      </c>
    </row>
    <row r="95" spans="1:8">
      <c r="A95" s="10" t="s">
        <v>46</v>
      </c>
      <c r="B95" s="11"/>
      <c r="C95" s="11"/>
      <c r="D95" s="11"/>
      <c r="E95" s="11"/>
      <c r="F95" s="11"/>
      <c r="G95" s="12"/>
      <c r="H95" s="9">
        <f>SUM(H3:H94)</f>
        <v>5042</v>
      </c>
    </row>
    <row r="98" ht="18.75" spans="1:8">
      <c r="A98" s="14" t="s">
        <v>131</v>
      </c>
      <c r="B98" s="14"/>
      <c r="C98" s="14"/>
      <c r="D98" s="14"/>
      <c r="E98" s="14"/>
      <c r="F98" s="14"/>
      <c r="G98" s="14"/>
      <c r="H98" s="14"/>
    </row>
    <row r="99" spans="1:8">
      <c r="A99" s="15" t="s">
        <v>4</v>
      </c>
      <c r="B99" s="15" t="s">
        <v>5</v>
      </c>
      <c r="C99" s="15" t="s">
        <v>6</v>
      </c>
      <c r="D99" s="15" t="s">
        <v>7</v>
      </c>
      <c r="E99" s="15" t="s">
        <v>8</v>
      </c>
      <c r="F99" s="15" t="s">
        <v>9</v>
      </c>
      <c r="G99" s="15" t="s">
        <v>10</v>
      </c>
      <c r="H99" s="15" t="s">
        <v>11</v>
      </c>
    </row>
    <row r="100" spans="1:8">
      <c r="A100" s="5">
        <v>46182</v>
      </c>
      <c r="B100" s="6">
        <v>1610714</v>
      </c>
      <c r="C100" s="6" t="s">
        <v>132</v>
      </c>
      <c r="D100" s="7">
        <v>20004660</v>
      </c>
      <c r="E100" s="6" t="s">
        <v>133</v>
      </c>
      <c r="F100" s="7">
        <v>2</v>
      </c>
      <c r="G100" s="9">
        <v>30</v>
      </c>
      <c r="H100" s="9">
        <v>60</v>
      </c>
    </row>
    <row r="101" spans="1:8">
      <c r="A101" s="5">
        <v>46193</v>
      </c>
      <c r="B101" s="6">
        <v>1613784</v>
      </c>
      <c r="C101" s="6" t="s">
        <v>132</v>
      </c>
      <c r="D101" s="7">
        <v>20004660</v>
      </c>
      <c r="E101" s="6" t="s">
        <v>133</v>
      </c>
      <c r="F101" s="7">
        <v>3</v>
      </c>
      <c r="G101" s="9">
        <v>30</v>
      </c>
      <c r="H101" s="9">
        <v>90</v>
      </c>
    </row>
    <row r="102" spans="1:8">
      <c r="A102" s="13" t="s">
        <v>46</v>
      </c>
      <c r="B102" s="13"/>
      <c r="C102" s="13"/>
      <c r="D102" s="13"/>
      <c r="E102" s="13"/>
      <c r="F102" s="13"/>
      <c r="G102" s="13"/>
      <c r="H102" s="9">
        <f>SUM(H100:H101)</f>
        <v>150</v>
      </c>
    </row>
  </sheetData>
  <autoFilter xmlns:etc="http://www.wps.cn/officeDocument/2017/etCustomData" ref="A2:H95" etc:filterBottomFollowUsedRange="0">
    <extLst/>
  </autoFilter>
  <mergeCells count="4">
    <mergeCell ref="A1:H1"/>
    <mergeCell ref="A95:G95"/>
    <mergeCell ref="A98:H98"/>
    <mergeCell ref="A102:G102"/>
  </mergeCells>
  <pageMargins left="0.25" right="0.25" top="0.75" bottom="0.75" header="0.298611111111111" footer="0.298611111111111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3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125" customWidth="1"/>
  </cols>
  <sheetData>
    <row r="1" spans="1:11">
      <c r="C1" s="17" t="s">
        <v>0</v>
      </c>
    </row>
    <row r="2" ht="23.05" customHeight="1"/>
    <row r="3" ht="2" customHeight="1"/>
    <row r="4" ht="15.2" customHeight="1" spans="1:11">
      <c r="B4" s="18" t="s">
        <v>1</v>
      </c>
    </row>
    <row r="6" ht="2.95" customHeight="1"/>
    <row r="7" spans="1:11">
      <c r="A7" s="19" t="s">
        <v>2</v>
      </c>
      <c r="B7" s="20" t="s">
        <v>2</v>
      </c>
      <c r="C7" s="21" t="s">
        <v>2</v>
      </c>
      <c r="D7" s="22" t="s">
        <v>4</v>
      </c>
      <c r="E7" s="22" t="s">
        <v>5</v>
      </c>
      <c r="F7" s="22" t="s">
        <v>6</v>
      </c>
      <c r="G7" s="22" t="s">
        <v>7</v>
      </c>
      <c r="H7" s="22" t="s">
        <v>8</v>
      </c>
      <c r="I7" s="22" t="s">
        <v>9</v>
      </c>
      <c r="J7" s="22" t="s">
        <v>10</v>
      </c>
      <c r="K7" s="22" t="s">
        <v>11</v>
      </c>
    </row>
    <row r="8" ht="14.25" spans="1:11">
      <c r="D8" s="23" t="s">
        <v>134</v>
      </c>
      <c r="E8" s="24" t="s">
        <v>2</v>
      </c>
      <c r="F8" s="24" t="s">
        <v>2</v>
      </c>
      <c r="G8" s="24" t="s">
        <v>2</v>
      </c>
      <c r="H8" s="24" t="s">
        <v>2</v>
      </c>
      <c r="I8" s="25">
        <f>SUM(I9:I37)</f>
        <v>74</v>
      </c>
      <c r="J8" s="26"/>
      <c r="K8" s="26">
        <f>SUM(K9:K37)</f>
        <v>3137.5</v>
      </c>
    </row>
    <row r="9" spans="1:11">
      <c r="D9" s="27">
        <v>46174</v>
      </c>
      <c r="E9" s="28">
        <v>1608126</v>
      </c>
      <c r="F9" s="28" t="s">
        <v>32</v>
      </c>
      <c r="G9" s="29">
        <v>20004924</v>
      </c>
      <c r="H9" s="28" t="s">
        <v>135</v>
      </c>
      <c r="I9" s="29">
        <v>2</v>
      </c>
      <c r="J9" s="30">
        <v>44</v>
      </c>
      <c r="K9" s="30">
        <v>88</v>
      </c>
    </row>
    <row r="10" spans="1:11">
      <c r="D10" s="27">
        <v>46174</v>
      </c>
      <c r="E10" s="28">
        <v>1608126</v>
      </c>
      <c r="F10" s="28" t="s">
        <v>13</v>
      </c>
      <c r="G10" s="29">
        <v>20355874</v>
      </c>
      <c r="H10" s="28" t="s">
        <v>136</v>
      </c>
      <c r="I10" s="29">
        <v>1</v>
      </c>
      <c r="J10" s="30">
        <v>16.5</v>
      </c>
      <c r="K10" s="30">
        <v>16.5</v>
      </c>
    </row>
    <row r="11" spans="1:11">
      <c r="D11" s="27">
        <v>46174</v>
      </c>
      <c r="E11" s="28">
        <v>1608181</v>
      </c>
      <c r="F11" s="28" t="s">
        <v>32</v>
      </c>
      <c r="G11" s="29">
        <v>20004179</v>
      </c>
      <c r="H11" s="28" t="s">
        <v>137</v>
      </c>
      <c r="I11" s="29">
        <v>1</v>
      </c>
      <c r="J11" s="30">
        <v>44</v>
      </c>
      <c r="K11" s="30">
        <v>44</v>
      </c>
    </row>
    <row r="12" spans="1:11">
      <c r="D12" s="27">
        <v>46174</v>
      </c>
      <c r="E12" s="28">
        <v>1608181</v>
      </c>
      <c r="F12" s="28" t="s">
        <v>32</v>
      </c>
      <c r="G12" s="29">
        <v>20004924</v>
      </c>
      <c r="H12" s="28" t="s">
        <v>135</v>
      </c>
      <c r="I12" s="29">
        <v>1</v>
      </c>
      <c r="J12" s="30">
        <v>44</v>
      </c>
      <c r="K12" s="30">
        <v>44</v>
      </c>
    </row>
    <row r="13" spans="1:11">
      <c r="D13" s="27">
        <v>46174</v>
      </c>
      <c r="E13" s="28">
        <v>1608181</v>
      </c>
      <c r="F13" s="28" t="s">
        <v>19</v>
      </c>
      <c r="G13" s="29">
        <v>20004177</v>
      </c>
      <c r="H13" s="28" t="s">
        <v>138</v>
      </c>
      <c r="I13" s="29">
        <v>3</v>
      </c>
      <c r="J13" s="30">
        <v>44</v>
      </c>
      <c r="K13" s="30">
        <v>132</v>
      </c>
    </row>
    <row r="14" spans="1:11">
      <c r="D14" s="27">
        <v>46176</v>
      </c>
      <c r="E14" s="28">
        <v>1608926</v>
      </c>
      <c r="F14" s="28" t="s">
        <v>32</v>
      </c>
      <c r="G14" s="29">
        <v>20004179</v>
      </c>
      <c r="H14" s="28" t="s">
        <v>137</v>
      </c>
      <c r="I14" s="29">
        <v>5</v>
      </c>
      <c r="J14" s="30">
        <v>44</v>
      </c>
      <c r="K14" s="30">
        <v>220</v>
      </c>
    </row>
    <row r="15" spans="1:11">
      <c r="D15" s="27">
        <v>46176</v>
      </c>
      <c r="E15" s="28">
        <v>1608926</v>
      </c>
      <c r="F15" s="28" t="s">
        <v>32</v>
      </c>
      <c r="G15" s="29">
        <v>20004924</v>
      </c>
      <c r="H15" s="28" t="s">
        <v>135</v>
      </c>
      <c r="I15" s="29">
        <v>3</v>
      </c>
      <c r="J15" s="30">
        <v>44</v>
      </c>
      <c r="K15" s="30">
        <v>132</v>
      </c>
    </row>
    <row r="16" spans="1:11">
      <c r="D16" s="27">
        <v>46176</v>
      </c>
      <c r="E16" s="28">
        <v>1608926</v>
      </c>
      <c r="F16" s="28" t="s">
        <v>19</v>
      </c>
      <c r="G16" s="29">
        <v>20004177</v>
      </c>
      <c r="H16" s="28" t="s">
        <v>138</v>
      </c>
      <c r="I16" s="29">
        <v>5</v>
      </c>
      <c r="J16" s="30">
        <v>44</v>
      </c>
      <c r="K16" s="30">
        <v>220</v>
      </c>
    </row>
    <row r="17" spans="4:11">
      <c r="D17" s="27">
        <v>46182</v>
      </c>
      <c r="E17" s="28">
        <v>1610715</v>
      </c>
      <c r="F17" s="28" t="s">
        <v>32</v>
      </c>
      <c r="G17" s="29">
        <v>20004179</v>
      </c>
      <c r="H17" s="28" t="s">
        <v>137</v>
      </c>
      <c r="I17" s="29">
        <v>4</v>
      </c>
      <c r="J17" s="30">
        <v>44</v>
      </c>
      <c r="K17" s="30">
        <v>176</v>
      </c>
    </row>
    <row r="18" spans="4:11">
      <c r="D18" s="27">
        <v>46182</v>
      </c>
      <c r="E18" s="28">
        <v>1610715</v>
      </c>
      <c r="F18" s="28" t="s">
        <v>32</v>
      </c>
      <c r="G18" s="29">
        <v>20004924</v>
      </c>
      <c r="H18" s="28" t="s">
        <v>135</v>
      </c>
      <c r="I18" s="29">
        <v>4</v>
      </c>
      <c r="J18" s="30">
        <v>44</v>
      </c>
      <c r="K18" s="30">
        <v>176</v>
      </c>
    </row>
    <row r="19" spans="4:11">
      <c r="D19" s="27">
        <v>46182</v>
      </c>
      <c r="E19" s="28">
        <v>1610715</v>
      </c>
      <c r="F19" s="28" t="s">
        <v>13</v>
      </c>
      <c r="G19" s="29">
        <v>20359374</v>
      </c>
      <c r="H19" s="28" t="s">
        <v>29</v>
      </c>
      <c r="I19" s="29">
        <v>1</v>
      </c>
      <c r="J19" s="30">
        <v>8</v>
      </c>
      <c r="K19" s="30">
        <v>8</v>
      </c>
    </row>
    <row r="20" spans="4:11">
      <c r="D20" s="27">
        <v>46182</v>
      </c>
      <c r="E20" s="28">
        <v>1610715</v>
      </c>
      <c r="F20" s="28" t="s">
        <v>19</v>
      </c>
      <c r="G20" s="29">
        <v>20004177</v>
      </c>
      <c r="H20" s="28" t="s">
        <v>138</v>
      </c>
      <c r="I20" s="29">
        <v>3</v>
      </c>
      <c r="J20" s="30">
        <v>44</v>
      </c>
      <c r="K20" s="30">
        <v>132</v>
      </c>
    </row>
    <row r="21" spans="4:11">
      <c r="D21" s="27">
        <v>46184</v>
      </c>
      <c r="E21" s="28">
        <v>1611428</v>
      </c>
      <c r="F21" s="28" t="s">
        <v>32</v>
      </c>
      <c r="G21" s="29">
        <v>20004179</v>
      </c>
      <c r="H21" s="28" t="s">
        <v>137</v>
      </c>
      <c r="I21" s="29">
        <v>1</v>
      </c>
      <c r="J21" s="30">
        <v>44</v>
      </c>
      <c r="K21" s="30">
        <v>44</v>
      </c>
    </row>
    <row r="22" spans="4:11">
      <c r="D22" s="27">
        <v>46184</v>
      </c>
      <c r="E22" s="28">
        <v>1611428</v>
      </c>
      <c r="F22" s="28" t="s">
        <v>32</v>
      </c>
      <c r="G22" s="29">
        <v>20004924</v>
      </c>
      <c r="H22" s="28" t="s">
        <v>135</v>
      </c>
      <c r="I22" s="29">
        <v>2</v>
      </c>
      <c r="J22" s="30">
        <v>44</v>
      </c>
      <c r="K22" s="30">
        <v>88</v>
      </c>
    </row>
    <row r="23" spans="4:11">
      <c r="D23" s="27">
        <v>46184</v>
      </c>
      <c r="E23" s="28">
        <v>1611428</v>
      </c>
      <c r="F23" s="28" t="s">
        <v>19</v>
      </c>
      <c r="G23" s="29">
        <v>20004177</v>
      </c>
      <c r="H23" s="28" t="s">
        <v>138</v>
      </c>
      <c r="I23" s="29">
        <v>2</v>
      </c>
      <c r="J23" s="30">
        <v>44</v>
      </c>
      <c r="K23" s="30">
        <v>88</v>
      </c>
    </row>
    <row r="24" spans="4:11">
      <c r="D24" s="27">
        <v>46190</v>
      </c>
      <c r="E24" s="28">
        <v>1613113</v>
      </c>
      <c r="F24" s="28" t="s">
        <v>32</v>
      </c>
      <c r="G24" s="29">
        <v>20004179</v>
      </c>
      <c r="H24" s="28" t="s">
        <v>137</v>
      </c>
      <c r="I24" s="29">
        <v>4</v>
      </c>
      <c r="J24" s="30">
        <v>44</v>
      </c>
      <c r="K24" s="30">
        <v>176</v>
      </c>
    </row>
    <row r="25" spans="4:11">
      <c r="D25" s="27">
        <v>46190</v>
      </c>
      <c r="E25" s="28">
        <v>1613113</v>
      </c>
      <c r="F25" s="28" t="s">
        <v>32</v>
      </c>
      <c r="G25" s="29">
        <v>20004924</v>
      </c>
      <c r="H25" s="28" t="s">
        <v>135</v>
      </c>
      <c r="I25" s="29">
        <v>2</v>
      </c>
      <c r="J25" s="30">
        <v>44</v>
      </c>
      <c r="K25" s="30">
        <v>88</v>
      </c>
    </row>
    <row r="26" spans="4:11">
      <c r="D26" s="27">
        <v>46190</v>
      </c>
      <c r="E26" s="28">
        <v>1613113</v>
      </c>
      <c r="F26" s="28" t="s">
        <v>19</v>
      </c>
      <c r="G26" s="29">
        <v>20004177</v>
      </c>
      <c r="H26" s="28" t="s">
        <v>138</v>
      </c>
      <c r="I26" s="29">
        <v>2</v>
      </c>
      <c r="J26" s="30">
        <v>44</v>
      </c>
      <c r="K26" s="30">
        <v>88</v>
      </c>
    </row>
    <row r="27" spans="4:11">
      <c r="D27" s="27">
        <v>46195</v>
      </c>
      <c r="E27" s="28">
        <v>1614031</v>
      </c>
      <c r="F27" s="28" t="s">
        <v>32</v>
      </c>
      <c r="G27" s="29">
        <v>20004179</v>
      </c>
      <c r="H27" s="28" t="s">
        <v>137</v>
      </c>
      <c r="I27" s="29">
        <v>2</v>
      </c>
      <c r="J27" s="30">
        <v>44</v>
      </c>
      <c r="K27" s="30">
        <v>88</v>
      </c>
    </row>
    <row r="28" spans="4:11">
      <c r="D28" s="27">
        <v>46195</v>
      </c>
      <c r="E28" s="28">
        <v>1614031</v>
      </c>
      <c r="F28" s="28" t="s">
        <v>32</v>
      </c>
      <c r="G28" s="29">
        <v>20004924</v>
      </c>
      <c r="H28" s="28" t="s">
        <v>135</v>
      </c>
      <c r="I28" s="29">
        <v>4</v>
      </c>
      <c r="J28" s="30">
        <v>44</v>
      </c>
      <c r="K28" s="30">
        <v>176</v>
      </c>
    </row>
    <row r="29" spans="4:11">
      <c r="D29" s="27">
        <v>46195</v>
      </c>
      <c r="E29" s="28">
        <v>1614031</v>
      </c>
      <c r="F29" s="28" t="s">
        <v>13</v>
      </c>
      <c r="G29" s="29">
        <v>20004664</v>
      </c>
      <c r="H29" s="28" t="s">
        <v>139</v>
      </c>
      <c r="I29" s="29">
        <v>1</v>
      </c>
      <c r="J29" s="30">
        <v>16.5</v>
      </c>
      <c r="K29" s="30">
        <v>16.5</v>
      </c>
    </row>
    <row r="30" spans="4:11">
      <c r="D30" s="27">
        <v>46195</v>
      </c>
      <c r="E30" s="28">
        <v>1614031</v>
      </c>
      <c r="F30" s="28" t="s">
        <v>19</v>
      </c>
      <c r="G30" s="29">
        <v>20004177</v>
      </c>
      <c r="H30" s="28" t="s">
        <v>138</v>
      </c>
      <c r="I30" s="29">
        <v>4</v>
      </c>
      <c r="J30" s="30">
        <v>44</v>
      </c>
      <c r="K30" s="30">
        <v>176</v>
      </c>
    </row>
    <row r="31" spans="4:11">
      <c r="D31" s="27">
        <v>46195</v>
      </c>
      <c r="E31" s="28">
        <v>1614031</v>
      </c>
      <c r="F31" s="28" t="s">
        <v>21</v>
      </c>
      <c r="G31" s="29">
        <v>20009270</v>
      </c>
      <c r="H31" s="28" t="s">
        <v>140</v>
      </c>
      <c r="I31" s="29">
        <v>1</v>
      </c>
      <c r="J31" s="30">
        <v>16.5</v>
      </c>
      <c r="K31" s="30">
        <v>16.5</v>
      </c>
    </row>
    <row r="32" spans="4:11">
      <c r="D32" s="27">
        <v>46197</v>
      </c>
      <c r="E32" s="28">
        <v>1614795</v>
      </c>
      <c r="F32" s="28" t="s">
        <v>32</v>
      </c>
      <c r="G32" s="29">
        <v>20004179</v>
      </c>
      <c r="H32" s="28" t="s">
        <v>137</v>
      </c>
      <c r="I32" s="29">
        <v>3</v>
      </c>
      <c r="J32" s="30">
        <v>44</v>
      </c>
      <c r="K32" s="30">
        <v>132</v>
      </c>
    </row>
    <row r="33" spans="4:11">
      <c r="D33" s="27">
        <v>46197</v>
      </c>
      <c r="E33" s="28">
        <v>1614795</v>
      </c>
      <c r="F33" s="28" t="s">
        <v>32</v>
      </c>
      <c r="G33" s="29">
        <v>20004924</v>
      </c>
      <c r="H33" s="28" t="s">
        <v>135</v>
      </c>
      <c r="I33" s="29">
        <v>2</v>
      </c>
      <c r="J33" s="30">
        <v>44</v>
      </c>
      <c r="K33" s="30">
        <v>88</v>
      </c>
    </row>
    <row r="34" spans="4:11">
      <c r="D34" s="27">
        <v>46197</v>
      </c>
      <c r="E34" s="28">
        <v>1614795</v>
      </c>
      <c r="F34" s="28" t="s">
        <v>19</v>
      </c>
      <c r="G34" s="29">
        <v>20004177</v>
      </c>
      <c r="H34" s="28" t="s">
        <v>138</v>
      </c>
      <c r="I34" s="29">
        <v>3</v>
      </c>
      <c r="J34" s="30">
        <v>44</v>
      </c>
      <c r="K34" s="30">
        <v>132</v>
      </c>
    </row>
    <row r="35" spans="4:11">
      <c r="D35" s="27">
        <v>46202</v>
      </c>
      <c r="E35" s="28">
        <v>1615964</v>
      </c>
      <c r="F35" s="28" t="s">
        <v>32</v>
      </c>
      <c r="G35" s="29">
        <v>20004179</v>
      </c>
      <c r="H35" s="28" t="s">
        <v>137</v>
      </c>
      <c r="I35" s="29">
        <v>2</v>
      </c>
      <c r="J35" s="30">
        <v>44</v>
      </c>
      <c r="K35" s="30">
        <v>88</v>
      </c>
    </row>
    <row r="36" spans="4:11">
      <c r="D36" s="27">
        <v>46202</v>
      </c>
      <c r="E36" s="28">
        <v>1615964</v>
      </c>
      <c r="F36" s="28" t="s">
        <v>32</v>
      </c>
      <c r="G36" s="29">
        <v>20004924</v>
      </c>
      <c r="H36" s="28" t="s">
        <v>135</v>
      </c>
      <c r="I36" s="29">
        <v>3</v>
      </c>
      <c r="J36" s="30">
        <v>44</v>
      </c>
      <c r="K36" s="30">
        <v>132</v>
      </c>
    </row>
    <row r="37" spans="4:11">
      <c r="D37" s="27">
        <v>46202</v>
      </c>
      <c r="E37" s="28">
        <v>1615964</v>
      </c>
      <c r="F37" s="28" t="s">
        <v>19</v>
      </c>
      <c r="G37" s="29">
        <v>20004177</v>
      </c>
      <c r="H37" s="28" t="s">
        <v>138</v>
      </c>
      <c r="I37" s="29">
        <v>3</v>
      </c>
      <c r="J37" s="30">
        <v>44</v>
      </c>
      <c r="K37" s="30">
        <v>132</v>
      </c>
    </row>
    <row r="38" ht="0.05" customHeight="1"/>
  </sheetData>
  <autoFilter xmlns:etc="http://www.wps.cn/officeDocument/2017/etCustomData" ref="A7:K37" etc:filterBottomFollowUsedRange="0">
    <extLst/>
  </autoFilter>
  <mergeCells count="5">
    <mergeCell ref="D8:H8"/>
    <mergeCell ref="C7:C37"/>
    <mergeCell ref="B4:H5"/>
    <mergeCell ref="C1:H2"/>
    <mergeCell ref="A7:B37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15:16 
&amp;"-,Bold"&amp;10 黑龙江省铂康医疗灭菌有限公司 &amp;R&amp;"Droid Sans Fallback"&amp;9第&amp;P页，共&amp;N页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"/>
  <sheetViews>
    <sheetView view="pageBreakPreview" zoomScaleNormal="100" workbookViewId="0">
      <selection activeCell="E29" sqref="E29"/>
    </sheetView>
  </sheetViews>
  <sheetFormatPr defaultColWidth="9" defaultRowHeight="13.5" outlineLevelRow="5" outlineLevelCol="7"/>
  <cols>
    <col min="1" max="1" width="10" style="1" customWidth="1"/>
    <col min="2" max="2" width="8.93333333333333" style="1" customWidth="1"/>
    <col min="3" max="3" width="14.95" style="1" customWidth="1"/>
    <col min="4" max="4" width="9.36666666666667" style="1" customWidth="1"/>
    <col min="5" max="5" width="24.8166666666667" style="1" customWidth="1"/>
    <col min="6" max="6" width="6.475" style="1" customWidth="1"/>
    <col min="7" max="7" width="12.2083333333333" style="1" customWidth="1"/>
    <col min="8" max="8" width="12.375" style="1" customWidth="1"/>
    <col min="9" max="16384" width="9" style="1"/>
  </cols>
  <sheetData>
    <row r="1" s="1" customFormat="1" ht="36" customHeight="1" spans="1:8">
      <c r="A1" s="14" t="s">
        <v>141</v>
      </c>
      <c r="B1" s="14"/>
      <c r="C1" s="14"/>
      <c r="D1" s="14"/>
      <c r="E1" s="14"/>
      <c r="F1" s="14"/>
      <c r="G1" s="14"/>
      <c r="H1" s="14"/>
    </row>
    <row r="2" s="1" customFormat="1" spans="1:8">
      <c r="A2" s="15" t="s">
        <v>4</v>
      </c>
      <c r="B2" s="15" t="s">
        <v>5</v>
      </c>
      <c r="C2" s="15" t="s">
        <v>6</v>
      </c>
      <c r="D2" s="15" t="s">
        <v>7</v>
      </c>
      <c r="E2" s="15" t="s">
        <v>8</v>
      </c>
      <c r="F2" s="15" t="s">
        <v>9</v>
      </c>
      <c r="G2" s="15" t="s">
        <v>10</v>
      </c>
      <c r="H2" s="15" t="s">
        <v>11</v>
      </c>
    </row>
    <row r="3" s="1" customFormat="1" spans="1:8">
      <c r="A3" s="5">
        <v>46174</v>
      </c>
      <c r="B3" s="6">
        <v>1608251</v>
      </c>
      <c r="C3" s="6" t="s">
        <v>48</v>
      </c>
      <c r="D3" s="7">
        <v>20004272</v>
      </c>
      <c r="E3" s="6" t="s">
        <v>50</v>
      </c>
      <c r="F3" s="7">
        <v>4</v>
      </c>
      <c r="G3" s="9">
        <v>4</v>
      </c>
      <c r="H3" s="9">
        <v>16</v>
      </c>
    </row>
    <row r="4" s="1" customFormat="1" spans="1:8">
      <c r="A4" s="5">
        <v>46178</v>
      </c>
      <c r="B4" s="6">
        <v>1609691</v>
      </c>
      <c r="C4" s="6" t="s">
        <v>48</v>
      </c>
      <c r="D4" s="7">
        <v>20004272</v>
      </c>
      <c r="E4" s="6" t="s">
        <v>50</v>
      </c>
      <c r="F4" s="7">
        <v>4</v>
      </c>
      <c r="G4" s="9">
        <v>4</v>
      </c>
      <c r="H4" s="9">
        <v>16</v>
      </c>
    </row>
    <row r="5" s="1" customFormat="1" spans="1:8">
      <c r="A5" s="5">
        <v>46188</v>
      </c>
      <c r="B5" s="6">
        <v>1612303</v>
      </c>
      <c r="C5" s="6" t="s">
        <v>48</v>
      </c>
      <c r="D5" s="7">
        <v>20004272</v>
      </c>
      <c r="E5" s="6" t="s">
        <v>50</v>
      </c>
      <c r="F5" s="7">
        <v>9</v>
      </c>
      <c r="G5" s="9">
        <v>4</v>
      </c>
      <c r="H5" s="9">
        <v>36</v>
      </c>
    </row>
    <row r="6" s="1" customFormat="1" spans="1:8">
      <c r="A6" s="13" t="s">
        <v>46</v>
      </c>
      <c r="B6" s="13"/>
      <c r="C6" s="13"/>
      <c r="D6" s="13"/>
      <c r="E6" s="13"/>
      <c r="F6" s="13"/>
      <c r="G6" s="13"/>
      <c r="H6" s="16">
        <f>SUM(H3:H5)</f>
        <v>68</v>
      </c>
    </row>
  </sheetData>
  <mergeCells count="2">
    <mergeCell ref="A1:H1"/>
    <mergeCell ref="A6:G6"/>
  </mergeCells>
  <pageMargins left="0.25" right="0.25" top="0.75" bottom="0.75" header="0.298611111111111" footer="0.298611111111111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74"/>
  <sheetViews>
    <sheetView view="pageBreakPreview" zoomScaleNormal="100" workbookViewId="0">
      <selection activeCell="I2" sqref="I2"/>
    </sheetView>
  </sheetViews>
  <sheetFormatPr defaultColWidth="9" defaultRowHeight="13.5"/>
  <cols>
    <col min="1" max="1" width="10" style="1" customWidth="1"/>
    <col min="2" max="2" width="9" style="1"/>
    <col min="3" max="3" width="15.75" style="1" customWidth="1"/>
    <col min="4" max="4" width="14.25" style="1" customWidth="1"/>
    <col min="5" max="5" width="27.75" style="1" customWidth="1"/>
    <col min="6" max="6" width="7.75" style="1" customWidth="1"/>
    <col min="7" max="7" width="8.875" style="1" customWidth="1"/>
    <col min="8" max="8" width="11.625" style="1" customWidth="1"/>
    <col min="9" max="16378" width="9" style="1"/>
  </cols>
  <sheetData>
    <row r="1" s="1" customFormat="1" ht="40" customHeight="1" spans="1:9">
      <c r="A1" s="2" t="s">
        <v>142</v>
      </c>
      <c r="B1" s="2"/>
      <c r="C1" s="2"/>
      <c r="D1" s="2"/>
      <c r="E1" s="2"/>
      <c r="F1" s="2"/>
      <c r="G1" s="2"/>
      <c r="H1" s="2"/>
      <c r="I1" s="1">
        <f>500+1314.38+641.25+1406.25</f>
        <v>3861.88</v>
      </c>
    </row>
    <row r="2" s="1" customFormat="1" customHeight="1" spans="1:9">
      <c r="A2" s="3" t="s">
        <v>143</v>
      </c>
      <c r="B2" s="3"/>
      <c r="C2" s="3"/>
      <c r="D2" s="3"/>
      <c r="E2" s="3"/>
      <c r="F2" s="3"/>
      <c r="G2" s="3"/>
      <c r="H2" s="3"/>
    </row>
    <row r="3" s="1" customFormat="1" customHeight="1" spans="1:9">
      <c r="A3" s="3"/>
      <c r="B3" s="3"/>
      <c r="C3" s="3"/>
      <c r="D3" s="3"/>
      <c r="E3" s="3"/>
      <c r="F3" s="3"/>
      <c r="G3" s="3"/>
      <c r="H3" s="3"/>
    </row>
    <row r="4" s="1" customFormat="1" customHeight="1" spans="1:9">
      <c r="A4" s="3"/>
      <c r="B4" s="3"/>
      <c r="C4" s="3"/>
      <c r="D4" s="3"/>
      <c r="E4" s="3"/>
      <c r="F4" s="3"/>
      <c r="G4" s="3"/>
      <c r="H4" s="3"/>
      <c r="I4" s="1">
        <f>H10+H38+H56+H74</f>
        <v>2951</v>
      </c>
    </row>
    <row r="5" s="1" customFormat="1" customHeight="1" spans="1:9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1">
        <f>2951*1.25</f>
        <v>3688.75</v>
      </c>
    </row>
    <row r="6" spans="1:9">
      <c r="A6" s="5">
        <v>46174</v>
      </c>
      <c r="B6" s="6">
        <v>1608280</v>
      </c>
      <c r="C6" s="6" t="s">
        <v>19</v>
      </c>
      <c r="D6" s="7">
        <v>20013627</v>
      </c>
      <c r="E6" s="6" t="s">
        <v>65</v>
      </c>
      <c r="F6" s="8">
        <v>1</v>
      </c>
      <c r="G6" s="9">
        <v>82.5</v>
      </c>
      <c r="H6" s="9">
        <f>G6*F6</f>
        <v>82.5</v>
      </c>
    </row>
    <row r="7" spans="1:9">
      <c r="A7" s="5">
        <v>46174</v>
      </c>
      <c r="B7" s="6">
        <v>1608364</v>
      </c>
      <c r="C7" s="6" t="s">
        <v>44</v>
      </c>
      <c r="D7" s="7">
        <v>20005099</v>
      </c>
      <c r="E7" s="6" t="s">
        <v>108</v>
      </c>
      <c r="F7" s="8">
        <v>1</v>
      </c>
      <c r="G7" s="9">
        <v>88</v>
      </c>
      <c r="H7" s="9">
        <f>G7*F7</f>
        <v>88</v>
      </c>
    </row>
    <row r="8" spans="1:9">
      <c r="A8" s="5">
        <v>46174</v>
      </c>
      <c r="B8" s="6">
        <v>1608364</v>
      </c>
      <c r="C8" s="6" t="s">
        <v>44</v>
      </c>
      <c r="D8" s="7">
        <v>20004218</v>
      </c>
      <c r="E8" s="6" t="s">
        <v>109</v>
      </c>
      <c r="F8" s="8">
        <v>1</v>
      </c>
      <c r="G8" s="9">
        <v>35</v>
      </c>
      <c r="H8" s="9">
        <f>G8*F8</f>
        <v>35</v>
      </c>
    </row>
    <row r="9" spans="1:9">
      <c r="A9" s="5">
        <v>46174</v>
      </c>
      <c r="B9" s="6">
        <v>1608364</v>
      </c>
      <c r="C9" s="6" t="s">
        <v>44</v>
      </c>
      <c r="D9" s="7">
        <v>20014742</v>
      </c>
      <c r="E9" s="6" t="s">
        <v>144</v>
      </c>
      <c r="F9" s="8">
        <v>2</v>
      </c>
      <c r="G9" s="9">
        <v>28</v>
      </c>
      <c r="H9" s="9">
        <f>G9*F9</f>
        <v>56</v>
      </c>
    </row>
    <row r="10" spans="1:9">
      <c r="A10" s="10" t="s">
        <v>46</v>
      </c>
      <c r="B10" s="11"/>
      <c r="C10" s="11"/>
      <c r="D10" s="11"/>
      <c r="E10" s="11"/>
      <c r="F10" s="11"/>
      <c r="G10" s="12"/>
      <c r="H10" s="9">
        <f>SUM(H6:H9)</f>
        <v>261.5</v>
      </c>
    </row>
    <row r="13" spans="1:9">
      <c r="A13" s="3" t="s">
        <v>145</v>
      </c>
      <c r="B13" s="3"/>
      <c r="C13" s="3"/>
      <c r="D13" s="3"/>
      <c r="E13" s="3"/>
      <c r="F13" s="3"/>
      <c r="G13" s="3"/>
      <c r="H13" s="3"/>
    </row>
    <row r="14" spans="1:9">
      <c r="A14" s="3"/>
      <c r="B14" s="3"/>
      <c r="C14" s="3"/>
      <c r="D14" s="3"/>
      <c r="E14" s="3"/>
      <c r="F14" s="3"/>
      <c r="G14" s="3"/>
      <c r="H14" s="3"/>
    </row>
    <row r="15" spans="1:9">
      <c r="A15" s="3"/>
      <c r="B15" s="3"/>
      <c r="C15" s="3"/>
      <c r="D15" s="3"/>
      <c r="E15" s="3"/>
      <c r="F15" s="3"/>
      <c r="G15" s="3"/>
      <c r="H15" s="3"/>
    </row>
    <row r="16" spans="1:9">
      <c r="A16" s="4" t="s">
        <v>4</v>
      </c>
      <c r="B16" s="4" t="s">
        <v>5</v>
      </c>
      <c r="C16" s="4" t="s">
        <v>6</v>
      </c>
      <c r="D16" s="4" t="s">
        <v>7</v>
      </c>
      <c r="E16" s="4" t="s">
        <v>8</v>
      </c>
      <c r="F16" s="4" t="s">
        <v>9</v>
      </c>
      <c r="G16" s="4" t="s">
        <v>10</v>
      </c>
      <c r="H16" s="4" t="s">
        <v>11</v>
      </c>
    </row>
    <row r="17" spans="1:8">
      <c r="A17" s="5">
        <v>46180</v>
      </c>
      <c r="B17" s="6">
        <v>1610054</v>
      </c>
      <c r="C17" s="6" t="s">
        <v>44</v>
      </c>
      <c r="D17" s="7">
        <v>20014742</v>
      </c>
      <c r="E17" s="6" t="s">
        <v>105</v>
      </c>
      <c r="F17" s="8">
        <v>1</v>
      </c>
      <c r="G17" s="9">
        <v>28</v>
      </c>
      <c r="H17" s="9">
        <f t="shared" ref="H17:H22" si="0">G17*F17</f>
        <v>28</v>
      </c>
    </row>
    <row r="18" spans="1:8">
      <c r="A18" s="5">
        <v>46180</v>
      </c>
      <c r="B18" s="6">
        <v>1610054</v>
      </c>
      <c r="C18" s="6" t="s">
        <v>44</v>
      </c>
      <c r="D18" s="7">
        <v>20367682</v>
      </c>
      <c r="E18" s="6" t="s">
        <v>146</v>
      </c>
      <c r="F18" s="8">
        <v>2</v>
      </c>
      <c r="G18" s="9">
        <v>22</v>
      </c>
      <c r="H18" s="9">
        <f t="shared" si="0"/>
        <v>44</v>
      </c>
    </row>
    <row r="19" spans="1:8">
      <c r="A19" s="5">
        <v>46180</v>
      </c>
      <c r="B19" s="6">
        <v>1610054</v>
      </c>
      <c r="C19" s="6" t="s">
        <v>44</v>
      </c>
      <c r="D19" s="7">
        <v>20005099</v>
      </c>
      <c r="E19" s="6" t="s">
        <v>108</v>
      </c>
      <c r="F19" s="8">
        <v>1</v>
      </c>
      <c r="G19" s="9">
        <v>88</v>
      </c>
      <c r="H19" s="9">
        <f t="shared" si="0"/>
        <v>88</v>
      </c>
    </row>
    <row r="20" spans="1:8">
      <c r="A20" s="5">
        <v>46180</v>
      </c>
      <c r="B20" s="6">
        <v>1610054</v>
      </c>
      <c r="C20" s="6" t="s">
        <v>44</v>
      </c>
      <c r="D20" s="7">
        <v>20004218</v>
      </c>
      <c r="E20" s="6" t="s">
        <v>109</v>
      </c>
      <c r="F20" s="8">
        <v>2</v>
      </c>
      <c r="G20" s="9">
        <v>35</v>
      </c>
      <c r="H20" s="9">
        <f t="shared" si="0"/>
        <v>70</v>
      </c>
    </row>
    <row r="21" spans="1:8">
      <c r="A21" s="5">
        <v>46180</v>
      </c>
      <c r="B21" s="6">
        <v>1610054</v>
      </c>
      <c r="C21" s="6" t="s">
        <v>44</v>
      </c>
      <c r="D21" s="7">
        <v>20008657</v>
      </c>
      <c r="E21" s="6" t="s">
        <v>110</v>
      </c>
      <c r="F21" s="8">
        <v>2</v>
      </c>
      <c r="G21" s="9">
        <v>35</v>
      </c>
      <c r="H21" s="9">
        <f t="shared" si="0"/>
        <v>70</v>
      </c>
    </row>
    <row r="22" spans="1:8">
      <c r="A22" s="5">
        <v>46180</v>
      </c>
      <c r="B22" s="6">
        <v>1610054</v>
      </c>
      <c r="C22" s="6" t="s">
        <v>119</v>
      </c>
      <c r="D22" s="7">
        <v>20005093</v>
      </c>
      <c r="E22" s="6" t="s">
        <v>120</v>
      </c>
      <c r="F22" s="8">
        <v>1</v>
      </c>
      <c r="G22" s="9">
        <v>66</v>
      </c>
      <c r="H22" s="9">
        <f t="shared" si="0"/>
        <v>66</v>
      </c>
    </row>
    <row r="23" spans="1:8">
      <c r="A23" s="5">
        <v>46180</v>
      </c>
      <c r="B23" s="6">
        <v>1610061</v>
      </c>
      <c r="C23" s="6" t="s">
        <v>21</v>
      </c>
      <c r="D23" s="7">
        <v>20004181</v>
      </c>
      <c r="E23" s="6" t="s">
        <v>39</v>
      </c>
      <c r="F23" s="8">
        <v>3</v>
      </c>
      <c r="G23" s="9">
        <v>22</v>
      </c>
      <c r="H23" s="9">
        <v>66</v>
      </c>
    </row>
    <row r="24" spans="1:8">
      <c r="A24" s="5">
        <v>46180</v>
      </c>
      <c r="B24" s="6">
        <v>1610061</v>
      </c>
      <c r="C24" s="6" t="s">
        <v>21</v>
      </c>
      <c r="D24" s="7">
        <v>20011352</v>
      </c>
      <c r="E24" s="6" t="s">
        <v>31</v>
      </c>
      <c r="F24" s="8">
        <v>2</v>
      </c>
      <c r="G24" s="9">
        <v>27.5</v>
      </c>
      <c r="H24" s="9">
        <v>55</v>
      </c>
    </row>
    <row r="25" spans="1:8">
      <c r="A25" s="5">
        <v>46180</v>
      </c>
      <c r="B25" s="6">
        <v>1610062</v>
      </c>
      <c r="C25" s="6" t="s">
        <v>13</v>
      </c>
      <c r="D25" s="7">
        <v>20005572</v>
      </c>
      <c r="E25" s="6" t="s">
        <v>14</v>
      </c>
      <c r="F25" s="8">
        <v>1</v>
      </c>
      <c r="G25" s="9">
        <v>11</v>
      </c>
      <c r="H25" s="9">
        <f t="shared" ref="H25:H37" si="1">G25*F25</f>
        <v>11</v>
      </c>
    </row>
    <row r="26" spans="1:8">
      <c r="A26" s="5">
        <v>46180</v>
      </c>
      <c r="B26" s="6">
        <v>1610062</v>
      </c>
      <c r="C26" s="6" t="s">
        <v>13</v>
      </c>
      <c r="D26" s="7">
        <v>20428515</v>
      </c>
      <c r="E26" s="6" t="s">
        <v>69</v>
      </c>
      <c r="F26" s="8">
        <v>1</v>
      </c>
      <c r="G26" s="9">
        <v>16</v>
      </c>
      <c r="H26" s="9">
        <f t="shared" si="1"/>
        <v>16</v>
      </c>
    </row>
    <row r="27" spans="1:8">
      <c r="A27" s="5">
        <v>46180</v>
      </c>
      <c r="B27" s="6">
        <v>1610062</v>
      </c>
      <c r="C27" s="6" t="s">
        <v>13</v>
      </c>
      <c r="D27" s="7">
        <v>20004215</v>
      </c>
      <c r="E27" s="6" t="s">
        <v>15</v>
      </c>
      <c r="F27" s="8">
        <v>1</v>
      </c>
      <c r="G27" s="9">
        <v>8</v>
      </c>
      <c r="H27" s="9">
        <f t="shared" si="1"/>
        <v>8</v>
      </c>
    </row>
    <row r="28" spans="1:8">
      <c r="A28" s="5">
        <v>46180</v>
      </c>
      <c r="B28" s="6">
        <v>1610062</v>
      </c>
      <c r="C28" s="6" t="s">
        <v>13</v>
      </c>
      <c r="D28" s="7">
        <v>20014728</v>
      </c>
      <c r="E28" s="6" t="s">
        <v>41</v>
      </c>
      <c r="F28" s="8">
        <v>1</v>
      </c>
      <c r="G28" s="9">
        <v>22</v>
      </c>
      <c r="H28" s="9">
        <f t="shared" si="1"/>
        <v>22</v>
      </c>
    </row>
    <row r="29" spans="1:8">
      <c r="A29" s="5">
        <v>46180</v>
      </c>
      <c r="B29" s="6">
        <v>1610062</v>
      </c>
      <c r="C29" s="6" t="s">
        <v>13</v>
      </c>
      <c r="D29" s="7">
        <v>20359374</v>
      </c>
      <c r="E29" s="6" t="s">
        <v>29</v>
      </c>
      <c r="F29" s="8">
        <v>3</v>
      </c>
      <c r="G29" s="9">
        <v>8</v>
      </c>
      <c r="H29" s="9">
        <f t="shared" si="1"/>
        <v>24</v>
      </c>
    </row>
    <row r="30" spans="1:8">
      <c r="A30" s="5">
        <v>46180</v>
      </c>
      <c r="B30" s="6">
        <v>1610062</v>
      </c>
      <c r="C30" s="6" t="s">
        <v>13</v>
      </c>
      <c r="D30" s="7">
        <v>20007692</v>
      </c>
      <c r="E30" s="6" t="s">
        <v>38</v>
      </c>
      <c r="F30" s="8">
        <v>1</v>
      </c>
      <c r="G30" s="9">
        <v>8</v>
      </c>
      <c r="H30" s="9">
        <f t="shared" si="1"/>
        <v>8</v>
      </c>
    </row>
    <row r="31" spans="1:8">
      <c r="A31" s="5">
        <v>46180</v>
      </c>
      <c r="B31" s="6">
        <v>1610062</v>
      </c>
      <c r="C31" s="6" t="s">
        <v>13</v>
      </c>
      <c r="D31" s="7">
        <v>20005552</v>
      </c>
      <c r="E31" s="6" t="s">
        <v>75</v>
      </c>
      <c r="F31" s="8">
        <v>1</v>
      </c>
      <c r="G31" s="9">
        <v>8</v>
      </c>
      <c r="H31" s="9">
        <f t="shared" si="1"/>
        <v>8</v>
      </c>
    </row>
    <row r="32" spans="1:8">
      <c r="A32" s="5">
        <v>46180</v>
      </c>
      <c r="B32" s="6">
        <v>1610062</v>
      </c>
      <c r="C32" s="6" t="s">
        <v>19</v>
      </c>
      <c r="D32" s="7">
        <v>20013627</v>
      </c>
      <c r="E32" s="6" t="s">
        <v>65</v>
      </c>
      <c r="F32" s="8">
        <v>3</v>
      </c>
      <c r="G32" s="9">
        <v>82.5</v>
      </c>
      <c r="H32" s="9">
        <f t="shared" si="1"/>
        <v>247.5</v>
      </c>
    </row>
    <row r="33" spans="1:8">
      <c r="A33" s="5">
        <v>46180</v>
      </c>
      <c r="B33" s="6">
        <v>1610062</v>
      </c>
      <c r="C33" s="6" t="s">
        <v>19</v>
      </c>
      <c r="D33" s="7">
        <v>20004189</v>
      </c>
      <c r="E33" s="6" t="s">
        <v>67</v>
      </c>
      <c r="F33" s="8">
        <v>1</v>
      </c>
      <c r="G33" s="9">
        <v>99</v>
      </c>
      <c r="H33" s="9">
        <f t="shared" si="1"/>
        <v>99</v>
      </c>
    </row>
    <row r="34" spans="1:8">
      <c r="A34" s="5">
        <v>46180</v>
      </c>
      <c r="B34" s="6">
        <v>1610062</v>
      </c>
      <c r="C34" s="6" t="s">
        <v>21</v>
      </c>
      <c r="D34" s="7">
        <v>20004169</v>
      </c>
      <c r="E34" s="6" t="s">
        <v>61</v>
      </c>
      <c r="F34" s="8">
        <v>1</v>
      </c>
      <c r="G34" s="9">
        <v>16.5</v>
      </c>
      <c r="H34" s="9">
        <f t="shared" si="1"/>
        <v>16.5</v>
      </c>
    </row>
    <row r="35" spans="1:8">
      <c r="A35" s="5">
        <v>46180</v>
      </c>
      <c r="B35" s="6">
        <v>1610062</v>
      </c>
      <c r="C35" s="6" t="s">
        <v>21</v>
      </c>
      <c r="D35" s="7">
        <v>20014156</v>
      </c>
      <c r="E35" s="6" t="s">
        <v>84</v>
      </c>
      <c r="F35" s="8">
        <v>1</v>
      </c>
      <c r="G35" s="9">
        <v>33</v>
      </c>
      <c r="H35" s="9">
        <f t="shared" si="1"/>
        <v>33</v>
      </c>
    </row>
    <row r="36" spans="1:8">
      <c r="A36" s="5">
        <v>46180</v>
      </c>
      <c r="B36" s="6">
        <v>1610062</v>
      </c>
      <c r="C36" s="6" t="s">
        <v>21</v>
      </c>
      <c r="D36" s="7">
        <v>20007708</v>
      </c>
      <c r="E36" s="6" t="s">
        <v>60</v>
      </c>
      <c r="F36" s="8">
        <v>1</v>
      </c>
      <c r="G36" s="9">
        <v>55</v>
      </c>
      <c r="H36" s="9">
        <f t="shared" si="1"/>
        <v>55</v>
      </c>
    </row>
    <row r="37" spans="1:8">
      <c r="A37" s="5">
        <v>46180</v>
      </c>
      <c r="B37" s="6">
        <v>1610062</v>
      </c>
      <c r="C37" s="6" t="s">
        <v>21</v>
      </c>
      <c r="D37" s="7">
        <v>20004161</v>
      </c>
      <c r="E37" s="6" t="s">
        <v>68</v>
      </c>
      <c r="F37" s="8">
        <v>1</v>
      </c>
      <c r="G37" s="9">
        <v>16.5</v>
      </c>
      <c r="H37" s="9">
        <f t="shared" si="1"/>
        <v>16.5</v>
      </c>
    </row>
    <row r="38" spans="1:8">
      <c r="A38" s="13" t="s">
        <v>46</v>
      </c>
      <c r="B38" s="13"/>
      <c r="C38" s="13"/>
      <c r="D38" s="13"/>
      <c r="E38" s="13"/>
      <c r="F38" s="13"/>
      <c r="G38" s="13"/>
      <c r="H38" s="9">
        <f>SUM(H17:H37)</f>
        <v>1051.5</v>
      </c>
    </row>
    <row r="41" spans="1:8">
      <c r="A41" s="3" t="s">
        <v>147</v>
      </c>
      <c r="B41" s="3"/>
      <c r="C41" s="3"/>
      <c r="D41" s="3"/>
      <c r="E41" s="3"/>
      <c r="F41" s="3"/>
      <c r="G41" s="3"/>
      <c r="H41" s="3"/>
    </row>
    <row r="42" spans="1:8">
      <c r="A42" s="3"/>
      <c r="B42" s="3"/>
      <c r="C42" s="3"/>
      <c r="D42" s="3"/>
      <c r="E42" s="3"/>
      <c r="F42" s="3"/>
      <c r="G42" s="3"/>
      <c r="H42" s="3"/>
    </row>
    <row r="43" spans="1:8">
      <c r="A43" s="3"/>
      <c r="B43" s="3"/>
      <c r="C43" s="3"/>
      <c r="D43" s="3"/>
      <c r="E43" s="3"/>
      <c r="F43" s="3"/>
      <c r="G43" s="3"/>
      <c r="H43" s="3"/>
    </row>
    <row r="44" spans="1:8">
      <c r="A44" s="4" t="s">
        <v>4</v>
      </c>
      <c r="B44" s="4" t="s">
        <v>5</v>
      </c>
      <c r="C44" s="4" t="s">
        <v>6</v>
      </c>
      <c r="D44" s="4" t="s">
        <v>7</v>
      </c>
      <c r="E44" s="4" t="s">
        <v>8</v>
      </c>
      <c r="F44" s="4" t="s">
        <v>9</v>
      </c>
      <c r="G44" s="4" t="s">
        <v>10</v>
      </c>
      <c r="H44" s="4" t="s">
        <v>11</v>
      </c>
    </row>
    <row r="45" spans="1:8">
      <c r="A45" s="5">
        <v>46195</v>
      </c>
      <c r="B45" s="6">
        <v>1614229</v>
      </c>
      <c r="C45" s="6" t="s">
        <v>44</v>
      </c>
      <c r="D45" s="7">
        <v>20014742</v>
      </c>
      <c r="E45" s="6" t="s">
        <v>105</v>
      </c>
      <c r="F45" s="8">
        <v>1</v>
      </c>
      <c r="G45" s="9">
        <v>28</v>
      </c>
      <c r="H45" s="9">
        <f t="shared" ref="H45:H55" si="2">G45*F45</f>
        <v>28</v>
      </c>
    </row>
    <row r="46" spans="1:8">
      <c r="A46" s="5">
        <v>46195</v>
      </c>
      <c r="B46" s="6">
        <v>1614229</v>
      </c>
      <c r="C46" s="6" t="s">
        <v>44</v>
      </c>
      <c r="D46" s="7">
        <v>20408418</v>
      </c>
      <c r="E46" s="6" t="s">
        <v>106</v>
      </c>
      <c r="F46" s="8">
        <v>1</v>
      </c>
      <c r="G46" s="9">
        <v>35</v>
      </c>
      <c r="H46" s="9">
        <f t="shared" si="2"/>
        <v>35</v>
      </c>
    </row>
    <row r="47" spans="1:8">
      <c r="A47" s="5">
        <v>46195</v>
      </c>
      <c r="B47" s="6">
        <v>1614229</v>
      </c>
      <c r="C47" s="6" t="s">
        <v>44</v>
      </c>
      <c r="D47" s="7">
        <v>20354960</v>
      </c>
      <c r="E47" s="6" t="s">
        <v>121</v>
      </c>
      <c r="F47" s="8">
        <v>1</v>
      </c>
      <c r="G47" s="9">
        <v>25</v>
      </c>
      <c r="H47" s="9">
        <f t="shared" si="2"/>
        <v>25</v>
      </c>
    </row>
    <row r="48" spans="1:8">
      <c r="A48" s="5">
        <v>46195</v>
      </c>
      <c r="B48" s="6">
        <v>1614229</v>
      </c>
      <c r="C48" s="6" t="s">
        <v>44</v>
      </c>
      <c r="D48" s="7">
        <v>20315651</v>
      </c>
      <c r="E48" s="6" t="s">
        <v>122</v>
      </c>
      <c r="F48" s="8">
        <v>1</v>
      </c>
      <c r="G48" s="9">
        <v>25</v>
      </c>
      <c r="H48" s="9">
        <f t="shared" si="2"/>
        <v>25</v>
      </c>
    </row>
    <row r="49" spans="1:8">
      <c r="A49" s="5">
        <v>46195</v>
      </c>
      <c r="B49" s="6">
        <v>1614229</v>
      </c>
      <c r="C49" s="6" t="s">
        <v>44</v>
      </c>
      <c r="D49" s="7">
        <v>20354890</v>
      </c>
      <c r="E49" s="6" t="s">
        <v>102</v>
      </c>
      <c r="F49" s="8">
        <v>1</v>
      </c>
      <c r="G49" s="9">
        <v>44</v>
      </c>
      <c r="H49" s="9">
        <f t="shared" si="2"/>
        <v>44</v>
      </c>
    </row>
    <row r="50" spans="1:8">
      <c r="A50" s="5">
        <v>46195</v>
      </c>
      <c r="B50" s="6">
        <v>1614229</v>
      </c>
      <c r="C50" s="6" t="s">
        <v>44</v>
      </c>
      <c r="D50" s="7">
        <v>20367439</v>
      </c>
      <c r="E50" s="6" t="s">
        <v>115</v>
      </c>
      <c r="F50" s="8">
        <v>1</v>
      </c>
      <c r="G50" s="9">
        <v>44</v>
      </c>
      <c r="H50" s="9">
        <f t="shared" si="2"/>
        <v>44</v>
      </c>
    </row>
    <row r="51" spans="1:8">
      <c r="A51" s="5">
        <v>46195</v>
      </c>
      <c r="B51" s="6">
        <v>1614229</v>
      </c>
      <c r="C51" s="6" t="s">
        <v>44</v>
      </c>
      <c r="D51" s="7">
        <v>20005099</v>
      </c>
      <c r="E51" s="6" t="s">
        <v>108</v>
      </c>
      <c r="F51" s="8">
        <v>1</v>
      </c>
      <c r="G51" s="9">
        <v>88</v>
      </c>
      <c r="H51" s="9">
        <f t="shared" si="2"/>
        <v>88</v>
      </c>
    </row>
    <row r="52" spans="1:8">
      <c r="A52" s="5">
        <v>46195</v>
      </c>
      <c r="B52" s="6">
        <v>1614229</v>
      </c>
      <c r="C52" s="6" t="s">
        <v>44</v>
      </c>
      <c r="D52" s="7">
        <v>20004218</v>
      </c>
      <c r="E52" s="6" t="s">
        <v>109</v>
      </c>
      <c r="F52" s="8">
        <v>1</v>
      </c>
      <c r="G52" s="9">
        <v>35</v>
      </c>
      <c r="H52" s="9">
        <f t="shared" si="2"/>
        <v>35</v>
      </c>
    </row>
    <row r="53" spans="1:8">
      <c r="A53" s="5">
        <v>46195</v>
      </c>
      <c r="B53" s="6">
        <v>1614229</v>
      </c>
      <c r="C53" s="6" t="s">
        <v>44</v>
      </c>
      <c r="D53" s="7">
        <v>20008235</v>
      </c>
      <c r="E53" s="6" t="s">
        <v>103</v>
      </c>
      <c r="F53" s="8">
        <v>1</v>
      </c>
      <c r="G53" s="9">
        <v>110</v>
      </c>
      <c r="H53" s="9">
        <f t="shared" si="2"/>
        <v>110</v>
      </c>
    </row>
    <row r="54" spans="1:8">
      <c r="A54" s="5">
        <v>46195</v>
      </c>
      <c r="B54" s="6">
        <v>1614229</v>
      </c>
      <c r="C54" s="6" t="s">
        <v>44</v>
      </c>
      <c r="D54" s="7">
        <v>20004870</v>
      </c>
      <c r="E54" s="6" t="s">
        <v>104</v>
      </c>
      <c r="F54" s="8">
        <v>1</v>
      </c>
      <c r="G54" s="9">
        <v>35</v>
      </c>
      <c r="H54" s="9">
        <f t="shared" si="2"/>
        <v>35</v>
      </c>
    </row>
    <row r="55" spans="1:8">
      <c r="A55" s="5">
        <v>46195</v>
      </c>
      <c r="B55" s="6">
        <v>1614229</v>
      </c>
      <c r="C55" s="6" t="s">
        <v>44</v>
      </c>
      <c r="D55" s="7">
        <v>20365781</v>
      </c>
      <c r="E55" s="6" t="s">
        <v>124</v>
      </c>
      <c r="F55" s="8">
        <v>1</v>
      </c>
      <c r="G55" s="9">
        <v>44</v>
      </c>
      <c r="H55" s="9">
        <f t="shared" si="2"/>
        <v>44</v>
      </c>
    </row>
    <row r="56" spans="1:8">
      <c r="A56" s="13" t="s">
        <v>46</v>
      </c>
      <c r="B56" s="13"/>
      <c r="C56" s="13"/>
      <c r="D56" s="13"/>
      <c r="E56" s="13"/>
      <c r="F56" s="13"/>
      <c r="G56" s="13"/>
      <c r="H56" s="9">
        <f>SUM(H45:H55)</f>
        <v>513</v>
      </c>
    </row>
    <row r="59" spans="1:8">
      <c r="A59" s="3" t="s">
        <v>148</v>
      </c>
      <c r="B59" s="3"/>
      <c r="C59" s="3"/>
      <c r="D59" s="3"/>
      <c r="E59" s="3"/>
      <c r="F59" s="3"/>
      <c r="G59" s="3"/>
      <c r="H59" s="3"/>
    </row>
    <row r="60" spans="1:8">
      <c r="A60" s="3"/>
      <c r="B60" s="3"/>
      <c r="C60" s="3"/>
      <c r="D60" s="3"/>
      <c r="E60" s="3"/>
      <c r="F60" s="3"/>
      <c r="G60" s="3"/>
      <c r="H60" s="3"/>
    </row>
    <row r="61" spans="1:8">
      <c r="A61" s="3"/>
      <c r="B61" s="3"/>
      <c r="C61" s="3"/>
      <c r="D61" s="3"/>
      <c r="E61" s="3"/>
      <c r="F61" s="3"/>
      <c r="G61" s="3"/>
      <c r="H61" s="3"/>
    </row>
    <row r="62" spans="1:8">
      <c r="A62" s="4" t="s">
        <v>4</v>
      </c>
      <c r="B62" s="4" t="s">
        <v>5</v>
      </c>
      <c r="C62" s="4" t="s">
        <v>6</v>
      </c>
      <c r="D62" s="4" t="s">
        <v>7</v>
      </c>
      <c r="E62" s="4" t="s">
        <v>8</v>
      </c>
      <c r="F62" s="4" t="s">
        <v>9</v>
      </c>
      <c r="G62" s="4" t="s">
        <v>10</v>
      </c>
      <c r="H62" s="4" t="s">
        <v>11</v>
      </c>
    </row>
    <row r="63" spans="1:8">
      <c r="A63" s="5">
        <v>46196</v>
      </c>
      <c r="B63" s="6">
        <v>1614608</v>
      </c>
      <c r="C63" s="6" t="s">
        <v>44</v>
      </c>
      <c r="D63" s="7">
        <v>20014742</v>
      </c>
      <c r="E63" s="6" t="s">
        <v>105</v>
      </c>
      <c r="F63" s="8">
        <v>2</v>
      </c>
      <c r="G63" s="9">
        <v>28</v>
      </c>
      <c r="H63" s="9">
        <f t="shared" ref="H63:H73" si="3">G63*F63</f>
        <v>56</v>
      </c>
    </row>
    <row r="64" spans="1:8">
      <c r="A64" s="5">
        <v>46196</v>
      </c>
      <c r="B64" s="6">
        <v>1614608</v>
      </c>
      <c r="C64" s="6" t="s">
        <v>44</v>
      </c>
      <c r="D64" s="7">
        <v>20408418</v>
      </c>
      <c r="E64" s="6" t="s">
        <v>106</v>
      </c>
      <c r="F64" s="8">
        <v>3</v>
      </c>
      <c r="G64" s="9">
        <v>35</v>
      </c>
      <c r="H64" s="9">
        <f t="shared" si="3"/>
        <v>105</v>
      </c>
    </row>
    <row r="65" spans="1:8">
      <c r="A65" s="5">
        <v>46196</v>
      </c>
      <c r="B65" s="6">
        <v>1614608</v>
      </c>
      <c r="C65" s="6" t="s">
        <v>44</v>
      </c>
      <c r="D65" s="7">
        <v>20326334</v>
      </c>
      <c r="E65" s="6" t="s">
        <v>101</v>
      </c>
      <c r="F65" s="8">
        <v>3</v>
      </c>
      <c r="G65" s="9">
        <v>28</v>
      </c>
      <c r="H65" s="9">
        <f t="shared" si="3"/>
        <v>84</v>
      </c>
    </row>
    <row r="66" spans="1:8">
      <c r="A66" s="5">
        <v>46196</v>
      </c>
      <c r="B66" s="6">
        <v>1614608</v>
      </c>
      <c r="C66" s="6" t="s">
        <v>44</v>
      </c>
      <c r="D66" s="7">
        <v>20010868</v>
      </c>
      <c r="E66" s="6" t="s">
        <v>107</v>
      </c>
      <c r="F66" s="8">
        <v>1</v>
      </c>
      <c r="G66" s="9">
        <v>28</v>
      </c>
      <c r="H66" s="9">
        <f t="shared" si="3"/>
        <v>28</v>
      </c>
    </row>
    <row r="67" spans="1:8">
      <c r="A67" s="5">
        <v>46196</v>
      </c>
      <c r="B67" s="6">
        <v>1614608</v>
      </c>
      <c r="C67" s="6" t="s">
        <v>44</v>
      </c>
      <c r="D67" s="7">
        <v>20354890</v>
      </c>
      <c r="E67" s="6" t="s">
        <v>102</v>
      </c>
      <c r="F67" s="8">
        <v>3</v>
      </c>
      <c r="G67" s="9">
        <v>44</v>
      </c>
      <c r="H67" s="9">
        <f t="shared" si="3"/>
        <v>132</v>
      </c>
    </row>
    <row r="68" spans="1:8">
      <c r="A68" s="5">
        <v>46196</v>
      </c>
      <c r="B68" s="6">
        <v>1614608</v>
      </c>
      <c r="C68" s="6" t="s">
        <v>44</v>
      </c>
      <c r="D68" s="7">
        <v>20359205</v>
      </c>
      <c r="E68" s="6" t="s">
        <v>112</v>
      </c>
      <c r="F68" s="8">
        <v>1</v>
      </c>
      <c r="G68" s="9">
        <v>30</v>
      </c>
      <c r="H68" s="9">
        <f t="shared" si="3"/>
        <v>30</v>
      </c>
    </row>
    <row r="69" spans="1:8">
      <c r="A69" s="5">
        <v>46196</v>
      </c>
      <c r="B69" s="6">
        <v>1614608</v>
      </c>
      <c r="C69" s="6" t="s">
        <v>44</v>
      </c>
      <c r="D69" s="7">
        <v>20367439</v>
      </c>
      <c r="E69" s="6" t="s">
        <v>115</v>
      </c>
      <c r="F69" s="8">
        <v>1</v>
      </c>
      <c r="G69" s="9">
        <v>44</v>
      </c>
      <c r="H69" s="9">
        <f t="shared" si="3"/>
        <v>44</v>
      </c>
    </row>
    <row r="70" spans="1:8">
      <c r="A70" s="5">
        <v>46196</v>
      </c>
      <c r="B70" s="6">
        <v>1614608</v>
      </c>
      <c r="C70" s="6" t="s">
        <v>44</v>
      </c>
      <c r="D70" s="7">
        <v>20005099</v>
      </c>
      <c r="E70" s="6" t="s">
        <v>108</v>
      </c>
      <c r="F70" s="8">
        <v>2</v>
      </c>
      <c r="G70" s="9">
        <v>88</v>
      </c>
      <c r="H70" s="9">
        <f t="shared" si="3"/>
        <v>176</v>
      </c>
    </row>
    <row r="71" spans="1:8">
      <c r="A71" s="5">
        <v>46196</v>
      </c>
      <c r="B71" s="6">
        <v>1614608</v>
      </c>
      <c r="C71" s="6" t="s">
        <v>44</v>
      </c>
      <c r="D71" s="7">
        <v>20004218</v>
      </c>
      <c r="E71" s="6" t="s">
        <v>109</v>
      </c>
      <c r="F71" s="8">
        <v>1</v>
      </c>
      <c r="G71" s="9">
        <v>35</v>
      </c>
      <c r="H71" s="9">
        <f t="shared" si="3"/>
        <v>35</v>
      </c>
    </row>
    <row r="72" spans="1:8">
      <c r="A72" s="5">
        <v>46196</v>
      </c>
      <c r="B72" s="6">
        <v>1614608</v>
      </c>
      <c r="C72" s="6" t="s">
        <v>44</v>
      </c>
      <c r="D72" s="7">
        <v>20008235</v>
      </c>
      <c r="E72" s="6" t="s">
        <v>103</v>
      </c>
      <c r="F72" s="8">
        <v>3</v>
      </c>
      <c r="G72" s="9">
        <v>110</v>
      </c>
      <c r="H72" s="9">
        <f t="shared" si="3"/>
        <v>330</v>
      </c>
    </row>
    <row r="73" spans="1:8">
      <c r="A73" s="5">
        <v>46196</v>
      </c>
      <c r="B73" s="6">
        <v>1614608</v>
      </c>
      <c r="C73" s="6" t="s">
        <v>44</v>
      </c>
      <c r="D73" s="7">
        <v>20004870</v>
      </c>
      <c r="E73" s="6" t="s">
        <v>104</v>
      </c>
      <c r="F73" s="8">
        <v>3</v>
      </c>
      <c r="G73" s="9">
        <v>35</v>
      </c>
      <c r="H73" s="9">
        <f t="shared" si="3"/>
        <v>105</v>
      </c>
    </row>
    <row r="74" spans="1:8">
      <c r="A74" s="13" t="s">
        <v>46</v>
      </c>
      <c r="B74" s="13"/>
      <c r="C74" s="13"/>
      <c r="D74" s="13"/>
      <c r="E74" s="13"/>
      <c r="F74" s="13"/>
      <c r="G74" s="13"/>
      <c r="H74" s="9">
        <f>SUM(H63:H73)</f>
        <v>1125</v>
      </c>
    </row>
  </sheetData>
  <mergeCells count="9">
    <mergeCell ref="A1:H1"/>
    <mergeCell ref="A10:G10"/>
    <mergeCell ref="A38:G38"/>
    <mergeCell ref="A56:G56"/>
    <mergeCell ref="A74:G74"/>
    <mergeCell ref="A2:H4"/>
    <mergeCell ref="A13:H15"/>
    <mergeCell ref="A41:H43"/>
    <mergeCell ref="A59:H61"/>
  </mergeCells>
  <pageMargins left="0.25" right="0.25" top="0.75" bottom="0.75" header="0.298611111111111" footer="0.298611111111111"/>
  <pageSetup paperSize="9" scale="96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妇产科</vt:lpstr>
      <vt:lpstr>妇产科低温敷料</vt:lpstr>
      <vt:lpstr>口腔</vt:lpstr>
      <vt:lpstr>手术室</vt:lpstr>
      <vt:lpstr>手术室低温敷料</vt:lpstr>
      <vt:lpstr>外科</vt:lpstr>
      <vt:lpstr>外科低温敷料</vt:lpstr>
      <vt:lpstr>加急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2026-07-02T07:16:00Z</dcterms:created>
  <dcterms:modified xsi:type="dcterms:W3CDTF">2026-07-06T07:26:00Z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D23F08AE947F4E3089CC934E2F518EE9_13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