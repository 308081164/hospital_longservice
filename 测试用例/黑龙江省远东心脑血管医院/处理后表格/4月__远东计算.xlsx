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0" windowHeight="12585"/>
  </bookViews>
  <sheets>
    <sheet name="汇总" sheetId="11" r:id="rId1"/>
    <sheet name="4.1" sheetId="2" r:id="rId2"/>
    <sheet name="4.2" sheetId="4" r:id="rId3"/>
    <sheet name="4.3" sheetId="6" r:id="rId4"/>
    <sheet name="4.8" sheetId="7" r:id="rId5"/>
    <sheet name="4.9" sheetId="8" r:id="rId6"/>
    <sheet name="4.10" sheetId="9" r:id="rId7"/>
    <sheet name="4.13" sheetId="10" r:id="rId8"/>
    <sheet name="4.14" sheetId="12" r:id="rId9"/>
    <sheet name="4.15" sheetId="13" r:id="rId10"/>
    <sheet name="4.17" sheetId="14" r:id="rId11"/>
    <sheet name="4.20" sheetId="15" r:id="rId12"/>
    <sheet name="4.21" sheetId="16" r:id="rId13"/>
    <sheet name="4.23" sheetId="17" r:id="rId14"/>
    <sheet name="4.27" sheetId="18" r:id="rId15"/>
    <sheet name="4.28" sheetId="20" r:id="rId16"/>
    <sheet name="4.29" sheetId="21" r:id="rId17"/>
    <sheet name="4.30" sheetId="22" r:id="rId18"/>
    <sheet name="加急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<sst xmlns="http://schemas.openxmlformats.org/spreadsheetml/2006/main" count="1971" uniqueCount="159">
  <si>
    <t>序号</t>
  </si>
  <si>
    <t>日期</t>
  </si>
  <si>
    <t>金额</t>
  </si>
  <si>
    <t>加急</t>
  </si>
  <si>
    <t>合计</t>
  </si>
  <si>
    <t>远东心脑血管病医院</t>
  </si>
  <si>
    <t>黑龙江省远东心脑血管医院手术室2026年4月1日加急灭菌费1799.5+1799.5*25%=2249.38元，加急物流费150元，合计金额2399.38元。</t>
  </si>
  <si>
    <t>小开腹</t>
  </si>
  <si>
    <t>表单号</t>
  </si>
  <si>
    <t>1591152 1591153 1591281</t>
  </si>
  <si>
    <t>日期：2026年4月1日</t>
  </si>
  <si>
    <t>自动拉钩</t>
  </si>
  <si>
    <t>发货日期</t>
  </si>
  <si>
    <t>发货单号</t>
  </si>
  <si>
    <t>基本类型</t>
  </si>
  <si>
    <t>类型</t>
  </si>
  <si>
    <t>包编号</t>
  </si>
  <si>
    <t>包名</t>
  </si>
  <si>
    <t>数量</t>
  </si>
  <si>
    <t>单价</t>
  </si>
  <si>
    <t>器械包名称</t>
  </si>
  <si>
    <t>包数</t>
  </si>
  <si>
    <t>效期</t>
  </si>
  <si>
    <t>钢丝</t>
  </si>
  <si>
    <t>骨科租赁器械包</t>
  </si>
  <si>
    <t>骨科租赁器械包-不带植入物</t>
  </si>
  <si>
    <t>李淑珍-腰椎间盘突出1/3</t>
  </si>
  <si>
    <t>脑包</t>
  </si>
  <si>
    <t>180天</t>
  </si>
  <si>
    <t>手术衣</t>
  </si>
  <si>
    <t>手术室垫片</t>
  </si>
  <si>
    <t>骨科租赁器械包-带植入物</t>
  </si>
  <si>
    <t>李淑珍-腰椎间盘突出3/3</t>
  </si>
  <si>
    <t>体表包</t>
  </si>
  <si>
    <t>刷手服</t>
  </si>
  <si>
    <t>心脏补片</t>
  </si>
  <si>
    <t>李淑珍-腰椎间盘突出2/3</t>
  </si>
  <si>
    <t>体外器械</t>
  </si>
  <si>
    <t>中小单</t>
  </si>
  <si>
    <t>急诊包</t>
  </si>
  <si>
    <t>清洗机</t>
  </si>
  <si>
    <t>开腹包</t>
  </si>
  <si>
    <t>脑孔单</t>
  </si>
  <si>
    <t>纱布、鞋带、手套</t>
  </si>
  <si>
    <t>灭菌锅</t>
  </si>
  <si>
    <t>钻孔包</t>
  </si>
  <si>
    <t>开腹孔单</t>
  </si>
  <si>
    <t>棉球</t>
  </si>
  <si>
    <t>生物监测</t>
  </si>
  <si>
    <t>下肢包</t>
  </si>
  <si>
    <t>刷手盒</t>
  </si>
  <si>
    <t>绷带</t>
  </si>
  <si>
    <t>血管器械包</t>
  </si>
  <si>
    <t>盆</t>
  </si>
  <si>
    <t>棉垫</t>
  </si>
  <si>
    <t>签字：</t>
  </si>
  <si>
    <t>回执签字：</t>
  </si>
  <si>
    <t>气管切开包（二）</t>
  </si>
  <si>
    <t>镊子缸包</t>
  </si>
  <si>
    <t>远东器械不足十件  按27元/件收取</t>
  </si>
  <si>
    <t>弯盘-2/Z2032</t>
  </si>
  <si>
    <t>刷手巾</t>
  </si>
  <si>
    <t>硬通道</t>
  </si>
  <si>
    <t>颅钛网</t>
  </si>
  <si>
    <t>痔加件</t>
  </si>
  <si>
    <t>十字螺钉</t>
  </si>
  <si>
    <t>垂体包</t>
  </si>
  <si>
    <t>动脉瘤夹</t>
  </si>
  <si>
    <t>起搏包</t>
  </si>
  <si>
    <t>换瓣加件</t>
  </si>
  <si>
    <t>骨科基础</t>
  </si>
  <si>
    <t>麻醉服</t>
  </si>
  <si>
    <t>体外加件</t>
  </si>
  <si>
    <t>钛片</t>
  </si>
  <si>
    <t>腔镜包</t>
  </si>
  <si>
    <t>夹层加体包</t>
  </si>
  <si>
    <t>ICU舌钳子</t>
  </si>
  <si>
    <t>心外孔单</t>
  </si>
  <si>
    <t>缝合包</t>
  </si>
  <si>
    <t>开胸包</t>
  </si>
  <si>
    <t>组件</t>
  </si>
  <si>
    <t>DSA下肢取检包</t>
  </si>
  <si>
    <t>自动开腹拉钩包</t>
  </si>
  <si>
    <t>切开包</t>
  </si>
  <si>
    <t>ICU气切包</t>
  </si>
  <si>
    <t>吻合器械</t>
  </si>
  <si>
    <t>ICU开口器</t>
  </si>
  <si>
    <t>开腹拉钩</t>
  </si>
  <si>
    <t>钛板</t>
  </si>
  <si>
    <t>开口器</t>
  </si>
  <si>
    <t>肝脏拉钩</t>
  </si>
  <si>
    <t>植入物生物监测</t>
  </si>
  <si>
    <t>灭菌锅金额</t>
  </si>
  <si>
    <t>清洗机金额</t>
  </si>
  <si>
    <t>合计金额</t>
  </si>
  <si>
    <t>大写金额</t>
  </si>
  <si>
    <t>1591467 1591521 1591468 1591522</t>
  </si>
  <si>
    <t>日期：2026年4月2日</t>
  </si>
  <si>
    <t xml:space="preserve"> </t>
  </si>
  <si>
    <t>椎管加体</t>
  </si>
  <si>
    <t>舌钳子</t>
  </si>
  <si>
    <t>1591912 1591913 1592013</t>
  </si>
  <si>
    <t>日期：2026年4月3日</t>
  </si>
  <si>
    <t>剪刀-1/Z1026</t>
  </si>
  <si>
    <t>电钻头-2/z1020</t>
  </si>
  <si>
    <t>气钻-1/W9050</t>
  </si>
  <si>
    <r>
      <rPr>
        <sz val="11"/>
        <color theme="1"/>
        <rFont val="宋体"/>
        <charset val="134"/>
        <scheme val="minor"/>
      </rPr>
      <t>蛇牌椎板钳</t>
    </r>
    <r>
      <rPr>
        <sz val="10"/>
        <color rgb="FF000000"/>
        <rFont val="Droid Sans Fallback"/>
        <charset val="134"/>
      </rPr>
      <t>-1/Z1530</t>
    </r>
  </si>
  <si>
    <r>
      <rPr>
        <sz val="11"/>
        <color theme="1"/>
        <rFont val="宋体"/>
        <charset val="134"/>
        <scheme val="minor"/>
      </rPr>
      <t>脑棉板</t>
    </r>
    <r>
      <rPr>
        <sz val="10"/>
        <color rgb="FF000000"/>
        <rFont val="Droid Sans Fallback"/>
        <charset val="134"/>
      </rPr>
      <t>-1/W6050</t>
    </r>
  </si>
  <si>
    <r>
      <rPr>
        <sz val="11"/>
        <color theme="1"/>
        <rFont val="宋体"/>
        <charset val="134"/>
        <scheme val="minor"/>
      </rPr>
      <t>小乳突撑开器</t>
    </r>
    <r>
      <rPr>
        <sz val="10"/>
        <color rgb="FF000000"/>
        <rFont val="Droid Sans Fallback"/>
        <charset val="134"/>
      </rPr>
      <t>-1/Z1026</t>
    </r>
  </si>
  <si>
    <t>电钻-1/w705060</t>
  </si>
  <si>
    <t>持针器-1/z1029</t>
  </si>
  <si>
    <r>
      <rPr>
        <sz val="11"/>
        <color theme="1"/>
        <rFont val="宋体"/>
        <charset val="134"/>
        <scheme val="minor"/>
      </rPr>
      <t>麻杯</t>
    </r>
    <r>
      <rPr>
        <sz val="10"/>
        <color rgb="FF000000"/>
        <rFont val="Droid Sans Fallback"/>
        <charset val="134"/>
      </rPr>
      <t>-1/Z1526</t>
    </r>
  </si>
  <si>
    <t>气钻头-2/z1020</t>
  </si>
  <si>
    <r>
      <rPr>
        <sz val="11"/>
        <color theme="1"/>
        <rFont val="宋体"/>
        <charset val="134"/>
        <scheme val="minor"/>
      </rPr>
      <t>羊角钩</t>
    </r>
    <r>
      <rPr>
        <sz val="10"/>
        <color rgb="FF000000"/>
        <rFont val="Droid Sans Fallback"/>
        <charset val="134"/>
      </rPr>
      <t>-1/W6050</t>
    </r>
  </si>
  <si>
    <t>1592915 1592916 1592917</t>
  </si>
  <si>
    <t>日期：2026年4月8日</t>
  </si>
  <si>
    <t>日期：2026年4月9日</t>
  </si>
  <si>
    <t>1593756 1593757</t>
  </si>
  <si>
    <t>日期：2026年4月10日</t>
  </si>
  <si>
    <t>指甲刀-1/Z1026</t>
  </si>
  <si>
    <r>
      <rPr>
        <sz val="11"/>
        <color theme="1"/>
        <rFont val="宋体"/>
        <charset val="134"/>
        <scheme val="minor"/>
      </rPr>
      <t>神经剥离子</t>
    </r>
    <r>
      <rPr>
        <sz val="10"/>
        <color rgb="FF000000"/>
        <rFont val="Droid Sans Fallback"/>
        <charset val="134"/>
      </rPr>
      <t>-1/z7526</t>
    </r>
  </si>
  <si>
    <r>
      <rPr>
        <sz val="11"/>
        <color theme="1"/>
        <rFont val="宋体"/>
        <charset val="134"/>
        <scheme val="minor"/>
      </rPr>
      <t>取瘤钳</t>
    </r>
    <r>
      <rPr>
        <sz val="10"/>
        <color rgb="FF000000"/>
        <rFont val="Droid Sans Fallback"/>
        <charset val="134"/>
      </rPr>
      <t>/Z1530</t>
    </r>
  </si>
  <si>
    <t>吸引器-1/Z7534</t>
  </si>
  <si>
    <t>1594451 1594323 1594324 1594452</t>
  </si>
  <si>
    <t>日期：2026年4月13日</t>
  </si>
  <si>
    <t>止血钳-1/Z1029</t>
  </si>
  <si>
    <t>剪刀-1/z1029</t>
  </si>
  <si>
    <t>头钉-4/Z1526</t>
  </si>
  <si>
    <t>A夹持器-1/z1035</t>
  </si>
  <si>
    <t>1594748 1594770</t>
  </si>
  <si>
    <t>日期：2026年4月14日</t>
  </si>
  <si>
    <t>小乳突撑开器-1/Z1026</t>
  </si>
  <si>
    <t>钛板剪-1/z1526</t>
  </si>
  <si>
    <t>螺丝刀-1/Z1029</t>
  </si>
  <si>
    <t>脑棉板-1/W6050</t>
  </si>
  <si>
    <t>钛板束型钳-1/W6050</t>
  </si>
  <si>
    <t>日期：2026年4月15日</t>
  </si>
  <si>
    <t>枪钳-1/z1526</t>
  </si>
  <si>
    <t>1595891 1595892 1595893</t>
  </si>
  <si>
    <t>日期：2026年4月17日</t>
  </si>
  <si>
    <t>椎板咬骨钳-1/z2032</t>
  </si>
  <si>
    <t>乳突拉钩-1/z1530</t>
  </si>
  <si>
    <t>搭桥显微器械</t>
  </si>
  <si>
    <t>1596438 1596440 1596441</t>
  </si>
  <si>
    <t>日期：2026年4月20日</t>
  </si>
  <si>
    <t>头皮拉钩-3件（架1）/w6050</t>
  </si>
  <si>
    <t>1596803 1596804</t>
  </si>
  <si>
    <t>日期：2026年4月21日</t>
  </si>
  <si>
    <t>日期：2026年4月23日</t>
  </si>
  <si>
    <t>1598517 1598518</t>
  </si>
  <si>
    <t>日期：2026年4月27日</t>
  </si>
  <si>
    <t>1598870 1598871 1598872</t>
  </si>
  <si>
    <t>日期：2026年4月28日</t>
  </si>
  <si>
    <t>日期：2026年4月29日</t>
  </si>
  <si>
    <t>电钻头-1/z7526</t>
  </si>
  <si>
    <t>铣刀头-2件/Z1026</t>
  </si>
  <si>
    <t>1599439 1599440 1599755 1599756</t>
  </si>
  <si>
    <t>日期：2026年4月30日</t>
  </si>
  <si>
    <t>黑龙江省远东心脑血管医院手术室2026年3月5日加急灭菌费1799.5+1799.5*25%=2249.38元，加急物流费150元，合计金额2399.38元。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</si>
</sst>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yyyy/m/d"/>
  </numFmts>
  <fonts count="28">
    <font>
      <sz val="1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37">
    <xf numFmtId="0" fontId="0" fillId="0" borderId="0" xfId="0" applyFont="1" applyFill="1" applyBorder="1" applyAlignment="1"/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76" fontId="2" fillId="0" borderId="1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F3" sqref="F3"/>
    </sheetView>
  </sheetViews>
  <sheetFormatPr defaultColWidth="9" defaultRowHeight="13.5" outlineLevelCol="5"/>
  <cols>
    <col min="2" max="2" width="16.375" customWidth="1"/>
    <col min="3" max="3" width="17.625" customWidth="1"/>
  </cols>
  <sheetData>
    <row r="1" s="32" customFormat="1" ht="18" customHeight="1" spans="1:6">
      <c r="A1" s="33" t="s">
        <v>0</v>
      </c>
      <c r="B1" s="33" t="s">
        <v>1</v>
      </c>
      <c r="C1" s="34" t="s">
        <v>2</v>
      </c>
    </row>
    <row r="2" customFormat="1" ht="18" customHeight="1" spans="1:6">
      <c r="A2" s="33">
        <v>1</v>
      </c>
      <c r="B2" s="35">
        <v>46113</v>
      </c>
      <c r="C2" s="36">
        <f>D2+E2</f>
        <v>3284.38</v>
      </c>
      <c r="D2">
        <v>1035</v>
      </c>
      <c r="E2">
        <v>2249.38</v>
      </c>
      <c r="F2" t="s">
        <v>3</v>
      </c>
    </row>
    <row r="3" customFormat="1" ht="18" customHeight="1" spans="1:6">
      <c r="A3" s="33">
        <v>2</v>
      </c>
      <c r="B3" s="35">
        <v>46114</v>
      </c>
      <c r="C3" s="36">
        <v>135</v>
      </c>
    </row>
    <row r="4" customFormat="1" ht="18" customHeight="1" spans="1:6">
      <c r="A4" s="33">
        <v>3</v>
      </c>
      <c r="B4" s="35">
        <v>46115</v>
      </c>
      <c r="C4" s="36">
        <v>1384.2</v>
      </c>
    </row>
    <row r="5" customFormat="1" ht="18" customHeight="1" spans="1:6">
      <c r="A5" s="33">
        <v>4</v>
      </c>
      <c r="B5" s="35">
        <v>46120</v>
      </c>
      <c r="C5" s="36">
        <v>1553.4</v>
      </c>
    </row>
    <row r="6" customFormat="1" ht="18" customHeight="1" spans="1:6">
      <c r="A6" s="33">
        <v>5</v>
      </c>
      <c r="B6" s="35">
        <v>46121</v>
      </c>
      <c r="C6" s="36">
        <v>108</v>
      </c>
    </row>
    <row r="7" customFormat="1" ht="18" customHeight="1" spans="1:6">
      <c r="A7" s="33">
        <v>6</v>
      </c>
      <c r="B7" s="35">
        <v>46122</v>
      </c>
      <c r="C7" s="36">
        <v>1303.2</v>
      </c>
    </row>
    <row r="8" customFormat="1" ht="18" customHeight="1" spans="1:6">
      <c r="A8" s="33">
        <v>7</v>
      </c>
      <c r="B8" s="35">
        <v>46125</v>
      </c>
      <c r="C8" s="36">
        <v>1357.2</v>
      </c>
    </row>
    <row r="9" customFormat="1" ht="18" customHeight="1" spans="1:6">
      <c r="A9" s="33">
        <v>8</v>
      </c>
      <c r="B9" s="35">
        <v>46126</v>
      </c>
      <c r="C9" s="36">
        <v>1395</v>
      </c>
    </row>
    <row r="10" customFormat="1" ht="18" customHeight="1" spans="1:6">
      <c r="A10" s="33">
        <v>9</v>
      </c>
      <c r="B10" s="35">
        <v>46127</v>
      </c>
      <c r="C10" s="36">
        <v>1245.6</v>
      </c>
    </row>
    <row r="11" customFormat="1" ht="18" customHeight="1" spans="1:6">
      <c r="A11" s="33">
        <v>10</v>
      </c>
      <c r="B11" s="35">
        <v>46129</v>
      </c>
      <c r="C11" s="36">
        <v>1633.7</v>
      </c>
    </row>
    <row r="12" customFormat="1" ht="18" customHeight="1" spans="1:6">
      <c r="A12" s="33">
        <v>11</v>
      </c>
      <c r="B12" s="35">
        <v>46132</v>
      </c>
      <c r="C12" s="36">
        <v>1540.8</v>
      </c>
    </row>
    <row r="13" customFormat="1" ht="18" customHeight="1" spans="1:6">
      <c r="A13" s="33">
        <v>12</v>
      </c>
      <c r="B13" s="35">
        <v>46133</v>
      </c>
      <c r="C13" s="36">
        <v>1194.3</v>
      </c>
    </row>
    <row r="14" customFormat="1" ht="18" customHeight="1" spans="1:6">
      <c r="A14" s="33">
        <v>13</v>
      </c>
      <c r="B14" s="35">
        <v>46135</v>
      </c>
      <c r="C14" s="36">
        <v>1028.7</v>
      </c>
    </row>
    <row r="15" customFormat="1" ht="18" customHeight="1" spans="1:6">
      <c r="A15" s="33">
        <v>14</v>
      </c>
      <c r="B15" s="35">
        <v>46139</v>
      </c>
      <c r="C15" s="36">
        <v>1487.7</v>
      </c>
    </row>
    <row r="16" customFormat="1" ht="18" customHeight="1" spans="1:6">
      <c r="A16" s="33">
        <v>15</v>
      </c>
      <c r="B16" s="35">
        <v>46140</v>
      </c>
      <c r="C16" s="36">
        <f>9*27</f>
        <v>243</v>
      </c>
    </row>
    <row r="17" customFormat="1" ht="18" customHeight="1" spans="1:3">
      <c r="A17" s="33">
        <v>16</v>
      </c>
      <c r="B17" s="35">
        <v>46141</v>
      </c>
      <c r="C17" s="36">
        <v>1462.7</v>
      </c>
    </row>
    <row r="18" customFormat="1" ht="18" customHeight="1" spans="1:3">
      <c r="A18" s="33">
        <v>17</v>
      </c>
      <c r="B18" s="35">
        <v>46142</v>
      </c>
      <c r="C18" s="36">
        <v>1008.9</v>
      </c>
    </row>
    <row r="19" customFormat="1" ht="18" customHeight="1" spans="1:3">
      <c r="A19" s="33" t="s">
        <v>4</v>
      </c>
      <c r="B19" s="33"/>
      <c r="C19" s="36">
        <f>SUM(C2:C18)</f>
        <v>21365.78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3"/>
  <sheetViews>
    <sheetView zoomScale="85" zoomScaleNormal="85" workbookViewId="0">
      <selection activeCell="Q25" sqref="Q25"/>
    </sheetView>
  </sheetViews>
  <sheetFormatPr defaultColWidth="9" defaultRowHeight="13.5"/>
  <cols>
    <col min="1" max="1" width="5.25" style="20" customWidth="1"/>
    <col min="2" max="2" width="25.1416666666667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7" width="9" style="20"/>
    <col min="18" max="18" width="9.70833333333333" style="20" customWidth="1"/>
    <col min="19" max="19" width="14.8" style="20" customWidth="1"/>
    <col min="20" max="20" width="10.875" style="20" customWidth="1"/>
    <col min="21" max="21" width="22.4916666666667" style="20" customWidth="1"/>
    <col min="22" max="22" width="7.76666666666667" style="20" customWidth="1"/>
    <col min="23" max="16384" width="9" style="20"/>
  </cols>
  <sheetData>
    <row r="1" s="20" customFormat="1" ht="21.95" customHeight="1" spans="2:24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  <c r="P1" s="1" t="s">
        <v>6</v>
      </c>
      <c r="Q1" s="1"/>
      <c r="R1" s="1"/>
      <c r="S1" s="1"/>
      <c r="T1" s="1"/>
      <c r="U1" s="1"/>
      <c r="V1" s="1"/>
      <c r="W1" s="1"/>
      <c r="X1" s="2"/>
    </row>
    <row r="2" s="20" customFormat="1" ht="21.95" customHeight="1" spans="2:24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  <c r="P2" s="1"/>
      <c r="Q2" s="1"/>
      <c r="R2" s="1"/>
      <c r="S2" s="1"/>
      <c r="T2" s="1"/>
      <c r="U2" s="1"/>
      <c r="V2" s="1"/>
      <c r="W2" s="1"/>
      <c r="X2" s="2"/>
    </row>
    <row r="3" s="20" customFormat="1" ht="21.95" customHeight="1" spans="2:24">
      <c r="B3" s="9" t="s">
        <v>8</v>
      </c>
      <c r="C3" s="9" t="s">
        <v>9</v>
      </c>
      <c r="D3" s="9"/>
      <c r="E3" s="9"/>
      <c r="F3" s="9"/>
      <c r="G3" s="9"/>
      <c r="H3" s="23" t="s">
        <v>10</v>
      </c>
      <c r="I3" s="23"/>
      <c r="J3" s="23"/>
      <c r="K3" s="23"/>
      <c r="M3" s="22" t="s">
        <v>11</v>
      </c>
      <c r="N3" s="22">
        <v>23.4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4" t="s">
        <v>4</v>
      </c>
    </row>
    <row r="4" s="20" customFormat="1" ht="21.95" customHeight="1" spans="2:24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  <c r="P4" s="5">
        <v>46113</v>
      </c>
      <c r="Q4" s="6">
        <v>1591281</v>
      </c>
      <c r="R4" s="6" t="s">
        <v>24</v>
      </c>
      <c r="S4" s="7" t="s">
        <v>25</v>
      </c>
      <c r="T4" s="6">
        <v>20419769</v>
      </c>
      <c r="U4" s="7" t="s">
        <v>26</v>
      </c>
      <c r="V4" s="8">
        <v>1</v>
      </c>
      <c r="W4" s="9">
        <v>198</v>
      </c>
      <c r="X4" s="9">
        <f>36*5.5</f>
        <v>198</v>
      </c>
    </row>
    <row r="5" s="20" customFormat="1" ht="21.95" customHeight="1" spans="2:24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  <c r="P5" s="5">
        <v>46113</v>
      </c>
      <c r="Q5" s="6">
        <v>1591281</v>
      </c>
      <c r="R5" s="6" t="s">
        <v>24</v>
      </c>
      <c r="S5" s="7" t="s">
        <v>31</v>
      </c>
      <c r="T5" s="6">
        <v>20419771</v>
      </c>
      <c r="U5" s="7" t="s">
        <v>32</v>
      </c>
      <c r="V5" s="8">
        <v>1</v>
      </c>
      <c r="W5" s="9">
        <v>369</v>
      </c>
      <c r="X5" s="9">
        <f>58*5.5+50</f>
        <v>369</v>
      </c>
    </row>
    <row r="6" s="20" customFormat="1" ht="21.95" customHeight="1" spans="2:24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9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  <c r="P6" s="5">
        <v>46113</v>
      </c>
      <c r="Q6" s="6">
        <v>1591281</v>
      </c>
      <c r="R6" s="6" t="s">
        <v>24</v>
      </c>
      <c r="S6" s="7" t="s">
        <v>31</v>
      </c>
      <c r="T6" s="6">
        <v>20419770</v>
      </c>
      <c r="U6" s="7" t="s">
        <v>36</v>
      </c>
      <c r="V6" s="8">
        <v>1</v>
      </c>
      <c r="W6" s="9">
        <v>236.5</v>
      </c>
      <c r="X6" s="9">
        <f>43*5.5</f>
        <v>236.5</v>
      </c>
    </row>
    <row r="7" s="20" customFormat="1" ht="21.95" customHeight="1" spans="2:24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10" t="s">
        <v>40</v>
      </c>
      <c r="Q7" s="10"/>
      <c r="R7" s="10"/>
      <c r="S7" s="10"/>
      <c r="T7" s="10"/>
      <c r="U7" s="10"/>
      <c r="V7" s="10"/>
      <c r="W7" s="10"/>
      <c r="X7" s="11">
        <v>765</v>
      </c>
    </row>
    <row r="8" s="20" customFormat="1" ht="21.95" customHeight="1" spans="2:24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  <c r="P8" s="12" t="s">
        <v>44</v>
      </c>
      <c r="Q8" s="12"/>
      <c r="R8" s="12"/>
      <c r="S8" s="12"/>
      <c r="T8" s="12"/>
      <c r="U8" s="12"/>
      <c r="V8" s="12"/>
      <c r="W8" s="12"/>
      <c r="X8" s="11">
        <v>81</v>
      </c>
    </row>
    <row r="9" s="20" customFormat="1" ht="21.95" customHeight="1" spans="2:24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  <c r="P9" s="12" t="s">
        <v>48</v>
      </c>
      <c r="Q9" s="12"/>
      <c r="R9" s="12"/>
      <c r="S9" s="12"/>
      <c r="T9" s="12"/>
      <c r="U9" s="12"/>
      <c r="V9" s="12"/>
      <c r="W9" s="12"/>
      <c r="X9" s="11">
        <v>150</v>
      </c>
    </row>
    <row r="10" s="20" customFormat="1" ht="21.95" customHeight="1" spans="2:24">
      <c r="B10" s="22" t="s">
        <v>49</v>
      </c>
      <c r="C10" s="9">
        <v>2</v>
      </c>
      <c r="D10" s="9">
        <v>34.2</v>
      </c>
      <c r="E10" s="9">
        <f t="shared" si="0"/>
        <v>68.4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  <c r="P10" s="12" t="s">
        <v>4</v>
      </c>
      <c r="Q10" s="12"/>
      <c r="R10" s="12"/>
      <c r="S10" s="12"/>
      <c r="T10" s="12"/>
      <c r="U10" s="12"/>
      <c r="V10" s="12"/>
      <c r="W10" s="12"/>
      <c r="X10" s="13">
        <v>1799.5</v>
      </c>
    </row>
    <row r="11" s="20" customFormat="1" ht="21.95" customHeight="1" spans="2:24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  <c r="P11" s="14" t="s">
        <v>55</v>
      </c>
      <c r="Q11" s="15"/>
      <c r="R11" s="16"/>
      <c r="S11" s="17"/>
      <c r="T11" s="18" t="s">
        <v>56</v>
      </c>
      <c r="U11" s="17"/>
      <c r="V11" s="17"/>
      <c r="W11" s="17"/>
      <c r="X11" s="19"/>
    </row>
    <row r="12" s="20" customFormat="1" ht="21.95" customHeight="1" spans="2:24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24">
      <c r="B13" s="22" t="s">
        <v>60</v>
      </c>
      <c r="C13" s="9">
        <v>2</v>
      </c>
      <c r="D13" s="9">
        <v>17.1</v>
      </c>
      <c r="E13" s="9">
        <f t="shared" si="0"/>
        <v>34.2</v>
      </c>
      <c r="F13" s="9" t="s">
        <v>28</v>
      </c>
      <c r="G13" s="22" t="s">
        <v>61</v>
      </c>
      <c r="H13" s="9">
        <v>2</v>
      </c>
      <c r="I13" s="9">
        <v>14.4</v>
      </c>
      <c r="J13" s="9">
        <f t="shared" si="1"/>
        <v>28.8</v>
      </c>
      <c r="K13" s="9" t="s">
        <v>28</v>
      </c>
    </row>
    <row r="14" s="20" customFormat="1" ht="21.95" customHeight="1" spans="2:24">
      <c r="B14" s="22" t="s">
        <v>62</v>
      </c>
      <c r="C14" s="9"/>
      <c r="D14" s="9">
        <v>34.2</v>
      </c>
      <c r="E14" s="9">
        <f t="shared" si="0"/>
        <v>0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24">
      <c r="B15" s="22" t="s">
        <v>64</v>
      </c>
      <c r="C15" s="9"/>
      <c r="D15" s="9">
        <v>34.2</v>
      </c>
      <c r="E15" s="9">
        <f t="shared" si="0"/>
        <v>0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24">
      <c r="B16" s="22" t="s">
        <v>66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7">
      <c r="B17" s="22" t="s">
        <v>68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7">
      <c r="B18" s="22" t="s">
        <v>69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7">
      <c r="B19" s="22" t="s">
        <v>70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7">
      <c r="B20" s="22" t="s">
        <v>72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7">
      <c r="B21" s="22" t="s">
        <v>74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7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76</v>
      </c>
      <c r="H22" s="9">
        <v>1</v>
      </c>
      <c r="I22" s="9">
        <v>34.2</v>
      </c>
      <c r="J22" s="9">
        <f t="shared" si="1"/>
        <v>34.2</v>
      </c>
      <c r="K22" s="9"/>
    </row>
    <row r="23" s="20" customFormat="1" ht="21.95" customHeight="1" spans="2:17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7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7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  <c r="Q25" s="20">
        <f>C32+2249.38</f>
        <v>3284.38</v>
      </c>
    </row>
    <row r="26" s="20" customFormat="1" ht="21.95" customHeight="1" spans="2:17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7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>
        <v>1</v>
      </c>
      <c r="I27" s="9">
        <v>23.4</v>
      </c>
      <c r="J27" s="9">
        <f t="shared" si="1"/>
        <v>23.4</v>
      </c>
      <c r="K27" s="9"/>
    </row>
    <row r="28" s="20" customFormat="1" ht="21.95" customHeight="1" spans="2:17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7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7">
      <c r="B30" s="22" t="s">
        <v>91</v>
      </c>
      <c r="C30" s="25">
        <v>765</v>
      </c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7">
      <c r="B31" s="22" t="s">
        <v>93</v>
      </c>
      <c r="C31" s="25"/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7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1035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(人民币)壹仟零叁拾伍元整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14">
    <mergeCell ref="B1:K1"/>
    <mergeCell ref="C3:G3"/>
    <mergeCell ref="H3:K3"/>
    <mergeCell ref="P7:W7"/>
    <mergeCell ref="P8:W8"/>
    <mergeCell ref="P9:W9"/>
    <mergeCell ref="P10:W10"/>
    <mergeCell ref="C30:F30"/>
    <mergeCell ref="H30:K30"/>
    <mergeCell ref="C31:F31"/>
    <mergeCell ref="G31:K31"/>
    <mergeCell ref="C32:F32"/>
    <mergeCell ref="H32:K32"/>
    <mergeCell ref="P1:X2"/>
  </mergeCells>
  <pageMargins left="0.196527777777778" right="0.196527777777778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5" workbookViewId="0">
      <selection activeCell="C32" sqref="C32:F32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96</v>
      </c>
      <c r="D3" s="9"/>
      <c r="E3" s="9"/>
      <c r="F3" s="9"/>
      <c r="G3" s="9"/>
      <c r="H3" s="23" t="s">
        <v>97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</v>
      </c>
      <c r="D10" s="9">
        <v>34.2</v>
      </c>
      <c r="E10" s="9">
        <f t="shared" si="0"/>
        <v>34.2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3</v>
      </c>
      <c r="D12" s="9">
        <v>34.2</v>
      </c>
      <c r="E12" s="9">
        <f t="shared" si="0"/>
        <v>102.6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60</v>
      </c>
      <c r="C13" s="9">
        <v>1</v>
      </c>
      <c r="D13" s="9">
        <v>34.2</v>
      </c>
      <c r="E13" s="9">
        <f t="shared" si="0"/>
        <v>34.2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64</v>
      </c>
      <c r="C14" s="9"/>
      <c r="D14" s="9">
        <v>34.2</v>
      </c>
      <c r="E14" s="9">
        <f t="shared" si="0"/>
        <v>0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66</v>
      </c>
      <c r="C15" s="9"/>
      <c r="D15" s="9">
        <v>34.2</v>
      </c>
      <c r="E15" s="9">
        <f t="shared" si="0"/>
        <v>0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/>
      <c r="I30" s="26"/>
      <c r="J30" s="26"/>
      <c r="K30" s="27"/>
    </row>
    <row r="31" s="20" customFormat="1" ht="21" customHeight="1" spans="2:11">
      <c r="B31" s="22" t="s">
        <v>93</v>
      </c>
      <c r="C31" s="25"/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5*27</f>
        <v>135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(人民币)壹佰叁拾伍元整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7" workbookViewId="0">
      <selection activeCell="D28" sqref="D28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101</v>
      </c>
      <c r="D3" s="9"/>
      <c r="E3" s="9"/>
      <c r="F3" s="9"/>
      <c r="G3" s="9"/>
      <c r="H3" s="23" t="s">
        <v>102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1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>
        <v>1</v>
      </c>
      <c r="D9" s="9">
        <v>34.2</v>
      </c>
      <c r="E9" s="9">
        <f t="shared" si="0"/>
        <v>34.2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</v>
      </c>
      <c r="D10" s="9">
        <v>34.2</v>
      </c>
      <c r="E10" s="9">
        <f t="shared" si="0"/>
        <v>34.2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3</v>
      </c>
      <c r="I11" s="9">
        <v>23.4</v>
      </c>
      <c r="J11" s="9">
        <f t="shared" si="1"/>
        <v>70.2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62</v>
      </c>
      <c r="C13" s="9"/>
      <c r="D13" s="9">
        <v>34.2</v>
      </c>
      <c r="E13" s="9">
        <f t="shared" si="0"/>
        <v>0</v>
      </c>
      <c r="F13" s="9" t="s">
        <v>28</v>
      </c>
      <c r="G13" s="22" t="s">
        <v>61</v>
      </c>
      <c r="H13" s="9">
        <v>4</v>
      </c>
      <c r="I13" s="9">
        <v>14.4</v>
      </c>
      <c r="J13" s="9">
        <f t="shared" si="1"/>
        <v>57.6</v>
      </c>
      <c r="K13" s="9" t="s">
        <v>28</v>
      </c>
    </row>
    <row r="14" s="20" customFormat="1" ht="21.95" customHeight="1" spans="2:16">
      <c r="B14" s="22" t="s">
        <v>64</v>
      </c>
      <c r="C14" s="9"/>
      <c r="D14" s="9">
        <v>34.2</v>
      </c>
      <c r="E14" s="9">
        <f t="shared" si="0"/>
        <v>0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66</v>
      </c>
      <c r="C15" s="9"/>
      <c r="D15" s="9">
        <v>34.2</v>
      </c>
      <c r="E15" s="9">
        <f t="shared" si="0"/>
        <v>0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103</v>
      </c>
      <c r="H19" s="9">
        <v>1</v>
      </c>
      <c r="I19" s="9">
        <v>17.1</v>
      </c>
      <c r="J19" s="9">
        <f t="shared" si="1"/>
        <v>17.1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60</v>
      </c>
      <c r="H20" s="9">
        <v>4</v>
      </c>
      <c r="I20" s="9">
        <v>17.1</v>
      </c>
      <c r="J20" s="9">
        <f t="shared" si="1"/>
        <v>68.4</v>
      </c>
      <c r="K20" s="9"/>
    </row>
    <row r="21" s="20" customFormat="1" ht="21.95" customHeight="1" spans="2:11">
      <c r="B21" s="22" t="s">
        <v>99</v>
      </c>
      <c r="C21" s="9">
        <v>1</v>
      </c>
      <c r="D21" s="9">
        <v>34.2</v>
      </c>
      <c r="E21" s="9">
        <f t="shared" si="0"/>
        <v>34.2</v>
      </c>
      <c r="F21" s="9"/>
      <c r="G21" s="22" t="s">
        <v>104</v>
      </c>
      <c r="H21" s="9">
        <v>1</v>
      </c>
      <c r="I21" s="9">
        <v>17.1</v>
      </c>
      <c r="J21" s="9">
        <f t="shared" si="1"/>
        <v>17.1</v>
      </c>
      <c r="K21" s="9"/>
    </row>
    <row r="22" s="20" customFormat="1" ht="21.95" customHeight="1" spans="2:11">
      <c r="B22" s="22" t="s">
        <v>105</v>
      </c>
      <c r="C22" s="9">
        <v>1</v>
      </c>
      <c r="D22" s="9">
        <v>17.1</v>
      </c>
      <c r="E22" s="9">
        <f t="shared" si="0"/>
        <v>17.1</v>
      </c>
      <c r="F22" s="9"/>
      <c r="G22" s="22" t="s">
        <v>106</v>
      </c>
      <c r="H22" s="9">
        <v>2</v>
      </c>
      <c r="I22" s="9">
        <v>17.1</v>
      </c>
      <c r="J22" s="9">
        <f t="shared" si="1"/>
        <v>34.2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107</v>
      </c>
      <c r="H23" s="9">
        <v>1</v>
      </c>
      <c r="I23" s="9">
        <v>17.1</v>
      </c>
      <c r="J23" s="9">
        <f t="shared" si="1"/>
        <v>17.1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108</v>
      </c>
      <c r="H24" s="9">
        <v>1</v>
      </c>
      <c r="I24" s="9">
        <v>17.1</v>
      </c>
      <c r="J24" s="9">
        <f t="shared" si="1"/>
        <v>17.1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109</v>
      </c>
      <c r="H25" s="9">
        <v>1</v>
      </c>
      <c r="I25" s="9">
        <v>17.1</v>
      </c>
      <c r="J25" s="9">
        <f t="shared" si="1"/>
        <v>17.1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110</v>
      </c>
      <c r="H26" s="9">
        <v>1</v>
      </c>
      <c r="I26" s="9">
        <v>17.1</v>
      </c>
      <c r="J26" s="9">
        <f t="shared" si="1"/>
        <v>17.1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111</v>
      </c>
      <c r="H27" s="9">
        <v>1</v>
      </c>
      <c r="I27" s="9">
        <v>17.1</v>
      </c>
      <c r="J27" s="9">
        <f t="shared" si="1"/>
        <v>17.1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112</v>
      </c>
      <c r="H28" s="9">
        <v>1</v>
      </c>
      <c r="I28" s="9">
        <v>17.1</v>
      </c>
      <c r="J28" s="9">
        <f t="shared" si="1"/>
        <v>17.1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113</v>
      </c>
      <c r="H29" s="9">
        <v>1</v>
      </c>
      <c r="I29" s="9">
        <v>17.1</v>
      </c>
      <c r="J29" s="9">
        <f t="shared" si="1"/>
        <v>17.1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1384.2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(人民币)壹仟叁佰捌拾肆元贰角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3" workbookViewId="0">
      <selection activeCell="E21" sqref="E21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114</v>
      </c>
      <c r="D3" s="9"/>
      <c r="E3" s="9"/>
      <c r="F3" s="9"/>
      <c r="G3" s="9"/>
      <c r="H3" s="23" t="s">
        <v>115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10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10</v>
      </c>
      <c r="D10" s="9">
        <v>34.2</v>
      </c>
      <c r="E10" s="9">
        <f t="shared" si="0"/>
        <v>342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3</v>
      </c>
      <c r="D12" s="9">
        <v>34.2</v>
      </c>
      <c r="E12" s="9">
        <f t="shared" si="0"/>
        <v>102.6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110</v>
      </c>
      <c r="C13" s="9">
        <v>1</v>
      </c>
      <c r="D13" s="9">
        <v>17.1</v>
      </c>
      <c r="E13" s="9">
        <f t="shared" si="0"/>
        <v>17.1</v>
      </c>
      <c r="F13" s="9" t="s">
        <v>28</v>
      </c>
      <c r="G13" s="22" t="s">
        <v>61</v>
      </c>
      <c r="H13" s="9">
        <v>4</v>
      </c>
      <c r="I13" s="9">
        <v>14.4</v>
      </c>
      <c r="J13" s="9">
        <f t="shared" si="1"/>
        <v>57.6</v>
      </c>
      <c r="K13" s="9" t="s">
        <v>28</v>
      </c>
    </row>
    <row r="14" s="20" customFormat="1" ht="21.95" customHeight="1" spans="2:16">
      <c r="B14" s="22" t="s">
        <v>103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10</v>
      </c>
      <c r="D15" s="9">
        <v>17.1</v>
      </c>
      <c r="E15" s="9">
        <f t="shared" si="0"/>
        <v>171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1553.4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(人民币)壹仟伍佰伍拾叁元肆角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70" zoomScaleNormal="70" workbookViewId="0">
      <selection activeCell="F18" sqref="F18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>
        <v>1593349</v>
      </c>
      <c r="D3" s="9"/>
      <c r="E3" s="9"/>
      <c r="F3" s="9"/>
      <c r="G3" s="9"/>
      <c r="H3" s="23" t="s">
        <v>116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</v>
      </c>
      <c r="D10" s="9">
        <v>34.2</v>
      </c>
      <c r="E10" s="9">
        <f t="shared" si="0"/>
        <v>34.2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60</v>
      </c>
      <c r="C13" s="9">
        <v>2</v>
      </c>
      <c r="D13" s="9">
        <v>17.1</v>
      </c>
      <c r="E13" s="9">
        <f t="shared" si="0"/>
        <v>34.2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64</v>
      </c>
      <c r="C14" s="9"/>
      <c r="D14" s="9">
        <v>34.2</v>
      </c>
      <c r="E14" s="9">
        <f t="shared" si="0"/>
        <v>0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66</v>
      </c>
      <c r="C15" s="9"/>
      <c r="D15" s="9">
        <v>34.2</v>
      </c>
      <c r="E15" s="9">
        <f t="shared" si="0"/>
        <v>0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/>
      <c r="I30" s="26"/>
      <c r="J30" s="26"/>
      <c r="K30" s="27"/>
    </row>
    <row r="31" s="20" customFormat="1" ht="21" customHeight="1" spans="2:11">
      <c r="B31" s="22" t="s">
        <v>93</v>
      </c>
      <c r="C31" s="25"/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4*27</f>
        <v>108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(人民币)壹佰零捌元整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3" workbookViewId="0">
      <selection activeCell="C32" sqref="C32:F32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117</v>
      </c>
      <c r="D3" s="9"/>
      <c r="E3" s="9"/>
      <c r="F3" s="9"/>
      <c r="G3" s="9"/>
      <c r="H3" s="23" t="s">
        <v>118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5</v>
      </c>
      <c r="D10" s="9">
        <v>34.2</v>
      </c>
      <c r="E10" s="9">
        <f t="shared" si="0"/>
        <v>171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2</v>
      </c>
      <c r="I11" s="9">
        <v>23.4</v>
      </c>
      <c r="J11" s="9">
        <f t="shared" si="1"/>
        <v>46.8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119</v>
      </c>
      <c r="C13" s="9">
        <v>1</v>
      </c>
      <c r="D13" s="9">
        <v>17.1</v>
      </c>
      <c r="E13" s="9">
        <f t="shared" si="0"/>
        <v>17.1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120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121</v>
      </c>
      <c r="C15" s="9">
        <v>1</v>
      </c>
      <c r="D15" s="9">
        <v>17.1</v>
      </c>
      <c r="E15" s="9">
        <f t="shared" si="0"/>
        <v>17.1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60</v>
      </c>
      <c r="C16" s="9">
        <v>6</v>
      </c>
      <c r="D16" s="9">
        <v>17.1</v>
      </c>
      <c r="E16" s="9">
        <f t="shared" si="0"/>
        <v>102.6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122</v>
      </c>
      <c r="C17" s="9">
        <v>1</v>
      </c>
      <c r="D17" s="9">
        <v>17.1</v>
      </c>
      <c r="E17" s="9">
        <f t="shared" si="0"/>
        <v>17.1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>
        <v>1</v>
      </c>
      <c r="D27" s="9">
        <v>34.2</v>
      </c>
      <c r="E27" s="9">
        <f t="shared" si="0"/>
        <v>34.2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1303.2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(人民币)壹仟叁佰零叁元贰角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4" workbookViewId="0">
      <selection activeCell="E9" sqref="E9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123</v>
      </c>
      <c r="D3" s="9"/>
      <c r="E3" s="9"/>
      <c r="F3" s="9"/>
      <c r="G3" s="9"/>
      <c r="H3" s="23" t="s">
        <v>124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3</v>
      </c>
      <c r="D10" s="9">
        <v>34.2</v>
      </c>
      <c r="E10" s="9">
        <f t="shared" si="0"/>
        <v>102.6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125</v>
      </c>
      <c r="C13" s="9">
        <v>1</v>
      </c>
      <c r="D13" s="9">
        <v>17.1</v>
      </c>
      <c r="E13" s="9">
        <f t="shared" si="0"/>
        <v>17.1</v>
      </c>
      <c r="F13" s="9" t="s">
        <v>28</v>
      </c>
      <c r="G13" s="22" t="s">
        <v>61</v>
      </c>
      <c r="H13" s="9">
        <v>7</v>
      </c>
      <c r="I13" s="9">
        <v>14.4</v>
      </c>
      <c r="J13" s="9">
        <f t="shared" si="1"/>
        <v>100.8</v>
      </c>
      <c r="K13" s="9" t="s">
        <v>28</v>
      </c>
    </row>
    <row r="14" s="20" customFormat="1" ht="21.95" customHeight="1" spans="2:16">
      <c r="B14" s="22" t="s">
        <v>126</v>
      </c>
      <c r="C14" s="9">
        <v>6</v>
      </c>
      <c r="D14" s="9">
        <v>17.1</v>
      </c>
      <c r="E14" s="9">
        <f t="shared" si="0"/>
        <v>102.6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125</v>
      </c>
      <c r="C15" s="9">
        <v>4</v>
      </c>
      <c r="D15" s="9">
        <v>17.1</v>
      </c>
      <c r="E15" s="9">
        <f t="shared" si="0"/>
        <v>68.4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127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60</v>
      </c>
      <c r="C17" s="9">
        <v>3</v>
      </c>
      <c r="D17" s="9">
        <v>17.1</v>
      </c>
      <c r="E17" s="9">
        <f t="shared" si="0"/>
        <v>51.3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128</v>
      </c>
      <c r="C18" s="9">
        <v>1</v>
      </c>
      <c r="D18" s="9">
        <v>17.1</v>
      </c>
      <c r="E18" s="9">
        <f t="shared" si="0"/>
        <v>17.1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1357.2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(人民币)壹仟叁佰伍拾柒元贰角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5" workbookViewId="0">
      <selection activeCell="C32" sqref="C32:F32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129</v>
      </c>
      <c r="D3" s="9"/>
      <c r="E3" s="9"/>
      <c r="F3" s="9"/>
      <c r="G3" s="9"/>
      <c r="H3" s="23" t="s">
        <v>130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>
        <v>1</v>
      </c>
      <c r="D9" s="9">
        <v>34.2</v>
      </c>
      <c r="E9" s="9">
        <f t="shared" si="0"/>
        <v>34.2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3</v>
      </c>
      <c r="D10" s="9">
        <v>34.2</v>
      </c>
      <c r="E10" s="9">
        <f t="shared" si="0"/>
        <v>102.6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3</v>
      </c>
      <c r="I11" s="9">
        <v>23.4</v>
      </c>
      <c r="J11" s="9">
        <f t="shared" si="1"/>
        <v>70.2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122</v>
      </c>
      <c r="C13" s="9">
        <v>2</v>
      </c>
      <c r="D13" s="9">
        <v>17.1</v>
      </c>
      <c r="E13" s="9">
        <f t="shared" si="0"/>
        <v>34.2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110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6</v>
      </c>
      <c r="D15" s="9">
        <v>17.1</v>
      </c>
      <c r="E15" s="9">
        <f t="shared" si="0"/>
        <v>102.6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131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132</v>
      </c>
      <c r="C17" s="9">
        <v>1</v>
      </c>
      <c r="D17" s="9">
        <v>17.1</v>
      </c>
      <c r="E17" s="9">
        <f t="shared" si="0"/>
        <v>17.1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133</v>
      </c>
      <c r="C18" s="9">
        <v>1</v>
      </c>
      <c r="D18" s="9">
        <v>17.1</v>
      </c>
      <c r="E18" s="9">
        <f t="shared" si="0"/>
        <v>17.1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112</v>
      </c>
      <c r="C19" s="9">
        <v>1</v>
      </c>
      <c r="D19" s="9">
        <v>17.1</v>
      </c>
      <c r="E19" s="9">
        <f t="shared" si="0"/>
        <v>17.1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104</v>
      </c>
      <c r="C20" s="9">
        <v>1</v>
      </c>
      <c r="D20" s="9">
        <v>17.1</v>
      </c>
      <c r="E20" s="9">
        <f t="shared" si="0"/>
        <v>17.1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134</v>
      </c>
      <c r="C21" s="9">
        <v>1</v>
      </c>
      <c r="D21" s="9">
        <v>17.1</v>
      </c>
      <c r="E21" s="9">
        <f t="shared" si="0"/>
        <v>17.1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135</v>
      </c>
      <c r="C22" s="9">
        <v>1</v>
      </c>
      <c r="D22" s="9">
        <v>17.1</v>
      </c>
      <c r="E22" s="9">
        <f t="shared" si="0"/>
        <v>17.1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109</v>
      </c>
      <c r="C23" s="9">
        <v>1</v>
      </c>
      <c r="D23" s="9">
        <v>17.1</v>
      </c>
      <c r="E23" s="9">
        <f t="shared" si="0"/>
        <v>17.1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105</v>
      </c>
      <c r="C24" s="9">
        <v>1</v>
      </c>
      <c r="D24" s="9">
        <v>17.1</v>
      </c>
      <c r="E24" s="9">
        <f t="shared" si="0"/>
        <v>17.1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1395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(人民币)壹仟叁佰玖拾伍元整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5" workbookViewId="0">
      <selection activeCell="G10" sqref="G10:H10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>
        <v>1595084</v>
      </c>
      <c r="D3" s="9"/>
      <c r="E3" s="9"/>
      <c r="F3" s="9"/>
      <c r="G3" s="9"/>
      <c r="H3" s="23" t="s">
        <v>136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6</v>
      </c>
      <c r="D10" s="9">
        <v>34.2</v>
      </c>
      <c r="E10" s="9">
        <f t="shared" si="0"/>
        <v>205.2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62</v>
      </c>
      <c r="C13" s="9"/>
      <c r="D13" s="9">
        <v>34.2</v>
      </c>
      <c r="E13" s="9">
        <f t="shared" si="0"/>
        <v>0</v>
      </c>
      <c r="F13" s="9" t="s">
        <v>28</v>
      </c>
      <c r="G13" s="22" t="s">
        <v>61</v>
      </c>
      <c r="H13" s="9">
        <v>4</v>
      </c>
      <c r="I13" s="9">
        <v>14.4</v>
      </c>
      <c r="J13" s="9">
        <f t="shared" si="1"/>
        <v>57.6</v>
      </c>
      <c r="K13" s="9" t="s">
        <v>28</v>
      </c>
    </row>
    <row r="14" s="20" customFormat="1" ht="21.95" customHeight="1" spans="2:16">
      <c r="B14" s="22" t="s">
        <v>137</v>
      </c>
      <c r="C14" s="9">
        <v>2</v>
      </c>
      <c r="D14" s="9">
        <v>17.1</v>
      </c>
      <c r="E14" s="9">
        <f t="shared" si="0"/>
        <v>34.2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6</v>
      </c>
      <c r="D15" s="9">
        <v>17.1</v>
      </c>
      <c r="E15" s="9">
        <f t="shared" si="0"/>
        <v>102.6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1245.6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(人民币)壹仟贰佰肆拾伍元陆角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7" workbookViewId="0">
      <selection activeCell="C32" sqref="C32:F32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138</v>
      </c>
      <c r="D3" s="9"/>
      <c r="E3" s="9"/>
      <c r="F3" s="9"/>
      <c r="G3" s="9"/>
      <c r="H3" s="23" t="s">
        <v>139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7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6</v>
      </c>
      <c r="D10" s="9">
        <v>34.2</v>
      </c>
      <c r="E10" s="9">
        <f t="shared" si="0"/>
        <v>205.2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2</v>
      </c>
      <c r="I11" s="9">
        <v>23.4</v>
      </c>
      <c r="J11" s="9">
        <f t="shared" si="1"/>
        <v>46.8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62</v>
      </c>
      <c r="C13" s="9"/>
      <c r="D13" s="9">
        <v>34.2</v>
      </c>
      <c r="E13" s="9">
        <f t="shared" si="0"/>
        <v>0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122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8</v>
      </c>
      <c r="D15" s="9">
        <v>17.1</v>
      </c>
      <c r="E15" s="9">
        <f t="shared" si="0"/>
        <v>136.8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140</v>
      </c>
      <c r="C16" s="9">
        <v>2</v>
      </c>
      <c r="D16" s="9">
        <v>17.1</v>
      </c>
      <c r="E16" s="9">
        <f t="shared" si="0"/>
        <v>34.2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141</v>
      </c>
      <c r="C17" s="9">
        <v>1</v>
      </c>
      <c r="D17" s="9">
        <v>17.1</v>
      </c>
      <c r="E17" s="9">
        <f t="shared" si="0"/>
        <v>17.1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112</v>
      </c>
      <c r="C18" s="9">
        <v>1</v>
      </c>
      <c r="D18" s="9">
        <v>17.1</v>
      </c>
      <c r="E18" s="9">
        <f t="shared" si="0"/>
        <v>17.1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105</v>
      </c>
      <c r="C19" s="9">
        <v>1</v>
      </c>
      <c r="D19" s="9">
        <v>17.1</v>
      </c>
      <c r="E19" s="9">
        <f t="shared" si="0"/>
        <v>17.1</v>
      </c>
      <c r="F19" s="9" t="s">
        <v>28</v>
      </c>
      <c r="G19" s="22" t="s">
        <v>71</v>
      </c>
      <c r="H19" s="9">
        <v>2</v>
      </c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142</v>
      </c>
      <c r="C20" s="9">
        <v>1</v>
      </c>
      <c r="D20" s="9">
        <f>29*5.5</f>
        <v>159.5</v>
      </c>
      <c r="E20" s="9">
        <f t="shared" si="0"/>
        <v>159.5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>
        <v>1</v>
      </c>
      <c r="D21" s="9">
        <v>34.2</v>
      </c>
      <c r="E21" s="9">
        <f t="shared" si="0"/>
        <v>34.2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>
        <v>1</v>
      </c>
      <c r="I22" s="9">
        <v>34.2</v>
      </c>
      <c r="J22" s="9">
        <f t="shared" si="1"/>
        <v>34.2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1633.7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(人民币)壹仟陆佰叁拾叁元柒角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3" workbookViewId="0">
      <selection activeCell="C32" sqref="C32:F32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143</v>
      </c>
      <c r="D3" s="9"/>
      <c r="E3" s="9"/>
      <c r="F3" s="9"/>
      <c r="G3" s="9"/>
      <c r="H3" s="23" t="s">
        <v>144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3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9</v>
      </c>
      <c r="D10" s="9">
        <v>34.2</v>
      </c>
      <c r="E10" s="9">
        <f t="shared" si="0"/>
        <v>307.8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2</v>
      </c>
      <c r="I11" s="9">
        <v>23.4</v>
      </c>
      <c r="J11" s="9">
        <f t="shared" si="1"/>
        <v>46.8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62</v>
      </c>
      <c r="C13" s="9"/>
      <c r="D13" s="9">
        <v>34.2</v>
      </c>
      <c r="E13" s="9">
        <f t="shared" si="0"/>
        <v>0</v>
      </c>
      <c r="F13" s="9" t="s">
        <v>28</v>
      </c>
      <c r="G13" s="22" t="s">
        <v>61</v>
      </c>
      <c r="H13" s="9">
        <v>2</v>
      </c>
      <c r="I13" s="9">
        <v>14.4</v>
      </c>
      <c r="J13" s="9">
        <f t="shared" si="1"/>
        <v>28.8</v>
      </c>
      <c r="K13" s="9" t="s">
        <v>28</v>
      </c>
    </row>
    <row r="14" s="20" customFormat="1" ht="21.95" customHeight="1" spans="2:16">
      <c r="B14" s="22" t="s">
        <v>110</v>
      </c>
      <c r="C14" s="9">
        <v>2</v>
      </c>
      <c r="D14" s="9">
        <v>17.1</v>
      </c>
      <c r="E14" s="9">
        <f t="shared" si="0"/>
        <v>34.2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9</v>
      </c>
      <c r="D15" s="9">
        <v>17.1</v>
      </c>
      <c r="E15" s="9">
        <f t="shared" si="0"/>
        <v>153.9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104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145</v>
      </c>
      <c r="C17" s="9">
        <v>1</v>
      </c>
      <c r="D17" s="9">
        <v>17.1</v>
      </c>
      <c r="E17" s="9">
        <f t="shared" si="0"/>
        <v>17.1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>
        <v>1</v>
      </c>
      <c r="I22" s="9">
        <v>34.2</v>
      </c>
      <c r="J22" s="9">
        <f t="shared" si="1"/>
        <v>34.2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>
        <v>1</v>
      </c>
      <c r="D29" s="9">
        <v>20.7</v>
      </c>
      <c r="E29" s="9">
        <f t="shared" si="0"/>
        <v>20.7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1540.8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(人民币)壹仟伍佰肆拾元捌角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5" workbookViewId="0">
      <selection activeCell="H13" sqref="H13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146</v>
      </c>
      <c r="D3" s="9"/>
      <c r="E3" s="9"/>
      <c r="F3" s="9"/>
      <c r="G3" s="9"/>
      <c r="H3" s="23" t="s">
        <v>147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1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3</v>
      </c>
      <c r="D10" s="9">
        <v>34.2</v>
      </c>
      <c r="E10" s="9">
        <f t="shared" si="0"/>
        <v>102.6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126</v>
      </c>
      <c r="C13" s="9">
        <v>5</v>
      </c>
      <c r="D13" s="9">
        <v>17.1</v>
      </c>
      <c r="E13" s="9">
        <f t="shared" si="0"/>
        <v>85.5</v>
      </c>
      <c r="F13" s="9" t="s">
        <v>28</v>
      </c>
      <c r="G13" s="22" t="s">
        <v>61</v>
      </c>
      <c r="H13" s="9">
        <v>4</v>
      </c>
      <c r="I13" s="9">
        <v>14.4</v>
      </c>
      <c r="J13" s="9">
        <f t="shared" si="1"/>
        <v>57.6</v>
      </c>
      <c r="K13" s="9" t="s">
        <v>28</v>
      </c>
    </row>
    <row r="14" s="20" customFormat="1" ht="21.95" customHeight="1" spans="2:16">
      <c r="B14" s="22" t="s">
        <v>109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3</v>
      </c>
      <c r="D15" s="9">
        <v>17.1</v>
      </c>
      <c r="E15" s="9">
        <f t="shared" si="0"/>
        <v>51.3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1194.3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(人民币)壹仟壹佰玖拾肆元叁角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5" workbookViewId="0">
      <selection activeCell="F31" sqref="E5:E29 J5:J29 H30:K30 C31:F31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>
        <v>1597591</v>
      </c>
      <c r="D3" s="9"/>
      <c r="E3" s="9"/>
      <c r="F3" s="9"/>
      <c r="G3" s="9"/>
      <c r="H3" s="23" t="s">
        <v>148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7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3</v>
      </c>
      <c r="D10" s="9">
        <v>34.2</v>
      </c>
      <c r="E10" s="9">
        <f t="shared" si="0"/>
        <v>102.6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60</v>
      </c>
      <c r="C13" s="9">
        <v>3</v>
      </c>
      <c r="D13" s="9">
        <v>17.1</v>
      </c>
      <c r="E13" s="9">
        <f t="shared" si="0"/>
        <v>51.3</v>
      </c>
      <c r="F13" s="9" t="s">
        <v>28</v>
      </c>
      <c r="G13" s="22" t="s">
        <v>61</v>
      </c>
      <c r="H13" s="9">
        <v>2</v>
      </c>
      <c r="I13" s="9">
        <v>14.4</v>
      </c>
      <c r="J13" s="9">
        <f t="shared" si="1"/>
        <v>28.8</v>
      </c>
      <c r="K13" s="9" t="s">
        <v>28</v>
      </c>
    </row>
    <row r="14" s="20" customFormat="1" ht="21.95" customHeight="1" spans="2:16">
      <c r="B14" s="22" t="s">
        <v>64</v>
      </c>
      <c r="C14" s="9"/>
      <c r="D14" s="9">
        <v>34.2</v>
      </c>
      <c r="E14" s="9">
        <f t="shared" si="0"/>
        <v>0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66</v>
      </c>
      <c r="C15" s="9"/>
      <c r="D15" s="9">
        <v>34.2</v>
      </c>
      <c r="E15" s="9">
        <f t="shared" si="0"/>
        <v>0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1028.7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(人民币)壹仟零贰拾捌元柒角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3" workbookViewId="0">
      <selection activeCell="J25" sqref="J25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149</v>
      </c>
      <c r="D3" s="9"/>
      <c r="E3" s="9"/>
      <c r="F3" s="9"/>
      <c r="G3" s="9"/>
      <c r="H3" s="23" t="s">
        <v>150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6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10</v>
      </c>
      <c r="D10" s="9">
        <v>34.2</v>
      </c>
      <c r="E10" s="9">
        <f t="shared" si="0"/>
        <v>342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126</v>
      </c>
      <c r="C13" s="9">
        <v>2</v>
      </c>
      <c r="D13" s="9">
        <v>17.1</v>
      </c>
      <c r="E13" s="9">
        <f t="shared" si="0"/>
        <v>34.2</v>
      </c>
      <c r="F13" s="9" t="s">
        <v>28</v>
      </c>
      <c r="G13" s="22" t="s">
        <v>61</v>
      </c>
      <c r="H13" s="9">
        <v>3</v>
      </c>
      <c r="I13" s="9">
        <v>14.4</v>
      </c>
      <c r="J13" s="9">
        <f t="shared" si="1"/>
        <v>43.2</v>
      </c>
      <c r="K13" s="9" t="s">
        <v>28</v>
      </c>
    </row>
    <row r="14" s="20" customFormat="1" ht="21.95" customHeight="1" spans="2:16">
      <c r="B14" s="22" t="s">
        <v>125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60</v>
      </c>
      <c r="C15" s="9">
        <v>10</v>
      </c>
      <c r="D15" s="9">
        <v>17.1</v>
      </c>
      <c r="E15" s="9">
        <f t="shared" si="0"/>
        <v>171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68</v>
      </c>
      <c r="C16" s="9"/>
      <c r="D16" s="9">
        <v>34.2</v>
      </c>
      <c r="E16" s="9">
        <f t="shared" si="0"/>
        <v>0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1487.7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(人民币)壹仟肆佰捌拾柒元柒角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7" workbookViewId="0">
      <selection activeCell="C20" sqref="C20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151</v>
      </c>
      <c r="D3" s="9"/>
      <c r="E3" s="9"/>
      <c r="F3" s="9"/>
      <c r="G3" s="9"/>
      <c r="H3" s="23" t="s">
        <v>152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</v>
      </c>
      <c r="D10" s="9">
        <v>34.2</v>
      </c>
      <c r="E10" s="9">
        <f t="shared" si="0"/>
        <v>34.2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>
        <v>1</v>
      </c>
      <c r="D12" s="9">
        <v>34.2</v>
      </c>
      <c r="E12" s="9">
        <f t="shared" si="0"/>
        <v>34.2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126</v>
      </c>
      <c r="C13" s="9">
        <v>2</v>
      </c>
      <c r="D13" s="9">
        <v>17.1</v>
      </c>
      <c r="E13" s="9">
        <f t="shared" si="0"/>
        <v>34.2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110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125</v>
      </c>
      <c r="C15" s="9">
        <v>3</v>
      </c>
      <c r="D15" s="9">
        <v>17.1</v>
      </c>
      <c r="E15" s="9">
        <f t="shared" si="0"/>
        <v>51.3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60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69</v>
      </c>
      <c r="C17" s="9"/>
      <c r="D17" s="9">
        <v>34.2</v>
      </c>
      <c r="E17" s="9">
        <f t="shared" si="0"/>
        <v>0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/>
      <c r="I30" s="26"/>
      <c r="J30" s="26"/>
      <c r="K30" s="27"/>
    </row>
    <row r="31" s="20" customFormat="1" ht="21" customHeight="1" spans="2:11">
      <c r="B31" s="22" t="s">
        <v>93</v>
      </c>
      <c r="C31" s="25"/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9*27</f>
        <v>243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(人民币)贰佰肆拾叁元整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7" workbookViewId="0">
      <selection activeCell="H6" sqref="H6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>
        <v>1599318</v>
      </c>
      <c r="D3" s="9"/>
      <c r="E3" s="9"/>
      <c r="F3" s="9"/>
      <c r="G3" s="9"/>
      <c r="H3" s="23" t="s">
        <v>153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>
        <v>1</v>
      </c>
      <c r="D5" s="9">
        <v>34.2</v>
      </c>
      <c r="E5" s="9">
        <f t="shared" ref="E5:E29" si="0">D5*C5</f>
        <v>34.2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/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4</v>
      </c>
      <c r="D10" s="9">
        <v>34.2</v>
      </c>
      <c r="E10" s="9">
        <f t="shared" si="0"/>
        <v>136.8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>
        <v>2</v>
      </c>
      <c r="I11" s="9">
        <v>23.4</v>
      </c>
      <c r="J11" s="9">
        <f t="shared" si="1"/>
        <v>46.8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110</v>
      </c>
      <c r="C13" s="9">
        <v>1</v>
      </c>
      <c r="D13" s="9">
        <v>17.1</v>
      </c>
      <c r="E13" s="9">
        <f t="shared" si="0"/>
        <v>17.1</v>
      </c>
      <c r="F13" s="9" t="s">
        <v>28</v>
      </c>
      <c r="G13" s="22" t="s">
        <v>61</v>
      </c>
      <c r="H13" s="9"/>
      <c r="I13" s="9">
        <v>14.4</v>
      </c>
      <c r="J13" s="9">
        <f t="shared" si="1"/>
        <v>0</v>
      </c>
      <c r="K13" s="9" t="s">
        <v>28</v>
      </c>
    </row>
    <row r="14" s="20" customFormat="1" ht="21.95" customHeight="1" spans="2:16">
      <c r="B14" s="22" t="s">
        <v>122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133</v>
      </c>
      <c r="C15" s="9">
        <v>1</v>
      </c>
      <c r="D15" s="9">
        <v>17.1</v>
      </c>
      <c r="E15" s="9">
        <f t="shared" si="0"/>
        <v>17.1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154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60</v>
      </c>
      <c r="C17" s="9">
        <v>6</v>
      </c>
      <c r="D17" s="9">
        <v>17.1</v>
      </c>
      <c r="E17" s="9">
        <f t="shared" si="0"/>
        <v>102.6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128</v>
      </c>
      <c r="C18" s="9">
        <v>2</v>
      </c>
      <c r="D18" s="9">
        <v>17.1</v>
      </c>
      <c r="E18" s="9">
        <f t="shared" si="0"/>
        <v>34.2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134</v>
      </c>
      <c r="C19" s="9">
        <v>1</v>
      </c>
      <c r="D19" s="9">
        <v>17.1</v>
      </c>
      <c r="E19" s="9">
        <f t="shared" si="0"/>
        <v>17.1</v>
      </c>
      <c r="F19" s="9" t="s">
        <v>28</v>
      </c>
      <c r="G19" s="22" t="s">
        <v>71</v>
      </c>
      <c r="H19" s="9"/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142</v>
      </c>
      <c r="C20" s="9">
        <v>1</v>
      </c>
      <c r="D20" s="9">
        <f>29*5.5</f>
        <v>159.5</v>
      </c>
      <c r="E20" s="9">
        <f t="shared" si="0"/>
        <v>159.5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155</v>
      </c>
      <c r="C21" s="9">
        <v>1</v>
      </c>
      <c r="D21" s="9">
        <v>17.1</v>
      </c>
      <c r="E21" s="9">
        <f t="shared" si="0"/>
        <v>17.1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1462.7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(人民币)壹仟肆佰陆拾贰元柒角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3"/>
  <sheetViews>
    <sheetView zoomScale="85" zoomScaleNormal="85" topLeftCell="A3" workbookViewId="0">
      <selection activeCell="F5" sqref="F5"/>
    </sheetView>
  </sheetViews>
  <sheetFormatPr defaultColWidth="9" defaultRowHeight="13.5"/>
  <cols>
    <col min="1" max="1" width="5.25" style="20" customWidth="1"/>
    <col min="2" max="2" width="17.1333333333333" style="20" customWidth="1"/>
    <col min="3" max="3" width="7" style="20" customWidth="1"/>
    <col min="4" max="4" width="8.13333333333333" style="20" customWidth="1"/>
    <col min="5" max="5" width="7" style="20" customWidth="1"/>
    <col min="6" max="6" width="7.63333333333333" style="20" customWidth="1"/>
    <col min="7" max="7" width="15.25" style="20" customWidth="1"/>
    <col min="8" max="8" width="7.38333333333333" style="20" customWidth="1"/>
    <col min="9" max="9" width="8.5" style="20" customWidth="1"/>
    <col min="10" max="10" width="7.38333333333333" style="20" customWidth="1"/>
    <col min="11" max="11" width="8.88333333333333" style="20" customWidth="1"/>
    <col min="12" max="12" width="10" style="20" customWidth="1"/>
    <col min="13" max="13" width="17.1333333333333" style="20" customWidth="1"/>
    <col min="14" max="16384" width="9" style="20"/>
  </cols>
  <sheetData>
    <row r="1" s="20" customFormat="1" ht="21.95" customHeight="1" spans="2:16">
      <c r="B1" s="21" t="s">
        <v>5</v>
      </c>
      <c r="C1" s="21"/>
      <c r="D1" s="21"/>
      <c r="E1" s="21"/>
      <c r="F1" s="21"/>
      <c r="G1" s="21"/>
      <c r="H1" s="21"/>
      <c r="I1" s="21"/>
      <c r="J1" s="21"/>
      <c r="K1" s="21"/>
    </row>
    <row r="2" s="20" customFormat="1" ht="21.95" customHeight="1" spans="2:16">
      <c r="B2" s="21"/>
      <c r="C2" s="21"/>
      <c r="D2" s="21"/>
      <c r="E2" s="21"/>
      <c r="F2" s="21"/>
      <c r="G2" s="21"/>
      <c r="H2" s="21"/>
      <c r="I2" s="21"/>
      <c r="J2" s="21"/>
      <c r="K2" s="21"/>
      <c r="M2" s="22" t="s">
        <v>7</v>
      </c>
      <c r="N2" s="22">
        <v>34.2</v>
      </c>
    </row>
    <row r="3" s="20" customFormat="1" ht="21.95" customHeight="1" spans="2:16">
      <c r="B3" s="9" t="s">
        <v>8</v>
      </c>
      <c r="C3" s="9" t="s">
        <v>156</v>
      </c>
      <c r="D3" s="9"/>
      <c r="E3" s="9"/>
      <c r="F3" s="9"/>
      <c r="G3" s="9"/>
      <c r="H3" s="23" t="s">
        <v>157</v>
      </c>
      <c r="I3" s="23"/>
      <c r="J3" s="23"/>
      <c r="K3" s="23"/>
      <c r="M3" s="22" t="s">
        <v>11</v>
      </c>
      <c r="N3" s="22">
        <v>23.4</v>
      </c>
    </row>
    <row r="4" s="20" customFormat="1" ht="21.95" customHeight="1" spans="2:16">
      <c r="B4" s="22" t="s">
        <v>20</v>
      </c>
      <c r="C4" s="9" t="s">
        <v>21</v>
      </c>
      <c r="D4" s="9" t="s">
        <v>19</v>
      </c>
      <c r="E4" s="9" t="s">
        <v>2</v>
      </c>
      <c r="F4" s="9" t="s">
        <v>22</v>
      </c>
      <c r="G4" s="22" t="s">
        <v>20</v>
      </c>
      <c r="H4" s="9" t="s">
        <v>21</v>
      </c>
      <c r="I4" s="9" t="s">
        <v>19</v>
      </c>
      <c r="J4" s="9" t="s">
        <v>2</v>
      </c>
      <c r="K4" s="9" t="s">
        <v>22</v>
      </c>
      <c r="M4" s="22" t="s">
        <v>23</v>
      </c>
      <c r="N4" s="22">
        <v>20.7</v>
      </c>
    </row>
    <row r="5" s="20" customFormat="1" ht="21.95" customHeight="1" spans="2:16">
      <c r="B5" s="22" t="s">
        <v>27</v>
      </c>
      <c r="C5" s="9"/>
      <c r="D5" s="9">
        <v>34.2</v>
      </c>
      <c r="E5" s="9">
        <f t="shared" ref="E5:E29" si="0">D5*C5</f>
        <v>0</v>
      </c>
      <c r="F5" s="9" t="s">
        <v>28</v>
      </c>
      <c r="G5" s="22" t="s">
        <v>29</v>
      </c>
      <c r="H5" s="9"/>
      <c r="I5" s="9">
        <v>25.2</v>
      </c>
      <c r="J5" s="9">
        <f t="shared" ref="J5:J29" si="1">I5*H5</f>
        <v>0</v>
      </c>
      <c r="K5" s="9" t="s">
        <v>28</v>
      </c>
      <c r="M5" s="22" t="s">
        <v>30</v>
      </c>
      <c r="N5" s="22">
        <v>17.1</v>
      </c>
    </row>
    <row r="6" s="20" customFormat="1" ht="21.95" customHeight="1" spans="2:16">
      <c r="B6" s="22" t="s">
        <v>33</v>
      </c>
      <c r="C6" s="9"/>
      <c r="D6" s="9">
        <v>34.2</v>
      </c>
      <c r="E6" s="9">
        <f t="shared" si="0"/>
        <v>0</v>
      </c>
      <c r="F6" s="9" t="s">
        <v>28</v>
      </c>
      <c r="G6" s="22" t="s">
        <v>34</v>
      </c>
      <c r="H6" s="9">
        <v>5</v>
      </c>
      <c r="I6" s="9">
        <v>0</v>
      </c>
      <c r="J6" s="9">
        <f t="shared" si="1"/>
        <v>0</v>
      </c>
      <c r="K6" s="9" t="s">
        <v>28</v>
      </c>
      <c r="M6" s="22" t="s">
        <v>35</v>
      </c>
      <c r="N6" s="22">
        <v>17.1</v>
      </c>
    </row>
    <row r="7" s="20" customFormat="1" ht="21.95" customHeight="1" spans="2:16">
      <c r="B7" s="22" t="s">
        <v>37</v>
      </c>
      <c r="C7" s="9"/>
      <c r="D7" s="9">
        <v>34.2</v>
      </c>
      <c r="E7" s="9">
        <f t="shared" si="0"/>
        <v>0</v>
      </c>
      <c r="F7" s="9" t="s">
        <v>28</v>
      </c>
      <c r="G7" s="22" t="s">
        <v>38</v>
      </c>
      <c r="H7" s="9"/>
      <c r="I7" s="9">
        <v>25.2</v>
      </c>
      <c r="J7" s="9">
        <f t="shared" si="1"/>
        <v>0</v>
      </c>
      <c r="K7" s="9" t="s">
        <v>28</v>
      </c>
      <c r="M7" s="22" t="s">
        <v>39</v>
      </c>
      <c r="N7" s="22">
        <v>23.4</v>
      </c>
      <c r="P7" s="20" t="s">
        <v>98</v>
      </c>
    </row>
    <row r="8" s="20" customFormat="1" ht="21.95" customHeight="1" spans="2:16">
      <c r="B8" s="22" t="s">
        <v>41</v>
      </c>
      <c r="C8" s="9"/>
      <c r="D8" s="9">
        <v>34.2</v>
      </c>
      <c r="E8" s="9">
        <f t="shared" si="0"/>
        <v>0</v>
      </c>
      <c r="F8" s="9" t="s">
        <v>28</v>
      </c>
      <c r="G8" s="22" t="s">
        <v>42</v>
      </c>
      <c r="H8" s="9"/>
      <c r="I8" s="9">
        <v>25.2</v>
      </c>
      <c r="J8" s="9">
        <f t="shared" si="1"/>
        <v>0</v>
      </c>
      <c r="K8" s="9" t="s">
        <v>28</v>
      </c>
      <c r="M8" s="22" t="s">
        <v>43</v>
      </c>
      <c r="N8" s="22">
        <v>2.5</v>
      </c>
    </row>
    <row r="9" s="20" customFormat="1" ht="21.95" customHeight="1" spans="2:16">
      <c r="B9" s="22" t="s">
        <v>45</v>
      </c>
      <c r="C9" s="9"/>
      <c r="D9" s="9">
        <v>34.2</v>
      </c>
      <c r="E9" s="9">
        <f t="shared" si="0"/>
        <v>0</v>
      </c>
      <c r="F9" s="9" t="s">
        <v>28</v>
      </c>
      <c r="G9" s="22" t="s">
        <v>46</v>
      </c>
      <c r="H9" s="9"/>
      <c r="I9" s="9">
        <v>25.2</v>
      </c>
      <c r="J9" s="9">
        <f t="shared" si="1"/>
        <v>0</v>
      </c>
      <c r="K9" s="9" t="s">
        <v>28</v>
      </c>
      <c r="M9" s="22" t="s">
        <v>47</v>
      </c>
      <c r="N9" s="22">
        <v>2.5</v>
      </c>
    </row>
    <row r="10" s="20" customFormat="1" ht="21.95" customHeight="1" spans="2:16">
      <c r="B10" s="22" t="s">
        <v>49</v>
      </c>
      <c r="C10" s="9">
        <v>1</v>
      </c>
      <c r="D10" s="9">
        <v>34.2</v>
      </c>
      <c r="E10" s="9">
        <f t="shared" si="0"/>
        <v>34.2</v>
      </c>
      <c r="F10" s="9" t="s">
        <v>28</v>
      </c>
      <c r="G10" s="22" t="s">
        <v>50</v>
      </c>
      <c r="H10" s="9"/>
      <c r="I10" s="9">
        <v>27</v>
      </c>
      <c r="J10" s="9">
        <f t="shared" si="1"/>
        <v>0</v>
      </c>
      <c r="K10" s="9" t="s">
        <v>28</v>
      </c>
      <c r="M10" s="22" t="s">
        <v>51</v>
      </c>
      <c r="N10" s="22">
        <v>2.5</v>
      </c>
    </row>
    <row r="11" s="20" customFormat="1" ht="21.95" customHeight="1" spans="2:16">
      <c r="B11" s="22" t="s">
        <v>52</v>
      </c>
      <c r="C11" s="9"/>
      <c r="D11" s="9">
        <v>0</v>
      </c>
      <c r="E11" s="9">
        <f t="shared" si="0"/>
        <v>0</v>
      </c>
      <c r="F11" s="9" t="s">
        <v>28</v>
      </c>
      <c r="G11" s="22" t="s">
        <v>53</v>
      </c>
      <c r="H11" s="9"/>
      <c r="I11" s="9">
        <v>23.4</v>
      </c>
      <c r="J11" s="9">
        <f t="shared" si="1"/>
        <v>0</v>
      </c>
      <c r="K11" s="9" t="s">
        <v>28</v>
      </c>
      <c r="M11" s="22" t="s">
        <v>54</v>
      </c>
      <c r="N11" s="22">
        <v>15.2</v>
      </c>
    </row>
    <row r="12" s="20" customFormat="1" ht="21.95" customHeight="1" spans="2:16">
      <c r="B12" s="22" t="s">
        <v>57</v>
      </c>
      <c r="C12" s="9"/>
      <c r="D12" s="9">
        <v>34.2</v>
      </c>
      <c r="E12" s="9">
        <f t="shared" si="0"/>
        <v>0</v>
      </c>
      <c r="F12" s="9" t="s">
        <v>28</v>
      </c>
      <c r="G12" s="22" t="s">
        <v>58</v>
      </c>
      <c r="H12" s="9"/>
      <c r="I12" s="9">
        <v>23.4</v>
      </c>
      <c r="J12" s="9">
        <f t="shared" si="1"/>
        <v>0</v>
      </c>
      <c r="K12" s="9" t="s">
        <v>28</v>
      </c>
      <c r="M12" s="20" t="s">
        <v>59</v>
      </c>
    </row>
    <row r="13" s="20" customFormat="1" ht="21.95" customHeight="1" spans="2:16">
      <c r="B13" s="22" t="s">
        <v>110</v>
      </c>
      <c r="C13" s="9">
        <v>1</v>
      </c>
      <c r="D13" s="9">
        <v>17.1</v>
      </c>
      <c r="E13" s="9">
        <f t="shared" si="0"/>
        <v>17.1</v>
      </c>
      <c r="F13" s="9" t="s">
        <v>28</v>
      </c>
      <c r="G13" s="22" t="s">
        <v>61</v>
      </c>
      <c r="H13" s="9">
        <v>3</v>
      </c>
      <c r="I13" s="9">
        <v>14.4</v>
      </c>
      <c r="J13" s="9">
        <f t="shared" si="1"/>
        <v>43.2</v>
      </c>
      <c r="K13" s="9" t="s">
        <v>28</v>
      </c>
    </row>
    <row r="14" s="20" customFormat="1" ht="21.95" customHeight="1" spans="2:16">
      <c r="B14" s="22" t="s">
        <v>103</v>
      </c>
      <c r="C14" s="9">
        <v>1</v>
      </c>
      <c r="D14" s="9">
        <v>17.1</v>
      </c>
      <c r="E14" s="9">
        <f t="shared" si="0"/>
        <v>17.1</v>
      </c>
      <c r="F14" s="9" t="s">
        <v>28</v>
      </c>
      <c r="G14" s="24" t="s">
        <v>63</v>
      </c>
      <c r="H14" s="9"/>
      <c r="I14" s="9">
        <v>23.4</v>
      </c>
      <c r="J14" s="9">
        <f t="shared" si="1"/>
        <v>0</v>
      </c>
      <c r="K14" s="9" t="s">
        <v>28</v>
      </c>
    </row>
    <row r="15" s="20" customFormat="1" ht="21.95" customHeight="1" spans="2:16">
      <c r="B15" s="22" t="s">
        <v>109</v>
      </c>
      <c r="C15" s="9">
        <v>1</v>
      </c>
      <c r="D15" s="9">
        <v>17.1</v>
      </c>
      <c r="E15" s="9">
        <f t="shared" si="0"/>
        <v>17.1</v>
      </c>
      <c r="F15" s="9" t="s">
        <v>28</v>
      </c>
      <c r="G15" s="24" t="s">
        <v>65</v>
      </c>
      <c r="H15" s="9"/>
      <c r="I15" s="9">
        <v>37.8</v>
      </c>
      <c r="J15" s="9">
        <f t="shared" si="1"/>
        <v>0</v>
      </c>
      <c r="K15" s="9" t="s">
        <v>28</v>
      </c>
    </row>
    <row r="16" s="20" customFormat="1" ht="21.95" customHeight="1" spans="2:16">
      <c r="B16" s="22" t="s">
        <v>105</v>
      </c>
      <c r="C16" s="9">
        <v>1</v>
      </c>
      <c r="D16" s="9">
        <v>17.1</v>
      </c>
      <c r="E16" s="9">
        <f t="shared" si="0"/>
        <v>17.1</v>
      </c>
      <c r="F16" s="9" t="s">
        <v>28</v>
      </c>
      <c r="G16" s="24" t="s">
        <v>67</v>
      </c>
      <c r="H16" s="9"/>
      <c r="I16" s="9">
        <v>37.8</v>
      </c>
      <c r="J16" s="9">
        <f t="shared" si="1"/>
        <v>0</v>
      </c>
      <c r="K16" s="9" t="s">
        <v>28</v>
      </c>
    </row>
    <row r="17" s="20" customFormat="1" ht="21.95" customHeight="1" spans="2:11">
      <c r="B17" s="22" t="s">
        <v>60</v>
      </c>
      <c r="C17" s="9">
        <v>1</v>
      </c>
      <c r="D17" s="9">
        <v>17.1</v>
      </c>
      <c r="E17" s="9">
        <f t="shared" si="0"/>
        <v>17.1</v>
      </c>
      <c r="F17" s="9" t="s">
        <v>28</v>
      </c>
      <c r="G17" s="24" t="s">
        <v>35</v>
      </c>
      <c r="H17" s="9"/>
      <c r="I17" s="9">
        <v>17.1</v>
      </c>
      <c r="J17" s="9">
        <f t="shared" si="1"/>
        <v>0</v>
      </c>
      <c r="K17" s="9" t="s">
        <v>28</v>
      </c>
    </row>
    <row r="18" s="20" customFormat="1" ht="21.95" customHeight="1" spans="2:11">
      <c r="B18" s="22" t="s">
        <v>70</v>
      </c>
      <c r="C18" s="9"/>
      <c r="D18" s="9">
        <v>34.2</v>
      </c>
      <c r="E18" s="9">
        <f t="shared" si="0"/>
        <v>0</v>
      </c>
      <c r="F18" s="9" t="s">
        <v>28</v>
      </c>
      <c r="G18" s="24" t="s">
        <v>30</v>
      </c>
      <c r="H18" s="9"/>
      <c r="I18" s="9">
        <v>17.1</v>
      </c>
      <c r="J18" s="9">
        <f t="shared" si="1"/>
        <v>0</v>
      </c>
      <c r="K18" s="9" t="s">
        <v>28</v>
      </c>
    </row>
    <row r="19" s="20" customFormat="1" ht="21.95" customHeight="1" spans="2:11">
      <c r="B19" s="22" t="s">
        <v>72</v>
      </c>
      <c r="C19" s="9"/>
      <c r="D19" s="9">
        <v>34.2</v>
      </c>
      <c r="E19" s="9">
        <f t="shared" si="0"/>
        <v>0</v>
      </c>
      <c r="F19" s="9" t="s">
        <v>28</v>
      </c>
      <c r="G19" s="22" t="s">
        <v>71</v>
      </c>
      <c r="H19" s="9">
        <v>1</v>
      </c>
      <c r="I19" s="9">
        <v>0</v>
      </c>
      <c r="J19" s="9">
        <f t="shared" si="1"/>
        <v>0</v>
      </c>
      <c r="K19" s="9" t="s">
        <v>28</v>
      </c>
    </row>
    <row r="20" s="20" customFormat="1" ht="21.95" customHeight="1" spans="2:11">
      <c r="B20" s="22" t="s">
        <v>74</v>
      </c>
      <c r="C20" s="9"/>
      <c r="D20" s="9">
        <v>34.2</v>
      </c>
      <c r="E20" s="9">
        <f t="shared" si="0"/>
        <v>0</v>
      </c>
      <c r="F20" s="9"/>
      <c r="G20" s="22" t="s">
        <v>73</v>
      </c>
      <c r="H20" s="9"/>
      <c r="I20" s="9">
        <v>34.2</v>
      </c>
      <c r="J20" s="9">
        <f t="shared" si="1"/>
        <v>0</v>
      </c>
      <c r="K20" s="9"/>
    </row>
    <row r="21" s="20" customFormat="1" ht="21.95" customHeight="1" spans="2:11">
      <c r="B21" s="22" t="s">
        <v>99</v>
      </c>
      <c r="C21" s="9"/>
      <c r="D21" s="9">
        <v>34.2</v>
      </c>
      <c r="E21" s="9">
        <f t="shared" si="0"/>
        <v>0</v>
      </c>
      <c r="F21" s="9"/>
      <c r="G21" s="22" t="s">
        <v>75</v>
      </c>
      <c r="H21" s="9"/>
      <c r="I21" s="9">
        <v>34.2</v>
      </c>
      <c r="J21" s="9">
        <f t="shared" si="1"/>
        <v>0</v>
      </c>
      <c r="K21" s="9"/>
    </row>
    <row r="22" s="20" customFormat="1" ht="21.95" customHeight="1" spans="2:11">
      <c r="B22" s="22" t="s">
        <v>64</v>
      </c>
      <c r="C22" s="9"/>
      <c r="D22" s="9">
        <v>34.2</v>
      </c>
      <c r="E22" s="9">
        <f t="shared" si="0"/>
        <v>0</v>
      </c>
      <c r="F22" s="9"/>
      <c r="G22" s="22" t="s">
        <v>100</v>
      </c>
      <c r="H22" s="9"/>
      <c r="I22" s="9">
        <v>34.2</v>
      </c>
      <c r="J22" s="9">
        <f t="shared" si="1"/>
        <v>0</v>
      </c>
      <c r="K22" s="9"/>
    </row>
    <row r="23" s="20" customFormat="1" ht="21.95" customHeight="1" spans="2:11">
      <c r="B23" s="22" t="s">
        <v>77</v>
      </c>
      <c r="C23" s="9"/>
      <c r="D23" s="9">
        <v>34.2</v>
      </c>
      <c r="E23" s="9">
        <f t="shared" si="0"/>
        <v>0</v>
      </c>
      <c r="F23" s="9"/>
      <c r="G23" s="22" t="s">
        <v>78</v>
      </c>
      <c r="H23" s="9"/>
      <c r="I23" s="9">
        <v>23.4</v>
      </c>
      <c r="J23" s="9">
        <f t="shared" si="1"/>
        <v>0</v>
      </c>
      <c r="K23" s="9"/>
    </row>
    <row r="24" s="20" customFormat="1" ht="21.95" customHeight="1" spans="2:11">
      <c r="B24" s="22" t="s">
        <v>79</v>
      </c>
      <c r="C24" s="9"/>
      <c r="D24" s="9">
        <v>34.2</v>
      </c>
      <c r="E24" s="9">
        <f t="shared" si="0"/>
        <v>0</v>
      </c>
      <c r="F24" s="9"/>
      <c r="G24" s="22" t="s">
        <v>80</v>
      </c>
      <c r="H24" s="9"/>
      <c r="I24" s="9">
        <v>23.4</v>
      </c>
      <c r="J24" s="9">
        <f t="shared" si="1"/>
        <v>0</v>
      </c>
      <c r="K24" s="9"/>
    </row>
    <row r="25" s="20" customFormat="1" ht="21.95" customHeight="1" spans="2:11">
      <c r="B25" s="22" t="s">
        <v>81</v>
      </c>
      <c r="C25" s="9"/>
      <c r="D25" s="9">
        <v>34.2</v>
      </c>
      <c r="E25" s="9">
        <f t="shared" si="0"/>
        <v>0</v>
      </c>
      <c r="F25" s="9"/>
      <c r="G25" s="22" t="s">
        <v>82</v>
      </c>
      <c r="H25" s="9"/>
      <c r="I25" s="9">
        <v>23.4</v>
      </c>
      <c r="J25" s="9">
        <f t="shared" si="1"/>
        <v>0</v>
      </c>
      <c r="K25" s="9"/>
    </row>
    <row r="26" s="20" customFormat="1" ht="21.95" customHeight="1" spans="2:11">
      <c r="B26" s="22" t="s">
        <v>83</v>
      </c>
      <c r="C26" s="9"/>
      <c r="D26" s="9">
        <v>23.4</v>
      </c>
      <c r="E26" s="9">
        <f t="shared" si="0"/>
        <v>0</v>
      </c>
      <c r="F26" s="9"/>
      <c r="G26" s="22" t="s">
        <v>84</v>
      </c>
      <c r="H26" s="9"/>
      <c r="I26" s="9">
        <v>23.4</v>
      </c>
      <c r="J26" s="9">
        <f t="shared" si="1"/>
        <v>0</v>
      </c>
      <c r="K26" s="9"/>
    </row>
    <row r="27" s="20" customFormat="1" ht="21.95" customHeight="1" spans="2:11">
      <c r="B27" s="22" t="s">
        <v>85</v>
      </c>
      <c r="C27" s="9"/>
      <c r="D27" s="9">
        <v>34.2</v>
      </c>
      <c r="E27" s="9">
        <f t="shared" si="0"/>
        <v>0</v>
      </c>
      <c r="F27" s="9"/>
      <c r="G27" s="22" t="s">
        <v>86</v>
      </c>
      <c r="H27" s="9"/>
      <c r="I27" s="9">
        <v>23.4</v>
      </c>
      <c r="J27" s="9">
        <f t="shared" si="1"/>
        <v>0</v>
      </c>
      <c r="K27" s="9"/>
    </row>
    <row r="28" s="20" customFormat="1" ht="21.95" customHeight="1" spans="2:11">
      <c r="B28" s="22" t="s">
        <v>87</v>
      </c>
      <c r="C28" s="9"/>
      <c r="D28" s="9">
        <v>23.4</v>
      </c>
      <c r="E28" s="9">
        <f t="shared" si="0"/>
        <v>0</v>
      </c>
      <c r="F28" s="9"/>
      <c r="G28" s="22" t="s">
        <v>88</v>
      </c>
      <c r="H28" s="9"/>
      <c r="I28" s="9">
        <v>23.4</v>
      </c>
      <c r="J28" s="9">
        <f t="shared" si="1"/>
        <v>0</v>
      </c>
      <c r="K28" s="9"/>
    </row>
    <row r="29" s="20" customFormat="1" ht="21.95" customHeight="1" spans="2:11">
      <c r="B29" s="22" t="s">
        <v>89</v>
      </c>
      <c r="C29" s="9"/>
      <c r="D29" s="9">
        <v>20.7</v>
      </c>
      <c r="E29" s="9">
        <f t="shared" si="0"/>
        <v>0</v>
      </c>
      <c r="F29" s="9"/>
      <c r="G29" s="22" t="s">
        <v>90</v>
      </c>
      <c r="H29" s="9"/>
      <c r="I29" s="9">
        <v>23.4</v>
      </c>
      <c r="J29" s="9">
        <f t="shared" si="1"/>
        <v>0</v>
      </c>
      <c r="K29" s="9"/>
    </row>
    <row r="30" s="20" customFormat="1" ht="21.95" customHeight="1" spans="2:11">
      <c r="B30" s="22" t="s">
        <v>91</v>
      </c>
      <c r="C30" s="25"/>
      <c r="D30" s="26"/>
      <c r="E30" s="26"/>
      <c r="F30" s="27"/>
      <c r="G30" s="22" t="s">
        <v>92</v>
      </c>
      <c r="H30" s="25">
        <v>81</v>
      </c>
      <c r="I30" s="26"/>
      <c r="J30" s="26"/>
      <c r="K30" s="27"/>
    </row>
    <row r="31" s="20" customFormat="1" ht="21" customHeight="1" spans="2:11">
      <c r="B31" s="22" t="s">
        <v>93</v>
      </c>
      <c r="C31" s="25">
        <v>765</v>
      </c>
      <c r="D31" s="26"/>
      <c r="E31" s="26"/>
      <c r="F31" s="27"/>
      <c r="G31" s="28"/>
      <c r="H31" s="23"/>
      <c r="I31" s="23"/>
      <c r="J31" s="23"/>
      <c r="K31" s="23"/>
    </row>
    <row r="32" s="20" customFormat="1" ht="21.95" customHeight="1" spans="2:11">
      <c r="B32" s="22" t="s">
        <v>94</v>
      </c>
      <c r="C32" s="25">
        <f>E5+E6+E7+E8+E9+E10+E11+E12+E13+E14+E15+E16+E17+E18+E19+E20+E21+E22+E23+E24+E25+E26+E27+E28+E29+J5+J6+J7+J8+J9+J10+J11+J12+J13+J14+J15+J16+J17+J18+J19+J20+J21+J22+J23+J24+J25+J26+J27+J28+J29+C30+H30+C31</f>
        <v>1008.9</v>
      </c>
      <c r="D32" s="26"/>
      <c r="E32" s="26"/>
      <c r="F32" s="27"/>
      <c r="G32" s="22" t="s">
        <v>95</v>
      </c>
      <c r="H32" s="26" t="str">
        <f>IF(C32&lt;0,"金额为负无效",IF(OR(C32=0,C32=""),"(人民币)零元整",(IF(C32&lt;1,"(人民币)",TEXT(INT(C32),"[dbnum2](人民币)G/通用格式")&amp;"元"&amp;IF(INT(C32)*100-INT(C32*100)=0,"整",IF(INT(C32*10)-INT(C32)*10=0,"零"&amp;TEXT((INT(C32*100)-INT(C32*10)*10),"[dbnum2]")&amp;"分",IF(INT(C32*10)*10-INT(C32*100)=0,TEXT(INT(C32*10)-INT(C32)*10,"[dbnum2]")&amp;"角",TEXT(INT(C32*10)-INT(C32)*10,"[dbnum2]")&amp;"角"&amp;TEXT((INT(C32*100)-INT(C32*10)*10),"[dbnum2]")&amp;"分")))))))</f>
        <v>(人民币)壹仟零捌元玖角</v>
      </c>
      <c r="I32" s="26"/>
      <c r="J32" s="26"/>
      <c r="K32" s="27"/>
    </row>
    <row r="33" s="20" customFormat="1" ht="20" customHeight="1" spans="2:11">
      <c r="B33" s="29"/>
      <c r="C33" s="30" t="s">
        <v>55</v>
      </c>
      <c r="D33" s="30"/>
      <c r="E33" s="29"/>
      <c r="F33" s="30"/>
      <c r="G33" s="31" t="s">
        <v>56</v>
      </c>
      <c r="H33" s="29"/>
      <c r="I33" s="29"/>
      <c r="K33" s="29"/>
    </row>
  </sheetData>
  <mergeCells count="9">
    <mergeCell ref="B1:K1"/>
    <mergeCell ref="C3:G3"/>
    <mergeCell ref="H3:K3"/>
    <mergeCell ref="C30:F30"/>
    <mergeCell ref="H30:K30"/>
    <mergeCell ref="C31:F31"/>
    <mergeCell ref="G31:K31"/>
    <mergeCell ref="C32:F32"/>
    <mergeCell ref="H32:K3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8" sqref="A8:H8"/>
    </sheetView>
  </sheetViews>
  <sheetFormatPr defaultColWidth="9" defaultRowHeight="13.5"/>
  <cols>
    <col min="1" max="1" width="9.375" customWidth="1"/>
    <col min="2" max="2" width="8.875" customWidth="1"/>
    <col min="3" max="3" width="8.125" customWidth="1"/>
    <col min="4" max="4" width="22.5" customWidth="1"/>
    <col min="5" max="5" width="9.375"/>
    <col min="6" max="6" width="24" customWidth="1"/>
    <col min="8" max="8" width="6.375" customWidth="1"/>
    <col min="9" max="9" width="9.375" customWidth="1"/>
  </cols>
  <sheetData>
    <row r="1" spans="1:9">
      <c r="A1" s="1" t="s">
        <v>158</v>
      </c>
      <c r="B1" s="1"/>
      <c r="C1" s="1"/>
      <c r="D1" s="1"/>
      <c r="E1" s="1"/>
      <c r="F1" s="1"/>
      <c r="G1" s="1"/>
      <c r="H1" s="1"/>
      <c r="I1" s="2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4" t="s">
        <v>4</v>
      </c>
    </row>
    <row r="4" ht="24" spans="1:9">
      <c r="A4" s="5">
        <v>46113</v>
      </c>
      <c r="B4" s="6">
        <v>1591281</v>
      </c>
      <c r="C4" s="6" t="s">
        <v>24</v>
      </c>
      <c r="D4" s="7" t="s">
        <v>25</v>
      </c>
      <c r="E4" s="6">
        <v>20419769</v>
      </c>
      <c r="F4" s="7" t="s">
        <v>26</v>
      </c>
      <c r="G4" s="8">
        <v>1</v>
      </c>
      <c r="H4" s="9">
        <v>198</v>
      </c>
      <c r="I4" s="9">
        <f>36*5.5</f>
        <v>198</v>
      </c>
    </row>
    <row r="5" ht="24" spans="1:9">
      <c r="A5" s="5">
        <v>46113</v>
      </c>
      <c r="B5" s="6">
        <v>1591281</v>
      </c>
      <c r="C5" s="6" t="s">
        <v>24</v>
      </c>
      <c r="D5" s="7" t="s">
        <v>31</v>
      </c>
      <c r="E5" s="6">
        <v>20419771</v>
      </c>
      <c r="F5" s="7" t="s">
        <v>32</v>
      </c>
      <c r="G5" s="8">
        <v>1</v>
      </c>
      <c r="H5" s="9">
        <v>369</v>
      </c>
      <c r="I5" s="9">
        <f>58*5.5+50</f>
        <v>369</v>
      </c>
    </row>
    <row r="6" ht="24" spans="1:9">
      <c r="A6" s="5">
        <v>46113</v>
      </c>
      <c r="B6" s="6">
        <v>1591281</v>
      </c>
      <c r="C6" s="6" t="s">
        <v>24</v>
      </c>
      <c r="D6" s="7" t="s">
        <v>31</v>
      </c>
      <c r="E6" s="6">
        <v>20419770</v>
      </c>
      <c r="F6" s="7" t="s">
        <v>36</v>
      </c>
      <c r="G6" s="8">
        <v>1</v>
      </c>
      <c r="H6" s="9">
        <v>236.5</v>
      </c>
      <c r="I6" s="9">
        <f>43*5.5</f>
        <v>236.5</v>
      </c>
    </row>
    <row r="7" spans="1:9">
      <c r="A7" s="10" t="s">
        <v>40</v>
      </c>
      <c r="B7" s="10"/>
      <c r="C7" s="10"/>
      <c r="D7" s="10"/>
      <c r="E7" s="10"/>
      <c r="F7" s="10"/>
      <c r="G7" s="10"/>
      <c r="H7" s="10"/>
      <c r="I7" s="11">
        <v>765</v>
      </c>
    </row>
    <row r="8" spans="1:9">
      <c r="A8" s="12" t="s">
        <v>44</v>
      </c>
      <c r="B8" s="12"/>
      <c r="C8" s="12"/>
      <c r="D8" s="12"/>
      <c r="E8" s="12"/>
      <c r="F8" s="12"/>
      <c r="G8" s="12"/>
      <c r="H8" s="12"/>
      <c r="I8" s="11">
        <v>81</v>
      </c>
    </row>
    <row r="9" spans="1:9">
      <c r="A9" s="12" t="s">
        <v>48</v>
      </c>
      <c r="B9" s="12"/>
      <c r="C9" s="12"/>
      <c r="D9" s="12"/>
      <c r="E9" s="12"/>
      <c r="F9" s="12"/>
      <c r="G9" s="12"/>
      <c r="H9" s="12"/>
      <c r="I9" s="11">
        <v>150</v>
      </c>
    </row>
    <row r="10" spans="1:9">
      <c r="A10" s="12" t="s">
        <v>4</v>
      </c>
      <c r="B10" s="12"/>
      <c r="C10" s="12"/>
      <c r="D10" s="12"/>
      <c r="E10" s="12"/>
      <c r="F10" s="12"/>
      <c r="G10" s="12"/>
      <c r="H10" s="12"/>
      <c r="I10" s="13">
        <v>1799.5</v>
      </c>
    </row>
    <row r="11" spans="1:9">
      <c r="A11" s="14" t="s">
        <v>55</v>
      </c>
      <c r="B11" s="15"/>
      <c r="C11" s="16"/>
      <c r="D11" s="17"/>
      <c r="E11" s="18" t="s">
        <v>56</v>
      </c>
      <c r="F11" s="17"/>
      <c r="G11" s="17"/>
      <c r="H11" s="17"/>
      <c r="I11" s="19"/>
    </row>
  </sheetData>
  <mergeCells count="5">
    <mergeCell ref="A7:H7"/>
    <mergeCell ref="A8:H8"/>
    <mergeCell ref="A9:H9"/>
    <mergeCell ref="A10:H10"/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汇总</vt:lpstr>
      <vt:lpstr>4.1</vt:lpstr>
      <vt:lpstr>4.2</vt:lpstr>
      <vt:lpstr>4.3</vt:lpstr>
      <vt:lpstr>4.8</vt:lpstr>
      <vt:lpstr>4.9</vt:lpstr>
      <vt:lpstr>4.10</vt:lpstr>
      <vt:lpstr>4.13</vt:lpstr>
      <vt:lpstr>4.14</vt:lpstr>
      <vt:lpstr>4.15</vt:lpstr>
      <vt:lpstr>4.17</vt:lpstr>
      <vt:lpstr>4.20</vt:lpstr>
      <vt:lpstr>4.21</vt:lpstr>
      <vt:lpstr>4.23</vt:lpstr>
      <vt:lpstr>4.27</vt:lpstr>
      <vt:lpstr>4.28</vt:lpstr>
      <vt:lpstr>4.29</vt:lpstr>
      <vt:lpstr>4.30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2023-11-03T08:59:00Z</dcterms:created>
  <dcterms:modified xsi:type="dcterms:W3CDTF">2026-05-11T07:07:04Z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345608814C28482FB34B0321850419F0_13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