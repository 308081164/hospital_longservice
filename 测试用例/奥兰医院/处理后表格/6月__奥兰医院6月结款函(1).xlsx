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760" windowHeight="12255"/>
  </bookViews>
  <sheets>
    <sheet name="奥兰医院" sheetId="1" r:id="rId1"/>
  </sheets>
  <externalReferences>
    <externalReference r:id="rId2"/>
  </externalReferences>
  <definedNames>
    <definedName name="_xlnm.Print_Titles" localSheetId="0">奥兰医院!$1:$4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<sst xmlns="http://schemas.openxmlformats.org/spreadsheetml/2006/main" count="44" uniqueCount="17">
  <si>
    <t/>
  </si>
  <si>
    <r>
      <rPr>
        <b/>
        <sz val="14"/>
        <color rgb="FF000000"/>
        <rFont val="宋体"/>
        <charset val="134"/>
      </rPr>
      <t>哈尔滨奥兰医院有限公司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</si>
  <si>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哈尔滨奥兰医院有限公司</t>
    </r>
  </si>
  <si>
    <t>从:2026年6月1日  至: 2026年6月30日 灭菌费用总清单如下：</t>
  </si>
  <si>
    <t>序号</t>
  </si>
  <si>
    <t>条目</t>
  </si>
  <si>
    <t>费用</t>
  </si>
  <si>
    <t>备注</t>
  </si>
  <si>
    <t>１</t>
  </si>
  <si>
    <t>灭菌费用</t>
  </si>
  <si>
    <t>２</t>
  </si>
  <si>
    <t>外来器械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</si>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</sst>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5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2885;&#20848;&#21307;&#38498;6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妇科门诊"/>
      <sheetName val="门诊处置室"/>
      <sheetName val="手术室"/>
      <sheetName val="外二科"/>
      <sheetName val="外一科"/>
      <sheetName val="外来器械"/>
    </sheetNames>
    <sheetDataSet>
      <sheetData sheetId="0">
        <row r="10">
          <cell r="K10">
            <v>1191</v>
          </cell>
        </row>
      </sheetData>
      <sheetData sheetId="1">
        <row r="8">
          <cell r="K8">
            <v>603</v>
          </cell>
        </row>
      </sheetData>
      <sheetData sheetId="2">
        <row r="8">
          <cell r="K8">
            <v>45932.5</v>
          </cell>
        </row>
      </sheetData>
      <sheetData sheetId="3">
        <row r="8">
          <cell r="K8">
            <v>73.5</v>
          </cell>
        </row>
      </sheetData>
      <sheetData sheetId="4">
        <row r="8">
          <cell r="K8">
            <v>202.5</v>
          </cell>
        </row>
      </sheetData>
      <sheetData sheetId="5">
        <row r="9">
          <cell r="L9">
            <v>12792.5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workbookViewId="0">
      <pane ySplit="4" topLeftCell="A5" activePane="bottomLeft" state="frozen"/>
      <selection/>
      <selection pane="bottomLeft" activeCell="F15" sqref="F15:G15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f>[1]妇科门诊!$K$10+[1]门诊处置室!$K$8+[1]手术室!$K$8+[1]外二科!$K$8+[1]外一科!$K$8</f>
        <v>48002.5</v>
      </c>
      <c r="G12" s="7" t="s">
        <v>0</v>
      </c>
      <c r="H12" s="6"/>
      <c r="I12" s="7"/>
    </row>
    <row r="13" ht="30" customHeight="1" spans="3:9">
      <c r="D13" s="6" t="s">
        <v>10</v>
      </c>
      <c r="E13" s="9" t="s">
        <v>11</v>
      </c>
      <c r="F13" s="8">
        <f>[1]外来器械!$L$9</f>
        <v>12792.5</v>
      </c>
      <c r="G13" s="7" t="s">
        <v>0</v>
      </c>
      <c r="H13" s="6"/>
      <c r="I13" s="7"/>
    </row>
    <row r="14" ht="30" customHeight="1" spans="3:9">
      <c r="D14" s="6" t="s">
        <v>12</v>
      </c>
      <c r="E14" s="7" t="s">
        <v>0</v>
      </c>
      <c r="F14" s="8">
        <f>F12+F13</f>
        <v>60795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13</v>
      </c>
      <c r="E15" s="7" t="s">
        <v>0</v>
      </c>
      <c r="F15" s="10">
        <f>F14</f>
        <v>60795</v>
      </c>
      <c r="G15" s="11" t="s">
        <v>0</v>
      </c>
      <c r="H15" s="6"/>
      <c r="I15" s="7"/>
    </row>
    <row r="16" ht="12" customHeight="1" spans="3:9">
      <c r="D16" s="4" t="s">
        <v>0</v>
      </c>
    </row>
    <row r="17" ht="188.7" customHeight="1" spans="4:8">
      <c r="D17" s="5" t="s">
        <v>14</v>
      </c>
    </row>
    <row r="18" ht="18.75" spans="4:8">
      <c r="D18" s="12" t="s">
        <v>0</v>
      </c>
      <c r="E18" s="12" t="s">
        <v>0</v>
      </c>
      <c r="F18" s="13" t="s">
        <v>15</v>
      </c>
      <c r="H18" s="12" t="s">
        <v>0</v>
      </c>
    </row>
    <row r="19" ht="36" customHeight="1" spans="4:8">
      <c r="D19" s="14" t="s">
        <v>16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奥兰医院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2026-06-04T06:48:00Z</dcterms:created>
  <dcterms:modified xsi:type="dcterms:W3CDTF">2026-07-14T09:53:54Z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A4AE398FB1F040DB8A563F0B661D1643_13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