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105" windowHeight="10935" firstSheet="3"/>
  </bookViews>
  <sheets>
    <sheet name="汇总" sheetId="10" r:id="rId1"/>
    <sheet name="妇科" sheetId="1" r:id="rId2"/>
    <sheet name="美容科" sheetId="2" r:id="rId3"/>
    <sheet name="肾七科" sheetId="3" r:id="rId4"/>
    <sheet name="手术室" sheetId="4" r:id="rId5"/>
    <sheet name="透析科" sheetId="5" r:id="rId6"/>
    <sheet name="外二肛肠二科" sheetId="6" r:id="rId7"/>
    <sheet name="针六科" sheetId="7" r:id="rId8"/>
    <sheet name="针三科" sheetId="8" r:id="rId9"/>
  </sheets>
  <definedNames>
    <definedName name="_xlnm._FilterDatabase" localSheetId="2" hidden="1">美容科!$A$7:$K$23</definedName>
    <definedName name="_xlnm.Print_Titles" localSheetId="1">妇科!$1:$6</definedName>
    <definedName name="_xlnm.Print_Titles" localSheetId="2">美容科!$1:$6</definedName>
    <definedName name="_xlnm.Print_Titles" localSheetId="3">肾七科!$1:$6</definedName>
    <definedName name="_xlnm.Print_Titles" localSheetId="4">手术室!$1:$6</definedName>
    <definedName name="_xlnm.Print_Titles" localSheetId="5">透析科!$1:$6</definedName>
    <definedName name="_xlnm.Print_Titles" localSheetId="6">外二肛肠二科!$1:$6</definedName>
    <definedName name="_xlnm.Print_Titles" localSheetId="7">针六科!$1:$6</definedName>
    <definedName name="_xlnm.Print_Titles" localSheetId="8">针三科!$1:$6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<sst xmlns="http://schemas.openxmlformats.org/spreadsheetml/2006/main" count="291" uniqueCount="65">
  <si>
    <r>
      <rPr>
        <b/>
        <sz val="14"/>
        <color rgb="FF000000"/>
        <rFont val="宋体"/>
        <charset val="134"/>
      </rPr>
      <t>祖研-黑龙江省中医医院（南岗院区）</t>
    </r>
    <r>
      <rPr>
        <b/>
        <sz val="14"/>
        <color rgb="FF000000"/>
        <rFont val="宋体"/>
        <charset val="134"/>
      </rPr>
      <t>各科室</t>
    </r>
    <r>
      <rPr>
        <b/>
        <sz val="14"/>
        <color rgb="FF000000"/>
        <rFont val="宋体"/>
        <charset val="134"/>
      </rPr>
      <t>2026年3月</t>
    </r>
    <r>
      <rPr>
        <b/>
        <sz val="14"/>
        <color rgb="FF000000"/>
        <rFont val="宋体"/>
        <charset val="134"/>
      </rPr>
      <t>灭菌价格汇总</t>
    </r>
  </si>
  <si>
    <t>科室</t>
  </si>
  <si>
    <t>价格</t>
  </si>
  <si>
    <t>妇科</t>
  </si>
  <si>
    <t>供应室</t>
  </si>
  <si>
    <t>美容科</t>
  </si>
  <si>
    <t>肾七科</t>
  </si>
  <si>
    <t>手术室</t>
  </si>
  <si>
    <t>透析科</t>
  </si>
  <si>
    <t>外二/肛肠二科</t>
  </si>
  <si>
    <t>针六科</t>
  </si>
  <si>
    <t>针三科</t>
  </si>
  <si>
    <t>物流费</t>
  </si>
  <si>
    <t>合计</t>
  </si>
  <si>
    <t/>
  </si>
  <si>
    <t>制表人：　　　　　　　　　核算人：　　　　　　　　甲方核算人：</t>
  </si>
  <si>
    <t>黑龙江省铂康医疗灭菌有限公司
2026年3月31日</t>
  </si>
  <si>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</si>
  <si>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</si>
  <si>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r>
      <rPr>
        <sz val="12"/>
        <color rgb="FFFFFFFF"/>
        <rFont val="宋体"/>
        <charset val="134"/>
      </rPr>
      <t>祖研</t>
    </r>
    <r>
      <rPr>
        <sz val="12"/>
        <color rgb="FFFFFFFF"/>
        <rFont val="Droid Sans Fallback"/>
        <charset val="134"/>
      </rPr>
      <t>-</t>
    </r>
    <r>
      <rPr>
        <sz val="12"/>
        <color rgb="FFFFFFFF"/>
        <rFont val="宋体"/>
        <charset val="134"/>
      </rPr>
      <t>黑龙江省中医医院（南岗院区）</t>
    </r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</si>
  <si>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</si>
  <si>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</si>
  <si>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</si>
  <si>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</si>
  <si>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</si>
  <si>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</si>
  <si>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</si>
  <si>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</si>
  <si>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额外包(纸塑袋)</t>
  </si>
  <si>
    <t>活检钳-1/Z1535</t>
  </si>
  <si>
    <t>额外包(无纺布)</t>
  </si>
  <si>
    <t>镊子-10件/W6050</t>
  </si>
  <si>
    <t>弯盘-1/Z2032</t>
  </si>
  <si>
    <t>止血钳-1/z1029</t>
  </si>
  <si>
    <t>器械包(ZSD)</t>
  </si>
  <si>
    <t>刮宫包</t>
  </si>
  <si>
    <t>排针20/W6050</t>
  </si>
  <si>
    <t>器械包-115件（筐1）/W9050</t>
  </si>
  <si>
    <t>镊子-1/z7526</t>
  </si>
  <si>
    <t>排针-30/w6050</t>
  </si>
  <si>
    <t>器械包-14件/w6050</t>
  </si>
  <si>
    <t>器械包-52件（筐1）/W9050</t>
  </si>
  <si>
    <t>排针-35/w6050</t>
  </si>
  <si>
    <t>器械包-84件（筐1）/W9050</t>
  </si>
  <si>
    <t>器械包-36件（筐1）/W9050</t>
  </si>
  <si>
    <t>敷料包(无纺布包)</t>
  </si>
  <si>
    <t>无菌包（纱布）/W12050</t>
  </si>
  <si>
    <t>器械包-54件（筐1）/W9050</t>
  </si>
  <si>
    <t>排针-34/w6050</t>
  </si>
  <si>
    <t>器械包-68件（筐1）/W9050</t>
  </si>
  <si>
    <t>开口器自背包-3件/z1526</t>
  </si>
  <si>
    <t>器械包</t>
  </si>
  <si>
    <t>门诊小包</t>
  </si>
  <si>
    <t>透析器械包</t>
  </si>
  <si>
    <t>换药碗-1/Z2530</t>
  </si>
  <si>
    <t>持物钳罐-2件/W6050</t>
  </si>
  <si>
    <t>肛肠包</t>
  </si>
  <si>
    <t>瘘刀包-3件/z1026</t>
  </si>
  <si>
    <t>敷料包(纸塑袋)</t>
  </si>
  <si>
    <t>大纱布/Z3032</t>
  </si>
  <si>
    <t>小纱球/Z1526</t>
  </si>
  <si>
    <t>持针器-1/Z1026</t>
  </si>
  <si>
    <t>镊子-22件/w6050</t>
  </si>
  <si>
    <t>镊子-21件/w6050</t>
  </si>
  <si>
    <t>棉球/Z3040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</si>
</sst>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DBNum2][$RMB]General;[Red][DBNum2][$RMB]General"/>
  </numFmts>
  <fonts count="32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10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3" applyNumberFormat="0" applyAlignment="0" applyProtection="0">
      <alignment vertical="center"/>
    </xf>
    <xf numFmtId="0" fontId="21" fillId="6" borderId="14" applyNumberFormat="0" applyAlignment="0" applyProtection="0">
      <alignment vertical="center"/>
    </xf>
    <xf numFmtId="0" fontId="22" fillId="6" borderId="13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/>
  </cellStyleXfs>
  <cellXfs count="30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0" fillId="0" borderId="5" xfId="49" applyNumberFormat="1" applyFont="1" applyFill="1" applyBorder="1" applyAlignment="1">
      <alignment vertical="top" wrapText="1"/>
    </xf>
    <xf numFmtId="0" fontId="0" fillId="0" borderId="6" xfId="49" applyNumberFormat="1" applyFont="1" applyFill="1" applyBorder="1" applyAlignment="1">
      <alignment vertical="top" wrapText="1"/>
    </xf>
    <xf numFmtId="0" fontId="0" fillId="0" borderId="7" xfId="49" applyNumberFormat="1" applyFont="1" applyFill="1" applyBorder="1" applyAlignment="1">
      <alignment vertical="top" wrapText="1"/>
    </xf>
    <xf numFmtId="0" fontId="5" fillId="3" borderId="3" xfId="49" applyNumberFormat="1" applyFont="1" applyFill="1" applyBorder="1" applyAlignment="1">
      <alignment vertical="top" wrapText="1" readingOrder="1"/>
    </xf>
    <xf numFmtId="0" fontId="6" fillId="3" borderId="3" xfId="49" applyNumberFormat="1" applyFont="1" applyFill="1" applyBorder="1" applyAlignment="1">
      <alignment horizontal="center" vertical="top" wrapText="1" readingOrder="1"/>
    </xf>
    <xf numFmtId="176" fontId="6" fillId="3" borderId="3" xfId="49" applyNumberFormat="1" applyFont="1" applyFill="1" applyBorder="1" applyAlignment="1">
      <alignment horizontal="center" vertical="top" wrapText="1" readingOrder="1"/>
    </xf>
    <xf numFmtId="0" fontId="0" fillId="0" borderId="0" xfId="0" applyFont="1" applyFill="1" applyBorder="1" applyAlignment="1"/>
    <xf numFmtId="0" fontId="7" fillId="0" borderId="0" xfId="0" applyNumberFormat="1" applyFont="1" applyFill="1" applyBorder="1" applyAlignment="1">
      <alignment horizontal="center" vertical="center" wrapText="1" readingOrder="1"/>
    </xf>
    <xf numFmtId="0" fontId="8" fillId="0" borderId="8" xfId="0" applyNumberFormat="1" applyFont="1" applyFill="1" applyBorder="1" applyAlignment="1">
      <alignment horizontal="center" vertical="center" wrapText="1" readingOrder="1"/>
    </xf>
    <xf numFmtId="0" fontId="9" fillId="0" borderId="8" xfId="0" applyNumberFormat="1" applyFont="1" applyFill="1" applyBorder="1" applyAlignment="1">
      <alignment horizontal="center" vertical="center" wrapText="1" readingOrder="1"/>
    </xf>
    <xf numFmtId="176" fontId="9" fillId="0" borderId="8" xfId="0" applyNumberFormat="1" applyFont="1" applyFill="1" applyBorder="1" applyAlignment="1">
      <alignment horizontal="center" vertical="center" wrapText="1" readingOrder="1"/>
    </xf>
    <xf numFmtId="178" fontId="9" fillId="0" borderId="8" xfId="0" applyNumberFormat="1" applyFont="1" applyFill="1" applyBorder="1" applyAlignment="1">
      <alignment horizontal="center" vertical="center" wrapText="1" readingOrder="1"/>
    </xf>
    <xf numFmtId="178" fontId="0" fillId="0" borderId="9" xfId="0" applyNumberFormat="1" applyFont="1" applyFill="1" applyBorder="1" applyAlignment="1">
      <alignment vertical="top" wrapText="1"/>
    </xf>
    <xf numFmtId="0" fontId="10" fillId="0" borderId="0" xfId="0" applyNumberFormat="1" applyFont="1" applyFill="1" applyBorder="1" applyAlignment="1">
      <alignment horizontal="left" vertical="top" wrapText="1" readingOrder="1"/>
    </xf>
    <xf numFmtId="0" fontId="10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257175</xdr:colOff>
      <xdr:row>1</xdr:row>
      <xdr:rowOff>47625</xdr:rowOff>
    </xdr:from>
    <xdr:to>
      <xdr:col>10</xdr:col>
      <xdr:colOff>767163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022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133350</xdr:rowOff>
    </xdr:from>
    <xdr:to>
      <xdr:col>10</xdr:col>
      <xdr:colOff>729063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3335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0</xdr:colOff>
      <xdr:row>1</xdr:row>
      <xdr:rowOff>0</xdr:rowOff>
    </xdr:from>
    <xdr:to>
      <xdr:col>11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2721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257175</xdr:colOff>
      <xdr:row>0</xdr:row>
      <xdr:rowOff>142875</xdr:rowOff>
    </xdr:from>
    <xdr:to>
      <xdr:col>10</xdr:col>
      <xdr:colOff>767163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0225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200025</xdr:colOff>
      <xdr:row>1</xdr:row>
      <xdr:rowOff>66675</xdr:rowOff>
    </xdr:from>
    <xdr:to>
      <xdr:col>10</xdr:col>
      <xdr:colOff>710013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23075" y="238125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180975</xdr:colOff>
      <xdr:row>0</xdr:row>
      <xdr:rowOff>142875</xdr:rowOff>
    </xdr:from>
    <xdr:to>
      <xdr:col>10</xdr:col>
      <xdr:colOff>690963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04025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0</xdr:row>
      <xdr:rowOff>152400</xdr:rowOff>
    </xdr:from>
    <xdr:to>
      <xdr:col>10</xdr:col>
      <xdr:colOff>776688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750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104775</xdr:rowOff>
    </xdr:from>
    <xdr:to>
      <xdr:col>10</xdr:col>
      <xdr:colOff>729063</xdr:colOff>
      <xdr:row>3</xdr:row>
      <xdr:rowOff>123825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047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7"/>
  <sheetViews>
    <sheetView tabSelected="1" view="pageBreakPreview" zoomScaleNormal="100" workbookViewId="0">
      <selection activeCell="E5" sqref="C4:C8 E5:E7"/>
    </sheetView>
  </sheetViews>
  <sheetFormatPr defaultColWidth="9" defaultRowHeight="13.5" outlineLevelCol="4"/>
  <cols>
    <col min="1" max="1" width="1.69166666666667" style="21" customWidth="1"/>
    <col min="2" max="2" width="31.625" style="21" customWidth="1"/>
    <col min="3" max="3" width="15.625" style="21" customWidth="1"/>
    <col min="4" max="4" width="31.625" style="21" customWidth="1"/>
    <col min="5" max="5" width="15.625" style="21" customWidth="1"/>
    <col min="6" max="6" width="2" style="21" customWidth="1"/>
    <col min="7" max="16384" width="9" style="21"/>
  </cols>
  <sheetData>
    <row r="1" s="21" customFormat="1" ht="14.95" customHeight="1"/>
    <row r="2" s="21" customFormat="1" ht="54" customHeight="1" spans="2:5">
      <c r="B2" s="22" t="s">
        <v>0</v>
      </c>
    </row>
    <row r="3" s="21" customFormat="1" ht="30" customHeight="1" spans="2:5">
      <c r="B3" s="23" t="s">
        <v>1</v>
      </c>
      <c r="C3" s="23" t="s">
        <v>2</v>
      </c>
      <c r="D3" s="23" t="s">
        <v>1</v>
      </c>
      <c r="E3" s="23" t="s">
        <v>2</v>
      </c>
    </row>
    <row r="4" s="21" customFormat="1" ht="30" customHeight="1" spans="2:5">
      <c r="B4" s="24" t="s">
        <v>3</v>
      </c>
      <c r="C4" s="25">
        <f>妇科!K10</f>
        <v>1213</v>
      </c>
      <c r="D4" s="24" t="s">
        <v>4</v>
      </c>
      <c r="E4" s="25">
        <v>0</v>
      </c>
    </row>
    <row r="5" s="21" customFormat="1" ht="30" customHeight="1" spans="2:5">
      <c r="B5" s="24" t="s">
        <v>5</v>
      </c>
      <c r="C5" s="25">
        <f>美容科!K8</f>
        <v>774</v>
      </c>
      <c r="D5" s="24" t="s">
        <v>6</v>
      </c>
      <c r="E5" s="25">
        <f>肾七科!K8</f>
        <v>16.5</v>
      </c>
    </row>
    <row r="6" s="21" customFormat="1" ht="30" customHeight="1" spans="2:5">
      <c r="B6" s="24" t="s">
        <v>7</v>
      </c>
      <c r="C6" s="25">
        <f>手术室!K8</f>
        <v>725.5</v>
      </c>
      <c r="D6" s="24" t="s">
        <v>8</v>
      </c>
      <c r="E6" s="25">
        <v>16</v>
      </c>
    </row>
    <row r="7" s="21" customFormat="1" ht="30" customHeight="1" spans="2:5">
      <c r="B7" s="24" t="s">
        <v>9</v>
      </c>
      <c r="C7" s="25">
        <f>外二肛肠二科!K8</f>
        <v>236.5</v>
      </c>
      <c r="D7" s="24" t="s">
        <v>10</v>
      </c>
      <c r="E7" s="25">
        <v>16.5</v>
      </c>
    </row>
    <row r="8" s="21" customFormat="1" ht="30" customHeight="1" spans="2:5">
      <c r="B8" s="24" t="s">
        <v>11</v>
      </c>
      <c r="C8" s="25">
        <v>160</v>
      </c>
      <c r="D8" s="24" t="s">
        <v>12</v>
      </c>
      <c r="E8" s="24">
        <v>250</v>
      </c>
    </row>
    <row r="9" s="21" customFormat="1" ht="30" customHeight="1" spans="2:5">
      <c r="B9" s="23" t="s">
        <v>13</v>
      </c>
      <c r="C9" s="25">
        <f>C4+E4+C5+E5+C6+E6+C7+E7+C8+E8</f>
        <v>3408</v>
      </c>
      <c r="D9" s="26">
        <f>C9</f>
        <v>3408</v>
      </c>
      <c r="E9" s="27" t="s">
        <v>14</v>
      </c>
    </row>
    <row r="10" s="21" customFormat="1" ht="30" customHeight="1" spans="2:5">
      <c r="B10" s="28" t="s">
        <v>14</v>
      </c>
      <c r="C10" s="28" t="s">
        <v>14</v>
      </c>
      <c r="D10" s="28" t="s">
        <v>14</v>
      </c>
      <c r="E10" s="28" t="s">
        <v>14</v>
      </c>
    </row>
    <row r="11" s="21" customFormat="1" ht="30" customHeight="1" spans="2:5">
      <c r="B11" s="28" t="s">
        <v>15</v>
      </c>
    </row>
    <row r="12" s="21" customFormat="1" ht="30" customHeight="1" spans="2:5">
      <c r="B12" s="29" t="s">
        <v>16</v>
      </c>
    </row>
    <row r="13" s="21" customFormat="1" ht="30" customHeight="1"/>
    <row r="14" ht="30" customHeight="1"/>
    <row r="15" ht="30" customHeight="1"/>
    <row r="16" ht="30" customHeight="1"/>
    <row r="17" ht="30" customHeight="1"/>
  </sheetData>
  <mergeCells count="4">
    <mergeCell ref="B2:E2"/>
    <mergeCell ref="D9:E9"/>
    <mergeCell ref="B11:E11"/>
    <mergeCell ref="B12:E12"/>
  </mergeCells>
  <pageMargins left="0.25" right="0.25" top="0.75" bottom="0.75" header="0.298611111111111" footer="0.298611111111111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view="pageBreakPreview" zoomScaleNormal="100" topLeftCell="D1" workbookViewId="0">
      <pane ySplit="6" topLeftCell="A7" activePane="bottomLeft" state="frozen"/>
      <selection/>
      <selection pane="bottomLeft" activeCell="K10" sqref="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17</v>
      </c>
    </row>
    <row r="2" ht="23.05" customHeight="1"/>
    <row r="3" ht="2" customHeight="1"/>
    <row r="4" ht="15.2" customHeight="1" spans="2:11">
      <c r="B4" s="2" t="s">
        <v>18</v>
      </c>
    </row>
    <row r="6" ht="2.95" customHeight="1"/>
    <row r="7" ht="3.95" customHeight="1" spans="2:11">
      <c r="B7" s="4" t="s">
        <v>14</v>
      </c>
      <c r="C7" s="4" t="s">
        <v>14</v>
      </c>
      <c r="D7" s="4" t="s">
        <v>14</v>
      </c>
      <c r="E7" s="4" t="s">
        <v>14</v>
      </c>
      <c r="F7" s="4" t="s">
        <v>14</v>
      </c>
      <c r="G7" s="4" t="s">
        <v>14</v>
      </c>
      <c r="H7" s="4" t="s">
        <v>14</v>
      </c>
      <c r="I7" s="4" t="s">
        <v>14</v>
      </c>
      <c r="J7" s="4" t="s">
        <v>14</v>
      </c>
      <c r="K7" s="4" t="s">
        <v>14</v>
      </c>
    </row>
    <row r="8" ht="15" spans="2:11">
      <c r="C8" s="3" t="s">
        <v>14</v>
      </c>
      <c r="D8" s="18" t="s">
        <v>19</v>
      </c>
      <c r="E8" s="8" t="s">
        <v>14</v>
      </c>
      <c r="F8" s="8" t="s">
        <v>14</v>
      </c>
      <c r="G8" s="8" t="s">
        <v>14</v>
      </c>
      <c r="H8" s="8" t="s">
        <v>14</v>
      </c>
      <c r="I8" s="19"/>
      <c r="J8" s="20"/>
      <c r="K8" s="20"/>
    </row>
    <row r="9" spans="2:11">
      <c r="C9" s="3" t="s">
        <v>14</v>
      </c>
      <c r="D9" s="13" t="s">
        <v>20</v>
      </c>
      <c r="E9" s="13" t="s">
        <v>21</v>
      </c>
      <c r="F9" s="13" t="s">
        <v>22</v>
      </c>
      <c r="G9" s="13" t="s">
        <v>23</v>
      </c>
      <c r="H9" s="13" t="s">
        <v>24</v>
      </c>
      <c r="I9" s="13" t="s">
        <v>25</v>
      </c>
      <c r="J9" s="13" t="s">
        <v>26</v>
      </c>
      <c r="K9" s="13" t="s">
        <v>27</v>
      </c>
    </row>
    <row r="10" ht="14.25" spans="2:11">
      <c r="D10" s="7" t="s">
        <v>3</v>
      </c>
      <c r="E10" s="8" t="s">
        <v>14</v>
      </c>
      <c r="F10" s="8" t="s">
        <v>14</v>
      </c>
      <c r="G10" s="8" t="s">
        <v>14</v>
      </c>
      <c r="H10" s="8" t="s">
        <v>14</v>
      </c>
      <c r="I10" s="9">
        <v>23</v>
      </c>
      <c r="J10" s="10"/>
      <c r="K10" s="10">
        <f>SUM(K11:K23)</f>
        <v>1213</v>
      </c>
    </row>
    <row r="11" spans="2:11">
      <c r="D11" s="11">
        <v>46098</v>
      </c>
      <c r="E11" s="12">
        <v>1586503</v>
      </c>
      <c r="F11" s="12" t="s">
        <v>28</v>
      </c>
      <c r="G11" s="13">
        <v>20417294</v>
      </c>
      <c r="H11" s="12" t="s">
        <v>29</v>
      </c>
      <c r="I11" s="13">
        <v>1</v>
      </c>
      <c r="J11" s="14">
        <v>11</v>
      </c>
      <c r="K11" s="14">
        <f>J11*I11</f>
        <v>11</v>
      </c>
    </row>
    <row r="12" spans="2:11">
      <c r="D12" s="11">
        <v>46098</v>
      </c>
      <c r="E12" s="12">
        <v>1586503</v>
      </c>
      <c r="F12" s="12" t="s">
        <v>30</v>
      </c>
      <c r="G12" s="13">
        <v>20410092</v>
      </c>
      <c r="H12" s="12" t="s">
        <v>31</v>
      </c>
      <c r="I12" s="13">
        <v>3</v>
      </c>
      <c r="J12" s="14">
        <v>55</v>
      </c>
      <c r="K12" s="14">
        <f t="shared" ref="K12:K23" si="0">J12*I12</f>
        <v>165</v>
      </c>
    </row>
    <row r="13" spans="2:11">
      <c r="D13" s="11">
        <v>46099</v>
      </c>
      <c r="E13" s="12">
        <v>1587151</v>
      </c>
      <c r="F13" s="12" t="s">
        <v>28</v>
      </c>
      <c r="G13" s="13">
        <v>20417770</v>
      </c>
      <c r="H13" s="12" t="s">
        <v>32</v>
      </c>
      <c r="I13" s="13">
        <v>1</v>
      </c>
      <c r="J13" s="14">
        <v>13</v>
      </c>
      <c r="K13" s="14">
        <f t="shared" si="0"/>
        <v>13</v>
      </c>
    </row>
    <row r="14" spans="2:11">
      <c r="D14" s="11">
        <v>46099</v>
      </c>
      <c r="E14" s="12">
        <v>1587151</v>
      </c>
      <c r="F14" s="12" t="s">
        <v>28</v>
      </c>
      <c r="G14" s="13">
        <v>20417767</v>
      </c>
      <c r="H14" s="12" t="s">
        <v>33</v>
      </c>
      <c r="I14" s="13">
        <v>1</v>
      </c>
      <c r="J14" s="14">
        <v>8</v>
      </c>
      <c r="K14" s="14">
        <f t="shared" si="0"/>
        <v>8</v>
      </c>
    </row>
    <row r="15" spans="2:11">
      <c r="D15" s="11">
        <v>46099</v>
      </c>
      <c r="E15" s="12">
        <v>1587151</v>
      </c>
      <c r="F15" s="12" t="s">
        <v>34</v>
      </c>
      <c r="G15" s="13">
        <v>20409894</v>
      </c>
      <c r="H15" s="12" t="s">
        <v>35</v>
      </c>
      <c r="I15" s="13">
        <v>1</v>
      </c>
      <c r="J15" s="14">
        <v>110</v>
      </c>
      <c r="K15" s="14">
        <f t="shared" si="0"/>
        <v>110</v>
      </c>
    </row>
    <row r="16" spans="2:11">
      <c r="D16" s="11">
        <v>46099</v>
      </c>
      <c r="E16" s="12">
        <v>1587151</v>
      </c>
      <c r="F16" s="12" t="s">
        <v>30</v>
      </c>
      <c r="G16" s="13">
        <v>20410092</v>
      </c>
      <c r="H16" s="12" t="s">
        <v>31</v>
      </c>
      <c r="I16" s="13">
        <v>1</v>
      </c>
      <c r="J16" s="14">
        <v>55</v>
      </c>
      <c r="K16" s="14">
        <f t="shared" si="0"/>
        <v>55</v>
      </c>
    </row>
    <row r="17" spans="4:11">
      <c r="D17" s="11">
        <v>46101</v>
      </c>
      <c r="E17" s="12">
        <v>1587899</v>
      </c>
      <c r="F17" s="12" t="s">
        <v>30</v>
      </c>
      <c r="G17" s="13">
        <v>20410092</v>
      </c>
      <c r="H17" s="12" t="s">
        <v>31</v>
      </c>
      <c r="I17" s="13">
        <v>1</v>
      </c>
      <c r="J17" s="14">
        <v>55</v>
      </c>
      <c r="K17" s="14">
        <f t="shared" si="0"/>
        <v>55</v>
      </c>
    </row>
    <row r="18" spans="4:11">
      <c r="D18" s="11">
        <v>46104</v>
      </c>
      <c r="E18" s="12">
        <v>1588460</v>
      </c>
      <c r="F18" s="12" t="s">
        <v>30</v>
      </c>
      <c r="G18" s="13">
        <v>20410092</v>
      </c>
      <c r="H18" s="12" t="s">
        <v>31</v>
      </c>
      <c r="I18" s="13">
        <v>3</v>
      </c>
      <c r="J18" s="14">
        <v>55</v>
      </c>
      <c r="K18" s="14">
        <f t="shared" si="0"/>
        <v>165</v>
      </c>
    </row>
    <row r="19" spans="4:11">
      <c r="D19" s="11">
        <v>46107</v>
      </c>
      <c r="E19" s="12">
        <v>1589229</v>
      </c>
      <c r="F19" s="12" t="s">
        <v>28</v>
      </c>
      <c r="G19" s="13">
        <v>20417770</v>
      </c>
      <c r="H19" s="12" t="s">
        <v>32</v>
      </c>
      <c r="I19" s="13">
        <v>2</v>
      </c>
      <c r="J19" s="14">
        <v>13</v>
      </c>
      <c r="K19" s="14">
        <f t="shared" si="0"/>
        <v>26</v>
      </c>
    </row>
    <row r="20" spans="4:11">
      <c r="D20" s="11">
        <v>46107</v>
      </c>
      <c r="E20" s="12">
        <v>1589229</v>
      </c>
      <c r="F20" s="12" t="s">
        <v>34</v>
      </c>
      <c r="G20" s="13">
        <v>20409894</v>
      </c>
      <c r="H20" s="12" t="s">
        <v>35</v>
      </c>
      <c r="I20" s="13">
        <v>2</v>
      </c>
      <c r="J20" s="14">
        <v>110</v>
      </c>
      <c r="K20" s="14">
        <f t="shared" si="0"/>
        <v>220</v>
      </c>
    </row>
    <row r="21" spans="4:11">
      <c r="D21" s="11">
        <v>46107</v>
      </c>
      <c r="E21" s="12">
        <v>1589229</v>
      </c>
      <c r="F21" s="12" t="s">
        <v>30</v>
      </c>
      <c r="G21" s="13">
        <v>20410092</v>
      </c>
      <c r="H21" s="12" t="s">
        <v>31</v>
      </c>
      <c r="I21" s="13">
        <v>2</v>
      </c>
      <c r="J21" s="14">
        <v>55</v>
      </c>
      <c r="K21" s="14">
        <f t="shared" si="0"/>
        <v>110</v>
      </c>
    </row>
    <row r="22" spans="4:11">
      <c r="D22" s="11">
        <v>46109</v>
      </c>
      <c r="E22" s="12">
        <v>1590001</v>
      </c>
      <c r="F22" s="12" t="s">
        <v>30</v>
      </c>
      <c r="G22" s="13">
        <v>20410092</v>
      </c>
      <c r="H22" s="12" t="s">
        <v>31</v>
      </c>
      <c r="I22" s="13">
        <v>3</v>
      </c>
      <c r="J22" s="14">
        <v>55</v>
      </c>
      <c r="K22" s="14">
        <f t="shared" si="0"/>
        <v>165</v>
      </c>
    </row>
    <row r="23" spans="4:11">
      <c r="D23" s="11">
        <v>46111</v>
      </c>
      <c r="E23" s="12">
        <v>1590482</v>
      </c>
      <c r="F23" s="12" t="s">
        <v>30</v>
      </c>
      <c r="G23" s="13">
        <v>20410092</v>
      </c>
      <c r="H23" s="12" t="s">
        <v>31</v>
      </c>
      <c r="I23" s="13">
        <v>2</v>
      </c>
      <c r="J23" s="14">
        <v>55</v>
      </c>
      <c r="K23" s="14">
        <f t="shared" si="0"/>
        <v>110</v>
      </c>
    </row>
    <row r="24" ht="0.05" customHeight="1"/>
  </sheetData>
  <mergeCells count="6">
    <mergeCell ref="D8:H8"/>
    <mergeCell ref="D10:H10"/>
    <mergeCell ref="C9:C23"/>
    <mergeCell ref="B4:H5"/>
    <mergeCell ref="C1:H2"/>
    <mergeCell ref="A8:B23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14:58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view="pageBreakPreview" zoomScaleNormal="100" workbookViewId="0">
      <pane ySplit="6" topLeftCell="A7" activePane="bottomLeft" state="frozen"/>
      <selection/>
      <selection pane="bottomLeft" activeCell="O8" sqref="O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17</v>
      </c>
    </row>
    <row r="2" ht="23.05" customHeight="1"/>
    <row r="3" ht="2" customHeight="1"/>
    <row r="4" ht="15.2" customHeight="1" spans="1:11">
      <c r="B4" s="2" t="s">
        <v>18</v>
      </c>
    </row>
    <row r="6" ht="2.95" customHeight="1"/>
    <row r="7" spans="1:11">
      <c r="A7" s="3" t="s">
        <v>14</v>
      </c>
      <c r="B7" s="4" t="s">
        <v>14</v>
      </c>
      <c r="C7" s="5" t="s">
        <v>14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</row>
    <row r="8" ht="14.25" spans="1:11">
      <c r="D8" s="7" t="s">
        <v>5</v>
      </c>
      <c r="E8" s="8" t="s">
        <v>14</v>
      </c>
      <c r="F8" s="8" t="s">
        <v>14</v>
      </c>
      <c r="G8" s="8" t="s">
        <v>14</v>
      </c>
      <c r="H8" s="8" t="s">
        <v>14</v>
      </c>
      <c r="I8" s="9">
        <v>18</v>
      </c>
      <c r="J8" s="10"/>
      <c r="K8" s="10">
        <f>SUM(K9:K23)</f>
        <v>774</v>
      </c>
    </row>
    <row r="9" spans="1:11">
      <c r="D9" s="11">
        <v>46098</v>
      </c>
      <c r="E9" s="12">
        <v>1586504</v>
      </c>
      <c r="F9" s="12" t="s">
        <v>30</v>
      </c>
      <c r="G9" s="13">
        <v>20410093</v>
      </c>
      <c r="H9" s="12" t="s">
        <v>36</v>
      </c>
      <c r="I9" s="13">
        <v>1</v>
      </c>
      <c r="J9" s="14">
        <v>16.5</v>
      </c>
      <c r="K9" s="14">
        <f>J9*I9</f>
        <v>16.5</v>
      </c>
    </row>
    <row r="10" spans="1:11">
      <c r="D10" s="11">
        <v>46098</v>
      </c>
      <c r="E10" s="12">
        <v>1586504</v>
      </c>
      <c r="F10" s="12" t="s">
        <v>30</v>
      </c>
      <c r="G10" s="13">
        <v>20417295</v>
      </c>
      <c r="H10" s="12" t="s">
        <v>37</v>
      </c>
      <c r="I10" s="13">
        <v>1</v>
      </c>
      <c r="J10" s="14">
        <v>143</v>
      </c>
      <c r="K10" s="14">
        <f t="shared" ref="K10:K23" si="0">J10*I10</f>
        <v>143</v>
      </c>
    </row>
    <row r="11" spans="1:11">
      <c r="D11" s="11">
        <v>46099</v>
      </c>
      <c r="E11" s="12">
        <v>1587152</v>
      </c>
      <c r="F11" s="12" t="s">
        <v>28</v>
      </c>
      <c r="G11" s="13">
        <v>20410051</v>
      </c>
      <c r="H11" s="12" t="s">
        <v>38</v>
      </c>
      <c r="I11" s="13">
        <v>1</v>
      </c>
      <c r="J11" s="14">
        <v>8</v>
      </c>
      <c r="K11" s="14">
        <f t="shared" si="0"/>
        <v>8</v>
      </c>
    </row>
    <row r="12" spans="1:11">
      <c r="D12" s="11">
        <v>46099</v>
      </c>
      <c r="E12" s="12">
        <v>1587152</v>
      </c>
      <c r="F12" s="12" t="s">
        <v>30</v>
      </c>
      <c r="G12" s="13">
        <v>20417763</v>
      </c>
      <c r="H12" s="12" t="s">
        <v>39</v>
      </c>
      <c r="I12" s="13">
        <v>3</v>
      </c>
      <c r="J12" s="14">
        <v>16.5</v>
      </c>
      <c r="K12" s="14">
        <f t="shared" si="0"/>
        <v>49.5</v>
      </c>
    </row>
    <row r="13" spans="1:11">
      <c r="D13" s="11">
        <v>46099</v>
      </c>
      <c r="E13" s="12">
        <v>1587152</v>
      </c>
      <c r="F13" s="12" t="s">
        <v>30</v>
      </c>
      <c r="G13" s="13">
        <v>20417764</v>
      </c>
      <c r="H13" s="12" t="s">
        <v>40</v>
      </c>
      <c r="I13" s="13">
        <v>1</v>
      </c>
      <c r="J13" s="14">
        <v>77</v>
      </c>
      <c r="K13" s="14">
        <f t="shared" si="0"/>
        <v>77</v>
      </c>
    </row>
    <row r="14" spans="1:11">
      <c r="D14" s="11">
        <v>46101</v>
      </c>
      <c r="E14" s="12">
        <v>1587900</v>
      </c>
      <c r="F14" s="12" t="s">
        <v>30</v>
      </c>
      <c r="G14" s="13">
        <v>20417295</v>
      </c>
      <c r="H14" s="12" t="s">
        <v>41</v>
      </c>
      <c r="I14" s="13">
        <v>1</v>
      </c>
      <c r="J14" s="14">
        <v>82.5</v>
      </c>
      <c r="K14" s="14">
        <f t="shared" si="0"/>
        <v>82.5</v>
      </c>
    </row>
    <row r="15" spans="1:11">
      <c r="D15" s="11">
        <v>46104</v>
      </c>
      <c r="E15" s="12">
        <v>1588461</v>
      </c>
      <c r="F15" s="12" t="s">
        <v>28</v>
      </c>
      <c r="G15" s="13">
        <v>20410051</v>
      </c>
      <c r="H15" s="12" t="s">
        <v>38</v>
      </c>
      <c r="I15" s="13">
        <v>2</v>
      </c>
      <c r="J15" s="14">
        <v>8</v>
      </c>
      <c r="K15" s="14">
        <f t="shared" si="0"/>
        <v>16</v>
      </c>
    </row>
    <row r="16" spans="1:11">
      <c r="D16" s="11">
        <v>46104</v>
      </c>
      <c r="E16" s="12">
        <v>1588461</v>
      </c>
      <c r="F16" s="12" t="s">
        <v>30</v>
      </c>
      <c r="G16" s="13">
        <v>20417763</v>
      </c>
      <c r="H16" s="12" t="s">
        <v>42</v>
      </c>
      <c r="I16" s="13">
        <v>1</v>
      </c>
      <c r="J16" s="14">
        <v>22</v>
      </c>
      <c r="K16" s="14">
        <f t="shared" si="0"/>
        <v>22</v>
      </c>
    </row>
    <row r="17" spans="4:11">
      <c r="D17" s="11">
        <v>46104</v>
      </c>
      <c r="E17" s="12">
        <v>1588461</v>
      </c>
      <c r="F17" s="12" t="s">
        <v>30</v>
      </c>
      <c r="G17" s="13">
        <v>20417295</v>
      </c>
      <c r="H17" s="12" t="s">
        <v>43</v>
      </c>
      <c r="I17" s="13">
        <v>1</v>
      </c>
      <c r="J17" s="14">
        <v>82.5</v>
      </c>
      <c r="K17" s="14">
        <f t="shared" si="0"/>
        <v>82.5</v>
      </c>
    </row>
    <row r="18" spans="4:11">
      <c r="D18" s="11">
        <v>46107</v>
      </c>
      <c r="E18" s="12">
        <v>1589230</v>
      </c>
      <c r="F18" s="12" t="s">
        <v>30</v>
      </c>
      <c r="G18" s="13">
        <v>20417763</v>
      </c>
      <c r="H18" s="12" t="s">
        <v>39</v>
      </c>
      <c r="I18" s="13">
        <v>1</v>
      </c>
      <c r="J18" s="14">
        <v>16.5</v>
      </c>
      <c r="K18" s="14">
        <f t="shared" si="0"/>
        <v>16.5</v>
      </c>
    </row>
    <row r="19" spans="4:11">
      <c r="D19" s="11">
        <v>46107</v>
      </c>
      <c r="E19" s="12">
        <v>1589230</v>
      </c>
      <c r="F19" s="12" t="s">
        <v>30</v>
      </c>
      <c r="G19" s="13">
        <v>20417295</v>
      </c>
      <c r="H19" s="12" t="s">
        <v>44</v>
      </c>
      <c r="I19" s="13">
        <v>1</v>
      </c>
      <c r="J19" s="14">
        <v>60.5</v>
      </c>
      <c r="K19" s="14">
        <f t="shared" si="0"/>
        <v>60.5</v>
      </c>
    </row>
    <row r="20" spans="4:11">
      <c r="D20" s="11">
        <v>46109</v>
      </c>
      <c r="E20" s="12">
        <v>1590002</v>
      </c>
      <c r="F20" s="12" t="s">
        <v>45</v>
      </c>
      <c r="G20" s="13">
        <v>20419189</v>
      </c>
      <c r="H20" s="12" t="s">
        <v>46</v>
      </c>
      <c r="I20" s="13">
        <v>1</v>
      </c>
      <c r="J20" s="14">
        <v>35</v>
      </c>
      <c r="K20" s="14">
        <f t="shared" si="0"/>
        <v>35</v>
      </c>
    </row>
    <row r="21" spans="4:11">
      <c r="D21" s="11">
        <v>46109</v>
      </c>
      <c r="E21" s="12">
        <v>1590002</v>
      </c>
      <c r="F21" s="12" t="s">
        <v>30</v>
      </c>
      <c r="G21" s="13">
        <v>20417295</v>
      </c>
      <c r="H21" s="12" t="s">
        <v>47</v>
      </c>
      <c r="I21" s="13">
        <v>1</v>
      </c>
      <c r="J21" s="14">
        <v>60.5</v>
      </c>
      <c r="K21" s="14">
        <f t="shared" si="0"/>
        <v>60.5</v>
      </c>
    </row>
    <row r="22" spans="4:11">
      <c r="D22" s="11">
        <v>46111</v>
      </c>
      <c r="E22" s="12">
        <v>1590483</v>
      </c>
      <c r="F22" s="12" t="s">
        <v>30</v>
      </c>
      <c r="G22" s="13">
        <v>20417763</v>
      </c>
      <c r="H22" s="12" t="s">
        <v>48</v>
      </c>
      <c r="I22" s="13">
        <v>1</v>
      </c>
      <c r="J22" s="14">
        <v>22</v>
      </c>
      <c r="K22" s="14">
        <f t="shared" si="0"/>
        <v>22</v>
      </c>
    </row>
    <row r="23" spans="4:11">
      <c r="D23" s="11">
        <v>46111</v>
      </c>
      <c r="E23" s="12">
        <v>1590483</v>
      </c>
      <c r="F23" s="12" t="s">
        <v>30</v>
      </c>
      <c r="G23" s="13">
        <v>20417295</v>
      </c>
      <c r="H23" s="12" t="s">
        <v>49</v>
      </c>
      <c r="I23" s="13">
        <v>1</v>
      </c>
      <c r="J23" s="14">
        <v>82.5</v>
      </c>
      <c r="K23" s="14">
        <f t="shared" si="0"/>
        <v>82.5</v>
      </c>
    </row>
    <row r="24" ht="0.05" customHeight="1"/>
  </sheetData>
  <autoFilter xmlns:etc="http://www.wps.cn/officeDocument/2017/etCustomData" ref="A7:K23" etc:filterBottomFollowUsedRange="0">
    <extLst/>
  </autoFilter>
  <mergeCells count="5">
    <mergeCell ref="D8:H8"/>
    <mergeCell ref="C7:C23"/>
    <mergeCell ref="B4:H5"/>
    <mergeCell ref="A7:B2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14:58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J29" sqref="J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3.99166666666667" customWidth="1"/>
    <col min="12" max="12" width="8.20833333333333" customWidth="1"/>
    <col min="13" max="13" width="0.275" customWidth="1"/>
    <col min="14" max="14" width="0.025" customWidth="1"/>
    <col min="15" max="15" width="0.141666666666667" customWidth="1"/>
  </cols>
  <sheetData>
    <row r="1" spans="1:13">
      <c r="C1" s="1" t="s">
        <v>17</v>
      </c>
    </row>
    <row r="2" ht="23.05" customHeight="1"/>
    <row r="3" ht="2" customHeight="1"/>
    <row r="4" ht="15.2" customHeight="1" spans="1:13">
      <c r="B4" s="2" t="s">
        <v>18</v>
      </c>
    </row>
    <row r="6" ht="2.95" customHeight="1"/>
    <row r="7" spans="1:13">
      <c r="A7" s="3" t="s">
        <v>14</v>
      </c>
      <c r="B7" s="4" t="s">
        <v>14</v>
      </c>
      <c r="C7" s="5" t="s">
        <v>14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  <c r="L7" s="15" t="s">
        <v>14</v>
      </c>
      <c r="M7" s="16" t="s">
        <v>14</v>
      </c>
    </row>
    <row r="8" ht="14.25" spans="1:13">
      <c r="D8" s="7" t="s">
        <v>6</v>
      </c>
      <c r="E8" s="8" t="s">
        <v>14</v>
      </c>
      <c r="F8" s="8" t="s">
        <v>14</v>
      </c>
      <c r="G8" s="8" t="s">
        <v>14</v>
      </c>
      <c r="H8" s="8" t="s">
        <v>14</v>
      </c>
      <c r="I8" s="9">
        <v>1</v>
      </c>
      <c r="J8" s="10"/>
      <c r="K8" s="10">
        <f>K9</f>
        <v>16.5</v>
      </c>
      <c r="L8" s="8" t="s">
        <v>14</v>
      </c>
      <c r="M8" s="17" t="s">
        <v>14</v>
      </c>
    </row>
    <row r="9" spans="1:13">
      <c r="D9" s="11">
        <v>46107</v>
      </c>
      <c r="E9" s="12">
        <v>1589231</v>
      </c>
      <c r="F9" s="12" t="s">
        <v>28</v>
      </c>
      <c r="G9" s="13">
        <v>20418804</v>
      </c>
      <c r="H9" s="12" t="s">
        <v>50</v>
      </c>
      <c r="I9" s="13">
        <v>1</v>
      </c>
      <c r="J9" s="14">
        <v>16.5</v>
      </c>
      <c r="K9" s="14">
        <f>J9</f>
        <v>16.5</v>
      </c>
      <c r="L9" s="8" t="s">
        <v>14</v>
      </c>
      <c r="M9" s="17" t="s">
        <v>14</v>
      </c>
    </row>
    <row r="10" ht="0.05" customHeight="1"/>
  </sheetData>
  <mergeCells count="9">
    <mergeCell ref="K7:M7"/>
    <mergeCell ref="D8:H8"/>
    <mergeCell ref="K8:M8"/>
    <mergeCell ref="K9:M9"/>
    <mergeCell ref="C7:C9"/>
    <mergeCell ref="L2:L4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14:58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showGridLines="0" view="pageBreakPreview" zoomScaleNormal="100" topLeftCell="F1" workbookViewId="0">
      <pane ySplit="6" topLeftCell="A7" activePane="bottomLeft" state="frozen"/>
      <selection/>
      <selection pane="bottomLeft" activeCell="L1" sqref="L$1:M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17</v>
      </c>
    </row>
    <row r="2" ht="23.05" customHeight="1"/>
    <row r="3" ht="2" customHeight="1"/>
    <row r="4" ht="15.2" customHeight="1" spans="1:11">
      <c r="B4" s="2" t="s">
        <v>18</v>
      </c>
    </row>
    <row r="6" ht="2.95" customHeight="1"/>
    <row r="7" spans="1:11">
      <c r="A7" s="3" t="s">
        <v>14</v>
      </c>
      <c r="B7" s="4" t="s">
        <v>14</v>
      </c>
      <c r="C7" s="5" t="s">
        <v>14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</row>
    <row r="8" ht="14.25" spans="1:11">
      <c r="D8" s="7" t="s">
        <v>7</v>
      </c>
      <c r="E8" s="8" t="s">
        <v>14</v>
      </c>
      <c r="F8" s="8" t="s">
        <v>14</v>
      </c>
      <c r="G8" s="8" t="s">
        <v>14</v>
      </c>
      <c r="H8" s="8" t="s">
        <v>14</v>
      </c>
      <c r="I8" s="9">
        <v>47</v>
      </c>
      <c r="J8" s="10"/>
      <c r="K8" s="10">
        <f>SUM(K9:K25)</f>
        <v>725.5</v>
      </c>
    </row>
    <row r="9" spans="1:11">
      <c r="D9" s="11">
        <v>46099</v>
      </c>
      <c r="E9" s="12">
        <v>1587153</v>
      </c>
      <c r="F9" s="12" t="s">
        <v>51</v>
      </c>
      <c r="G9" s="13">
        <v>20410117</v>
      </c>
      <c r="H9" s="12" t="s">
        <v>52</v>
      </c>
      <c r="I9" s="13">
        <v>1</v>
      </c>
      <c r="J9" s="14">
        <v>93.5</v>
      </c>
      <c r="K9" s="14">
        <f>J9*I9</f>
        <v>93.5</v>
      </c>
    </row>
    <row r="10" spans="1:11">
      <c r="D10" s="11">
        <v>46099</v>
      </c>
      <c r="E10" s="12">
        <v>1587153</v>
      </c>
      <c r="F10" s="12" t="s">
        <v>51</v>
      </c>
      <c r="G10" s="13">
        <v>20410111</v>
      </c>
      <c r="H10" s="12" t="s">
        <v>53</v>
      </c>
      <c r="I10" s="13">
        <v>1</v>
      </c>
      <c r="J10" s="14">
        <v>110</v>
      </c>
      <c r="K10" s="14">
        <f t="shared" ref="K10:K25" si="0">J10*I10</f>
        <v>110</v>
      </c>
    </row>
    <row r="11" spans="1:11">
      <c r="D11" s="11">
        <v>46099</v>
      </c>
      <c r="E11" s="12">
        <v>1587153</v>
      </c>
      <c r="F11" s="12" t="s">
        <v>28</v>
      </c>
      <c r="G11" s="13">
        <v>20417771</v>
      </c>
      <c r="H11" s="12" t="s">
        <v>54</v>
      </c>
      <c r="I11" s="13">
        <v>1</v>
      </c>
      <c r="J11" s="14">
        <v>16</v>
      </c>
      <c r="K11" s="14">
        <f t="shared" si="0"/>
        <v>16</v>
      </c>
    </row>
    <row r="12" spans="1:11">
      <c r="D12" s="11">
        <v>46099</v>
      </c>
      <c r="E12" s="12">
        <v>1587153</v>
      </c>
      <c r="F12" s="12" t="s">
        <v>28</v>
      </c>
      <c r="G12" s="13">
        <v>20417770</v>
      </c>
      <c r="H12" s="12" t="s">
        <v>32</v>
      </c>
      <c r="I12" s="13">
        <v>2</v>
      </c>
      <c r="J12" s="14">
        <v>13</v>
      </c>
      <c r="K12" s="14">
        <f t="shared" si="0"/>
        <v>26</v>
      </c>
    </row>
    <row r="13" spans="1:11">
      <c r="D13" s="11">
        <v>46099</v>
      </c>
      <c r="E13" s="12">
        <v>1587153</v>
      </c>
      <c r="F13" s="12" t="s">
        <v>30</v>
      </c>
      <c r="G13" s="13">
        <v>20410080</v>
      </c>
      <c r="H13" s="12" t="s">
        <v>55</v>
      </c>
      <c r="I13" s="13">
        <v>1</v>
      </c>
      <c r="J13" s="14">
        <v>16.5</v>
      </c>
      <c r="K13" s="14">
        <f t="shared" si="0"/>
        <v>16.5</v>
      </c>
    </row>
    <row r="14" spans="1:11">
      <c r="D14" s="11">
        <v>46104</v>
      </c>
      <c r="E14" s="12">
        <v>1588462</v>
      </c>
      <c r="F14" s="12" t="s">
        <v>51</v>
      </c>
      <c r="G14" s="13">
        <v>20410122</v>
      </c>
      <c r="H14" s="12" t="s">
        <v>56</v>
      </c>
      <c r="I14" s="13">
        <v>2</v>
      </c>
      <c r="J14" s="14">
        <v>60.5</v>
      </c>
      <c r="K14" s="14">
        <f t="shared" si="0"/>
        <v>121</v>
      </c>
    </row>
    <row r="15" spans="1:11">
      <c r="D15" s="11">
        <v>46104</v>
      </c>
      <c r="E15" s="12">
        <v>1588462</v>
      </c>
      <c r="F15" s="12" t="s">
        <v>28</v>
      </c>
      <c r="G15" s="13">
        <v>20417771</v>
      </c>
      <c r="H15" s="12" t="s">
        <v>54</v>
      </c>
      <c r="I15" s="13">
        <v>2</v>
      </c>
      <c r="J15" s="14">
        <v>16</v>
      </c>
      <c r="K15" s="14">
        <f t="shared" si="0"/>
        <v>32</v>
      </c>
    </row>
    <row r="16" spans="1:11">
      <c r="D16" s="11">
        <v>46104</v>
      </c>
      <c r="E16" s="12">
        <v>1588462</v>
      </c>
      <c r="F16" s="12" t="s">
        <v>28</v>
      </c>
      <c r="G16" s="13">
        <v>20410123</v>
      </c>
      <c r="H16" s="12" t="s">
        <v>57</v>
      </c>
      <c r="I16" s="13">
        <v>1</v>
      </c>
      <c r="J16" s="14">
        <v>16.5</v>
      </c>
      <c r="K16" s="14">
        <f t="shared" si="0"/>
        <v>16.5</v>
      </c>
    </row>
    <row r="17" spans="4:11">
      <c r="D17" s="11">
        <v>46104</v>
      </c>
      <c r="E17" s="12">
        <v>1588462</v>
      </c>
      <c r="F17" s="12" t="s">
        <v>28</v>
      </c>
      <c r="G17" s="13">
        <v>20417770</v>
      </c>
      <c r="H17" s="12" t="s">
        <v>32</v>
      </c>
      <c r="I17" s="13">
        <v>3</v>
      </c>
      <c r="J17" s="14">
        <v>13</v>
      </c>
      <c r="K17" s="14">
        <f t="shared" si="0"/>
        <v>39</v>
      </c>
    </row>
    <row r="18" spans="4:11">
      <c r="D18" s="11">
        <v>46104</v>
      </c>
      <c r="E18" s="12">
        <v>1588462</v>
      </c>
      <c r="F18" s="12" t="s">
        <v>28</v>
      </c>
      <c r="G18" s="13">
        <v>20417767</v>
      </c>
      <c r="H18" s="12" t="s">
        <v>33</v>
      </c>
      <c r="I18" s="13">
        <v>2</v>
      </c>
      <c r="J18" s="14">
        <v>8</v>
      </c>
      <c r="K18" s="14">
        <f t="shared" si="0"/>
        <v>16</v>
      </c>
    </row>
    <row r="19" spans="4:11">
      <c r="D19" s="11">
        <v>46104</v>
      </c>
      <c r="E19" s="12">
        <v>1588462</v>
      </c>
      <c r="F19" s="12" t="s">
        <v>30</v>
      </c>
      <c r="G19" s="13">
        <v>20410080</v>
      </c>
      <c r="H19" s="12" t="s">
        <v>55</v>
      </c>
      <c r="I19" s="13">
        <v>2</v>
      </c>
      <c r="J19" s="14">
        <v>16.5</v>
      </c>
      <c r="K19" s="14">
        <f t="shared" si="0"/>
        <v>33</v>
      </c>
    </row>
    <row r="20" spans="4:11">
      <c r="D20" s="11">
        <v>46107</v>
      </c>
      <c r="E20" s="12">
        <v>1589232</v>
      </c>
      <c r="F20" s="12" t="s">
        <v>51</v>
      </c>
      <c r="G20" s="13">
        <v>20410122</v>
      </c>
      <c r="H20" s="12" t="s">
        <v>56</v>
      </c>
      <c r="I20" s="13">
        <v>1</v>
      </c>
      <c r="J20" s="14">
        <v>60.5</v>
      </c>
      <c r="K20" s="14">
        <f t="shared" si="0"/>
        <v>60.5</v>
      </c>
    </row>
    <row r="21" spans="4:11">
      <c r="D21" s="11">
        <v>46107</v>
      </c>
      <c r="E21" s="12">
        <v>1589232</v>
      </c>
      <c r="F21" s="12" t="s">
        <v>28</v>
      </c>
      <c r="G21" s="13">
        <v>20417771</v>
      </c>
      <c r="H21" s="12" t="s">
        <v>54</v>
      </c>
      <c r="I21" s="13">
        <v>1</v>
      </c>
      <c r="J21" s="14">
        <v>16</v>
      </c>
      <c r="K21" s="14">
        <f t="shared" si="0"/>
        <v>16</v>
      </c>
    </row>
    <row r="22" spans="4:11">
      <c r="D22" s="11">
        <v>46107</v>
      </c>
      <c r="E22" s="12">
        <v>1589232</v>
      </c>
      <c r="F22" s="12" t="s">
        <v>28</v>
      </c>
      <c r="G22" s="13">
        <v>20417770</v>
      </c>
      <c r="H22" s="12" t="s">
        <v>32</v>
      </c>
      <c r="I22" s="13">
        <v>1</v>
      </c>
      <c r="J22" s="14">
        <v>13</v>
      </c>
      <c r="K22" s="14">
        <f t="shared" si="0"/>
        <v>13</v>
      </c>
    </row>
    <row r="23" spans="4:11">
      <c r="D23" s="11">
        <v>46107</v>
      </c>
      <c r="E23" s="12">
        <v>1589232</v>
      </c>
      <c r="F23" s="12" t="s">
        <v>30</v>
      </c>
      <c r="G23" s="13">
        <v>20410080</v>
      </c>
      <c r="H23" s="12" t="s">
        <v>55</v>
      </c>
      <c r="I23" s="13">
        <v>1</v>
      </c>
      <c r="J23" s="14">
        <v>16.5</v>
      </c>
      <c r="K23" s="14">
        <f t="shared" si="0"/>
        <v>16.5</v>
      </c>
    </row>
    <row r="24" spans="4:11">
      <c r="D24" s="11">
        <v>46107</v>
      </c>
      <c r="E24" s="12">
        <v>1589232</v>
      </c>
      <c r="F24" s="12" t="s">
        <v>58</v>
      </c>
      <c r="G24" s="13">
        <v>20418807</v>
      </c>
      <c r="H24" s="12" t="s">
        <v>59</v>
      </c>
      <c r="I24" s="13">
        <v>5</v>
      </c>
      <c r="J24" s="14">
        <v>4</v>
      </c>
      <c r="K24" s="14">
        <f t="shared" si="0"/>
        <v>20</v>
      </c>
    </row>
    <row r="25" spans="4:11">
      <c r="D25" s="11">
        <v>46107</v>
      </c>
      <c r="E25" s="12">
        <v>1589232</v>
      </c>
      <c r="F25" s="12" t="s">
        <v>58</v>
      </c>
      <c r="G25" s="13">
        <v>20418806</v>
      </c>
      <c r="H25" s="12" t="s">
        <v>60</v>
      </c>
      <c r="I25" s="13">
        <v>20</v>
      </c>
      <c r="J25" s="14">
        <v>4</v>
      </c>
      <c r="K25" s="14">
        <f t="shared" si="0"/>
        <v>80</v>
      </c>
    </row>
  </sheetData>
  <mergeCells count="5">
    <mergeCell ref="D8:H8"/>
    <mergeCell ref="C7:C25"/>
    <mergeCell ref="B4:H5"/>
    <mergeCell ref="A7:B2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14:58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K20" sqref="K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17</v>
      </c>
    </row>
    <row r="2" ht="23.05" customHeight="1"/>
    <row r="3" ht="2" customHeight="1"/>
    <row r="4" ht="15.2" customHeight="1" spans="1:11">
      <c r="B4" s="2" t="s">
        <v>18</v>
      </c>
    </row>
    <row r="6" ht="2.95" customHeight="1"/>
    <row r="7" spans="1:11">
      <c r="A7" s="3" t="s">
        <v>14</v>
      </c>
      <c r="B7" s="4" t="s">
        <v>14</v>
      </c>
      <c r="C7" s="5" t="s">
        <v>14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</row>
    <row r="8" ht="14.25" spans="1:11">
      <c r="D8" s="7" t="s">
        <v>8</v>
      </c>
      <c r="E8" s="8" t="s">
        <v>14</v>
      </c>
      <c r="F8" s="8" t="s">
        <v>14</v>
      </c>
      <c r="G8" s="8" t="s">
        <v>14</v>
      </c>
      <c r="H8" s="8" t="s">
        <v>14</v>
      </c>
      <c r="I8" s="9">
        <v>2</v>
      </c>
      <c r="J8" s="10"/>
      <c r="K8" s="10">
        <v>16</v>
      </c>
    </row>
    <row r="9" spans="1:11">
      <c r="D9" s="11">
        <v>46098</v>
      </c>
      <c r="E9" s="12">
        <v>1586505</v>
      </c>
      <c r="F9" s="12" t="s">
        <v>28</v>
      </c>
      <c r="G9" s="13">
        <v>20417296</v>
      </c>
      <c r="H9" s="12" t="s">
        <v>61</v>
      </c>
      <c r="I9" s="13">
        <v>1</v>
      </c>
      <c r="J9" s="14">
        <v>8</v>
      </c>
      <c r="K9" s="14">
        <v>8</v>
      </c>
    </row>
    <row r="10" spans="1:11">
      <c r="D10" s="11">
        <v>46104</v>
      </c>
      <c r="E10" s="12">
        <v>1588463</v>
      </c>
      <c r="F10" s="12" t="s">
        <v>28</v>
      </c>
      <c r="G10" s="13">
        <v>20417296</v>
      </c>
      <c r="H10" s="12" t="s">
        <v>61</v>
      </c>
      <c r="I10" s="13">
        <v>1</v>
      </c>
      <c r="J10" s="14">
        <v>8</v>
      </c>
      <c r="K10" s="14">
        <v>8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14:58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topLeftCell="G1" workbookViewId="0">
      <pane ySplit="6" topLeftCell="A7" activePane="bottomLeft" state="frozen"/>
      <selection/>
      <selection pane="bottomLeft" activeCell="M15" sqref="M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17</v>
      </c>
    </row>
    <row r="2" ht="23.05" customHeight="1"/>
    <row r="3" ht="2" customHeight="1"/>
    <row r="4" ht="15.2" customHeight="1" spans="1:11">
      <c r="B4" s="2" t="s">
        <v>18</v>
      </c>
    </row>
    <row r="6" ht="2.95" customHeight="1"/>
    <row r="7" spans="1:11">
      <c r="A7" s="3" t="s">
        <v>14</v>
      </c>
      <c r="B7" s="4" t="s">
        <v>14</v>
      </c>
      <c r="C7" s="5" t="s">
        <v>14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</row>
    <row r="8" ht="14.25" spans="1:11">
      <c r="D8" s="7" t="s">
        <v>9</v>
      </c>
      <c r="E8" s="8" t="s">
        <v>14</v>
      </c>
      <c r="F8" s="8" t="s">
        <v>14</v>
      </c>
      <c r="G8" s="8" t="s">
        <v>14</v>
      </c>
      <c r="H8" s="8" t="s">
        <v>14</v>
      </c>
      <c r="I8" s="9">
        <v>2</v>
      </c>
      <c r="J8" s="10"/>
      <c r="K8" s="10">
        <v>236.5</v>
      </c>
    </row>
    <row r="9" spans="1:11">
      <c r="D9" s="11">
        <v>46099</v>
      </c>
      <c r="E9" s="12">
        <v>1587154</v>
      </c>
      <c r="F9" s="12" t="s">
        <v>30</v>
      </c>
      <c r="G9" s="13">
        <v>20417762</v>
      </c>
      <c r="H9" s="12" t="s">
        <v>62</v>
      </c>
      <c r="I9" s="13">
        <v>1</v>
      </c>
      <c r="J9" s="14">
        <v>121</v>
      </c>
      <c r="K9" s="14">
        <v>121</v>
      </c>
    </row>
    <row r="10" spans="1:11">
      <c r="D10" s="11">
        <v>46107</v>
      </c>
      <c r="E10" s="12">
        <v>1589233</v>
      </c>
      <c r="F10" s="12" t="s">
        <v>30</v>
      </c>
      <c r="G10" s="13">
        <v>20417762</v>
      </c>
      <c r="H10" s="12" t="s">
        <v>63</v>
      </c>
      <c r="I10" s="13">
        <v>1</v>
      </c>
      <c r="J10" s="14">
        <v>115.5</v>
      </c>
      <c r="K10" s="14">
        <v>115.5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14:58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J30" sqref="J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17</v>
      </c>
    </row>
    <row r="2" ht="23.05" customHeight="1"/>
    <row r="3" ht="2" customHeight="1"/>
    <row r="4" ht="15.2" customHeight="1" spans="1:11">
      <c r="B4" s="2" t="s">
        <v>18</v>
      </c>
    </row>
    <row r="6" ht="2.95" customHeight="1"/>
    <row r="7" spans="1:11">
      <c r="A7" s="3" t="s">
        <v>14</v>
      </c>
      <c r="B7" s="4" t="s">
        <v>14</v>
      </c>
      <c r="C7" s="5" t="s">
        <v>14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</row>
    <row r="8" ht="14.25" spans="1:11">
      <c r="D8" s="7" t="s">
        <v>10</v>
      </c>
      <c r="E8" s="8" t="s">
        <v>14</v>
      </c>
      <c r="F8" s="8" t="s">
        <v>14</v>
      </c>
      <c r="G8" s="8" t="s">
        <v>14</v>
      </c>
      <c r="H8" s="8" t="s">
        <v>14</v>
      </c>
      <c r="I8" s="9">
        <v>1</v>
      </c>
      <c r="J8" s="10"/>
      <c r="K8" s="10">
        <v>16.5</v>
      </c>
    </row>
    <row r="9" spans="1:11">
      <c r="D9" s="11">
        <v>46107</v>
      </c>
      <c r="E9" s="12">
        <v>1589234</v>
      </c>
      <c r="F9" s="12" t="s">
        <v>28</v>
      </c>
      <c r="G9" s="13">
        <v>20418804</v>
      </c>
      <c r="H9" s="12" t="s">
        <v>50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14:58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N33" sqref="N3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17</v>
      </c>
    </row>
    <row r="2" ht="23.05" customHeight="1"/>
    <row r="3" ht="2" customHeight="1"/>
    <row r="4" ht="15.2" customHeight="1" spans="1:11">
      <c r="B4" s="2" t="s">
        <v>18</v>
      </c>
    </row>
    <row r="6" ht="2.95" customHeight="1"/>
    <row r="7" spans="1:11">
      <c r="A7" s="3" t="s">
        <v>14</v>
      </c>
      <c r="B7" s="4" t="s">
        <v>14</v>
      </c>
      <c r="C7" s="5" t="s">
        <v>14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</row>
    <row r="8" ht="14.25" spans="1:11">
      <c r="D8" s="7" t="s">
        <v>11</v>
      </c>
      <c r="E8" s="8" t="s">
        <v>14</v>
      </c>
      <c r="F8" s="8" t="s">
        <v>14</v>
      </c>
      <c r="G8" s="8" t="s">
        <v>14</v>
      </c>
      <c r="H8" s="8" t="s">
        <v>14</v>
      </c>
      <c r="I8" s="9">
        <v>40</v>
      </c>
      <c r="J8" s="10"/>
      <c r="K8" s="10">
        <v>160</v>
      </c>
    </row>
    <row r="9" spans="1:11">
      <c r="D9" s="11">
        <v>46099</v>
      </c>
      <c r="E9" s="12">
        <v>1587114</v>
      </c>
      <c r="F9" s="12" t="s">
        <v>58</v>
      </c>
      <c r="G9" s="13">
        <v>20417769</v>
      </c>
      <c r="H9" s="12" t="s">
        <v>64</v>
      </c>
      <c r="I9" s="13">
        <v>40</v>
      </c>
      <c r="J9" s="14">
        <v>4</v>
      </c>
      <c r="K9" s="14">
        <v>160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14:58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汇总</vt:lpstr>
      <vt:lpstr>妇科</vt:lpstr>
      <vt:lpstr>美容科</vt:lpstr>
      <vt:lpstr>肾七科</vt:lpstr>
      <vt:lpstr>手术室</vt:lpstr>
      <vt:lpstr>透析科</vt:lpstr>
      <vt:lpstr>外二肛肠二科</vt:lpstr>
      <vt:lpstr>针六科</vt:lpstr>
      <vt:lpstr>针三科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2026-06-02T06:59:00Z</dcterms:created>
  <dcterms:modified xsi:type="dcterms:W3CDTF">2026-06-16T00:39:44Z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6AE38B15DB384A649E39924A5D6F19C2_13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