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1805"/>
  </bookViews>
  <sheets>
    <sheet name="祖研-黑龙江省中医医院（南岗院区）" sheetId="1" r:id="rId1"/>
  </sheets>
  <externalReferences>
    <externalReference r:id="rId2"/>
  </externalReferences>
  <definedNames>
    <definedName name="_xlnm.Print_Titles" localSheetId="0">'祖研-黑龙江省中医医院（南岗院区）'!$1:$4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<sst xmlns="http://schemas.openxmlformats.org/spreadsheetml/2006/main" count="50" uniqueCount="18">
  <si>
    <t/>
  </si>
  <si>
    <t>祖研-黑龙江省中医医院（南岗院区）　结款通知函</t>
  </si>
  <si>
    <t>致：祖研-黑龙江省中医医院（南岗院区）</t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</si>
  <si>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2026年5月1日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2026年5月31日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</si>
  <si>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</si>
  <si>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</si>
  <si>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</si>
  <si>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</si>
  <si>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</si>
  <si>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</si>
  <si>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</si>
  <si>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</si>
  <si>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</si>
  <si>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</si>
  <si>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</si>
  <si>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</si>
  <si>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</si>
  <si>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t>黑龙江省铂康医疗灭菌有限公司
2026年5月31日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</si>
</sst>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DBNum2][$RMB]General;[Red][DBNum2][$RMB]General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4">
    <xf numFmtId="0" fontId="0" fillId="0" borderId="0" xfId="49" applyFont="1" applyFill="1" applyBorder="1"/>
    <xf numFmtId="0" fontId="0" fillId="0" borderId="1" xfId="49" applyNumberFormat="1" applyFont="1" applyFill="1" applyBorder="1" applyAlignment="1">
      <alignment vertical="top" wrapText="1"/>
    </xf>
    <xf numFmtId="0" fontId="1" fillId="0" borderId="0" xfId="49" applyNumberFormat="1" applyFont="1" applyFill="1" applyBorder="1" applyAlignment="1">
      <alignment horizontal="center" vertical="top" wrapText="1" readingOrder="1"/>
    </xf>
    <xf numFmtId="0" fontId="1" fillId="0" borderId="0" xfId="49" applyNumberFormat="1" applyFont="1" applyFill="1" applyBorder="1" applyAlignment="1">
      <alignment horizontal="left" vertical="top" wrapText="1" readingOrder="1"/>
    </xf>
    <xf numFmtId="0" fontId="2" fillId="0" borderId="0" xfId="49" applyNumberFormat="1" applyFont="1" applyFill="1" applyBorder="1" applyAlignment="1">
      <alignment horizontal="left" vertical="top" wrapText="1" readingOrder="1"/>
    </xf>
    <xf numFmtId="0" fontId="3" fillId="0" borderId="0" xfId="49" applyNumberFormat="1" applyFont="1" applyFill="1" applyBorder="1" applyAlignment="1">
      <alignment horizontal="left" vertical="top" wrapText="1" readingOrder="1"/>
    </xf>
    <xf numFmtId="0" fontId="4" fillId="0" borderId="2" xfId="49" applyNumberFormat="1" applyFont="1" applyFill="1" applyBorder="1" applyAlignment="1">
      <alignment horizontal="center" vertical="top" wrapText="1" readingOrder="1"/>
    </xf>
    <xf numFmtId="0" fontId="0" fillId="0" borderId="3" xfId="49" applyNumberFormat="1" applyFont="1" applyFill="1" applyBorder="1" applyAlignment="1">
      <alignment vertical="top" wrapText="1"/>
    </xf>
    <xf numFmtId="176" fontId="4" fillId="0" borderId="2" xfId="49" applyNumberFormat="1" applyFont="1" applyFill="1" applyBorder="1" applyAlignment="1">
      <alignment horizontal="center" vertical="top" wrapText="1" readingOrder="1"/>
    </xf>
    <xf numFmtId="177" fontId="4" fillId="0" borderId="2" xfId="49" applyNumberFormat="1" applyFont="1" applyFill="1" applyBorder="1" applyAlignment="1">
      <alignment horizontal="center" vertical="top" wrapText="1" readingOrder="1"/>
    </xf>
    <xf numFmtId="177" fontId="0" fillId="0" borderId="3" xfId="49" applyNumberFormat="1" applyFont="1" applyFill="1" applyBorder="1" applyAlignment="1">
      <alignment vertical="top" wrapText="1"/>
    </xf>
    <xf numFmtId="0" fontId="4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center" vertical="top" wrapText="1" readingOrder="1"/>
    </xf>
    <xf numFmtId="0" fontId="3" fillId="0" borderId="0" xfId="49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1062;&#30740;-&#40657;&#40857;&#27743;&#30465;&#20013;&#21307;&#21307;&#38498;&#65288;&#21335;&#23703;&#38498;&#21306;&#65289;5&#26376;&#36134;&#21333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汇总"/>
      <sheetName val="风湿二科"/>
      <sheetName val="妇科"/>
      <sheetName val="骨三内四科"/>
      <sheetName val="美容科"/>
      <sheetName val="肾五科"/>
      <sheetName val="手术室"/>
      <sheetName val="透析科"/>
      <sheetName val="外二肛肠二科"/>
      <sheetName val="外二科"/>
      <sheetName val="心三科"/>
      <sheetName val="针三科"/>
      <sheetName val="针四科"/>
    </sheetNames>
    <sheetDataSet>
      <sheetData sheetId="0"/>
      <sheetData sheetId="1">
        <row r="10">
          <cell r="K10">
            <v>16.5</v>
          </cell>
        </row>
      </sheetData>
      <sheetData sheetId="2">
        <row r="8">
          <cell r="K8">
            <v>1676</v>
          </cell>
        </row>
      </sheetData>
      <sheetData sheetId="3">
        <row r="8">
          <cell r="K8">
            <v>16.5</v>
          </cell>
        </row>
      </sheetData>
      <sheetData sheetId="4">
        <row r="8">
          <cell r="K8">
            <v>1267.5</v>
          </cell>
        </row>
      </sheetData>
      <sheetData sheetId="5">
        <row r="8">
          <cell r="K8">
            <v>32.5</v>
          </cell>
        </row>
      </sheetData>
      <sheetData sheetId="6">
        <row r="8">
          <cell r="K8">
            <v>3731</v>
          </cell>
        </row>
      </sheetData>
      <sheetData sheetId="7">
        <row r="8">
          <cell r="K8">
            <v>71</v>
          </cell>
        </row>
      </sheetData>
      <sheetData sheetId="8">
        <row r="8">
          <cell r="K8">
            <v>225.5</v>
          </cell>
        </row>
      </sheetData>
      <sheetData sheetId="9">
        <row r="8">
          <cell r="K8">
            <v>55</v>
          </cell>
        </row>
      </sheetData>
      <sheetData sheetId="10">
        <row r="8">
          <cell r="K8">
            <v>16.5</v>
          </cell>
        </row>
      </sheetData>
      <sheetData sheetId="11">
        <row r="8">
          <cell r="K8">
            <v>64.5</v>
          </cell>
        </row>
      </sheetData>
      <sheetData sheetId="12">
        <row r="8">
          <cell r="K8">
            <v>16.5</v>
          </cell>
        </row>
      </sheetData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F12" sqref="F12:G13"/>
    </sheetView>
  </sheetViews>
  <sheetFormatPr defaultColWidth="9" defaultRowHeight="13.5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  <col min="9" max="9" width="1.575" customWidth="1"/>
  </cols>
  <sheetData>
    <row r="1" ht="0.1" customHeight="1"/>
    <row r="2" ht="32.45" customHeight="1"/>
    <row r="3" ht="6.8" customHeight="1"/>
    <row r="4" ht="1.2" customHeight="1" spans="3:9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9">
      <c r="D6" s="2" t="s">
        <v>1</v>
      </c>
    </row>
    <row r="7" ht="18" customHeight="1" spans="3:9">
      <c r="D7" s="3" t="s">
        <v>2</v>
      </c>
    </row>
    <row r="8" ht="15" spans="3:9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9">
      <c r="D9" s="5" t="s">
        <v>3</v>
      </c>
    </row>
    <row r="10" ht="15" spans="3:9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9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  <c r="I11" s="7" t="s">
        <v>0</v>
      </c>
    </row>
    <row r="12" ht="30" customHeight="1" spans="3:9">
      <c r="D12" s="6" t="s">
        <v>8</v>
      </c>
      <c r="E12" s="6" t="s">
        <v>9</v>
      </c>
      <c r="F12" s="8">
        <f>[1]风湿二科!$K$10+[1]妇科!$K$8+[1]骨三内四科!$K$8+[1]美容科!$K$8+[1]肾五科!$K$8+[1]手术室!$K$8+[1]透析科!$K$8+[1]外二肛肠二科!$K$8+[1]外二科!$K$8+[1]心三科!$K$8+[1]针三科!$K$8+[1]针四科!$K$8</f>
        <v>7189</v>
      </c>
      <c r="G12" s="7" t="s">
        <v>0</v>
      </c>
      <c r="H12" s="6" t="s">
        <v>0</v>
      </c>
      <c r="I12" s="7" t="s">
        <v>0</v>
      </c>
    </row>
    <row r="13" ht="30" customHeight="1" spans="3:9">
      <c r="D13" s="6" t="s">
        <v>10</v>
      </c>
      <c r="E13" s="6" t="s">
        <v>11</v>
      </c>
      <c r="F13" s="8">
        <v>550</v>
      </c>
      <c r="G13" s="7" t="s">
        <v>0</v>
      </c>
      <c r="H13" s="6" t="s">
        <v>12</v>
      </c>
      <c r="I13" s="7" t="s">
        <v>0</v>
      </c>
    </row>
    <row r="14" ht="30" customHeight="1" spans="3:9">
      <c r="D14" s="6" t="s">
        <v>13</v>
      </c>
      <c r="E14" s="7" t="s">
        <v>0</v>
      </c>
      <c r="F14" s="8">
        <f>F12+F13</f>
        <v>7739</v>
      </c>
      <c r="G14" s="7" t="s">
        <v>0</v>
      </c>
      <c r="H14" s="6" t="s">
        <v>0</v>
      </c>
      <c r="I14" s="7" t="s">
        <v>0</v>
      </c>
    </row>
    <row r="15" ht="30" customHeight="1" spans="3:9">
      <c r="D15" s="6" t="s">
        <v>14</v>
      </c>
      <c r="E15" s="7" t="s">
        <v>0</v>
      </c>
      <c r="F15" s="9">
        <f>F14</f>
        <v>7739</v>
      </c>
      <c r="G15" s="10" t="s">
        <v>0</v>
      </c>
      <c r="H15" s="6" t="s">
        <v>0</v>
      </c>
      <c r="I15" s="7" t="s">
        <v>0</v>
      </c>
    </row>
    <row r="16" ht="12" customHeight="1" spans="3:9">
      <c r="D16" s="4" t="s">
        <v>0</v>
      </c>
    </row>
    <row r="17" ht="188.7" customHeight="1" spans="4:8">
      <c r="D17" s="5" t="s">
        <v>15</v>
      </c>
    </row>
    <row r="18" ht="18.75" spans="4:8">
      <c r="D18" s="11" t="s">
        <v>0</v>
      </c>
      <c r="E18" s="11" t="s">
        <v>0</v>
      </c>
      <c r="F18" s="12" t="s">
        <v>16</v>
      </c>
      <c r="H18" s="11" t="s">
        <v>0</v>
      </c>
    </row>
    <row r="19" ht="36" customHeight="1" spans="4:8">
      <c r="D19" s="13" t="s">
        <v>17</v>
      </c>
    </row>
    <row r="20" ht="67.5" customHeight="1"/>
  </sheetData>
  <mergeCells count="25">
    <mergeCell ref="B2:F2"/>
    <mergeCell ref="D6:I6"/>
    <mergeCell ref="D7:I7"/>
    <mergeCell ref="F8:G8"/>
    <mergeCell ref="H8:I8"/>
    <mergeCell ref="D9:I9"/>
    <mergeCell ref="F10:G10"/>
    <mergeCell ref="H10:I10"/>
    <mergeCell ref="F11:G11"/>
    <mergeCell ref="H11:I11"/>
    <mergeCell ref="F12:G12"/>
    <mergeCell ref="H12:I12"/>
    <mergeCell ref="F13:G13"/>
    <mergeCell ref="H13:I13"/>
    <mergeCell ref="D14:E14"/>
    <mergeCell ref="F14:G14"/>
    <mergeCell ref="H14:I14"/>
    <mergeCell ref="D15:E15"/>
    <mergeCell ref="F15:G15"/>
    <mergeCell ref="H15:I15"/>
    <mergeCell ref="D16:I16"/>
    <mergeCell ref="D17:I17"/>
    <mergeCell ref="F18:G18"/>
    <mergeCell ref="H18:I18"/>
    <mergeCell ref="D19:I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祖研-黑龙江省中医医院（南岗院区）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街道无人</cp:lastModifiedBy>
  <dcterms:created xsi:type="dcterms:W3CDTF">2026-06-04T04:24:00Z</dcterms:created>
  <dcterms:modified xsi:type="dcterms:W3CDTF">2026-06-11T05:45:19Z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96B44F37F17D4D6D86000A881B3AC613_13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