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1655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<sst xmlns="http://schemas.openxmlformats.org/spreadsheetml/2006/main" count="21" uniqueCount="21">
  <si>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祖研-黑龙江省中医医院（南岗院区）2026年6月科室灭菌价格汇总</t>
  </si>
  <si>
    <t>科室</t>
  </si>
  <si>
    <t>基础器械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</si>
  <si>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</si>
  <si>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</si>
  <si>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</si>
  <si>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</si>
  <si>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</si>
  <si>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</si>
  <si>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</si>
  <si>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妇科</t>
  </si>
  <si>
    <t>肛肠科</t>
  </si>
  <si>
    <t>美容科</t>
  </si>
  <si>
    <t>肾五科</t>
  </si>
  <si>
    <t>手术室</t>
  </si>
  <si>
    <t>透析科</t>
  </si>
  <si>
    <t>推拿科</t>
  </si>
  <si>
    <t>外科</t>
  </si>
  <si>
    <t>针三科</t>
  </si>
  <si>
    <t>针五科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</si>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</sst>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0000000_ "/>
    <numFmt numFmtId="179" formatCode="[$-10804]0.00;\(0.00\)"/>
    <numFmt numFmtId="180" formatCode="0.00_);\(0.00\)"/>
  </numFmts>
  <fonts count="29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 wrapText="1" readingOrder="1"/>
    </xf>
    <xf numFmtId="179" fontId="7" fillId="0" borderId="1" xfId="0" applyNumberFormat="1" applyFont="1" applyFill="1" applyBorder="1" applyAlignment="1">
      <alignment horizontal="center" vertical="center" wrapText="1" readingOrder="1"/>
    </xf>
    <xf numFmtId="0" fontId="1" fillId="0" borderId="2" xfId="49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view="pageBreakPreview" zoomScaleNormal="100" workbookViewId="0">
      <pane xSplit="7" ySplit="3" topLeftCell="H4" activePane="bottomRight" state="frozen"/>
      <selection/>
      <selection pane="topRight"/>
      <selection pane="bottomLeft"/>
      <selection pane="bottomRight" activeCell="K17" sqref="K17"/>
    </sheetView>
  </sheetViews>
  <sheetFormatPr defaultColWidth="9" defaultRowHeight="17.2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83333333333" style="1" hidden="1" customWidth="1"/>
    <col min="5" max="5" width="9.63333333333333" style="1" hidden="1" customWidth="1"/>
    <col min="6" max="6" width="10" style="1" hidden="1" customWidth="1"/>
    <col min="7" max="7" width="9.68333333333333" style="1" hidden="1" customWidth="1"/>
    <col min="8" max="8" width="26" style="5" customWidth="1"/>
    <col min="9" max="9" width="15.625" style="6" customWidth="1"/>
    <col min="10" max="10" width="15.625" style="7" customWidth="1"/>
    <col min="11" max="11" width="15.625" style="8" customWidth="1"/>
    <col min="12" max="12" width="25.625" style="9" customWidth="1"/>
    <col min="13" max="16227" width="11" style="1"/>
    <col min="16228" max="16384" width="9" style="1"/>
  </cols>
  <sheetData>
    <row r="1" s="1" customFormat="1" ht="44" customHeight="1" spans="1:12">
      <c r="B1" s="4"/>
      <c r="H1" s="10" t="s">
        <v>0</v>
      </c>
      <c r="I1" s="11"/>
      <c r="J1" s="12"/>
      <c r="K1" s="13"/>
      <c r="L1" s="10"/>
    </row>
    <row r="2" s="2" customFormat="1" ht="22" customHeight="1" spans="1:12">
      <c r="A2" s="14"/>
      <c r="B2" s="14"/>
      <c r="C2" s="14"/>
      <c r="D2" s="14"/>
      <c r="H2" s="15" t="s">
        <v>1</v>
      </c>
      <c r="I2" s="16" t="s">
        <v>2</v>
      </c>
      <c r="J2" s="17" t="s">
        <v>3</v>
      </c>
      <c r="K2" s="18" t="s">
        <v>4</v>
      </c>
      <c r="L2" s="15" t="s">
        <v>5</v>
      </c>
    </row>
    <row r="3" s="2" customFormat="1" ht="22" customHeight="1" spans="1:12">
      <c r="A3" s="14"/>
      <c r="B3" s="14" t="s">
        <v>6</v>
      </c>
      <c r="C3" s="14" t="s">
        <v>7</v>
      </c>
      <c r="D3" s="14" t="s">
        <v>8</v>
      </c>
      <c r="H3" s="15"/>
      <c r="I3" s="16"/>
      <c r="J3" s="17"/>
      <c r="K3" s="18" t="s">
        <v>9</v>
      </c>
      <c r="L3" s="15"/>
    </row>
    <row r="4" s="3" customFormat="1" ht="30" customHeight="1" spans="1:12">
      <c r="A4" s="19"/>
      <c r="B4" s="20">
        <v>6562.5</v>
      </c>
      <c r="C4" s="21">
        <f>I4/B4</f>
        <v>0.4405333333</v>
      </c>
      <c r="D4" s="14">
        <v>600</v>
      </c>
      <c r="E4" s="2">
        <f>C4*D4</f>
        <v>264.31999998</v>
      </c>
      <c r="H4" s="22" t="s">
        <v>10</v>
      </c>
      <c r="I4" s="23">
        <v>2891</v>
      </c>
      <c r="J4" s="17">
        <v>264.31</v>
      </c>
      <c r="K4" s="18">
        <f t="shared" ref="K4:K14" si="0">I4+J4</f>
        <v>3155.31</v>
      </c>
      <c r="L4" s="15"/>
    </row>
    <row r="5" s="3" customFormat="1" ht="30" customHeight="1" spans="1:12">
      <c r="A5" s="19"/>
      <c r="B5" s="20">
        <v>6562.5</v>
      </c>
      <c r="C5" s="21">
        <f t="shared" ref="C5:C13" si="1">I5/B5</f>
        <v>0.0586666667</v>
      </c>
      <c r="D5" s="14">
        <v>600</v>
      </c>
      <c r="E5" s="2">
        <f t="shared" ref="E5:E13" si="2">C5*D5</f>
        <v>35.20000002</v>
      </c>
      <c r="H5" s="24" t="s">
        <v>11</v>
      </c>
      <c r="I5" s="23">
        <v>385</v>
      </c>
      <c r="J5" s="17">
        <v>35.2</v>
      </c>
      <c r="K5" s="18">
        <f t="shared" si="0"/>
        <v>420.2</v>
      </c>
      <c r="L5" s="15"/>
    </row>
    <row r="6" s="3" customFormat="1" ht="30" customHeight="1" spans="1:12">
      <c r="A6" s="19"/>
      <c r="B6" s="20">
        <v>6562.5</v>
      </c>
      <c r="C6" s="21">
        <f t="shared" si="1"/>
        <v>0.1989333333</v>
      </c>
      <c r="D6" s="14">
        <v>600</v>
      </c>
      <c r="E6" s="2">
        <f t="shared" si="2"/>
        <v>119.35999998</v>
      </c>
      <c r="H6" s="22" t="s">
        <v>12</v>
      </c>
      <c r="I6" s="23">
        <v>1305.5</v>
      </c>
      <c r="J6" s="17">
        <v>119.36</v>
      </c>
      <c r="K6" s="18">
        <f t="shared" si="0"/>
        <v>1424.86</v>
      </c>
      <c r="L6" s="15"/>
    </row>
    <row r="7" s="3" customFormat="1" ht="30" customHeight="1" spans="1:12">
      <c r="A7" s="19"/>
      <c r="B7" s="20">
        <v>6562.5</v>
      </c>
      <c r="C7" s="21">
        <f t="shared" si="1"/>
        <v>0.0050285714</v>
      </c>
      <c r="D7" s="14">
        <v>600</v>
      </c>
      <c r="E7" s="2">
        <f t="shared" si="2"/>
        <v>3.01714284</v>
      </c>
      <c r="H7" s="22" t="s">
        <v>13</v>
      </c>
      <c r="I7" s="23">
        <v>33</v>
      </c>
      <c r="J7" s="17">
        <v>3.02</v>
      </c>
      <c r="K7" s="18">
        <f t="shared" si="0"/>
        <v>36.02</v>
      </c>
      <c r="L7" s="15"/>
    </row>
    <row r="8" s="3" customFormat="1" ht="30" customHeight="1" spans="1:12">
      <c r="A8" s="19"/>
      <c r="B8" s="20">
        <v>6562.5</v>
      </c>
      <c r="C8" s="21">
        <f t="shared" si="1"/>
        <v>0.2506666667</v>
      </c>
      <c r="D8" s="14">
        <v>600</v>
      </c>
      <c r="E8" s="2">
        <f t="shared" si="2"/>
        <v>150.40000002</v>
      </c>
      <c r="H8" s="22" t="s">
        <v>14</v>
      </c>
      <c r="I8" s="23">
        <v>1645</v>
      </c>
      <c r="J8" s="17">
        <v>150.4</v>
      </c>
      <c r="K8" s="18">
        <f t="shared" si="0"/>
        <v>1795.4</v>
      </c>
      <c r="L8" s="15"/>
    </row>
    <row r="9" s="3" customFormat="1" ht="30" customHeight="1" spans="1:12">
      <c r="A9" s="19"/>
      <c r="B9" s="20">
        <v>6562.5</v>
      </c>
      <c r="C9" s="21">
        <f t="shared" si="1"/>
        <v>0.0012190476</v>
      </c>
      <c r="D9" s="14">
        <v>600</v>
      </c>
      <c r="E9" s="2">
        <f t="shared" si="2"/>
        <v>0.73142856</v>
      </c>
      <c r="H9" s="24" t="s">
        <v>15</v>
      </c>
      <c r="I9" s="23">
        <v>8</v>
      </c>
      <c r="J9" s="17">
        <v>0.73</v>
      </c>
      <c r="K9" s="18">
        <f t="shared" si="0"/>
        <v>8.73</v>
      </c>
      <c r="L9" s="15"/>
    </row>
    <row r="10" s="3" customFormat="1" ht="30" customHeight="1" spans="1:12">
      <c r="A10" s="19"/>
      <c r="B10" s="20">
        <v>6562.5</v>
      </c>
      <c r="C10" s="21">
        <f t="shared" si="1"/>
        <v>0.0025142857</v>
      </c>
      <c r="D10" s="14">
        <v>600</v>
      </c>
      <c r="E10" s="2">
        <f t="shared" si="2"/>
        <v>1.50857142</v>
      </c>
      <c r="H10" s="22" t="s">
        <v>16</v>
      </c>
      <c r="I10" s="23">
        <v>16.5</v>
      </c>
      <c r="J10" s="17">
        <v>1.51</v>
      </c>
      <c r="K10" s="18">
        <f t="shared" si="0"/>
        <v>18.01</v>
      </c>
      <c r="L10" s="15"/>
    </row>
    <row r="11" s="3" customFormat="1" ht="30" customHeight="1" spans="1:12">
      <c r="A11" s="19"/>
      <c r="B11" s="20">
        <v>6562.5</v>
      </c>
      <c r="C11" s="21">
        <f t="shared" si="1"/>
        <v>0.0167619048</v>
      </c>
      <c r="D11" s="14">
        <v>600</v>
      </c>
      <c r="E11" s="2">
        <f t="shared" si="2"/>
        <v>10.05714288</v>
      </c>
      <c r="H11" s="24" t="s">
        <v>17</v>
      </c>
      <c r="I11" s="23">
        <v>110</v>
      </c>
      <c r="J11" s="17">
        <v>10.06</v>
      </c>
      <c r="K11" s="18">
        <f t="shared" si="0"/>
        <v>120.06</v>
      </c>
      <c r="L11" s="15"/>
    </row>
    <row r="12" s="3" customFormat="1" ht="30" customHeight="1" spans="1:12">
      <c r="A12" s="19"/>
      <c r="B12" s="20">
        <v>6562.5</v>
      </c>
      <c r="C12" s="21">
        <f t="shared" si="1"/>
        <v>0.0231619048</v>
      </c>
      <c r="D12" s="14">
        <v>600</v>
      </c>
      <c r="E12" s="2">
        <f t="shared" si="2"/>
        <v>13.89714288</v>
      </c>
      <c r="H12" s="22" t="s">
        <v>18</v>
      </c>
      <c r="I12" s="23">
        <f>172-20</f>
        <v>152</v>
      </c>
      <c r="J12" s="17">
        <v>13.9</v>
      </c>
      <c r="K12" s="25">
        <f t="shared" si="0"/>
        <v>165.9</v>
      </c>
      <c r="L12" s="15"/>
    </row>
    <row r="13" s="3" customFormat="1" ht="30" customHeight="1" spans="1:12">
      <c r="A13" s="19"/>
      <c r="B13" s="20">
        <v>6562.5</v>
      </c>
      <c r="C13" s="21">
        <f t="shared" si="1"/>
        <v>0.0025142857</v>
      </c>
      <c r="D13" s="14">
        <v>600</v>
      </c>
      <c r="E13" s="2">
        <f t="shared" si="2"/>
        <v>1.50857142</v>
      </c>
      <c r="H13" s="24" t="s">
        <v>19</v>
      </c>
      <c r="I13" s="23">
        <v>16.5</v>
      </c>
      <c r="J13" s="17">
        <v>1.51</v>
      </c>
      <c r="K13" s="25">
        <f t="shared" si="0"/>
        <v>18.01</v>
      </c>
      <c r="L13" s="15"/>
    </row>
    <row r="14" s="3" customFormat="1" ht="30" customHeight="1" spans="1:12">
      <c r="A14" s="19"/>
      <c r="B14" s="20"/>
      <c r="C14" s="21"/>
      <c r="D14" s="19"/>
      <c r="E14" s="3"/>
      <c r="H14" s="26" t="s">
        <v>20</v>
      </c>
      <c r="I14" s="23">
        <f>SUM(I4:I13)</f>
        <v>6562.5</v>
      </c>
      <c r="J14" s="17">
        <v>600</v>
      </c>
      <c r="K14" s="25">
        <f>SUM(K4:K13)</f>
        <v>7162.5</v>
      </c>
      <c r="L14" s="15"/>
    </row>
  </sheetData>
  <mergeCells count="5">
    <mergeCell ref="H1:L1"/>
    <mergeCell ref="H2:H3"/>
    <mergeCell ref="I2:I3"/>
    <mergeCell ref="J2:J3"/>
    <mergeCell ref="L2:L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2026-07-01T08:18:29Z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75343706119F43A68F56C5505A837745_13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