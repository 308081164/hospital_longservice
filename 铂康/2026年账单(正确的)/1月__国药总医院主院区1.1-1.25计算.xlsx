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eliveryNoteSummary" sheetId="1" r:id="rId1"/>
  </sheets>
  <definedNames>
    <definedName name="_xlnm._FilterDatabase" localSheetId="0" hidden="1">DeliveryNoteSummary!$A$12:$N$345</definedName>
    <definedName name="_xlnm.Print_Titles" localSheetId="0">DeliveryNoteSummary!$1:$6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<sst xmlns="http://schemas.openxmlformats.org/spreadsheetml/2006/main" count="1658" uniqueCount="147">
  <si>
    <t>发货单汇总表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</si>
  <si>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2026/1/25</t>
    </r>
  </si>
  <si>
    <t/>
  </si>
  <si>
    <r>
      <rPr>
        <b/>
        <sz val="10"/>
        <color rgb="FF000000"/>
        <rFont val="Droid Sans Fallback"/>
        <charset val="134"/>
      </rPr>
      <t>处理量合计:</t>
    </r>
    <r>
      <rPr>
        <b/>
        <sz val="10"/>
        <color rgb="FF000000"/>
        <rFont val="Droid Sans Fallback"/>
        <charset val="134"/>
      </rPr>
      <t>446</t>
    </r>
    <r>
      <rPr>
        <b/>
        <sz val="10"/>
        <color rgb="FF000000"/>
        <rFont val="Droid Sans Fallback"/>
        <charset val="134"/>
      </rPr>
      <t>　器械量合计:</t>
    </r>
    <r>
      <rPr>
        <b/>
        <sz val="10"/>
        <color rgb="FF000000"/>
        <rFont val="Droid Sans Fallback"/>
        <charset val="134"/>
      </rPr>
      <t>2868</t>
    </r>
  </si>
  <si>
    <t>发货日期</t>
  </si>
  <si>
    <t>发货单号</t>
  </si>
  <si>
    <t>基本类型</t>
  </si>
  <si>
    <t>类型</t>
  </si>
  <si>
    <t>包编号</t>
  </si>
  <si>
    <t>包名</t>
  </si>
  <si>
    <t>数量</t>
  </si>
  <si>
    <t>单价</t>
  </si>
  <si>
    <t>合计</t>
  </si>
  <si>
    <t>哈尔滨汽轮机医院</t>
  </si>
  <si>
    <t>导管室</t>
  </si>
  <si>
    <t>高温</t>
  </si>
  <si>
    <t>器械包</t>
  </si>
  <si>
    <t>器械包(ZSD)</t>
  </si>
  <si>
    <t>缝合包。</t>
  </si>
  <si>
    <t>妇科病房</t>
  </si>
  <si>
    <t>低温</t>
  </si>
  <si>
    <t>额外包</t>
  </si>
  <si>
    <t>额外包(低温等离子)</t>
  </si>
  <si>
    <t>病理剪-1/z1560</t>
  </si>
  <si>
    <t>病理钳-1/z1560</t>
  </si>
  <si>
    <t>宫腔镜镜头-1/双z1550</t>
  </si>
  <si>
    <t>宫腔镜，镜鞘-2件/（组合）双Z1555</t>
  </si>
  <si>
    <t>胎头吸引器-1/Z2060</t>
  </si>
  <si>
    <t>面罩-2/Z2030</t>
  </si>
  <si>
    <t>病理勺-1/z1560</t>
  </si>
  <si>
    <t>额外包(无纺布)</t>
  </si>
  <si>
    <t>消毒缸-3/W7050</t>
  </si>
  <si>
    <t>产包</t>
  </si>
  <si>
    <t>额外包(纸塑袋)</t>
  </si>
  <si>
    <t>引产包-2件/Z2044</t>
  </si>
  <si>
    <t>敷料包</t>
  </si>
  <si>
    <t>敷料包(纸塑袋)</t>
  </si>
  <si>
    <t>棉球大/z2032</t>
  </si>
  <si>
    <t>刮勺-1/z7534</t>
  </si>
  <si>
    <t>卵圆钳-1/Z1535</t>
  </si>
  <si>
    <t>止血钳-1/z1029</t>
  </si>
  <si>
    <t>宫颈刮勺-1/z7537</t>
  </si>
  <si>
    <t>刮宫包</t>
  </si>
  <si>
    <t>角针-1/z1020</t>
  </si>
  <si>
    <t>剪刀(高温）-1/z1029</t>
  </si>
  <si>
    <t>产钳-1件（单侧）/w7050</t>
  </si>
  <si>
    <t>取环器-1/z1535</t>
  </si>
  <si>
    <t>妇科门诊</t>
  </si>
  <si>
    <t>取环钩-1/z7537</t>
  </si>
  <si>
    <t>取环包</t>
  </si>
  <si>
    <t>上环包</t>
  </si>
  <si>
    <t>人流包</t>
  </si>
  <si>
    <t>宫颈钳-1/Z1535</t>
  </si>
  <si>
    <t>活检钳-1/Z2032</t>
  </si>
  <si>
    <t>中弯-1/z1026</t>
  </si>
  <si>
    <t>6号吸头 1 扩棒（7，7.5 ）2/Z1035</t>
  </si>
  <si>
    <t>7号吸头-1/z7534</t>
  </si>
  <si>
    <t>肛肠科</t>
  </si>
  <si>
    <t>换药碗-1/z2530</t>
  </si>
  <si>
    <t>肛门镜-1/Z1526</t>
  </si>
  <si>
    <t>单包装包</t>
  </si>
  <si>
    <t>镊子缸-2/z2044</t>
  </si>
  <si>
    <t>方盘-1/z3044</t>
  </si>
  <si>
    <t>治疗盘器械</t>
  </si>
  <si>
    <t>刮勺-1/z7530</t>
  </si>
  <si>
    <t>剪子盒-1/带盖z3032</t>
  </si>
  <si>
    <t>小剪刀8筐1/W7050</t>
  </si>
  <si>
    <t>消毒缸-4/w7050</t>
  </si>
  <si>
    <t>无菌缸 -1/Z2530</t>
  </si>
  <si>
    <t>消毒缸-5件/w9050</t>
  </si>
  <si>
    <t>棉垫/z2032</t>
  </si>
  <si>
    <t>纱布/Z3044</t>
  </si>
  <si>
    <t>消毒缸-6/w9050</t>
  </si>
  <si>
    <t>小剪刀-10件筐1/W9050</t>
  </si>
  <si>
    <t>纱布卷/z2032</t>
  </si>
  <si>
    <t>康复科</t>
  </si>
  <si>
    <t>单包装包(老肯低温)</t>
  </si>
  <si>
    <t>射频电极-1（盒1）/z2542</t>
  </si>
  <si>
    <t>内热针-15/z7526</t>
  </si>
  <si>
    <t>银质针-10/z7526</t>
  </si>
  <si>
    <t>内热针-10/z7526</t>
  </si>
  <si>
    <t>镊子-1/z7534</t>
  </si>
  <si>
    <t>组织钳-1/z1026</t>
  </si>
  <si>
    <t>缝合包（大）</t>
  </si>
  <si>
    <t>银质针-24（按长短分开）/Z7530</t>
  </si>
  <si>
    <t>敷料包(无纺布包)</t>
  </si>
  <si>
    <t>棉球（布）/w9050</t>
  </si>
  <si>
    <t>缝合包（小）</t>
  </si>
  <si>
    <t>手术室</t>
  </si>
  <si>
    <t>无损伤钳-1/z2060</t>
  </si>
  <si>
    <t>手持-1/ Z1526</t>
  </si>
  <si>
    <t>冲洗瓶-1/Z2035</t>
  </si>
  <si>
    <t>25度镜头-1/双/Z1550</t>
  </si>
  <si>
    <t>（26号）电切镜鞘-3件/Z2045</t>
  </si>
  <si>
    <t>电切组件-3/z2045</t>
  </si>
  <si>
    <t>冲洗器-1/z1560</t>
  </si>
  <si>
    <t>水管-1（没接头）/z3040</t>
  </si>
  <si>
    <t>分离钳-1/Z2060</t>
  </si>
  <si>
    <t>弯剪刀-1/Z2060</t>
  </si>
  <si>
    <t>小抓钳-1/z2060</t>
  </si>
  <si>
    <t>双极钳-1/z2060</t>
  </si>
  <si>
    <t>电凝钩-1/z7550</t>
  </si>
  <si>
    <t>铁水头-1/z7526</t>
  </si>
  <si>
    <t>气腹针-1/z1030</t>
  </si>
  <si>
    <t>气腹管-1/z3040</t>
  </si>
  <si>
    <t>穿刺器（10MM）-1件/Z1532</t>
  </si>
  <si>
    <t>穿刺器（5MM）-1件/Z1532</t>
  </si>
  <si>
    <t>镜头-1/双z1550</t>
  </si>
  <si>
    <t>超声刀穿刺器（5MM）-1件/Z1532</t>
  </si>
  <si>
    <t>吸引器-1/z1560</t>
  </si>
  <si>
    <t>水管-1（有接头）/z3040</t>
  </si>
  <si>
    <t>小缝合</t>
  </si>
  <si>
    <t>注射针头-2/Z7520</t>
  </si>
  <si>
    <t>肛肠包</t>
  </si>
  <si>
    <t>双头刮勺-1/Z1029</t>
  </si>
  <si>
    <t>小肌钩-2/Z7526</t>
  </si>
  <si>
    <t>小切开</t>
  </si>
  <si>
    <t>造瘘包</t>
  </si>
  <si>
    <t>血管夹-1/z7520</t>
  </si>
  <si>
    <t>镊子缸-3/w6050</t>
  </si>
  <si>
    <t xml:space="preserve">人工血管包      </t>
  </si>
  <si>
    <t>刮匙1探针（大头1小头1）-3/z7530</t>
  </si>
  <si>
    <t>腹腔镜</t>
  </si>
  <si>
    <t>巾钳子-4/z1526</t>
  </si>
  <si>
    <t>中弯-5/W6050</t>
  </si>
  <si>
    <t>10毫米30度镜-1件/（高温！）Z2060</t>
  </si>
  <si>
    <t>子宫肌瘤包</t>
  </si>
  <si>
    <t>蚊式-5/z1526</t>
  </si>
  <si>
    <t>显微小弯-2/Z1526</t>
  </si>
  <si>
    <t>手术室（妇科）</t>
  </si>
  <si>
    <t>电切环-1/z1045</t>
  </si>
  <si>
    <t>妇科腹腔镜包</t>
  </si>
  <si>
    <t>外科</t>
  </si>
  <si>
    <t>大镊子-1/z7534</t>
  </si>
  <si>
    <t>眼科剪刀-1/Z7526</t>
  </si>
  <si>
    <t>外科缝合包</t>
  </si>
  <si>
    <t>消毒缸-1/Z2530</t>
  </si>
  <si>
    <t>棉球/z1526</t>
  </si>
  <si>
    <t>小弯-1/z1026</t>
  </si>
  <si>
    <t>大弯-1/z1029</t>
  </si>
  <si>
    <t>持针器-1/z1029</t>
  </si>
  <si>
    <t>胃肠镜室</t>
  </si>
  <si>
    <t>中单/w9050</t>
  </si>
  <si>
    <t>血透科</t>
  </si>
  <si>
    <t>开口器-1/Z1026</t>
  </si>
  <si>
    <t>舌钳子-1/z1026</t>
  </si>
  <si>
    <t>缝合包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</si>
</sst>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</cellStyleXfs>
  <cellXfs count="33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5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6" fillId="2" borderId="2" xfId="49" applyNumberFormat="1" applyFont="1" applyFill="1" applyBorder="1" applyAlignment="1">
      <alignment horizontal="center" vertical="top" wrapText="1" readingOrder="1"/>
    </xf>
    <xf numFmtId="176" fontId="6" fillId="2" borderId="2" xfId="49" applyNumberFormat="1" applyFont="1" applyFill="1" applyBorder="1" applyAlignment="1">
      <alignment horizontal="center" vertical="top" wrapText="1" readingOrder="1"/>
    </xf>
    <xf numFmtId="0" fontId="7" fillId="3" borderId="2" xfId="49" applyNumberFormat="1" applyFont="1" applyFill="1" applyBorder="1" applyAlignment="1">
      <alignment vertical="top" wrapText="1" readingOrder="1"/>
    </xf>
    <xf numFmtId="0" fontId="3" fillId="3" borderId="2" xfId="49" applyNumberFormat="1" applyFont="1" applyFill="1" applyBorder="1" applyAlignment="1">
      <alignment horizontal="center" vertical="top" wrapText="1" readingOrder="1"/>
    </xf>
    <xf numFmtId="176" fontId="3" fillId="3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left" vertical="top" wrapText="1" readingOrder="1"/>
    </xf>
    <xf numFmtId="0" fontId="7" fillId="4" borderId="2" xfId="49" applyNumberFormat="1" applyFont="1" applyFill="1" applyBorder="1" applyAlignment="1">
      <alignment horizontal="left" vertical="top" wrapText="1" readingOrder="1"/>
    </xf>
    <xf numFmtId="0" fontId="4" fillId="4" borderId="2" xfId="49" applyNumberFormat="1" applyFont="1" applyFill="1" applyBorder="1" applyAlignment="1">
      <alignment horizontal="left" vertical="top" wrapText="1" readingOrder="1"/>
    </xf>
    <xf numFmtId="0" fontId="4" fillId="4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center" vertical="top" wrapText="1" readingOrder="1"/>
    </xf>
    <xf numFmtId="177" fontId="4" fillId="0" borderId="3" xfId="49" applyNumberFormat="1" applyFont="1" applyFill="1" applyBorder="1" applyAlignment="1">
      <alignment horizontal="left" vertical="top" wrapText="1" readingOrder="1"/>
    </xf>
    <xf numFmtId="0" fontId="4" fillId="0" borderId="3" xfId="49" applyNumberFormat="1" applyFont="1" applyFill="1" applyBorder="1" applyAlignment="1">
      <alignment horizontal="left"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0" fillId="5" borderId="0" xfId="49" applyFont="1" applyFill="1" applyBorder="1"/>
    <xf numFmtId="0" fontId="3" fillId="0" borderId="0" xfId="49" applyNumberFormat="1" applyFont="1" applyFill="1" applyBorder="1" applyAlignment="1">
      <alignment horizontal="center" vertical="top" wrapText="1" readingOrder="1"/>
    </xf>
    <xf numFmtId="177" fontId="4" fillId="5" borderId="3" xfId="49" applyNumberFormat="1" applyFont="1" applyFill="1" applyBorder="1" applyAlignment="1">
      <alignment horizontal="left" vertical="top" wrapText="1" readingOrder="1"/>
    </xf>
    <xf numFmtId="0" fontId="4" fillId="5" borderId="3" xfId="49" applyNumberFormat="1" applyFont="1" applyFill="1" applyBorder="1" applyAlignment="1">
      <alignment horizontal="left" vertical="top" wrapText="1" readingOrder="1"/>
    </xf>
    <xf numFmtId="0" fontId="0" fillId="5" borderId="4" xfId="49" applyNumberFormat="1" applyFont="1" applyFill="1" applyBorder="1" applyAlignment="1">
      <alignment vertical="top" wrapText="1"/>
    </xf>
    <xf numFmtId="0" fontId="4" fillId="5" borderId="3" xfId="49" applyNumberFormat="1" applyFont="1" applyFill="1" applyBorder="1" applyAlignment="1">
      <alignment vertical="top" wrapText="1" readingOrder="1"/>
    </xf>
    <xf numFmtId="0" fontId="3" fillId="5" borderId="3" xfId="49" applyNumberFormat="1" applyFont="1" applyFill="1" applyBorder="1" applyAlignment="1">
      <alignment horizontal="center" vertical="top" wrapText="1" readingOrder="1"/>
    </xf>
    <xf numFmtId="176" fontId="3" fillId="5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DFE3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361950</xdr:colOff>
      <xdr:row>0</xdr:row>
      <xdr:rowOff>76200</xdr:rowOff>
    </xdr:from>
    <xdr:to>
      <xdr:col>13</xdr:col>
      <xdr:colOff>865752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629650" y="76200"/>
          <a:ext cx="50355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46"/>
  <sheetViews>
    <sheetView showGridLines="0" tabSelected="1" workbookViewId="0">
      <pane ySplit="6" topLeftCell="A7" activePane="bottomLeft" state="frozen"/>
      <selection/>
      <selection pane="bottomLeft" activeCell="F29" sqref="F29:G29"/>
    </sheetView>
  </sheetViews>
  <sheetFormatPr defaultColWidth="9" defaultRowHeight="13.5"/>
  <cols>
    <col min="1" max="1" width="0.225" customWidth="1"/>
    <col min="2" max="2" width="0.791666666666667" customWidth="1"/>
    <col min="3" max="3" width="0.433333333333333" customWidth="1"/>
    <col min="4" max="4" width="1.19166666666667" customWidth="1"/>
    <col min="5" max="5" width="10.5" customWidth="1"/>
    <col min="6" max="6" width="3.33333333333333" customWidth="1"/>
    <col min="7" max="7" width="6.45833333333333" customWidth="1"/>
    <col min="8" max="8" width="9.4" customWidth="1"/>
    <col min="9" max="9" width="18" customWidth="1"/>
    <col min="10" max="10" width="10.5" customWidth="1"/>
    <col min="11" max="11" width="29.125" customWidth="1"/>
    <col min="12" max="12" width="8.125" customWidth="1"/>
    <col min="13" max="13" width="10.4166666666667" customWidth="1"/>
    <col min="14" max="14" width="12" customWidth="1"/>
  </cols>
  <sheetData>
    <row r="1" spans="1:17">
      <c r="B1" s="1" t="s">
        <v>0</v>
      </c>
    </row>
    <row r="2" ht="23.05" customHeight="1" spans="1:17">
      <c r="O2">
        <f>17*50</f>
        <v>850</v>
      </c>
      <c r="P2">
        <f>3000-O2</f>
        <v>2150</v>
      </c>
    </row>
    <row r="3" ht="2" customHeight="1"/>
    <row r="4" ht="15.2" customHeight="1" spans="1:17">
      <c r="B4" s="2" t="s">
        <v>1</v>
      </c>
    </row>
    <row r="6" ht="2.05" customHeight="1"/>
    <row r="7" ht="1.9" customHeight="1" spans="1:17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</row>
    <row r="8" spans="1:17">
      <c r="G8" s="4" t="s">
        <v>3</v>
      </c>
    </row>
    <row r="10" spans="1:17">
      <c r="Q10">
        <v>3872</v>
      </c>
    </row>
    <row r="11" ht="2.95" customHeight="1" spans="1:17">
      <c r="Q11">
        <v>2530</v>
      </c>
    </row>
    <row r="12" spans="1:17">
      <c r="A12" s="5" t="s">
        <v>2</v>
      </c>
      <c r="C12" s="5" t="s">
        <v>2</v>
      </c>
      <c r="D12" s="5" t="s">
        <v>2</v>
      </c>
      <c r="E12" s="5" t="s">
        <v>4</v>
      </c>
      <c r="F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6" t="s">
        <v>10</v>
      </c>
      <c r="M12" s="6" t="s">
        <v>11</v>
      </c>
      <c r="N12" s="6" t="s">
        <v>12</v>
      </c>
      <c r="Q12">
        <v>215</v>
      </c>
    </row>
    <row r="13" ht="15" hidden="1" spans="1:17">
      <c r="A13" s="7" t="s">
        <v>2</v>
      </c>
      <c r="B13" s="8" t="s">
        <v>2</v>
      </c>
      <c r="C13" s="7" t="s">
        <v>2</v>
      </c>
      <c r="D13" s="7" t="s">
        <v>2</v>
      </c>
      <c r="E13" s="7" t="s">
        <v>13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7" t="s">
        <v>2</v>
      </c>
      <c r="L13" s="9">
        <v>446</v>
      </c>
      <c r="M13" s="7" t="s">
        <v>2</v>
      </c>
      <c r="N13" s="10">
        <v>15587.5</v>
      </c>
      <c r="Q13">
        <v>2559</v>
      </c>
    </row>
    <row r="14" ht="14.25" hidden="1" spans="1:17">
      <c r="A14" s="5" t="s">
        <v>2</v>
      </c>
      <c r="C14" s="11" t="s">
        <v>2</v>
      </c>
      <c r="D14" s="11" t="s">
        <v>2</v>
      </c>
      <c r="E14" s="11" t="s">
        <v>14</v>
      </c>
      <c r="F14" s="8" t="s">
        <v>2</v>
      </c>
      <c r="G14" s="8" t="s">
        <v>2</v>
      </c>
      <c r="H14" s="8" t="s">
        <v>2</v>
      </c>
      <c r="I14" s="8" t="s">
        <v>2</v>
      </c>
      <c r="J14" s="8" t="s">
        <v>2</v>
      </c>
      <c r="K14" s="11" t="s">
        <v>2</v>
      </c>
      <c r="L14" s="12">
        <v>6</v>
      </c>
      <c r="M14" s="11" t="s">
        <v>2</v>
      </c>
      <c r="N14" s="13">
        <v>231</v>
      </c>
      <c r="Q14">
        <v>633</v>
      </c>
    </row>
    <row r="15" ht="14.25" hidden="1" spans="1:17">
      <c r="C15" s="5" t="s">
        <v>2</v>
      </c>
      <c r="D15" s="14" t="s">
        <v>2</v>
      </c>
      <c r="E15" s="15" t="s">
        <v>15</v>
      </c>
      <c r="F15" s="8" t="s">
        <v>2</v>
      </c>
      <c r="G15" s="8" t="s">
        <v>2</v>
      </c>
      <c r="H15" s="16" t="s">
        <v>2</v>
      </c>
      <c r="I15" s="17" t="s">
        <v>2</v>
      </c>
      <c r="J15" s="16" t="s">
        <v>2</v>
      </c>
      <c r="K15" s="17" t="s">
        <v>2</v>
      </c>
      <c r="L15" s="18">
        <v>6</v>
      </c>
      <c r="M15" s="18" t="s">
        <v>2</v>
      </c>
      <c r="N15" s="18">
        <v>231</v>
      </c>
      <c r="Q15">
        <v>0</v>
      </c>
    </row>
    <row r="16" hidden="1" spans="1:17">
      <c r="E16" s="19">
        <v>46029</v>
      </c>
      <c r="F16" s="20">
        <v>1568469</v>
      </c>
      <c r="G16" s="21" t="s">
        <v>2</v>
      </c>
      <c r="H16" s="20" t="s">
        <v>16</v>
      </c>
      <c r="I16" s="22" t="s">
        <v>17</v>
      </c>
      <c r="J16" s="20">
        <v>20014738</v>
      </c>
      <c r="K16" s="22" t="s">
        <v>18</v>
      </c>
      <c r="L16" s="23">
        <v>3</v>
      </c>
      <c r="M16" s="24">
        <v>38.5</v>
      </c>
      <c r="N16" s="24">
        <v>115.5</v>
      </c>
      <c r="O16">
        <v>5769.5</v>
      </c>
      <c r="Q16">
        <v>670</v>
      </c>
    </row>
    <row r="17" hidden="1" spans="3:17">
      <c r="E17" s="19">
        <v>46031</v>
      </c>
      <c r="F17" s="20">
        <v>1569218</v>
      </c>
      <c r="G17" s="21" t="s">
        <v>2</v>
      </c>
      <c r="H17" s="20" t="s">
        <v>16</v>
      </c>
      <c r="I17" s="22" t="s">
        <v>17</v>
      </c>
      <c r="J17" s="20">
        <v>20014738</v>
      </c>
      <c r="K17" s="22" t="s">
        <v>18</v>
      </c>
      <c r="L17" s="23">
        <v>1</v>
      </c>
      <c r="M17" s="24">
        <v>38.5</v>
      </c>
      <c r="N17" s="24">
        <v>38.5</v>
      </c>
      <c r="O17" s="25">
        <f>O16/5.5</f>
        <v>1049</v>
      </c>
      <c r="P17">
        <f>O17-1035</f>
        <v>14</v>
      </c>
      <c r="Q17">
        <v>1391</v>
      </c>
    </row>
    <row r="18" hidden="1" spans="3:17">
      <c r="E18" s="19">
        <v>46034</v>
      </c>
      <c r="F18" s="20">
        <v>1569686</v>
      </c>
      <c r="G18" s="21" t="s">
        <v>2</v>
      </c>
      <c r="H18" s="20" t="s">
        <v>16</v>
      </c>
      <c r="I18" s="22" t="s">
        <v>17</v>
      </c>
      <c r="J18" s="20">
        <v>20014738</v>
      </c>
      <c r="K18" s="22" t="s">
        <v>18</v>
      </c>
      <c r="L18" s="23">
        <v>1</v>
      </c>
      <c r="M18" s="24">
        <v>38.5</v>
      </c>
      <c r="N18" s="24">
        <v>38.5</v>
      </c>
      <c r="O18">
        <f>1035/15</f>
        <v>69</v>
      </c>
      <c r="Q18">
        <v>538</v>
      </c>
    </row>
    <row r="19" hidden="1" customHeight="1" spans="3:17">
      <c r="E19" s="19">
        <v>46037</v>
      </c>
      <c r="F19" s="20">
        <v>1570840</v>
      </c>
      <c r="G19" s="21" t="s">
        <v>2</v>
      </c>
      <c r="H19" s="20" t="s">
        <v>16</v>
      </c>
      <c r="I19" s="22" t="s">
        <v>17</v>
      </c>
      <c r="J19" s="20">
        <v>20014738</v>
      </c>
      <c r="K19" s="22" t="s">
        <v>18</v>
      </c>
      <c r="L19" s="23">
        <v>1</v>
      </c>
      <c r="M19" s="24">
        <v>38.5</v>
      </c>
      <c r="N19" s="24">
        <v>38.5</v>
      </c>
      <c r="O19" s="25">
        <f>O18*10+P17</f>
        <v>704</v>
      </c>
      <c r="Q19">
        <v>44.5</v>
      </c>
    </row>
    <row r="20" hidden="1" customHeight="1" spans="3:17">
      <c r="E20" s="14" t="s">
        <v>2</v>
      </c>
      <c r="F20" s="14" t="s">
        <v>2</v>
      </c>
      <c r="H20" s="14" t="s">
        <v>2</v>
      </c>
      <c r="I20" s="5" t="s">
        <v>2</v>
      </c>
      <c r="J20" s="14" t="s">
        <v>2</v>
      </c>
      <c r="K20" s="5" t="s">
        <v>2</v>
      </c>
      <c r="L20" s="26" t="s">
        <v>2</v>
      </c>
      <c r="M20" s="26" t="s">
        <v>2</v>
      </c>
      <c r="N20" s="26" t="s">
        <v>2</v>
      </c>
    </row>
    <row r="21" hidden="1" customHeight="1" spans="3:17">
      <c r="C21" s="5" t="s">
        <v>2</v>
      </c>
      <c r="D21" s="5" t="s">
        <v>2</v>
      </c>
      <c r="E21" s="5" t="s">
        <v>2</v>
      </c>
      <c r="F21" s="5" t="s">
        <v>2</v>
      </c>
      <c r="H21" s="5" t="s">
        <v>2</v>
      </c>
      <c r="I21" s="5" t="s">
        <v>2</v>
      </c>
      <c r="J21" s="5" t="s">
        <v>2</v>
      </c>
      <c r="K21" s="5" t="s">
        <v>2</v>
      </c>
      <c r="L21" s="5" t="s">
        <v>2</v>
      </c>
      <c r="M21" s="5" t="s">
        <v>2</v>
      </c>
      <c r="N21" s="5" t="s">
        <v>2</v>
      </c>
    </row>
    <row r="22" hidden="1" customHeight="1" spans="3:17">
      <c r="C22" s="11" t="s">
        <v>2</v>
      </c>
      <c r="D22" s="11" t="s">
        <v>2</v>
      </c>
      <c r="E22" s="11" t="s">
        <v>19</v>
      </c>
      <c r="F22" s="8" t="s">
        <v>2</v>
      </c>
      <c r="G22" s="8" t="s">
        <v>2</v>
      </c>
      <c r="H22" s="8" t="s">
        <v>2</v>
      </c>
      <c r="I22" s="8" t="s">
        <v>2</v>
      </c>
      <c r="J22" s="8" t="s">
        <v>2</v>
      </c>
      <c r="K22" s="11" t="s">
        <v>2</v>
      </c>
      <c r="L22" s="12">
        <v>46</v>
      </c>
      <c r="M22" s="11" t="s">
        <v>2</v>
      </c>
      <c r="N22" s="13">
        <v>1084</v>
      </c>
    </row>
    <row r="23" hidden="1" customHeight="1" spans="3:17">
      <c r="C23" s="5" t="s">
        <v>2</v>
      </c>
      <c r="D23" s="14" t="s">
        <v>2</v>
      </c>
      <c r="E23" s="15" t="s">
        <v>20</v>
      </c>
      <c r="F23" s="8" t="s">
        <v>2</v>
      </c>
      <c r="G23" s="8" t="s">
        <v>2</v>
      </c>
      <c r="H23" s="16" t="s">
        <v>2</v>
      </c>
      <c r="I23" s="17" t="s">
        <v>2</v>
      </c>
      <c r="J23" s="16" t="s">
        <v>2</v>
      </c>
      <c r="K23" s="17" t="s">
        <v>2</v>
      </c>
      <c r="L23" s="18">
        <v>16</v>
      </c>
      <c r="M23" s="18" t="s">
        <v>2</v>
      </c>
      <c r="N23" s="18">
        <v>490</v>
      </c>
    </row>
    <row r="24" hidden="1" customHeight="1" spans="3:17">
      <c r="E24" s="19">
        <v>46031</v>
      </c>
      <c r="F24" s="20">
        <v>1569056</v>
      </c>
      <c r="G24" s="21" t="s">
        <v>2</v>
      </c>
      <c r="H24" s="20" t="s">
        <v>21</v>
      </c>
      <c r="I24" s="22" t="s">
        <v>22</v>
      </c>
      <c r="J24" s="20">
        <v>20344020</v>
      </c>
      <c r="K24" s="22" t="s">
        <v>23</v>
      </c>
      <c r="L24" s="23">
        <v>2</v>
      </c>
      <c r="M24" s="24">
        <v>25</v>
      </c>
      <c r="N24" s="24">
        <v>50</v>
      </c>
    </row>
    <row r="25" hidden="1" customHeight="1" spans="3:17">
      <c r="E25" s="19">
        <v>46031</v>
      </c>
      <c r="F25" s="20">
        <v>1569056</v>
      </c>
      <c r="G25" s="21" t="s">
        <v>2</v>
      </c>
      <c r="H25" s="20" t="s">
        <v>21</v>
      </c>
      <c r="I25" s="22" t="s">
        <v>22</v>
      </c>
      <c r="J25" s="20">
        <v>20303908</v>
      </c>
      <c r="K25" s="22" t="s">
        <v>24</v>
      </c>
      <c r="L25" s="23">
        <v>1</v>
      </c>
      <c r="M25" s="24">
        <v>25</v>
      </c>
      <c r="N25" s="24">
        <v>25</v>
      </c>
    </row>
    <row r="26" hidden="1" customHeight="1" spans="3:17">
      <c r="E26" s="19">
        <v>46031</v>
      </c>
      <c r="F26" s="20">
        <v>1569056</v>
      </c>
      <c r="G26" s="21" t="s">
        <v>2</v>
      </c>
      <c r="H26" s="20" t="s">
        <v>21</v>
      </c>
      <c r="I26" s="22" t="s">
        <v>22</v>
      </c>
      <c r="J26" s="20">
        <v>20007874</v>
      </c>
      <c r="K26" s="22" t="s">
        <v>25</v>
      </c>
      <c r="L26" s="23">
        <v>1</v>
      </c>
      <c r="M26" s="24">
        <v>35</v>
      </c>
      <c r="N26" s="24">
        <v>35</v>
      </c>
    </row>
    <row r="27" hidden="1" customHeight="1" spans="3:17">
      <c r="E27" s="19">
        <v>46031</v>
      </c>
      <c r="F27" s="20">
        <v>1569056</v>
      </c>
      <c r="G27" s="21" t="s">
        <v>2</v>
      </c>
      <c r="H27" s="20" t="s">
        <v>21</v>
      </c>
      <c r="I27" s="22" t="s">
        <v>22</v>
      </c>
      <c r="J27" s="20">
        <v>20347730</v>
      </c>
      <c r="K27" s="22" t="s">
        <v>26</v>
      </c>
      <c r="L27" s="23">
        <v>1</v>
      </c>
      <c r="M27" s="24">
        <v>44</v>
      </c>
      <c r="N27" s="24">
        <v>44</v>
      </c>
    </row>
    <row r="28" hidden="1" customHeight="1" spans="3:17">
      <c r="E28" s="19">
        <v>46035</v>
      </c>
      <c r="F28" s="20">
        <v>1569896</v>
      </c>
      <c r="G28" s="21" t="s">
        <v>2</v>
      </c>
      <c r="H28" s="20" t="s">
        <v>21</v>
      </c>
      <c r="I28" s="22" t="s">
        <v>22</v>
      </c>
      <c r="J28" s="20">
        <v>20007874</v>
      </c>
      <c r="K28" s="22" t="s">
        <v>25</v>
      </c>
      <c r="L28" s="23">
        <v>1</v>
      </c>
      <c r="M28" s="24">
        <v>35</v>
      </c>
      <c r="N28" s="24">
        <v>35</v>
      </c>
    </row>
    <row r="29" customHeight="1" spans="3:17">
      <c r="E29" s="19">
        <v>46039</v>
      </c>
      <c r="F29" s="20">
        <v>1571339</v>
      </c>
      <c r="G29" s="21" t="s">
        <v>2</v>
      </c>
      <c r="H29" s="20" t="s">
        <v>21</v>
      </c>
      <c r="I29" s="22" t="s">
        <v>22</v>
      </c>
      <c r="J29" s="20">
        <v>20303908</v>
      </c>
      <c r="K29" s="22" t="s">
        <v>24</v>
      </c>
      <c r="L29" s="23">
        <v>1</v>
      </c>
      <c r="M29" s="24">
        <v>25</v>
      </c>
      <c r="N29" s="24">
        <v>25</v>
      </c>
    </row>
    <row r="30" customHeight="1" spans="3:17">
      <c r="E30" s="19">
        <v>46039</v>
      </c>
      <c r="F30" s="20">
        <v>1571339</v>
      </c>
      <c r="G30" s="21" t="s">
        <v>2</v>
      </c>
      <c r="H30" s="20" t="s">
        <v>21</v>
      </c>
      <c r="I30" s="22" t="s">
        <v>22</v>
      </c>
      <c r="J30" s="20">
        <v>20007874</v>
      </c>
      <c r="K30" s="22" t="s">
        <v>25</v>
      </c>
      <c r="L30" s="23">
        <v>1</v>
      </c>
      <c r="M30" s="24">
        <v>35</v>
      </c>
      <c r="N30" s="24">
        <v>35</v>
      </c>
    </row>
    <row r="31" customHeight="1" spans="3:17">
      <c r="E31" s="19">
        <v>46039</v>
      </c>
      <c r="F31" s="20">
        <v>1571353</v>
      </c>
      <c r="G31" s="21" t="s">
        <v>2</v>
      </c>
      <c r="H31" s="20" t="s">
        <v>21</v>
      </c>
      <c r="I31" s="22" t="s">
        <v>22</v>
      </c>
      <c r="J31" s="20">
        <v>20303908</v>
      </c>
      <c r="K31" s="22" t="s">
        <v>24</v>
      </c>
      <c r="L31" s="23">
        <v>1</v>
      </c>
      <c r="M31" s="24">
        <v>25</v>
      </c>
      <c r="N31" s="24">
        <v>25</v>
      </c>
    </row>
    <row r="32" hidden="1" customHeight="1" spans="3:17">
      <c r="E32" s="19">
        <v>46041</v>
      </c>
      <c r="F32" s="20">
        <v>1571673</v>
      </c>
      <c r="G32" s="21" t="s">
        <v>2</v>
      </c>
      <c r="H32" s="20" t="s">
        <v>21</v>
      </c>
      <c r="I32" s="22" t="s">
        <v>22</v>
      </c>
      <c r="J32" s="20">
        <v>20007691</v>
      </c>
      <c r="K32" s="22" t="s">
        <v>27</v>
      </c>
      <c r="L32" s="23">
        <v>1</v>
      </c>
      <c r="M32" s="24">
        <v>28</v>
      </c>
      <c r="N32" s="24">
        <v>28</v>
      </c>
    </row>
    <row r="33" hidden="1" customHeight="1" spans="4:15">
      <c r="E33" s="19">
        <v>46041</v>
      </c>
      <c r="F33" s="20">
        <v>1571673</v>
      </c>
      <c r="G33" s="21" t="s">
        <v>2</v>
      </c>
      <c r="H33" s="20" t="s">
        <v>21</v>
      </c>
      <c r="I33" s="22" t="s">
        <v>22</v>
      </c>
      <c r="J33" s="20">
        <v>20008809</v>
      </c>
      <c r="K33" s="22" t="s">
        <v>28</v>
      </c>
      <c r="L33" s="23">
        <v>1</v>
      </c>
      <c r="M33" s="24">
        <v>44</v>
      </c>
      <c r="N33" s="24">
        <v>44</v>
      </c>
    </row>
    <row r="34" hidden="1" customHeight="1" spans="4:15">
      <c r="E34" s="19">
        <v>46041</v>
      </c>
      <c r="F34" s="20">
        <v>1571673</v>
      </c>
      <c r="G34" s="21" t="s">
        <v>2</v>
      </c>
      <c r="H34" s="20" t="s">
        <v>21</v>
      </c>
      <c r="I34" s="22" t="s">
        <v>22</v>
      </c>
      <c r="J34" s="20">
        <v>20409633</v>
      </c>
      <c r="K34" s="22" t="s">
        <v>29</v>
      </c>
      <c r="L34" s="23">
        <v>1</v>
      </c>
      <c r="M34" s="24">
        <v>25</v>
      </c>
      <c r="N34" s="24">
        <v>25</v>
      </c>
    </row>
    <row r="35" hidden="1" customHeight="1" spans="4:15">
      <c r="E35" s="19">
        <v>46043</v>
      </c>
      <c r="F35" s="20">
        <v>1572203</v>
      </c>
      <c r="G35" s="21" t="s">
        <v>2</v>
      </c>
      <c r="H35" s="20" t="s">
        <v>21</v>
      </c>
      <c r="I35" s="22" t="s">
        <v>22</v>
      </c>
      <c r="J35" s="20">
        <v>20344020</v>
      </c>
      <c r="K35" s="22" t="s">
        <v>23</v>
      </c>
      <c r="L35" s="23">
        <v>1</v>
      </c>
      <c r="M35" s="24">
        <v>25</v>
      </c>
      <c r="N35" s="24">
        <v>25</v>
      </c>
    </row>
    <row r="36" hidden="1" customHeight="1" spans="4:15">
      <c r="E36" s="19">
        <v>46043</v>
      </c>
      <c r="F36" s="20">
        <v>1572203</v>
      </c>
      <c r="G36" s="21" t="s">
        <v>2</v>
      </c>
      <c r="H36" s="20" t="s">
        <v>21</v>
      </c>
      <c r="I36" s="22" t="s">
        <v>22</v>
      </c>
      <c r="J36" s="20">
        <v>20303908</v>
      </c>
      <c r="K36" s="22" t="s">
        <v>24</v>
      </c>
      <c r="L36" s="23">
        <v>1</v>
      </c>
      <c r="M36" s="24">
        <v>25</v>
      </c>
      <c r="N36" s="24">
        <v>25</v>
      </c>
    </row>
    <row r="37" hidden="1" customHeight="1" spans="4:15">
      <c r="E37" s="19">
        <v>46043</v>
      </c>
      <c r="F37" s="20">
        <v>1572203</v>
      </c>
      <c r="G37" s="21" t="s">
        <v>2</v>
      </c>
      <c r="H37" s="20" t="s">
        <v>21</v>
      </c>
      <c r="I37" s="22" t="s">
        <v>22</v>
      </c>
      <c r="J37" s="20">
        <v>20347730</v>
      </c>
      <c r="K37" s="22" t="s">
        <v>26</v>
      </c>
      <c r="L37" s="23">
        <v>1</v>
      </c>
      <c r="M37" s="24">
        <v>44</v>
      </c>
      <c r="N37" s="24">
        <v>44</v>
      </c>
    </row>
    <row r="38" hidden="1" customHeight="1" spans="4:15">
      <c r="E38" s="19">
        <v>46045</v>
      </c>
      <c r="F38" s="20">
        <v>1573103</v>
      </c>
      <c r="G38" s="21" t="s">
        <v>2</v>
      </c>
      <c r="H38" s="20" t="s">
        <v>21</v>
      </c>
      <c r="I38" s="22" t="s">
        <v>22</v>
      </c>
      <c r="J38" s="20">
        <v>20303908</v>
      </c>
      <c r="K38" s="22" t="s">
        <v>24</v>
      </c>
      <c r="L38" s="23">
        <v>1</v>
      </c>
      <c r="M38" s="24">
        <v>25</v>
      </c>
      <c r="N38" s="24">
        <v>25</v>
      </c>
    </row>
    <row r="39" hidden="1" customHeight="1" spans="4:15">
      <c r="E39" s="14" t="s">
        <v>2</v>
      </c>
      <c r="F39" s="14" t="s">
        <v>2</v>
      </c>
      <c r="H39" s="14" t="s">
        <v>2</v>
      </c>
      <c r="I39" s="5" t="s">
        <v>2</v>
      </c>
      <c r="J39" s="14" t="s">
        <v>2</v>
      </c>
      <c r="K39" s="5" t="s">
        <v>2</v>
      </c>
      <c r="L39" s="26" t="s">
        <v>2</v>
      </c>
      <c r="M39" s="26" t="s">
        <v>2</v>
      </c>
      <c r="N39" s="26" t="s">
        <v>2</v>
      </c>
    </row>
    <row r="40" hidden="1" customHeight="1" spans="4:15">
      <c r="D40" s="14" t="s">
        <v>2</v>
      </c>
      <c r="E40" s="15" t="s">
        <v>15</v>
      </c>
      <c r="F40" s="8" t="s">
        <v>2</v>
      </c>
      <c r="G40" s="8" t="s">
        <v>2</v>
      </c>
      <c r="H40" s="16" t="s">
        <v>2</v>
      </c>
      <c r="I40" s="17" t="s">
        <v>2</v>
      </c>
      <c r="J40" s="16" t="s">
        <v>2</v>
      </c>
      <c r="K40" s="17" t="s">
        <v>2</v>
      </c>
      <c r="L40" s="18">
        <v>30</v>
      </c>
      <c r="M40" s="18" t="s">
        <v>2</v>
      </c>
      <c r="N40" s="18">
        <v>594</v>
      </c>
    </row>
    <row r="41" hidden="1" customHeight="1" spans="4:15">
      <c r="E41" s="19">
        <v>46026</v>
      </c>
      <c r="F41" s="20">
        <v>1567463</v>
      </c>
      <c r="G41" s="21" t="s">
        <v>2</v>
      </c>
      <c r="H41" s="20" t="s">
        <v>21</v>
      </c>
      <c r="I41" s="22" t="s">
        <v>30</v>
      </c>
      <c r="J41" s="20">
        <v>20012999</v>
      </c>
      <c r="K41" s="22" t="s">
        <v>31</v>
      </c>
      <c r="L41" s="23">
        <v>1</v>
      </c>
      <c r="M41" s="24">
        <v>16.5</v>
      </c>
      <c r="N41" s="24">
        <v>16.5</v>
      </c>
    </row>
    <row r="42" hidden="1" customHeight="1" spans="4:15">
      <c r="E42" s="19">
        <v>46027</v>
      </c>
      <c r="F42" s="20">
        <v>1567792</v>
      </c>
      <c r="G42" s="21" t="s">
        <v>2</v>
      </c>
      <c r="H42" s="20" t="s">
        <v>16</v>
      </c>
      <c r="I42" s="22" t="s">
        <v>17</v>
      </c>
      <c r="J42" s="20">
        <v>20009191</v>
      </c>
      <c r="K42" s="22" t="s">
        <v>32</v>
      </c>
      <c r="L42" s="23">
        <v>1</v>
      </c>
      <c r="M42" s="24">
        <v>38.5</v>
      </c>
      <c r="N42" s="24">
        <v>38.5</v>
      </c>
      <c r="O42" s="25">
        <f>O19*5.5</f>
        <v>3872</v>
      </c>
    </row>
    <row r="43" hidden="1" customHeight="1" spans="4:15">
      <c r="E43" s="19">
        <v>46027</v>
      </c>
      <c r="F43" s="20">
        <v>1567792</v>
      </c>
      <c r="G43" s="21" t="s">
        <v>2</v>
      </c>
      <c r="H43" s="20" t="s">
        <v>21</v>
      </c>
      <c r="I43" s="22" t="s">
        <v>30</v>
      </c>
      <c r="J43" s="20">
        <v>20012999</v>
      </c>
      <c r="K43" s="22" t="s">
        <v>31</v>
      </c>
      <c r="L43" s="23">
        <v>1</v>
      </c>
      <c r="M43" s="24">
        <v>16.5</v>
      </c>
      <c r="N43" s="24">
        <v>16.5</v>
      </c>
    </row>
    <row r="44" hidden="1" customHeight="1" spans="4:15">
      <c r="E44" s="19">
        <v>46027</v>
      </c>
      <c r="F44" s="20">
        <v>1567792</v>
      </c>
      <c r="G44" s="21" t="s">
        <v>2</v>
      </c>
      <c r="H44" s="20" t="s">
        <v>21</v>
      </c>
      <c r="I44" s="22" t="s">
        <v>33</v>
      </c>
      <c r="J44" s="20">
        <v>20007872</v>
      </c>
      <c r="K44" s="22" t="s">
        <v>34</v>
      </c>
      <c r="L44" s="23">
        <v>1</v>
      </c>
      <c r="M44" s="24">
        <v>16.5</v>
      </c>
      <c r="N44" s="24">
        <v>16.5</v>
      </c>
    </row>
    <row r="45" hidden="1" customHeight="1" spans="4:15">
      <c r="E45" s="19">
        <v>46028</v>
      </c>
      <c r="F45" s="20">
        <v>1568131</v>
      </c>
      <c r="G45" s="21" t="s">
        <v>2</v>
      </c>
      <c r="H45" s="20" t="s">
        <v>35</v>
      </c>
      <c r="I45" s="22" t="s">
        <v>36</v>
      </c>
      <c r="J45" s="20">
        <v>20009169</v>
      </c>
      <c r="K45" s="22" t="s">
        <v>37</v>
      </c>
      <c r="L45" s="23">
        <v>4</v>
      </c>
      <c r="M45" s="24">
        <v>4</v>
      </c>
      <c r="N45" s="24">
        <v>16</v>
      </c>
    </row>
    <row r="46" hidden="1" customHeight="1" spans="4:15">
      <c r="E46" s="19">
        <v>46029</v>
      </c>
      <c r="F46" s="20">
        <v>1568582</v>
      </c>
      <c r="G46" s="21" t="s">
        <v>2</v>
      </c>
      <c r="H46" s="20" t="s">
        <v>21</v>
      </c>
      <c r="I46" s="22" t="s">
        <v>33</v>
      </c>
      <c r="J46" s="20">
        <v>20007872</v>
      </c>
      <c r="K46" s="22" t="s">
        <v>34</v>
      </c>
      <c r="L46" s="23">
        <v>1</v>
      </c>
      <c r="M46" s="24">
        <v>16.5</v>
      </c>
      <c r="N46" s="24">
        <v>16.5</v>
      </c>
    </row>
    <row r="47" hidden="1" customHeight="1" spans="4:15">
      <c r="E47" s="19">
        <v>46030</v>
      </c>
      <c r="F47" s="20">
        <v>1568871</v>
      </c>
      <c r="G47" s="21" t="s">
        <v>2</v>
      </c>
      <c r="H47" s="20" t="s">
        <v>21</v>
      </c>
      <c r="I47" s="22" t="s">
        <v>33</v>
      </c>
      <c r="J47" s="20">
        <v>20009154</v>
      </c>
      <c r="K47" s="22" t="s">
        <v>38</v>
      </c>
      <c r="L47" s="23">
        <v>2</v>
      </c>
      <c r="M47" s="24">
        <v>8</v>
      </c>
      <c r="N47" s="24">
        <v>16</v>
      </c>
    </row>
    <row r="48" hidden="1" customHeight="1" spans="4:15">
      <c r="E48" s="19">
        <v>46030</v>
      </c>
      <c r="F48" s="20">
        <v>1568871</v>
      </c>
      <c r="G48" s="21" t="s">
        <v>2</v>
      </c>
      <c r="H48" s="20" t="s">
        <v>21</v>
      </c>
      <c r="I48" s="22" t="s">
        <v>33</v>
      </c>
      <c r="J48" s="20">
        <v>20009243</v>
      </c>
      <c r="K48" s="22" t="s">
        <v>39</v>
      </c>
      <c r="L48" s="23">
        <v>1</v>
      </c>
      <c r="M48" s="24">
        <v>11</v>
      </c>
      <c r="N48" s="24">
        <v>11</v>
      </c>
    </row>
    <row r="49" hidden="1" customHeight="1" spans="5:14">
      <c r="E49" s="19">
        <v>46030</v>
      </c>
      <c r="F49" s="20">
        <v>1568871</v>
      </c>
      <c r="G49" s="21" t="s">
        <v>2</v>
      </c>
      <c r="H49" s="20" t="s">
        <v>21</v>
      </c>
      <c r="I49" s="22" t="s">
        <v>33</v>
      </c>
      <c r="J49" s="20">
        <v>20006093</v>
      </c>
      <c r="K49" s="22" t="s">
        <v>40</v>
      </c>
      <c r="L49" s="23">
        <v>1</v>
      </c>
      <c r="M49" s="24">
        <v>8</v>
      </c>
      <c r="N49" s="24">
        <v>8</v>
      </c>
    </row>
    <row r="50" hidden="1" customHeight="1" spans="5:14">
      <c r="E50" s="19">
        <v>46030</v>
      </c>
      <c r="F50" s="20">
        <v>1568871</v>
      </c>
      <c r="G50" s="21" t="s">
        <v>2</v>
      </c>
      <c r="H50" s="20" t="s">
        <v>16</v>
      </c>
      <c r="I50" s="22" t="s">
        <v>17</v>
      </c>
      <c r="J50" s="20">
        <v>20009191</v>
      </c>
      <c r="K50" s="22" t="s">
        <v>32</v>
      </c>
      <c r="L50" s="23">
        <v>1</v>
      </c>
      <c r="M50" s="24">
        <v>38.5</v>
      </c>
      <c r="N50" s="24">
        <v>38.5</v>
      </c>
    </row>
    <row r="51" hidden="1" customHeight="1" spans="5:14">
      <c r="E51" s="19">
        <v>46030</v>
      </c>
      <c r="F51" s="20">
        <v>1568871</v>
      </c>
      <c r="G51" s="21" t="s">
        <v>2</v>
      </c>
      <c r="H51" s="20" t="s">
        <v>21</v>
      </c>
      <c r="I51" s="22" t="s">
        <v>30</v>
      </c>
      <c r="J51" s="20">
        <v>20012999</v>
      </c>
      <c r="K51" s="22" t="s">
        <v>31</v>
      </c>
      <c r="L51" s="23">
        <v>1</v>
      </c>
      <c r="M51" s="24">
        <v>16.5</v>
      </c>
      <c r="N51" s="24">
        <v>16.5</v>
      </c>
    </row>
    <row r="52" hidden="1" customHeight="1" spans="5:14">
      <c r="E52" s="19">
        <v>46030</v>
      </c>
      <c r="F52" s="20">
        <v>1568871</v>
      </c>
      <c r="G52" s="21" t="s">
        <v>2</v>
      </c>
      <c r="H52" s="20" t="s">
        <v>21</v>
      </c>
      <c r="I52" s="22" t="s">
        <v>33</v>
      </c>
      <c r="J52" s="20">
        <v>20324187</v>
      </c>
      <c r="K52" s="22" t="s">
        <v>41</v>
      </c>
      <c r="L52" s="23">
        <v>1</v>
      </c>
      <c r="M52" s="24">
        <v>8</v>
      </c>
      <c r="N52" s="24">
        <v>8</v>
      </c>
    </row>
    <row r="53" hidden="1" customHeight="1" spans="5:14">
      <c r="E53" s="19">
        <v>46030</v>
      </c>
      <c r="F53" s="20">
        <v>1568976</v>
      </c>
      <c r="G53" s="21" t="s">
        <v>2</v>
      </c>
      <c r="H53" s="20" t="s">
        <v>16</v>
      </c>
      <c r="I53" s="22" t="s">
        <v>17</v>
      </c>
      <c r="J53" s="20">
        <v>20009044</v>
      </c>
      <c r="K53" s="22" t="s">
        <v>42</v>
      </c>
      <c r="L53" s="23">
        <v>1</v>
      </c>
      <c r="M53" s="24">
        <v>115.5</v>
      </c>
      <c r="N53" s="24">
        <v>115.5</v>
      </c>
    </row>
    <row r="54" hidden="1" customHeight="1" spans="5:14">
      <c r="E54" s="19">
        <v>46031</v>
      </c>
      <c r="F54" s="20">
        <v>1569219</v>
      </c>
      <c r="G54" s="21" t="s">
        <v>2</v>
      </c>
      <c r="H54" s="20" t="s">
        <v>16</v>
      </c>
      <c r="I54" s="22" t="s">
        <v>17</v>
      </c>
      <c r="J54" s="20">
        <v>20009044</v>
      </c>
      <c r="K54" s="22" t="s">
        <v>42</v>
      </c>
      <c r="L54" s="23">
        <v>1</v>
      </c>
      <c r="M54" s="24">
        <v>115.5</v>
      </c>
      <c r="N54" s="24">
        <v>115.5</v>
      </c>
    </row>
    <row r="55" hidden="1" customHeight="1" spans="5:14">
      <c r="E55" s="19">
        <v>46034</v>
      </c>
      <c r="F55" s="20">
        <v>1569687</v>
      </c>
      <c r="G55" s="21" t="s">
        <v>2</v>
      </c>
      <c r="H55" s="20" t="s">
        <v>21</v>
      </c>
      <c r="I55" s="22" t="s">
        <v>33</v>
      </c>
      <c r="J55" s="20">
        <v>20009154</v>
      </c>
      <c r="K55" s="22" t="s">
        <v>38</v>
      </c>
      <c r="L55" s="23">
        <v>1</v>
      </c>
      <c r="M55" s="24">
        <v>8</v>
      </c>
      <c r="N55" s="24">
        <v>8</v>
      </c>
    </row>
    <row r="56" hidden="1" customHeight="1" spans="5:14">
      <c r="E56" s="19">
        <v>46034</v>
      </c>
      <c r="F56" s="20">
        <v>1569687</v>
      </c>
      <c r="G56" s="21" t="s">
        <v>2</v>
      </c>
      <c r="H56" s="20" t="s">
        <v>21</v>
      </c>
      <c r="I56" s="22" t="s">
        <v>30</v>
      </c>
      <c r="J56" s="20">
        <v>20012999</v>
      </c>
      <c r="K56" s="22" t="s">
        <v>31</v>
      </c>
      <c r="L56" s="23">
        <v>1</v>
      </c>
      <c r="M56" s="24">
        <v>16.5</v>
      </c>
      <c r="N56" s="24">
        <v>16.5</v>
      </c>
    </row>
    <row r="57" hidden="1" customHeight="1" spans="5:14">
      <c r="E57" s="19">
        <v>46038</v>
      </c>
      <c r="F57" s="20">
        <v>1571166</v>
      </c>
      <c r="G57" s="21" t="s">
        <v>2</v>
      </c>
      <c r="H57" s="20" t="s">
        <v>21</v>
      </c>
      <c r="I57" s="22" t="s">
        <v>33</v>
      </c>
      <c r="J57" s="20">
        <v>20009154</v>
      </c>
      <c r="K57" s="22" t="s">
        <v>38</v>
      </c>
      <c r="L57" s="23">
        <v>1</v>
      </c>
      <c r="M57" s="24">
        <v>8</v>
      </c>
      <c r="N57" s="24">
        <v>8</v>
      </c>
    </row>
    <row r="58" hidden="1" customHeight="1" spans="5:14">
      <c r="E58" s="19">
        <v>46038</v>
      </c>
      <c r="F58" s="20">
        <v>1571166</v>
      </c>
      <c r="G58" s="21" t="s">
        <v>2</v>
      </c>
      <c r="H58" s="20" t="s">
        <v>21</v>
      </c>
      <c r="I58" s="22" t="s">
        <v>33</v>
      </c>
      <c r="J58" s="20">
        <v>20009243</v>
      </c>
      <c r="K58" s="22" t="s">
        <v>39</v>
      </c>
      <c r="L58" s="23">
        <v>1</v>
      </c>
      <c r="M58" s="24">
        <v>11</v>
      </c>
      <c r="N58" s="24">
        <v>11</v>
      </c>
    </row>
    <row r="59" hidden="1" customHeight="1" spans="5:14">
      <c r="E59" s="19">
        <v>46038</v>
      </c>
      <c r="F59" s="20">
        <v>1571166</v>
      </c>
      <c r="G59" s="21" t="s">
        <v>2</v>
      </c>
      <c r="H59" s="20" t="s">
        <v>21</v>
      </c>
      <c r="I59" s="22" t="s">
        <v>30</v>
      </c>
      <c r="J59" s="20">
        <v>20012999</v>
      </c>
      <c r="K59" s="22" t="s">
        <v>31</v>
      </c>
      <c r="L59" s="23">
        <v>1</v>
      </c>
      <c r="M59" s="24">
        <v>16.5</v>
      </c>
      <c r="N59" s="24">
        <v>16.5</v>
      </c>
    </row>
    <row r="60" hidden="1" customHeight="1" spans="5:14">
      <c r="E60" s="19">
        <v>46041</v>
      </c>
      <c r="F60" s="20">
        <v>1571678</v>
      </c>
      <c r="G60" s="21" t="s">
        <v>2</v>
      </c>
      <c r="H60" s="20" t="s">
        <v>21</v>
      </c>
      <c r="I60" s="22" t="s">
        <v>33</v>
      </c>
      <c r="J60" s="20">
        <v>20009050</v>
      </c>
      <c r="K60" s="22" t="s">
        <v>43</v>
      </c>
      <c r="L60" s="23">
        <v>1</v>
      </c>
      <c r="M60" s="24">
        <v>8</v>
      </c>
      <c r="N60" s="24">
        <v>8</v>
      </c>
    </row>
    <row r="61" hidden="1" customHeight="1" spans="5:14">
      <c r="E61" s="19">
        <v>46041</v>
      </c>
      <c r="F61" s="20">
        <v>1571678</v>
      </c>
      <c r="G61" s="21" t="s">
        <v>2</v>
      </c>
      <c r="H61" s="20" t="s">
        <v>21</v>
      </c>
      <c r="I61" s="22" t="s">
        <v>33</v>
      </c>
      <c r="J61" s="20">
        <v>20008408</v>
      </c>
      <c r="K61" s="22" t="s">
        <v>44</v>
      </c>
      <c r="L61" s="23">
        <v>1</v>
      </c>
      <c r="M61" s="24">
        <v>8</v>
      </c>
      <c r="N61" s="24">
        <v>8</v>
      </c>
    </row>
    <row r="62" hidden="1" customHeight="1" spans="5:14">
      <c r="E62" s="19">
        <v>46041</v>
      </c>
      <c r="F62" s="20">
        <v>1571678</v>
      </c>
      <c r="G62" s="21" t="s">
        <v>2</v>
      </c>
      <c r="H62" s="20" t="s">
        <v>21</v>
      </c>
      <c r="I62" s="22" t="s">
        <v>30</v>
      </c>
      <c r="J62" s="20">
        <v>20012999</v>
      </c>
      <c r="K62" s="22" t="s">
        <v>31</v>
      </c>
      <c r="L62" s="23">
        <v>1</v>
      </c>
      <c r="M62" s="24">
        <v>16.5</v>
      </c>
      <c r="N62" s="24">
        <v>16.5</v>
      </c>
    </row>
    <row r="63" hidden="1" customHeight="1" spans="5:14">
      <c r="E63" s="19">
        <v>46041</v>
      </c>
      <c r="F63" s="20">
        <v>1571678</v>
      </c>
      <c r="G63" s="21" t="s">
        <v>2</v>
      </c>
      <c r="H63" s="20" t="s">
        <v>21</v>
      </c>
      <c r="I63" s="22" t="s">
        <v>30</v>
      </c>
      <c r="J63" s="20">
        <v>20007877</v>
      </c>
      <c r="K63" s="22" t="s">
        <v>45</v>
      </c>
      <c r="L63" s="23">
        <v>1</v>
      </c>
      <c r="M63" s="24">
        <v>16.5</v>
      </c>
      <c r="N63" s="24">
        <v>16.5</v>
      </c>
    </row>
    <row r="64" hidden="1" customHeight="1" spans="5:14">
      <c r="E64" s="19">
        <v>46042</v>
      </c>
      <c r="F64" s="20">
        <v>1572016</v>
      </c>
      <c r="G64" s="21" t="s">
        <v>2</v>
      </c>
      <c r="H64" s="20" t="s">
        <v>21</v>
      </c>
      <c r="I64" s="22" t="s">
        <v>33</v>
      </c>
      <c r="J64" s="20">
        <v>20002914</v>
      </c>
      <c r="K64" s="22" t="s">
        <v>46</v>
      </c>
      <c r="L64" s="23">
        <v>1</v>
      </c>
      <c r="M64" s="24">
        <v>11</v>
      </c>
      <c r="N64" s="24">
        <v>11</v>
      </c>
    </row>
    <row r="65" hidden="1" customHeight="1" spans="3:14">
      <c r="E65" s="19">
        <v>46042</v>
      </c>
      <c r="F65" s="20">
        <v>1572016</v>
      </c>
      <c r="G65" s="21" t="s">
        <v>2</v>
      </c>
      <c r="H65" s="20" t="s">
        <v>21</v>
      </c>
      <c r="I65" s="22" t="s">
        <v>33</v>
      </c>
      <c r="J65" s="20">
        <v>20009154</v>
      </c>
      <c r="K65" s="22" t="s">
        <v>38</v>
      </c>
      <c r="L65" s="23">
        <v>1</v>
      </c>
      <c r="M65" s="24">
        <v>8</v>
      </c>
      <c r="N65" s="24">
        <v>8</v>
      </c>
    </row>
    <row r="66" hidden="1" customHeight="1" spans="3:14">
      <c r="E66" s="19">
        <v>46044</v>
      </c>
      <c r="F66" s="20">
        <v>1572899</v>
      </c>
      <c r="G66" s="21" t="s">
        <v>2</v>
      </c>
      <c r="H66" s="20" t="s">
        <v>21</v>
      </c>
      <c r="I66" s="22" t="s">
        <v>30</v>
      </c>
      <c r="J66" s="20">
        <v>20012999</v>
      </c>
      <c r="K66" s="22" t="s">
        <v>31</v>
      </c>
      <c r="L66" s="23">
        <v>1</v>
      </c>
      <c r="M66" s="24">
        <v>16.5</v>
      </c>
      <c r="N66" s="24">
        <v>16.5</v>
      </c>
    </row>
    <row r="67" hidden="1" spans="3:14">
      <c r="E67" s="14" t="s">
        <v>2</v>
      </c>
      <c r="F67" s="14" t="s">
        <v>2</v>
      </c>
      <c r="H67" s="14" t="s">
        <v>2</v>
      </c>
      <c r="I67" s="5" t="s">
        <v>2</v>
      </c>
      <c r="J67" s="14" t="s">
        <v>2</v>
      </c>
      <c r="K67" s="5" t="s">
        <v>2</v>
      </c>
      <c r="L67" s="26" t="s">
        <v>2</v>
      </c>
      <c r="M67" s="26" t="s">
        <v>2</v>
      </c>
      <c r="N67" s="26" t="s">
        <v>2</v>
      </c>
    </row>
    <row r="68" hidden="1" spans="3:14">
      <c r="C68" s="5" t="s">
        <v>2</v>
      </c>
      <c r="D68" s="5" t="s">
        <v>2</v>
      </c>
      <c r="E68" s="5" t="s">
        <v>2</v>
      </c>
      <c r="F68" s="5" t="s">
        <v>2</v>
      </c>
      <c r="H68" s="5" t="s">
        <v>2</v>
      </c>
      <c r="I68" s="5" t="s">
        <v>2</v>
      </c>
      <c r="J68" s="5" t="s">
        <v>2</v>
      </c>
      <c r="K68" s="5" t="s">
        <v>2</v>
      </c>
      <c r="L68" s="5" t="s">
        <v>2</v>
      </c>
      <c r="M68" s="5" t="s">
        <v>2</v>
      </c>
      <c r="N68" s="5" t="s">
        <v>2</v>
      </c>
    </row>
    <row r="69" ht="14.25" hidden="1" spans="3:14">
      <c r="C69" s="11" t="s">
        <v>2</v>
      </c>
      <c r="D69" s="11" t="s">
        <v>2</v>
      </c>
      <c r="E69" s="11" t="s">
        <v>47</v>
      </c>
      <c r="F69" s="8" t="s">
        <v>2</v>
      </c>
      <c r="G69" s="8" t="s">
        <v>2</v>
      </c>
      <c r="H69" s="8" t="s">
        <v>2</v>
      </c>
      <c r="I69" s="8" t="s">
        <v>2</v>
      </c>
      <c r="J69" s="8" t="s">
        <v>2</v>
      </c>
      <c r="K69" s="11" t="s">
        <v>2</v>
      </c>
      <c r="L69" s="12">
        <v>37</v>
      </c>
      <c r="M69" s="11" t="s">
        <v>2</v>
      </c>
      <c r="N69" s="13">
        <v>1499.5</v>
      </c>
    </row>
    <row r="70" ht="14.25" hidden="1" spans="3:14">
      <c r="C70" s="5" t="s">
        <v>2</v>
      </c>
      <c r="D70" s="14" t="s">
        <v>2</v>
      </c>
      <c r="E70" s="15" t="s">
        <v>15</v>
      </c>
      <c r="F70" s="8" t="s">
        <v>2</v>
      </c>
      <c r="G70" s="8" t="s">
        <v>2</v>
      </c>
      <c r="H70" s="16" t="s">
        <v>2</v>
      </c>
      <c r="I70" s="17" t="s">
        <v>2</v>
      </c>
      <c r="J70" s="16" t="s">
        <v>2</v>
      </c>
      <c r="K70" s="17" t="s">
        <v>2</v>
      </c>
      <c r="L70" s="18">
        <v>37</v>
      </c>
      <c r="M70" s="18" t="s">
        <v>2</v>
      </c>
      <c r="N70" s="18">
        <v>1499.5</v>
      </c>
    </row>
    <row r="71" hidden="1" spans="3:14">
      <c r="E71" s="19">
        <v>46029</v>
      </c>
      <c r="F71" s="20">
        <v>1568470</v>
      </c>
      <c r="G71" s="21" t="s">
        <v>2</v>
      </c>
      <c r="H71" s="20" t="s">
        <v>21</v>
      </c>
      <c r="I71" s="22" t="s">
        <v>33</v>
      </c>
      <c r="J71" s="20">
        <v>20009254</v>
      </c>
      <c r="K71" s="22" t="s">
        <v>48</v>
      </c>
      <c r="L71" s="23">
        <v>1</v>
      </c>
      <c r="M71" s="24">
        <v>8</v>
      </c>
      <c r="N71" s="24">
        <v>8</v>
      </c>
    </row>
    <row r="72" hidden="1" spans="3:14">
      <c r="E72" s="19">
        <v>46029</v>
      </c>
      <c r="F72" s="20">
        <v>1568470</v>
      </c>
      <c r="G72" s="21" t="s">
        <v>2</v>
      </c>
      <c r="H72" s="20" t="s">
        <v>16</v>
      </c>
      <c r="I72" s="22" t="s">
        <v>17</v>
      </c>
      <c r="J72" s="20">
        <v>20009195</v>
      </c>
      <c r="K72" s="22" t="s">
        <v>49</v>
      </c>
      <c r="L72" s="23">
        <v>1</v>
      </c>
      <c r="M72" s="24">
        <v>49.5</v>
      </c>
      <c r="N72" s="24">
        <v>49.5</v>
      </c>
    </row>
    <row r="73" hidden="1" spans="3:14">
      <c r="E73" s="19">
        <v>46029</v>
      </c>
      <c r="F73" s="20">
        <v>1568470</v>
      </c>
      <c r="G73" s="21" t="s">
        <v>2</v>
      </c>
      <c r="H73" s="20" t="s">
        <v>16</v>
      </c>
      <c r="I73" s="22" t="s">
        <v>17</v>
      </c>
      <c r="J73" s="20">
        <v>20009198</v>
      </c>
      <c r="K73" s="22" t="s">
        <v>50</v>
      </c>
      <c r="L73" s="23">
        <v>1</v>
      </c>
      <c r="M73" s="24">
        <v>44</v>
      </c>
      <c r="N73" s="24">
        <v>44</v>
      </c>
    </row>
    <row r="74" hidden="1" spans="3:14">
      <c r="E74" s="19">
        <v>46029</v>
      </c>
      <c r="F74" s="20">
        <v>1568470</v>
      </c>
      <c r="G74" s="21" t="s">
        <v>2</v>
      </c>
      <c r="H74" s="20" t="s">
        <v>16</v>
      </c>
      <c r="I74" s="22" t="s">
        <v>16</v>
      </c>
      <c r="J74" s="20">
        <v>20009194</v>
      </c>
      <c r="K74" s="22" t="s">
        <v>51</v>
      </c>
      <c r="L74" s="23">
        <v>1</v>
      </c>
      <c r="M74" s="24">
        <v>60.5</v>
      </c>
      <c r="N74" s="24">
        <v>60.5</v>
      </c>
    </row>
    <row r="75" hidden="1" spans="3:14">
      <c r="E75" s="19">
        <v>46030</v>
      </c>
      <c r="F75" s="20">
        <v>1568872</v>
      </c>
      <c r="G75" s="21" t="s">
        <v>2</v>
      </c>
      <c r="H75" s="20" t="s">
        <v>16</v>
      </c>
      <c r="I75" s="22" t="s">
        <v>17</v>
      </c>
      <c r="J75" s="20">
        <v>20009195</v>
      </c>
      <c r="K75" s="22" t="s">
        <v>49</v>
      </c>
      <c r="L75" s="23">
        <v>2</v>
      </c>
      <c r="M75" s="24">
        <v>49.5</v>
      </c>
      <c r="N75" s="24">
        <v>99</v>
      </c>
    </row>
    <row r="76" hidden="1" spans="3:14">
      <c r="E76" s="19">
        <v>46031</v>
      </c>
      <c r="F76" s="20">
        <v>1569220</v>
      </c>
      <c r="G76" s="21" t="s">
        <v>2</v>
      </c>
      <c r="H76" s="20" t="s">
        <v>16</v>
      </c>
      <c r="I76" s="22" t="s">
        <v>17</v>
      </c>
      <c r="J76" s="20">
        <v>20009195</v>
      </c>
      <c r="K76" s="22" t="s">
        <v>49</v>
      </c>
      <c r="L76" s="23">
        <v>1</v>
      </c>
      <c r="M76" s="24">
        <v>49.5</v>
      </c>
      <c r="N76" s="24">
        <v>49.5</v>
      </c>
    </row>
    <row r="77" hidden="1" spans="3:14">
      <c r="E77" s="19">
        <v>46034</v>
      </c>
      <c r="F77" s="20">
        <v>1569688</v>
      </c>
      <c r="G77" s="21" t="s">
        <v>2</v>
      </c>
      <c r="H77" s="20" t="s">
        <v>21</v>
      </c>
      <c r="I77" s="22" t="s">
        <v>33</v>
      </c>
      <c r="J77" s="20">
        <v>20002914</v>
      </c>
      <c r="K77" s="22" t="s">
        <v>46</v>
      </c>
      <c r="L77" s="23">
        <v>1</v>
      </c>
      <c r="M77" s="24">
        <v>11</v>
      </c>
      <c r="N77" s="24">
        <v>11</v>
      </c>
    </row>
    <row r="78" hidden="1" spans="3:14">
      <c r="E78" s="19">
        <v>46034</v>
      </c>
      <c r="F78" s="20">
        <v>1569688</v>
      </c>
      <c r="G78" s="21" t="s">
        <v>2</v>
      </c>
      <c r="H78" s="20" t="s">
        <v>21</v>
      </c>
      <c r="I78" s="22" t="s">
        <v>33</v>
      </c>
      <c r="J78" s="20">
        <v>20009320</v>
      </c>
      <c r="K78" s="22" t="s">
        <v>52</v>
      </c>
      <c r="L78" s="23">
        <v>1</v>
      </c>
      <c r="M78" s="24">
        <v>11</v>
      </c>
      <c r="N78" s="24">
        <v>11</v>
      </c>
    </row>
    <row r="79" hidden="1" spans="3:14">
      <c r="E79" s="19">
        <v>46034</v>
      </c>
      <c r="F79" s="20">
        <v>1569688</v>
      </c>
      <c r="G79" s="21" t="s">
        <v>2</v>
      </c>
      <c r="H79" s="20" t="s">
        <v>21</v>
      </c>
      <c r="I79" s="22" t="s">
        <v>33</v>
      </c>
      <c r="J79" s="20">
        <v>20349077</v>
      </c>
      <c r="K79" s="22" t="s">
        <v>53</v>
      </c>
      <c r="L79" s="23">
        <v>1</v>
      </c>
      <c r="M79" s="24">
        <v>13</v>
      </c>
      <c r="N79" s="24">
        <v>13</v>
      </c>
    </row>
    <row r="80" hidden="1" spans="3:14">
      <c r="E80" s="19">
        <v>46034</v>
      </c>
      <c r="F80" s="20">
        <v>1569688</v>
      </c>
      <c r="G80" s="21" t="s">
        <v>2</v>
      </c>
      <c r="H80" s="20" t="s">
        <v>21</v>
      </c>
      <c r="I80" s="22" t="s">
        <v>33</v>
      </c>
      <c r="J80" s="20">
        <v>20009155</v>
      </c>
      <c r="K80" s="22" t="s">
        <v>54</v>
      </c>
      <c r="L80" s="23">
        <v>1</v>
      </c>
      <c r="M80" s="24">
        <v>8</v>
      </c>
      <c r="N80" s="24">
        <v>8</v>
      </c>
    </row>
    <row r="81" hidden="1" spans="5:14">
      <c r="E81" s="19">
        <v>46034</v>
      </c>
      <c r="F81" s="20">
        <v>1569688</v>
      </c>
      <c r="G81" s="21" t="s">
        <v>2</v>
      </c>
      <c r="H81" s="20" t="s">
        <v>16</v>
      </c>
      <c r="I81" s="22" t="s">
        <v>17</v>
      </c>
      <c r="J81" s="20">
        <v>20009195</v>
      </c>
      <c r="K81" s="22" t="s">
        <v>49</v>
      </c>
      <c r="L81" s="23">
        <v>2</v>
      </c>
      <c r="M81" s="24">
        <v>49.5</v>
      </c>
      <c r="N81" s="24">
        <v>99</v>
      </c>
    </row>
    <row r="82" hidden="1" spans="5:14">
      <c r="E82" s="19">
        <v>46034</v>
      </c>
      <c r="F82" s="20">
        <v>1569688</v>
      </c>
      <c r="G82" s="21" t="s">
        <v>2</v>
      </c>
      <c r="H82" s="20" t="s">
        <v>16</v>
      </c>
      <c r="I82" s="22" t="s">
        <v>16</v>
      </c>
      <c r="J82" s="20">
        <v>20009194</v>
      </c>
      <c r="K82" s="22" t="s">
        <v>51</v>
      </c>
      <c r="L82" s="23">
        <v>1</v>
      </c>
      <c r="M82" s="24">
        <v>60.5</v>
      </c>
      <c r="N82" s="24">
        <v>60.5</v>
      </c>
    </row>
    <row r="83" hidden="1" spans="5:14">
      <c r="E83" s="19">
        <v>46036</v>
      </c>
      <c r="F83" s="20">
        <v>1570428</v>
      </c>
      <c r="G83" s="21" t="s">
        <v>2</v>
      </c>
      <c r="H83" s="20" t="s">
        <v>21</v>
      </c>
      <c r="I83" s="22" t="s">
        <v>33</v>
      </c>
      <c r="J83" s="20">
        <v>20002914</v>
      </c>
      <c r="K83" s="22" t="s">
        <v>46</v>
      </c>
      <c r="L83" s="23">
        <v>1</v>
      </c>
      <c r="M83" s="24">
        <v>11</v>
      </c>
      <c r="N83" s="24">
        <v>11</v>
      </c>
    </row>
    <row r="84" hidden="1" spans="5:14">
      <c r="E84" s="19">
        <v>46036</v>
      </c>
      <c r="F84" s="20">
        <v>1570428</v>
      </c>
      <c r="G84" s="21" t="s">
        <v>2</v>
      </c>
      <c r="H84" s="20" t="s">
        <v>16</v>
      </c>
      <c r="I84" s="22" t="s">
        <v>17</v>
      </c>
      <c r="J84" s="20">
        <v>20009195</v>
      </c>
      <c r="K84" s="22" t="s">
        <v>49</v>
      </c>
      <c r="L84" s="23">
        <v>2</v>
      </c>
      <c r="M84" s="24">
        <v>49.5</v>
      </c>
      <c r="N84" s="24">
        <v>99</v>
      </c>
    </row>
    <row r="85" hidden="1" spans="5:14">
      <c r="E85" s="19">
        <v>46036</v>
      </c>
      <c r="F85" s="20">
        <v>1570428</v>
      </c>
      <c r="G85" s="21" t="s">
        <v>2</v>
      </c>
      <c r="H85" s="20" t="s">
        <v>16</v>
      </c>
      <c r="I85" s="22" t="s">
        <v>16</v>
      </c>
      <c r="J85" s="20">
        <v>20009194</v>
      </c>
      <c r="K85" s="22" t="s">
        <v>51</v>
      </c>
      <c r="L85" s="23">
        <v>1</v>
      </c>
      <c r="M85" s="24">
        <v>60.5</v>
      </c>
      <c r="N85" s="24">
        <v>60.5</v>
      </c>
    </row>
    <row r="86" hidden="1" spans="5:14">
      <c r="E86" s="19">
        <v>46037</v>
      </c>
      <c r="F86" s="20">
        <v>1570841</v>
      </c>
      <c r="G86" s="21" t="s">
        <v>2</v>
      </c>
      <c r="H86" s="20" t="s">
        <v>16</v>
      </c>
      <c r="I86" s="22" t="s">
        <v>16</v>
      </c>
      <c r="J86" s="20">
        <v>20009194</v>
      </c>
      <c r="K86" s="22" t="s">
        <v>51</v>
      </c>
      <c r="L86" s="23">
        <v>1</v>
      </c>
      <c r="M86" s="24">
        <v>60.5</v>
      </c>
      <c r="N86" s="24">
        <v>60.5</v>
      </c>
    </row>
    <row r="87" hidden="1" spans="5:14">
      <c r="E87" s="19">
        <v>46037</v>
      </c>
      <c r="F87" s="20">
        <v>1570841</v>
      </c>
      <c r="G87" s="21" t="s">
        <v>2</v>
      </c>
      <c r="H87" s="20" t="s">
        <v>21</v>
      </c>
      <c r="I87" s="22" t="s">
        <v>33</v>
      </c>
      <c r="J87" s="20">
        <v>20402994</v>
      </c>
      <c r="K87" s="22" t="s">
        <v>55</v>
      </c>
      <c r="L87" s="23">
        <v>1</v>
      </c>
      <c r="M87" s="24">
        <v>16.5</v>
      </c>
      <c r="N87" s="24">
        <v>16.5</v>
      </c>
    </row>
    <row r="88" hidden="1" spans="5:14">
      <c r="E88" s="19">
        <v>46038</v>
      </c>
      <c r="F88" s="20">
        <v>1571167</v>
      </c>
      <c r="G88" s="21" t="s">
        <v>2</v>
      </c>
      <c r="H88" s="20" t="s">
        <v>16</v>
      </c>
      <c r="I88" s="22" t="s">
        <v>17</v>
      </c>
      <c r="J88" s="20">
        <v>20009195</v>
      </c>
      <c r="K88" s="22" t="s">
        <v>49</v>
      </c>
      <c r="L88" s="23">
        <v>1</v>
      </c>
      <c r="M88" s="24">
        <v>49.5</v>
      </c>
      <c r="N88" s="24">
        <v>49.5</v>
      </c>
    </row>
    <row r="89" hidden="1" spans="5:14">
      <c r="E89" s="19">
        <v>46041</v>
      </c>
      <c r="F89" s="20">
        <v>1571679</v>
      </c>
      <c r="G89" s="21" t="s">
        <v>2</v>
      </c>
      <c r="H89" s="20" t="s">
        <v>21</v>
      </c>
      <c r="I89" s="22" t="s">
        <v>33</v>
      </c>
      <c r="J89" s="20">
        <v>20009253</v>
      </c>
      <c r="K89" s="22" t="s">
        <v>56</v>
      </c>
      <c r="L89" s="23">
        <v>1</v>
      </c>
      <c r="M89" s="24">
        <v>8</v>
      </c>
      <c r="N89" s="24">
        <v>8</v>
      </c>
    </row>
    <row r="90" hidden="1" spans="5:14">
      <c r="E90" s="19">
        <v>46041</v>
      </c>
      <c r="F90" s="20">
        <v>1571679</v>
      </c>
      <c r="G90" s="21" t="s">
        <v>2</v>
      </c>
      <c r="H90" s="20" t="s">
        <v>21</v>
      </c>
      <c r="I90" s="22" t="s">
        <v>33</v>
      </c>
      <c r="J90" s="20">
        <v>20002914</v>
      </c>
      <c r="K90" s="22" t="s">
        <v>46</v>
      </c>
      <c r="L90" s="23">
        <v>1</v>
      </c>
      <c r="M90" s="24">
        <v>11</v>
      </c>
      <c r="N90" s="24">
        <v>11</v>
      </c>
    </row>
    <row r="91" hidden="1" spans="5:14">
      <c r="E91" s="19">
        <v>46041</v>
      </c>
      <c r="F91" s="20">
        <v>1571679</v>
      </c>
      <c r="G91" s="21" t="s">
        <v>2</v>
      </c>
      <c r="H91" s="20" t="s">
        <v>16</v>
      </c>
      <c r="I91" s="22" t="s">
        <v>17</v>
      </c>
      <c r="J91" s="20">
        <v>20009195</v>
      </c>
      <c r="K91" s="22" t="s">
        <v>49</v>
      </c>
      <c r="L91" s="23">
        <v>2</v>
      </c>
      <c r="M91" s="24">
        <v>49.5</v>
      </c>
      <c r="N91" s="24">
        <v>99</v>
      </c>
    </row>
    <row r="92" hidden="1" spans="5:14">
      <c r="E92" s="19">
        <v>46041</v>
      </c>
      <c r="F92" s="20">
        <v>1571679</v>
      </c>
      <c r="G92" s="21" t="s">
        <v>2</v>
      </c>
      <c r="H92" s="20" t="s">
        <v>16</v>
      </c>
      <c r="I92" s="22" t="s">
        <v>17</v>
      </c>
      <c r="J92" s="20">
        <v>20009198</v>
      </c>
      <c r="K92" s="22" t="s">
        <v>50</v>
      </c>
      <c r="L92" s="23">
        <v>1</v>
      </c>
      <c r="M92" s="24">
        <v>44</v>
      </c>
      <c r="N92" s="24">
        <v>44</v>
      </c>
    </row>
    <row r="93" hidden="1" spans="5:14">
      <c r="E93" s="19">
        <v>46041</v>
      </c>
      <c r="F93" s="20">
        <v>1571679</v>
      </c>
      <c r="G93" s="21" t="s">
        <v>2</v>
      </c>
      <c r="H93" s="20" t="s">
        <v>16</v>
      </c>
      <c r="I93" s="22" t="s">
        <v>16</v>
      </c>
      <c r="J93" s="20">
        <v>20009194</v>
      </c>
      <c r="K93" s="22" t="s">
        <v>51</v>
      </c>
      <c r="L93" s="23">
        <v>2</v>
      </c>
      <c r="M93" s="24">
        <v>60.5</v>
      </c>
      <c r="N93" s="24">
        <v>121</v>
      </c>
    </row>
    <row r="94" hidden="1" spans="5:14">
      <c r="E94" s="19">
        <v>46042</v>
      </c>
      <c r="F94" s="20">
        <v>1572017</v>
      </c>
      <c r="G94" s="21" t="s">
        <v>2</v>
      </c>
      <c r="H94" s="20" t="s">
        <v>16</v>
      </c>
      <c r="I94" s="22" t="s">
        <v>17</v>
      </c>
      <c r="J94" s="20">
        <v>20009195</v>
      </c>
      <c r="K94" s="22" t="s">
        <v>49</v>
      </c>
      <c r="L94" s="23">
        <v>2</v>
      </c>
      <c r="M94" s="24">
        <v>49.5</v>
      </c>
      <c r="N94" s="24">
        <v>99</v>
      </c>
    </row>
    <row r="95" hidden="1" spans="5:14">
      <c r="E95" s="19">
        <v>46043</v>
      </c>
      <c r="F95" s="20">
        <v>1572388</v>
      </c>
      <c r="G95" s="21" t="s">
        <v>2</v>
      </c>
      <c r="H95" s="20" t="s">
        <v>21</v>
      </c>
      <c r="I95" s="22" t="s">
        <v>33</v>
      </c>
      <c r="J95" s="20">
        <v>20009253</v>
      </c>
      <c r="K95" s="22" t="s">
        <v>56</v>
      </c>
      <c r="L95" s="23">
        <v>1</v>
      </c>
      <c r="M95" s="24">
        <v>8</v>
      </c>
      <c r="N95" s="24">
        <v>8</v>
      </c>
    </row>
    <row r="96" hidden="1" spans="5:14">
      <c r="E96" s="19">
        <v>46043</v>
      </c>
      <c r="F96" s="20">
        <v>1572388</v>
      </c>
      <c r="G96" s="21" t="s">
        <v>2</v>
      </c>
      <c r="H96" s="20" t="s">
        <v>16</v>
      </c>
      <c r="I96" s="22" t="s">
        <v>16</v>
      </c>
      <c r="J96" s="20">
        <v>20009194</v>
      </c>
      <c r="K96" s="22" t="s">
        <v>51</v>
      </c>
      <c r="L96" s="23">
        <v>4</v>
      </c>
      <c r="M96" s="24">
        <v>60.5</v>
      </c>
      <c r="N96" s="24">
        <v>242</v>
      </c>
    </row>
    <row r="97" hidden="1" spans="3:14">
      <c r="E97" s="19">
        <v>46043</v>
      </c>
      <c r="F97" s="20">
        <v>1572388</v>
      </c>
      <c r="G97" s="21" t="s">
        <v>2</v>
      </c>
      <c r="H97" s="20" t="s">
        <v>21</v>
      </c>
      <c r="I97" s="22" t="s">
        <v>33</v>
      </c>
      <c r="J97" s="20">
        <v>20006093</v>
      </c>
      <c r="K97" s="22" t="s">
        <v>40</v>
      </c>
      <c r="L97" s="23">
        <v>1</v>
      </c>
      <c r="M97" s="24">
        <v>8</v>
      </c>
      <c r="N97" s="24">
        <v>8</v>
      </c>
    </row>
    <row r="98" hidden="1" spans="3:14">
      <c r="E98" s="19">
        <v>46044</v>
      </c>
      <c r="F98" s="20">
        <v>1572751</v>
      </c>
      <c r="G98" s="21" t="s">
        <v>2</v>
      </c>
      <c r="H98" s="20" t="s">
        <v>16</v>
      </c>
      <c r="I98" s="22" t="s">
        <v>17</v>
      </c>
      <c r="J98" s="20">
        <v>20009195</v>
      </c>
      <c r="K98" s="22" t="s">
        <v>49</v>
      </c>
      <c r="L98" s="23">
        <v>1</v>
      </c>
      <c r="M98" s="24">
        <v>49.5</v>
      </c>
      <c r="N98" s="24">
        <v>49.5</v>
      </c>
    </row>
    <row r="99" hidden="1" spans="3:14">
      <c r="E99" s="14" t="s">
        <v>2</v>
      </c>
      <c r="F99" s="14" t="s">
        <v>2</v>
      </c>
      <c r="H99" s="14" t="s">
        <v>2</v>
      </c>
      <c r="I99" s="5" t="s">
        <v>2</v>
      </c>
      <c r="J99" s="14" t="s">
        <v>2</v>
      </c>
      <c r="K99" s="5" t="s">
        <v>2</v>
      </c>
      <c r="L99" s="26" t="s">
        <v>2</v>
      </c>
      <c r="M99" s="26" t="s">
        <v>2</v>
      </c>
      <c r="N99" s="26" t="s">
        <v>2</v>
      </c>
    </row>
    <row r="100" hidden="1" spans="3:14">
      <c r="C100" s="5" t="s">
        <v>2</v>
      </c>
      <c r="D100" s="5" t="s">
        <v>2</v>
      </c>
      <c r="E100" s="5" t="s">
        <v>2</v>
      </c>
      <c r="F100" s="5" t="s">
        <v>2</v>
      </c>
      <c r="H100" s="5" t="s">
        <v>2</v>
      </c>
      <c r="I100" s="5" t="s">
        <v>2</v>
      </c>
      <c r="J100" s="5" t="s">
        <v>2</v>
      </c>
      <c r="K100" s="5" t="s">
        <v>2</v>
      </c>
      <c r="L100" s="5" t="s">
        <v>2</v>
      </c>
      <c r="M100" s="5" t="s">
        <v>2</v>
      </c>
      <c r="N100" s="5" t="s">
        <v>2</v>
      </c>
    </row>
    <row r="101" ht="14.25" hidden="1" spans="3:14">
      <c r="C101" s="11" t="s">
        <v>2</v>
      </c>
      <c r="D101" s="11" t="s">
        <v>2</v>
      </c>
      <c r="E101" s="11" t="s">
        <v>57</v>
      </c>
      <c r="F101" s="8" t="s">
        <v>2</v>
      </c>
      <c r="G101" s="8" t="s">
        <v>2</v>
      </c>
      <c r="H101" s="8" t="s">
        <v>2</v>
      </c>
      <c r="I101" s="8" t="s">
        <v>2</v>
      </c>
      <c r="J101" s="8" t="s">
        <v>2</v>
      </c>
      <c r="K101" s="11" t="s">
        <v>2</v>
      </c>
      <c r="L101" s="12">
        <v>105</v>
      </c>
      <c r="M101" s="11" t="s">
        <v>2</v>
      </c>
      <c r="N101" s="13">
        <v>4699.5</v>
      </c>
    </row>
    <row r="102" ht="14.25" hidden="1" spans="3:14">
      <c r="C102" s="5" t="s">
        <v>2</v>
      </c>
      <c r="D102" s="14" t="s">
        <v>2</v>
      </c>
      <c r="E102" s="15" t="s">
        <v>15</v>
      </c>
      <c r="F102" s="8" t="s">
        <v>2</v>
      </c>
      <c r="G102" s="8" t="s">
        <v>2</v>
      </c>
      <c r="H102" s="16" t="s">
        <v>2</v>
      </c>
      <c r="I102" s="17" t="s">
        <v>2</v>
      </c>
      <c r="J102" s="16" t="s">
        <v>2</v>
      </c>
      <c r="K102" s="17" t="s">
        <v>2</v>
      </c>
      <c r="L102" s="18">
        <v>105</v>
      </c>
      <c r="M102" s="18" t="s">
        <v>2</v>
      </c>
      <c r="N102" s="18">
        <v>4699.5</v>
      </c>
    </row>
    <row r="103" hidden="1" spans="3:14">
      <c r="E103" s="19">
        <v>46026</v>
      </c>
      <c r="F103" s="20">
        <v>1567464</v>
      </c>
      <c r="G103" s="21" t="s">
        <v>2</v>
      </c>
      <c r="H103" s="20" t="s">
        <v>21</v>
      </c>
      <c r="I103" s="22" t="s">
        <v>33</v>
      </c>
      <c r="J103" s="20">
        <v>20009042</v>
      </c>
      <c r="K103" s="22" t="s">
        <v>58</v>
      </c>
      <c r="L103" s="23">
        <v>2</v>
      </c>
      <c r="M103" s="24">
        <v>16</v>
      </c>
      <c r="N103" s="24">
        <v>32</v>
      </c>
    </row>
    <row r="104" hidden="1" spans="3:14">
      <c r="E104" s="19">
        <v>46026</v>
      </c>
      <c r="F104" s="20">
        <v>1567464</v>
      </c>
      <c r="G104" s="21" t="s">
        <v>2</v>
      </c>
      <c r="H104" s="20" t="s">
        <v>21</v>
      </c>
      <c r="I104" s="22" t="s">
        <v>33</v>
      </c>
      <c r="J104" s="20">
        <v>20009154</v>
      </c>
      <c r="K104" s="22" t="s">
        <v>38</v>
      </c>
      <c r="L104" s="23">
        <v>1</v>
      </c>
      <c r="M104" s="24">
        <v>8</v>
      </c>
      <c r="N104" s="24">
        <v>8</v>
      </c>
    </row>
    <row r="105" hidden="1" spans="3:14">
      <c r="E105" s="19">
        <v>46026</v>
      </c>
      <c r="F105" s="20">
        <v>1567464</v>
      </c>
      <c r="G105" s="21" t="s">
        <v>2</v>
      </c>
      <c r="H105" s="20" t="s">
        <v>21</v>
      </c>
      <c r="I105" s="22" t="s">
        <v>33</v>
      </c>
      <c r="J105" s="20">
        <v>20012155</v>
      </c>
      <c r="K105" s="22" t="s">
        <v>59</v>
      </c>
      <c r="L105" s="23">
        <v>4</v>
      </c>
      <c r="M105" s="24">
        <v>11</v>
      </c>
      <c r="N105" s="24">
        <v>44</v>
      </c>
    </row>
    <row r="106" hidden="1" spans="3:14">
      <c r="E106" s="19">
        <v>46026</v>
      </c>
      <c r="F106" s="20">
        <v>1567464</v>
      </c>
      <c r="G106" s="21" t="s">
        <v>2</v>
      </c>
      <c r="H106" s="20" t="s">
        <v>60</v>
      </c>
      <c r="I106" s="22" t="s">
        <v>60</v>
      </c>
      <c r="J106" s="20">
        <v>20011010</v>
      </c>
      <c r="K106" s="22" t="s">
        <v>61</v>
      </c>
      <c r="L106" s="23">
        <v>1</v>
      </c>
      <c r="M106" s="24">
        <v>16.5</v>
      </c>
      <c r="N106" s="24">
        <v>16.5</v>
      </c>
    </row>
    <row r="107" hidden="1" spans="3:14">
      <c r="E107" s="19">
        <v>46026</v>
      </c>
      <c r="F107" s="20">
        <v>1567464</v>
      </c>
      <c r="G107" s="21" t="s">
        <v>2</v>
      </c>
      <c r="H107" s="20" t="s">
        <v>60</v>
      </c>
      <c r="I107" s="22" t="s">
        <v>60</v>
      </c>
      <c r="J107" s="20">
        <v>20009773</v>
      </c>
      <c r="K107" s="22" t="s">
        <v>61</v>
      </c>
      <c r="L107" s="23">
        <v>3</v>
      </c>
      <c r="M107" s="24">
        <v>16.5</v>
      </c>
      <c r="N107" s="24">
        <v>49.5</v>
      </c>
    </row>
    <row r="108" hidden="1" spans="3:14">
      <c r="E108" s="19">
        <v>46026</v>
      </c>
      <c r="F108" s="20">
        <v>1567464</v>
      </c>
      <c r="G108" s="21" t="s">
        <v>2</v>
      </c>
      <c r="H108" s="20" t="s">
        <v>60</v>
      </c>
      <c r="I108" s="22" t="s">
        <v>60</v>
      </c>
      <c r="J108" s="20">
        <v>20009168</v>
      </c>
      <c r="K108" s="22" t="s">
        <v>62</v>
      </c>
      <c r="L108" s="23">
        <v>1</v>
      </c>
      <c r="M108" s="24">
        <v>16</v>
      </c>
      <c r="N108" s="24">
        <v>16</v>
      </c>
    </row>
    <row r="109" hidden="1" spans="3:14">
      <c r="E109" s="19">
        <v>46026</v>
      </c>
      <c r="F109" s="20">
        <v>1567464</v>
      </c>
      <c r="G109" s="21" t="s">
        <v>2</v>
      </c>
      <c r="H109" s="20" t="s">
        <v>16</v>
      </c>
      <c r="I109" s="22" t="s">
        <v>16</v>
      </c>
      <c r="J109" s="20">
        <v>20014104</v>
      </c>
      <c r="K109" s="22" t="s">
        <v>63</v>
      </c>
      <c r="L109" s="23">
        <v>3</v>
      </c>
      <c r="M109" s="24">
        <v>198</v>
      </c>
      <c r="N109" s="24">
        <v>594</v>
      </c>
    </row>
    <row r="110" hidden="1" spans="3:14">
      <c r="E110" s="19">
        <v>46027</v>
      </c>
      <c r="F110" s="20">
        <v>1567793</v>
      </c>
      <c r="G110" s="21" t="s">
        <v>2</v>
      </c>
      <c r="H110" s="20" t="s">
        <v>21</v>
      </c>
      <c r="I110" s="22" t="s">
        <v>33</v>
      </c>
      <c r="J110" s="20">
        <v>20014105</v>
      </c>
      <c r="K110" s="22" t="s">
        <v>64</v>
      </c>
      <c r="L110" s="23">
        <v>1</v>
      </c>
      <c r="M110" s="24">
        <v>8</v>
      </c>
      <c r="N110" s="24">
        <v>8</v>
      </c>
    </row>
    <row r="111" hidden="1" spans="3:14">
      <c r="E111" s="19">
        <v>46027</v>
      </c>
      <c r="F111" s="20">
        <v>1567793</v>
      </c>
      <c r="G111" s="21" t="s">
        <v>2</v>
      </c>
      <c r="H111" s="20" t="s">
        <v>60</v>
      </c>
      <c r="I111" s="22" t="s">
        <v>60</v>
      </c>
      <c r="J111" s="20">
        <v>20011010</v>
      </c>
      <c r="K111" s="22" t="s">
        <v>61</v>
      </c>
      <c r="L111" s="23">
        <v>1</v>
      </c>
      <c r="M111" s="24">
        <v>16.5</v>
      </c>
      <c r="N111" s="24">
        <v>16.5</v>
      </c>
    </row>
    <row r="112" hidden="1" spans="3:14">
      <c r="E112" s="19">
        <v>46027</v>
      </c>
      <c r="F112" s="20">
        <v>1567793</v>
      </c>
      <c r="G112" s="21" t="s">
        <v>2</v>
      </c>
      <c r="H112" s="20" t="s">
        <v>21</v>
      </c>
      <c r="I112" s="22" t="s">
        <v>33</v>
      </c>
      <c r="J112" s="20">
        <v>20009258</v>
      </c>
      <c r="K112" s="22" t="s">
        <v>65</v>
      </c>
      <c r="L112" s="23">
        <v>1</v>
      </c>
      <c r="M112" s="24">
        <v>16</v>
      </c>
      <c r="N112" s="24">
        <v>16</v>
      </c>
    </row>
    <row r="113" hidden="1" spans="5:14">
      <c r="E113" s="19">
        <v>46027</v>
      </c>
      <c r="F113" s="20">
        <v>1567793</v>
      </c>
      <c r="G113" s="21" t="s">
        <v>2</v>
      </c>
      <c r="H113" s="20" t="s">
        <v>21</v>
      </c>
      <c r="I113" s="22" t="s">
        <v>30</v>
      </c>
      <c r="J113" s="20">
        <v>20378852</v>
      </c>
      <c r="K113" s="22" t="s">
        <v>66</v>
      </c>
      <c r="L113" s="23">
        <v>1</v>
      </c>
      <c r="M113" s="24">
        <v>49.5</v>
      </c>
      <c r="N113" s="24">
        <v>49.5</v>
      </c>
    </row>
    <row r="114" hidden="1" spans="5:14">
      <c r="E114" s="19">
        <v>46028</v>
      </c>
      <c r="F114" s="20">
        <v>1568132</v>
      </c>
      <c r="G114" s="21" t="s">
        <v>2</v>
      </c>
      <c r="H114" s="20" t="s">
        <v>60</v>
      </c>
      <c r="I114" s="22" t="s">
        <v>60</v>
      </c>
      <c r="J114" s="20">
        <v>20011010</v>
      </c>
      <c r="K114" s="22" t="s">
        <v>61</v>
      </c>
      <c r="L114" s="23">
        <v>1</v>
      </c>
      <c r="M114" s="24">
        <v>16.5</v>
      </c>
      <c r="N114" s="24">
        <v>16.5</v>
      </c>
    </row>
    <row r="115" hidden="1" spans="5:14">
      <c r="E115" s="19">
        <v>46028</v>
      </c>
      <c r="F115" s="20">
        <v>1568132</v>
      </c>
      <c r="G115" s="21" t="s">
        <v>2</v>
      </c>
      <c r="H115" s="20" t="s">
        <v>60</v>
      </c>
      <c r="I115" s="22" t="s">
        <v>60</v>
      </c>
      <c r="J115" s="20">
        <v>20009168</v>
      </c>
      <c r="K115" s="22" t="s">
        <v>62</v>
      </c>
      <c r="L115" s="23">
        <v>1</v>
      </c>
      <c r="M115" s="24">
        <v>16</v>
      </c>
      <c r="N115" s="24">
        <v>16</v>
      </c>
    </row>
    <row r="116" hidden="1" spans="5:14">
      <c r="E116" s="19">
        <v>46028</v>
      </c>
      <c r="F116" s="20">
        <v>1568132</v>
      </c>
      <c r="G116" s="21" t="s">
        <v>2</v>
      </c>
      <c r="H116" s="20" t="s">
        <v>16</v>
      </c>
      <c r="I116" s="22" t="s">
        <v>16</v>
      </c>
      <c r="J116" s="20">
        <v>20014104</v>
      </c>
      <c r="K116" s="22" t="s">
        <v>63</v>
      </c>
      <c r="L116" s="23">
        <v>1</v>
      </c>
      <c r="M116" s="24">
        <v>198</v>
      </c>
      <c r="N116" s="24">
        <v>198</v>
      </c>
    </row>
    <row r="117" hidden="1" spans="5:14">
      <c r="E117" s="19">
        <v>46028</v>
      </c>
      <c r="F117" s="20">
        <v>1568132</v>
      </c>
      <c r="G117" s="21" t="s">
        <v>2</v>
      </c>
      <c r="H117" s="20" t="s">
        <v>21</v>
      </c>
      <c r="I117" s="22" t="s">
        <v>30</v>
      </c>
      <c r="J117" s="20">
        <v>20009291</v>
      </c>
      <c r="K117" s="22" t="s">
        <v>67</v>
      </c>
      <c r="L117" s="23">
        <v>1</v>
      </c>
      <c r="M117" s="24">
        <v>22</v>
      </c>
      <c r="N117" s="24">
        <v>22</v>
      </c>
    </row>
    <row r="118" hidden="1" spans="5:14">
      <c r="E118" s="19">
        <v>46029</v>
      </c>
      <c r="F118" s="20">
        <v>1568471</v>
      </c>
      <c r="G118" s="21" t="s">
        <v>2</v>
      </c>
      <c r="H118" s="20" t="s">
        <v>35</v>
      </c>
      <c r="I118" s="22" t="s">
        <v>36</v>
      </c>
      <c r="J118" s="20">
        <v>20009169</v>
      </c>
      <c r="K118" s="22" t="s">
        <v>37</v>
      </c>
      <c r="L118" s="23">
        <v>1</v>
      </c>
      <c r="M118" s="24">
        <v>4</v>
      </c>
      <c r="N118" s="24">
        <v>4</v>
      </c>
    </row>
    <row r="119" hidden="1" spans="5:14">
      <c r="E119" s="19">
        <v>46030</v>
      </c>
      <c r="F119" s="20">
        <v>1568873</v>
      </c>
      <c r="G119" s="21" t="s">
        <v>2</v>
      </c>
      <c r="H119" s="20" t="s">
        <v>21</v>
      </c>
      <c r="I119" s="22" t="s">
        <v>33</v>
      </c>
      <c r="J119" s="20">
        <v>20009042</v>
      </c>
      <c r="K119" s="22" t="s">
        <v>58</v>
      </c>
      <c r="L119" s="23">
        <v>1</v>
      </c>
      <c r="M119" s="24">
        <v>16</v>
      </c>
      <c r="N119" s="24">
        <v>16</v>
      </c>
    </row>
    <row r="120" hidden="1" spans="5:14">
      <c r="E120" s="19">
        <v>46030</v>
      </c>
      <c r="F120" s="20">
        <v>1568873</v>
      </c>
      <c r="G120" s="21" t="s">
        <v>2</v>
      </c>
      <c r="H120" s="20" t="s">
        <v>21</v>
      </c>
      <c r="I120" s="22" t="s">
        <v>33</v>
      </c>
      <c r="J120" s="20">
        <v>20012155</v>
      </c>
      <c r="K120" s="22" t="s">
        <v>59</v>
      </c>
      <c r="L120" s="23">
        <v>3</v>
      </c>
      <c r="M120" s="24">
        <v>11</v>
      </c>
      <c r="N120" s="24">
        <v>33</v>
      </c>
    </row>
    <row r="121" hidden="1" spans="5:14">
      <c r="E121" s="19">
        <v>46030</v>
      </c>
      <c r="F121" s="20">
        <v>1568873</v>
      </c>
      <c r="G121" s="21" t="s">
        <v>2</v>
      </c>
      <c r="H121" s="20" t="s">
        <v>60</v>
      </c>
      <c r="I121" s="22" t="s">
        <v>60</v>
      </c>
      <c r="J121" s="20">
        <v>20009773</v>
      </c>
      <c r="K121" s="22" t="s">
        <v>61</v>
      </c>
      <c r="L121" s="23">
        <v>2</v>
      </c>
      <c r="M121" s="24">
        <v>16.5</v>
      </c>
      <c r="N121" s="24">
        <v>33</v>
      </c>
    </row>
    <row r="122" hidden="1" spans="5:14">
      <c r="E122" s="19">
        <v>46030</v>
      </c>
      <c r="F122" s="20">
        <v>1568873</v>
      </c>
      <c r="G122" s="21" t="s">
        <v>2</v>
      </c>
      <c r="H122" s="20" t="s">
        <v>60</v>
      </c>
      <c r="I122" s="22" t="s">
        <v>60</v>
      </c>
      <c r="J122" s="20">
        <v>20009168</v>
      </c>
      <c r="K122" s="22" t="s">
        <v>62</v>
      </c>
      <c r="L122" s="23">
        <v>1</v>
      </c>
      <c r="M122" s="24">
        <v>16</v>
      </c>
      <c r="N122" s="24">
        <v>16</v>
      </c>
    </row>
    <row r="123" hidden="1" spans="5:14">
      <c r="E123" s="19">
        <v>46030</v>
      </c>
      <c r="F123" s="20">
        <v>1568873</v>
      </c>
      <c r="G123" s="21" t="s">
        <v>2</v>
      </c>
      <c r="H123" s="20" t="s">
        <v>16</v>
      </c>
      <c r="I123" s="22" t="s">
        <v>16</v>
      </c>
      <c r="J123" s="20">
        <v>20014104</v>
      </c>
      <c r="K123" s="22" t="s">
        <v>63</v>
      </c>
      <c r="L123" s="23">
        <v>1</v>
      </c>
      <c r="M123" s="24">
        <v>198</v>
      </c>
      <c r="N123" s="24">
        <v>198</v>
      </c>
    </row>
    <row r="124" hidden="1" spans="5:14">
      <c r="E124" s="19">
        <v>46034</v>
      </c>
      <c r="F124" s="20">
        <v>1569689</v>
      </c>
      <c r="G124" s="21" t="s">
        <v>2</v>
      </c>
      <c r="H124" s="20" t="s">
        <v>21</v>
      </c>
      <c r="I124" s="22" t="s">
        <v>33</v>
      </c>
      <c r="J124" s="20">
        <v>20009154</v>
      </c>
      <c r="K124" s="22" t="s">
        <v>38</v>
      </c>
      <c r="L124" s="23">
        <v>1</v>
      </c>
      <c r="M124" s="24">
        <v>8</v>
      </c>
      <c r="N124" s="24">
        <v>8</v>
      </c>
    </row>
    <row r="125" hidden="1" spans="5:14">
      <c r="E125" s="19">
        <v>46034</v>
      </c>
      <c r="F125" s="20">
        <v>1569689</v>
      </c>
      <c r="G125" s="21" t="s">
        <v>2</v>
      </c>
      <c r="H125" s="20" t="s">
        <v>21</v>
      </c>
      <c r="I125" s="22" t="s">
        <v>33</v>
      </c>
      <c r="J125" s="20">
        <v>20012155</v>
      </c>
      <c r="K125" s="22" t="s">
        <v>59</v>
      </c>
      <c r="L125" s="23">
        <v>2</v>
      </c>
      <c r="M125" s="24">
        <v>11</v>
      </c>
      <c r="N125" s="24">
        <v>22</v>
      </c>
    </row>
    <row r="126" hidden="1" spans="5:14">
      <c r="E126" s="19">
        <v>46034</v>
      </c>
      <c r="F126" s="20">
        <v>1569689</v>
      </c>
      <c r="G126" s="21" t="s">
        <v>2</v>
      </c>
      <c r="H126" s="20" t="s">
        <v>60</v>
      </c>
      <c r="I126" s="22" t="s">
        <v>60</v>
      </c>
      <c r="J126" s="20">
        <v>20011010</v>
      </c>
      <c r="K126" s="22" t="s">
        <v>61</v>
      </c>
      <c r="L126" s="23">
        <v>3</v>
      </c>
      <c r="M126" s="24">
        <v>16.5</v>
      </c>
      <c r="N126" s="24">
        <v>49.5</v>
      </c>
    </row>
    <row r="127" hidden="1" spans="5:14">
      <c r="E127" s="19">
        <v>46034</v>
      </c>
      <c r="F127" s="20">
        <v>1569689</v>
      </c>
      <c r="G127" s="21" t="s">
        <v>2</v>
      </c>
      <c r="H127" s="20" t="s">
        <v>60</v>
      </c>
      <c r="I127" s="22" t="s">
        <v>60</v>
      </c>
      <c r="J127" s="20">
        <v>20009168</v>
      </c>
      <c r="K127" s="22" t="s">
        <v>62</v>
      </c>
      <c r="L127" s="23">
        <v>2</v>
      </c>
      <c r="M127" s="24">
        <v>16</v>
      </c>
      <c r="N127" s="24">
        <v>32</v>
      </c>
    </row>
    <row r="128" hidden="1" spans="5:14">
      <c r="E128" s="19">
        <v>46034</v>
      </c>
      <c r="F128" s="20">
        <v>1569689</v>
      </c>
      <c r="G128" s="21" t="s">
        <v>2</v>
      </c>
      <c r="H128" s="20" t="s">
        <v>21</v>
      </c>
      <c r="I128" s="22" t="s">
        <v>33</v>
      </c>
      <c r="J128" s="20">
        <v>20009258</v>
      </c>
      <c r="K128" s="22" t="s">
        <v>65</v>
      </c>
      <c r="L128" s="23">
        <v>1</v>
      </c>
      <c r="M128" s="24">
        <v>16</v>
      </c>
      <c r="N128" s="24">
        <v>16</v>
      </c>
    </row>
    <row r="129" hidden="1" spans="5:14">
      <c r="E129" s="19">
        <v>46034</v>
      </c>
      <c r="F129" s="20">
        <v>1569689</v>
      </c>
      <c r="G129" s="21" t="s">
        <v>2</v>
      </c>
      <c r="H129" s="20" t="s">
        <v>16</v>
      </c>
      <c r="I129" s="22" t="s">
        <v>16</v>
      </c>
      <c r="J129" s="20">
        <v>20014104</v>
      </c>
      <c r="K129" s="22" t="s">
        <v>63</v>
      </c>
      <c r="L129" s="23">
        <v>3</v>
      </c>
      <c r="M129" s="24">
        <v>198</v>
      </c>
      <c r="N129" s="24">
        <v>594</v>
      </c>
    </row>
    <row r="130" hidden="1" spans="5:14">
      <c r="E130" s="19">
        <v>46034</v>
      </c>
      <c r="F130" s="20">
        <v>1569689</v>
      </c>
      <c r="G130" s="21" t="s">
        <v>2</v>
      </c>
      <c r="H130" s="20" t="s">
        <v>60</v>
      </c>
      <c r="I130" s="22" t="s">
        <v>60</v>
      </c>
      <c r="J130" s="20">
        <v>20011340</v>
      </c>
      <c r="K130" s="22" t="s">
        <v>68</v>
      </c>
      <c r="L130" s="23">
        <v>1</v>
      </c>
      <c r="M130" s="24">
        <v>16</v>
      </c>
      <c r="N130" s="24">
        <v>16</v>
      </c>
    </row>
    <row r="131" hidden="1" spans="5:14">
      <c r="E131" s="19">
        <v>46034</v>
      </c>
      <c r="F131" s="20">
        <v>1569689</v>
      </c>
      <c r="G131" s="21" t="s">
        <v>2</v>
      </c>
      <c r="H131" s="20" t="s">
        <v>21</v>
      </c>
      <c r="I131" s="22" t="s">
        <v>30</v>
      </c>
      <c r="J131" s="20">
        <v>20009291</v>
      </c>
      <c r="K131" s="22" t="s">
        <v>67</v>
      </c>
      <c r="L131" s="23">
        <v>1</v>
      </c>
      <c r="M131" s="24">
        <v>22</v>
      </c>
      <c r="N131" s="24">
        <v>22</v>
      </c>
    </row>
    <row r="132" hidden="1" spans="5:14">
      <c r="E132" s="19">
        <v>46034</v>
      </c>
      <c r="F132" s="20">
        <v>1569689</v>
      </c>
      <c r="G132" s="21" t="s">
        <v>2</v>
      </c>
      <c r="H132" s="20" t="s">
        <v>21</v>
      </c>
      <c r="I132" s="22" t="s">
        <v>30</v>
      </c>
      <c r="J132" s="20">
        <v>20378852</v>
      </c>
      <c r="K132" s="22" t="s">
        <v>66</v>
      </c>
      <c r="L132" s="23">
        <v>1</v>
      </c>
      <c r="M132" s="24">
        <v>49.5</v>
      </c>
      <c r="N132" s="24">
        <v>49.5</v>
      </c>
    </row>
    <row r="133" hidden="1" spans="5:14">
      <c r="E133" s="19">
        <v>46036</v>
      </c>
      <c r="F133" s="20">
        <v>1570429</v>
      </c>
      <c r="G133" s="21" t="s">
        <v>2</v>
      </c>
      <c r="H133" s="20" t="s">
        <v>21</v>
      </c>
      <c r="I133" s="22" t="s">
        <v>33</v>
      </c>
      <c r="J133" s="20">
        <v>20009042</v>
      </c>
      <c r="K133" s="22" t="s">
        <v>58</v>
      </c>
      <c r="L133" s="23">
        <v>1</v>
      </c>
      <c r="M133" s="24">
        <v>16</v>
      </c>
      <c r="N133" s="24">
        <v>16</v>
      </c>
    </row>
    <row r="134" hidden="1" spans="5:14">
      <c r="E134" s="19">
        <v>46036</v>
      </c>
      <c r="F134" s="20">
        <v>1570429</v>
      </c>
      <c r="G134" s="21" t="s">
        <v>2</v>
      </c>
      <c r="H134" s="20" t="s">
        <v>21</v>
      </c>
      <c r="I134" s="22" t="s">
        <v>30</v>
      </c>
      <c r="J134" s="20">
        <v>20011513</v>
      </c>
      <c r="K134" s="22" t="s">
        <v>69</v>
      </c>
      <c r="L134" s="23">
        <v>1</v>
      </c>
      <c r="M134" s="24">
        <v>27.5</v>
      </c>
      <c r="N134" s="24">
        <v>27.5</v>
      </c>
    </row>
    <row r="135" hidden="1" spans="5:14">
      <c r="E135" s="19">
        <v>46036</v>
      </c>
      <c r="F135" s="20">
        <v>1570429</v>
      </c>
      <c r="G135" s="21" t="s">
        <v>2</v>
      </c>
      <c r="H135" s="20" t="s">
        <v>35</v>
      </c>
      <c r="I135" s="22" t="s">
        <v>36</v>
      </c>
      <c r="J135" s="20">
        <v>20009252</v>
      </c>
      <c r="K135" s="22" t="s">
        <v>70</v>
      </c>
      <c r="L135" s="23">
        <v>7</v>
      </c>
      <c r="M135" s="24">
        <v>4</v>
      </c>
      <c r="N135" s="24">
        <v>28</v>
      </c>
    </row>
    <row r="136" hidden="1" spans="5:14">
      <c r="E136" s="19">
        <v>46036</v>
      </c>
      <c r="F136" s="20">
        <v>1570429</v>
      </c>
      <c r="G136" s="21" t="s">
        <v>2</v>
      </c>
      <c r="H136" s="20" t="s">
        <v>21</v>
      </c>
      <c r="I136" s="22" t="s">
        <v>33</v>
      </c>
      <c r="J136" s="20">
        <v>20012155</v>
      </c>
      <c r="K136" s="22" t="s">
        <v>59</v>
      </c>
      <c r="L136" s="23">
        <v>1</v>
      </c>
      <c r="M136" s="24">
        <v>11</v>
      </c>
      <c r="N136" s="24">
        <v>11</v>
      </c>
    </row>
    <row r="137" hidden="1" spans="5:14">
      <c r="E137" s="19">
        <v>46036</v>
      </c>
      <c r="F137" s="20">
        <v>1570429</v>
      </c>
      <c r="G137" s="21" t="s">
        <v>2</v>
      </c>
      <c r="H137" s="20" t="s">
        <v>35</v>
      </c>
      <c r="I137" s="22" t="s">
        <v>36</v>
      </c>
      <c r="J137" s="20">
        <v>20009759</v>
      </c>
      <c r="K137" s="22" t="s">
        <v>71</v>
      </c>
      <c r="L137" s="23">
        <v>4</v>
      </c>
      <c r="M137" s="24">
        <v>4</v>
      </c>
      <c r="N137" s="24">
        <v>16</v>
      </c>
    </row>
    <row r="138" hidden="1" spans="5:14">
      <c r="E138" s="19">
        <v>46036</v>
      </c>
      <c r="F138" s="20">
        <v>1570429</v>
      </c>
      <c r="G138" s="21" t="s">
        <v>2</v>
      </c>
      <c r="H138" s="20" t="s">
        <v>60</v>
      </c>
      <c r="I138" s="22" t="s">
        <v>60</v>
      </c>
      <c r="J138" s="20">
        <v>20011010</v>
      </c>
      <c r="K138" s="22" t="s">
        <v>61</v>
      </c>
      <c r="L138" s="23">
        <v>1</v>
      </c>
      <c r="M138" s="24">
        <v>16.5</v>
      </c>
      <c r="N138" s="24">
        <v>16.5</v>
      </c>
    </row>
    <row r="139" hidden="1" spans="5:14">
      <c r="E139" s="19">
        <v>46036</v>
      </c>
      <c r="F139" s="20">
        <v>1570429</v>
      </c>
      <c r="G139" s="21" t="s">
        <v>2</v>
      </c>
      <c r="H139" s="20" t="s">
        <v>60</v>
      </c>
      <c r="I139" s="22" t="s">
        <v>60</v>
      </c>
      <c r="J139" s="20">
        <v>20009168</v>
      </c>
      <c r="K139" s="22" t="s">
        <v>62</v>
      </c>
      <c r="L139" s="23">
        <v>1</v>
      </c>
      <c r="M139" s="24">
        <v>16</v>
      </c>
      <c r="N139" s="24">
        <v>16</v>
      </c>
    </row>
    <row r="140" hidden="1" spans="5:14">
      <c r="E140" s="19">
        <v>46036</v>
      </c>
      <c r="F140" s="20">
        <v>1570429</v>
      </c>
      <c r="G140" s="21" t="s">
        <v>2</v>
      </c>
      <c r="H140" s="20" t="s">
        <v>16</v>
      </c>
      <c r="I140" s="22" t="s">
        <v>16</v>
      </c>
      <c r="J140" s="20">
        <v>20014104</v>
      </c>
      <c r="K140" s="22" t="s">
        <v>63</v>
      </c>
      <c r="L140" s="23">
        <v>1</v>
      </c>
      <c r="M140" s="24">
        <v>198</v>
      </c>
      <c r="N140" s="24">
        <v>198</v>
      </c>
    </row>
    <row r="141" hidden="1" spans="5:14">
      <c r="E141" s="19">
        <v>46038</v>
      </c>
      <c r="F141" s="20">
        <v>1571168</v>
      </c>
      <c r="G141" s="21" t="s">
        <v>2</v>
      </c>
      <c r="H141" s="20" t="s">
        <v>21</v>
      </c>
      <c r="I141" s="22" t="s">
        <v>30</v>
      </c>
      <c r="J141" s="20">
        <v>20309497</v>
      </c>
      <c r="K141" s="22" t="s">
        <v>72</v>
      </c>
      <c r="L141" s="23">
        <v>1</v>
      </c>
      <c r="M141" s="24">
        <v>33</v>
      </c>
      <c r="N141" s="24">
        <v>33</v>
      </c>
    </row>
    <row r="142" hidden="1" spans="5:14">
      <c r="E142" s="19">
        <v>46038</v>
      </c>
      <c r="F142" s="20">
        <v>1571168</v>
      </c>
      <c r="G142" s="21" t="s">
        <v>2</v>
      </c>
      <c r="H142" s="20" t="s">
        <v>60</v>
      </c>
      <c r="I142" s="22" t="s">
        <v>60</v>
      </c>
      <c r="J142" s="20">
        <v>20009168</v>
      </c>
      <c r="K142" s="22" t="s">
        <v>62</v>
      </c>
      <c r="L142" s="23">
        <v>1</v>
      </c>
      <c r="M142" s="24">
        <v>16</v>
      </c>
      <c r="N142" s="24">
        <v>16</v>
      </c>
    </row>
    <row r="143" hidden="1" spans="5:14">
      <c r="E143" s="19">
        <v>46038</v>
      </c>
      <c r="F143" s="20">
        <v>1571168</v>
      </c>
      <c r="G143" s="21" t="s">
        <v>2</v>
      </c>
      <c r="H143" s="20" t="s">
        <v>21</v>
      </c>
      <c r="I143" s="22" t="s">
        <v>33</v>
      </c>
      <c r="J143" s="20">
        <v>20009258</v>
      </c>
      <c r="K143" s="22" t="s">
        <v>65</v>
      </c>
      <c r="L143" s="23">
        <v>1</v>
      </c>
      <c r="M143" s="24">
        <v>16</v>
      </c>
      <c r="N143" s="24">
        <v>16</v>
      </c>
    </row>
    <row r="144" hidden="1" spans="5:14">
      <c r="E144" s="19">
        <v>46038</v>
      </c>
      <c r="F144" s="20">
        <v>1571168</v>
      </c>
      <c r="G144" s="21" t="s">
        <v>2</v>
      </c>
      <c r="H144" s="20" t="s">
        <v>16</v>
      </c>
      <c r="I144" s="22" t="s">
        <v>16</v>
      </c>
      <c r="J144" s="20">
        <v>20014104</v>
      </c>
      <c r="K144" s="22" t="s">
        <v>63</v>
      </c>
      <c r="L144" s="23">
        <v>2</v>
      </c>
      <c r="M144" s="24">
        <v>198</v>
      </c>
      <c r="N144" s="24">
        <v>396</v>
      </c>
    </row>
    <row r="145" hidden="1" spans="5:14">
      <c r="E145" s="19">
        <v>46038</v>
      </c>
      <c r="F145" s="20">
        <v>1571168</v>
      </c>
      <c r="G145" s="21" t="s">
        <v>2</v>
      </c>
      <c r="H145" s="20" t="s">
        <v>21</v>
      </c>
      <c r="I145" s="22" t="s">
        <v>30</v>
      </c>
      <c r="J145" s="20">
        <v>20378852</v>
      </c>
      <c r="K145" s="22" t="s">
        <v>66</v>
      </c>
      <c r="L145" s="23">
        <v>1</v>
      </c>
      <c r="M145" s="24">
        <v>49.5</v>
      </c>
      <c r="N145" s="24">
        <v>49.5</v>
      </c>
    </row>
    <row r="146" hidden="1" spans="5:14">
      <c r="E146" s="19">
        <v>46041</v>
      </c>
      <c r="F146" s="20">
        <v>1571680</v>
      </c>
      <c r="G146" s="21" t="s">
        <v>2</v>
      </c>
      <c r="H146" s="20" t="s">
        <v>21</v>
      </c>
      <c r="I146" s="22" t="s">
        <v>33</v>
      </c>
      <c r="J146" s="20">
        <v>20014105</v>
      </c>
      <c r="K146" s="22" t="s">
        <v>64</v>
      </c>
      <c r="L146" s="23">
        <v>1</v>
      </c>
      <c r="M146" s="24">
        <v>8</v>
      </c>
      <c r="N146" s="24">
        <v>8</v>
      </c>
    </row>
    <row r="147" hidden="1" spans="5:14">
      <c r="E147" s="19">
        <v>46041</v>
      </c>
      <c r="F147" s="20">
        <v>1571680</v>
      </c>
      <c r="G147" s="21" t="s">
        <v>2</v>
      </c>
      <c r="H147" s="20" t="s">
        <v>21</v>
      </c>
      <c r="I147" s="22" t="s">
        <v>33</v>
      </c>
      <c r="J147" s="20">
        <v>20012155</v>
      </c>
      <c r="K147" s="22" t="s">
        <v>59</v>
      </c>
      <c r="L147" s="23">
        <v>2</v>
      </c>
      <c r="M147" s="24">
        <v>11</v>
      </c>
      <c r="N147" s="24">
        <v>22</v>
      </c>
    </row>
    <row r="148" hidden="1" spans="5:14">
      <c r="E148" s="19">
        <v>46041</v>
      </c>
      <c r="F148" s="20">
        <v>1571680</v>
      </c>
      <c r="G148" s="21" t="s">
        <v>2</v>
      </c>
      <c r="H148" s="20" t="s">
        <v>60</v>
      </c>
      <c r="I148" s="22" t="s">
        <v>60</v>
      </c>
      <c r="J148" s="20">
        <v>20011010</v>
      </c>
      <c r="K148" s="22" t="s">
        <v>61</v>
      </c>
      <c r="L148" s="23">
        <v>2</v>
      </c>
      <c r="M148" s="24">
        <v>16.5</v>
      </c>
      <c r="N148" s="24">
        <v>33</v>
      </c>
    </row>
    <row r="149" hidden="1" spans="5:14">
      <c r="E149" s="19">
        <v>46041</v>
      </c>
      <c r="F149" s="20">
        <v>1571680</v>
      </c>
      <c r="G149" s="21" t="s">
        <v>2</v>
      </c>
      <c r="H149" s="20" t="s">
        <v>60</v>
      </c>
      <c r="I149" s="22" t="s">
        <v>60</v>
      </c>
      <c r="J149" s="20">
        <v>20009773</v>
      </c>
      <c r="K149" s="22" t="s">
        <v>61</v>
      </c>
      <c r="L149" s="23">
        <v>2</v>
      </c>
      <c r="M149" s="24">
        <v>16.5</v>
      </c>
      <c r="N149" s="24">
        <v>33</v>
      </c>
    </row>
    <row r="150" hidden="1" spans="5:14">
      <c r="E150" s="19">
        <v>46041</v>
      </c>
      <c r="F150" s="20">
        <v>1571680</v>
      </c>
      <c r="G150" s="21" t="s">
        <v>2</v>
      </c>
      <c r="H150" s="20" t="s">
        <v>60</v>
      </c>
      <c r="I150" s="22" t="s">
        <v>60</v>
      </c>
      <c r="J150" s="20">
        <v>20009168</v>
      </c>
      <c r="K150" s="22" t="s">
        <v>62</v>
      </c>
      <c r="L150" s="23">
        <v>2</v>
      </c>
      <c r="M150" s="24">
        <v>16</v>
      </c>
      <c r="N150" s="24">
        <v>32</v>
      </c>
    </row>
    <row r="151" hidden="1" spans="5:14">
      <c r="E151" s="19">
        <v>46041</v>
      </c>
      <c r="F151" s="20">
        <v>1571680</v>
      </c>
      <c r="G151" s="21" t="s">
        <v>2</v>
      </c>
      <c r="H151" s="20" t="s">
        <v>16</v>
      </c>
      <c r="I151" s="22" t="s">
        <v>16</v>
      </c>
      <c r="J151" s="20">
        <v>20014104</v>
      </c>
      <c r="K151" s="22" t="s">
        <v>63</v>
      </c>
      <c r="L151" s="23">
        <v>2</v>
      </c>
      <c r="M151" s="24">
        <v>198</v>
      </c>
      <c r="N151" s="24">
        <v>396</v>
      </c>
    </row>
    <row r="152" hidden="1" spans="5:14">
      <c r="E152" s="19">
        <v>46041</v>
      </c>
      <c r="F152" s="20">
        <v>1571680</v>
      </c>
      <c r="G152" s="21" t="s">
        <v>2</v>
      </c>
      <c r="H152" s="20" t="s">
        <v>21</v>
      </c>
      <c r="I152" s="22" t="s">
        <v>30</v>
      </c>
      <c r="J152" s="20">
        <v>20381101</v>
      </c>
      <c r="K152" s="22" t="s">
        <v>73</v>
      </c>
      <c r="L152" s="23">
        <v>1</v>
      </c>
      <c r="M152" s="24">
        <v>60.5</v>
      </c>
      <c r="N152" s="24">
        <v>60.5</v>
      </c>
    </row>
    <row r="153" hidden="1" spans="5:14">
      <c r="E153" s="19">
        <v>46043</v>
      </c>
      <c r="F153" s="20">
        <v>1572389</v>
      </c>
      <c r="G153" s="21" t="s">
        <v>2</v>
      </c>
      <c r="H153" s="20" t="s">
        <v>35</v>
      </c>
      <c r="I153" s="22" t="s">
        <v>36</v>
      </c>
      <c r="J153" s="20">
        <v>20009322</v>
      </c>
      <c r="K153" s="22" t="s">
        <v>74</v>
      </c>
      <c r="L153" s="23">
        <v>1</v>
      </c>
      <c r="M153" s="24">
        <v>4</v>
      </c>
      <c r="N153" s="24">
        <v>4</v>
      </c>
    </row>
    <row r="154" hidden="1" spans="5:14">
      <c r="E154" s="19">
        <v>46043</v>
      </c>
      <c r="F154" s="20">
        <v>1572389</v>
      </c>
      <c r="G154" s="21" t="s">
        <v>2</v>
      </c>
      <c r="H154" s="20" t="s">
        <v>35</v>
      </c>
      <c r="I154" s="22" t="s">
        <v>36</v>
      </c>
      <c r="J154" s="20">
        <v>20009759</v>
      </c>
      <c r="K154" s="22" t="s">
        <v>71</v>
      </c>
      <c r="L154" s="23">
        <v>4</v>
      </c>
      <c r="M154" s="24">
        <v>4</v>
      </c>
      <c r="N154" s="24">
        <v>16</v>
      </c>
    </row>
    <row r="155" hidden="1" spans="5:14">
      <c r="E155" s="19">
        <v>46043</v>
      </c>
      <c r="F155" s="20">
        <v>1572389</v>
      </c>
      <c r="G155" s="21" t="s">
        <v>2</v>
      </c>
      <c r="H155" s="20" t="s">
        <v>60</v>
      </c>
      <c r="I155" s="22" t="s">
        <v>60</v>
      </c>
      <c r="J155" s="20">
        <v>20009168</v>
      </c>
      <c r="K155" s="22" t="s">
        <v>62</v>
      </c>
      <c r="L155" s="23">
        <v>2</v>
      </c>
      <c r="M155" s="24">
        <v>16</v>
      </c>
      <c r="N155" s="24">
        <v>32</v>
      </c>
    </row>
    <row r="156" hidden="1" spans="5:14">
      <c r="E156" s="19">
        <v>46043</v>
      </c>
      <c r="F156" s="20">
        <v>1572389</v>
      </c>
      <c r="G156" s="21" t="s">
        <v>2</v>
      </c>
      <c r="H156" s="20" t="s">
        <v>16</v>
      </c>
      <c r="I156" s="22" t="s">
        <v>16</v>
      </c>
      <c r="J156" s="20">
        <v>20014104</v>
      </c>
      <c r="K156" s="22" t="s">
        <v>63</v>
      </c>
      <c r="L156" s="23">
        <v>2</v>
      </c>
      <c r="M156" s="24">
        <v>198</v>
      </c>
      <c r="N156" s="24">
        <v>396</v>
      </c>
    </row>
    <row r="157" hidden="1" spans="5:14">
      <c r="E157" s="19">
        <v>46044</v>
      </c>
      <c r="F157" s="20">
        <v>1572752</v>
      </c>
      <c r="G157" s="21" t="s">
        <v>2</v>
      </c>
      <c r="H157" s="20" t="s">
        <v>21</v>
      </c>
      <c r="I157" s="22" t="s">
        <v>33</v>
      </c>
      <c r="J157" s="20">
        <v>20014105</v>
      </c>
      <c r="K157" s="22" t="s">
        <v>64</v>
      </c>
      <c r="L157" s="23">
        <v>1</v>
      </c>
      <c r="M157" s="24">
        <v>8</v>
      </c>
      <c r="N157" s="24">
        <v>8</v>
      </c>
    </row>
    <row r="158" hidden="1" spans="5:14">
      <c r="E158" s="19">
        <v>46044</v>
      </c>
      <c r="F158" s="20">
        <v>1572752</v>
      </c>
      <c r="G158" s="21" t="s">
        <v>2</v>
      </c>
      <c r="H158" s="20" t="s">
        <v>21</v>
      </c>
      <c r="I158" s="22" t="s">
        <v>33</v>
      </c>
      <c r="J158" s="20">
        <v>20012155</v>
      </c>
      <c r="K158" s="22" t="s">
        <v>59</v>
      </c>
      <c r="L158" s="23">
        <v>2</v>
      </c>
      <c r="M158" s="24">
        <v>11</v>
      </c>
      <c r="N158" s="24">
        <v>22</v>
      </c>
    </row>
    <row r="159" hidden="1" spans="5:14">
      <c r="E159" s="19">
        <v>46044</v>
      </c>
      <c r="F159" s="20">
        <v>1572752</v>
      </c>
      <c r="G159" s="21" t="s">
        <v>2</v>
      </c>
      <c r="H159" s="20" t="s">
        <v>60</v>
      </c>
      <c r="I159" s="22" t="s">
        <v>60</v>
      </c>
      <c r="J159" s="20">
        <v>20009773</v>
      </c>
      <c r="K159" s="22" t="s">
        <v>61</v>
      </c>
      <c r="L159" s="23">
        <v>2</v>
      </c>
      <c r="M159" s="24">
        <v>16.5</v>
      </c>
      <c r="N159" s="24">
        <v>33</v>
      </c>
    </row>
    <row r="160" hidden="1" spans="5:14">
      <c r="E160" s="19">
        <v>46044</v>
      </c>
      <c r="F160" s="20">
        <v>1572752</v>
      </c>
      <c r="G160" s="21" t="s">
        <v>2</v>
      </c>
      <c r="H160" s="20" t="s">
        <v>16</v>
      </c>
      <c r="I160" s="22" t="s">
        <v>16</v>
      </c>
      <c r="J160" s="20">
        <v>20014104</v>
      </c>
      <c r="K160" s="22" t="s">
        <v>63</v>
      </c>
      <c r="L160" s="23">
        <v>1</v>
      </c>
      <c r="M160" s="24">
        <v>198</v>
      </c>
      <c r="N160" s="24">
        <v>198</v>
      </c>
    </row>
    <row r="161" hidden="1" spans="3:14">
      <c r="E161" s="19">
        <v>46045</v>
      </c>
      <c r="F161" s="20">
        <v>1573127</v>
      </c>
      <c r="G161" s="21" t="s">
        <v>2</v>
      </c>
      <c r="H161" s="20" t="s">
        <v>35</v>
      </c>
      <c r="I161" s="22" t="s">
        <v>36</v>
      </c>
      <c r="J161" s="20">
        <v>20009759</v>
      </c>
      <c r="K161" s="22" t="s">
        <v>71</v>
      </c>
      <c r="L161" s="23">
        <v>1</v>
      </c>
      <c r="M161" s="24">
        <v>4</v>
      </c>
      <c r="N161" s="24">
        <v>4</v>
      </c>
    </row>
    <row r="162" hidden="1" spans="3:14">
      <c r="E162" s="19">
        <v>46045</v>
      </c>
      <c r="F162" s="20">
        <v>1573127</v>
      </c>
      <c r="G162" s="21" t="s">
        <v>2</v>
      </c>
      <c r="H162" s="20" t="s">
        <v>60</v>
      </c>
      <c r="I162" s="22" t="s">
        <v>60</v>
      </c>
      <c r="J162" s="20">
        <v>20011010</v>
      </c>
      <c r="K162" s="22" t="s">
        <v>61</v>
      </c>
      <c r="L162" s="23">
        <v>1</v>
      </c>
      <c r="M162" s="24">
        <v>16.5</v>
      </c>
      <c r="N162" s="24">
        <v>16.5</v>
      </c>
    </row>
    <row r="163" hidden="1" spans="3:14">
      <c r="E163" s="19">
        <v>46045</v>
      </c>
      <c r="F163" s="20">
        <v>1573127</v>
      </c>
      <c r="G163" s="21" t="s">
        <v>2</v>
      </c>
      <c r="H163" s="20" t="s">
        <v>60</v>
      </c>
      <c r="I163" s="22" t="s">
        <v>60</v>
      </c>
      <c r="J163" s="20">
        <v>20009773</v>
      </c>
      <c r="K163" s="22" t="s">
        <v>61</v>
      </c>
      <c r="L163" s="23">
        <v>1</v>
      </c>
      <c r="M163" s="24">
        <v>16.5</v>
      </c>
      <c r="N163" s="24">
        <v>16.5</v>
      </c>
    </row>
    <row r="164" hidden="1" spans="3:14">
      <c r="E164" s="19">
        <v>46045</v>
      </c>
      <c r="F164" s="20">
        <v>1573127</v>
      </c>
      <c r="G164" s="21" t="s">
        <v>2</v>
      </c>
      <c r="H164" s="20" t="s">
        <v>60</v>
      </c>
      <c r="I164" s="22" t="s">
        <v>60</v>
      </c>
      <c r="J164" s="20">
        <v>20009168</v>
      </c>
      <c r="K164" s="22" t="s">
        <v>62</v>
      </c>
      <c r="L164" s="23">
        <v>1</v>
      </c>
      <c r="M164" s="24">
        <v>16</v>
      </c>
      <c r="N164" s="24">
        <v>16</v>
      </c>
    </row>
    <row r="165" hidden="1" spans="3:14">
      <c r="E165" s="19">
        <v>46045</v>
      </c>
      <c r="F165" s="20">
        <v>1573127</v>
      </c>
      <c r="G165" s="21" t="s">
        <v>2</v>
      </c>
      <c r="H165" s="20" t="s">
        <v>16</v>
      </c>
      <c r="I165" s="22" t="s">
        <v>16</v>
      </c>
      <c r="J165" s="20">
        <v>20014104</v>
      </c>
      <c r="K165" s="22" t="s">
        <v>63</v>
      </c>
      <c r="L165" s="23">
        <v>1</v>
      </c>
      <c r="M165" s="24">
        <v>198</v>
      </c>
      <c r="N165" s="24">
        <v>198</v>
      </c>
    </row>
    <row r="166" hidden="1" spans="3:14">
      <c r="E166" s="19">
        <v>46045</v>
      </c>
      <c r="F166" s="20">
        <v>1573127</v>
      </c>
      <c r="G166" s="21" t="s">
        <v>2</v>
      </c>
      <c r="H166" s="20" t="s">
        <v>21</v>
      </c>
      <c r="I166" s="22" t="s">
        <v>30</v>
      </c>
      <c r="J166" s="20">
        <v>20381101</v>
      </c>
      <c r="K166" s="22" t="s">
        <v>73</v>
      </c>
      <c r="L166" s="23">
        <v>1</v>
      </c>
      <c r="M166" s="24">
        <v>60.5</v>
      </c>
      <c r="N166" s="24">
        <v>60.5</v>
      </c>
    </row>
    <row r="167" hidden="1" spans="3:14">
      <c r="E167" s="19">
        <v>46045</v>
      </c>
      <c r="F167" s="20">
        <v>1573160</v>
      </c>
      <c r="G167" s="21" t="s">
        <v>2</v>
      </c>
      <c r="H167" s="20" t="s">
        <v>21</v>
      </c>
      <c r="I167" s="22" t="s">
        <v>30</v>
      </c>
      <c r="J167" s="20">
        <v>20011513</v>
      </c>
      <c r="K167" s="22" t="s">
        <v>69</v>
      </c>
      <c r="L167" s="23">
        <v>1</v>
      </c>
      <c r="M167" s="24">
        <v>27.5</v>
      </c>
      <c r="N167" s="24">
        <v>27.5</v>
      </c>
    </row>
    <row r="168" hidden="1" customHeight="1" spans="3:14">
      <c r="E168" s="19">
        <v>46045</v>
      </c>
      <c r="F168" s="20">
        <v>1573160</v>
      </c>
      <c r="G168" s="21" t="s">
        <v>2</v>
      </c>
      <c r="H168" s="20" t="s">
        <v>21</v>
      </c>
      <c r="I168" s="22" t="s">
        <v>33</v>
      </c>
      <c r="J168" s="20">
        <v>20009258</v>
      </c>
      <c r="K168" s="22" t="s">
        <v>65</v>
      </c>
      <c r="L168" s="23">
        <v>1</v>
      </c>
      <c r="M168" s="24">
        <v>16</v>
      </c>
      <c r="N168" s="24">
        <v>16</v>
      </c>
    </row>
    <row r="169" hidden="1" customHeight="1" spans="3:14">
      <c r="E169" s="14" t="s">
        <v>2</v>
      </c>
      <c r="F169" s="14" t="s">
        <v>2</v>
      </c>
      <c r="H169" s="14" t="s">
        <v>2</v>
      </c>
      <c r="I169" s="5" t="s">
        <v>2</v>
      </c>
      <c r="J169" s="14" t="s">
        <v>2</v>
      </c>
      <c r="K169" s="5" t="s">
        <v>2</v>
      </c>
      <c r="L169" s="26" t="s">
        <v>2</v>
      </c>
      <c r="M169" s="26" t="s">
        <v>2</v>
      </c>
      <c r="N169" s="26" t="s">
        <v>2</v>
      </c>
    </row>
    <row r="170" hidden="1" customHeight="1" spans="3:14">
      <c r="C170" s="5" t="s">
        <v>2</v>
      </c>
      <c r="D170" s="5" t="s">
        <v>2</v>
      </c>
      <c r="E170" s="5" t="s">
        <v>2</v>
      </c>
      <c r="F170" s="5" t="s">
        <v>2</v>
      </c>
      <c r="H170" s="5" t="s">
        <v>2</v>
      </c>
      <c r="I170" s="5" t="s">
        <v>2</v>
      </c>
      <c r="J170" s="5" t="s">
        <v>2</v>
      </c>
      <c r="K170" s="5" t="s">
        <v>2</v>
      </c>
      <c r="L170" s="5" t="s">
        <v>2</v>
      </c>
      <c r="M170" s="5" t="s">
        <v>2</v>
      </c>
      <c r="N170" s="5" t="s">
        <v>2</v>
      </c>
    </row>
    <row r="171" hidden="1" customHeight="1" spans="3:14">
      <c r="C171" s="11" t="s">
        <v>2</v>
      </c>
      <c r="D171" s="11" t="s">
        <v>2</v>
      </c>
      <c r="E171" s="11" t="s">
        <v>75</v>
      </c>
      <c r="F171" s="8" t="s">
        <v>2</v>
      </c>
      <c r="G171" s="8" t="s">
        <v>2</v>
      </c>
      <c r="H171" s="8" t="s">
        <v>2</v>
      </c>
      <c r="I171" s="8" t="s">
        <v>2</v>
      </c>
      <c r="J171" s="8" t="s">
        <v>2</v>
      </c>
      <c r="K171" s="11" t="s">
        <v>2</v>
      </c>
      <c r="L171" s="12">
        <v>76</v>
      </c>
      <c r="M171" s="11" t="s">
        <v>2</v>
      </c>
      <c r="N171" s="13">
        <v>1280.5</v>
      </c>
    </row>
    <row r="172" hidden="1" customHeight="1" spans="3:14">
      <c r="C172" s="5" t="s">
        <v>2</v>
      </c>
      <c r="D172" s="14" t="s">
        <v>2</v>
      </c>
      <c r="E172" s="15" t="s">
        <v>20</v>
      </c>
      <c r="F172" s="8" t="s">
        <v>2</v>
      </c>
      <c r="G172" s="8" t="s">
        <v>2</v>
      </c>
      <c r="H172" s="16" t="s">
        <v>2</v>
      </c>
      <c r="I172" s="17" t="s">
        <v>2</v>
      </c>
      <c r="J172" s="16" t="s">
        <v>2</v>
      </c>
      <c r="K172" s="17" t="s">
        <v>2</v>
      </c>
      <c r="L172" s="18">
        <v>6</v>
      </c>
      <c r="M172" s="18" t="s">
        <v>2</v>
      </c>
      <c r="N172" s="18">
        <v>180</v>
      </c>
    </row>
    <row r="173" hidden="1" customHeight="1" spans="3:14">
      <c r="E173" s="19">
        <v>46029</v>
      </c>
      <c r="F173" s="20">
        <v>1568433</v>
      </c>
      <c r="G173" s="21" t="s">
        <v>2</v>
      </c>
      <c r="H173" s="20" t="s">
        <v>60</v>
      </c>
      <c r="I173" s="22" t="s">
        <v>76</v>
      </c>
      <c r="J173" s="20">
        <v>20339168</v>
      </c>
      <c r="K173" s="22" t="s">
        <v>77</v>
      </c>
      <c r="L173" s="23">
        <v>1</v>
      </c>
      <c r="M173" s="24">
        <v>30</v>
      </c>
      <c r="N173" s="24">
        <v>30</v>
      </c>
    </row>
    <row r="174" hidden="1" customHeight="1" spans="3:14">
      <c r="E174" s="19">
        <v>46037</v>
      </c>
      <c r="F174" s="20">
        <v>1570626</v>
      </c>
      <c r="G174" s="21" t="s">
        <v>2</v>
      </c>
      <c r="H174" s="20" t="s">
        <v>60</v>
      </c>
      <c r="I174" s="22" t="s">
        <v>76</v>
      </c>
      <c r="J174" s="20">
        <v>20339168</v>
      </c>
      <c r="K174" s="22" t="s">
        <v>77</v>
      </c>
      <c r="L174" s="23">
        <v>3</v>
      </c>
      <c r="M174" s="24">
        <v>30</v>
      </c>
      <c r="N174" s="24">
        <v>90</v>
      </c>
    </row>
    <row r="175" customHeight="1" spans="3:14">
      <c r="E175" s="19">
        <v>46039</v>
      </c>
      <c r="F175" s="20">
        <v>1571340</v>
      </c>
      <c r="G175" s="21" t="s">
        <v>2</v>
      </c>
      <c r="H175" s="20" t="s">
        <v>60</v>
      </c>
      <c r="I175" s="22" t="s">
        <v>76</v>
      </c>
      <c r="J175" s="20">
        <v>20339168</v>
      </c>
      <c r="K175" s="22" t="s">
        <v>77</v>
      </c>
      <c r="L175" s="23">
        <v>2</v>
      </c>
      <c r="M175" s="24">
        <v>30</v>
      </c>
      <c r="N175" s="24">
        <v>60</v>
      </c>
    </row>
    <row r="176" hidden="1" customHeight="1" spans="3:14">
      <c r="E176" s="14" t="s">
        <v>2</v>
      </c>
      <c r="F176" s="14" t="s">
        <v>2</v>
      </c>
      <c r="H176" s="14" t="s">
        <v>2</v>
      </c>
      <c r="I176" s="5" t="s">
        <v>2</v>
      </c>
      <c r="J176" s="14" t="s">
        <v>2</v>
      </c>
      <c r="K176" s="5" t="s">
        <v>2</v>
      </c>
      <c r="L176" s="26" t="s">
        <v>2</v>
      </c>
      <c r="M176" s="26" t="s">
        <v>2</v>
      </c>
      <c r="N176" s="26" t="s">
        <v>2</v>
      </c>
    </row>
    <row r="177" hidden="1" customHeight="1" spans="4:14">
      <c r="D177" s="14" t="s">
        <v>2</v>
      </c>
      <c r="E177" s="15" t="s">
        <v>15</v>
      </c>
      <c r="F177" s="8" t="s">
        <v>2</v>
      </c>
      <c r="G177" s="8" t="s">
        <v>2</v>
      </c>
      <c r="H177" s="16" t="s">
        <v>2</v>
      </c>
      <c r="I177" s="17" t="s">
        <v>2</v>
      </c>
      <c r="J177" s="16" t="s">
        <v>2</v>
      </c>
      <c r="K177" s="17" t="s">
        <v>2</v>
      </c>
      <c r="L177" s="18">
        <v>70</v>
      </c>
      <c r="M177" s="18" t="s">
        <v>2</v>
      </c>
      <c r="N177" s="18">
        <v>1100.5</v>
      </c>
    </row>
    <row r="178" hidden="1" customHeight="1" spans="4:14">
      <c r="E178" s="19">
        <v>46028</v>
      </c>
      <c r="F178" s="20">
        <v>1568133</v>
      </c>
      <c r="G178" s="21" t="s">
        <v>2</v>
      </c>
      <c r="H178" s="20" t="s">
        <v>21</v>
      </c>
      <c r="I178" s="22" t="s">
        <v>33</v>
      </c>
      <c r="J178" s="20">
        <v>20324927</v>
      </c>
      <c r="K178" s="22" t="s">
        <v>78</v>
      </c>
      <c r="L178" s="23">
        <v>2</v>
      </c>
      <c r="M178" s="24">
        <v>16.5</v>
      </c>
      <c r="N178" s="24">
        <v>33</v>
      </c>
    </row>
    <row r="179" hidden="1" customHeight="1" spans="4:14">
      <c r="E179" s="19">
        <v>46028</v>
      </c>
      <c r="F179" s="20">
        <v>1568133</v>
      </c>
      <c r="G179" s="21" t="s">
        <v>2</v>
      </c>
      <c r="H179" s="20" t="s">
        <v>21</v>
      </c>
      <c r="I179" s="22" t="s">
        <v>33</v>
      </c>
      <c r="J179" s="20">
        <v>20323506</v>
      </c>
      <c r="K179" s="22" t="s">
        <v>79</v>
      </c>
      <c r="L179" s="23">
        <v>1</v>
      </c>
      <c r="M179" s="24">
        <v>13.5</v>
      </c>
      <c r="N179" s="24">
        <v>13.5</v>
      </c>
    </row>
    <row r="180" hidden="1" spans="4:14">
      <c r="E180" s="19">
        <v>46028</v>
      </c>
      <c r="F180" s="20">
        <v>1568133</v>
      </c>
      <c r="G180" s="21" t="s">
        <v>2</v>
      </c>
      <c r="H180" s="20" t="s">
        <v>21</v>
      </c>
      <c r="I180" s="22" t="s">
        <v>33</v>
      </c>
      <c r="J180" s="20">
        <v>20009261</v>
      </c>
      <c r="K180" s="22" t="s">
        <v>80</v>
      </c>
      <c r="L180" s="23">
        <v>7</v>
      </c>
      <c r="M180" s="24">
        <v>13.5</v>
      </c>
      <c r="N180" s="24">
        <v>94.5</v>
      </c>
    </row>
    <row r="181" hidden="1" spans="4:14">
      <c r="E181" s="19">
        <v>46029</v>
      </c>
      <c r="F181" s="20">
        <v>1568472</v>
      </c>
      <c r="G181" s="21" t="s">
        <v>2</v>
      </c>
      <c r="H181" s="20" t="s">
        <v>21</v>
      </c>
      <c r="I181" s="22" t="s">
        <v>33</v>
      </c>
      <c r="J181" s="20">
        <v>20324927</v>
      </c>
      <c r="K181" s="22" t="s">
        <v>78</v>
      </c>
      <c r="L181" s="23">
        <v>2</v>
      </c>
      <c r="M181" s="24">
        <v>16.5</v>
      </c>
      <c r="N181" s="24">
        <v>33</v>
      </c>
    </row>
    <row r="182" hidden="1" spans="4:14">
      <c r="E182" s="19">
        <v>46029</v>
      </c>
      <c r="F182" s="20">
        <v>1568472</v>
      </c>
      <c r="G182" s="21" t="s">
        <v>2</v>
      </c>
      <c r="H182" s="20" t="s">
        <v>21</v>
      </c>
      <c r="I182" s="22" t="s">
        <v>33</v>
      </c>
      <c r="J182" s="20">
        <v>20323506</v>
      </c>
      <c r="K182" s="22" t="s">
        <v>79</v>
      </c>
      <c r="L182" s="23">
        <v>1</v>
      </c>
      <c r="M182" s="24">
        <v>13.5</v>
      </c>
      <c r="N182" s="24">
        <v>13.5</v>
      </c>
    </row>
    <row r="183" hidden="1" spans="4:14">
      <c r="E183" s="19">
        <v>46029</v>
      </c>
      <c r="F183" s="20">
        <v>1568472</v>
      </c>
      <c r="G183" s="21" t="s">
        <v>2</v>
      </c>
      <c r="H183" s="20" t="s">
        <v>21</v>
      </c>
      <c r="I183" s="22" t="s">
        <v>33</v>
      </c>
      <c r="J183" s="20">
        <v>20009261</v>
      </c>
      <c r="K183" s="22" t="s">
        <v>80</v>
      </c>
      <c r="L183" s="23">
        <v>2</v>
      </c>
      <c r="M183" s="24">
        <v>13.5</v>
      </c>
      <c r="N183" s="24">
        <v>27</v>
      </c>
    </row>
    <row r="184" hidden="1" spans="4:14">
      <c r="E184" s="19">
        <v>46029</v>
      </c>
      <c r="F184" s="20">
        <v>1568472</v>
      </c>
      <c r="G184" s="21" t="s">
        <v>2</v>
      </c>
      <c r="H184" s="20" t="s">
        <v>21</v>
      </c>
      <c r="I184" s="22" t="s">
        <v>33</v>
      </c>
      <c r="J184" s="20">
        <v>20009045</v>
      </c>
      <c r="K184" s="22" t="s">
        <v>81</v>
      </c>
      <c r="L184" s="23">
        <v>1</v>
      </c>
      <c r="M184" s="24">
        <v>8</v>
      </c>
      <c r="N184" s="24">
        <v>8</v>
      </c>
    </row>
    <row r="185" hidden="1" spans="4:14">
      <c r="E185" s="19">
        <v>46029</v>
      </c>
      <c r="F185" s="20">
        <v>1568472</v>
      </c>
      <c r="G185" s="21" t="s">
        <v>2</v>
      </c>
      <c r="H185" s="20" t="s">
        <v>21</v>
      </c>
      <c r="I185" s="22" t="s">
        <v>33</v>
      </c>
      <c r="J185" s="20">
        <v>20005858</v>
      </c>
      <c r="K185" s="22" t="s">
        <v>82</v>
      </c>
      <c r="L185" s="23">
        <v>1</v>
      </c>
      <c r="M185" s="24">
        <v>8</v>
      </c>
      <c r="N185" s="24">
        <v>8</v>
      </c>
    </row>
    <row r="186" hidden="1" spans="4:14">
      <c r="E186" s="19">
        <v>46029</v>
      </c>
      <c r="F186" s="20">
        <v>1568472</v>
      </c>
      <c r="G186" s="21" t="s">
        <v>2</v>
      </c>
      <c r="H186" s="20" t="s">
        <v>16</v>
      </c>
      <c r="I186" s="22" t="s">
        <v>17</v>
      </c>
      <c r="J186" s="20">
        <v>20013238</v>
      </c>
      <c r="K186" s="22" t="s">
        <v>83</v>
      </c>
      <c r="L186" s="23">
        <v>1</v>
      </c>
      <c r="M186" s="24">
        <v>27.5</v>
      </c>
      <c r="N186" s="24">
        <v>27.5</v>
      </c>
    </row>
    <row r="187" hidden="1" spans="4:14">
      <c r="E187" s="19">
        <v>46029</v>
      </c>
      <c r="F187" s="20">
        <v>1568472</v>
      </c>
      <c r="G187" s="21" t="s">
        <v>2</v>
      </c>
      <c r="H187" s="20" t="s">
        <v>21</v>
      </c>
      <c r="I187" s="22" t="s">
        <v>33</v>
      </c>
      <c r="J187" s="20">
        <v>20013317</v>
      </c>
      <c r="K187" s="22" t="s">
        <v>84</v>
      </c>
      <c r="L187" s="23">
        <v>2</v>
      </c>
      <c r="M187" s="24">
        <v>27.5</v>
      </c>
      <c r="N187" s="24">
        <v>55</v>
      </c>
    </row>
    <row r="188" hidden="1" spans="4:14">
      <c r="E188" s="19">
        <v>46034</v>
      </c>
      <c r="F188" s="20">
        <v>1569690</v>
      </c>
      <c r="G188" s="21" t="s">
        <v>2</v>
      </c>
      <c r="H188" s="20" t="s">
        <v>21</v>
      </c>
      <c r="I188" s="22" t="s">
        <v>33</v>
      </c>
      <c r="J188" s="20">
        <v>20324927</v>
      </c>
      <c r="K188" s="22" t="s">
        <v>78</v>
      </c>
      <c r="L188" s="23">
        <v>4</v>
      </c>
      <c r="M188" s="24">
        <v>16.5</v>
      </c>
      <c r="N188" s="24">
        <v>66</v>
      </c>
    </row>
    <row r="189" hidden="1" spans="4:14">
      <c r="E189" s="19">
        <v>46034</v>
      </c>
      <c r="F189" s="20">
        <v>1569690</v>
      </c>
      <c r="G189" s="21" t="s">
        <v>2</v>
      </c>
      <c r="H189" s="20" t="s">
        <v>35</v>
      </c>
      <c r="I189" s="22" t="s">
        <v>85</v>
      </c>
      <c r="J189" s="20">
        <v>20009292</v>
      </c>
      <c r="K189" s="22" t="s">
        <v>86</v>
      </c>
      <c r="L189" s="23">
        <v>3</v>
      </c>
      <c r="M189" s="24">
        <v>25</v>
      </c>
      <c r="N189" s="24">
        <v>75</v>
      </c>
    </row>
    <row r="190" hidden="1" spans="4:14">
      <c r="E190" s="19">
        <v>46034</v>
      </c>
      <c r="F190" s="20">
        <v>1569690</v>
      </c>
      <c r="G190" s="21" t="s">
        <v>2</v>
      </c>
      <c r="H190" s="20" t="s">
        <v>21</v>
      </c>
      <c r="I190" s="22" t="s">
        <v>33</v>
      </c>
      <c r="J190" s="20">
        <v>20009261</v>
      </c>
      <c r="K190" s="22" t="s">
        <v>80</v>
      </c>
      <c r="L190" s="23">
        <v>11</v>
      </c>
      <c r="M190" s="24">
        <v>13.5</v>
      </c>
      <c r="N190" s="24">
        <v>148.5</v>
      </c>
    </row>
    <row r="191" hidden="1" spans="4:14">
      <c r="E191" s="19">
        <v>46034</v>
      </c>
      <c r="F191" s="20">
        <v>1569690</v>
      </c>
      <c r="G191" s="21" t="s">
        <v>2</v>
      </c>
      <c r="H191" s="20" t="s">
        <v>21</v>
      </c>
      <c r="I191" s="22" t="s">
        <v>33</v>
      </c>
      <c r="J191" s="20">
        <v>20013317</v>
      </c>
      <c r="K191" s="22" t="s">
        <v>84</v>
      </c>
      <c r="L191" s="23">
        <v>1</v>
      </c>
      <c r="M191" s="24">
        <v>27.5</v>
      </c>
      <c r="N191" s="24">
        <v>27.5</v>
      </c>
    </row>
    <row r="192" hidden="1" spans="4:14">
      <c r="E192" s="19">
        <v>46036</v>
      </c>
      <c r="F192" s="20">
        <v>1570430</v>
      </c>
      <c r="G192" s="21" t="s">
        <v>2</v>
      </c>
      <c r="H192" s="20" t="s">
        <v>21</v>
      </c>
      <c r="I192" s="22" t="s">
        <v>33</v>
      </c>
      <c r="J192" s="20">
        <v>20324927</v>
      </c>
      <c r="K192" s="22" t="s">
        <v>78</v>
      </c>
      <c r="L192" s="23">
        <v>5</v>
      </c>
      <c r="M192" s="24">
        <v>16.5</v>
      </c>
      <c r="N192" s="24">
        <v>82.5</v>
      </c>
    </row>
    <row r="193" hidden="1" spans="3:14">
      <c r="E193" s="19">
        <v>46036</v>
      </c>
      <c r="F193" s="20">
        <v>1570430</v>
      </c>
      <c r="G193" s="21" t="s">
        <v>2</v>
      </c>
      <c r="H193" s="20" t="s">
        <v>21</v>
      </c>
      <c r="I193" s="22" t="s">
        <v>33</v>
      </c>
      <c r="J193" s="20">
        <v>20323506</v>
      </c>
      <c r="K193" s="22" t="s">
        <v>79</v>
      </c>
      <c r="L193" s="23">
        <v>5</v>
      </c>
      <c r="M193" s="24">
        <v>13.5</v>
      </c>
      <c r="N193" s="24">
        <v>67.5</v>
      </c>
    </row>
    <row r="194" hidden="1" spans="3:14">
      <c r="E194" s="19">
        <v>46036</v>
      </c>
      <c r="F194" s="20">
        <v>1570430</v>
      </c>
      <c r="G194" s="21" t="s">
        <v>2</v>
      </c>
      <c r="H194" s="20" t="s">
        <v>21</v>
      </c>
      <c r="I194" s="22" t="s">
        <v>33</v>
      </c>
      <c r="J194" s="20">
        <v>20009261</v>
      </c>
      <c r="K194" s="22" t="s">
        <v>80</v>
      </c>
      <c r="L194" s="23">
        <v>2</v>
      </c>
      <c r="M194" s="24">
        <v>13.5</v>
      </c>
      <c r="N194" s="24">
        <v>27</v>
      </c>
    </row>
    <row r="195" hidden="1" spans="3:14">
      <c r="E195" s="19">
        <v>46036</v>
      </c>
      <c r="F195" s="20">
        <v>1570430</v>
      </c>
      <c r="G195" s="21" t="s">
        <v>2</v>
      </c>
      <c r="H195" s="20" t="s">
        <v>16</v>
      </c>
      <c r="I195" s="22" t="s">
        <v>17</v>
      </c>
      <c r="J195" s="20">
        <v>20370351</v>
      </c>
      <c r="K195" s="22" t="s">
        <v>87</v>
      </c>
      <c r="L195" s="23">
        <v>1</v>
      </c>
      <c r="M195" s="24">
        <v>27.5</v>
      </c>
      <c r="N195" s="24">
        <v>27.5</v>
      </c>
    </row>
    <row r="196" hidden="1" spans="3:14">
      <c r="E196" s="19">
        <v>46041</v>
      </c>
      <c r="F196" s="20">
        <v>1571681</v>
      </c>
      <c r="G196" s="21" t="s">
        <v>2</v>
      </c>
      <c r="H196" s="20" t="s">
        <v>21</v>
      </c>
      <c r="I196" s="22" t="s">
        <v>33</v>
      </c>
      <c r="J196" s="20">
        <v>20324927</v>
      </c>
      <c r="K196" s="22" t="s">
        <v>78</v>
      </c>
      <c r="L196" s="23">
        <v>2</v>
      </c>
      <c r="M196" s="24">
        <v>16.5</v>
      </c>
      <c r="N196" s="24">
        <v>33</v>
      </c>
    </row>
    <row r="197" hidden="1" spans="3:14">
      <c r="E197" s="19">
        <v>46041</v>
      </c>
      <c r="F197" s="20">
        <v>1571681</v>
      </c>
      <c r="G197" s="21" t="s">
        <v>2</v>
      </c>
      <c r="H197" s="20" t="s">
        <v>21</v>
      </c>
      <c r="I197" s="22" t="s">
        <v>33</v>
      </c>
      <c r="J197" s="20">
        <v>20009261</v>
      </c>
      <c r="K197" s="22" t="s">
        <v>80</v>
      </c>
      <c r="L197" s="23">
        <v>5</v>
      </c>
      <c r="M197" s="24">
        <v>13.5</v>
      </c>
      <c r="N197" s="24">
        <v>67.5</v>
      </c>
    </row>
    <row r="198" hidden="1" spans="3:14">
      <c r="E198" s="19">
        <v>46045</v>
      </c>
      <c r="F198" s="20">
        <v>1573128</v>
      </c>
      <c r="G198" s="21" t="s">
        <v>2</v>
      </c>
      <c r="H198" s="20" t="s">
        <v>21</v>
      </c>
      <c r="I198" s="22" t="s">
        <v>33</v>
      </c>
      <c r="J198" s="20">
        <v>20324927</v>
      </c>
      <c r="K198" s="22" t="s">
        <v>78</v>
      </c>
      <c r="L198" s="23">
        <v>1</v>
      </c>
      <c r="M198" s="24">
        <v>16.5</v>
      </c>
      <c r="N198" s="24">
        <v>16.5</v>
      </c>
    </row>
    <row r="199" hidden="1" spans="3:14">
      <c r="E199" s="19">
        <v>46045</v>
      </c>
      <c r="F199" s="20">
        <v>1573128</v>
      </c>
      <c r="G199" s="21" t="s">
        <v>2</v>
      </c>
      <c r="H199" s="20" t="s">
        <v>21</v>
      </c>
      <c r="I199" s="22" t="s">
        <v>33</v>
      </c>
      <c r="J199" s="20">
        <v>20323506</v>
      </c>
      <c r="K199" s="22" t="s">
        <v>79</v>
      </c>
      <c r="L199" s="23">
        <v>1</v>
      </c>
      <c r="M199" s="24">
        <v>13.5</v>
      </c>
      <c r="N199" s="24">
        <v>13.5</v>
      </c>
    </row>
    <row r="200" hidden="1" spans="3:14">
      <c r="E200" s="19">
        <v>46045</v>
      </c>
      <c r="F200" s="20">
        <v>1573128</v>
      </c>
      <c r="G200" s="21" t="s">
        <v>2</v>
      </c>
      <c r="H200" s="20" t="s">
        <v>21</v>
      </c>
      <c r="I200" s="22" t="s">
        <v>33</v>
      </c>
      <c r="J200" s="20">
        <v>20009261</v>
      </c>
      <c r="K200" s="22" t="s">
        <v>80</v>
      </c>
      <c r="L200" s="23">
        <v>8</v>
      </c>
      <c r="M200" s="24">
        <v>13.5</v>
      </c>
      <c r="N200" s="24">
        <v>108</v>
      </c>
    </row>
    <row r="201" hidden="1" customHeight="1" spans="3:14">
      <c r="E201" s="19">
        <v>46045</v>
      </c>
      <c r="F201" s="20">
        <v>1573128</v>
      </c>
      <c r="G201" s="21" t="s">
        <v>2</v>
      </c>
      <c r="H201" s="20" t="s">
        <v>21</v>
      </c>
      <c r="I201" s="22" t="s">
        <v>33</v>
      </c>
      <c r="J201" s="20">
        <v>20013317</v>
      </c>
      <c r="K201" s="22" t="s">
        <v>84</v>
      </c>
      <c r="L201" s="23">
        <v>1</v>
      </c>
      <c r="M201" s="24">
        <v>27.5</v>
      </c>
      <c r="N201" s="24">
        <v>27.5</v>
      </c>
    </row>
    <row r="202" hidden="1" customHeight="1" spans="3:14">
      <c r="E202" s="14" t="s">
        <v>2</v>
      </c>
      <c r="F202" s="14" t="s">
        <v>2</v>
      </c>
      <c r="H202" s="14" t="s">
        <v>2</v>
      </c>
      <c r="I202" s="5" t="s">
        <v>2</v>
      </c>
      <c r="J202" s="14" t="s">
        <v>2</v>
      </c>
      <c r="K202" s="5" t="s">
        <v>2</v>
      </c>
      <c r="L202" s="26" t="s">
        <v>2</v>
      </c>
      <c r="M202" s="26" t="s">
        <v>2</v>
      </c>
      <c r="N202" s="26" t="s">
        <v>2</v>
      </c>
    </row>
    <row r="203" hidden="1" customHeight="1" spans="3:14">
      <c r="C203" s="5" t="s">
        <v>2</v>
      </c>
      <c r="D203" s="5" t="s">
        <v>2</v>
      </c>
      <c r="E203" s="5" t="s">
        <v>2</v>
      </c>
      <c r="F203" s="5" t="s">
        <v>2</v>
      </c>
      <c r="H203" s="5" t="s">
        <v>2</v>
      </c>
      <c r="I203" s="5" t="s">
        <v>2</v>
      </c>
      <c r="J203" s="5" t="s">
        <v>2</v>
      </c>
      <c r="K203" s="5" t="s">
        <v>2</v>
      </c>
      <c r="L203" s="5" t="s">
        <v>2</v>
      </c>
      <c r="M203" s="5" t="s">
        <v>2</v>
      </c>
      <c r="N203" s="5" t="s">
        <v>2</v>
      </c>
    </row>
    <row r="204" hidden="1" customHeight="1" spans="3:14">
      <c r="C204" s="11" t="s">
        <v>2</v>
      </c>
      <c r="D204" s="11" t="s">
        <v>2</v>
      </c>
      <c r="E204" s="11" t="s">
        <v>88</v>
      </c>
      <c r="F204" s="8" t="s">
        <v>2</v>
      </c>
      <c r="G204" s="8" t="s">
        <v>2</v>
      </c>
      <c r="H204" s="8" t="s">
        <v>2</v>
      </c>
      <c r="I204" s="8" t="s">
        <v>2</v>
      </c>
      <c r="J204" s="8" t="s">
        <v>2</v>
      </c>
      <c r="K204" s="11" t="s">
        <v>2</v>
      </c>
      <c r="L204" s="12">
        <v>91</v>
      </c>
      <c r="M204" s="11" t="s">
        <v>2</v>
      </c>
      <c r="N204" s="13">
        <v>4996</v>
      </c>
    </row>
    <row r="205" hidden="1" customHeight="1" spans="3:14">
      <c r="C205" s="5" t="s">
        <v>2</v>
      </c>
      <c r="D205" s="14" t="s">
        <v>2</v>
      </c>
      <c r="E205" s="15" t="s">
        <v>20</v>
      </c>
      <c r="F205" s="8" t="s">
        <v>2</v>
      </c>
      <c r="G205" s="8" t="s">
        <v>2</v>
      </c>
      <c r="H205" s="16" t="s">
        <v>2</v>
      </c>
      <c r="I205" s="17" t="s">
        <v>2</v>
      </c>
      <c r="J205" s="16" t="s">
        <v>2</v>
      </c>
      <c r="K205" s="17" t="s">
        <v>2</v>
      </c>
      <c r="L205" s="18">
        <v>37</v>
      </c>
      <c r="M205" s="18" t="s">
        <v>2</v>
      </c>
      <c r="N205" s="18">
        <v>1145</v>
      </c>
    </row>
    <row r="206" hidden="1" customHeight="1" spans="3:14">
      <c r="E206" s="27">
        <v>46026</v>
      </c>
      <c r="F206" s="28">
        <v>1567628</v>
      </c>
      <c r="G206" s="29" t="s">
        <v>2</v>
      </c>
      <c r="H206" s="28" t="s">
        <v>21</v>
      </c>
      <c r="I206" s="30" t="s">
        <v>22</v>
      </c>
      <c r="J206" s="28">
        <v>20321301</v>
      </c>
      <c r="K206" s="30" t="s">
        <v>89</v>
      </c>
      <c r="L206" s="31">
        <v>1</v>
      </c>
      <c r="M206" s="32">
        <v>28</v>
      </c>
      <c r="N206" s="32">
        <v>28</v>
      </c>
    </row>
    <row r="207" hidden="1" customHeight="1" spans="3:14">
      <c r="E207" s="27">
        <v>46027</v>
      </c>
      <c r="F207" s="28">
        <v>1567775</v>
      </c>
      <c r="G207" s="29" t="s">
        <v>2</v>
      </c>
      <c r="H207" s="28" t="s">
        <v>21</v>
      </c>
      <c r="I207" s="30" t="s">
        <v>22</v>
      </c>
      <c r="J207" s="28">
        <v>20356603</v>
      </c>
      <c r="K207" s="30" t="s">
        <v>90</v>
      </c>
      <c r="L207" s="31">
        <v>1</v>
      </c>
      <c r="M207" s="32">
        <v>25</v>
      </c>
      <c r="N207" s="32">
        <v>25</v>
      </c>
    </row>
    <row r="208" hidden="1" customHeight="1" spans="3:14">
      <c r="E208" s="27">
        <v>46027</v>
      </c>
      <c r="F208" s="28">
        <v>1567775</v>
      </c>
      <c r="G208" s="29" t="s">
        <v>2</v>
      </c>
      <c r="H208" s="28" t="s">
        <v>21</v>
      </c>
      <c r="I208" s="30" t="s">
        <v>22</v>
      </c>
      <c r="J208" s="28">
        <v>20372898</v>
      </c>
      <c r="K208" s="30" t="s">
        <v>91</v>
      </c>
      <c r="L208" s="31">
        <v>1</v>
      </c>
      <c r="M208" s="32">
        <v>28</v>
      </c>
      <c r="N208" s="32">
        <v>28</v>
      </c>
    </row>
    <row r="209" hidden="1" customHeight="1" spans="5:14">
      <c r="E209" s="27">
        <v>46027</v>
      </c>
      <c r="F209" s="28">
        <v>1567775</v>
      </c>
      <c r="G209" s="29" t="s">
        <v>2</v>
      </c>
      <c r="H209" s="28" t="s">
        <v>21</v>
      </c>
      <c r="I209" s="30" t="s">
        <v>22</v>
      </c>
      <c r="J209" s="28">
        <v>20378486</v>
      </c>
      <c r="K209" s="30" t="s">
        <v>92</v>
      </c>
      <c r="L209" s="31">
        <v>1</v>
      </c>
      <c r="M209" s="32">
        <v>35</v>
      </c>
      <c r="N209" s="32">
        <v>35</v>
      </c>
    </row>
    <row r="210" hidden="1" customHeight="1" spans="5:14">
      <c r="E210" s="27">
        <v>46027</v>
      </c>
      <c r="F210" s="28">
        <v>1567775</v>
      </c>
      <c r="G210" s="29" t="s">
        <v>2</v>
      </c>
      <c r="H210" s="28" t="s">
        <v>21</v>
      </c>
      <c r="I210" s="30" t="s">
        <v>22</v>
      </c>
      <c r="J210" s="28">
        <v>20388368</v>
      </c>
      <c r="K210" s="30" t="s">
        <v>93</v>
      </c>
      <c r="L210" s="31">
        <v>1</v>
      </c>
      <c r="M210" s="32">
        <v>66</v>
      </c>
      <c r="N210" s="32">
        <v>66</v>
      </c>
    </row>
    <row r="211" hidden="1" customHeight="1" spans="5:14">
      <c r="E211" s="27">
        <v>46029</v>
      </c>
      <c r="F211" s="28">
        <v>1568434</v>
      </c>
      <c r="G211" s="29" t="s">
        <v>2</v>
      </c>
      <c r="H211" s="28" t="s">
        <v>21</v>
      </c>
      <c r="I211" s="30" t="s">
        <v>22</v>
      </c>
      <c r="J211" s="28">
        <v>20325211</v>
      </c>
      <c r="K211" s="30" t="s">
        <v>94</v>
      </c>
      <c r="L211" s="31">
        <v>1</v>
      </c>
      <c r="M211" s="32">
        <v>66</v>
      </c>
      <c r="N211" s="32">
        <v>66</v>
      </c>
    </row>
    <row r="212" hidden="1" customHeight="1" spans="5:14">
      <c r="E212" s="27">
        <v>46029</v>
      </c>
      <c r="F212" s="28">
        <v>1568434</v>
      </c>
      <c r="G212" s="29" t="s">
        <v>2</v>
      </c>
      <c r="H212" s="28" t="s">
        <v>21</v>
      </c>
      <c r="I212" s="30" t="s">
        <v>22</v>
      </c>
      <c r="J212" s="28">
        <v>20313088</v>
      </c>
      <c r="K212" s="30" t="s">
        <v>95</v>
      </c>
      <c r="L212" s="31">
        <v>1</v>
      </c>
      <c r="M212" s="32">
        <v>25</v>
      </c>
      <c r="N212" s="32">
        <v>25</v>
      </c>
    </row>
    <row r="213" hidden="1" customHeight="1" spans="5:14">
      <c r="E213" s="27">
        <v>46029</v>
      </c>
      <c r="F213" s="28">
        <v>1568434</v>
      </c>
      <c r="G213" s="29" t="s">
        <v>2</v>
      </c>
      <c r="H213" s="28" t="s">
        <v>21</v>
      </c>
      <c r="I213" s="30" t="s">
        <v>22</v>
      </c>
      <c r="J213" s="28">
        <v>20356603</v>
      </c>
      <c r="K213" s="30" t="s">
        <v>90</v>
      </c>
      <c r="L213" s="31">
        <v>1</v>
      </c>
      <c r="M213" s="32">
        <v>25</v>
      </c>
      <c r="N213" s="32">
        <v>25</v>
      </c>
    </row>
    <row r="214" hidden="1" customHeight="1" spans="5:14">
      <c r="E214" s="27">
        <v>46029</v>
      </c>
      <c r="F214" s="28">
        <v>1568434</v>
      </c>
      <c r="G214" s="29" t="s">
        <v>2</v>
      </c>
      <c r="H214" s="28" t="s">
        <v>21</v>
      </c>
      <c r="I214" s="30" t="s">
        <v>22</v>
      </c>
      <c r="J214" s="28">
        <v>20378486</v>
      </c>
      <c r="K214" s="30" t="s">
        <v>92</v>
      </c>
      <c r="L214" s="31">
        <v>1</v>
      </c>
      <c r="M214" s="32">
        <v>35</v>
      </c>
      <c r="N214" s="32">
        <v>35</v>
      </c>
    </row>
    <row r="215" hidden="1" customHeight="1" spans="5:14">
      <c r="E215" s="27">
        <v>46031</v>
      </c>
      <c r="F215" s="28">
        <v>1569057</v>
      </c>
      <c r="G215" s="29" t="s">
        <v>2</v>
      </c>
      <c r="H215" s="28" t="s">
        <v>21</v>
      </c>
      <c r="I215" s="30" t="s">
        <v>22</v>
      </c>
      <c r="J215" s="28">
        <v>20007873</v>
      </c>
      <c r="K215" s="30" t="s">
        <v>96</v>
      </c>
      <c r="L215" s="31">
        <v>1</v>
      </c>
      <c r="M215" s="32">
        <v>35</v>
      </c>
      <c r="N215" s="32">
        <v>35</v>
      </c>
    </row>
    <row r="216" hidden="1" customHeight="1" spans="5:14">
      <c r="E216" s="27">
        <v>46031</v>
      </c>
      <c r="F216" s="28">
        <v>1569200</v>
      </c>
      <c r="G216" s="29" t="s">
        <v>2</v>
      </c>
      <c r="H216" s="28" t="s">
        <v>21</v>
      </c>
      <c r="I216" s="30" t="s">
        <v>22</v>
      </c>
      <c r="J216" s="28">
        <v>20007873</v>
      </c>
      <c r="K216" s="30" t="s">
        <v>96</v>
      </c>
      <c r="L216" s="31">
        <v>1</v>
      </c>
      <c r="M216" s="32">
        <v>35</v>
      </c>
      <c r="N216" s="32">
        <v>35</v>
      </c>
    </row>
    <row r="217" hidden="1" customHeight="1" spans="5:14">
      <c r="E217" s="27">
        <v>46035</v>
      </c>
      <c r="F217" s="28">
        <v>1569897</v>
      </c>
      <c r="G217" s="29" t="s">
        <v>2</v>
      </c>
      <c r="H217" s="28" t="s">
        <v>21</v>
      </c>
      <c r="I217" s="30" t="s">
        <v>22</v>
      </c>
      <c r="J217" s="28">
        <v>20013871</v>
      </c>
      <c r="K217" s="30" t="s">
        <v>97</v>
      </c>
      <c r="L217" s="31">
        <v>2</v>
      </c>
      <c r="M217" s="32">
        <v>28</v>
      </c>
      <c r="N217" s="32">
        <v>56</v>
      </c>
    </row>
    <row r="218" hidden="1" customHeight="1" spans="5:14">
      <c r="E218" s="27">
        <v>46035</v>
      </c>
      <c r="F218" s="28">
        <v>1569897</v>
      </c>
      <c r="G218" s="29" t="s">
        <v>2</v>
      </c>
      <c r="H218" s="28" t="s">
        <v>21</v>
      </c>
      <c r="I218" s="30" t="s">
        <v>22</v>
      </c>
      <c r="J218" s="28">
        <v>20321303</v>
      </c>
      <c r="K218" s="30" t="s">
        <v>98</v>
      </c>
      <c r="L218" s="31">
        <v>1</v>
      </c>
      <c r="M218" s="32">
        <v>28</v>
      </c>
      <c r="N218" s="32">
        <v>28</v>
      </c>
    </row>
    <row r="219" hidden="1" customHeight="1" spans="5:14">
      <c r="E219" s="27">
        <v>46035</v>
      </c>
      <c r="F219" s="28">
        <v>1569897</v>
      </c>
      <c r="G219" s="29" t="s">
        <v>2</v>
      </c>
      <c r="H219" s="28" t="s">
        <v>21</v>
      </c>
      <c r="I219" s="30" t="s">
        <v>22</v>
      </c>
      <c r="J219" s="28">
        <v>20321301</v>
      </c>
      <c r="K219" s="30" t="s">
        <v>89</v>
      </c>
      <c r="L219" s="31">
        <v>1</v>
      </c>
      <c r="M219" s="32">
        <v>28</v>
      </c>
      <c r="N219" s="32">
        <v>28</v>
      </c>
    </row>
    <row r="220" hidden="1" customHeight="1" spans="5:14">
      <c r="E220" s="27">
        <v>46035</v>
      </c>
      <c r="F220" s="28">
        <v>1569897</v>
      </c>
      <c r="G220" s="29" t="s">
        <v>2</v>
      </c>
      <c r="H220" s="28" t="s">
        <v>21</v>
      </c>
      <c r="I220" s="30" t="s">
        <v>22</v>
      </c>
      <c r="J220" s="28">
        <v>20313088</v>
      </c>
      <c r="K220" s="30" t="s">
        <v>95</v>
      </c>
      <c r="L220" s="31">
        <v>1</v>
      </c>
      <c r="M220" s="32">
        <v>25</v>
      </c>
      <c r="N220" s="32">
        <v>25</v>
      </c>
    </row>
    <row r="221" hidden="1" customHeight="1" spans="5:14">
      <c r="E221" s="27">
        <v>46035</v>
      </c>
      <c r="F221" s="28">
        <v>1569897</v>
      </c>
      <c r="G221" s="29" t="s">
        <v>2</v>
      </c>
      <c r="H221" s="28" t="s">
        <v>21</v>
      </c>
      <c r="I221" s="30" t="s">
        <v>22</v>
      </c>
      <c r="J221" s="28">
        <v>20348482</v>
      </c>
      <c r="K221" s="30" t="s">
        <v>99</v>
      </c>
      <c r="L221" s="31">
        <v>1</v>
      </c>
      <c r="M221" s="32">
        <v>28</v>
      </c>
      <c r="N221" s="32">
        <v>28</v>
      </c>
    </row>
    <row r="222" hidden="1" customHeight="1" spans="5:14">
      <c r="E222" s="27">
        <v>46035</v>
      </c>
      <c r="F222" s="28">
        <v>1569897</v>
      </c>
      <c r="G222" s="29" t="s">
        <v>2</v>
      </c>
      <c r="H222" s="28" t="s">
        <v>21</v>
      </c>
      <c r="I222" s="30" t="s">
        <v>22</v>
      </c>
      <c r="J222" s="28">
        <v>20013869</v>
      </c>
      <c r="K222" s="30" t="s">
        <v>100</v>
      </c>
      <c r="L222" s="31">
        <v>1</v>
      </c>
      <c r="M222" s="32">
        <v>28</v>
      </c>
      <c r="N222" s="32">
        <v>28</v>
      </c>
    </row>
    <row r="223" hidden="1" customHeight="1" spans="5:14">
      <c r="E223" s="27">
        <v>46035</v>
      </c>
      <c r="F223" s="28">
        <v>1569897</v>
      </c>
      <c r="G223" s="29" t="s">
        <v>2</v>
      </c>
      <c r="H223" s="28" t="s">
        <v>21</v>
      </c>
      <c r="I223" s="30" t="s">
        <v>22</v>
      </c>
      <c r="J223" s="28">
        <v>20318020</v>
      </c>
      <c r="K223" s="30" t="s">
        <v>101</v>
      </c>
      <c r="L223" s="31">
        <v>1</v>
      </c>
      <c r="M223" s="32">
        <v>22</v>
      </c>
      <c r="N223" s="32">
        <v>22</v>
      </c>
    </row>
    <row r="224" hidden="1" customHeight="1" spans="5:14">
      <c r="E224" s="27">
        <v>46035</v>
      </c>
      <c r="F224" s="28">
        <v>1569897</v>
      </c>
      <c r="G224" s="29" t="s">
        <v>2</v>
      </c>
      <c r="H224" s="28" t="s">
        <v>21</v>
      </c>
      <c r="I224" s="30" t="s">
        <v>22</v>
      </c>
      <c r="J224" s="28">
        <v>20014242</v>
      </c>
      <c r="K224" s="30" t="s">
        <v>102</v>
      </c>
      <c r="L224" s="31">
        <v>1</v>
      </c>
      <c r="M224" s="32">
        <v>22</v>
      </c>
      <c r="N224" s="32">
        <v>22</v>
      </c>
    </row>
    <row r="225" hidden="1" customHeight="1" spans="5:14">
      <c r="E225" s="27">
        <v>46035</v>
      </c>
      <c r="F225" s="28">
        <v>1569897</v>
      </c>
      <c r="G225" s="29" t="s">
        <v>2</v>
      </c>
      <c r="H225" s="28" t="s">
        <v>21</v>
      </c>
      <c r="I225" s="30" t="s">
        <v>22</v>
      </c>
      <c r="J225" s="28">
        <v>20013480</v>
      </c>
      <c r="K225" s="30" t="s">
        <v>103</v>
      </c>
      <c r="L225" s="31">
        <v>1</v>
      </c>
      <c r="M225" s="32">
        <v>22</v>
      </c>
      <c r="N225" s="32">
        <v>22</v>
      </c>
    </row>
    <row r="226" hidden="1" customHeight="1" spans="5:14">
      <c r="E226" s="27">
        <v>46035</v>
      </c>
      <c r="F226" s="28">
        <v>1569897</v>
      </c>
      <c r="G226" s="29" t="s">
        <v>2</v>
      </c>
      <c r="H226" s="28" t="s">
        <v>21</v>
      </c>
      <c r="I226" s="30" t="s">
        <v>22</v>
      </c>
      <c r="J226" s="28">
        <v>20013477</v>
      </c>
      <c r="K226" s="30" t="s">
        <v>104</v>
      </c>
      <c r="L226" s="31">
        <v>1</v>
      </c>
      <c r="M226" s="32">
        <v>35</v>
      </c>
      <c r="N226" s="32">
        <v>35</v>
      </c>
    </row>
    <row r="227" hidden="1" customHeight="1" spans="5:14">
      <c r="E227" s="27">
        <v>46035</v>
      </c>
      <c r="F227" s="28">
        <v>1569897</v>
      </c>
      <c r="G227" s="29" t="s">
        <v>2</v>
      </c>
      <c r="H227" s="28" t="s">
        <v>21</v>
      </c>
      <c r="I227" s="30" t="s">
        <v>22</v>
      </c>
      <c r="J227" s="28">
        <v>20321304</v>
      </c>
      <c r="K227" s="30" t="s">
        <v>105</v>
      </c>
      <c r="L227" s="31">
        <v>1</v>
      </c>
      <c r="M227" s="32">
        <v>25</v>
      </c>
      <c r="N227" s="32">
        <v>25</v>
      </c>
    </row>
    <row r="228" hidden="1" customHeight="1" spans="5:14">
      <c r="E228" s="27">
        <v>46035</v>
      </c>
      <c r="F228" s="28">
        <v>1569897</v>
      </c>
      <c r="G228" s="29" t="s">
        <v>2</v>
      </c>
      <c r="H228" s="28" t="s">
        <v>21</v>
      </c>
      <c r="I228" s="30" t="s">
        <v>22</v>
      </c>
      <c r="J228" s="28">
        <v>20313086</v>
      </c>
      <c r="K228" s="30" t="s">
        <v>106</v>
      </c>
      <c r="L228" s="31">
        <v>1</v>
      </c>
      <c r="M228" s="32">
        <v>25</v>
      </c>
      <c r="N228" s="32">
        <v>25</v>
      </c>
    </row>
    <row r="229" hidden="1" customHeight="1" spans="5:14">
      <c r="E229" s="27">
        <v>46035</v>
      </c>
      <c r="F229" s="28">
        <v>1569897</v>
      </c>
      <c r="G229" s="29" t="s">
        <v>2</v>
      </c>
      <c r="H229" s="28" t="s">
        <v>21</v>
      </c>
      <c r="I229" s="30" t="s">
        <v>22</v>
      </c>
      <c r="J229" s="28">
        <v>20013489</v>
      </c>
      <c r="K229" s="30" t="s">
        <v>107</v>
      </c>
      <c r="L229" s="31">
        <v>1</v>
      </c>
      <c r="M229" s="32">
        <v>35</v>
      </c>
      <c r="N229" s="32">
        <v>35</v>
      </c>
    </row>
    <row r="230" hidden="1" customHeight="1" spans="5:14">
      <c r="E230" s="27">
        <v>46035</v>
      </c>
      <c r="F230" s="28">
        <v>1569897</v>
      </c>
      <c r="G230" s="29" t="s">
        <v>2</v>
      </c>
      <c r="H230" s="28" t="s">
        <v>21</v>
      </c>
      <c r="I230" s="30" t="s">
        <v>22</v>
      </c>
      <c r="J230" s="28">
        <v>20007873</v>
      </c>
      <c r="K230" s="30" t="s">
        <v>96</v>
      </c>
      <c r="L230" s="31">
        <v>2</v>
      </c>
      <c r="M230" s="32">
        <v>35</v>
      </c>
      <c r="N230" s="32">
        <v>70</v>
      </c>
    </row>
    <row r="231" hidden="1" customHeight="1" spans="5:14">
      <c r="E231" s="27">
        <v>46035</v>
      </c>
      <c r="F231" s="28">
        <v>1569897</v>
      </c>
      <c r="G231" s="29" t="s">
        <v>2</v>
      </c>
      <c r="H231" s="28" t="s">
        <v>21</v>
      </c>
      <c r="I231" s="30" t="s">
        <v>22</v>
      </c>
      <c r="J231" s="28">
        <v>20407203</v>
      </c>
      <c r="K231" s="30" t="s">
        <v>108</v>
      </c>
      <c r="L231" s="31">
        <v>1</v>
      </c>
      <c r="M231" s="32">
        <v>25</v>
      </c>
      <c r="N231" s="32">
        <v>25</v>
      </c>
    </row>
    <row r="232" hidden="1" customHeight="1" spans="5:14">
      <c r="E232" s="27">
        <v>46035</v>
      </c>
      <c r="F232" s="28">
        <v>1570069</v>
      </c>
      <c r="G232" s="29" t="s">
        <v>2</v>
      </c>
      <c r="H232" s="28" t="s">
        <v>21</v>
      </c>
      <c r="I232" s="30" t="s">
        <v>22</v>
      </c>
      <c r="J232" s="28">
        <v>20013871</v>
      </c>
      <c r="K232" s="30" t="s">
        <v>97</v>
      </c>
      <c r="L232" s="31">
        <v>1</v>
      </c>
      <c r="M232" s="32">
        <v>28</v>
      </c>
      <c r="N232" s="32">
        <v>28</v>
      </c>
    </row>
    <row r="233" hidden="1" customHeight="1" spans="5:14">
      <c r="E233" s="27">
        <v>46035</v>
      </c>
      <c r="F233" s="28">
        <v>1570069</v>
      </c>
      <c r="G233" s="29" t="s">
        <v>2</v>
      </c>
      <c r="H233" s="28" t="s">
        <v>21</v>
      </c>
      <c r="I233" s="30" t="s">
        <v>22</v>
      </c>
      <c r="J233" s="28">
        <v>20312689</v>
      </c>
      <c r="K233" s="30" t="s">
        <v>109</v>
      </c>
      <c r="L233" s="31">
        <v>1</v>
      </c>
      <c r="M233" s="32">
        <v>25</v>
      </c>
      <c r="N233" s="32">
        <v>25</v>
      </c>
    </row>
    <row r="234" hidden="1" customHeight="1" spans="5:14">
      <c r="E234" s="27">
        <v>46035</v>
      </c>
      <c r="F234" s="28">
        <v>1570069</v>
      </c>
      <c r="G234" s="29" t="s">
        <v>2</v>
      </c>
      <c r="H234" s="28" t="s">
        <v>21</v>
      </c>
      <c r="I234" s="30" t="s">
        <v>22</v>
      </c>
      <c r="J234" s="28">
        <v>20318020</v>
      </c>
      <c r="K234" s="30" t="s">
        <v>101</v>
      </c>
      <c r="L234" s="31">
        <v>1</v>
      </c>
      <c r="M234" s="32">
        <v>22</v>
      </c>
      <c r="N234" s="32">
        <v>22</v>
      </c>
    </row>
    <row r="235" hidden="1" customHeight="1" spans="5:14">
      <c r="E235" s="27">
        <v>46035</v>
      </c>
      <c r="F235" s="28">
        <v>1570069</v>
      </c>
      <c r="G235" s="29" t="s">
        <v>2</v>
      </c>
      <c r="H235" s="28" t="s">
        <v>21</v>
      </c>
      <c r="I235" s="30" t="s">
        <v>22</v>
      </c>
      <c r="J235" s="28">
        <v>20013477</v>
      </c>
      <c r="K235" s="30" t="s">
        <v>104</v>
      </c>
      <c r="L235" s="31">
        <v>1</v>
      </c>
      <c r="M235" s="32">
        <v>35</v>
      </c>
      <c r="N235" s="32">
        <v>35</v>
      </c>
    </row>
    <row r="236" hidden="1" customHeight="1" spans="5:14">
      <c r="E236" s="27">
        <v>46035</v>
      </c>
      <c r="F236" s="28">
        <v>1570069</v>
      </c>
      <c r="G236" s="29" t="s">
        <v>2</v>
      </c>
      <c r="H236" s="28" t="s">
        <v>21</v>
      </c>
      <c r="I236" s="30" t="s">
        <v>22</v>
      </c>
      <c r="J236" s="28">
        <v>20407203</v>
      </c>
      <c r="K236" s="30" t="s">
        <v>108</v>
      </c>
      <c r="L236" s="31">
        <v>1</v>
      </c>
      <c r="M236" s="32">
        <v>25</v>
      </c>
      <c r="N236" s="32">
        <v>25</v>
      </c>
    </row>
    <row r="237" customHeight="1" spans="5:14">
      <c r="E237" s="27">
        <v>46039</v>
      </c>
      <c r="F237" s="28">
        <v>1571341</v>
      </c>
      <c r="G237" s="29" t="s">
        <v>2</v>
      </c>
      <c r="H237" s="28" t="s">
        <v>21</v>
      </c>
      <c r="I237" s="30" t="s">
        <v>22</v>
      </c>
      <c r="J237" s="28">
        <v>20352828</v>
      </c>
      <c r="K237" s="30" t="s">
        <v>110</v>
      </c>
      <c r="L237" s="31">
        <v>1</v>
      </c>
      <c r="M237" s="32">
        <v>35</v>
      </c>
      <c r="N237" s="32">
        <v>35</v>
      </c>
    </row>
    <row r="238" customHeight="1" spans="5:14">
      <c r="E238" s="27">
        <v>46039</v>
      </c>
      <c r="F238" s="28">
        <v>1571341</v>
      </c>
      <c r="G238" s="29" t="s">
        <v>2</v>
      </c>
      <c r="H238" s="28" t="s">
        <v>21</v>
      </c>
      <c r="I238" s="30" t="s">
        <v>22</v>
      </c>
      <c r="J238" s="28">
        <v>20007873</v>
      </c>
      <c r="K238" s="30" t="s">
        <v>96</v>
      </c>
      <c r="L238" s="31">
        <v>1</v>
      </c>
      <c r="M238" s="32">
        <v>35</v>
      </c>
      <c r="N238" s="32">
        <v>35</v>
      </c>
    </row>
    <row r="239" hidden="1" customHeight="1" spans="5:14">
      <c r="E239" s="27">
        <v>46043</v>
      </c>
      <c r="F239" s="28">
        <v>1572350</v>
      </c>
      <c r="G239" s="29" t="s">
        <v>2</v>
      </c>
      <c r="H239" s="28" t="s">
        <v>21</v>
      </c>
      <c r="I239" s="30" t="s">
        <v>22</v>
      </c>
      <c r="J239" s="28">
        <v>20007873</v>
      </c>
      <c r="K239" s="30" t="s">
        <v>96</v>
      </c>
      <c r="L239" s="31">
        <v>1</v>
      </c>
      <c r="M239" s="32">
        <v>35</v>
      </c>
      <c r="N239" s="32">
        <v>35</v>
      </c>
    </row>
    <row r="240" hidden="1" customHeight="1" spans="5:14">
      <c r="E240" s="27">
        <v>46045</v>
      </c>
      <c r="F240" s="28">
        <v>1573104</v>
      </c>
      <c r="G240" s="29" t="s">
        <v>2</v>
      </c>
      <c r="H240" s="28" t="s">
        <v>21</v>
      </c>
      <c r="I240" s="30" t="s">
        <v>22</v>
      </c>
      <c r="J240" s="28">
        <v>20013869</v>
      </c>
      <c r="K240" s="30" t="s">
        <v>100</v>
      </c>
      <c r="L240" s="31">
        <v>1</v>
      </c>
      <c r="M240" s="32">
        <v>28</v>
      </c>
      <c r="N240" s="32">
        <v>28</v>
      </c>
    </row>
    <row r="241" hidden="1" spans="4:16">
      <c r="E241" s="14" t="s">
        <v>2</v>
      </c>
      <c r="F241" s="14" t="s">
        <v>2</v>
      </c>
      <c r="H241" s="14" t="s">
        <v>2</v>
      </c>
      <c r="I241" s="5" t="s">
        <v>2</v>
      </c>
      <c r="J241" s="14" t="s">
        <v>2</v>
      </c>
      <c r="K241" s="5" t="s">
        <v>2</v>
      </c>
      <c r="L241" s="26" t="s">
        <v>2</v>
      </c>
      <c r="M241" s="26" t="s">
        <v>2</v>
      </c>
      <c r="N241" s="26" t="s">
        <v>2</v>
      </c>
    </row>
    <row r="242" ht="14.25" hidden="1" spans="4:16">
      <c r="D242" s="14" t="s">
        <v>2</v>
      </c>
      <c r="E242" s="15" t="s">
        <v>15</v>
      </c>
      <c r="F242" s="8" t="s">
        <v>2</v>
      </c>
      <c r="G242" s="8" t="s">
        <v>2</v>
      </c>
      <c r="H242" s="16" t="s">
        <v>2</v>
      </c>
      <c r="I242" s="17" t="s">
        <v>2</v>
      </c>
      <c r="J242" s="16" t="s">
        <v>2</v>
      </c>
      <c r="K242" s="17" t="s">
        <v>2</v>
      </c>
      <c r="L242" s="18">
        <v>54</v>
      </c>
      <c r="M242" s="18" t="s">
        <v>2</v>
      </c>
      <c r="N242" s="18">
        <v>3851</v>
      </c>
    </row>
    <row r="243" hidden="1" spans="4:16">
      <c r="E243" s="27">
        <v>46027</v>
      </c>
      <c r="F243" s="28">
        <v>1567794</v>
      </c>
      <c r="G243" s="29" t="s">
        <v>2</v>
      </c>
      <c r="H243" s="28" t="s">
        <v>16</v>
      </c>
      <c r="I243" s="30" t="s">
        <v>17</v>
      </c>
      <c r="J243" s="28">
        <v>20002375</v>
      </c>
      <c r="K243" s="30" t="s">
        <v>111</v>
      </c>
      <c r="L243" s="31">
        <v>1</v>
      </c>
      <c r="M243" s="32">
        <v>38.5</v>
      </c>
      <c r="N243" s="32">
        <v>38.5</v>
      </c>
      <c r="O243">
        <v>3767.5</v>
      </c>
    </row>
    <row r="244" hidden="1" spans="4:16">
      <c r="E244" s="27">
        <v>46027</v>
      </c>
      <c r="F244" s="28">
        <v>1567794</v>
      </c>
      <c r="G244" s="29" t="s">
        <v>2</v>
      </c>
      <c r="H244" s="28" t="s">
        <v>21</v>
      </c>
      <c r="I244" s="30" t="s">
        <v>33</v>
      </c>
      <c r="J244" s="28">
        <v>20358567</v>
      </c>
      <c r="K244" s="30" t="s">
        <v>112</v>
      </c>
      <c r="L244" s="31">
        <v>1</v>
      </c>
      <c r="M244" s="32">
        <v>13.5</v>
      </c>
      <c r="N244" s="32">
        <v>13.5</v>
      </c>
    </row>
    <row r="245" hidden="1" spans="4:16">
      <c r="E245" s="27">
        <v>46027</v>
      </c>
      <c r="F245" s="28">
        <v>1567794</v>
      </c>
      <c r="G245" s="29" t="s">
        <v>2</v>
      </c>
      <c r="H245" s="28" t="s">
        <v>16</v>
      </c>
      <c r="I245" s="30" t="s">
        <v>16</v>
      </c>
      <c r="J245" s="28">
        <v>20003239</v>
      </c>
      <c r="K245" s="30" t="s">
        <v>113</v>
      </c>
      <c r="L245" s="31">
        <v>1</v>
      </c>
      <c r="M245" s="32">
        <v>99</v>
      </c>
      <c r="N245" s="32">
        <v>99</v>
      </c>
      <c r="O245" s="25">
        <f>O243/5.5</f>
        <v>685</v>
      </c>
      <c r="P245">
        <f>O245-675</f>
        <v>10</v>
      </c>
    </row>
    <row r="246" hidden="1" spans="4:16">
      <c r="E246" s="27">
        <v>46028</v>
      </c>
      <c r="F246" s="28">
        <v>1568134</v>
      </c>
      <c r="G246" s="29" t="s">
        <v>2</v>
      </c>
      <c r="H246" s="28" t="s">
        <v>21</v>
      </c>
      <c r="I246" s="30" t="s">
        <v>33</v>
      </c>
      <c r="J246" s="28">
        <v>20005052</v>
      </c>
      <c r="K246" s="30" t="s">
        <v>114</v>
      </c>
      <c r="L246" s="31">
        <v>1</v>
      </c>
      <c r="M246" s="32">
        <v>8</v>
      </c>
      <c r="N246" s="32">
        <v>8</v>
      </c>
    </row>
    <row r="247" hidden="1" spans="4:16">
      <c r="E247" s="27">
        <v>46028</v>
      </c>
      <c r="F247" s="28">
        <v>1568134</v>
      </c>
      <c r="G247" s="29" t="s">
        <v>2</v>
      </c>
      <c r="H247" s="28" t="s">
        <v>21</v>
      </c>
      <c r="I247" s="30" t="s">
        <v>33</v>
      </c>
      <c r="J247" s="28">
        <v>20365183</v>
      </c>
      <c r="K247" s="30" t="s">
        <v>115</v>
      </c>
      <c r="L247" s="31">
        <v>1</v>
      </c>
      <c r="M247" s="32">
        <v>13.5</v>
      </c>
      <c r="N247" s="32">
        <v>13.5</v>
      </c>
    </row>
    <row r="248" hidden="1" spans="4:16">
      <c r="E248" s="27">
        <v>46028</v>
      </c>
      <c r="F248" s="28">
        <v>1568134</v>
      </c>
      <c r="G248" s="29" t="s">
        <v>2</v>
      </c>
      <c r="H248" s="28" t="s">
        <v>16</v>
      </c>
      <c r="I248" s="30" t="s">
        <v>16</v>
      </c>
      <c r="J248" s="28">
        <v>20003239</v>
      </c>
      <c r="K248" s="30" t="s">
        <v>113</v>
      </c>
      <c r="L248" s="31">
        <v>2</v>
      </c>
      <c r="M248" s="32">
        <v>99</v>
      </c>
      <c r="N248" s="32">
        <v>198</v>
      </c>
      <c r="O248">
        <f>675/15</f>
        <v>45</v>
      </c>
    </row>
    <row r="249" hidden="1" spans="4:16">
      <c r="E249" s="27">
        <v>46029</v>
      </c>
      <c r="F249" s="28">
        <v>1568473</v>
      </c>
      <c r="G249" s="29" t="s">
        <v>2</v>
      </c>
      <c r="H249" s="28" t="s">
        <v>16</v>
      </c>
      <c r="I249" s="30" t="s">
        <v>17</v>
      </c>
      <c r="J249" s="28">
        <v>20002375</v>
      </c>
      <c r="K249" s="30" t="s">
        <v>111</v>
      </c>
      <c r="L249" s="31">
        <v>1</v>
      </c>
      <c r="M249" s="32">
        <v>38.5</v>
      </c>
      <c r="N249" s="32">
        <v>38.5</v>
      </c>
      <c r="O249" s="25">
        <f>O248*10+P245</f>
        <v>460</v>
      </c>
    </row>
    <row r="250" hidden="1" spans="4:16">
      <c r="E250" s="27">
        <v>46029</v>
      </c>
      <c r="F250" s="28">
        <v>1568473</v>
      </c>
      <c r="G250" s="29" t="s">
        <v>2</v>
      </c>
      <c r="H250" s="28" t="s">
        <v>16</v>
      </c>
      <c r="I250" s="30" t="s">
        <v>16</v>
      </c>
      <c r="J250" s="28">
        <v>20003772</v>
      </c>
      <c r="K250" s="30" t="s">
        <v>116</v>
      </c>
      <c r="L250" s="31">
        <v>1</v>
      </c>
      <c r="M250" s="32">
        <v>66</v>
      </c>
      <c r="N250" s="32">
        <v>66</v>
      </c>
      <c r="O250" s="25">
        <f>O249*5.5</f>
        <v>2530</v>
      </c>
    </row>
    <row r="251" hidden="1" spans="4:16">
      <c r="E251" s="27">
        <v>46029</v>
      </c>
      <c r="F251" s="28">
        <v>1568473</v>
      </c>
      <c r="G251" s="29" t="s">
        <v>2</v>
      </c>
      <c r="H251" s="28" t="s">
        <v>16</v>
      </c>
      <c r="I251" s="30" t="s">
        <v>16</v>
      </c>
      <c r="J251" s="28">
        <v>20008595</v>
      </c>
      <c r="K251" s="30" t="s">
        <v>117</v>
      </c>
      <c r="L251" s="31">
        <v>2</v>
      </c>
      <c r="M251" s="32">
        <v>165</v>
      </c>
      <c r="N251" s="32">
        <v>330</v>
      </c>
    </row>
    <row r="252" hidden="1" spans="4:16">
      <c r="E252" s="27">
        <v>46029</v>
      </c>
      <c r="F252" s="28">
        <v>1568583</v>
      </c>
      <c r="G252" s="29" t="s">
        <v>2</v>
      </c>
      <c r="H252" s="28" t="s">
        <v>21</v>
      </c>
      <c r="I252" s="30" t="s">
        <v>33</v>
      </c>
      <c r="J252" s="28">
        <v>20334054</v>
      </c>
      <c r="K252" s="30" t="s">
        <v>118</v>
      </c>
      <c r="L252" s="31">
        <v>1</v>
      </c>
      <c r="M252" s="32">
        <v>8</v>
      </c>
      <c r="N252" s="32">
        <v>8</v>
      </c>
    </row>
    <row r="253" hidden="1" spans="4:16">
      <c r="E253" s="27">
        <v>46029</v>
      </c>
      <c r="F253" s="28">
        <v>1568583</v>
      </c>
      <c r="G253" s="29" t="s">
        <v>2</v>
      </c>
      <c r="H253" s="28" t="s">
        <v>60</v>
      </c>
      <c r="I253" s="30" t="s">
        <v>60</v>
      </c>
      <c r="J253" s="28">
        <v>20007870</v>
      </c>
      <c r="K253" s="30" t="s">
        <v>119</v>
      </c>
      <c r="L253" s="31">
        <v>1</v>
      </c>
      <c r="M253" s="32">
        <v>16.5</v>
      </c>
      <c r="N253" s="32">
        <v>16.5</v>
      </c>
    </row>
    <row r="254" hidden="1" spans="4:16">
      <c r="E254" s="27">
        <v>46030</v>
      </c>
      <c r="F254" s="28">
        <v>1568874</v>
      </c>
      <c r="G254" s="29" t="s">
        <v>2</v>
      </c>
      <c r="H254" s="28" t="s">
        <v>16</v>
      </c>
      <c r="I254" s="30" t="s">
        <v>16</v>
      </c>
      <c r="J254" s="28">
        <v>20014618</v>
      </c>
      <c r="K254" s="30" t="s">
        <v>120</v>
      </c>
      <c r="L254" s="31">
        <v>1</v>
      </c>
      <c r="M254" s="32">
        <v>170.5</v>
      </c>
      <c r="N254" s="32">
        <v>170.5</v>
      </c>
    </row>
    <row r="255" hidden="1" spans="4:16">
      <c r="E255" s="27">
        <v>46030</v>
      </c>
      <c r="F255" s="28">
        <v>1568874</v>
      </c>
      <c r="G255" s="29" t="s">
        <v>2</v>
      </c>
      <c r="H255" s="28" t="s">
        <v>16</v>
      </c>
      <c r="I255" s="30" t="s">
        <v>16</v>
      </c>
      <c r="J255" s="28">
        <v>20003239</v>
      </c>
      <c r="K255" s="30" t="s">
        <v>113</v>
      </c>
      <c r="L255" s="31">
        <v>2</v>
      </c>
      <c r="M255" s="32">
        <v>99</v>
      </c>
      <c r="N255" s="32">
        <v>198</v>
      </c>
    </row>
    <row r="256" hidden="1" spans="4:16">
      <c r="E256" s="27">
        <v>46031</v>
      </c>
      <c r="F256" s="28">
        <v>1569221</v>
      </c>
      <c r="G256" s="29" t="s">
        <v>2</v>
      </c>
      <c r="H256" s="28" t="s">
        <v>16</v>
      </c>
      <c r="I256" s="30" t="s">
        <v>16</v>
      </c>
      <c r="J256" s="28">
        <v>20008595</v>
      </c>
      <c r="K256" s="30" t="s">
        <v>117</v>
      </c>
      <c r="L256" s="31">
        <v>1</v>
      </c>
      <c r="M256" s="32">
        <v>165</v>
      </c>
      <c r="N256" s="32">
        <v>165</v>
      </c>
    </row>
    <row r="257" hidden="1" spans="5:14">
      <c r="E257" s="27">
        <v>46034</v>
      </c>
      <c r="F257" s="28">
        <v>1569691</v>
      </c>
      <c r="G257" s="29" t="s">
        <v>2</v>
      </c>
      <c r="H257" s="28" t="s">
        <v>21</v>
      </c>
      <c r="I257" s="30" t="s">
        <v>33</v>
      </c>
      <c r="J257" s="28">
        <v>20007889</v>
      </c>
      <c r="K257" s="30" t="s">
        <v>121</v>
      </c>
      <c r="L257" s="31">
        <v>1</v>
      </c>
      <c r="M257" s="32">
        <v>16.5</v>
      </c>
      <c r="N257" s="32">
        <v>16.5</v>
      </c>
    </row>
    <row r="258" hidden="1" spans="5:14">
      <c r="E258" s="27">
        <v>46034</v>
      </c>
      <c r="F258" s="28">
        <v>1569691</v>
      </c>
      <c r="G258" s="29" t="s">
        <v>2</v>
      </c>
      <c r="H258" s="28" t="s">
        <v>16</v>
      </c>
      <c r="I258" s="30" t="s">
        <v>16</v>
      </c>
      <c r="J258" s="28">
        <v>20003239</v>
      </c>
      <c r="K258" s="30" t="s">
        <v>113</v>
      </c>
      <c r="L258" s="31">
        <v>1</v>
      </c>
      <c r="M258" s="32">
        <v>99</v>
      </c>
      <c r="N258" s="32">
        <v>99</v>
      </c>
    </row>
    <row r="259" hidden="1" spans="5:14">
      <c r="E259" s="27">
        <v>46034</v>
      </c>
      <c r="F259" s="28">
        <v>1569691</v>
      </c>
      <c r="G259" s="29" t="s">
        <v>2</v>
      </c>
      <c r="H259" s="28" t="s">
        <v>16</v>
      </c>
      <c r="I259" s="30" t="s">
        <v>16</v>
      </c>
      <c r="J259" s="28">
        <v>20005257</v>
      </c>
      <c r="K259" s="30" t="s">
        <v>122</v>
      </c>
      <c r="L259" s="31">
        <v>1</v>
      </c>
      <c r="M259" s="32">
        <v>154</v>
      </c>
      <c r="N259" s="32">
        <v>154</v>
      </c>
    </row>
    <row r="260" hidden="1" spans="5:14">
      <c r="E260" s="27">
        <v>46035</v>
      </c>
      <c r="F260" s="28">
        <v>1570113</v>
      </c>
      <c r="G260" s="29" t="s">
        <v>2</v>
      </c>
      <c r="H260" s="28" t="s">
        <v>21</v>
      </c>
      <c r="I260" s="30" t="s">
        <v>33</v>
      </c>
      <c r="J260" s="28">
        <v>20005052</v>
      </c>
      <c r="K260" s="30" t="s">
        <v>114</v>
      </c>
      <c r="L260" s="31">
        <v>1</v>
      </c>
      <c r="M260" s="32">
        <v>8</v>
      </c>
      <c r="N260" s="32">
        <v>8</v>
      </c>
    </row>
    <row r="261" hidden="1" spans="5:14">
      <c r="E261" s="27">
        <v>46035</v>
      </c>
      <c r="F261" s="28">
        <v>1570113</v>
      </c>
      <c r="G261" s="29" t="s">
        <v>2</v>
      </c>
      <c r="H261" s="28" t="s">
        <v>21</v>
      </c>
      <c r="I261" s="30" t="s">
        <v>33</v>
      </c>
      <c r="J261" s="28">
        <v>20007888</v>
      </c>
      <c r="K261" s="30" t="s">
        <v>123</v>
      </c>
      <c r="L261" s="31">
        <v>1</v>
      </c>
      <c r="M261" s="32">
        <v>22</v>
      </c>
      <c r="N261" s="32">
        <v>22</v>
      </c>
    </row>
    <row r="262" hidden="1" spans="5:14">
      <c r="E262" s="27">
        <v>46035</v>
      </c>
      <c r="F262" s="28">
        <v>1570113</v>
      </c>
      <c r="G262" s="29" t="s">
        <v>2</v>
      </c>
      <c r="H262" s="28" t="s">
        <v>16</v>
      </c>
      <c r="I262" s="30" t="s">
        <v>17</v>
      </c>
      <c r="J262" s="28">
        <v>20002375</v>
      </c>
      <c r="K262" s="30" t="s">
        <v>111</v>
      </c>
      <c r="L262" s="31">
        <v>1</v>
      </c>
      <c r="M262" s="32">
        <v>38.5</v>
      </c>
      <c r="N262" s="32">
        <v>38.5</v>
      </c>
    </row>
    <row r="263" hidden="1" spans="5:14">
      <c r="E263" s="27">
        <v>46035</v>
      </c>
      <c r="F263" s="28">
        <v>1570113</v>
      </c>
      <c r="G263" s="29" t="s">
        <v>2</v>
      </c>
      <c r="H263" s="28" t="s">
        <v>21</v>
      </c>
      <c r="I263" s="30" t="s">
        <v>30</v>
      </c>
      <c r="J263" s="28">
        <v>20360900</v>
      </c>
      <c r="K263" s="30" t="s">
        <v>124</v>
      </c>
      <c r="L263" s="31">
        <v>1</v>
      </c>
      <c r="M263" s="32">
        <v>27.5</v>
      </c>
      <c r="N263" s="32">
        <v>27.5</v>
      </c>
    </row>
    <row r="264" hidden="1" spans="5:14">
      <c r="E264" s="27">
        <v>46035</v>
      </c>
      <c r="F264" s="28">
        <v>1570113</v>
      </c>
      <c r="G264" s="29" t="s">
        <v>2</v>
      </c>
      <c r="H264" s="28" t="s">
        <v>60</v>
      </c>
      <c r="I264" s="30" t="s">
        <v>60</v>
      </c>
      <c r="J264" s="28">
        <v>20371395</v>
      </c>
      <c r="K264" s="30" t="s">
        <v>125</v>
      </c>
      <c r="L264" s="31">
        <v>1</v>
      </c>
      <c r="M264" s="32">
        <v>28</v>
      </c>
      <c r="N264" s="32">
        <v>28</v>
      </c>
    </row>
    <row r="265" hidden="1" spans="5:14">
      <c r="E265" s="27">
        <v>46036</v>
      </c>
      <c r="F265" s="28">
        <v>1570431</v>
      </c>
      <c r="G265" s="29" t="s">
        <v>2</v>
      </c>
      <c r="H265" s="28" t="s">
        <v>21</v>
      </c>
      <c r="I265" s="30" t="s">
        <v>33</v>
      </c>
      <c r="J265" s="28">
        <v>20008408</v>
      </c>
      <c r="K265" s="30" t="s">
        <v>44</v>
      </c>
      <c r="L265" s="31">
        <v>1</v>
      </c>
      <c r="M265" s="32">
        <v>8</v>
      </c>
      <c r="N265" s="32">
        <v>8</v>
      </c>
    </row>
    <row r="266" hidden="1" spans="5:14">
      <c r="E266" s="27">
        <v>46036</v>
      </c>
      <c r="F266" s="28">
        <v>1570431</v>
      </c>
      <c r="G266" s="29" t="s">
        <v>2</v>
      </c>
      <c r="H266" s="28" t="s">
        <v>16</v>
      </c>
      <c r="I266" s="30" t="s">
        <v>17</v>
      </c>
      <c r="J266" s="28">
        <v>20002375</v>
      </c>
      <c r="K266" s="30" t="s">
        <v>111</v>
      </c>
      <c r="L266" s="31">
        <v>2</v>
      </c>
      <c r="M266" s="32">
        <v>38.5</v>
      </c>
      <c r="N266" s="32">
        <v>77</v>
      </c>
    </row>
    <row r="267" hidden="1" spans="5:14">
      <c r="E267" s="27">
        <v>46036</v>
      </c>
      <c r="F267" s="28">
        <v>1570431</v>
      </c>
      <c r="G267" s="29" t="s">
        <v>2</v>
      </c>
      <c r="H267" s="28" t="s">
        <v>16</v>
      </c>
      <c r="I267" s="30" t="s">
        <v>16</v>
      </c>
      <c r="J267" s="28">
        <v>20003239</v>
      </c>
      <c r="K267" s="30" t="s">
        <v>113</v>
      </c>
      <c r="L267" s="31">
        <v>2</v>
      </c>
      <c r="M267" s="32">
        <v>99</v>
      </c>
      <c r="N267" s="32">
        <v>198</v>
      </c>
    </row>
    <row r="268" hidden="1" spans="5:14">
      <c r="E268" s="27">
        <v>46036</v>
      </c>
      <c r="F268" s="28">
        <v>1570431</v>
      </c>
      <c r="G268" s="29" t="s">
        <v>2</v>
      </c>
      <c r="H268" s="28" t="s">
        <v>16</v>
      </c>
      <c r="I268" s="30" t="s">
        <v>16</v>
      </c>
      <c r="J268" s="28">
        <v>20003772</v>
      </c>
      <c r="K268" s="30" t="s">
        <v>116</v>
      </c>
      <c r="L268" s="31">
        <v>1</v>
      </c>
      <c r="M268" s="32">
        <v>66</v>
      </c>
      <c r="N268" s="32">
        <v>66</v>
      </c>
    </row>
    <row r="269" hidden="1" spans="5:14">
      <c r="E269" s="27">
        <v>46036</v>
      </c>
      <c r="F269" s="28">
        <v>1570431</v>
      </c>
      <c r="G269" s="29" t="s">
        <v>2</v>
      </c>
      <c r="H269" s="28" t="s">
        <v>16</v>
      </c>
      <c r="I269" s="30" t="s">
        <v>16</v>
      </c>
      <c r="J269" s="28">
        <v>20008595</v>
      </c>
      <c r="K269" s="30" t="s">
        <v>117</v>
      </c>
      <c r="L269" s="31">
        <v>2</v>
      </c>
      <c r="M269" s="32">
        <v>165</v>
      </c>
      <c r="N269" s="32">
        <v>330</v>
      </c>
    </row>
    <row r="270" hidden="1" spans="5:14">
      <c r="E270" s="27">
        <v>46037</v>
      </c>
      <c r="F270" s="28">
        <v>1570842</v>
      </c>
      <c r="G270" s="29" t="s">
        <v>2</v>
      </c>
      <c r="H270" s="28" t="s">
        <v>16</v>
      </c>
      <c r="I270" s="30" t="s">
        <v>17</v>
      </c>
      <c r="J270" s="28">
        <v>20002375</v>
      </c>
      <c r="K270" s="30" t="s">
        <v>111</v>
      </c>
      <c r="L270" s="31">
        <v>1</v>
      </c>
      <c r="M270" s="32">
        <v>38.5</v>
      </c>
      <c r="N270" s="32">
        <v>38.5</v>
      </c>
    </row>
    <row r="271" hidden="1" spans="5:14">
      <c r="E271" s="27">
        <v>46037</v>
      </c>
      <c r="F271" s="28">
        <v>1570842</v>
      </c>
      <c r="G271" s="29" t="s">
        <v>2</v>
      </c>
      <c r="H271" s="28" t="s">
        <v>16</v>
      </c>
      <c r="I271" s="30" t="s">
        <v>16</v>
      </c>
      <c r="J271" s="28">
        <v>20003239</v>
      </c>
      <c r="K271" s="30" t="s">
        <v>113</v>
      </c>
      <c r="L271" s="31">
        <v>1</v>
      </c>
      <c r="M271" s="32">
        <v>99</v>
      </c>
      <c r="N271" s="32">
        <v>99</v>
      </c>
    </row>
    <row r="272" hidden="1" spans="5:14">
      <c r="E272" s="27">
        <v>46038</v>
      </c>
      <c r="F272" s="28">
        <v>1571169</v>
      </c>
      <c r="G272" s="29" t="s">
        <v>2</v>
      </c>
      <c r="H272" s="28" t="s">
        <v>16</v>
      </c>
      <c r="I272" s="30" t="s">
        <v>17</v>
      </c>
      <c r="J272" s="28">
        <v>20002375</v>
      </c>
      <c r="K272" s="30" t="s">
        <v>111</v>
      </c>
      <c r="L272" s="31">
        <v>1</v>
      </c>
      <c r="M272" s="32">
        <v>38.5</v>
      </c>
      <c r="N272" s="32">
        <v>38.5</v>
      </c>
    </row>
    <row r="273" hidden="1" spans="5:14">
      <c r="E273" s="27">
        <v>46041</v>
      </c>
      <c r="F273" s="28">
        <v>1571682</v>
      </c>
      <c r="G273" s="29" t="s">
        <v>2</v>
      </c>
      <c r="H273" s="28" t="s">
        <v>16</v>
      </c>
      <c r="I273" s="30" t="s">
        <v>16</v>
      </c>
      <c r="J273" s="28">
        <v>20003772</v>
      </c>
      <c r="K273" s="30" t="s">
        <v>116</v>
      </c>
      <c r="L273" s="31">
        <v>2</v>
      </c>
      <c r="M273" s="32">
        <v>66</v>
      </c>
      <c r="N273" s="32">
        <v>132</v>
      </c>
    </row>
    <row r="274" hidden="1" spans="5:14">
      <c r="E274" s="27">
        <v>46041</v>
      </c>
      <c r="F274" s="28">
        <v>1571682</v>
      </c>
      <c r="G274" s="29" t="s">
        <v>2</v>
      </c>
      <c r="H274" s="28" t="s">
        <v>16</v>
      </c>
      <c r="I274" s="30" t="s">
        <v>16</v>
      </c>
      <c r="J274" s="28">
        <v>20003670</v>
      </c>
      <c r="K274" s="30" t="s">
        <v>126</v>
      </c>
      <c r="L274" s="31">
        <v>1</v>
      </c>
      <c r="M274" s="32">
        <v>269.5</v>
      </c>
      <c r="N274" s="32">
        <v>269.5</v>
      </c>
    </row>
    <row r="275" hidden="1" spans="5:14">
      <c r="E275" s="27">
        <v>46043</v>
      </c>
      <c r="F275" s="28">
        <v>1572390</v>
      </c>
      <c r="G275" s="29" t="s">
        <v>2</v>
      </c>
      <c r="H275" s="28" t="s">
        <v>21</v>
      </c>
      <c r="I275" s="30" t="s">
        <v>33</v>
      </c>
      <c r="J275" s="28">
        <v>20005972</v>
      </c>
      <c r="K275" s="30" t="s">
        <v>127</v>
      </c>
      <c r="L275" s="31">
        <v>1</v>
      </c>
      <c r="M275" s="32">
        <v>27.5</v>
      </c>
      <c r="N275" s="32">
        <v>27.5</v>
      </c>
    </row>
    <row r="276" hidden="1" spans="5:14">
      <c r="E276" s="27">
        <v>46043</v>
      </c>
      <c r="F276" s="28">
        <v>1572390</v>
      </c>
      <c r="G276" s="29" t="s">
        <v>2</v>
      </c>
      <c r="H276" s="28" t="s">
        <v>21</v>
      </c>
      <c r="I276" s="30" t="s">
        <v>33</v>
      </c>
      <c r="J276" s="28">
        <v>20008408</v>
      </c>
      <c r="K276" s="30" t="s">
        <v>44</v>
      </c>
      <c r="L276" s="31">
        <v>1</v>
      </c>
      <c r="M276" s="32">
        <v>8</v>
      </c>
      <c r="N276" s="32">
        <v>8</v>
      </c>
    </row>
    <row r="277" hidden="1" spans="5:14">
      <c r="E277" s="27">
        <v>46043</v>
      </c>
      <c r="F277" s="28">
        <v>1572390</v>
      </c>
      <c r="G277" s="29" t="s">
        <v>2</v>
      </c>
      <c r="H277" s="28" t="s">
        <v>21</v>
      </c>
      <c r="I277" s="30" t="s">
        <v>33</v>
      </c>
      <c r="J277" s="28">
        <v>20007889</v>
      </c>
      <c r="K277" s="30" t="s">
        <v>121</v>
      </c>
      <c r="L277" s="31">
        <v>1</v>
      </c>
      <c r="M277" s="32">
        <v>16.5</v>
      </c>
      <c r="N277" s="32">
        <v>16.5</v>
      </c>
    </row>
    <row r="278" hidden="1" spans="5:14">
      <c r="E278" s="27">
        <v>46043</v>
      </c>
      <c r="F278" s="28">
        <v>1572390</v>
      </c>
      <c r="G278" s="29" t="s">
        <v>2</v>
      </c>
      <c r="H278" s="28" t="s">
        <v>21</v>
      </c>
      <c r="I278" s="30" t="s">
        <v>33</v>
      </c>
      <c r="J278" s="28">
        <v>20334054</v>
      </c>
      <c r="K278" s="30" t="s">
        <v>118</v>
      </c>
      <c r="L278" s="31">
        <v>1</v>
      </c>
      <c r="M278" s="32">
        <v>8</v>
      </c>
      <c r="N278" s="32">
        <v>8</v>
      </c>
    </row>
    <row r="279" hidden="1" spans="5:14">
      <c r="E279" s="27">
        <v>46043</v>
      </c>
      <c r="F279" s="28">
        <v>1572390</v>
      </c>
      <c r="G279" s="29" t="s">
        <v>2</v>
      </c>
      <c r="H279" s="28" t="s">
        <v>16</v>
      </c>
      <c r="I279" s="30" t="s">
        <v>17</v>
      </c>
      <c r="J279" s="28">
        <v>20002375</v>
      </c>
      <c r="K279" s="30" t="s">
        <v>111</v>
      </c>
      <c r="L279" s="31">
        <v>3</v>
      </c>
      <c r="M279" s="32">
        <v>38.5</v>
      </c>
      <c r="N279" s="32">
        <v>115.5</v>
      </c>
    </row>
    <row r="280" hidden="1" spans="5:14">
      <c r="E280" s="27">
        <v>46043</v>
      </c>
      <c r="F280" s="28">
        <v>1572390</v>
      </c>
      <c r="G280" s="29" t="s">
        <v>2</v>
      </c>
      <c r="H280" s="28" t="s">
        <v>21</v>
      </c>
      <c r="I280" s="30" t="s">
        <v>33</v>
      </c>
      <c r="J280" s="28">
        <v>20358567</v>
      </c>
      <c r="K280" s="30" t="s">
        <v>112</v>
      </c>
      <c r="L280" s="31">
        <v>1</v>
      </c>
      <c r="M280" s="32">
        <v>13.5</v>
      </c>
      <c r="N280" s="32">
        <v>13.5</v>
      </c>
    </row>
    <row r="281" hidden="1" spans="5:14">
      <c r="E281" s="27">
        <v>46043</v>
      </c>
      <c r="F281" s="28">
        <v>1572390</v>
      </c>
      <c r="G281" s="29" t="s">
        <v>2</v>
      </c>
      <c r="H281" s="28" t="s">
        <v>16</v>
      </c>
      <c r="I281" s="30" t="s">
        <v>16</v>
      </c>
      <c r="J281" s="28">
        <v>20003239</v>
      </c>
      <c r="K281" s="30" t="s">
        <v>113</v>
      </c>
      <c r="L281" s="31">
        <v>1</v>
      </c>
      <c r="M281" s="32">
        <v>99</v>
      </c>
      <c r="N281" s="32">
        <v>99</v>
      </c>
    </row>
    <row r="282" hidden="1" spans="5:14">
      <c r="E282" s="27">
        <v>46043</v>
      </c>
      <c r="F282" s="28">
        <v>1572390</v>
      </c>
      <c r="G282" s="29" t="s">
        <v>2</v>
      </c>
      <c r="H282" s="28" t="s">
        <v>16</v>
      </c>
      <c r="I282" s="30" t="s">
        <v>16</v>
      </c>
      <c r="J282" s="28">
        <v>20003772</v>
      </c>
      <c r="K282" s="30" t="s">
        <v>116</v>
      </c>
      <c r="L282" s="31">
        <v>1</v>
      </c>
      <c r="M282" s="32">
        <v>66</v>
      </c>
      <c r="N282" s="32">
        <v>66</v>
      </c>
    </row>
    <row r="283" hidden="1" spans="5:14">
      <c r="E283" s="27">
        <v>46043</v>
      </c>
      <c r="F283" s="28">
        <v>1572390</v>
      </c>
      <c r="G283" s="29" t="s">
        <v>2</v>
      </c>
      <c r="H283" s="28" t="s">
        <v>16</v>
      </c>
      <c r="I283" s="30" t="s">
        <v>16</v>
      </c>
      <c r="J283" s="28">
        <v>20008595</v>
      </c>
      <c r="K283" s="30" t="s">
        <v>117</v>
      </c>
      <c r="L283" s="31">
        <v>1</v>
      </c>
      <c r="M283" s="32">
        <v>165</v>
      </c>
      <c r="N283" s="32">
        <v>165</v>
      </c>
    </row>
    <row r="284" hidden="1" spans="5:14">
      <c r="E284" s="27">
        <v>46044</v>
      </c>
      <c r="F284" s="28">
        <v>1572753</v>
      </c>
      <c r="G284" s="29" t="s">
        <v>2</v>
      </c>
      <c r="H284" s="28" t="s">
        <v>21</v>
      </c>
      <c r="I284" s="30" t="s">
        <v>33</v>
      </c>
      <c r="J284" s="28">
        <v>20355113</v>
      </c>
      <c r="K284" s="30" t="s">
        <v>128</v>
      </c>
      <c r="L284" s="31">
        <v>1</v>
      </c>
      <c r="M284" s="32">
        <v>16.5</v>
      </c>
      <c r="N284" s="32">
        <v>16.5</v>
      </c>
    </row>
    <row r="285" hidden="1" spans="5:14">
      <c r="E285" s="27">
        <v>46044</v>
      </c>
      <c r="F285" s="28">
        <v>1572753</v>
      </c>
      <c r="G285" s="29" t="s">
        <v>2</v>
      </c>
      <c r="H285" s="28" t="s">
        <v>16</v>
      </c>
      <c r="I285" s="30" t="s">
        <v>16</v>
      </c>
      <c r="J285" s="28">
        <v>20003239</v>
      </c>
      <c r="K285" s="30" t="s">
        <v>113</v>
      </c>
      <c r="L285" s="31">
        <v>1</v>
      </c>
      <c r="M285" s="32">
        <v>99</v>
      </c>
      <c r="N285" s="32">
        <v>99</v>
      </c>
    </row>
    <row r="286" hidden="1" spans="5:14">
      <c r="E286" s="27">
        <v>46045</v>
      </c>
      <c r="F286" s="28">
        <v>1573129</v>
      </c>
      <c r="G286" s="29" t="s">
        <v>2</v>
      </c>
      <c r="H286" s="28" t="s">
        <v>16</v>
      </c>
      <c r="I286" s="30" t="s">
        <v>17</v>
      </c>
      <c r="J286" s="28">
        <v>20002375</v>
      </c>
      <c r="K286" s="30" t="s">
        <v>111</v>
      </c>
      <c r="L286" s="31">
        <v>1</v>
      </c>
      <c r="M286" s="32">
        <v>38.5</v>
      </c>
      <c r="N286" s="32">
        <v>38.5</v>
      </c>
    </row>
    <row r="287" hidden="1" spans="5:14">
      <c r="E287" s="27">
        <v>46045</v>
      </c>
      <c r="F287" s="28">
        <v>1573129</v>
      </c>
      <c r="G287" s="29" t="s">
        <v>2</v>
      </c>
      <c r="H287" s="28" t="s">
        <v>16</v>
      </c>
      <c r="I287" s="30" t="s">
        <v>16</v>
      </c>
      <c r="J287" s="28">
        <v>20008595</v>
      </c>
      <c r="K287" s="30" t="s">
        <v>117</v>
      </c>
      <c r="L287" s="31">
        <v>1</v>
      </c>
      <c r="M287" s="32">
        <v>165</v>
      </c>
      <c r="N287" s="32">
        <v>165</v>
      </c>
    </row>
    <row r="288" hidden="1" spans="5:14">
      <c r="E288" s="14" t="s">
        <v>2</v>
      </c>
      <c r="F288" s="14" t="s">
        <v>2</v>
      </c>
      <c r="H288" s="14" t="s">
        <v>2</v>
      </c>
      <c r="I288" s="5" t="s">
        <v>2</v>
      </c>
      <c r="J288" s="14" t="s">
        <v>2</v>
      </c>
      <c r="K288" s="5" t="s">
        <v>2</v>
      </c>
      <c r="L288" s="26" t="s">
        <v>2</v>
      </c>
      <c r="M288" s="26" t="s">
        <v>2</v>
      </c>
      <c r="N288" s="26" t="s">
        <v>2</v>
      </c>
    </row>
    <row r="289" hidden="1" spans="3:14">
      <c r="C289" s="5" t="s">
        <v>2</v>
      </c>
      <c r="D289" s="5" t="s">
        <v>2</v>
      </c>
      <c r="E289" s="5" t="s">
        <v>2</v>
      </c>
      <c r="F289" s="5" t="s">
        <v>2</v>
      </c>
      <c r="H289" s="5" t="s">
        <v>2</v>
      </c>
      <c r="I289" s="5" t="s">
        <v>2</v>
      </c>
      <c r="J289" s="5" t="s">
        <v>2</v>
      </c>
      <c r="K289" s="5" t="s">
        <v>2</v>
      </c>
      <c r="L289" s="5" t="s">
        <v>2</v>
      </c>
      <c r="M289" s="5" t="s">
        <v>2</v>
      </c>
      <c r="N289" s="5" t="s">
        <v>2</v>
      </c>
    </row>
    <row r="290" ht="14.25" hidden="1" customHeight="1" spans="3:14">
      <c r="C290" s="11" t="s">
        <v>2</v>
      </c>
      <c r="D290" s="11" t="s">
        <v>2</v>
      </c>
      <c r="E290" s="11" t="s">
        <v>129</v>
      </c>
      <c r="F290" s="8" t="s">
        <v>2</v>
      </c>
      <c r="G290" s="8" t="s">
        <v>2</v>
      </c>
      <c r="H290" s="8" t="s">
        <v>2</v>
      </c>
      <c r="I290" s="8" t="s">
        <v>2</v>
      </c>
      <c r="J290" s="8" t="s">
        <v>2</v>
      </c>
      <c r="K290" s="11" t="s">
        <v>2</v>
      </c>
      <c r="L290" s="12">
        <v>8</v>
      </c>
      <c r="M290" s="11" t="s">
        <v>2</v>
      </c>
      <c r="N290" s="13">
        <v>422</v>
      </c>
    </row>
    <row r="291" ht="14.25" hidden="1" customHeight="1" spans="3:14">
      <c r="C291" s="5" t="s">
        <v>2</v>
      </c>
      <c r="D291" s="14" t="s">
        <v>2</v>
      </c>
      <c r="E291" s="15" t="s">
        <v>20</v>
      </c>
      <c r="F291" s="8" t="s">
        <v>2</v>
      </c>
      <c r="G291" s="8" t="s">
        <v>2</v>
      </c>
      <c r="H291" s="16" t="s">
        <v>2</v>
      </c>
      <c r="I291" s="17" t="s">
        <v>2</v>
      </c>
      <c r="J291" s="16" t="s">
        <v>2</v>
      </c>
      <c r="K291" s="17" t="s">
        <v>2</v>
      </c>
      <c r="L291" s="18">
        <v>6</v>
      </c>
      <c r="M291" s="18" t="s">
        <v>2</v>
      </c>
      <c r="N291" s="18">
        <v>246</v>
      </c>
    </row>
    <row r="292" ht="14.25" hidden="1" customHeight="1" spans="3:14">
      <c r="E292" s="27">
        <v>46031</v>
      </c>
      <c r="F292" s="28">
        <v>1569201</v>
      </c>
      <c r="G292" s="29" t="s">
        <v>2</v>
      </c>
      <c r="H292" s="28" t="s">
        <v>21</v>
      </c>
      <c r="I292" s="30" t="s">
        <v>22</v>
      </c>
      <c r="J292" s="28">
        <v>20325211</v>
      </c>
      <c r="K292" s="30" t="s">
        <v>94</v>
      </c>
      <c r="L292" s="31">
        <v>1</v>
      </c>
      <c r="M292" s="32">
        <v>66</v>
      </c>
      <c r="N292" s="32">
        <v>66</v>
      </c>
    </row>
    <row r="293" ht="14.25" hidden="1" customHeight="1" spans="3:14">
      <c r="E293" s="27">
        <v>46031</v>
      </c>
      <c r="F293" s="28">
        <v>1569201</v>
      </c>
      <c r="G293" s="29" t="s">
        <v>2</v>
      </c>
      <c r="H293" s="28" t="s">
        <v>21</v>
      </c>
      <c r="I293" s="30" t="s">
        <v>22</v>
      </c>
      <c r="J293" s="28">
        <v>20347718</v>
      </c>
      <c r="K293" s="30" t="s">
        <v>130</v>
      </c>
      <c r="L293" s="31">
        <v>1</v>
      </c>
      <c r="M293" s="32">
        <v>22</v>
      </c>
      <c r="N293" s="32">
        <v>22</v>
      </c>
    </row>
    <row r="294" ht="14.25" hidden="1" customHeight="1" spans="3:14">
      <c r="E294" s="27">
        <v>46031</v>
      </c>
      <c r="F294" s="28">
        <v>1569201</v>
      </c>
      <c r="G294" s="29" t="s">
        <v>2</v>
      </c>
      <c r="H294" s="28" t="s">
        <v>21</v>
      </c>
      <c r="I294" s="30" t="s">
        <v>22</v>
      </c>
      <c r="J294" s="28">
        <v>20013489</v>
      </c>
      <c r="K294" s="30" t="s">
        <v>107</v>
      </c>
      <c r="L294" s="31">
        <v>1</v>
      </c>
      <c r="M294" s="32">
        <v>35</v>
      </c>
      <c r="N294" s="32">
        <v>35</v>
      </c>
    </row>
    <row r="295" ht="14.25" customHeight="1" spans="3:14">
      <c r="E295" s="27">
        <v>46039</v>
      </c>
      <c r="F295" s="28">
        <v>1571342</v>
      </c>
      <c r="G295" s="29" t="s">
        <v>2</v>
      </c>
      <c r="H295" s="28" t="s">
        <v>21</v>
      </c>
      <c r="I295" s="30" t="s">
        <v>22</v>
      </c>
      <c r="J295" s="28">
        <v>20325211</v>
      </c>
      <c r="K295" s="30" t="s">
        <v>94</v>
      </c>
      <c r="L295" s="31">
        <v>1</v>
      </c>
      <c r="M295" s="32">
        <v>66</v>
      </c>
      <c r="N295" s="32">
        <v>66</v>
      </c>
    </row>
    <row r="296" ht="14.25" customHeight="1" spans="3:14">
      <c r="E296" s="27">
        <v>46039</v>
      </c>
      <c r="F296" s="28">
        <v>1571342</v>
      </c>
      <c r="G296" s="29" t="s">
        <v>2</v>
      </c>
      <c r="H296" s="28" t="s">
        <v>21</v>
      </c>
      <c r="I296" s="30" t="s">
        <v>22</v>
      </c>
      <c r="J296" s="28">
        <v>20347718</v>
      </c>
      <c r="K296" s="30" t="s">
        <v>130</v>
      </c>
      <c r="L296" s="31">
        <v>1</v>
      </c>
      <c r="M296" s="32">
        <v>22</v>
      </c>
      <c r="N296" s="32">
        <v>22</v>
      </c>
    </row>
    <row r="297" ht="14.25" customHeight="1" spans="3:14">
      <c r="E297" s="27">
        <v>46039</v>
      </c>
      <c r="F297" s="28">
        <v>1571342</v>
      </c>
      <c r="G297" s="29" t="s">
        <v>2</v>
      </c>
      <c r="H297" s="28" t="s">
        <v>21</v>
      </c>
      <c r="I297" s="30" t="s">
        <v>22</v>
      </c>
      <c r="J297" s="28">
        <v>20013489</v>
      </c>
      <c r="K297" s="30" t="s">
        <v>107</v>
      </c>
      <c r="L297" s="31">
        <v>1</v>
      </c>
      <c r="M297" s="32">
        <v>35</v>
      </c>
      <c r="N297" s="32">
        <v>35</v>
      </c>
    </row>
    <row r="298" hidden="1" spans="3:14">
      <c r="E298" s="14" t="s">
        <v>2</v>
      </c>
      <c r="F298" s="14" t="s">
        <v>2</v>
      </c>
      <c r="H298" s="14" t="s">
        <v>2</v>
      </c>
      <c r="I298" s="5" t="s">
        <v>2</v>
      </c>
      <c r="J298" s="14" t="s">
        <v>2</v>
      </c>
      <c r="K298" s="5" t="s">
        <v>2</v>
      </c>
      <c r="L298" s="26" t="s">
        <v>2</v>
      </c>
      <c r="M298" s="26" t="s">
        <v>2</v>
      </c>
      <c r="N298" s="26" t="s">
        <v>2</v>
      </c>
    </row>
    <row r="299" ht="14.25" hidden="1" spans="3:14">
      <c r="D299" s="14" t="s">
        <v>2</v>
      </c>
      <c r="E299" s="15" t="s">
        <v>15</v>
      </c>
      <c r="F299" s="8" t="s">
        <v>2</v>
      </c>
      <c r="G299" s="8" t="s">
        <v>2</v>
      </c>
      <c r="H299" s="16" t="s">
        <v>2</v>
      </c>
      <c r="I299" s="17" t="s">
        <v>2</v>
      </c>
      <c r="J299" s="16" t="s">
        <v>2</v>
      </c>
      <c r="K299" s="17" t="s">
        <v>2</v>
      </c>
      <c r="L299" s="18">
        <v>2</v>
      </c>
      <c r="M299" s="18" t="s">
        <v>2</v>
      </c>
      <c r="N299" s="18">
        <v>176</v>
      </c>
    </row>
    <row r="300" hidden="1" spans="3:14">
      <c r="E300" s="27">
        <v>46031</v>
      </c>
      <c r="F300" s="28">
        <v>1569222</v>
      </c>
      <c r="G300" s="29" t="s">
        <v>2</v>
      </c>
      <c r="H300" s="28" t="s">
        <v>16</v>
      </c>
      <c r="I300" s="30" t="s">
        <v>17</v>
      </c>
      <c r="J300" s="28">
        <v>20011428</v>
      </c>
      <c r="K300" s="30" t="s">
        <v>131</v>
      </c>
      <c r="L300" s="31">
        <v>1</v>
      </c>
      <c r="M300" s="32">
        <v>88</v>
      </c>
      <c r="N300" s="32">
        <v>88</v>
      </c>
    </row>
    <row r="301" hidden="1" spans="3:14">
      <c r="E301" s="27">
        <v>46038</v>
      </c>
      <c r="F301" s="28">
        <v>1571170</v>
      </c>
      <c r="G301" s="29" t="s">
        <v>2</v>
      </c>
      <c r="H301" s="28" t="s">
        <v>16</v>
      </c>
      <c r="I301" s="30" t="s">
        <v>17</v>
      </c>
      <c r="J301" s="28">
        <v>20011428</v>
      </c>
      <c r="K301" s="30" t="s">
        <v>131</v>
      </c>
      <c r="L301" s="31">
        <v>1</v>
      </c>
      <c r="M301" s="32">
        <v>88</v>
      </c>
      <c r="N301" s="32">
        <v>88</v>
      </c>
    </row>
    <row r="302" hidden="1" spans="3:14">
      <c r="E302" s="14" t="s">
        <v>2</v>
      </c>
      <c r="F302" s="14" t="s">
        <v>2</v>
      </c>
      <c r="H302" s="14" t="s">
        <v>2</v>
      </c>
      <c r="I302" s="5" t="s">
        <v>2</v>
      </c>
      <c r="J302" s="14" t="s">
        <v>2</v>
      </c>
      <c r="K302" s="5" t="s">
        <v>2</v>
      </c>
      <c r="L302" s="26" t="s">
        <v>2</v>
      </c>
      <c r="M302" s="26" t="s">
        <v>2</v>
      </c>
      <c r="N302" s="26" t="s">
        <v>2</v>
      </c>
    </row>
    <row r="303" hidden="1" spans="3:14">
      <c r="C303" s="5" t="s">
        <v>2</v>
      </c>
      <c r="D303" s="5" t="s">
        <v>2</v>
      </c>
      <c r="E303" s="5" t="s">
        <v>2</v>
      </c>
      <c r="F303" s="5" t="s">
        <v>2</v>
      </c>
      <c r="H303" s="5" t="s">
        <v>2</v>
      </c>
      <c r="I303" s="5" t="s">
        <v>2</v>
      </c>
      <c r="J303" s="5" t="s">
        <v>2</v>
      </c>
      <c r="K303" s="5" t="s">
        <v>2</v>
      </c>
      <c r="L303" s="5" t="s">
        <v>2</v>
      </c>
      <c r="M303" s="5" t="s">
        <v>2</v>
      </c>
      <c r="N303" s="5" t="s">
        <v>2</v>
      </c>
    </row>
    <row r="304" ht="14.25" hidden="1" spans="3:14">
      <c r="C304" s="11" t="s">
        <v>2</v>
      </c>
      <c r="D304" s="11" t="s">
        <v>2</v>
      </c>
      <c r="E304" s="11" t="s">
        <v>132</v>
      </c>
      <c r="F304" s="8" t="s">
        <v>2</v>
      </c>
      <c r="G304" s="8" t="s">
        <v>2</v>
      </c>
      <c r="H304" s="8" t="s">
        <v>2</v>
      </c>
      <c r="I304" s="8" t="s">
        <v>2</v>
      </c>
      <c r="J304" s="8" t="s">
        <v>2</v>
      </c>
      <c r="K304" s="11" t="s">
        <v>2</v>
      </c>
      <c r="L304" s="12">
        <v>59</v>
      </c>
      <c r="M304" s="11" t="s">
        <v>2</v>
      </c>
      <c r="N304" s="13">
        <v>881.5</v>
      </c>
    </row>
    <row r="305" ht="14.25" hidden="1" spans="3:14">
      <c r="C305" s="5" t="s">
        <v>2</v>
      </c>
      <c r="D305" s="14" t="s">
        <v>2</v>
      </c>
      <c r="E305" s="15" t="s">
        <v>15</v>
      </c>
      <c r="F305" s="8" t="s">
        <v>2</v>
      </c>
      <c r="G305" s="8" t="s">
        <v>2</v>
      </c>
      <c r="H305" s="16" t="s">
        <v>2</v>
      </c>
      <c r="I305" s="17" t="s">
        <v>2</v>
      </c>
      <c r="J305" s="16" t="s">
        <v>2</v>
      </c>
      <c r="K305" s="17" t="s">
        <v>2</v>
      </c>
      <c r="L305" s="18">
        <v>59</v>
      </c>
      <c r="M305" s="18" t="s">
        <v>2</v>
      </c>
      <c r="N305" s="18">
        <v>881.5</v>
      </c>
    </row>
    <row r="306" hidden="1" spans="3:14">
      <c r="E306" s="19">
        <v>46026</v>
      </c>
      <c r="F306" s="20">
        <v>1567465</v>
      </c>
      <c r="G306" s="21" t="s">
        <v>2</v>
      </c>
      <c r="H306" s="20" t="s">
        <v>21</v>
      </c>
      <c r="I306" s="22" t="s">
        <v>33</v>
      </c>
      <c r="J306" s="20">
        <v>20011868</v>
      </c>
      <c r="K306" s="22" t="s">
        <v>133</v>
      </c>
      <c r="L306" s="23">
        <v>3</v>
      </c>
      <c r="M306" s="24">
        <v>8</v>
      </c>
      <c r="N306" s="24">
        <v>24</v>
      </c>
    </row>
    <row r="307" hidden="1" spans="3:14">
      <c r="E307" s="19">
        <v>46026</v>
      </c>
      <c r="F307" s="20">
        <v>1567465</v>
      </c>
      <c r="G307" s="21" t="s">
        <v>2</v>
      </c>
      <c r="H307" s="20" t="s">
        <v>21</v>
      </c>
      <c r="I307" s="22" t="s">
        <v>33</v>
      </c>
      <c r="J307" s="20">
        <v>20009156</v>
      </c>
      <c r="K307" s="22" t="s">
        <v>134</v>
      </c>
      <c r="L307" s="23">
        <v>1</v>
      </c>
      <c r="M307" s="24">
        <v>8</v>
      </c>
      <c r="N307" s="24">
        <v>8</v>
      </c>
    </row>
    <row r="308" hidden="1" spans="3:14">
      <c r="E308" s="19">
        <v>46026</v>
      </c>
      <c r="F308" s="20">
        <v>1567465</v>
      </c>
      <c r="G308" s="21" t="s">
        <v>2</v>
      </c>
      <c r="H308" s="20" t="s">
        <v>21</v>
      </c>
      <c r="I308" s="22" t="s">
        <v>33</v>
      </c>
      <c r="J308" s="20">
        <v>20008408</v>
      </c>
      <c r="K308" s="22" t="s">
        <v>44</v>
      </c>
      <c r="L308" s="23">
        <v>2</v>
      </c>
      <c r="M308" s="24">
        <v>8</v>
      </c>
      <c r="N308" s="24">
        <v>16</v>
      </c>
    </row>
    <row r="309" hidden="1" spans="3:14">
      <c r="E309" s="19">
        <v>46026</v>
      </c>
      <c r="F309" s="20">
        <v>1567465</v>
      </c>
      <c r="G309" s="21" t="s">
        <v>2</v>
      </c>
      <c r="H309" s="20" t="s">
        <v>21</v>
      </c>
      <c r="I309" s="22" t="s">
        <v>33</v>
      </c>
      <c r="J309" s="20">
        <v>20009155</v>
      </c>
      <c r="K309" s="22" t="s">
        <v>54</v>
      </c>
      <c r="L309" s="23">
        <v>1</v>
      </c>
      <c r="M309" s="24">
        <v>8</v>
      </c>
      <c r="N309" s="24">
        <v>8</v>
      </c>
    </row>
    <row r="310" hidden="1" spans="3:14">
      <c r="E310" s="19">
        <v>46026</v>
      </c>
      <c r="F310" s="20">
        <v>1567465</v>
      </c>
      <c r="G310" s="21" t="s">
        <v>2</v>
      </c>
      <c r="H310" s="20" t="s">
        <v>16</v>
      </c>
      <c r="I310" s="22" t="s">
        <v>16</v>
      </c>
      <c r="J310" s="20">
        <v>20002800</v>
      </c>
      <c r="K310" s="22" t="s">
        <v>135</v>
      </c>
      <c r="L310" s="23">
        <v>2</v>
      </c>
      <c r="M310" s="24">
        <v>33</v>
      </c>
      <c r="N310" s="24">
        <v>66</v>
      </c>
    </row>
    <row r="311" hidden="1" spans="3:14">
      <c r="E311" s="19">
        <v>46026</v>
      </c>
      <c r="F311" s="20">
        <v>1567465</v>
      </c>
      <c r="G311" s="21" t="s">
        <v>2</v>
      </c>
      <c r="H311" s="20" t="s">
        <v>21</v>
      </c>
      <c r="I311" s="22" t="s">
        <v>33</v>
      </c>
      <c r="J311" s="20">
        <v>20014746</v>
      </c>
      <c r="K311" s="22" t="s">
        <v>136</v>
      </c>
      <c r="L311" s="23">
        <v>4</v>
      </c>
      <c r="M311" s="24">
        <v>16</v>
      </c>
      <c r="N311" s="24">
        <v>64</v>
      </c>
    </row>
    <row r="312" hidden="1" spans="3:14">
      <c r="E312" s="19">
        <v>46028</v>
      </c>
      <c r="F312" s="20">
        <v>1568135</v>
      </c>
      <c r="G312" s="21" t="s">
        <v>2</v>
      </c>
      <c r="H312" s="20" t="s">
        <v>35</v>
      </c>
      <c r="I312" s="22" t="s">
        <v>36</v>
      </c>
      <c r="J312" s="20">
        <v>20345979</v>
      </c>
      <c r="K312" s="22" t="s">
        <v>137</v>
      </c>
      <c r="L312" s="23">
        <v>8</v>
      </c>
      <c r="M312" s="24">
        <v>2.5</v>
      </c>
      <c r="N312" s="24">
        <v>20</v>
      </c>
    </row>
    <row r="313" hidden="1" spans="3:14">
      <c r="E313" s="19">
        <v>46034</v>
      </c>
      <c r="F313" s="20">
        <v>1569692</v>
      </c>
      <c r="G313" s="21" t="s">
        <v>2</v>
      </c>
      <c r="H313" s="20" t="s">
        <v>21</v>
      </c>
      <c r="I313" s="22" t="s">
        <v>33</v>
      </c>
      <c r="J313" s="20">
        <v>20011868</v>
      </c>
      <c r="K313" s="22" t="s">
        <v>133</v>
      </c>
      <c r="L313" s="23">
        <v>3</v>
      </c>
      <c r="M313" s="24">
        <v>8</v>
      </c>
      <c r="N313" s="24">
        <v>24</v>
      </c>
    </row>
    <row r="314" hidden="1" spans="3:14">
      <c r="E314" s="19">
        <v>46034</v>
      </c>
      <c r="F314" s="20">
        <v>1569692</v>
      </c>
      <c r="G314" s="21" t="s">
        <v>2</v>
      </c>
      <c r="H314" s="20" t="s">
        <v>21</v>
      </c>
      <c r="I314" s="22" t="s">
        <v>33</v>
      </c>
      <c r="J314" s="20">
        <v>20314245</v>
      </c>
      <c r="K314" s="22" t="s">
        <v>138</v>
      </c>
      <c r="L314" s="23">
        <v>1</v>
      </c>
      <c r="M314" s="24">
        <v>8</v>
      </c>
      <c r="N314" s="24">
        <v>8</v>
      </c>
    </row>
    <row r="315" hidden="1" spans="3:14">
      <c r="E315" s="19">
        <v>46034</v>
      </c>
      <c r="F315" s="20">
        <v>1569692</v>
      </c>
      <c r="G315" s="21" t="s">
        <v>2</v>
      </c>
      <c r="H315" s="20" t="s">
        <v>21</v>
      </c>
      <c r="I315" s="22" t="s">
        <v>33</v>
      </c>
      <c r="J315" s="20">
        <v>20008408</v>
      </c>
      <c r="K315" s="22" t="s">
        <v>44</v>
      </c>
      <c r="L315" s="23">
        <v>2</v>
      </c>
      <c r="M315" s="24">
        <v>8</v>
      </c>
      <c r="N315" s="24">
        <v>16</v>
      </c>
    </row>
    <row r="316" hidden="1" spans="3:14">
      <c r="E316" s="19">
        <v>46034</v>
      </c>
      <c r="F316" s="20">
        <v>1569692</v>
      </c>
      <c r="G316" s="21" t="s">
        <v>2</v>
      </c>
      <c r="H316" s="20" t="s">
        <v>21</v>
      </c>
      <c r="I316" s="22" t="s">
        <v>33</v>
      </c>
      <c r="J316" s="20">
        <v>20009478</v>
      </c>
      <c r="K316" s="22" t="s">
        <v>139</v>
      </c>
      <c r="L316" s="23">
        <v>1</v>
      </c>
      <c r="M316" s="24">
        <v>8</v>
      </c>
      <c r="N316" s="24">
        <v>8</v>
      </c>
    </row>
    <row r="317" hidden="1" spans="3:14">
      <c r="E317" s="19">
        <v>46034</v>
      </c>
      <c r="F317" s="20">
        <v>1569692</v>
      </c>
      <c r="G317" s="21" t="s">
        <v>2</v>
      </c>
      <c r="H317" s="20" t="s">
        <v>21</v>
      </c>
      <c r="I317" s="22" t="s">
        <v>33</v>
      </c>
      <c r="J317" s="20">
        <v>20009155</v>
      </c>
      <c r="K317" s="22" t="s">
        <v>54</v>
      </c>
      <c r="L317" s="23">
        <v>1</v>
      </c>
      <c r="M317" s="24">
        <v>8</v>
      </c>
      <c r="N317" s="24">
        <v>8</v>
      </c>
    </row>
    <row r="318" hidden="1" spans="3:14">
      <c r="E318" s="19">
        <v>46034</v>
      </c>
      <c r="F318" s="20">
        <v>1569692</v>
      </c>
      <c r="G318" s="21" t="s">
        <v>2</v>
      </c>
      <c r="H318" s="20" t="s">
        <v>16</v>
      </c>
      <c r="I318" s="22" t="s">
        <v>16</v>
      </c>
      <c r="J318" s="20">
        <v>20002800</v>
      </c>
      <c r="K318" s="22" t="s">
        <v>135</v>
      </c>
      <c r="L318" s="23">
        <v>4</v>
      </c>
      <c r="M318" s="24">
        <v>33</v>
      </c>
      <c r="N318" s="24">
        <v>132</v>
      </c>
    </row>
    <row r="319" hidden="1" spans="3:14">
      <c r="E319" s="19">
        <v>46034</v>
      </c>
      <c r="F319" s="20">
        <v>1569692</v>
      </c>
      <c r="G319" s="21" t="s">
        <v>2</v>
      </c>
      <c r="H319" s="20" t="s">
        <v>21</v>
      </c>
      <c r="I319" s="22" t="s">
        <v>33</v>
      </c>
      <c r="J319" s="20">
        <v>20014746</v>
      </c>
      <c r="K319" s="22" t="s">
        <v>136</v>
      </c>
      <c r="L319" s="23">
        <v>8</v>
      </c>
      <c r="M319" s="24">
        <v>16</v>
      </c>
      <c r="N319" s="24">
        <v>128</v>
      </c>
    </row>
    <row r="320" hidden="1" spans="3:14">
      <c r="E320" s="19">
        <v>46042</v>
      </c>
      <c r="F320" s="20">
        <v>1572018</v>
      </c>
      <c r="G320" s="21" t="s">
        <v>2</v>
      </c>
      <c r="H320" s="20" t="s">
        <v>21</v>
      </c>
      <c r="I320" s="22" t="s">
        <v>33</v>
      </c>
      <c r="J320" s="20">
        <v>20011868</v>
      </c>
      <c r="K320" s="22" t="s">
        <v>133</v>
      </c>
      <c r="L320" s="23">
        <v>2</v>
      </c>
      <c r="M320" s="24">
        <v>8</v>
      </c>
      <c r="N320" s="24">
        <v>16</v>
      </c>
    </row>
    <row r="321" hidden="1" spans="3:14">
      <c r="E321" s="19">
        <v>46042</v>
      </c>
      <c r="F321" s="20">
        <v>1572018</v>
      </c>
      <c r="G321" s="21" t="s">
        <v>2</v>
      </c>
      <c r="H321" s="20" t="s">
        <v>21</v>
      </c>
      <c r="I321" s="22" t="s">
        <v>33</v>
      </c>
      <c r="J321" s="20">
        <v>20012122</v>
      </c>
      <c r="K321" s="22" t="s">
        <v>140</v>
      </c>
      <c r="L321" s="23">
        <v>1</v>
      </c>
      <c r="M321" s="24">
        <v>8</v>
      </c>
      <c r="N321" s="24">
        <v>8</v>
      </c>
    </row>
    <row r="322" hidden="1" spans="3:14">
      <c r="E322" s="19">
        <v>46042</v>
      </c>
      <c r="F322" s="20">
        <v>1572018</v>
      </c>
      <c r="G322" s="21" t="s">
        <v>2</v>
      </c>
      <c r="H322" s="20" t="s">
        <v>16</v>
      </c>
      <c r="I322" s="22" t="s">
        <v>16</v>
      </c>
      <c r="J322" s="20">
        <v>20002800</v>
      </c>
      <c r="K322" s="22" t="s">
        <v>135</v>
      </c>
      <c r="L322" s="23">
        <v>4</v>
      </c>
      <c r="M322" s="24">
        <v>33</v>
      </c>
      <c r="N322" s="24">
        <v>132</v>
      </c>
    </row>
    <row r="323" hidden="1" spans="3:14">
      <c r="E323" s="19">
        <v>46042</v>
      </c>
      <c r="F323" s="20">
        <v>1572018</v>
      </c>
      <c r="G323" s="21" t="s">
        <v>2</v>
      </c>
      <c r="H323" s="20" t="s">
        <v>21</v>
      </c>
      <c r="I323" s="22" t="s">
        <v>33</v>
      </c>
      <c r="J323" s="20">
        <v>20006093</v>
      </c>
      <c r="K323" s="22" t="s">
        <v>40</v>
      </c>
      <c r="L323" s="23">
        <v>1</v>
      </c>
      <c r="M323" s="24">
        <v>8</v>
      </c>
      <c r="N323" s="24">
        <v>8</v>
      </c>
    </row>
    <row r="324" hidden="1" spans="3:14">
      <c r="E324" s="19">
        <v>46042</v>
      </c>
      <c r="F324" s="20">
        <v>1572018</v>
      </c>
      <c r="G324" s="21" t="s">
        <v>2</v>
      </c>
      <c r="H324" s="20" t="s">
        <v>21</v>
      </c>
      <c r="I324" s="22" t="s">
        <v>30</v>
      </c>
      <c r="J324" s="20">
        <v>20012999</v>
      </c>
      <c r="K324" s="22" t="s">
        <v>31</v>
      </c>
      <c r="L324" s="23">
        <v>2</v>
      </c>
      <c r="M324" s="24">
        <v>16.5</v>
      </c>
      <c r="N324" s="24">
        <v>33</v>
      </c>
    </row>
    <row r="325" hidden="1" spans="3:14">
      <c r="E325" s="19">
        <v>46045</v>
      </c>
      <c r="F325" s="20">
        <v>1573130</v>
      </c>
      <c r="G325" s="21" t="s">
        <v>2</v>
      </c>
      <c r="H325" s="20" t="s">
        <v>21</v>
      </c>
      <c r="I325" s="22" t="s">
        <v>33</v>
      </c>
      <c r="J325" s="20">
        <v>20011868</v>
      </c>
      <c r="K325" s="22" t="s">
        <v>133</v>
      </c>
      <c r="L325" s="23">
        <v>1</v>
      </c>
      <c r="M325" s="24">
        <v>8</v>
      </c>
      <c r="N325" s="24">
        <v>8</v>
      </c>
    </row>
    <row r="326" hidden="1" spans="3:14">
      <c r="E326" s="19">
        <v>46045</v>
      </c>
      <c r="F326" s="20">
        <v>1573130</v>
      </c>
      <c r="G326" s="21" t="s">
        <v>2</v>
      </c>
      <c r="H326" s="20" t="s">
        <v>16</v>
      </c>
      <c r="I326" s="22" t="s">
        <v>16</v>
      </c>
      <c r="J326" s="20">
        <v>20002800</v>
      </c>
      <c r="K326" s="22" t="s">
        <v>135</v>
      </c>
      <c r="L326" s="23">
        <v>2</v>
      </c>
      <c r="M326" s="24">
        <v>33</v>
      </c>
      <c r="N326" s="24">
        <v>66</v>
      </c>
    </row>
    <row r="327" hidden="1" spans="3:14">
      <c r="E327" s="19">
        <v>46045</v>
      </c>
      <c r="F327" s="20">
        <v>1573130</v>
      </c>
      <c r="G327" s="21" t="s">
        <v>2</v>
      </c>
      <c r="H327" s="20" t="s">
        <v>21</v>
      </c>
      <c r="I327" s="22" t="s">
        <v>33</v>
      </c>
      <c r="J327" s="20">
        <v>20014746</v>
      </c>
      <c r="K327" s="22" t="s">
        <v>136</v>
      </c>
      <c r="L327" s="23">
        <v>4</v>
      </c>
      <c r="M327" s="24">
        <v>16</v>
      </c>
      <c r="N327" s="24">
        <v>64</v>
      </c>
    </row>
    <row r="328" hidden="1" spans="3:14">
      <c r="E328" s="19">
        <v>46045</v>
      </c>
      <c r="F328" s="20">
        <v>1573130</v>
      </c>
      <c r="G328" s="21" t="s">
        <v>2</v>
      </c>
      <c r="H328" s="20" t="s">
        <v>21</v>
      </c>
      <c r="I328" s="22" t="s">
        <v>30</v>
      </c>
      <c r="J328" s="20">
        <v>20012999</v>
      </c>
      <c r="K328" s="22" t="s">
        <v>31</v>
      </c>
      <c r="L328" s="23">
        <v>1</v>
      </c>
      <c r="M328" s="24">
        <v>16.5</v>
      </c>
      <c r="N328" s="24">
        <v>16.5</v>
      </c>
    </row>
    <row r="329" hidden="1" spans="3:14">
      <c r="E329" s="14" t="s">
        <v>2</v>
      </c>
      <c r="F329" s="14" t="s">
        <v>2</v>
      </c>
      <c r="H329" s="14" t="s">
        <v>2</v>
      </c>
      <c r="I329" s="5" t="s">
        <v>2</v>
      </c>
      <c r="J329" s="14" t="s">
        <v>2</v>
      </c>
      <c r="K329" s="5" t="s">
        <v>2</v>
      </c>
      <c r="L329" s="26" t="s">
        <v>2</v>
      </c>
      <c r="M329" s="26" t="s">
        <v>2</v>
      </c>
      <c r="N329" s="26" t="s">
        <v>2</v>
      </c>
    </row>
    <row r="330" hidden="1" spans="3:14">
      <c r="C330" s="5" t="s">
        <v>2</v>
      </c>
      <c r="D330" s="5" t="s">
        <v>2</v>
      </c>
      <c r="E330" s="5" t="s">
        <v>2</v>
      </c>
      <c r="F330" s="5" t="s">
        <v>2</v>
      </c>
      <c r="H330" s="5" t="s">
        <v>2</v>
      </c>
      <c r="I330" s="5" t="s">
        <v>2</v>
      </c>
      <c r="J330" s="5" t="s">
        <v>2</v>
      </c>
      <c r="K330" s="5" t="s">
        <v>2</v>
      </c>
      <c r="L330" s="5" t="s">
        <v>2</v>
      </c>
      <c r="M330" s="5" t="s">
        <v>2</v>
      </c>
      <c r="N330" s="5" t="s">
        <v>2</v>
      </c>
    </row>
    <row r="331" ht="14.25" hidden="1" spans="3:14">
      <c r="C331" s="11" t="s">
        <v>2</v>
      </c>
      <c r="D331" s="11" t="s">
        <v>2</v>
      </c>
      <c r="E331" s="11" t="s">
        <v>141</v>
      </c>
      <c r="F331" s="8" t="s">
        <v>2</v>
      </c>
      <c r="G331" s="8" t="s">
        <v>2</v>
      </c>
      <c r="H331" s="8" t="s">
        <v>2</v>
      </c>
      <c r="I331" s="8" t="s">
        <v>2</v>
      </c>
      <c r="J331" s="8" t="s">
        <v>2</v>
      </c>
      <c r="K331" s="11" t="s">
        <v>2</v>
      </c>
      <c r="L331" s="12">
        <v>15</v>
      </c>
      <c r="M331" s="11" t="s">
        <v>2</v>
      </c>
      <c r="N331" s="13">
        <v>450</v>
      </c>
    </row>
    <row r="332" ht="14.25" hidden="1" spans="3:14">
      <c r="C332" s="5" t="s">
        <v>2</v>
      </c>
      <c r="D332" s="14" t="s">
        <v>2</v>
      </c>
      <c r="E332" s="15" t="s">
        <v>15</v>
      </c>
      <c r="F332" s="8" t="s">
        <v>2</v>
      </c>
      <c r="G332" s="8" t="s">
        <v>2</v>
      </c>
      <c r="H332" s="16" t="s">
        <v>2</v>
      </c>
      <c r="I332" s="17" t="s">
        <v>2</v>
      </c>
      <c r="J332" s="16" t="s">
        <v>2</v>
      </c>
      <c r="K332" s="17" t="s">
        <v>2</v>
      </c>
      <c r="L332" s="18">
        <v>15</v>
      </c>
      <c r="M332" s="18" t="s">
        <v>2</v>
      </c>
      <c r="N332" s="18">
        <v>450</v>
      </c>
    </row>
    <row r="333" hidden="1" spans="3:14">
      <c r="E333" s="19">
        <v>46028</v>
      </c>
      <c r="F333" s="20">
        <v>1568136</v>
      </c>
      <c r="G333" s="21" t="s">
        <v>2</v>
      </c>
      <c r="H333" s="20" t="s">
        <v>35</v>
      </c>
      <c r="I333" s="22" t="s">
        <v>85</v>
      </c>
      <c r="J333" s="20">
        <v>20356631</v>
      </c>
      <c r="K333" s="22" t="s">
        <v>142</v>
      </c>
      <c r="L333" s="23">
        <v>5</v>
      </c>
      <c r="M333" s="24">
        <v>30</v>
      </c>
      <c r="N333" s="24">
        <v>150</v>
      </c>
    </row>
    <row r="334" hidden="1" spans="3:14">
      <c r="E334" s="19">
        <v>46035</v>
      </c>
      <c r="F334" s="20">
        <v>1570093</v>
      </c>
      <c r="G334" s="21" t="s">
        <v>2</v>
      </c>
      <c r="H334" s="20" t="s">
        <v>35</v>
      </c>
      <c r="I334" s="22" t="s">
        <v>85</v>
      </c>
      <c r="J334" s="20">
        <v>20356631</v>
      </c>
      <c r="K334" s="22" t="s">
        <v>142</v>
      </c>
      <c r="L334" s="23">
        <v>5</v>
      </c>
      <c r="M334" s="24">
        <v>30</v>
      </c>
      <c r="N334" s="24">
        <v>150</v>
      </c>
    </row>
    <row r="335" hidden="1" spans="3:14">
      <c r="E335" s="19">
        <v>46042</v>
      </c>
      <c r="F335" s="20">
        <v>1572019</v>
      </c>
      <c r="G335" s="21" t="s">
        <v>2</v>
      </c>
      <c r="H335" s="20" t="s">
        <v>35</v>
      </c>
      <c r="I335" s="22" t="s">
        <v>85</v>
      </c>
      <c r="J335" s="20">
        <v>20356631</v>
      </c>
      <c r="K335" s="22" t="s">
        <v>142</v>
      </c>
      <c r="L335" s="23">
        <v>5</v>
      </c>
      <c r="M335" s="24">
        <v>30</v>
      </c>
      <c r="N335" s="24">
        <v>150</v>
      </c>
    </row>
    <row r="336" hidden="1" spans="3:14">
      <c r="E336" s="14" t="s">
        <v>2</v>
      </c>
      <c r="F336" s="14" t="s">
        <v>2</v>
      </c>
      <c r="H336" s="14" t="s">
        <v>2</v>
      </c>
      <c r="I336" s="5" t="s">
        <v>2</v>
      </c>
      <c r="J336" s="14" t="s">
        <v>2</v>
      </c>
      <c r="K336" s="5" t="s">
        <v>2</v>
      </c>
      <c r="L336" s="26" t="s">
        <v>2</v>
      </c>
      <c r="M336" s="26" t="s">
        <v>2</v>
      </c>
      <c r="N336" s="26" t="s">
        <v>2</v>
      </c>
    </row>
    <row r="337" hidden="1" spans="1:14">
      <c r="C337" s="5" t="s">
        <v>2</v>
      </c>
      <c r="D337" s="5" t="s">
        <v>2</v>
      </c>
      <c r="E337" s="5" t="s">
        <v>2</v>
      </c>
      <c r="F337" s="5" t="s">
        <v>2</v>
      </c>
      <c r="H337" s="5" t="s">
        <v>2</v>
      </c>
      <c r="I337" s="5" t="s">
        <v>2</v>
      </c>
      <c r="J337" s="5" t="s">
        <v>2</v>
      </c>
      <c r="K337" s="5" t="s">
        <v>2</v>
      </c>
      <c r="L337" s="5" t="s">
        <v>2</v>
      </c>
      <c r="M337" s="5" t="s">
        <v>2</v>
      </c>
      <c r="N337" s="5" t="s">
        <v>2</v>
      </c>
    </row>
    <row r="338" ht="14.25" hidden="1" spans="1:14">
      <c r="C338" s="11" t="s">
        <v>2</v>
      </c>
      <c r="D338" s="11" t="s">
        <v>2</v>
      </c>
      <c r="E338" s="11" t="s">
        <v>143</v>
      </c>
      <c r="F338" s="8" t="s">
        <v>2</v>
      </c>
      <c r="G338" s="8" t="s">
        <v>2</v>
      </c>
      <c r="H338" s="8" t="s">
        <v>2</v>
      </c>
      <c r="I338" s="8" t="s">
        <v>2</v>
      </c>
      <c r="J338" s="8" t="s">
        <v>2</v>
      </c>
      <c r="K338" s="11" t="s">
        <v>2</v>
      </c>
      <c r="L338" s="12">
        <v>3</v>
      </c>
      <c r="M338" s="11" t="s">
        <v>2</v>
      </c>
      <c r="N338" s="13">
        <v>43.5</v>
      </c>
    </row>
    <row r="339" ht="14.25" hidden="1" spans="1:14">
      <c r="C339" s="5" t="s">
        <v>2</v>
      </c>
      <c r="D339" s="14" t="s">
        <v>2</v>
      </c>
      <c r="E339" s="15" t="s">
        <v>15</v>
      </c>
      <c r="F339" s="8" t="s">
        <v>2</v>
      </c>
      <c r="G339" s="8" t="s">
        <v>2</v>
      </c>
      <c r="H339" s="16" t="s">
        <v>2</v>
      </c>
      <c r="I339" s="17" t="s">
        <v>2</v>
      </c>
      <c r="J339" s="16" t="s">
        <v>2</v>
      </c>
      <c r="K339" s="17" t="s">
        <v>2</v>
      </c>
      <c r="L339" s="18">
        <v>3</v>
      </c>
      <c r="M339" s="18" t="s">
        <v>2</v>
      </c>
      <c r="N339" s="18">
        <v>43.5</v>
      </c>
    </row>
    <row r="340" hidden="1" spans="1:14">
      <c r="E340" s="19">
        <v>46030</v>
      </c>
      <c r="F340" s="20">
        <v>1568875</v>
      </c>
      <c r="G340" s="21" t="s">
        <v>2</v>
      </c>
      <c r="H340" s="20" t="s">
        <v>21</v>
      </c>
      <c r="I340" s="22" t="s">
        <v>33</v>
      </c>
      <c r="J340" s="20">
        <v>20013542</v>
      </c>
      <c r="K340" s="22" t="s">
        <v>144</v>
      </c>
      <c r="L340" s="23">
        <v>1</v>
      </c>
      <c r="M340" s="24">
        <v>8</v>
      </c>
      <c r="N340" s="24">
        <v>8</v>
      </c>
    </row>
    <row r="341" hidden="1" spans="1:14">
      <c r="E341" s="19">
        <v>46030</v>
      </c>
      <c r="F341" s="20">
        <v>1568875</v>
      </c>
      <c r="G341" s="21" t="s">
        <v>2</v>
      </c>
      <c r="H341" s="20" t="s">
        <v>21</v>
      </c>
      <c r="I341" s="22" t="s">
        <v>33</v>
      </c>
      <c r="J341" s="20">
        <v>20013543</v>
      </c>
      <c r="K341" s="22" t="s">
        <v>145</v>
      </c>
      <c r="L341" s="23">
        <v>1</v>
      </c>
      <c r="M341" s="24">
        <v>8</v>
      </c>
      <c r="N341" s="24">
        <v>8</v>
      </c>
    </row>
    <row r="342" hidden="1" spans="1:14">
      <c r="E342" s="19">
        <v>46041</v>
      </c>
      <c r="F342" s="20">
        <v>1571683</v>
      </c>
      <c r="G342" s="21" t="s">
        <v>2</v>
      </c>
      <c r="H342" s="20" t="s">
        <v>16</v>
      </c>
      <c r="I342" s="22" t="s">
        <v>17</v>
      </c>
      <c r="J342" s="20">
        <v>20009159</v>
      </c>
      <c r="K342" s="22" t="s">
        <v>146</v>
      </c>
      <c r="L342" s="23">
        <v>1</v>
      </c>
      <c r="M342" s="24">
        <v>27.5</v>
      </c>
      <c r="N342" s="24">
        <v>27.5</v>
      </c>
    </row>
    <row r="343" hidden="1" spans="1:14">
      <c r="E343" s="14" t="s">
        <v>2</v>
      </c>
      <c r="F343" s="14" t="s">
        <v>2</v>
      </c>
      <c r="H343" s="14" t="s">
        <v>2</v>
      </c>
      <c r="I343" s="5" t="s">
        <v>2</v>
      </c>
      <c r="J343" s="14" t="s">
        <v>2</v>
      </c>
      <c r="K343" s="5" t="s">
        <v>2</v>
      </c>
      <c r="L343" s="26" t="s">
        <v>2</v>
      </c>
      <c r="M343" s="26" t="s">
        <v>2</v>
      </c>
      <c r="N343" s="26" t="s">
        <v>2</v>
      </c>
    </row>
    <row r="344" hidden="1" spans="1:14">
      <c r="C344" s="5" t="s">
        <v>2</v>
      </c>
      <c r="D344" s="5" t="s">
        <v>2</v>
      </c>
      <c r="E344" s="5" t="s">
        <v>2</v>
      </c>
      <c r="F344" s="5" t="s">
        <v>2</v>
      </c>
      <c r="H344" s="5" t="s">
        <v>2</v>
      </c>
      <c r="I344" s="5" t="s">
        <v>2</v>
      </c>
      <c r="J344" s="5" t="s">
        <v>2</v>
      </c>
      <c r="K344" s="5" t="s">
        <v>2</v>
      </c>
      <c r="L344" s="5" t="s">
        <v>2</v>
      </c>
      <c r="M344" s="5" t="s">
        <v>2</v>
      </c>
      <c r="N344" s="5" t="s">
        <v>2</v>
      </c>
    </row>
    <row r="345" hidden="1" spans="1:14">
      <c r="A345" s="5" t="s">
        <v>2</v>
      </c>
      <c r="C345" s="5" t="s">
        <v>2</v>
      </c>
      <c r="D345" s="5" t="s">
        <v>2</v>
      </c>
      <c r="E345" s="5" t="s">
        <v>2</v>
      </c>
      <c r="F345" s="5" t="s">
        <v>2</v>
      </c>
      <c r="H345" s="5" t="s">
        <v>2</v>
      </c>
      <c r="I345" s="5" t="s">
        <v>2</v>
      </c>
      <c r="J345" s="5" t="s">
        <v>2</v>
      </c>
      <c r="K345" s="5" t="s">
        <v>2</v>
      </c>
      <c r="L345" s="5" t="s">
        <v>2</v>
      </c>
      <c r="M345" s="5" t="s">
        <v>2</v>
      </c>
      <c r="N345" s="5" t="s">
        <v>2</v>
      </c>
    </row>
    <row r="346" ht="0.05" customHeight="1"/>
  </sheetData>
  <autoFilter xmlns:etc="http://www.wps.cn/officeDocument/2017/etCustomData" ref="A12:N345" etc:filterBottomFollowUsedRange="0">
    <filterColumn colId="4">
      <filters>
        <dateGroupItem year="2026" month="1" day="17" dateTimeGrouping="day"/>
      </filters>
    </filterColumn>
    <extLst/>
  </autoFilter>
  <mergeCells count="366">
    <mergeCell ref="A12:B12"/>
    <mergeCell ref="F12:G12"/>
    <mergeCell ref="A13:B13"/>
    <mergeCell ref="E13:J13"/>
    <mergeCell ref="E14:J14"/>
    <mergeCell ref="E15:G15"/>
    <mergeCell ref="F16:G16"/>
    <mergeCell ref="F17:G17"/>
    <mergeCell ref="F18:G18"/>
    <mergeCell ref="F19:G19"/>
    <mergeCell ref="F20:G20"/>
    <mergeCell ref="F21:G21"/>
    <mergeCell ref="E22:J22"/>
    <mergeCell ref="E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E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E69:J69"/>
    <mergeCell ref="E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E101:J101"/>
    <mergeCell ref="E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E171:J171"/>
    <mergeCell ref="E172:G172"/>
    <mergeCell ref="F173:G173"/>
    <mergeCell ref="F174:G174"/>
    <mergeCell ref="F175:G175"/>
    <mergeCell ref="F176:G176"/>
    <mergeCell ref="E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E204:J204"/>
    <mergeCell ref="E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E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E290:J290"/>
    <mergeCell ref="E291:G291"/>
    <mergeCell ref="F292:G292"/>
    <mergeCell ref="F293:G293"/>
    <mergeCell ref="F294:G294"/>
    <mergeCell ref="F295:G295"/>
    <mergeCell ref="F296:G296"/>
    <mergeCell ref="F297:G297"/>
    <mergeCell ref="F298:G298"/>
    <mergeCell ref="E299:G299"/>
    <mergeCell ref="F300:G300"/>
    <mergeCell ref="F301:G301"/>
    <mergeCell ref="F302:G302"/>
    <mergeCell ref="F303:G303"/>
    <mergeCell ref="E304:J304"/>
    <mergeCell ref="E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E331:J331"/>
    <mergeCell ref="E332:G332"/>
    <mergeCell ref="F333:G333"/>
    <mergeCell ref="F334:G334"/>
    <mergeCell ref="F335:G335"/>
    <mergeCell ref="F336:G336"/>
    <mergeCell ref="F337:G337"/>
    <mergeCell ref="E338:J338"/>
    <mergeCell ref="E339:G339"/>
    <mergeCell ref="F340:G340"/>
    <mergeCell ref="F341:G341"/>
    <mergeCell ref="F342:G342"/>
    <mergeCell ref="F343:G343"/>
    <mergeCell ref="F344:G344"/>
    <mergeCell ref="A345:B345"/>
    <mergeCell ref="F345:G345"/>
    <mergeCell ref="C15:C20"/>
    <mergeCell ref="C23:C67"/>
    <mergeCell ref="C70:C99"/>
    <mergeCell ref="C102:C169"/>
    <mergeCell ref="C172:C202"/>
    <mergeCell ref="C205:C288"/>
    <mergeCell ref="C291:C302"/>
    <mergeCell ref="C305:C329"/>
    <mergeCell ref="C332:C336"/>
    <mergeCell ref="C339:C343"/>
    <mergeCell ref="D15:D20"/>
    <mergeCell ref="D23:D39"/>
    <mergeCell ref="D40:D67"/>
    <mergeCell ref="D70:D99"/>
    <mergeCell ref="D102:D169"/>
    <mergeCell ref="D172:D176"/>
    <mergeCell ref="D177:D202"/>
    <mergeCell ref="D205:D241"/>
    <mergeCell ref="D242:D288"/>
    <mergeCell ref="D291:D298"/>
    <mergeCell ref="D299:D302"/>
    <mergeCell ref="D305:D329"/>
    <mergeCell ref="D332:D336"/>
    <mergeCell ref="D339:D343"/>
    <mergeCell ref="B1:K2"/>
    <mergeCell ref="B4:K5"/>
    <mergeCell ref="A14:B344"/>
    <mergeCell ref="G8:L9"/>
    <mergeCell ref="M9:N10"/>
  </mergeCells>
  <pageMargins left="0.814959842519685" right="0.814959842519685" top="0.814959842519685" bottom="1.37675984251969" header="0.814959842519685" footer="0.814959842519685"/>
  <pageSetup paperSize="9" orientation="portrait" horizontalDpi="300" verticalDpi="300"/>
  <headerFooter alignWithMargins="0">
    <oddFooter>&amp;L&amp;"Droid Sans Fallback,Bold"&amp;9 RPTGL-0018 
&amp;"-,Regular"执行用户: 
&amp;"-,Regular"销售内勤 &amp;C&amp;"Droid Sans Fallback,Regular"&amp;9 执行时间: 
&amp;"-,Regular"2026年1月27日 10:47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2026-01-27T02:48:00Z</dcterms:created>
  <dcterms:modified xsi:type="dcterms:W3CDTF">2026-01-27T07:09:19Z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3DACE56C357B4F4894396882F80C7DDD_13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