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手术室" sheetId="1" r:id="rId1"/>
    <sheet name="住院部" sheetId="2" r:id="rId2"/>
  </sheets>
  <definedNames>
    <definedName name="_xlnm._FilterDatabase" localSheetId="0" hidden="1">手术室!$A$9:$K$41</definedName>
    <definedName name="_xlnm.Print_Titles" localSheetId="0">手术室!$1:$6</definedName>
    <definedName name="_xlnm.Print_Titles" localSheetId="1">住院部!$1:$6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<sst xmlns="http://schemas.openxmlformats.org/spreadsheetml/2006/main" count="114" uniqueCount="28">
  <si>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</si>
  <si>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</si>
  <si>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</si>
  <si>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黑龙江东大肛肠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</si>
  <si>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</si>
  <si>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</si>
  <si>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</si>
  <si>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</si>
  <si>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</si>
  <si>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</si>
  <si>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</si>
  <si>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</si>
  <si>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</si>
  <si>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</si>
  <si>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持针器-1/z1029</t>
  </si>
  <si>
    <t>探针1刮勺1/z7530</t>
  </si>
  <si>
    <t>筒式肛门镜-1/z2032</t>
  </si>
  <si>
    <t>弯剪-2/z1029</t>
  </si>
  <si>
    <t>止血钳-2/z1530</t>
  </si>
  <si>
    <t>器械包(ZSD)</t>
  </si>
  <si>
    <t>肛肠包</t>
  </si>
  <si>
    <t>手术包</t>
  </si>
  <si>
    <t>病理钳1刮勺1/z2032</t>
  </si>
  <si>
    <t>缝合针（数量不定）-1/z7520</t>
  </si>
  <si>
    <t>直剪-2/z1029</t>
  </si>
  <si>
    <t>住院部</t>
  </si>
  <si>
    <t>额外包(ETO)</t>
  </si>
  <si>
    <t>简易呼吸器-2件/z3050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</si>
</sst>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76200</xdr:rowOff>
    </xdr:from>
    <xdr:to>
      <xdr:col>9</xdr:col>
      <xdr:colOff>776053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19050</xdr:rowOff>
    </xdr:from>
    <xdr:to>
      <xdr:col>9</xdr:col>
      <xdr:colOff>785578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40" sqref="D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  <col min="12" max="12" width="9.375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190</v>
      </c>
      <c r="J10" s="10"/>
      <c r="K10" s="10">
        <v>6094.5</v>
      </c>
      <c r="L10">
        <f>6094.5+44</f>
        <v>6138.5</v>
      </c>
    </row>
    <row r="11" spans="2:12">
      <c r="D11" s="11">
        <v>46114</v>
      </c>
      <c r="E11" s="12">
        <v>1591466</v>
      </c>
      <c r="F11" s="12" t="s">
        <v>13</v>
      </c>
      <c r="G11" s="13">
        <v>20356925</v>
      </c>
      <c r="H11" s="12" t="s">
        <v>14</v>
      </c>
      <c r="I11" s="13">
        <v>1</v>
      </c>
      <c r="J11" s="14">
        <v>8</v>
      </c>
      <c r="K11" s="14">
        <v>8</v>
      </c>
      <c r="L11">
        <f>L10*0.75</f>
        <v>4603.875</v>
      </c>
    </row>
    <row r="12" spans="2:12">
      <c r="D12" s="11">
        <v>46114</v>
      </c>
      <c r="E12" s="12">
        <v>1591466</v>
      </c>
      <c r="F12" s="12" t="s">
        <v>13</v>
      </c>
      <c r="G12" s="13">
        <v>20338639</v>
      </c>
      <c r="H12" s="12" t="s">
        <v>15</v>
      </c>
      <c r="I12" s="13">
        <v>1</v>
      </c>
      <c r="J12" s="14">
        <v>13.5</v>
      </c>
      <c r="K12" s="14">
        <v>13.5</v>
      </c>
    </row>
    <row r="13" spans="2:12">
      <c r="D13" s="11">
        <v>46114</v>
      </c>
      <c r="E13" s="12">
        <v>1591466</v>
      </c>
      <c r="F13" s="12" t="s">
        <v>13</v>
      </c>
      <c r="G13" s="13">
        <v>20311921</v>
      </c>
      <c r="H13" s="12" t="s">
        <v>16</v>
      </c>
      <c r="I13" s="13">
        <v>2</v>
      </c>
      <c r="J13" s="14">
        <v>13</v>
      </c>
      <c r="K13" s="14">
        <v>26</v>
      </c>
    </row>
    <row r="14" spans="2:12">
      <c r="D14" s="11">
        <v>46114</v>
      </c>
      <c r="E14" s="12">
        <v>1591466</v>
      </c>
      <c r="F14" s="12" t="s">
        <v>13</v>
      </c>
      <c r="G14" s="13">
        <v>20311551</v>
      </c>
      <c r="H14" s="12" t="s">
        <v>17</v>
      </c>
      <c r="I14" s="13">
        <v>2</v>
      </c>
      <c r="J14" s="14">
        <v>13.5</v>
      </c>
      <c r="K14" s="14">
        <v>27</v>
      </c>
    </row>
    <row r="15" spans="2:12">
      <c r="D15" s="11">
        <v>46114</v>
      </c>
      <c r="E15" s="12">
        <v>1591466</v>
      </c>
      <c r="F15" s="12" t="s">
        <v>13</v>
      </c>
      <c r="G15" s="13">
        <v>20311657</v>
      </c>
      <c r="H15" s="12" t="s">
        <v>18</v>
      </c>
      <c r="I15" s="13">
        <v>2</v>
      </c>
      <c r="J15" s="14">
        <v>16.5</v>
      </c>
      <c r="K15" s="14">
        <v>33</v>
      </c>
    </row>
    <row r="16" spans="2:12">
      <c r="D16" s="11">
        <v>46114</v>
      </c>
      <c r="E16" s="12">
        <v>1591466</v>
      </c>
      <c r="F16" s="12" t="s">
        <v>19</v>
      </c>
      <c r="G16" s="13">
        <v>20311375</v>
      </c>
      <c r="H16" s="12" t="s">
        <v>20</v>
      </c>
      <c r="I16" s="13">
        <v>5</v>
      </c>
      <c r="J16" s="14">
        <v>44</v>
      </c>
      <c r="K16" s="14">
        <v>220</v>
      </c>
    </row>
    <row r="17" spans="4:11">
      <c r="D17" s="11">
        <v>46114</v>
      </c>
      <c r="E17" s="12">
        <v>1591466</v>
      </c>
      <c r="F17" s="12" t="s">
        <v>19</v>
      </c>
      <c r="G17" s="13">
        <v>20311374</v>
      </c>
      <c r="H17" s="12" t="s">
        <v>21</v>
      </c>
      <c r="I17" s="13">
        <v>32</v>
      </c>
      <c r="J17" s="14">
        <v>33</v>
      </c>
      <c r="K17" s="14">
        <v>1056</v>
      </c>
    </row>
    <row r="18" spans="4:11">
      <c r="D18" s="11">
        <v>46114</v>
      </c>
      <c r="E18" s="12">
        <v>1591515</v>
      </c>
      <c r="F18" s="12" t="s">
        <v>19</v>
      </c>
      <c r="G18" s="13">
        <v>20311375</v>
      </c>
      <c r="H18" s="12" t="s">
        <v>20</v>
      </c>
      <c r="I18" s="13">
        <v>8</v>
      </c>
      <c r="J18" s="14">
        <v>44</v>
      </c>
      <c r="K18" s="14">
        <v>352</v>
      </c>
    </row>
    <row r="19" spans="4:11">
      <c r="D19" s="11">
        <v>46126</v>
      </c>
      <c r="E19" s="12">
        <v>1594718</v>
      </c>
      <c r="F19" s="12" t="s">
        <v>13</v>
      </c>
      <c r="G19" s="13">
        <v>20311557</v>
      </c>
      <c r="H19" s="12" t="s">
        <v>22</v>
      </c>
      <c r="I19" s="13">
        <v>1</v>
      </c>
      <c r="J19" s="14">
        <v>16.5</v>
      </c>
      <c r="K19" s="14">
        <v>16.5</v>
      </c>
    </row>
    <row r="20" spans="4:11">
      <c r="D20" s="11">
        <v>46126</v>
      </c>
      <c r="E20" s="12">
        <v>1594718</v>
      </c>
      <c r="F20" s="12" t="s">
        <v>13</v>
      </c>
      <c r="G20" s="13">
        <v>20356925</v>
      </c>
      <c r="H20" s="12" t="s">
        <v>14</v>
      </c>
      <c r="I20" s="13">
        <v>1</v>
      </c>
      <c r="J20" s="14">
        <v>8</v>
      </c>
      <c r="K20" s="14">
        <v>8</v>
      </c>
    </row>
    <row r="21" spans="4:11">
      <c r="D21" s="11">
        <v>46126</v>
      </c>
      <c r="E21" s="12">
        <v>1594718</v>
      </c>
      <c r="F21" s="12" t="s">
        <v>13</v>
      </c>
      <c r="G21" s="13">
        <v>20311541</v>
      </c>
      <c r="H21" s="12" t="s">
        <v>23</v>
      </c>
      <c r="I21" s="13">
        <v>1</v>
      </c>
      <c r="J21" s="14">
        <v>8</v>
      </c>
      <c r="K21" s="14">
        <v>8</v>
      </c>
    </row>
    <row r="22" spans="4:11">
      <c r="D22" s="11">
        <v>46126</v>
      </c>
      <c r="E22" s="12">
        <v>1594718</v>
      </c>
      <c r="F22" s="12" t="s">
        <v>13</v>
      </c>
      <c r="G22" s="13">
        <v>20338639</v>
      </c>
      <c r="H22" s="12" t="s">
        <v>15</v>
      </c>
      <c r="I22" s="13">
        <v>2</v>
      </c>
      <c r="J22" s="14">
        <v>13.5</v>
      </c>
      <c r="K22" s="14">
        <v>27</v>
      </c>
    </row>
    <row r="23" spans="4:11">
      <c r="D23" s="11">
        <v>46126</v>
      </c>
      <c r="E23" s="12">
        <v>1594718</v>
      </c>
      <c r="F23" s="12" t="s">
        <v>13</v>
      </c>
      <c r="G23" s="13">
        <v>20311921</v>
      </c>
      <c r="H23" s="12" t="s">
        <v>16</v>
      </c>
      <c r="I23" s="13">
        <v>4</v>
      </c>
      <c r="J23" s="14">
        <v>13</v>
      </c>
      <c r="K23" s="14">
        <v>52</v>
      </c>
    </row>
    <row r="24" spans="4:11">
      <c r="D24" s="11">
        <v>46126</v>
      </c>
      <c r="E24" s="12">
        <v>1594718</v>
      </c>
      <c r="F24" s="12" t="s">
        <v>13</v>
      </c>
      <c r="G24" s="13">
        <v>20311551</v>
      </c>
      <c r="H24" s="12" t="s">
        <v>17</v>
      </c>
      <c r="I24" s="13">
        <v>1</v>
      </c>
      <c r="J24" s="14">
        <v>13.5</v>
      </c>
      <c r="K24" s="14">
        <v>13.5</v>
      </c>
    </row>
    <row r="25" spans="4:11">
      <c r="D25" s="11">
        <v>46126</v>
      </c>
      <c r="E25" s="12">
        <v>1594718</v>
      </c>
      <c r="F25" s="12" t="s">
        <v>13</v>
      </c>
      <c r="G25" s="13">
        <v>20311553</v>
      </c>
      <c r="H25" s="12" t="s">
        <v>24</v>
      </c>
      <c r="I25" s="13">
        <v>1</v>
      </c>
      <c r="J25" s="14">
        <v>13.5</v>
      </c>
      <c r="K25" s="14">
        <v>13.5</v>
      </c>
    </row>
    <row r="26" spans="4:11">
      <c r="D26" s="11">
        <v>46126</v>
      </c>
      <c r="E26" s="12">
        <v>1594718</v>
      </c>
      <c r="F26" s="12" t="s">
        <v>13</v>
      </c>
      <c r="G26" s="13">
        <v>20311657</v>
      </c>
      <c r="H26" s="12" t="s">
        <v>18</v>
      </c>
      <c r="I26" s="13">
        <v>2</v>
      </c>
      <c r="J26" s="14">
        <v>16.5</v>
      </c>
      <c r="K26" s="14">
        <v>33</v>
      </c>
    </row>
    <row r="27" spans="4:11">
      <c r="D27" s="11">
        <v>46126</v>
      </c>
      <c r="E27" s="12">
        <v>1594718</v>
      </c>
      <c r="F27" s="12" t="s">
        <v>19</v>
      </c>
      <c r="G27" s="13">
        <v>20311375</v>
      </c>
      <c r="H27" s="12" t="s">
        <v>20</v>
      </c>
      <c r="I27" s="13">
        <v>13</v>
      </c>
      <c r="J27" s="14">
        <v>44</v>
      </c>
      <c r="K27" s="14">
        <v>572</v>
      </c>
    </row>
    <row r="28" spans="4:11">
      <c r="D28" s="11">
        <v>46126</v>
      </c>
      <c r="E28" s="12">
        <v>1594718</v>
      </c>
      <c r="F28" s="12" t="s">
        <v>19</v>
      </c>
      <c r="G28" s="13">
        <v>20311374</v>
      </c>
      <c r="H28" s="12" t="s">
        <v>21</v>
      </c>
      <c r="I28" s="13">
        <v>28</v>
      </c>
      <c r="J28" s="14">
        <v>33</v>
      </c>
      <c r="K28" s="14">
        <v>924</v>
      </c>
    </row>
    <row r="29" spans="4:11">
      <c r="D29" s="11">
        <v>46135</v>
      </c>
      <c r="E29" s="12">
        <v>1597597</v>
      </c>
      <c r="F29" s="12" t="s">
        <v>13</v>
      </c>
      <c r="G29" s="13">
        <v>20356925</v>
      </c>
      <c r="H29" s="12" t="s">
        <v>14</v>
      </c>
      <c r="I29" s="13">
        <v>1</v>
      </c>
      <c r="J29" s="14">
        <v>8</v>
      </c>
      <c r="K29" s="14">
        <v>8</v>
      </c>
    </row>
    <row r="30" spans="4:11">
      <c r="D30" s="11">
        <v>46135</v>
      </c>
      <c r="E30" s="12">
        <v>1597597</v>
      </c>
      <c r="F30" s="12" t="s">
        <v>13</v>
      </c>
      <c r="G30" s="13">
        <v>20338639</v>
      </c>
      <c r="H30" s="12" t="s">
        <v>15</v>
      </c>
      <c r="I30" s="13">
        <v>1</v>
      </c>
      <c r="J30" s="14">
        <v>13.5</v>
      </c>
      <c r="K30" s="14">
        <v>13.5</v>
      </c>
    </row>
    <row r="31" spans="4:11">
      <c r="D31" s="11">
        <v>46135</v>
      </c>
      <c r="E31" s="12">
        <v>1597597</v>
      </c>
      <c r="F31" s="12" t="s">
        <v>13</v>
      </c>
      <c r="G31" s="13">
        <v>20311921</v>
      </c>
      <c r="H31" s="12" t="s">
        <v>16</v>
      </c>
      <c r="I31" s="13">
        <v>2</v>
      </c>
      <c r="J31" s="14">
        <v>13</v>
      </c>
      <c r="K31" s="14">
        <v>26</v>
      </c>
    </row>
    <row r="32" spans="4:11">
      <c r="D32" s="11">
        <v>46135</v>
      </c>
      <c r="E32" s="12">
        <v>1597597</v>
      </c>
      <c r="F32" s="12" t="s">
        <v>13</v>
      </c>
      <c r="G32" s="13">
        <v>20311553</v>
      </c>
      <c r="H32" s="12" t="s">
        <v>24</v>
      </c>
      <c r="I32" s="13">
        <v>1</v>
      </c>
      <c r="J32" s="14">
        <v>13.5</v>
      </c>
      <c r="K32" s="14">
        <v>13.5</v>
      </c>
    </row>
    <row r="33" spans="4:11">
      <c r="D33" s="11">
        <v>46135</v>
      </c>
      <c r="E33" s="12">
        <v>1597597</v>
      </c>
      <c r="F33" s="12" t="s">
        <v>13</v>
      </c>
      <c r="G33" s="13">
        <v>20311657</v>
      </c>
      <c r="H33" s="12" t="s">
        <v>18</v>
      </c>
      <c r="I33" s="13">
        <v>1</v>
      </c>
      <c r="J33" s="14">
        <v>16.5</v>
      </c>
      <c r="K33" s="14">
        <v>16.5</v>
      </c>
    </row>
    <row r="34" spans="4:11">
      <c r="D34" s="11">
        <v>46135</v>
      </c>
      <c r="E34" s="12">
        <v>1597597</v>
      </c>
      <c r="F34" s="12" t="s">
        <v>19</v>
      </c>
      <c r="G34" s="13">
        <v>20311375</v>
      </c>
      <c r="H34" s="12" t="s">
        <v>20</v>
      </c>
      <c r="I34" s="13">
        <v>7</v>
      </c>
      <c r="J34" s="14">
        <v>44</v>
      </c>
      <c r="K34" s="14">
        <v>308</v>
      </c>
    </row>
    <row r="35" spans="4:11">
      <c r="D35" s="11">
        <v>46135</v>
      </c>
      <c r="E35" s="12">
        <v>1597597</v>
      </c>
      <c r="F35" s="12" t="s">
        <v>19</v>
      </c>
      <c r="G35" s="13">
        <v>20311374</v>
      </c>
      <c r="H35" s="12" t="s">
        <v>21</v>
      </c>
      <c r="I35" s="13">
        <v>30</v>
      </c>
      <c r="J35" s="14">
        <v>33</v>
      </c>
      <c r="K35" s="14">
        <v>990</v>
      </c>
    </row>
    <row r="36" spans="4:11">
      <c r="D36" s="11">
        <v>46141</v>
      </c>
      <c r="E36" s="12">
        <v>1599322</v>
      </c>
      <c r="F36" s="12" t="s">
        <v>13</v>
      </c>
      <c r="G36" s="13">
        <v>20356925</v>
      </c>
      <c r="H36" s="12" t="s">
        <v>14</v>
      </c>
      <c r="I36" s="13">
        <v>1</v>
      </c>
      <c r="J36" s="14">
        <v>8</v>
      </c>
      <c r="K36" s="14">
        <v>8</v>
      </c>
    </row>
    <row r="37" spans="4:11">
      <c r="D37" s="11">
        <v>46141</v>
      </c>
      <c r="E37" s="12">
        <v>1599322</v>
      </c>
      <c r="F37" s="12" t="s">
        <v>13</v>
      </c>
      <c r="G37" s="13">
        <v>20338639</v>
      </c>
      <c r="H37" s="12" t="s">
        <v>15</v>
      </c>
      <c r="I37" s="13">
        <v>1</v>
      </c>
      <c r="J37" s="14">
        <v>13.5</v>
      </c>
      <c r="K37" s="14">
        <v>13.5</v>
      </c>
    </row>
    <row r="38" spans="4:11">
      <c r="D38" s="11">
        <v>46141</v>
      </c>
      <c r="E38" s="12">
        <v>1599322</v>
      </c>
      <c r="F38" s="12" t="s">
        <v>13</v>
      </c>
      <c r="G38" s="13">
        <v>20311921</v>
      </c>
      <c r="H38" s="12" t="s">
        <v>16</v>
      </c>
      <c r="I38" s="13">
        <v>1</v>
      </c>
      <c r="J38" s="14">
        <v>13</v>
      </c>
      <c r="K38" s="14">
        <v>13</v>
      </c>
    </row>
    <row r="39" spans="4:11">
      <c r="D39" s="11">
        <v>46141</v>
      </c>
      <c r="E39" s="12">
        <v>1599322</v>
      </c>
      <c r="F39" s="12" t="s">
        <v>13</v>
      </c>
      <c r="G39" s="13">
        <v>20311657</v>
      </c>
      <c r="H39" s="12" t="s">
        <v>18</v>
      </c>
      <c r="I39" s="13">
        <v>1</v>
      </c>
      <c r="J39" s="14">
        <v>16.5</v>
      </c>
      <c r="K39" s="14">
        <v>16.5</v>
      </c>
    </row>
    <row r="40" spans="4:11">
      <c r="D40" s="11">
        <v>46141</v>
      </c>
      <c r="E40" s="12">
        <v>1599322</v>
      </c>
      <c r="F40" s="12" t="s">
        <v>19</v>
      </c>
      <c r="G40" s="13">
        <v>20311375</v>
      </c>
      <c r="H40" s="12" t="s">
        <v>20</v>
      </c>
      <c r="I40" s="13">
        <v>7</v>
      </c>
      <c r="J40" s="14">
        <v>44</v>
      </c>
      <c r="K40" s="14">
        <v>308</v>
      </c>
    </row>
    <row r="41" spans="4:11">
      <c r="D41" s="11">
        <v>46141</v>
      </c>
      <c r="E41" s="12">
        <v>1599322</v>
      </c>
      <c r="F41" s="12" t="s">
        <v>19</v>
      </c>
      <c r="G41" s="13">
        <v>20311374</v>
      </c>
      <c r="H41" s="12" t="s">
        <v>21</v>
      </c>
      <c r="I41" s="13">
        <v>29</v>
      </c>
      <c r="J41" s="14">
        <v>33</v>
      </c>
      <c r="K41" s="14">
        <v>957</v>
      </c>
    </row>
  </sheetData>
  <autoFilter xmlns:etc="http://www.wps.cn/officeDocument/2017/etCustomData" ref="A9:K41" etc:filterBottomFollowUsedRange="0">
    <extLst/>
  </autoFilter>
  <mergeCells count="6">
    <mergeCell ref="D8:H8"/>
    <mergeCell ref="D10:H10"/>
    <mergeCell ref="C9:C41"/>
    <mergeCell ref="B4:H5"/>
    <mergeCell ref="A8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15:58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46127</v>
      </c>
      <c r="E9" s="12">
        <v>1594930</v>
      </c>
      <c r="F9" s="12" t="s">
        <v>26</v>
      </c>
      <c r="G9" s="13">
        <v>20311347</v>
      </c>
      <c r="H9" s="12" t="s">
        <v>27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15:58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住院部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2026-05-06T08:04:00Z</dcterms:created>
  <dcterms:modified xsi:type="dcterms:W3CDTF">2026-05-11T04:29:17Z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2AF5E51823114A52B4EFB2283DB17CBF_13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