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汇总" sheetId="6" r:id="rId1"/>
    <sheet name="妇科手术室" sheetId="1" r:id="rId2"/>
    <sheet name="化验室" sheetId="2" r:id="rId3"/>
    <sheet name="计划生育" sheetId="3" r:id="rId4"/>
    <sheet name="门诊妇科" sheetId="4" r:id="rId5"/>
    <sheet name="注射室" sheetId="5" r:id="rId6"/>
  </sheets>
  <definedNames>
    <definedName name="_xlnm._FilterDatabase" localSheetId="3" hidden="1">计划生育!$A$7:$K$53</definedName>
    <definedName name="_xlnm.Print_Titles" localSheetId="1">妇科手术室!$1:$6</definedName>
    <definedName name="_xlnm.Print_Titles" localSheetId="2">化验室!$1:$6</definedName>
    <definedName name="_xlnm.Print_Titles" localSheetId="3">计划生育!$1:$6</definedName>
    <definedName name="_xlnm.Print_Titles" localSheetId="4">门诊妇科!$1:$6</definedName>
    <definedName name="_xlnm.Print_Titles" localSheetId="5">注射室!$1:$6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<sst xmlns="http://schemas.openxmlformats.org/spreadsheetml/2006/main" count="246" uniqueCount="57">
  <si>
    <t>哈尔滨市南岗区妇产医院各科室2026年5月灭菌价格汇总</t>
  </si>
  <si>
    <t>科室</t>
  </si>
  <si>
    <t>价格</t>
  </si>
  <si>
    <t>签字</t>
  </si>
  <si>
    <t>分娩室</t>
  </si>
  <si>
    <t>妇科手术室</t>
  </si>
  <si>
    <t>化验室</t>
  </si>
  <si>
    <t>计划生育</t>
  </si>
  <si>
    <t>门诊妇科</t>
  </si>
  <si>
    <t>手术室</t>
  </si>
  <si>
    <t>注射室</t>
  </si>
  <si>
    <t>物流费</t>
  </si>
  <si>
    <t/>
  </si>
  <si>
    <t>合计</t>
  </si>
  <si>
    <t>肆仟零陆拾叁元整</t>
  </si>
  <si>
    <t>制表人：　　　　    　      　甲方核算人：　　　　　　甲方主管院长签字：</t>
  </si>
  <si>
    <t>黑龙江省铂康医疗灭菌有限公司
2026年5月31日</t>
  </si>
  <si>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</si>
  <si>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</si>
  <si>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>南岗区妇产医院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</si>
  <si>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</si>
  <si>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</si>
  <si>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</si>
  <si>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</si>
  <si>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</si>
  <si>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</si>
  <si>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</si>
  <si>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</si>
  <si>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器械包</t>
  </si>
  <si>
    <t>腹腔镜</t>
  </si>
  <si>
    <t>宫腔镜</t>
  </si>
  <si>
    <t>额外包(无纺布)</t>
  </si>
  <si>
    <t>盆2盘1杯1(腹腔镜里的)/w9050</t>
  </si>
  <si>
    <t>额外包(纸塑袋)</t>
  </si>
  <si>
    <t>带架方盘（算杯2件）/z3044</t>
  </si>
  <si>
    <t>小治疗盘-1/z3032</t>
  </si>
  <si>
    <t>敷料包(纸塑袋)</t>
  </si>
  <si>
    <t>棉球/Z2032</t>
  </si>
  <si>
    <t>扩棒（3.5）-1/z7526</t>
  </si>
  <si>
    <t>取环钩-1（保护）/z7534</t>
  </si>
  <si>
    <t>取环器-1/z1535</t>
  </si>
  <si>
    <t>器械包(ZSD)</t>
  </si>
  <si>
    <t>取环包（90布）</t>
  </si>
  <si>
    <t>人流包（90布）</t>
  </si>
  <si>
    <t>上环包（90布）</t>
  </si>
  <si>
    <t>手术包（90布）</t>
  </si>
  <si>
    <t>药流包(90布！)</t>
  </si>
  <si>
    <t>止血钳-1/z1029</t>
  </si>
  <si>
    <t>5号吸头-1/z7534</t>
  </si>
  <si>
    <t>7号吸头-1/z7534</t>
  </si>
  <si>
    <t>宫颈钳-1/Z1535</t>
  </si>
  <si>
    <t>扩棒7-1/z7526</t>
  </si>
  <si>
    <t>剪刀-1/z1029</t>
  </si>
  <si>
    <t>扩棒（4 4.5 5）-3/z7526</t>
  </si>
  <si>
    <t>吸头6号-1/z7534</t>
  </si>
  <si>
    <t>纱布/Z1526</t>
  </si>
  <si>
    <t>弯盘-2/Z2032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</si>
</sst>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33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8"/>
      <color rgb="FF000000"/>
      <name val="Microsoft YaHei"/>
      <charset val="134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b/>
      <sz val="11"/>
      <color rgb="FF000000"/>
      <name val="Microsoft YaHei"/>
      <charset val="134"/>
    </font>
    <font>
      <sz val="11"/>
      <name val="Microsoft YaHei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6" borderId="14" applyNumberFormat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7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/>
  </cellStyleXfs>
  <cellXfs count="35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  <xf numFmtId="0" fontId="0" fillId="0" borderId="0" xfId="49" applyFont="1" applyFill="1" applyBorder="1"/>
    <xf numFmtId="0" fontId="6" fillId="0" borderId="5" xfId="0" applyNumberFormat="1" applyFont="1" applyFill="1" applyBorder="1" applyAlignment="1">
      <alignment horizontal="center" vertical="center" wrapText="1" readingOrder="1"/>
    </xf>
    <xf numFmtId="0" fontId="6" fillId="0" borderId="6" xfId="0" applyNumberFormat="1" applyFont="1" applyFill="1" applyBorder="1" applyAlignment="1">
      <alignment horizontal="center" vertical="center" wrapText="1" readingOrder="1"/>
    </xf>
    <xf numFmtId="0" fontId="6" fillId="0" borderId="7" xfId="0" applyNumberFormat="1" applyFont="1" applyFill="1" applyBorder="1" applyAlignment="1">
      <alignment horizontal="center" vertical="center" wrapText="1" readingOrder="1"/>
    </xf>
    <xf numFmtId="0" fontId="7" fillId="0" borderId="8" xfId="0" applyNumberFormat="1" applyFont="1" applyFill="1" applyBorder="1" applyAlignment="1">
      <alignment horizontal="center" vertical="center" wrapText="1" readingOrder="1"/>
    </xf>
    <xf numFmtId="0" fontId="8" fillId="0" borderId="9" xfId="0" applyNumberFormat="1" applyFont="1" applyFill="1" applyBorder="1" applyAlignment="1">
      <alignment horizontal="center" vertical="center" wrapText="1" readingOrder="1"/>
    </xf>
    <xf numFmtId="176" fontId="4" fillId="0" borderId="9" xfId="0" applyNumberFormat="1" applyFont="1" applyFill="1" applyBorder="1" applyAlignment="1">
      <alignment horizontal="center" vertical="center" wrapText="1" readingOrder="1"/>
    </xf>
    <xf numFmtId="176" fontId="8" fillId="0" borderId="9" xfId="0" applyNumberFormat="1" applyFont="1" applyFill="1" applyBorder="1" applyAlignment="1">
      <alignment horizontal="center" vertical="center" wrapText="1" readingOrder="1"/>
    </xf>
    <xf numFmtId="0" fontId="0" fillId="0" borderId="9" xfId="0" applyFont="1" applyFill="1" applyBorder="1" applyAlignment="1">
      <alignment vertical="center"/>
    </xf>
    <xf numFmtId="0" fontId="0" fillId="0" borderId="9" xfId="0" applyFont="1" applyFill="1" applyBorder="1" applyAlignment="1"/>
    <xf numFmtId="0" fontId="9" fillId="0" borderId="9" xfId="0" applyNumberFormat="1" applyFont="1" applyFill="1" applyBorder="1" applyAlignment="1">
      <alignment horizontal="center" vertical="center" wrapText="1" readingOrder="1"/>
    </xf>
    <xf numFmtId="0" fontId="10" fillId="0" borderId="9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center" vertical="center" wrapText="1" readingOrder="1"/>
    </xf>
    <xf numFmtId="0" fontId="8" fillId="0" borderId="0" xfId="0" applyNumberFormat="1" applyFont="1" applyFill="1" applyBorder="1" applyAlignment="1">
      <alignment horizontal="center" vertical="center" wrapText="1" readingOrder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right" vertical="center" wrapText="1" readingOrder="1"/>
    </xf>
    <xf numFmtId="0" fontId="10" fillId="0" borderId="0" xfId="0" applyFont="1" applyFill="1" applyBorder="1" applyAlignment="1">
      <alignment horizontal="righ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view="pageBreakPreview" zoomScaleNormal="100" workbookViewId="0">
      <selection activeCell="B3" sqref="B3:E7"/>
    </sheetView>
  </sheetViews>
  <sheetFormatPr defaultColWidth="9" defaultRowHeight="13.5" outlineLevelCol="5"/>
  <cols>
    <col min="1" max="1" width="16.25" customWidth="1"/>
    <col min="2" max="2" width="14.5083333333333" customWidth="1"/>
    <col min="3" max="3" width="18.125" customWidth="1"/>
    <col min="4" max="4" width="16.175" customWidth="1"/>
    <col min="5" max="5" width="13.5083333333333" customWidth="1"/>
    <col min="6" max="6" width="18.75" customWidth="1"/>
    <col min="16376" max="16378" width="9" style="18"/>
  </cols>
  <sheetData>
    <row r="1" customFormat="1" ht="38.75" customHeight="1" spans="1:6">
      <c r="A1" s="19" t="s">
        <v>0</v>
      </c>
      <c r="B1" s="20"/>
      <c r="C1" s="20"/>
      <c r="D1" s="20"/>
      <c r="E1" s="20"/>
      <c r="F1" s="21"/>
    </row>
    <row r="2" customFormat="1" ht="31.25" customHeight="1" spans="1:6">
      <c r="A2" s="22" t="s">
        <v>1</v>
      </c>
      <c r="B2" s="22" t="s">
        <v>2</v>
      </c>
      <c r="C2" s="22" t="s">
        <v>3</v>
      </c>
      <c r="D2" s="22" t="s">
        <v>1</v>
      </c>
      <c r="E2" s="22" t="s">
        <v>2</v>
      </c>
      <c r="F2" s="22" t="s">
        <v>3</v>
      </c>
    </row>
    <row r="3" customFormat="1" ht="30.5" customHeight="1" spans="1:6">
      <c r="A3" s="23" t="s">
        <v>4</v>
      </c>
      <c r="B3" s="24"/>
      <c r="C3" s="25"/>
      <c r="D3" s="23" t="s">
        <v>5</v>
      </c>
      <c r="E3" s="24">
        <v>673</v>
      </c>
      <c r="F3" s="25"/>
    </row>
    <row r="4" customFormat="1" ht="30.5" customHeight="1" spans="1:6">
      <c r="A4" s="23" t="s">
        <v>6</v>
      </c>
      <c r="B4" s="25">
        <v>40</v>
      </c>
      <c r="C4" s="25"/>
      <c r="D4" s="23" t="s">
        <v>7</v>
      </c>
      <c r="E4" s="24">
        <v>2733.5</v>
      </c>
      <c r="F4" s="25"/>
    </row>
    <row r="5" customFormat="1" ht="30.5" customHeight="1" spans="1:6">
      <c r="A5" s="23" t="s">
        <v>8</v>
      </c>
      <c r="B5" s="24">
        <v>50.5</v>
      </c>
      <c r="C5" s="25"/>
      <c r="D5" s="23" t="s">
        <v>9</v>
      </c>
      <c r="E5" s="24"/>
      <c r="F5" s="25"/>
    </row>
    <row r="6" customFormat="1" ht="30.5" customHeight="1" spans="1:6">
      <c r="A6" s="23" t="s">
        <v>10</v>
      </c>
      <c r="B6" s="24">
        <v>16</v>
      </c>
      <c r="C6" s="25"/>
      <c r="D6" s="26"/>
      <c r="E6" s="26"/>
      <c r="F6" s="23"/>
    </row>
    <row r="7" customFormat="1" ht="30.5" customHeight="1" spans="1:6">
      <c r="A7" s="23" t="s">
        <v>11</v>
      </c>
      <c r="B7" s="25">
        <v>550</v>
      </c>
      <c r="C7" s="25"/>
      <c r="D7" s="27"/>
      <c r="E7" s="23"/>
      <c r="F7" s="23" t="s">
        <v>12</v>
      </c>
    </row>
    <row r="8" customFormat="1" ht="30.5" customHeight="1" spans="1:6">
      <c r="A8" s="28" t="s">
        <v>13</v>
      </c>
      <c r="B8" s="25">
        <v>4063</v>
      </c>
      <c r="C8" s="25"/>
      <c r="D8" s="23" t="s">
        <v>14</v>
      </c>
      <c r="E8" s="23"/>
      <c r="F8" s="29"/>
    </row>
    <row r="9" customFormat="1" ht="30.5" customHeight="1" spans="1:6">
      <c r="A9" s="30" t="s">
        <v>12</v>
      </c>
      <c r="B9" s="30" t="s">
        <v>12</v>
      </c>
      <c r="C9" s="30"/>
      <c r="D9" s="30" t="s">
        <v>12</v>
      </c>
      <c r="E9" s="30"/>
      <c r="F9" s="30" t="s">
        <v>12</v>
      </c>
    </row>
    <row r="10" customFormat="1" ht="30.5" customHeight="1" spans="1:6">
      <c r="A10" s="31" t="s">
        <v>15</v>
      </c>
      <c r="B10" s="32"/>
      <c r="C10" s="32"/>
      <c r="D10" s="32"/>
      <c r="E10" s="32"/>
      <c r="F10" s="32"/>
    </row>
    <row r="11" customFormat="1" ht="90" customHeight="1" spans="1:6">
      <c r="A11" s="33" t="s">
        <v>16</v>
      </c>
      <c r="B11" s="34"/>
      <c r="C11" s="34"/>
      <c r="D11" s="34"/>
      <c r="E11" s="34"/>
      <c r="F11" s="34"/>
    </row>
  </sheetData>
  <mergeCells count="4">
    <mergeCell ref="A1:F1"/>
    <mergeCell ref="D8:F8"/>
    <mergeCell ref="A10:F10"/>
    <mergeCell ref="A11:F11"/>
  </mergeCells>
  <pageMargins left="0.25" right="0.25" top="0.75" bottom="0.75" header="0.298611111111111" footer="0.29861111111111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showGridLines="0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" customWidth="1"/>
  </cols>
  <sheetData>
    <row r="1" spans="2:12">
      <c r="C1" s="1" t="s">
        <v>17</v>
      </c>
    </row>
    <row r="2" ht="23.05" customHeight="1"/>
    <row r="3" ht="2" customHeight="1"/>
    <row r="4" ht="15.2" customHeight="1" spans="2:12">
      <c r="B4" s="2" t="s">
        <v>18</v>
      </c>
    </row>
    <row r="6" ht="2.95" customHeight="1"/>
    <row r="7" ht="3.95" customHeight="1" spans="2:12"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  <c r="J7" s="4" t="s">
        <v>12</v>
      </c>
      <c r="K7" s="4" t="s">
        <v>12</v>
      </c>
    </row>
    <row r="8" ht="15" spans="2:12">
      <c r="C8" s="3" t="s">
        <v>12</v>
      </c>
      <c r="D8" s="15" t="s">
        <v>19</v>
      </c>
      <c r="E8" s="8" t="s">
        <v>12</v>
      </c>
      <c r="F8" s="8" t="s">
        <v>12</v>
      </c>
      <c r="G8" s="8" t="s">
        <v>12</v>
      </c>
      <c r="H8" s="8" t="s">
        <v>12</v>
      </c>
      <c r="I8" s="16"/>
      <c r="J8" s="17"/>
      <c r="K8" s="17"/>
    </row>
    <row r="9" spans="2:12">
      <c r="C9" s="3" t="s">
        <v>12</v>
      </c>
      <c r="D9" s="13" t="s">
        <v>20</v>
      </c>
      <c r="E9" s="13" t="s">
        <v>21</v>
      </c>
      <c r="F9" s="13" t="s">
        <v>22</v>
      </c>
      <c r="G9" s="13" t="s">
        <v>23</v>
      </c>
      <c r="H9" s="13" t="s">
        <v>24</v>
      </c>
      <c r="I9" s="13" t="s">
        <v>25</v>
      </c>
      <c r="J9" s="13" t="s">
        <v>26</v>
      </c>
      <c r="K9" s="13" t="s">
        <v>27</v>
      </c>
    </row>
    <row r="10" ht="14.25" spans="2:12">
      <c r="D10" s="7" t="s">
        <v>5</v>
      </c>
      <c r="E10" s="8" t="s">
        <v>12</v>
      </c>
      <c r="F10" s="8" t="s">
        <v>12</v>
      </c>
      <c r="G10" s="8" t="s">
        <v>12</v>
      </c>
      <c r="H10" s="8" t="s">
        <v>12</v>
      </c>
      <c r="I10" s="9">
        <v>11</v>
      </c>
      <c r="J10" s="10"/>
      <c r="K10" s="10">
        <v>673</v>
      </c>
      <c r="L10">
        <f>K10+化验室!K8+计划生育!K8+门诊妇科!K8+注射室!K8</f>
        <v>3513</v>
      </c>
    </row>
    <row r="11" spans="2:12">
      <c r="D11" s="11">
        <v>46150</v>
      </c>
      <c r="E11" s="12">
        <v>1601299</v>
      </c>
      <c r="F11" s="12" t="s">
        <v>28</v>
      </c>
      <c r="G11" s="13">
        <v>20314814</v>
      </c>
      <c r="H11" s="12" t="s">
        <v>29</v>
      </c>
      <c r="I11" s="13">
        <v>2</v>
      </c>
      <c r="J11" s="14">
        <v>170.5</v>
      </c>
      <c r="K11" s="14">
        <f>J11*I11</f>
        <v>341</v>
      </c>
    </row>
    <row r="12" spans="2:12">
      <c r="D12" s="11">
        <v>46150</v>
      </c>
      <c r="E12" s="12">
        <v>1601299</v>
      </c>
      <c r="F12" s="12" t="s">
        <v>28</v>
      </c>
      <c r="G12" s="13">
        <v>20314815</v>
      </c>
      <c r="H12" s="12" t="s">
        <v>30</v>
      </c>
      <c r="I12" s="13">
        <v>1</v>
      </c>
      <c r="J12" s="14">
        <v>170.5</v>
      </c>
      <c r="K12" s="14">
        <f t="shared" ref="K12:K19" si="0">J12*I12</f>
        <v>170.5</v>
      </c>
    </row>
    <row r="13" spans="2:12">
      <c r="D13" s="11">
        <v>46150</v>
      </c>
      <c r="E13" s="12">
        <v>1601299</v>
      </c>
      <c r="F13" s="12" t="s">
        <v>31</v>
      </c>
      <c r="G13" s="13">
        <v>20314812</v>
      </c>
      <c r="H13" s="12" t="s">
        <v>32</v>
      </c>
      <c r="I13" s="13">
        <v>2</v>
      </c>
      <c r="J13" s="14">
        <v>32</v>
      </c>
      <c r="K13" s="14">
        <f t="shared" si="0"/>
        <v>64</v>
      </c>
    </row>
    <row r="14" spans="2:12">
      <c r="D14" s="11">
        <v>46153</v>
      </c>
      <c r="E14" s="12">
        <v>1602025</v>
      </c>
      <c r="F14" s="12" t="s">
        <v>33</v>
      </c>
      <c r="G14" s="13">
        <v>20314625</v>
      </c>
      <c r="H14" s="12" t="s">
        <v>34</v>
      </c>
      <c r="I14" s="13">
        <v>1</v>
      </c>
      <c r="J14" s="14">
        <v>16.5</v>
      </c>
      <c r="K14" s="14">
        <f t="shared" si="0"/>
        <v>16.5</v>
      </c>
    </row>
    <row r="15" spans="2:12">
      <c r="D15" s="11">
        <v>46153</v>
      </c>
      <c r="E15" s="12">
        <v>1602025</v>
      </c>
      <c r="F15" s="12" t="s">
        <v>33</v>
      </c>
      <c r="G15" s="13">
        <v>20314623</v>
      </c>
      <c r="H15" s="12" t="s">
        <v>35</v>
      </c>
      <c r="I15" s="13">
        <v>1</v>
      </c>
      <c r="J15" s="14">
        <v>16</v>
      </c>
      <c r="K15" s="14">
        <f t="shared" si="0"/>
        <v>16</v>
      </c>
    </row>
    <row r="16" spans="2:12">
      <c r="D16" s="11">
        <v>46160</v>
      </c>
      <c r="E16" s="12">
        <v>1604065</v>
      </c>
      <c r="F16" s="12" t="s">
        <v>33</v>
      </c>
      <c r="G16" s="13">
        <v>20314625</v>
      </c>
      <c r="H16" s="12" t="s">
        <v>34</v>
      </c>
      <c r="I16" s="13">
        <v>1</v>
      </c>
      <c r="J16" s="14">
        <v>16.5</v>
      </c>
      <c r="K16" s="14">
        <f t="shared" si="0"/>
        <v>16.5</v>
      </c>
    </row>
    <row r="17" spans="4:11">
      <c r="D17" s="11">
        <v>46160</v>
      </c>
      <c r="E17" s="12">
        <v>1604065</v>
      </c>
      <c r="F17" s="12" t="s">
        <v>33</v>
      </c>
      <c r="G17" s="13">
        <v>20314623</v>
      </c>
      <c r="H17" s="12" t="s">
        <v>35</v>
      </c>
      <c r="I17" s="13">
        <v>1</v>
      </c>
      <c r="J17" s="14">
        <v>16</v>
      </c>
      <c r="K17" s="14">
        <f t="shared" si="0"/>
        <v>16</v>
      </c>
    </row>
    <row r="18" spans="4:11">
      <c r="D18" s="11">
        <v>46167</v>
      </c>
      <c r="E18" s="12">
        <v>1606119</v>
      </c>
      <c r="F18" s="12" t="s">
        <v>33</v>
      </c>
      <c r="G18" s="13">
        <v>20314625</v>
      </c>
      <c r="H18" s="12" t="s">
        <v>34</v>
      </c>
      <c r="I18" s="13">
        <v>1</v>
      </c>
      <c r="J18" s="14">
        <v>16.5</v>
      </c>
      <c r="K18" s="14">
        <f t="shared" si="0"/>
        <v>16.5</v>
      </c>
    </row>
    <row r="19" spans="4:11">
      <c r="D19" s="11">
        <v>46167</v>
      </c>
      <c r="E19" s="12">
        <v>1606119</v>
      </c>
      <c r="F19" s="12" t="s">
        <v>33</v>
      </c>
      <c r="G19" s="13">
        <v>20314623</v>
      </c>
      <c r="H19" s="12" t="s">
        <v>35</v>
      </c>
      <c r="I19" s="13">
        <v>1</v>
      </c>
      <c r="J19" s="14">
        <v>16</v>
      </c>
      <c r="K19" s="14">
        <f t="shared" si="0"/>
        <v>16</v>
      </c>
    </row>
    <row r="20" ht="0.05" customHeight="1"/>
  </sheetData>
  <mergeCells count="6">
    <mergeCell ref="D8:H8"/>
    <mergeCell ref="D10:H10"/>
    <mergeCell ref="C9:C19"/>
    <mergeCell ref="B4:H5"/>
    <mergeCell ref="A8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13:32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75" customWidth="1"/>
  </cols>
  <sheetData>
    <row r="1" spans="1:11">
      <c r="C1" s="1" t="s">
        <v>17</v>
      </c>
    </row>
    <row r="2" ht="23.05" customHeight="1"/>
    <row r="3" ht="2" customHeight="1"/>
    <row r="4" ht="15.2" customHeight="1" spans="1:11">
      <c r="B4" s="2" t="s">
        <v>18</v>
      </c>
    </row>
    <row r="6" ht="2.95" customHeight="1"/>
    <row r="7" spans="1:11">
      <c r="A7" s="3" t="s">
        <v>12</v>
      </c>
      <c r="B7" s="4" t="s">
        <v>12</v>
      </c>
      <c r="C7" s="5" t="s">
        <v>12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</row>
    <row r="8" ht="14.25" spans="1:11">
      <c r="D8" s="7" t="s">
        <v>6</v>
      </c>
      <c r="E8" s="8" t="s">
        <v>12</v>
      </c>
      <c r="F8" s="8" t="s">
        <v>12</v>
      </c>
      <c r="G8" s="8" t="s">
        <v>12</v>
      </c>
      <c r="H8" s="8" t="s">
        <v>12</v>
      </c>
      <c r="I8" s="9">
        <v>10</v>
      </c>
      <c r="J8" s="10"/>
      <c r="K8" s="10">
        <v>40</v>
      </c>
    </row>
    <row r="9" spans="1:11">
      <c r="D9" s="11">
        <v>46155</v>
      </c>
      <c r="E9" s="12">
        <v>1602762</v>
      </c>
      <c r="F9" s="12" t="s">
        <v>36</v>
      </c>
      <c r="G9" s="13">
        <v>20352459</v>
      </c>
      <c r="H9" s="12" t="s">
        <v>37</v>
      </c>
      <c r="I9" s="13">
        <v>8</v>
      </c>
      <c r="J9" s="14">
        <v>4</v>
      </c>
      <c r="K9" s="14">
        <v>32</v>
      </c>
    </row>
    <row r="10" spans="1:11">
      <c r="D10" s="11">
        <v>46156</v>
      </c>
      <c r="E10" s="12">
        <v>1602926</v>
      </c>
      <c r="F10" s="12" t="s">
        <v>36</v>
      </c>
      <c r="G10" s="13">
        <v>20352459</v>
      </c>
      <c r="H10" s="12" t="s">
        <v>37</v>
      </c>
      <c r="I10" s="13">
        <v>2</v>
      </c>
      <c r="J10" s="14">
        <v>4</v>
      </c>
      <c r="K10" s="14">
        <v>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13:32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5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375" customWidth="1"/>
  </cols>
  <sheetData>
    <row r="1" spans="1:11">
      <c r="C1" s="1" t="s">
        <v>17</v>
      </c>
    </row>
    <row r="2" ht="23.05" customHeight="1"/>
    <row r="3" ht="2" customHeight="1"/>
    <row r="4" ht="15.2" customHeight="1" spans="1:11">
      <c r="B4" s="2" t="s">
        <v>18</v>
      </c>
    </row>
    <row r="6" ht="2.95" customHeight="1"/>
    <row r="7" spans="1:11">
      <c r="A7" s="3" t="s">
        <v>12</v>
      </c>
      <c r="B7" s="4" t="s">
        <v>12</v>
      </c>
      <c r="C7" s="5" t="s">
        <v>12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</row>
    <row r="8" ht="14.25" spans="1:11">
      <c r="D8" s="7" t="s">
        <v>7</v>
      </c>
      <c r="E8" s="8" t="s">
        <v>12</v>
      </c>
      <c r="F8" s="8" t="s">
        <v>12</v>
      </c>
      <c r="G8" s="8" t="s">
        <v>12</v>
      </c>
      <c r="H8" s="8" t="s">
        <v>12</v>
      </c>
      <c r="I8" s="9">
        <v>99</v>
      </c>
      <c r="J8" s="10"/>
      <c r="K8" s="10">
        <v>2733.5</v>
      </c>
    </row>
    <row r="9" spans="1:11">
      <c r="D9" s="11">
        <v>46148</v>
      </c>
      <c r="E9" s="12">
        <v>1600504</v>
      </c>
      <c r="F9" s="12" t="s">
        <v>33</v>
      </c>
      <c r="G9" s="13">
        <v>20314764</v>
      </c>
      <c r="H9" s="12" t="s">
        <v>38</v>
      </c>
      <c r="I9" s="13">
        <v>2</v>
      </c>
      <c r="J9" s="14">
        <v>8</v>
      </c>
      <c r="K9" s="14">
        <v>16</v>
      </c>
    </row>
    <row r="10" spans="1:11">
      <c r="D10" s="11">
        <v>46148</v>
      </c>
      <c r="E10" s="12">
        <v>1600504</v>
      </c>
      <c r="F10" s="12" t="s">
        <v>33</v>
      </c>
      <c r="G10" s="13">
        <v>20314786</v>
      </c>
      <c r="H10" s="12" t="s">
        <v>39</v>
      </c>
      <c r="I10" s="13">
        <v>1</v>
      </c>
      <c r="J10" s="14">
        <v>8</v>
      </c>
      <c r="K10" s="14">
        <v>8</v>
      </c>
    </row>
    <row r="11" spans="1:11">
      <c r="D11" s="11">
        <v>46148</v>
      </c>
      <c r="E11" s="12">
        <v>1600504</v>
      </c>
      <c r="F11" s="12" t="s">
        <v>33</v>
      </c>
      <c r="G11" s="13">
        <v>20314762</v>
      </c>
      <c r="H11" s="12" t="s">
        <v>40</v>
      </c>
      <c r="I11" s="13">
        <v>1</v>
      </c>
      <c r="J11" s="14">
        <v>8</v>
      </c>
      <c r="K11" s="14">
        <v>8</v>
      </c>
    </row>
    <row r="12" spans="1:11">
      <c r="D12" s="11">
        <v>46148</v>
      </c>
      <c r="E12" s="12">
        <v>1600504</v>
      </c>
      <c r="F12" s="12" t="s">
        <v>41</v>
      </c>
      <c r="G12" s="13">
        <v>20314636</v>
      </c>
      <c r="H12" s="12" t="s">
        <v>42</v>
      </c>
      <c r="I12" s="13">
        <v>7</v>
      </c>
      <c r="J12" s="14">
        <v>33</v>
      </c>
      <c r="K12" s="14">
        <v>231</v>
      </c>
    </row>
    <row r="13" spans="1:11">
      <c r="D13" s="11">
        <v>46148</v>
      </c>
      <c r="E13" s="12">
        <v>1600504</v>
      </c>
      <c r="F13" s="12" t="s">
        <v>41</v>
      </c>
      <c r="G13" s="13">
        <v>20314634</v>
      </c>
      <c r="H13" s="12" t="s">
        <v>43</v>
      </c>
      <c r="I13" s="13">
        <v>9</v>
      </c>
      <c r="J13" s="14">
        <v>33</v>
      </c>
      <c r="K13" s="14">
        <v>297</v>
      </c>
    </row>
    <row r="14" spans="1:11">
      <c r="D14" s="11">
        <v>46148</v>
      </c>
      <c r="E14" s="12">
        <v>1600504</v>
      </c>
      <c r="F14" s="12" t="s">
        <v>41</v>
      </c>
      <c r="G14" s="13">
        <v>20314635</v>
      </c>
      <c r="H14" s="12" t="s">
        <v>44</v>
      </c>
      <c r="I14" s="13">
        <v>2</v>
      </c>
      <c r="J14" s="14">
        <v>33</v>
      </c>
      <c r="K14" s="14">
        <v>66</v>
      </c>
    </row>
    <row r="15" spans="1:11">
      <c r="D15" s="11">
        <v>46148</v>
      </c>
      <c r="E15" s="12">
        <v>1600504</v>
      </c>
      <c r="F15" s="12" t="s">
        <v>41</v>
      </c>
      <c r="G15" s="13">
        <v>20323032</v>
      </c>
      <c r="H15" s="12" t="s">
        <v>45</v>
      </c>
      <c r="I15" s="13">
        <v>1</v>
      </c>
      <c r="J15" s="14">
        <v>22</v>
      </c>
      <c r="K15" s="14">
        <v>22</v>
      </c>
    </row>
    <row r="16" spans="1:11">
      <c r="D16" s="11">
        <v>46148</v>
      </c>
      <c r="E16" s="12">
        <v>1600504</v>
      </c>
      <c r="F16" s="12" t="s">
        <v>41</v>
      </c>
      <c r="G16" s="13">
        <v>20316639</v>
      </c>
      <c r="H16" s="12" t="s">
        <v>46</v>
      </c>
      <c r="I16" s="13">
        <v>1</v>
      </c>
      <c r="J16" s="14">
        <v>27.5</v>
      </c>
      <c r="K16" s="14">
        <v>27.5</v>
      </c>
    </row>
    <row r="17" spans="4:11">
      <c r="D17" s="11">
        <v>46150</v>
      </c>
      <c r="E17" s="12">
        <v>1601300</v>
      </c>
      <c r="F17" s="12" t="s">
        <v>41</v>
      </c>
      <c r="G17" s="13">
        <v>20314636</v>
      </c>
      <c r="H17" s="12" t="s">
        <v>42</v>
      </c>
      <c r="I17" s="13">
        <v>1</v>
      </c>
      <c r="J17" s="14">
        <v>33</v>
      </c>
      <c r="K17" s="14">
        <v>33</v>
      </c>
    </row>
    <row r="18" spans="4:11">
      <c r="D18" s="11">
        <v>46150</v>
      </c>
      <c r="E18" s="12">
        <v>1601300</v>
      </c>
      <c r="F18" s="12" t="s">
        <v>41</v>
      </c>
      <c r="G18" s="13">
        <v>20314634</v>
      </c>
      <c r="H18" s="12" t="s">
        <v>43</v>
      </c>
      <c r="I18" s="13">
        <v>3</v>
      </c>
      <c r="J18" s="14">
        <v>33</v>
      </c>
      <c r="K18" s="14">
        <v>99</v>
      </c>
    </row>
    <row r="19" spans="4:11">
      <c r="D19" s="11">
        <v>46150</v>
      </c>
      <c r="E19" s="12">
        <v>1601300</v>
      </c>
      <c r="F19" s="12" t="s">
        <v>41</v>
      </c>
      <c r="G19" s="13">
        <v>20323032</v>
      </c>
      <c r="H19" s="12" t="s">
        <v>45</v>
      </c>
      <c r="I19" s="13">
        <v>1</v>
      </c>
      <c r="J19" s="14">
        <v>22</v>
      </c>
      <c r="K19" s="14">
        <v>22</v>
      </c>
    </row>
    <row r="20" spans="4:11">
      <c r="D20" s="11">
        <v>46153</v>
      </c>
      <c r="E20" s="12">
        <v>1602026</v>
      </c>
      <c r="F20" s="12" t="s">
        <v>33</v>
      </c>
      <c r="G20" s="13">
        <v>20314786</v>
      </c>
      <c r="H20" s="12" t="s">
        <v>39</v>
      </c>
      <c r="I20" s="13">
        <v>1</v>
      </c>
      <c r="J20" s="14">
        <v>8</v>
      </c>
      <c r="K20" s="14">
        <v>8</v>
      </c>
    </row>
    <row r="21" spans="4:11">
      <c r="D21" s="11">
        <v>46153</v>
      </c>
      <c r="E21" s="12">
        <v>1602026</v>
      </c>
      <c r="F21" s="12" t="s">
        <v>41</v>
      </c>
      <c r="G21" s="13">
        <v>20314634</v>
      </c>
      <c r="H21" s="12" t="s">
        <v>43</v>
      </c>
      <c r="I21" s="13">
        <v>3</v>
      </c>
      <c r="J21" s="14">
        <v>33</v>
      </c>
      <c r="K21" s="14">
        <v>99</v>
      </c>
    </row>
    <row r="22" spans="4:11">
      <c r="D22" s="11">
        <v>46155</v>
      </c>
      <c r="E22" s="12">
        <v>1602763</v>
      </c>
      <c r="F22" s="12" t="s">
        <v>33</v>
      </c>
      <c r="G22" s="13">
        <v>20314771</v>
      </c>
      <c r="H22" s="12" t="s">
        <v>47</v>
      </c>
      <c r="I22" s="13">
        <v>2</v>
      </c>
      <c r="J22" s="14">
        <v>8</v>
      </c>
      <c r="K22" s="14">
        <v>16</v>
      </c>
    </row>
    <row r="23" spans="4:11">
      <c r="D23" s="11">
        <v>46155</v>
      </c>
      <c r="E23" s="12">
        <v>1602763</v>
      </c>
      <c r="F23" s="12" t="s">
        <v>41</v>
      </c>
      <c r="G23" s="13">
        <v>20314636</v>
      </c>
      <c r="H23" s="12" t="s">
        <v>42</v>
      </c>
      <c r="I23" s="13">
        <v>1</v>
      </c>
      <c r="J23" s="14">
        <v>33</v>
      </c>
      <c r="K23" s="14">
        <v>33</v>
      </c>
    </row>
    <row r="24" spans="4:11">
      <c r="D24" s="11">
        <v>46155</v>
      </c>
      <c r="E24" s="12">
        <v>1602763</v>
      </c>
      <c r="F24" s="12" t="s">
        <v>41</v>
      </c>
      <c r="G24" s="13">
        <v>20314634</v>
      </c>
      <c r="H24" s="12" t="s">
        <v>43</v>
      </c>
      <c r="I24" s="13">
        <v>1</v>
      </c>
      <c r="J24" s="14">
        <v>33</v>
      </c>
      <c r="K24" s="14">
        <v>33</v>
      </c>
    </row>
    <row r="25" spans="4:11">
      <c r="D25" s="11">
        <v>46155</v>
      </c>
      <c r="E25" s="12">
        <v>1602763</v>
      </c>
      <c r="F25" s="12" t="s">
        <v>41</v>
      </c>
      <c r="G25" s="13">
        <v>20314635</v>
      </c>
      <c r="H25" s="12" t="s">
        <v>44</v>
      </c>
      <c r="I25" s="13">
        <v>1</v>
      </c>
      <c r="J25" s="14">
        <v>33</v>
      </c>
      <c r="K25" s="14">
        <v>33</v>
      </c>
    </row>
    <row r="26" spans="4:11">
      <c r="D26" s="11">
        <v>46157</v>
      </c>
      <c r="E26" s="12">
        <v>1603533</v>
      </c>
      <c r="F26" s="12" t="s">
        <v>33</v>
      </c>
      <c r="G26" s="13">
        <v>20314786</v>
      </c>
      <c r="H26" s="12" t="s">
        <v>39</v>
      </c>
      <c r="I26" s="13">
        <v>1</v>
      </c>
      <c r="J26" s="14">
        <v>8</v>
      </c>
      <c r="K26" s="14">
        <v>8</v>
      </c>
    </row>
    <row r="27" spans="4:11">
      <c r="D27" s="11">
        <v>46157</v>
      </c>
      <c r="E27" s="12">
        <v>1603533</v>
      </c>
      <c r="F27" s="12" t="s">
        <v>41</v>
      </c>
      <c r="G27" s="13">
        <v>20314636</v>
      </c>
      <c r="H27" s="12" t="s">
        <v>42</v>
      </c>
      <c r="I27" s="13">
        <v>1</v>
      </c>
      <c r="J27" s="14">
        <v>33</v>
      </c>
      <c r="K27" s="14">
        <v>33</v>
      </c>
    </row>
    <row r="28" spans="4:11">
      <c r="D28" s="11">
        <v>46157</v>
      </c>
      <c r="E28" s="12">
        <v>1603533</v>
      </c>
      <c r="F28" s="12" t="s">
        <v>41</v>
      </c>
      <c r="G28" s="13">
        <v>20314634</v>
      </c>
      <c r="H28" s="12" t="s">
        <v>43</v>
      </c>
      <c r="I28" s="13">
        <v>4</v>
      </c>
      <c r="J28" s="14">
        <v>33</v>
      </c>
      <c r="K28" s="14">
        <v>132</v>
      </c>
    </row>
    <row r="29" spans="4:11">
      <c r="D29" s="11">
        <v>46160</v>
      </c>
      <c r="E29" s="12">
        <v>1604066</v>
      </c>
      <c r="F29" s="12" t="s">
        <v>33</v>
      </c>
      <c r="G29" s="13">
        <v>20323779</v>
      </c>
      <c r="H29" s="12" t="s">
        <v>48</v>
      </c>
      <c r="I29" s="13">
        <v>1</v>
      </c>
      <c r="J29" s="14">
        <v>8</v>
      </c>
      <c r="K29" s="14">
        <v>8</v>
      </c>
    </row>
    <row r="30" spans="4:11">
      <c r="D30" s="11">
        <v>46160</v>
      </c>
      <c r="E30" s="12">
        <v>1604066</v>
      </c>
      <c r="F30" s="12" t="s">
        <v>33</v>
      </c>
      <c r="G30" s="13">
        <v>20314766</v>
      </c>
      <c r="H30" s="12" t="s">
        <v>49</v>
      </c>
      <c r="I30" s="13">
        <v>1</v>
      </c>
      <c r="J30" s="14">
        <v>8</v>
      </c>
      <c r="K30" s="14">
        <v>8</v>
      </c>
    </row>
    <row r="31" spans="4:11">
      <c r="D31" s="11">
        <v>46160</v>
      </c>
      <c r="E31" s="12">
        <v>1604066</v>
      </c>
      <c r="F31" s="12" t="s">
        <v>41</v>
      </c>
      <c r="G31" s="13">
        <v>20314636</v>
      </c>
      <c r="H31" s="12" t="s">
        <v>42</v>
      </c>
      <c r="I31" s="13">
        <v>2</v>
      </c>
      <c r="J31" s="14">
        <v>33</v>
      </c>
      <c r="K31" s="14">
        <v>66</v>
      </c>
    </row>
    <row r="32" spans="4:11">
      <c r="D32" s="11">
        <v>46160</v>
      </c>
      <c r="E32" s="12">
        <v>1604066</v>
      </c>
      <c r="F32" s="12" t="s">
        <v>41</v>
      </c>
      <c r="G32" s="13">
        <v>20314634</v>
      </c>
      <c r="H32" s="12" t="s">
        <v>43</v>
      </c>
      <c r="I32" s="13">
        <v>6</v>
      </c>
      <c r="J32" s="14">
        <v>33</v>
      </c>
      <c r="K32" s="14">
        <v>198</v>
      </c>
    </row>
    <row r="33" spans="4:11">
      <c r="D33" s="11">
        <v>46164</v>
      </c>
      <c r="E33" s="12">
        <v>1605585</v>
      </c>
      <c r="F33" s="12" t="s">
        <v>33</v>
      </c>
      <c r="G33" s="13">
        <v>20314787</v>
      </c>
      <c r="H33" s="12" t="s">
        <v>50</v>
      </c>
      <c r="I33" s="13">
        <v>1</v>
      </c>
      <c r="J33" s="14">
        <v>8</v>
      </c>
      <c r="K33" s="14">
        <v>8</v>
      </c>
    </row>
    <row r="34" spans="4:11">
      <c r="D34" s="11">
        <v>46164</v>
      </c>
      <c r="E34" s="12">
        <v>1605585</v>
      </c>
      <c r="F34" s="12" t="s">
        <v>33</v>
      </c>
      <c r="G34" s="13">
        <v>20363309</v>
      </c>
      <c r="H34" s="12" t="s">
        <v>51</v>
      </c>
      <c r="I34" s="13">
        <v>1</v>
      </c>
      <c r="J34" s="14">
        <v>8</v>
      </c>
      <c r="K34" s="14">
        <v>8</v>
      </c>
    </row>
    <row r="35" spans="4:11">
      <c r="D35" s="11">
        <v>46164</v>
      </c>
      <c r="E35" s="12">
        <v>1605585</v>
      </c>
      <c r="F35" s="12" t="s">
        <v>33</v>
      </c>
      <c r="G35" s="13">
        <v>20314762</v>
      </c>
      <c r="H35" s="12" t="s">
        <v>40</v>
      </c>
      <c r="I35" s="13">
        <v>1</v>
      </c>
      <c r="J35" s="14">
        <v>8</v>
      </c>
      <c r="K35" s="14">
        <v>8</v>
      </c>
    </row>
    <row r="36" spans="4:11">
      <c r="D36" s="11">
        <v>46164</v>
      </c>
      <c r="E36" s="12">
        <v>1605585</v>
      </c>
      <c r="F36" s="12" t="s">
        <v>41</v>
      </c>
      <c r="G36" s="13">
        <v>20314636</v>
      </c>
      <c r="H36" s="12" t="s">
        <v>42</v>
      </c>
      <c r="I36" s="13">
        <v>4</v>
      </c>
      <c r="J36" s="14">
        <v>33</v>
      </c>
      <c r="K36" s="14">
        <v>132</v>
      </c>
    </row>
    <row r="37" spans="4:11">
      <c r="D37" s="11">
        <v>46164</v>
      </c>
      <c r="E37" s="12">
        <v>1605585</v>
      </c>
      <c r="F37" s="12" t="s">
        <v>41</v>
      </c>
      <c r="G37" s="13">
        <v>20314634</v>
      </c>
      <c r="H37" s="12" t="s">
        <v>43</v>
      </c>
      <c r="I37" s="13">
        <v>5</v>
      </c>
      <c r="J37" s="14">
        <v>33</v>
      </c>
      <c r="K37" s="14">
        <v>165</v>
      </c>
    </row>
    <row r="38" spans="4:11">
      <c r="D38" s="11">
        <v>46164</v>
      </c>
      <c r="E38" s="12">
        <v>1605585</v>
      </c>
      <c r="F38" s="12" t="s">
        <v>41</v>
      </c>
      <c r="G38" s="13">
        <v>20314635</v>
      </c>
      <c r="H38" s="12" t="s">
        <v>44</v>
      </c>
      <c r="I38" s="13">
        <v>2</v>
      </c>
      <c r="J38" s="14">
        <v>33</v>
      </c>
      <c r="K38" s="14">
        <v>66</v>
      </c>
    </row>
    <row r="39" spans="4:11">
      <c r="D39" s="11">
        <v>46167</v>
      </c>
      <c r="E39" s="12">
        <v>1606120</v>
      </c>
      <c r="F39" s="12" t="s">
        <v>33</v>
      </c>
      <c r="G39" s="13">
        <v>20314627</v>
      </c>
      <c r="H39" s="12" t="s">
        <v>52</v>
      </c>
      <c r="I39" s="13">
        <v>1</v>
      </c>
      <c r="J39" s="14">
        <v>8</v>
      </c>
      <c r="K39" s="14">
        <v>8</v>
      </c>
    </row>
    <row r="40" spans="4:11">
      <c r="D40" s="11">
        <v>46167</v>
      </c>
      <c r="E40" s="12">
        <v>1606120</v>
      </c>
      <c r="F40" s="12" t="s">
        <v>41</v>
      </c>
      <c r="G40" s="13">
        <v>20314636</v>
      </c>
      <c r="H40" s="12" t="s">
        <v>42</v>
      </c>
      <c r="I40" s="13">
        <v>5</v>
      </c>
      <c r="J40" s="14">
        <v>33</v>
      </c>
      <c r="K40" s="14">
        <v>165</v>
      </c>
    </row>
    <row r="41" spans="4:11">
      <c r="D41" s="11">
        <v>46167</v>
      </c>
      <c r="E41" s="12">
        <v>1606120</v>
      </c>
      <c r="F41" s="12" t="s">
        <v>41</v>
      </c>
      <c r="G41" s="13">
        <v>20314634</v>
      </c>
      <c r="H41" s="12" t="s">
        <v>43</v>
      </c>
      <c r="I41" s="13">
        <v>4</v>
      </c>
      <c r="J41" s="14">
        <v>33</v>
      </c>
      <c r="K41" s="14">
        <v>132</v>
      </c>
    </row>
    <row r="42" spans="4:11">
      <c r="D42" s="11">
        <v>46167</v>
      </c>
      <c r="E42" s="12">
        <v>1606120</v>
      </c>
      <c r="F42" s="12" t="s">
        <v>41</v>
      </c>
      <c r="G42" s="13">
        <v>20323032</v>
      </c>
      <c r="H42" s="12" t="s">
        <v>45</v>
      </c>
      <c r="I42" s="13">
        <v>2</v>
      </c>
      <c r="J42" s="14">
        <v>22</v>
      </c>
      <c r="K42" s="14">
        <v>44</v>
      </c>
    </row>
    <row r="43" spans="4:11">
      <c r="D43" s="11">
        <v>46169</v>
      </c>
      <c r="E43" s="12">
        <v>1606887</v>
      </c>
      <c r="F43" s="12" t="s">
        <v>33</v>
      </c>
      <c r="G43" s="13">
        <v>20314766</v>
      </c>
      <c r="H43" s="12" t="s">
        <v>49</v>
      </c>
      <c r="I43" s="13">
        <v>1</v>
      </c>
      <c r="J43" s="14">
        <v>8</v>
      </c>
      <c r="K43" s="14">
        <v>8</v>
      </c>
    </row>
    <row r="44" spans="4:11">
      <c r="D44" s="11">
        <v>46169</v>
      </c>
      <c r="E44" s="12">
        <v>1606887</v>
      </c>
      <c r="F44" s="12" t="s">
        <v>33</v>
      </c>
      <c r="G44" s="13">
        <v>20316640</v>
      </c>
      <c r="H44" s="12" t="s">
        <v>53</v>
      </c>
      <c r="I44" s="13">
        <v>1</v>
      </c>
      <c r="J44" s="14">
        <v>24</v>
      </c>
      <c r="K44" s="14">
        <v>24</v>
      </c>
    </row>
    <row r="45" spans="4:11">
      <c r="D45" s="11">
        <v>46169</v>
      </c>
      <c r="E45" s="12">
        <v>1606887</v>
      </c>
      <c r="F45" s="12" t="s">
        <v>33</v>
      </c>
      <c r="G45" s="13">
        <v>20314762</v>
      </c>
      <c r="H45" s="12" t="s">
        <v>40</v>
      </c>
      <c r="I45" s="13">
        <v>1</v>
      </c>
      <c r="J45" s="14">
        <v>8</v>
      </c>
      <c r="K45" s="14">
        <v>8</v>
      </c>
    </row>
    <row r="46" spans="4:11">
      <c r="D46" s="11">
        <v>46169</v>
      </c>
      <c r="E46" s="12">
        <v>1606887</v>
      </c>
      <c r="F46" s="12" t="s">
        <v>33</v>
      </c>
      <c r="G46" s="13">
        <v>20314769</v>
      </c>
      <c r="H46" s="12" t="s">
        <v>47</v>
      </c>
      <c r="I46" s="13">
        <v>1</v>
      </c>
      <c r="J46" s="14">
        <v>8</v>
      </c>
      <c r="K46" s="14">
        <v>8</v>
      </c>
    </row>
    <row r="47" spans="4:11">
      <c r="D47" s="11">
        <v>46169</v>
      </c>
      <c r="E47" s="12">
        <v>1606887</v>
      </c>
      <c r="F47" s="12" t="s">
        <v>41</v>
      </c>
      <c r="G47" s="13">
        <v>20314636</v>
      </c>
      <c r="H47" s="12" t="s">
        <v>42</v>
      </c>
      <c r="I47" s="13">
        <v>3</v>
      </c>
      <c r="J47" s="14">
        <v>33</v>
      </c>
      <c r="K47" s="14">
        <v>99</v>
      </c>
    </row>
    <row r="48" spans="4:11">
      <c r="D48" s="11">
        <v>46169</v>
      </c>
      <c r="E48" s="12">
        <v>1606887</v>
      </c>
      <c r="F48" s="12" t="s">
        <v>41</v>
      </c>
      <c r="G48" s="13">
        <v>20314634</v>
      </c>
      <c r="H48" s="12" t="s">
        <v>43</v>
      </c>
      <c r="I48" s="13">
        <v>5</v>
      </c>
      <c r="J48" s="14">
        <v>33</v>
      </c>
      <c r="K48" s="14">
        <v>165</v>
      </c>
    </row>
    <row r="49" spans="4:11">
      <c r="D49" s="11">
        <v>46169</v>
      </c>
      <c r="E49" s="12">
        <v>1606887</v>
      </c>
      <c r="F49" s="12" t="s">
        <v>41</v>
      </c>
      <c r="G49" s="13">
        <v>20314635</v>
      </c>
      <c r="H49" s="12" t="s">
        <v>44</v>
      </c>
      <c r="I49" s="13">
        <v>1</v>
      </c>
      <c r="J49" s="14">
        <v>33</v>
      </c>
      <c r="K49" s="14">
        <v>33</v>
      </c>
    </row>
    <row r="50" spans="4:11">
      <c r="D50" s="11">
        <v>46171</v>
      </c>
      <c r="E50" s="12">
        <v>1607608</v>
      </c>
      <c r="F50" s="12" t="s">
        <v>33</v>
      </c>
      <c r="G50" s="13">
        <v>20314762</v>
      </c>
      <c r="H50" s="12" t="s">
        <v>40</v>
      </c>
      <c r="I50" s="13">
        <v>1</v>
      </c>
      <c r="J50" s="14">
        <v>8</v>
      </c>
      <c r="K50" s="14">
        <v>8</v>
      </c>
    </row>
    <row r="51" spans="4:11">
      <c r="D51" s="11">
        <v>46171</v>
      </c>
      <c r="E51" s="12">
        <v>1607608</v>
      </c>
      <c r="F51" s="12" t="s">
        <v>33</v>
      </c>
      <c r="G51" s="13">
        <v>20320941</v>
      </c>
      <c r="H51" s="12" t="s">
        <v>54</v>
      </c>
      <c r="I51" s="13">
        <v>1</v>
      </c>
      <c r="J51" s="14">
        <v>8</v>
      </c>
      <c r="K51" s="14">
        <v>8</v>
      </c>
    </row>
    <row r="52" spans="4:11">
      <c r="D52" s="11">
        <v>46171</v>
      </c>
      <c r="E52" s="12">
        <v>1607608</v>
      </c>
      <c r="F52" s="12" t="s">
        <v>41</v>
      </c>
      <c r="G52" s="13">
        <v>20314636</v>
      </c>
      <c r="H52" s="12" t="s">
        <v>42</v>
      </c>
      <c r="I52" s="13">
        <v>2</v>
      </c>
      <c r="J52" s="14">
        <v>33</v>
      </c>
      <c r="K52" s="14">
        <v>66</v>
      </c>
    </row>
    <row r="53" spans="4:11">
      <c r="D53" s="11">
        <v>46171</v>
      </c>
      <c r="E53" s="12">
        <v>1607608</v>
      </c>
      <c r="F53" s="12" t="s">
        <v>41</v>
      </c>
      <c r="G53" s="13">
        <v>20314634</v>
      </c>
      <c r="H53" s="12" t="s">
        <v>43</v>
      </c>
      <c r="I53" s="13">
        <v>2</v>
      </c>
      <c r="J53" s="14">
        <v>33</v>
      </c>
      <c r="K53" s="14">
        <v>66</v>
      </c>
    </row>
  </sheetData>
  <autoFilter xmlns:etc="http://www.wps.cn/officeDocument/2017/etCustomData" ref="A7:K53" etc:filterBottomFollowUsedRange="0">
    <extLst/>
  </autoFilter>
  <mergeCells count="5">
    <mergeCell ref="D8:H8"/>
    <mergeCell ref="C7:C53"/>
    <mergeCell ref="B4:H5"/>
    <mergeCell ref="A7:B5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13:32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125" customWidth="1"/>
  </cols>
  <sheetData>
    <row r="1" spans="1:11">
      <c r="C1" s="1" t="s">
        <v>17</v>
      </c>
    </row>
    <row r="2" ht="23.05" customHeight="1"/>
    <row r="3" ht="2" customHeight="1"/>
    <row r="4" ht="15.2" customHeight="1" spans="1:11">
      <c r="B4" s="2" t="s">
        <v>18</v>
      </c>
    </row>
    <row r="6" ht="2.95" customHeight="1"/>
    <row r="7" spans="1:11">
      <c r="A7" s="3" t="s">
        <v>12</v>
      </c>
      <c r="B7" s="4" t="s">
        <v>12</v>
      </c>
      <c r="C7" s="5" t="s">
        <v>12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</row>
    <row r="8" ht="14.25" spans="1:11">
      <c r="D8" s="7" t="s">
        <v>8</v>
      </c>
      <c r="E8" s="8" t="s">
        <v>12</v>
      </c>
      <c r="F8" s="8" t="s">
        <v>12</v>
      </c>
      <c r="G8" s="8" t="s">
        <v>12</v>
      </c>
      <c r="H8" s="8" t="s">
        <v>12</v>
      </c>
      <c r="I8" s="9">
        <v>19</v>
      </c>
      <c r="J8" s="10"/>
      <c r="K8" s="10">
        <v>50.5</v>
      </c>
    </row>
    <row r="9" spans="1:11">
      <c r="D9" s="11">
        <v>46155</v>
      </c>
      <c r="E9" s="12">
        <v>1602764</v>
      </c>
      <c r="F9" s="12" t="s">
        <v>36</v>
      </c>
      <c r="G9" s="13">
        <v>20352459</v>
      </c>
      <c r="H9" s="12" t="s">
        <v>37</v>
      </c>
      <c r="I9" s="13">
        <v>4</v>
      </c>
      <c r="J9" s="14">
        <v>4</v>
      </c>
      <c r="K9" s="14">
        <v>16</v>
      </c>
    </row>
    <row r="10" spans="1:11">
      <c r="D10" s="11">
        <v>46155</v>
      </c>
      <c r="E10" s="12">
        <v>1602764</v>
      </c>
      <c r="F10" s="12" t="s">
        <v>36</v>
      </c>
      <c r="G10" s="13">
        <v>20314618</v>
      </c>
      <c r="H10" s="12" t="s">
        <v>55</v>
      </c>
      <c r="I10" s="13">
        <v>15</v>
      </c>
      <c r="J10" s="14">
        <v>2.3</v>
      </c>
      <c r="K10" s="14">
        <f>J10*I10</f>
        <v>34.5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13:32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17</v>
      </c>
    </row>
    <row r="2" ht="23.05" customHeight="1"/>
    <row r="3" ht="2" customHeight="1"/>
    <row r="4" ht="15.2" customHeight="1" spans="1:11">
      <c r="B4" s="2" t="s">
        <v>18</v>
      </c>
    </row>
    <row r="6" ht="2.95" customHeight="1"/>
    <row r="7" spans="1:11">
      <c r="A7" s="3" t="s">
        <v>12</v>
      </c>
      <c r="B7" s="4" t="s">
        <v>12</v>
      </c>
      <c r="C7" s="5" t="s">
        <v>12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</row>
    <row r="8" ht="14.25" spans="1:11">
      <c r="D8" s="7" t="s">
        <v>10</v>
      </c>
      <c r="E8" s="8" t="s">
        <v>12</v>
      </c>
      <c r="F8" s="8" t="s">
        <v>12</v>
      </c>
      <c r="G8" s="8" t="s">
        <v>12</v>
      </c>
      <c r="H8" s="8" t="s">
        <v>12</v>
      </c>
      <c r="I8" s="9">
        <v>1</v>
      </c>
      <c r="J8" s="10"/>
      <c r="K8" s="10">
        <v>16</v>
      </c>
    </row>
    <row r="9" spans="1:11">
      <c r="D9" s="11">
        <v>46171</v>
      </c>
      <c r="E9" s="12">
        <v>1607609</v>
      </c>
      <c r="F9" s="12" t="s">
        <v>33</v>
      </c>
      <c r="G9" s="13">
        <v>20370352</v>
      </c>
      <c r="H9" s="12" t="s">
        <v>56</v>
      </c>
      <c r="I9" s="13">
        <v>1</v>
      </c>
      <c r="J9" s="14">
        <v>16</v>
      </c>
      <c r="K9" s="14">
        <v>16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13:32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妇科手术室</vt:lpstr>
      <vt:lpstr>化验室</vt:lpstr>
      <vt:lpstr>计划生育</vt:lpstr>
      <vt:lpstr>门诊妇科</vt:lpstr>
      <vt:lpstr>注射室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2026-06-02T05:31:00Z</dcterms:created>
  <dcterms:modified xsi:type="dcterms:W3CDTF">2026-06-08T01:44:50Z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252C52DCD6094C7FB94124AE80CEB475_12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