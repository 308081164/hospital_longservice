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30" windowHeight="10920"/>
  </bookViews>
  <sheets>
    <sheet name="黑龙江省中医药大学附属第三医院（电力）" sheetId="1" r:id="rId1"/>
  </sheets>
  <externalReferences>
    <externalReference r:id="rId2"/>
  </externalReferences>
  <definedNames>
    <definedName name="_xlnm.Print_Titles" localSheetId="0">'黑龙江省中医药大学附属第三医院（电力）'!$1:$4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<sst xmlns="http://schemas.openxmlformats.org/spreadsheetml/2006/main" count="32" uniqueCount="17">
  <si>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/>
  </si>
  <si>
    <t>黑龙江中医药大学附属第三医院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</si>
  <si>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黑龙江中医药大学附属第三医院</t>
    </r>
  </si>
  <si>
    <t>从:2026年6月1日  至: 2026年6月30日 灭菌费用总清单如下：</t>
  </si>
  <si>
    <t>序号</t>
  </si>
  <si>
    <t>条目</t>
  </si>
  <si>
    <t>原价（元）</t>
  </si>
  <si>
    <t>7折后（元）</t>
  </si>
  <si>
    <t>灭菌费用</t>
  </si>
  <si>
    <t>外来器械</t>
  </si>
  <si>
    <t>加急灭菌费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</si>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</sst>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元&quot;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176" fontId="4" fillId="0" borderId="3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6" xfId="0" applyNumberFormat="1" applyFont="1" applyFill="1" applyBorder="1" applyAlignment="1">
      <alignment horizontal="center" vertical="center" wrapText="1" readingOrder="1"/>
    </xf>
    <xf numFmtId="0" fontId="0" fillId="0" borderId="4" xfId="0" applyNumberFormat="1" applyFont="1" applyFill="1" applyBorder="1" applyAlignment="1">
      <alignment vertical="center" wrapText="1"/>
    </xf>
    <xf numFmtId="177" fontId="3" fillId="0" borderId="4" xfId="0" applyNumberFormat="1" applyFont="1" applyFill="1" applyBorder="1" applyAlignment="1">
      <alignment horizontal="center" vertical="center" wrapText="1" readingOrder="1"/>
    </xf>
    <xf numFmtId="177" fontId="0" fillId="0" borderId="4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800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0465;&#20013;&#21307;&#33647;&#22823;&#23398;&#38468;&#23646;&#31532;&#19977;&#21307;&#38498;&#65288;&#30005;&#21147;&#65289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器械"/>
      <sheetName val="加急"/>
    </sheetNames>
    <sheetDataSet>
      <sheetData sheetId="0">
        <row r="8">
          <cell r="J8">
            <v>27636</v>
          </cell>
        </row>
      </sheetData>
      <sheetData sheetId="1">
        <row r="9">
          <cell r="L9">
            <v>1089</v>
          </cell>
        </row>
        <row r="21">
          <cell r="L21">
            <v>93.5</v>
          </cell>
        </row>
        <row r="26">
          <cell r="L26">
            <v>1214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2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7" sqref="F17:G17"/>
    </sheetView>
  </sheetViews>
  <sheetFormatPr defaultColWidth="9" defaultRowHeight="13.5" outlineLevelCol="6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17.4166666666667" customWidth="1"/>
    <col min="6" max="7" width="30.625" customWidth="1"/>
  </cols>
  <sheetData>
    <row r="1" ht="0.1" customHeight="1"/>
    <row r="2" ht="32.45" customHeight="1"/>
    <row r="3" ht="6.8" customHeight="1"/>
    <row r="4" ht="1.2" customHeight="1" spans="3:7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ht="9" customHeight="1"/>
    <row r="6" ht="18" customHeight="1" spans="3:7">
      <c r="D6" s="2" t="s">
        <v>1</v>
      </c>
    </row>
    <row r="7" ht="18" customHeight="1" spans="3:7">
      <c r="D7" s="3" t="s">
        <v>2</v>
      </c>
    </row>
    <row r="8" ht="15" spans="3:7">
      <c r="D8" s="4" t="s">
        <v>0</v>
      </c>
      <c r="E8" s="4" t="s">
        <v>0</v>
      </c>
      <c r="F8" s="4" t="s">
        <v>0</v>
      </c>
    </row>
    <row r="9" ht="18" customHeight="1" spans="3:7">
      <c r="D9" s="5" t="s">
        <v>3</v>
      </c>
    </row>
    <row r="10" ht="15" spans="3:7">
      <c r="D10" s="4" t="s">
        <v>0</v>
      </c>
      <c r="E10" s="4" t="s">
        <v>0</v>
      </c>
      <c r="F10" s="4" t="s">
        <v>0</v>
      </c>
    </row>
    <row r="11" ht="30" customHeight="1" spans="3:7">
      <c r="D11" s="6" t="s">
        <v>4</v>
      </c>
      <c r="E11" s="6" t="s">
        <v>5</v>
      </c>
      <c r="F11" s="7" t="s">
        <v>6</v>
      </c>
      <c r="G11" s="7" t="s">
        <v>7</v>
      </c>
    </row>
    <row r="12" ht="36" customHeight="1" spans="3:7">
      <c r="D12" s="8">
        <v>1</v>
      </c>
      <c r="E12" s="9" t="s">
        <v>8</v>
      </c>
      <c r="F12" s="10">
        <f>[1]账单!$J$8</f>
        <v>27636</v>
      </c>
      <c r="G12" s="10">
        <f>F12*0.7</f>
        <v>19345.2</v>
      </c>
    </row>
    <row r="13" ht="30" customHeight="1" spans="3:7">
      <c r="D13" s="8">
        <v>2</v>
      </c>
      <c r="E13" s="11" t="s">
        <v>9</v>
      </c>
      <c r="F13" s="10">
        <f>[1]外来器械!$L$9+[1]外来器械!$L$21+[1]外来器械!$L$26</f>
        <v>2396.5</v>
      </c>
      <c r="G13" s="10">
        <f>F13*0.7</f>
        <v>1677.55</v>
      </c>
    </row>
    <row r="14" ht="30" customHeight="1" spans="3:7">
      <c r="D14" s="8">
        <v>3</v>
      </c>
      <c r="E14" s="11" t="s">
        <v>10</v>
      </c>
      <c r="F14" s="10">
        <v>921.25</v>
      </c>
      <c r="G14" s="10">
        <f>F14*0.7</f>
        <v>644.875</v>
      </c>
    </row>
    <row r="15" ht="30" customHeight="1" spans="3:7">
      <c r="D15" s="8">
        <v>4</v>
      </c>
      <c r="E15" s="12" t="s">
        <v>11</v>
      </c>
      <c r="F15" s="13">
        <f>21*50+150</f>
        <v>1200</v>
      </c>
      <c r="G15" s="14"/>
    </row>
    <row r="16" ht="30" customHeight="1" spans="3:7">
      <c r="D16" s="12" t="s">
        <v>12</v>
      </c>
      <c r="E16" s="15" t="s">
        <v>0</v>
      </c>
      <c r="F16" s="13">
        <f>G12+G13+G14+F15</f>
        <v>22867.625</v>
      </c>
      <c r="G16" s="14"/>
    </row>
    <row r="17" ht="30" customHeight="1" spans="4:7">
      <c r="D17" s="12" t="s">
        <v>13</v>
      </c>
      <c r="E17" s="15" t="s">
        <v>0</v>
      </c>
      <c r="F17" s="16">
        <f>F16</f>
        <v>22867.625</v>
      </c>
      <c r="G17" s="17"/>
    </row>
    <row r="18" ht="12" customHeight="1" spans="4:7">
      <c r="D18" s="4" t="s">
        <v>0</v>
      </c>
    </row>
    <row r="19" ht="188.7" customHeight="1" spans="4:7">
      <c r="D19" s="5" t="s">
        <v>14</v>
      </c>
    </row>
    <row r="20" ht="18.75" spans="4:7">
      <c r="D20" s="18" t="s">
        <v>0</v>
      </c>
      <c r="E20" s="18" t="s">
        <v>0</v>
      </c>
      <c r="F20" s="19" t="s">
        <v>15</v>
      </c>
    </row>
    <row r="21" ht="36" customHeight="1" spans="4:7">
      <c r="D21" s="20" t="s">
        <v>16</v>
      </c>
    </row>
    <row r="22" ht="67.5" customHeight="1"/>
  </sheetData>
  <mergeCells count="15">
    <mergeCell ref="B2:F2"/>
    <mergeCell ref="D6:G6"/>
    <mergeCell ref="D7:G7"/>
    <mergeCell ref="F8:G8"/>
    <mergeCell ref="D9:G9"/>
    <mergeCell ref="F10:G10"/>
    <mergeCell ref="F15:G15"/>
    <mergeCell ref="D16:E16"/>
    <mergeCell ref="F16:G16"/>
    <mergeCell ref="D17:E17"/>
    <mergeCell ref="F17:G17"/>
    <mergeCell ref="D18:G18"/>
    <mergeCell ref="D19:G19"/>
    <mergeCell ref="F20:G20"/>
    <mergeCell ref="D21:G21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黑龙江省中医药大学附属第三医院（电力）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2024-07-02T06:29:00Z</dcterms:created>
  <dcterms:modified xsi:type="dcterms:W3CDTF">2026-07-08T07:58:58Z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347F9023996D4A9F964F88BC808BFE83_13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