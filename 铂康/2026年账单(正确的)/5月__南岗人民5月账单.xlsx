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妇科" sheetId="1" r:id="rId1"/>
    <sheet name="急诊科" sheetId="2" r:id="rId2"/>
    <sheet name="美容外科" sheetId="3" r:id="rId3"/>
    <sheet name="内一科" sheetId="4" r:id="rId4"/>
    <sheet name="手术室" sheetId="5" r:id="rId5"/>
    <sheet name="费用调整" sheetId="8" r:id="rId6"/>
    <sheet name="外科" sheetId="6" r:id="rId7"/>
    <sheet name="消化科" sheetId="7" r:id="rId8"/>
  </sheets>
  <definedNames>
    <definedName name="_xlnm._FilterDatabase" localSheetId="0" hidden="1">妇科!$A$9:$K$29</definedName>
    <definedName name="_xlnm._FilterDatabase" localSheetId="4" hidden="1">手术室!$A$7:$K$68</definedName>
    <definedName name="_xlnm.Print_Titles" localSheetId="0">妇科!$1:$6</definedName>
    <definedName name="_xlnm.Print_Titles" localSheetId="1">急诊科!$1:$6</definedName>
    <definedName name="_xlnm.Print_Titles" localSheetId="2">美容外科!$1:$6</definedName>
    <definedName name="_xlnm.Print_Titles" localSheetId="3">内一科!$1:$6</definedName>
    <definedName name="_xlnm.Print_Titles" localSheetId="4">手术室!$1:$6</definedName>
    <definedName name="_xlnm.Print_Titles" localSheetId="6">外科!$1:$6</definedName>
    <definedName name="_xlnm.Print_Titles" localSheetId="7">消化科!$1:$6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<sst xmlns="http://schemas.openxmlformats.org/spreadsheetml/2006/main" count="345" uniqueCount="91">
  <si>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</si>
  <si>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</si>
  <si>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</si>
  <si>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哈尔滨市南岗区人民医院（九院）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</si>
  <si>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</si>
  <si>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</si>
  <si>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</si>
  <si>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</si>
  <si>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</si>
  <si>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</si>
  <si>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</si>
  <si>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</si>
  <si>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</si>
  <si>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</si>
  <si>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7.5扩棒-1/Z7526</t>
  </si>
  <si>
    <t>宫颈钳-1探针-1/Z1537</t>
  </si>
  <si>
    <t>扩棒（4-6.5号）-6/Z1029</t>
  </si>
  <si>
    <t>取环钩-1/Z7537</t>
  </si>
  <si>
    <t>止血钳-1/Z1029</t>
  </si>
  <si>
    <t>额外包(无纺布)</t>
  </si>
  <si>
    <t>妇科手术包-11件/W6050</t>
  </si>
  <si>
    <t>敷料包(纸塑袋)</t>
  </si>
  <si>
    <t>棉球/Z2032</t>
  </si>
  <si>
    <t>大棉棒/Z3040</t>
  </si>
  <si>
    <t>取环器-1/z1535</t>
  </si>
  <si>
    <t>卵圆钳-1/Z1535</t>
  </si>
  <si>
    <t>二氧化碳点碳机头-3/W6050</t>
  </si>
  <si>
    <t>带线棉球/z1026</t>
  </si>
  <si>
    <t>急诊科</t>
  </si>
  <si>
    <t>器械包(ZSD)</t>
  </si>
  <si>
    <t>静脉切开包</t>
  </si>
  <si>
    <t>气管插管包</t>
  </si>
  <si>
    <t>开口器-4件/z1526</t>
  </si>
  <si>
    <t>额外包(低温等离子)</t>
  </si>
  <si>
    <t>喉镜片-1/Z1026</t>
  </si>
  <si>
    <t>美容外科</t>
  </si>
  <si>
    <t>器械包-7件/W6050</t>
  </si>
  <si>
    <t>器械包-8件/W6050</t>
  </si>
  <si>
    <t>内一科</t>
  </si>
  <si>
    <r>
      <rPr>
        <sz val="10"/>
        <color rgb="FF000000"/>
        <rFont val="宋体"/>
        <charset val="134"/>
      </rPr>
      <t>呼吸机湿化罐</t>
    </r>
    <r>
      <rPr>
        <sz val="10"/>
        <color rgb="FF000000"/>
        <rFont val="Droid Sans Fallback"/>
        <charset val="134"/>
      </rPr>
      <t>-1/Z2032</t>
    </r>
  </si>
  <si>
    <t>手术室</t>
  </si>
  <si>
    <t>器械包</t>
  </si>
  <si>
    <t>大切开</t>
  </si>
  <si>
    <t>刀柄-1/Z7526</t>
  </si>
  <si>
    <t>小基础-8件</t>
  </si>
  <si>
    <t>杯1碗1盘1/W6050</t>
  </si>
  <si>
    <t>持物钳罐-2/W6050</t>
  </si>
  <si>
    <t>持夹器-1/Z2060</t>
  </si>
  <si>
    <t>持针器（低温）-1/Z1555</t>
  </si>
  <si>
    <t>穿刺器-1/z1026</t>
  </si>
  <si>
    <t>剪刀-1（低温）/Z2060</t>
  </si>
  <si>
    <t>镜头-1（盒1）/Z2060</t>
  </si>
  <si>
    <t>膨宫加压水管-1/z3040</t>
  </si>
  <si>
    <t>气腹管-1/Z3040</t>
  </si>
  <si>
    <t>气腹针-1/z1026</t>
  </si>
  <si>
    <t>双极导线-2/Z2060</t>
  </si>
  <si>
    <t>吸引器1分离钳1抓钳1导线1电钩1/Z2560</t>
  </si>
  <si>
    <t>抓钳-1/Z2060</t>
  </si>
  <si>
    <t>转换头-1/Z1016</t>
  </si>
  <si>
    <t>持针器(高温)-1/Z1029</t>
  </si>
  <si>
    <t>敷料包(无纺布包)</t>
  </si>
  <si>
    <t>刷手服/W12050</t>
  </si>
  <si>
    <t>开力腹膜-15/W6050</t>
  </si>
  <si>
    <t>盆1弯盘2碗1麻杯1/W7050</t>
  </si>
  <si>
    <t>大镊子-2/Z1026</t>
  </si>
  <si>
    <t>乳腺加件-8/W6050</t>
  </si>
  <si>
    <t>剖探包</t>
  </si>
  <si>
    <t>艾丽斯-2/z1029</t>
  </si>
  <si>
    <t>手刷盒/w9050</t>
  </si>
  <si>
    <t>刮勺-1/Z7537</t>
  </si>
  <si>
    <t>尖嘴咬骨钳-1/Z2032</t>
  </si>
  <si>
    <t>剪刀-1/Z1029</t>
  </si>
  <si>
    <t>克氏钳-1/z1029</t>
  </si>
  <si>
    <t>手显骨凿.锤-6件/W6050</t>
  </si>
  <si>
    <t>手显咬骨钳1剥离器1/W6050</t>
  </si>
  <si>
    <t>手显-12盒1（低温）/W6050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</si>
  <si>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</si>
  <si>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</si>
  <si>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</si>
  <si>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</si>
  <si>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</si>
  <si>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</si>
  <si>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</si>
  <si>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</si>
  <si>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</si>
  <si>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</si>
  <si>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外科</t>
  </si>
  <si>
    <t>小手术包</t>
  </si>
  <si>
    <t>拆线包</t>
  </si>
  <si>
    <t>消化科</t>
  </si>
  <si>
    <t>纱布/Z1526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</si>
</sst>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4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3" fillId="3" borderId="5" xfId="0" applyNumberFormat="1" applyFont="1" applyFill="1" applyBorder="1" applyAlignment="1">
      <alignment vertical="top" wrapText="1" readingOrder="1"/>
    </xf>
    <xf numFmtId="178" fontId="3" fillId="3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4" borderId="5" xfId="0" applyNumberFormat="1" applyFont="1" applyFill="1" applyBorder="1" applyAlignment="1">
      <alignment horizontal="left" vertical="top" wrapText="1" readingOrder="1"/>
    </xf>
    <xf numFmtId="0" fontId="3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31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2"/>
      <c r="J8" s="33"/>
      <c r="K8" s="33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40</v>
      </c>
      <c r="J10" s="10"/>
      <c r="K10" s="10">
        <v>916</v>
      </c>
      <c r="L10">
        <f>K10+急诊科!K8+美容外科!K8+内一科!K8+手术室!K8-44+外科!K8+消化科!K8</f>
        <v>5037</v>
      </c>
    </row>
    <row r="11" spans="2:12">
      <c r="D11" s="11">
        <v>46149</v>
      </c>
      <c r="E11" s="12">
        <v>1600997</v>
      </c>
      <c r="F11" s="12" t="s">
        <v>13</v>
      </c>
      <c r="G11" s="13">
        <v>20374718</v>
      </c>
      <c r="H11" s="12" t="s">
        <v>14</v>
      </c>
      <c r="I11" s="13">
        <v>1</v>
      </c>
      <c r="J11" s="14">
        <v>8</v>
      </c>
      <c r="K11" s="14">
        <v>8</v>
      </c>
      <c r="L11">
        <f>K10+急诊科!K8+美容外科!K8+内一科!K8+手术室!K8+外科!K8+消化科!K8-44</f>
        <v>5037</v>
      </c>
    </row>
    <row r="12" spans="2:12">
      <c r="D12" s="11">
        <v>46149</v>
      </c>
      <c r="E12" s="12">
        <v>1600997</v>
      </c>
      <c r="F12" s="12" t="s">
        <v>13</v>
      </c>
      <c r="G12" s="13">
        <v>20338677</v>
      </c>
      <c r="H12" s="12" t="s">
        <v>15</v>
      </c>
      <c r="I12" s="13">
        <v>1</v>
      </c>
      <c r="J12" s="14">
        <v>16.5</v>
      </c>
      <c r="K12" s="14">
        <v>16.5</v>
      </c>
    </row>
    <row r="13" spans="2:12">
      <c r="D13" s="11">
        <v>46149</v>
      </c>
      <c r="E13" s="12">
        <v>1600997</v>
      </c>
      <c r="F13" s="12" t="s">
        <v>13</v>
      </c>
      <c r="G13" s="13">
        <v>20406714</v>
      </c>
      <c r="H13" s="12" t="s">
        <v>16</v>
      </c>
      <c r="I13" s="13">
        <v>1</v>
      </c>
      <c r="J13" s="14">
        <v>33</v>
      </c>
      <c r="K13" s="14">
        <v>33</v>
      </c>
    </row>
    <row r="14" spans="2:12">
      <c r="D14" s="11">
        <v>46149</v>
      </c>
      <c r="E14" s="12">
        <v>1600997</v>
      </c>
      <c r="F14" s="12" t="s">
        <v>13</v>
      </c>
      <c r="G14" s="13">
        <v>20338679</v>
      </c>
      <c r="H14" s="12" t="s">
        <v>17</v>
      </c>
      <c r="I14" s="13">
        <v>3</v>
      </c>
      <c r="J14" s="14">
        <v>8</v>
      </c>
      <c r="K14" s="14">
        <v>24</v>
      </c>
    </row>
    <row r="15" spans="2:12">
      <c r="D15" s="11">
        <v>46149</v>
      </c>
      <c r="E15" s="12">
        <v>1600997</v>
      </c>
      <c r="F15" s="12" t="s">
        <v>13</v>
      </c>
      <c r="G15" s="13">
        <v>20362359</v>
      </c>
      <c r="H15" s="12" t="s">
        <v>18</v>
      </c>
      <c r="I15" s="13">
        <v>2</v>
      </c>
      <c r="J15" s="14">
        <v>8</v>
      </c>
      <c r="K15" s="14">
        <v>16</v>
      </c>
    </row>
    <row r="16" spans="2:12">
      <c r="D16" s="11">
        <v>46149</v>
      </c>
      <c r="E16" s="12">
        <v>1600997</v>
      </c>
      <c r="F16" s="12" t="s">
        <v>19</v>
      </c>
      <c r="G16" s="13">
        <v>20345059</v>
      </c>
      <c r="H16" s="12" t="s">
        <v>20</v>
      </c>
      <c r="I16" s="13">
        <v>3</v>
      </c>
      <c r="J16" s="14">
        <v>60.5</v>
      </c>
      <c r="K16" s="14">
        <v>181.5</v>
      </c>
    </row>
    <row r="17" spans="4:11">
      <c r="D17" s="11">
        <v>46149</v>
      </c>
      <c r="E17" s="12">
        <v>1600997</v>
      </c>
      <c r="F17" s="12" t="s">
        <v>21</v>
      </c>
      <c r="G17" s="13">
        <v>20383181</v>
      </c>
      <c r="H17" s="12" t="s">
        <v>22</v>
      </c>
      <c r="I17" s="13">
        <v>4</v>
      </c>
      <c r="J17" s="14">
        <v>4</v>
      </c>
      <c r="K17" s="14">
        <v>16</v>
      </c>
    </row>
    <row r="18" spans="4:11">
      <c r="D18" s="11">
        <v>46150</v>
      </c>
      <c r="E18" s="12">
        <v>1601001</v>
      </c>
      <c r="F18" s="12" t="s">
        <v>21</v>
      </c>
      <c r="G18" s="13">
        <v>20383181</v>
      </c>
      <c r="H18" s="12" t="s">
        <v>22</v>
      </c>
      <c r="I18" s="13">
        <v>1</v>
      </c>
      <c r="J18" s="14">
        <v>4</v>
      </c>
      <c r="K18" s="14">
        <v>4</v>
      </c>
    </row>
    <row r="19" spans="4:11">
      <c r="D19" s="11">
        <v>46156</v>
      </c>
      <c r="E19" s="12">
        <v>1603237</v>
      </c>
      <c r="F19" s="12" t="s">
        <v>19</v>
      </c>
      <c r="G19" s="13">
        <v>20345059</v>
      </c>
      <c r="H19" s="12" t="s">
        <v>20</v>
      </c>
      <c r="I19" s="13">
        <v>5</v>
      </c>
      <c r="J19" s="14">
        <v>60.5</v>
      </c>
      <c r="K19" s="14">
        <v>302.5</v>
      </c>
    </row>
    <row r="20" spans="4:11">
      <c r="D20" s="11">
        <v>46156</v>
      </c>
      <c r="E20" s="12">
        <v>1603237</v>
      </c>
      <c r="F20" s="12" t="s">
        <v>21</v>
      </c>
      <c r="G20" s="13">
        <v>20361229</v>
      </c>
      <c r="H20" s="12" t="s">
        <v>23</v>
      </c>
      <c r="I20" s="13">
        <v>1</v>
      </c>
      <c r="J20" s="14">
        <v>4</v>
      </c>
      <c r="K20" s="14">
        <v>4</v>
      </c>
    </row>
    <row r="21" spans="4:11">
      <c r="D21" s="11">
        <v>46157</v>
      </c>
      <c r="E21" s="12">
        <v>1603263</v>
      </c>
      <c r="F21" s="12" t="s">
        <v>13</v>
      </c>
      <c r="G21" s="13">
        <v>20338679</v>
      </c>
      <c r="H21" s="12" t="s">
        <v>17</v>
      </c>
      <c r="I21" s="13">
        <v>4</v>
      </c>
      <c r="J21" s="14">
        <v>8</v>
      </c>
      <c r="K21" s="14">
        <v>32</v>
      </c>
    </row>
    <row r="22" spans="4:11">
      <c r="D22" s="11">
        <v>46157</v>
      </c>
      <c r="E22" s="12">
        <v>1603263</v>
      </c>
      <c r="F22" s="12" t="s">
        <v>13</v>
      </c>
      <c r="G22" s="13">
        <v>20355172</v>
      </c>
      <c r="H22" s="12" t="s">
        <v>24</v>
      </c>
      <c r="I22" s="13">
        <v>1</v>
      </c>
      <c r="J22" s="14">
        <v>11</v>
      </c>
      <c r="K22" s="14">
        <v>11</v>
      </c>
    </row>
    <row r="23" spans="4:11">
      <c r="D23" s="11">
        <v>46157</v>
      </c>
      <c r="E23" s="12">
        <v>1603263</v>
      </c>
      <c r="F23" s="12" t="s">
        <v>13</v>
      </c>
      <c r="G23" s="13">
        <v>20362359</v>
      </c>
      <c r="H23" s="12" t="s">
        <v>18</v>
      </c>
      <c r="I23" s="13">
        <v>2</v>
      </c>
      <c r="J23" s="14">
        <v>8</v>
      </c>
      <c r="K23" s="14">
        <v>16</v>
      </c>
    </row>
    <row r="24" spans="4:11">
      <c r="D24" s="11">
        <v>46164</v>
      </c>
      <c r="E24" s="12">
        <v>1605351</v>
      </c>
      <c r="F24" s="12" t="s">
        <v>13</v>
      </c>
      <c r="G24" s="13">
        <v>20362357</v>
      </c>
      <c r="H24" s="12" t="s">
        <v>25</v>
      </c>
      <c r="I24" s="13">
        <v>1</v>
      </c>
      <c r="J24" s="14">
        <v>11</v>
      </c>
      <c r="K24" s="14">
        <v>11</v>
      </c>
    </row>
    <row r="25" spans="4:11">
      <c r="D25" s="11">
        <v>46164</v>
      </c>
      <c r="E25" s="12">
        <v>1605351</v>
      </c>
      <c r="F25" s="12" t="s">
        <v>13</v>
      </c>
      <c r="G25" s="13">
        <v>20338679</v>
      </c>
      <c r="H25" s="12" t="s">
        <v>17</v>
      </c>
      <c r="I25" s="13">
        <v>3</v>
      </c>
      <c r="J25" s="14">
        <v>8</v>
      </c>
      <c r="K25" s="14">
        <v>24</v>
      </c>
    </row>
    <row r="26" spans="4:11">
      <c r="D26" s="11">
        <v>46164</v>
      </c>
      <c r="E26" s="12">
        <v>1605351</v>
      </c>
      <c r="F26" s="12" t="s">
        <v>13</v>
      </c>
      <c r="G26" s="13">
        <v>20362359</v>
      </c>
      <c r="H26" s="12" t="s">
        <v>18</v>
      </c>
      <c r="I26" s="13">
        <v>2</v>
      </c>
      <c r="J26" s="14">
        <v>8</v>
      </c>
      <c r="K26" s="14">
        <v>16</v>
      </c>
    </row>
    <row r="27" spans="4:11">
      <c r="D27" s="11">
        <v>46164</v>
      </c>
      <c r="E27" s="12">
        <v>1605351</v>
      </c>
      <c r="F27" s="12" t="s">
        <v>19</v>
      </c>
      <c r="G27" s="13">
        <v>20333800</v>
      </c>
      <c r="H27" s="12" t="s">
        <v>26</v>
      </c>
      <c r="I27" s="13">
        <v>1</v>
      </c>
      <c r="J27" s="14">
        <v>16.5</v>
      </c>
      <c r="K27" s="14">
        <v>16.5</v>
      </c>
    </row>
    <row r="28" spans="4:11">
      <c r="D28" s="11">
        <v>46164</v>
      </c>
      <c r="E28" s="12">
        <v>1605351</v>
      </c>
      <c r="F28" s="12" t="s">
        <v>19</v>
      </c>
      <c r="G28" s="13">
        <v>20345059</v>
      </c>
      <c r="H28" s="12" t="s">
        <v>20</v>
      </c>
      <c r="I28" s="13">
        <v>3</v>
      </c>
      <c r="J28" s="14">
        <v>60.5</v>
      </c>
      <c r="K28" s="14">
        <v>181.5</v>
      </c>
    </row>
    <row r="29" spans="4:11">
      <c r="D29" s="11">
        <v>46171</v>
      </c>
      <c r="E29" s="12">
        <v>1607424</v>
      </c>
      <c r="F29" s="12" t="s">
        <v>21</v>
      </c>
      <c r="G29" s="13">
        <v>20362362</v>
      </c>
      <c r="H29" s="12" t="s">
        <v>27</v>
      </c>
      <c r="I29" s="13">
        <v>1</v>
      </c>
      <c r="J29" s="14">
        <v>2.5</v>
      </c>
      <c r="K29" s="14">
        <v>2.5</v>
      </c>
    </row>
  </sheetData>
  <autoFilter xmlns:etc="http://www.wps.cn/officeDocument/2017/etCustomData" ref="A9:K29" etc:filterBottomFollowUsedRange="0">
    <extLst/>
  </autoFilter>
  <mergeCells count="6">
    <mergeCell ref="D8:H8"/>
    <mergeCell ref="D10:H10"/>
    <mergeCell ref="C9:C29"/>
    <mergeCell ref="B4:H5"/>
    <mergeCell ref="A8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170.5</v>
      </c>
    </row>
    <row r="9" spans="1:11">
      <c r="D9" s="11">
        <v>46156</v>
      </c>
      <c r="E9" s="12">
        <v>1603238</v>
      </c>
      <c r="F9" s="12" t="s">
        <v>29</v>
      </c>
      <c r="G9" s="13">
        <v>20366035</v>
      </c>
      <c r="H9" s="12" t="s">
        <v>30</v>
      </c>
      <c r="I9" s="13">
        <v>1</v>
      </c>
      <c r="J9" s="14">
        <v>49.5</v>
      </c>
      <c r="K9" s="14">
        <v>49.5</v>
      </c>
    </row>
    <row r="10" spans="1:11">
      <c r="D10" s="11">
        <v>46156</v>
      </c>
      <c r="E10" s="12">
        <v>1603238</v>
      </c>
      <c r="F10" s="12" t="s">
        <v>29</v>
      </c>
      <c r="G10" s="13">
        <v>20366036</v>
      </c>
      <c r="H10" s="12" t="s">
        <v>31</v>
      </c>
      <c r="I10" s="13">
        <v>1</v>
      </c>
      <c r="J10" s="14">
        <v>55</v>
      </c>
      <c r="K10" s="14">
        <v>55</v>
      </c>
    </row>
    <row r="11" spans="1:11">
      <c r="D11" s="11">
        <v>46157</v>
      </c>
      <c r="E11" s="12">
        <v>1603264</v>
      </c>
      <c r="F11" s="12" t="s">
        <v>13</v>
      </c>
      <c r="G11" s="13">
        <v>20366322</v>
      </c>
      <c r="H11" s="12" t="s">
        <v>32</v>
      </c>
      <c r="I11" s="13">
        <v>1</v>
      </c>
      <c r="J11" s="14">
        <v>22</v>
      </c>
      <c r="K11" s="14">
        <v>22</v>
      </c>
    </row>
    <row r="12" spans="1:11">
      <c r="D12" s="11">
        <v>46157</v>
      </c>
      <c r="E12" s="12">
        <v>1603352</v>
      </c>
      <c r="F12" s="12" t="s">
        <v>33</v>
      </c>
      <c r="G12" s="13">
        <v>20366037</v>
      </c>
      <c r="H12" s="12" t="s">
        <v>34</v>
      </c>
      <c r="I12" s="13">
        <v>2</v>
      </c>
      <c r="J12" s="14">
        <v>22</v>
      </c>
      <c r="K12" s="14">
        <v>44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126.5</v>
      </c>
    </row>
    <row r="9" spans="1:11">
      <c r="D9" s="11">
        <v>46149</v>
      </c>
      <c r="E9" s="12">
        <v>1600998</v>
      </c>
      <c r="F9" s="12" t="s">
        <v>19</v>
      </c>
      <c r="G9" s="13">
        <v>20382317</v>
      </c>
      <c r="H9" s="12" t="s">
        <v>36</v>
      </c>
      <c r="I9" s="13">
        <v>1</v>
      </c>
      <c r="J9" s="14">
        <v>38.5</v>
      </c>
      <c r="K9" s="14">
        <v>38.5</v>
      </c>
    </row>
    <row r="10" spans="1:11">
      <c r="D10" s="11">
        <v>46149</v>
      </c>
      <c r="E10" s="12">
        <v>1600998</v>
      </c>
      <c r="F10" s="12" t="s">
        <v>19</v>
      </c>
      <c r="G10" s="13">
        <v>20322913</v>
      </c>
      <c r="H10" s="12" t="s">
        <v>37</v>
      </c>
      <c r="I10" s="13">
        <v>2</v>
      </c>
      <c r="J10" s="14">
        <v>44</v>
      </c>
      <c r="K10" s="14">
        <v>88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56</v>
      </c>
    </row>
    <row r="9" spans="1:11">
      <c r="D9" s="11">
        <v>46150</v>
      </c>
      <c r="E9" s="12">
        <v>1601088</v>
      </c>
      <c r="F9" s="12" t="s">
        <v>33</v>
      </c>
      <c r="G9" s="13">
        <v>20398990</v>
      </c>
      <c r="H9" s="28" t="s">
        <v>39</v>
      </c>
      <c r="I9" s="13">
        <v>1</v>
      </c>
      <c r="J9" s="14">
        <v>28</v>
      </c>
      <c r="K9" s="14">
        <v>28</v>
      </c>
    </row>
    <row r="10" spans="1:11">
      <c r="D10" s="11">
        <v>46171</v>
      </c>
      <c r="E10" s="12">
        <v>1607467</v>
      </c>
      <c r="F10" s="12" t="s">
        <v>33</v>
      </c>
      <c r="G10" s="13">
        <v>20398990</v>
      </c>
      <c r="H10" s="28" t="s">
        <v>39</v>
      </c>
      <c r="I10" s="13">
        <v>1</v>
      </c>
      <c r="J10" s="14">
        <v>28</v>
      </c>
      <c r="K10" s="14">
        <v>28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0"/>
    </sheetView>
  </sheetViews>
  <sheetFormatPr defaultColWidth="9" defaultRowHeight="13.5"/>
  <cols>
    <col min="1" max="2" width="0.225" customWidth="1"/>
    <col min="3" max="3" width="0.433333333333333" customWidth="1"/>
    <col min="4" max="4" width="13.25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f>94</f>
        <v>94</v>
      </c>
      <c r="J8" s="10"/>
      <c r="K8" s="10">
        <f>3244.5</f>
        <v>3244.5</v>
      </c>
    </row>
    <row r="9" spans="1:11">
      <c r="D9" s="11">
        <v>46149</v>
      </c>
      <c r="E9" s="12">
        <v>1600999</v>
      </c>
      <c r="F9" s="12" t="s">
        <v>41</v>
      </c>
      <c r="G9" s="13">
        <v>20321003</v>
      </c>
      <c r="H9" s="12" t="s">
        <v>42</v>
      </c>
      <c r="I9" s="13">
        <v>1</v>
      </c>
      <c r="J9" s="14">
        <v>126.5</v>
      </c>
      <c r="K9" s="14">
        <v>126.5</v>
      </c>
    </row>
    <row r="10" spans="1:11">
      <c r="D10" s="11">
        <v>46149</v>
      </c>
      <c r="E10" s="12">
        <v>1600999</v>
      </c>
      <c r="F10" s="12" t="s">
        <v>13</v>
      </c>
      <c r="G10" s="13">
        <v>20321058</v>
      </c>
      <c r="H10" s="12" t="s">
        <v>43</v>
      </c>
      <c r="I10" s="13">
        <v>1</v>
      </c>
      <c r="J10" s="14">
        <v>8</v>
      </c>
      <c r="K10" s="14">
        <v>8</v>
      </c>
    </row>
    <row r="11" spans="1:11">
      <c r="D11" s="11">
        <v>46149</v>
      </c>
      <c r="E11" s="12">
        <v>1600999</v>
      </c>
      <c r="F11" s="12" t="s">
        <v>29</v>
      </c>
      <c r="G11" s="13">
        <v>20321002</v>
      </c>
      <c r="H11" s="12" t="s">
        <v>44</v>
      </c>
      <c r="I11" s="13">
        <v>3</v>
      </c>
      <c r="J11" s="14">
        <v>44</v>
      </c>
      <c r="K11" s="14">
        <v>132</v>
      </c>
    </row>
    <row r="12" spans="1:11">
      <c r="D12" s="11">
        <v>46149</v>
      </c>
      <c r="E12" s="12">
        <v>1600999</v>
      </c>
      <c r="F12" s="12" t="s">
        <v>19</v>
      </c>
      <c r="G12" s="13">
        <v>20320542</v>
      </c>
      <c r="H12" s="12" t="s">
        <v>45</v>
      </c>
      <c r="I12" s="13">
        <v>1</v>
      </c>
      <c r="J12" s="14">
        <v>16.5</v>
      </c>
      <c r="K12" s="14">
        <v>16.5</v>
      </c>
    </row>
    <row r="13" spans="1:11">
      <c r="D13" s="11">
        <v>46149</v>
      </c>
      <c r="E13" s="12">
        <v>1600999</v>
      </c>
      <c r="F13" s="12" t="s">
        <v>19</v>
      </c>
      <c r="G13" s="13">
        <v>20320466</v>
      </c>
      <c r="H13" s="12" t="s">
        <v>46</v>
      </c>
      <c r="I13" s="13">
        <v>2</v>
      </c>
      <c r="J13" s="14">
        <v>16.5</v>
      </c>
      <c r="K13" s="14">
        <v>33</v>
      </c>
    </row>
    <row r="14" spans="1:11">
      <c r="D14" s="11">
        <v>46150</v>
      </c>
      <c r="E14" s="12">
        <v>1601002</v>
      </c>
      <c r="F14" s="12" t="s">
        <v>13</v>
      </c>
      <c r="G14" s="13">
        <v>20321058</v>
      </c>
      <c r="H14" s="12" t="s">
        <v>43</v>
      </c>
      <c r="I14" s="13">
        <v>1</v>
      </c>
      <c r="J14" s="14">
        <v>8</v>
      </c>
      <c r="K14" s="14">
        <v>8</v>
      </c>
    </row>
    <row r="15" spans="1:11">
      <c r="D15" s="11">
        <v>46150</v>
      </c>
      <c r="E15" s="12">
        <v>1601089</v>
      </c>
      <c r="F15" s="12" t="s">
        <v>33</v>
      </c>
      <c r="G15" s="13">
        <v>20386676</v>
      </c>
      <c r="H15" s="12" t="s">
        <v>47</v>
      </c>
      <c r="I15" s="13">
        <v>3</v>
      </c>
      <c r="J15" s="14">
        <v>28</v>
      </c>
      <c r="K15" s="14">
        <v>84</v>
      </c>
    </row>
    <row r="16" spans="1:11">
      <c r="D16" s="11">
        <v>46150</v>
      </c>
      <c r="E16" s="12">
        <v>1601089</v>
      </c>
      <c r="F16" s="12" t="s">
        <v>33</v>
      </c>
      <c r="G16" s="13">
        <v>20386672</v>
      </c>
      <c r="H16" s="12" t="s">
        <v>48</v>
      </c>
      <c r="I16" s="13">
        <v>2</v>
      </c>
      <c r="J16" s="14">
        <v>25</v>
      </c>
      <c r="K16" s="14">
        <v>50</v>
      </c>
    </row>
    <row r="17" spans="4:11">
      <c r="D17" s="11">
        <v>46150</v>
      </c>
      <c r="E17" s="12">
        <v>1601089</v>
      </c>
      <c r="F17" s="12" t="s">
        <v>33</v>
      </c>
      <c r="G17" s="13">
        <v>20386919</v>
      </c>
      <c r="H17" s="12" t="s">
        <v>49</v>
      </c>
      <c r="I17" s="13">
        <v>4</v>
      </c>
      <c r="J17" s="14">
        <v>22</v>
      </c>
      <c r="K17" s="14">
        <v>88</v>
      </c>
    </row>
    <row r="18" spans="4:11">
      <c r="D18" s="11">
        <v>46150</v>
      </c>
      <c r="E18" s="12">
        <v>1601089</v>
      </c>
      <c r="F18" s="12" t="s">
        <v>33</v>
      </c>
      <c r="G18" s="13">
        <v>20386917</v>
      </c>
      <c r="H18" s="12" t="s">
        <v>50</v>
      </c>
      <c r="I18" s="13">
        <v>2</v>
      </c>
      <c r="J18" s="14">
        <v>28</v>
      </c>
      <c r="K18" s="14">
        <v>56</v>
      </c>
    </row>
    <row r="19" spans="4:11">
      <c r="D19" s="11">
        <v>46150</v>
      </c>
      <c r="E19" s="12">
        <v>1601089</v>
      </c>
      <c r="F19" s="12" t="s">
        <v>33</v>
      </c>
      <c r="G19" s="13">
        <v>20386681</v>
      </c>
      <c r="H19" s="12" t="s">
        <v>51</v>
      </c>
      <c r="I19" s="13">
        <v>1</v>
      </c>
      <c r="J19" s="14">
        <v>28</v>
      </c>
      <c r="K19" s="14">
        <v>28</v>
      </c>
    </row>
    <row r="20" spans="4:11">
      <c r="D20" s="11">
        <v>46150</v>
      </c>
      <c r="E20" s="12">
        <v>1601089</v>
      </c>
      <c r="F20" s="12" t="s">
        <v>33</v>
      </c>
      <c r="G20" s="13">
        <v>20386665</v>
      </c>
      <c r="H20" s="12" t="s">
        <v>52</v>
      </c>
      <c r="I20" s="13">
        <v>1</v>
      </c>
      <c r="J20" s="14">
        <v>35</v>
      </c>
      <c r="K20" s="14">
        <v>35</v>
      </c>
    </row>
    <row r="21" spans="4:11">
      <c r="D21" s="11">
        <v>46150</v>
      </c>
      <c r="E21" s="12">
        <v>1601089</v>
      </c>
      <c r="F21" s="12" t="s">
        <v>33</v>
      </c>
      <c r="G21" s="13">
        <v>20386666</v>
      </c>
      <c r="H21" s="12" t="s">
        <v>53</v>
      </c>
      <c r="I21" s="13">
        <v>1</v>
      </c>
      <c r="J21" s="14">
        <v>35</v>
      </c>
      <c r="K21" s="14">
        <v>35</v>
      </c>
    </row>
    <row r="22" spans="4:11">
      <c r="D22" s="11">
        <v>46150</v>
      </c>
      <c r="E22" s="12">
        <v>1601089</v>
      </c>
      <c r="F22" s="12" t="s">
        <v>33</v>
      </c>
      <c r="G22" s="13">
        <v>20386670</v>
      </c>
      <c r="H22" s="12" t="s">
        <v>54</v>
      </c>
      <c r="I22" s="13">
        <v>2</v>
      </c>
      <c r="J22" s="14">
        <v>22</v>
      </c>
      <c r="K22" s="14">
        <v>44</v>
      </c>
    </row>
    <row r="23" spans="4:11">
      <c r="D23" s="11">
        <v>46150</v>
      </c>
      <c r="E23" s="12">
        <v>1601089</v>
      </c>
      <c r="F23" s="12" t="s">
        <v>33</v>
      </c>
      <c r="G23" s="13">
        <v>20386675</v>
      </c>
      <c r="H23" s="12" t="s">
        <v>55</v>
      </c>
      <c r="I23" s="13">
        <v>1</v>
      </c>
      <c r="J23" s="14">
        <v>44</v>
      </c>
      <c r="K23" s="14">
        <v>44</v>
      </c>
    </row>
    <row r="24" ht="25.5" spans="4:11">
      <c r="D24" s="11">
        <v>46150</v>
      </c>
      <c r="E24" s="12">
        <v>1601089</v>
      </c>
      <c r="F24" s="12" t="s">
        <v>33</v>
      </c>
      <c r="G24" s="13">
        <v>20424443</v>
      </c>
      <c r="H24" s="12" t="s">
        <v>56</v>
      </c>
      <c r="I24" s="13">
        <v>2</v>
      </c>
      <c r="J24" s="14">
        <v>88</v>
      </c>
      <c r="K24" s="14">
        <v>176</v>
      </c>
    </row>
    <row r="25" spans="4:11">
      <c r="D25" s="11">
        <v>46150</v>
      </c>
      <c r="E25" s="12">
        <v>1601089</v>
      </c>
      <c r="F25" s="12" t="s">
        <v>33</v>
      </c>
      <c r="G25" s="13">
        <v>20386918</v>
      </c>
      <c r="H25" s="12" t="s">
        <v>57</v>
      </c>
      <c r="I25" s="13">
        <v>2</v>
      </c>
      <c r="J25" s="14">
        <v>28</v>
      </c>
      <c r="K25" s="14">
        <v>56</v>
      </c>
    </row>
    <row r="26" spans="4:11">
      <c r="D26" s="11">
        <v>46150</v>
      </c>
      <c r="E26" s="12">
        <v>1601089</v>
      </c>
      <c r="F26" s="12" t="s">
        <v>33</v>
      </c>
      <c r="G26" s="13">
        <v>20386920</v>
      </c>
      <c r="H26" s="12" t="s">
        <v>58</v>
      </c>
      <c r="I26" s="13">
        <v>1</v>
      </c>
      <c r="J26" s="14">
        <v>22</v>
      </c>
      <c r="K26" s="14">
        <v>22</v>
      </c>
    </row>
    <row r="27" spans="4:11">
      <c r="D27" s="11">
        <v>46156</v>
      </c>
      <c r="E27" s="12">
        <v>1603239</v>
      </c>
      <c r="F27" s="12" t="s">
        <v>41</v>
      </c>
      <c r="G27" s="13">
        <v>20321003</v>
      </c>
      <c r="H27" s="12" t="s">
        <v>42</v>
      </c>
      <c r="I27" s="13">
        <v>2</v>
      </c>
      <c r="J27" s="14">
        <v>126.5</v>
      </c>
      <c r="K27" s="14">
        <v>253</v>
      </c>
    </row>
    <row r="28" spans="4:11">
      <c r="D28" s="11">
        <v>46156</v>
      </c>
      <c r="E28" s="12">
        <v>1603239</v>
      </c>
      <c r="F28" s="12" t="s">
        <v>13</v>
      </c>
      <c r="G28" s="13">
        <v>20370581</v>
      </c>
      <c r="H28" s="12" t="s">
        <v>59</v>
      </c>
      <c r="I28" s="13">
        <v>1</v>
      </c>
      <c r="J28" s="14">
        <v>8</v>
      </c>
      <c r="K28" s="14">
        <v>8</v>
      </c>
    </row>
    <row r="29" spans="4:11">
      <c r="D29" s="11">
        <v>46156</v>
      </c>
      <c r="E29" s="12">
        <v>1603239</v>
      </c>
      <c r="F29" s="12" t="s">
        <v>13</v>
      </c>
      <c r="G29" s="13">
        <v>20321058</v>
      </c>
      <c r="H29" s="12" t="s">
        <v>43</v>
      </c>
      <c r="I29" s="13">
        <v>4</v>
      </c>
      <c r="J29" s="14">
        <v>8</v>
      </c>
      <c r="K29" s="14">
        <v>32</v>
      </c>
    </row>
    <row r="30" spans="4:11">
      <c r="D30" s="11">
        <v>46156</v>
      </c>
      <c r="E30" s="12">
        <v>1603239</v>
      </c>
      <c r="F30" s="12" t="s">
        <v>60</v>
      </c>
      <c r="G30" s="13">
        <v>20395837</v>
      </c>
      <c r="H30" s="12" t="s">
        <v>61</v>
      </c>
      <c r="I30" s="13">
        <v>1</v>
      </c>
      <c r="J30" s="14">
        <v>35</v>
      </c>
      <c r="K30" s="14">
        <v>35</v>
      </c>
    </row>
    <row r="31" spans="4:11">
      <c r="D31" s="11">
        <v>46156</v>
      </c>
      <c r="E31" s="12">
        <v>1603239</v>
      </c>
      <c r="F31" s="12" t="s">
        <v>29</v>
      </c>
      <c r="G31" s="13">
        <v>20321002</v>
      </c>
      <c r="H31" s="12" t="s">
        <v>44</v>
      </c>
      <c r="I31" s="13">
        <v>1</v>
      </c>
      <c r="J31" s="14">
        <v>44</v>
      </c>
      <c r="K31" s="14">
        <v>44</v>
      </c>
    </row>
    <row r="32" spans="4:11">
      <c r="D32" s="11">
        <v>46156</v>
      </c>
      <c r="E32" s="12">
        <v>1603239</v>
      </c>
      <c r="F32" s="12" t="s">
        <v>19</v>
      </c>
      <c r="G32" s="13">
        <v>20320542</v>
      </c>
      <c r="H32" s="12" t="s">
        <v>45</v>
      </c>
      <c r="I32" s="13">
        <v>2</v>
      </c>
      <c r="J32" s="14">
        <v>16.5</v>
      </c>
      <c r="K32" s="14">
        <v>33</v>
      </c>
    </row>
    <row r="33" spans="4:11">
      <c r="D33" s="11">
        <v>46156</v>
      </c>
      <c r="E33" s="12">
        <v>1603239</v>
      </c>
      <c r="F33" s="12" t="s">
        <v>19</v>
      </c>
      <c r="G33" s="13">
        <v>20320466</v>
      </c>
      <c r="H33" s="12" t="s">
        <v>46</v>
      </c>
      <c r="I33" s="13">
        <v>2</v>
      </c>
      <c r="J33" s="14">
        <v>16.5</v>
      </c>
      <c r="K33" s="14">
        <v>33</v>
      </c>
    </row>
    <row r="34" spans="4:11">
      <c r="D34" s="11">
        <v>46156</v>
      </c>
      <c r="E34" s="12">
        <v>1603239</v>
      </c>
      <c r="F34" s="12" t="s">
        <v>19</v>
      </c>
      <c r="G34" s="13">
        <v>20351173</v>
      </c>
      <c r="H34" s="12" t="s">
        <v>62</v>
      </c>
      <c r="I34" s="13">
        <v>1</v>
      </c>
      <c r="J34" s="14">
        <v>82.5</v>
      </c>
      <c r="K34" s="14">
        <v>82.5</v>
      </c>
    </row>
    <row r="35" spans="4:11">
      <c r="D35" s="11">
        <v>46156</v>
      </c>
      <c r="E35" s="12">
        <v>1603239</v>
      </c>
      <c r="F35" s="12" t="s">
        <v>19</v>
      </c>
      <c r="G35" s="13">
        <v>20321394</v>
      </c>
      <c r="H35" s="12" t="s">
        <v>63</v>
      </c>
      <c r="I35" s="13">
        <v>1</v>
      </c>
      <c r="J35" s="14">
        <v>27.5</v>
      </c>
      <c r="K35" s="14">
        <v>27.5</v>
      </c>
    </row>
    <row r="36" spans="4:11">
      <c r="D36" s="11">
        <v>46157</v>
      </c>
      <c r="E36" s="12">
        <v>1603265</v>
      </c>
      <c r="F36" s="12" t="s">
        <v>13</v>
      </c>
      <c r="G36" s="13">
        <v>20425637</v>
      </c>
      <c r="H36" s="12" t="s">
        <v>64</v>
      </c>
      <c r="I36" s="13">
        <v>1</v>
      </c>
      <c r="J36" s="14">
        <v>13.5</v>
      </c>
      <c r="K36" s="14">
        <v>13.5</v>
      </c>
    </row>
    <row r="37" spans="4:11">
      <c r="D37" s="11">
        <v>46157</v>
      </c>
      <c r="E37" s="12">
        <v>1603265</v>
      </c>
      <c r="F37" s="12" t="s">
        <v>29</v>
      </c>
      <c r="G37" s="13">
        <v>20321002</v>
      </c>
      <c r="H37" s="12" t="s">
        <v>44</v>
      </c>
      <c r="I37" s="13">
        <v>1</v>
      </c>
      <c r="J37" s="14">
        <v>44</v>
      </c>
      <c r="K37" s="14">
        <v>44</v>
      </c>
    </row>
    <row r="38" spans="4:11">
      <c r="D38" s="11">
        <v>46157</v>
      </c>
      <c r="E38" s="12">
        <v>1603265</v>
      </c>
      <c r="F38" s="12" t="s">
        <v>19</v>
      </c>
      <c r="G38" s="13">
        <v>20351172</v>
      </c>
      <c r="H38" s="12" t="s">
        <v>65</v>
      </c>
      <c r="I38" s="13">
        <v>1</v>
      </c>
      <c r="J38" s="14">
        <v>44</v>
      </c>
      <c r="K38" s="14">
        <v>44</v>
      </c>
    </row>
    <row r="39" spans="4:11">
      <c r="D39" s="11">
        <v>46158</v>
      </c>
      <c r="E39" s="12">
        <v>1603644</v>
      </c>
      <c r="F39" s="12" t="s">
        <v>41</v>
      </c>
      <c r="G39" s="13">
        <v>20351813</v>
      </c>
      <c r="H39" s="12" t="s">
        <v>66</v>
      </c>
      <c r="I39" s="13">
        <v>1</v>
      </c>
      <c r="J39" s="14">
        <v>280.5</v>
      </c>
      <c r="K39" s="14">
        <v>280.5</v>
      </c>
    </row>
    <row r="40" spans="4:11">
      <c r="D40" s="11">
        <v>46158</v>
      </c>
      <c r="E40" s="12">
        <v>1603644</v>
      </c>
      <c r="F40" s="12" t="s">
        <v>13</v>
      </c>
      <c r="G40" s="13">
        <v>20425829</v>
      </c>
      <c r="H40" s="12" t="s">
        <v>67</v>
      </c>
      <c r="I40" s="13">
        <v>3</v>
      </c>
      <c r="J40" s="14">
        <v>13.5</v>
      </c>
      <c r="K40" s="14">
        <v>40.5</v>
      </c>
    </row>
    <row r="41" spans="4:11">
      <c r="D41" s="11">
        <v>46158</v>
      </c>
      <c r="E41" s="12">
        <v>1603644</v>
      </c>
      <c r="F41" s="12" t="s">
        <v>13</v>
      </c>
      <c r="G41" s="13">
        <v>20370581</v>
      </c>
      <c r="H41" s="12" t="s">
        <v>59</v>
      </c>
      <c r="I41" s="13">
        <v>7</v>
      </c>
      <c r="J41" s="14">
        <v>8</v>
      </c>
      <c r="K41" s="14">
        <v>56</v>
      </c>
    </row>
    <row r="42" spans="4:11">
      <c r="D42" s="11">
        <v>46158</v>
      </c>
      <c r="E42" s="12">
        <v>1603644</v>
      </c>
      <c r="F42" s="12" t="s">
        <v>13</v>
      </c>
      <c r="G42" s="13">
        <v>20425637</v>
      </c>
      <c r="H42" s="12" t="s">
        <v>64</v>
      </c>
      <c r="I42" s="13">
        <v>1</v>
      </c>
      <c r="J42" s="14">
        <v>13.5</v>
      </c>
      <c r="K42" s="14">
        <v>13.5</v>
      </c>
    </row>
    <row r="43" spans="4:11">
      <c r="D43" s="11">
        <v>46158</v>
      </c>
      <c r="E43" s="12">
        <v>1603644</v>
      </c>
      <c r="F43" s="12" t="s">
        <v>19</v>
      </c>
      <c r="G43" s="13">
        <v>20320542</v>
      </c>
      <c r="H43" s="12" t="s">
        <v>45</v>
      </c>
      <c r="I43" s="13">
        <v>1</v>
      </c>
      <c r="J43" s="14">
        <v>16.5</v>
      </c>
      <c r="K43" s="14">
        <v>16.5</v>
      </c>
    </row>
    <row r="44" spans="4:11">
      <c r="D44" s="11">
        <v>46158</v>
      </c>
      <c r="E44" s="12">
        <v>1603644</v>
      </c>
      <c r="F44" s="12" t="s">
        <v>19</v>
      </c>
      <c r="G44" s="13">
        <v>20320466</v>
      </c>
      <c r="H44" s="12" t="s">
        <v>46</v>
      </c>
      <c r="I44" s="13">
        <v>1</v>
      </c>
      <c r="J44" s="14">
        <v>16.5</v>
      </c>
      <c r="K44" s="14">
        <v>16.5</v>
      </c>
    </row>
    <row r="45" spans="4:11">
      <c r="D45" s="11">
        <v>46158</v>
      </c>
      <c r="E45" s="12">
        <v>1603644</v>
      </c>
      <c r="F45" s="12" t="s">
        <v>19</v>
      </c>
      <c r="G45" s="13">
        <v>20321394</v>
      </c>
      <c r="H45" s="12" t="s">
        <v>63</v>
      </c>
      <c r="I45" s="13">
        <v>1</v>
      </c>
      <c r="J45" s="14">
        <v>27.5</v>
      </c>
      <c r="K45" s="14">
        <v>27.5</v>
      </c>
    </row>
    <row r="46" spans="4:11">
      <c r="D46" s="11">
        <v>46164</v>
      </c>
      <c r="E46" s="12">
        <v>1605352</v>
      </c>
      <c r="F46" s="12" t="s">
        <v>41</v>
      </c>
      <c r="G46" s="13">
        <v>20321003</v>
      </c>
      <c r="H46" s="12" t="s">
        <v>42</v>
      </c>
      <c r="I46" s="13">
        <v>1</v>
      </c>
      <c r="J46" s="14">
        <v>126.5</v>
      </c>
      <c r="K46" s="14">
        <v>126.5</v>
      </c>
    </row>
    <row r="47" spans="4:11">
      <c r="D47" s="11">
        <v>46164</v>
      </c>
      <c r="E47" s="12">
        <v>1605352</v>
      </c>
      <c r="F47" s="12" t="s">
        <v>13</v>
      </c>
      <c r="G47" s="13">
        <v>20370581</v>
      </c>
      <c r="H47" s="12" t="s">
        <v>59</v>
      </c>
      <c r="I47" s="13">
        <v>1</v>
      </c>
      <c r="J47" s="14">
        <v>8</v>
      </c>
      <c r="K47" s="14">
        <v>8</v>
      </c>
    </row>
    <row r="48" spans="4:11">
      <c r="D48" s="11">
        <v>46164</v>
      </c>
      <c r="E48" s="12">
        <v>1605352</v>
      </c>
      <c r="F48" s="12" t="s">
        <v>13</v>
      </c>
      <c r="G48" s="13">
        <v>20321058</v>
      </c>
      <c r="H48" s="12" t="s">
        <v>43</v>
      </c>
      <c r="I48" s="13">
        <v>1</v>
      </c>
      <c r="J48" s="14">
        <v>8</v>
      </c>
      <c r="K48" s="14">
        <v>8</v>
      </c>
    </row>
    <row r="49" spans="4:11">
      <c r="D49" s="11">
        <v>46164</v>
      </c>
      <c r="E49" s="12">
        <v>1605352</v>
      </c>
      <c r="F49" s="12" t="s">
        <v>29</v>
      </c>
      <c r="G49" s="13">
        <v>20321002</v>
      </c>
      <c r="H49" s="12" t="s">
        <v>44</v>
      </c>
      <c r="I49" s="13">
        <v>1</v>
      </c>
      <c r="J49" s="14">
        <v>44</v>
      </c>
      <c r="K49" s="14">
        <v>44</v>
      </c>
    </row>
    <row r="50" spans="4:11">
      <c r="D50" s="11">
        <v>46164</v>
      </c>
      <c r="E50" s="12">
        <v>1605352</v>
      </c>
      <c r="F50" s="12" t="s">
        <v>19</v>
      </c>
      <c r="G50" s="13">
        <v>20320466</v>
      </c>
      <c r="H50" s="12" t="s">
        <v>46</v>
      </c>
      <c r="I50" s="13">
        <v>1</v>
      </c>
      <c r="J50" s="14">
        <v>16.5</v>
      </c>
      <c r="K50" s="14">
        <v>16.5</v>
      </c>
    </row>
    <row r="51" spans="4:11">
      <c r="D51" s="11">
        <v>46164</v>
      </c>
      <c r="E51" s="12">
        <v>1605352</v>
      </c>
      <c r="F51" s="12" t="s">
        <v>19</v>
      </c>
      <c r="G51" s="13">
        <v>20321394</v>
      </c>
      <c r="H51" s="12" t="s">
        <v>63</v>
      </c>
      <c r="I51" s="13">
        <v>1</v>
      </c>
      <c r="J51" s="14">
        <v>27.5</v>
      </c>
      <c r="K51" s="14">
        <v>27.5</v>
      </c>
    </row>
    <row r="52" spans="4:11">
      <c r="D52" s="11">
        <v>46164</v>
      </c>
      <c r="E52" s="12">
        <v>1605352</v>
      </c>
      <c r="F52" s="12" t="s">
        <v>19</v>
      </c>
      <c r="G52" s="13">
        <v>20363040</v>
      </c>
      <c r="H52" s="12" t="s">
        <v>68</v>
      </c>
      <c r="I52" s="13">
        <v>1</v>
      </c>
      <c r="J52" s="14">
        <v>16.5</v>
      </c>
      <c r="K52" s="14">
        <v>16.5</v>
      </c>
    </row>
    <row r="53" spans="4:11">
      <c r="D53" s="11">
        <v>46171</v>
      </c>
      <c r="E53" s="12">
        <v>1607425</v>
      </c>
      <c r="F53" s="12" t="s">
        <v>41</v>
      </c>
      <c r="G53" s="13">
        <v>20321003</v>
      </c>
      <c r="H53" s="12" t="s">
        <v>42</v>
      </c>
      <c r="I53" s="13">
        <v>1</v>
      </c>
      <c r="J53" s="14">
        <v>126.5</v>
      </c>
      <c r="K53" s="14">
        <v>126.5</v>
      </c>
    </row>
    <row r="54" spans="4:11">
      <c r="D54" s="11">
        <v>46171</v>
      </c>
      <c r="E54" s="12">
        <v>1607425</v>
      </c>
      <c r="F54" s="12" t="s">
        <v>13</v>
      </c>
      <c r="G54" s="13">
        <v>20370581</v>
      </c>
      <c r="H54" s="12" t="s">
        <v>59</v>
      </c>
      <c r="I54" s="13">
        <v>2</v>
      </c>
      <c r="J54" s="14">
        <v>8</v>
      </c>
      <c r="K54" s="14">
        <v>16</v>
      </c>
    </row>
    <row r="55" spans="4:11">
      <c r="D55" s="11">
        <v>46171</v>
      </c>
      <c r="E55" s="12">
        <v>1607425</v>
      </c>
      <c r="F55" s="12" t="s">
        <v>13</v>
      </c>
      <c r="G55" s="13">
        <v>20321058</v>
      </c>
      <c r="H55" s="12" t="s">
        <v>43</v>
      </c>
      <c r="I55" s="13">
        <v>4</v>
      </c>
      <c r="J55" s="14">
        <v>8</v>
      </c>
      <c r="K55" s="14">
        <v>32</v>
      </c>
    </row>
    <row r="56" spans="4:11">
      <c r="D56" s="11">
        <v>46171</v>
      </c>
      <c r="E56" s="12">
        <v>1607425</v>
      </c>
      <c r="F56" s="12" t="s">
        <v>13</v>
      </c>
      <c r="G56" s="13">
        <v>20349121</v>
      </c>
      <c r="H56" s="12" t="s">
        <v>69</v>
      </c>
      <c r="I56" s="13">
        <v>1</v>
      </c>
      <c r="J56" s="14">
        <v>8</v>
      </c>
      <c r="K56" s="14">
        <v>8</v>
      </c>
    </row>
    <row r="57" spans="4:11">
      <c r="D57" s="11">
        <v>46171</v>
      </c>
      <c r="E57" s="12">
        <v>1607425</v>
      </c>
      <c r="F57" s="12" t="s">
        <v>13</v>
      </c>
      <c r="G57" s="13">
        <v>20417930</v>
      </c>
      <c r="H57" s="12" t="s">
        <v>70</v>
      </c>
      <c r="I57" s="13">
        <v>1</v>
      </c>
      <c r="J57" s="14">
        <v>13</v>
      </c>
      <c r="K57" s="14">
        <v>13</v>
      </c>
    </row>
    <row r="58" spans="4:11">
      <c r="D58" s="11">
        <v>46171</v>
      </c>
      <c r="E58" s="12">
        <v>1607425</v>
      </c>
      <c r="F58" s="12" t="s">
        <v>13</v>
      </c>
      <c r="G58" s="13">
        <v>20323730</v>
      </c>
      <c r="H58" s="12" t="s">
        <v>71</v>
      </c>
      <c r="I58" s="13">
        <v>1</v>
      </c>
      <c r="J58" s="14">
        <v>8</v>
      </c>
      <c r="K58" s="14">
        <v>8</v>
      </c>
    </row>
    <row r="59" spans="4:11">
      <c r="D59" s="11">
        <v>46171</v>
      </c>
      <c r="E59" s="12">
        <v>1607425</v>
      </c>
      <c r="F59" s="12" t="s">
        <v>13</v>
      </c>
      <c r="G59" s="13">
        <v>20363666</v>
      </c>
      <c r="H59" s="12" t="s">
        <v>72</v>
      </c>
      <c r="I59" s="13">
        <v>1</v>
      </c>
      <c r="J59" s="14">
        <v>8</v>
      </c>
      <c r="K59" s="14">
        <v>8</v>
      </c>
    </row>
    <row r="60" spans="4:11">
      <c r="D60" s="11">
        <v>46171</v>
      </c>
      <c r="E60" s="12">
        <v>1607425</v>
      </c>
      <c r="F60" s="12" t="s">
        <v>29</v>
      </c>
      <c r="G60" s="13">
        <v>20321002</v>
      </c>
      <c r="H60" s="12" t="s">
        <v>44</v>
      </c>
      <c r="I60" s="13">
        <v>4</v>
      </c>
      <c r="J60" s="14">
        <v>44</v>
      </c>
      <c r="K60" s="14">
        <v>176</v>
      </c>
    </row>
    <row r="61" spans="4:11">
      <c r="D61" s="11">
        <v>46171</v>
      </c>
      <c r="E61" s="12">
        <v>1607425</v>
      </c>
      <c r="F61" s="12" t="s">
        <v>19</v>
      </c>
      <c r="G61" s="13">
        <v>20320542</v>
      </c>
      <c r="H61" s="12" t="s">
        <v>45</v>
      </c>
      <c r="I61" s="13">
        <v>1</v>
      </c>
      <c r="J61" s="14">
        <v>16.5</v>
      </c>
      <c r="K61" s="14">
        <v>16.5</v>
      </c>
    </row>
    <row r="62" spans="4:11">
      <c r="D62" s="11">
        <v>46171</v>
      </c>
      <c r="E62" s="12">
        <v>1607425</v>
      </c>
      <c r="F62" s="12" t="s">
        <v>19</v>
      </c>
      <c r="G62" s="13">
        <v>20320466</v>
      </c>
      <c r="H62" s="12" t="s">
        <v>46</v>
      </c>
      <c r="I62" s="13">
        <v>1</v>
      </c>
      <c r="J62" s="14">
        <v>16.5</v>
      </c>
      <c r="K62" s="14">
        <v>16.5</v>
      </c>
    </row>
    <row r="63" spans="4:11">
      <c r="D63" s="11">
        <v>46171</v>
      </c>
      <c r="E63" s="12">
        <v>1607425</v>
      </c>
      <c r="F63" s="12" t="s">
        <v>19</v>
      </c>
      <c r="G63" s="13">
        <v>20321394</v>
      </c>
      <c r="H63" s="12" t="s">
        <v>63</v>
      </c>
      <c r="I63" s="13">
        <v>1</v>
      </c>
      <c r="J63" s="14">
        <v>27.5</v>
      </c>
      <c r="K63" s="14">
        <v>27.5</v>
      </c>
    </row>
    <row r="64" spans="4:11">
      <c r="D64" s="11">
        <v>46171</v>
      </c>
      <c r="E64" s="12">
        <v>1607425</v>
      </c>
      <c r="F64" s="12" t="s">
        <v>19</v>
      </c>
      <c r="G64" s="13">
        <v>20346124</v>
      </c>
      <c r="H64" s="12" t="s">
        <v>73</v>
      </c>
      <c r="I64" s="13">
        <v>1</v>
      </c>
      <c r="J64" s="14">
        <v>33</v>
      </c>
      <c r="K64" s="14">
        <v>33</v>
      </c>
    </row>
    <row r="65" spans="4:11">
      <c r="D65" s="11">
        <v>46171</v>
      </c>
      <c r="E65" s="12">
        <v>1607425</v>
      </c>
      <c r="F65" s="12" t="s">
        <v>19</v>
      </c>
      <c r="G65" s="13">
        <v>20427533</v>
      </c>
      <c r="H65" s="12" t="s">
        <v>74</v>
      </c>
      <c r="I65" s="13">
        <v>1</v>
      </c>
      <c r="J65" s="14">
        <v>11</v>
      </c>
      <c r="K65" s="14">
        <v>11</v>
      </c>
    </row>
    <row r="66" spans="4:11">
      <c r="D66" s="11">
        <v>46171</v>
      </c>
      <c r="E66" s="12">
        <v>1607468</v>
      </c>
      <c r="F66" s="12" t="s">
        <v>33</v>
      </c>
      <c r="G66" s="13">
        <v>20362364</v>
      </c>
      <c r="H66" s="12" t="s">
        <v>75</v>
      </c>
      <c r="I66" s="13">
        <v>1</v>
      </c>
      <c r="J66" s="14">
        <v>209</v>
      </c>
      <c r="K66" s="14">
        <v>209</v>
      </c>
    </row>
    <row r="67" spans="4:11">
      <c r="D67" s="11">
        <v>46171</v>
      </c>
      <c r="E67" s="12">
        <v>1607571</v>
      </c>
      <c r="F67" s="12" t="s">
        <v>33</v>
      </c>
      <c r="G67" s="13">
        <v>20346124</v>
      </c>
      <c r="H67" s="12" t="s">
        <v>73</v>
      </c>
      <c r="I67" s="13">
        <v>1</v>
      </c>
      <c r="J67" s="14">
        <v>110</v>
      </c>
      <c r="K67" s="14">
        <v>110</v>
      </c>
    </row>
    <row r="68" spans="4:11">
      <c r="D68" s="11">
        <v>46171</v>
      </c>
      <c r="E68" s="12">
        <v>1607571</v>
      </c>
      <c r="F68" s="12" t="s">
        <v>33</v>
      </c>
      <c r="G68" s="13">
        <v>20427533</v>
      </c>
      <c r="H68" s="12" t="s">
        <v>74</v>
      </c>
      <c r="I68" s="13">
        <v>1</v>
      </c>
      <c r="J68" s="14">
        <v>44</v>
      </c>
      <c r="K68" s="14">
        <v>44</v>
      </c>
    </row>
  </sheetData>
  <autoFilter xmlns:etc="http://www.wps.cn/officeDocument/2017/etCustomData" ref="A7:K68" etc:filterBottomFollowUsedRange="0">
    <extLst/>
  </autoFilter>
  <mergeCells count="5">
    <mergeCell ref="D8:H8"/>
    <mergeCell ref="C7:C68"/>
    <mergeCell ref="B4:H5"/>
    <mergeCell ref="A7:B68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view="pageBreakPreview" zoomScaleNormal="100" workbookViewId="0">
      <selection activeCell="M25" sqref="M25"/>
    </sheetView>
  </sheetViews>
  <sheetFormatPr defaultColWidth="9" defaultRowHeight="13.5" outlineLevelCol="7"/>
  <cols>
    <col min="1" max="1" width="17" customWidth="1"/>
    <col min="5" max="5" width="16.125" customWidth="1"/>
    <col min="7" max="7" width="16.75" customWidth="1"/>
  </cols>
  <sheetData>
    <row r="1" ht="23.25" spans="1:8">
      <c r="A1" s="1" t="s">
        <v>76</v>
      </c>
    </row>
    <row r="3" spans="1:8">
      <c r="A3" s="2" t="s">
        <v>77</v>
      </c>
    </row>
    <row r="5" ht="15.75" spans="1:8">
      <c r="A5" s="15" t="s">
        <v>3</v>
      </c>
      <c r="B5" s="16"/>
      <c r="C5" s="16"/>
      <c r="D5" s="16"/>
      <c r="E5" s="16"/>
      <c r="F5" s="16"/>
      <c r="G5" s="17" t="s">
        <v>2</v>
      </c>
      <c r="H5" s="18"/>
    </row>
    <row r="6" spans="1:8">
      <c r="A6" s="19" t="s">
        <v>78</v>
      </c>
      <c r="B6" s="19" t="s">
        <v>79</v>
      </c>
      <c r="C6" s="16"/>
      <c r="D6" s="19" t="s">
        <v>80</v>
      </c>
      <c r="E6" s="19" t="s">
        <v>81</v>
      </c>
      <c r="F6" s="19" t="s">
        <v>7</v>
      </c>
      <c r="G6" s="19" t="s">
        <v>82</v>
      </c>
      <c r="H6" s="19" t="s">
        <v>83</v>
      </c>
    </row>
    <row r="7" ht="14.25" spans="1:8">
      <c r="A7" s="20" t="s">
        <v>40</v>
      </c>
      <c r="B7" s="16"/>
      <c r="C7" s="16"/>
      <c r="D7" s="16"/>
      <c r="E7" s="16"/>
      <c r="F7" s="16"/>
      <c r="G7" s="19" t="s">
        <v>2</v>
      </c>
      <c r="H7" s="21">
        <v>-44</v>
      </c>
    </row>
    <row r="8" spans="1:8">
      <c r="A8" s="22" t="s">
        <v>84</v>
      </c>
      <c r="B8" s="16"/>
      <c r="C8" s="16"/>
      <c r="D8" s="16"/>
      <c r="E8" s="16"/>
      <c r="F8" s="16"/>
      <c r="G8" s="23" t="s">
        <v>2</v>
      </c>
      <c r="H8" s="24">
        <v>-44</v>
      </c>
    </row>
    <row r="9" ht="25.5" spans="1:8">
      <c r="A9" s="25">
        <v>3006248244</v>
      </c>
      <c r="B9" s="26">
        <v>46175.5113499653</v>
      </c>
      <c r="C9" s="27"/>
      <c r="D9" s="28" t="s">
        <v>85</v>
      </c>
      <c r="E9" s="29">
        <v>46171.040962037</v>
      </c>
      <c r="F9" s="12">
        <v>20346124</v>
      </c>
      <c r="G9" s="12" t="s">
        <v>73</v>
      </c>
      <c r="H9" s="30">
        <v>-33</v>
      </c>
    </row>
    <row r="10" ht="25.5" spans="1:8">
      <c r="A10" s="25">
        <v>3006248245</v>
      </c>
      <c r="B10" s="26">
        <v>46175.5115128125</v>
      </c>
      <c r="C10" s="27"/>
      <c r="D10" s="28" t="s">
        <v>85</v>
      </c>
      <c r="E10" s="29">
        <v>46171.0409636574</v>
      </c>
      <c r="F10" s="12">
        <v>20427533</v>
      </c>
      <c r="G10" s="12" t="s">
        <v>74</v>
      </c>
      <c r="H10" s="30">
        <v>-11</v>
      </c>
    </row>
  </sheetData>
  <mergeCells count="8">
    <mergeCell ref="A1:H1"/>
    <mergeCell ref="A5:F5"/>
    <mergeCell ref="B6:C6"/>
    <mergeCell ref="A7:F7"/>
    <mergeCell ref="A8:F8"/>
    <mergeCell ref="B9:C9"/>
    <mergeCell ref="B10:C10"/>
    <mergeCell ref="A3:E4"/>
  </mergeCells>
  <pageMargins left="0.25" right="0.25" top="0.75" bottom="0.75" header="0.298611111111111" footer="0.298611111111111"/>
  <pageSetup paperSize="11" scale="73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17</v>
      </c>
      <c r="J8" s="10"/>
      <c r="K8" s="10">
        <v>550</v>
      </c>
    </row>
    <row r="9" spans="1:11">
      <c r="D9" s="11">
        <v>46149</v>
      </c>
      <c r="E9" s="12">
        <v>1601000</v>
      </c>
      <c r="F9" s="12" t="s">
        <v>41</v>
      </c>
      <c r="G9" s="13">
        <v>20392797</v>
      </c>
      <c r="H9" s="12" t="s">
        <v>87</v>
      </c>
      <c r="I9" s="13">
        <v>1</v>
      </c>
      <c r="J9" s="14">
        <v>33</v>
      </c>
      <c r="K9" s="14">
        <v>33</v>
      </c>
    </row>
    <row r="10" spans="1:11">
      <c r="D10" s="11">
        <v>46149</v>
      </c>
      <c r="E10" s="12">
        <v>1601000</v>
      </c>
      <c r="F10" s="12" t="s">
        <v>29</v>
      </c>
      <c r="G10" s="13">
        <v>20390470</v>
      </c>
      <c r="H10" s="12" t="s">
        <v>88</v>
      </c>
      <c r="I10" s="13">
        <v>1</v>
      </c>
      <c r="J10" s="14">
        <v>22</v>
      </c>
      <c r="K10" s="14">
        <v>22</v>
      </c>
    </row>
    <row r="11" spans="1:11">
      <c r="D11" s="11">
        <v>46157</v>
      </c>
      <c r="E11" s="12">
        <v>1603266</v>
      </c>
      <c r="F11" s="12" t="s">
        <v>41</v>
      </c>
      <c r="G11" s="13">
        <v>20392797</v>
      </c>
      <c r="H11" s="12" t="s">
        <v>87</v>
      </c>
      <c r="I11" s="13">
        <v>6</v>
      </c>
      <c r="J11" s="14">
        <v>33</v>
      </c>
      <c r="K11" s="14">
        <v>198</v>
      </c>
    </row>
    <row r="12" spans="1:11">
      <c r="D12" s="11">
        <v>46164</v>
      </c>
      <c r="E12" s="12">
        <v>1605353</v>
      </c>
      <c r="F12" s="12" t="s">
        <v>41</v>
      </c>
      <c r="G12" s="13">
        <v>20392797</v>
      </c>
      <c r="H12" s="12" t="s">
        <v>87</v>
      </c>
      <c r="I12" s="13">
        <v>4</v>
      </c>
      <c r="J12" s="14">
        <v>33</v>
      </c>
      <c r="K12" s="14">
        <v>132</v>
      </c>
    </row>
    <row r="13" spans="1:11">
      <c r="D13" s="11">
        <v>46171</v>
      </c>
      <c r="E13" s="12">
        <v>1607426</v>
      </c>
      <c r="F13" s="12" t="s">
        <v>41</v>
      </c>
      <c r="G13" s="13">
        <v>20392797</v>
      </c>
      <c r="H13" s="12" t="s">
        <v>87</v>
      </c>
      <c r="I13" s="13">
        <v>5</v>
      </c>
      <c r="J13" s="14">
        <v>33</v>
      </c>
      <c r="K13" s="14">
        <v>165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3" sqref="H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17.5</v>
      </c>
    </row>
    <row r="9" spans="1:11">
      <c r="D9" s="11">
        <v>46164</v>
      </c>
      <c r="E9" s="12">
        <v>1605354</v>
      </c>
      <c r="F9" s="12" t="s">
        <v>21</v>
      </c>
      <c r="G9" s="13">
        <v>20320700</v>
      </c>
      <c r="H9" s="12" t="s">
        <v>90</v>
      </c>
      <c r="I9" s="13">
        <v>7</v>
      </c>
      <c r="J9" s="14">
        <v>2.5</v>
      </c>
      <c r="K9" s="14">
        <v>17.5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10:57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妇科</vt:lpstr>
      <vt:lpstr>急诊科</vt:lpstr>
      <vt:lpstr>美容外科</vt:lpstr>
      <vt:lpstr>内一科</vt:lpstr>
      <vt:lpstr>手术室</vt:lpstr>
      <vt:lpstr>费用调整</vt:lpstr>
      <vt:lpstr>外科</vt:lpstr>
      <vt:lpstr>消化科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2026-06-02T02:57:00Z</dcterms:created>
  <dcterms:modified xsi:type="dcterms:W3CDTF">2026-06-08T05:19:02Z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EA691AC5AF1442A6B953824B6097D939_12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