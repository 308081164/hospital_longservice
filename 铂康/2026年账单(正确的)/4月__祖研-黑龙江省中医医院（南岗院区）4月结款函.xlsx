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祖研-黑龙江省中医医院（南岗院区）" sheetId="1" r:id="rId1"/>
  </sheets>
  <externalReferences>
    <externalReference r:id="rId2"/>
  </externalReferences>
  <definedNames>
    <definedName name="_xlnm.Print_Titles" localSheetId="0">'祖研-黑龙江省中医医院（南岗院区）'!$1:$4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<sst xmlns="http://schemas.openxmlformats.org/spreadsheetml/2006/main" count="51" uniqueCount="19">
  <si>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</si>
  <si>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t>祖研-黑龙江省中医医院（南岗院区）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</si>
  <si>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祖研-黑龙江省中医医院（南岗院区）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</si>
  <si>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</si>
  <si>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</si>
  <si>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</si>
  <si>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</si>
  <si>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</si>
  <si>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</si>
  <si>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</si>
  <si>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</si>
  <si>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</si>
  <si>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</si>
  <si>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</si>
  <si>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</si>
  <si>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 xml:space="preserve"> 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</si>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</sst>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21335;&#23703;&#38498;&#21306;&#65289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"/>
      <sheetName val="美容科"/>
      <sheetName val="肾六"/>
      <sheetName val="肾五科"/>
      <sheetName val="手术室"/>
      <sheetName val="外二肛肠二科"/>
      <sheetName val="针三科"/>
      <sheetName val="综合内科"/>
    </sheetNames>
    <sheetDataSet>
      <sheetData sheetId="0"/>
      <sheetData sheetId="1">
        <row r="10">
          <cell r="K10">
            <v>1878.5</v>
          </cell>
        </row>
      </sheetData>
      <sheetData sheetId="2">
        <row r="8">
          <cell r="K8">
            <v>3391.5</v>
          </cell>
        </row>
      </sheetData>
      <sheetData sheetId="3">
        <row r="8">
          <cell r="K8">
            <v>16.5</v>
          </cell>
        </row>
      </sheetData>
      <sheetData sheetId="4">
        <row r="8">
          <cell r="K8">
            <v>65</v>
          </cell>
        </row>
      </sheetData>
      <sheetData sheetId="5">
        <row r="8">
          <cell r="K8">
            <v>4151.5</v>
          </cell>
        </row>
      </sheetData>
      <sheetData sheetId="6">
        <row r="8">
          <cell r="K8">
            <v>495</v>
          </cell>
        </row>
      </sheetData>
      <sheetData sheetId="7">
        <row r="8">
          <cell r="K8">
            <v>240</v>
          </cell>
        </row>
      </sheetData>
      <sheetData sheetId="8">
        <row r="8">
          <cell r="K8">
            <v>16.5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0"/>
  <sheetViews>
    <sheetView showGridLines="0" tabSelected="1" workbookViewId="0">
      <pane ySplit="4" topLeftCell="A8" activePane="bottomLeft" state="frozen"/>
      <selection/>
      <selection pane="bottomLeft" activeCell="K16" sqref="K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11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11">
      <c r="D6" s="2" t="s">
        <v>1</v>
      </c>
    </row>
    <row r="7" ht="18" customHeight="1" spans="3:11">
      <c r="D7" s="3" t="s">
        <v>2</v>
      </c>
    </row>
    <row r="8" ht="15" spans="3:11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11">
      <c r="D9" s="5" t="s">
        <v>3</v>
      </c>
    </row>
    <row r="10" ht="15" spans="3:11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11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11">
      <c r="D12" s="6" t="s">
        <v>8</v>
      </c>
      <c r="E12" s="6" t="s">
        <v>9</v>
      </c>
      <c r="F12" s="8">
        <f>[1]妇科!$K$10+[1]美容科!$K$8+[1]肾六!$K$8+[1]肾五科!$K$8+[1]手术室!$K$8+[1]外二肛肠二科!$K$8+[1]针三科!$K$8+[1]综合内科!$K$8</f>
        <v>10254.5</v>
      </c>
      <c r="G12" s="7" t="s">
        <v>0</v>
      </c>
      <c r="H12" s="6" t="s">
        <v>0</v>
      </c>
      <c r="I12" s="7" t="s">
        <v>0</v>
      </c>
    </row>
    <row r="13" ht="30" customHeight="1" spans="3:11">
      <c r="D13" s="6" t="s">
        <v>10</v>
      </c>
      <c r="E13" s="6" t="s">
        <v>11</v>
      </c>
      <c r="F13" s="8">
        <v>600</v>
      </c>
      <c r="G13" s="7" t="s">
        <v>0</v>
      </c>
      <c r="H13" s="6" t="s">
        <v>12</v>
      </c>
      <c r="I13" s="7" t="s">
        <v>0</v>
      </c>
    </row>
    <row r="14" ht="30" customHeight="1" spans="3:11">
      <c r="D14" s="6" t="s">
        <v>13</v>
      </c>
      <c r="E14" s="7" t="s">
        <v>0</v>
      </c>
      <c r="F14" s="8">
        <f>F12+F13</f>
        <v>10854.5</v>
      </c>
      <c r="G14" s="7" t="s">
        <v>0</v>
      </c>
      <c r="H14" s="6" t="s">
        <v>0</v>
      </c>
      <c r="I14" s="7" t="s">
        <v>0</v>
      </c>
    </row>
    <row r="15" ht="30" customHeight="1" spans="3:11">
      <c r="D15" s="6" t="s">
        <v>14</v>
      </c>
      <c r="E15" s="7" t="s">
        <v>0</v>
      </c>
      <c r="F15" s="9">
        <f>F14</f>
        <v>10854.5</v>
      </c>
      <c r="G15" s="10" t="s">
        <v>0</v>
      </c>
      <c r="H15" s="6" t="s">
        <v>0</v>
      </c>
      <c r="I15" s="7" t="s">
        <v>0</v>
      </c>
    </row>
    <row r="16" ht="12" customHeight="1" spans="3:11">
      <c r="D16" s="4" t="s">
        <v>0</v>
      </c>
      <c r="K16" t="s">
        <v>15</v>
      </c>
    </row>
    <row r="17" ht="188.7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祖研-黑龙江省中医医院（南岗院区）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2026-06-04T01:47:00Z</dcterms:created>
  <dcterms:modified xsi:type="dcterms:W3CDTF">2026-06-11T05:10:57Z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9C5681C43DE24302893FC396FCB58AAD_13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