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<sst xmlns="http://schemas.openxmlformats.org/spreadsheetml/2006/main" count="184" uniqueCount="38">
  <si>
    <t>客户名称</t>
  </si>
  <si>
    <t>运送点名称</t>
  </si>
  <si>
    <t>包名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</si>
  <si>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</si>
  <si>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</si>
  <si>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</si>
  <si>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</si>
  <si>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</si>
  <si>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</si>
  <si>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</si>
  <si>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</si>
  <si>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</si>
  <si>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</si>
  <si>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患者姓名</t>
  </si>
  <si>
    <t>科室</t>
  </si>
  <si>
    <t>医生</t>
  </si>
  <si>
    <t>黑龙江省医院（南岗院区）</t>
  </si>
  <si>
    <t>手术室（备货）</t>
  </si>
  <si>
    <t>下肢器械（国药科学）2/2</t>
  </si>
  <si>
    <t>器械</t>
  </si>
  <si>
    <t xml:space="preserve">植入物-钉 </t>
  </si>
  <si>
    <t>聂桂芝</t>
  </si>
  <si>
    <t>南岗骨科</t>
  </si>
  <si>
    <t>曲建波</t>
  </si>
  <si>
    <t>器械-器皿</t>
  </si>
  <si>
    <t>自带篮筐</t>
  </si>
  <si>
    <t>下肢器械（国药科学）1/2</t>
  </si>
  <si>
    <t xml:space="preserve">植入物-板 </t>
  </si>
  <si>
    <t>外来器械组件</t>
  </si>
  <si>
    <t>全膝关节器械（国药科学）1/8</t>
  </si>
  <si>
    <t>孙汝海</t>
  </si>
  <si>
    <t>全膝关节器械（国药科学）6/8</t>
  </si>
  <si>
    <t>全膝关节器械（国药科学）2/8</t>
  </si>
  <si>
    <t>全膝关节器械（国药科学）7/8</t>
  </si>
  <si>
    <t>全膝关节器械（国药科学）3/8</t>
  </si>
  <si>
    <t>全膝关节器械（国药科学）8/8</t>
  </si>
  <si>
    <t>全膝关节器械（国药科学）4/8</t>
  </si>
  <si>
    <t>全膝关节器械（国药科学）5/8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</si>
</sst>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4" fillId="0" borderId="0"/>
  </cellStyleXfs>
  <cellXfs count="8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view="pageBreakPreview" zoomScaleNormal="100" workbookViewId="0">
      <selection activeCell="N10" sqref="N10"/>
    </sheetView>
  </sheetViews>
  <sheetFormatPr defaultColWidth="9" defaultRowHeight="13.5"/>
  <cols>
    <col min="1" max="1" width="27.0083333333333" customWidth="1"/>
    <col min="2" max="2" width="16.675" customWidth="1"/>
    <col min="3" max="3" width="27.675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8.675" customWidth="1"/>
    <col min="9" max="9" width="9.3416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5" width="11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18</v>
      </c>
      <c r="D2" s="5">
        <v>46097.8616670139</v>
      </c>
      <c r="E2" s="4" t="s">
        <v>19</v>
      </c>
      <c r="F2" s="4" t="s">
        <v>20</v>
      </c>
      <c r="G2" s="4">
        <v>217</v>
      </c>
      <c r="H2" s="6">
        <v>120</v>
      </c>
      <c r="I2" s="6">
        <v>120</v>
      </c>
      <c r="J2" s="4">
        <v>217</v>
      </c>
      <c r="K2" s="6">
        <v>120</v>
      </c>
      <c r="L2" s="6"/>
      <c r="M2" s="6"/>
      <c r="N2" s="7" t="s">
        <v>21</v>
      </c>
      <c r="O2" s="7" t="s">
        <v>22</v>
      </c>
      <c r="P2" s="7" t="s">
        <v>23</v>
      </c>
    </row>
    <row r="3" ht="22.5" customHeight="1" spans="1:16">
      <c r="A3" s="4" t="s">
        <v>16</v>
      </c>
      <c r="B3" s="4" t="s">
        <v>17</v>
      </c>
      <c r="C3" s="4" t="s">
        <v>18</v>
      </c>
      <c r="D3" s="5">
        <v>46097.8616670139</v>
      </c>
      <c r="E3" s="4" t="s">
        <v>24</v>
      </c>
      <c r="F3" s="4" t="s">
        <v>25</v>
      </c>
      <c r="G3" s="4">
        <v>1</v>
      </c>
      <c r="H3" s="6">
        <v>3.3</v>
      </c>
      <c r="I3" s="6">
        <f>G3*H3</f>
        <v>3.3</v>
      </c>
      <c r="J3" s="4">
        <v>1</v>
      </c>
      <c r="K3" s="6">
        <f>J3*3.3</f>
        <v>3.3</v>
      </c>
      <c r="L3" s="6"/>
      <c r="M3" s="6"/>
      <c r="N3" s="7" t="s">
        <v>21</v>
      </c>
      <c r="O3" s="7" t="s">
        <v>22</v>
      </c>
      <c r="P3" s="7" t="s">
        <v>23</v>
      </c>
    </row>
    <row r="4" ht="22.5" customHeight="1" spans="1:16">
      <c r="A4" s="4" t="s">
        <v>16</v>
      </c>
      <c r="B4" s="4" t="s">
        <v>17</v>
      </c>
      <c r="C4" s="4" t="s">
        <v>26</v>
      </c>
      <c r="D4" s="5">
        <v>46097.8616688657</v>
      </c>
      <c r="E4" s="4" t="s">
        <v>19</v>
      </c>
      <c r="F4" s="4" t="s">
        <v>27</v>
      </c>
      <c r="G4" s="4">
        <v>11</v>
      </c>
      <c r="H4" s="6">
        <v>3.3</v>
      </c>
      <c r="I4" s="6">
        <f t="shared" ref="I4:I22" si="0">G4*H4</f>
        <v>36.3</v>
      </c>
      <c r="J4" s="4">
        <v>11</v>
      </c>
      <c r="K4" s="6">
        <f t="shared" ref="K4:K22" si="1">J4*3.3</f>
        <v>36.3</v>
      </c>
      <c r="L4" s="6"/>
      <c r="M4" s="6"/>
      <c r="N4" s="7" t="s">
        <v>21</v>
      </c>
      <c r="O4" s="7" t="s">
        <v>22</v>
      </c>
      <c r="P4" s="7" t="s">
        <v>23</v>
      </c>
    </row>
    <row r="5" ht="22.5" customHeight="1" spans="1:16">
      <c r="A5" s="4" t="s">
        <v>16</v>
      </c>
      <c r="B5" s="4" t="s">
        <v>17</v>
      </c>
      <c r="C5" s="4" t="s">
        <v>26</v>
      </c>
      <c r="D5" s="5">
        <v>46097.8616688657</v>
      </c>
      <c r="E5" s="4" t="s">
        <v>24</v>
      </c>
      <c r="F5" s="4" t="s">
        <v>25</v>
      </c>
      <c r="G5" s="4">
        <v>1</v>
      </c>
      <c r="H5" s="6">
        <v>3.3</v>
      </c>
      <c r="I5" s="6">
        <f t="shared" si="0"/>
        <v>3.3</v>
      </c>
      <c r="J5" s="4">
        <v>1</v>
      </c>
      <c r="K5" s="6">
        <f t="shared" si="1"/>
        <v>3.3</v>
      </c>
      <c r="L5" s="6"/>
      <c r="M5" s="6"/>
      <c r="N5" s="7" t="s">
        <v>21</v>
      </c>
      <c r="O5" s="7" t="s">
        <v>22</v>
      </c>
      <c r="P5" s="7" t="s">
        <v>23</v>
      </c>
    </row>
    <row r="6" ht="22.5" customHeight="1" spans="1:16">
      <c r="A6" s="4" t="s">
        <v>16</v>
      </c>
      <c r="B6" s="4" t="s">
        <v>17</v>
      </c>
      <c r="C6" s="4" t="s">
        <v>26</v>
      </c>
      <c r="D6" s="5">
        <v>46097.8616688657</v>
      </c>
      <c r="E6" s="4" t="s">
        <v>19</v>
      </c>
      <c r="F6" s="4" t="s">
        <v>28</v>
      </c>
      <c r="G6" s="4">
        <v>14</v>
      </c>
      <c r="H6" s="6">
        <v>3.3</v>
      </c>
      <c r="I6" s="6">
        <f t="shared" si="0"/>
        <v>46.2</v>
      </c>
      <c r="J6" s="4">
        <v>14</v>
      </c>
      <c r="K6" s="6">
        <f t="shared" si="1"/>
        <v>46.2</v>
      </c>
      <c r="L6" s="6"/>
      <c r="M6" s="6"/>
      <c r="N6" s="7" t="s">
        <v>21</v>
      </c>
      <c r="O6" s="7" t="s">
        <v>22</v>
      </c>
      <c r="P6" s="7" t="s">
        <v>23</v>
      </c>
    </row>
    <row r="7" ht="22.5" customHeight="1" spans="1:16">
      <c r="A7" s="4" t="s">
        <v>16</v>
      </c>
      <c r="B7" s="4" t="s">
        <v>17</v>
      </c>
      <c r="C7" s="4" t="s">
        <v>29</v>
      </c>
      <c r="D7" s="5">
        <v>46098.8449835648</v>
      </c>
      <c r="E7" s="4" t="s">
        <v>24</v>
      </c>
      <c r="F7" s="4" t="s">
        <v>25</v>
      </c>
      <c r="G7" s="4">
        <v>1</v>
      </c>
      <c r="H7" s="6">
        <v>3.3</v>
      </c>
      <c r="I7" s="6">
        <f t="shared" si="0"/>
        <v>3.3</v>
      </c>
      <c r="J7" s="7"/>
      <c r="K7" s="7"/>
      <c r="L7" s="4">
        <v>1</v>
      </c>
      <c r="M7" s="6">
        <f>L7*3.3</f>
        <v>3.3</v>
      </c>
      <c r="N7" s="7" t="s">
        <v>30</v>
      </c>
      <c r="O7" s="7" t="s">
        <v>22</v>
      </c>
      <c r="P7" s="7" t="s">
        <v>23</v>
      </c>
    </row>
    <row r="8" ht="22.5" customHeight="1" spans="1:16">
      <c r="A8" s="4" t="s">
        <v>16</v>
      </c>
      <c r="B8" s="4" t="s">
        <v>17</v>
      </c>
      <c r="C8" s="4" t="s">
        <v>29</v>
      </c>
      <c r="D8" s="5">
        <v>46098.8449835648</v>
      </c>
      <c r="E8" s="4" t="s">
        <v>19</v>
      </c>
      <c r="F8" s="4" t="s">
        <v>28</v>
      </c>
      <c r="G8" s="4">
        <v>22</v>
      </c>
      <c r="H8" s="6">
        <v>3.3</v>
      </c>
      <c r="I8" s="6">
        <f t="shared" si="0"/>
        <v>72.6</v>
      </c>
      <c r="J8" s="4">
        <v>22</v>
      </c>
      <c r="K8" s="6">
        <f t="shared" si="1"/>
        <v>72.6</v>
      </c>
      <c r="L8" s="6"/>
      <c r="M8" s="6"/>
      <c r="N8" s="7" t="s">
        <v>30</v>
      </c>
      <c r="O8" s="7" t="s">
        <v>22</v>
      </c>
      <c r="P8" s="7" t="s">
        <v>23</v>
      </c>
    </row>
    <row r="9" ht="22.5" customHeight="1" spans="1:16">
      <c r="A9" s="4" t="s">
        <v>16</v>
      </c>
      <c r="B9" s="4" t="s">
        <v>17</v>
      </c>
      <c r="C9" s="4" t="s">
        <v>31</v>
      </c>
      <c r="D9" s="5">
        <v>46098.8449835648</v>
      </c>
      <c r="E9" s="4" t="s">
        <v>24</v>
      </c>
      <c r="F9" s="4" t="s">
        <v>25</v>
      </c>
      <c r="G9" s="4">
        <v>1</v>
      </c>
      <c r="H9" s="6">
        <v>3.3</v>
      </c>
      <c r="I9" s="6">
        <f t="shared" si="0"/>
        <v>3.3</v>
      </c>
      <c r="J9" s="7"/>
      <c r="K9" s="7"/>
      <c r="L9" s="4">
        <v>1</v>
      </c>
      <c r="M9" s="6">
        <f>L9*3.3</f>
        <v>3.3</v>
      </c>
      <c r="N9" s="7" t="s">
        <v>30</v>
      </c>
      <c r="O9" s="7" t="s">
        <v>22</v>
      </c>
      <c r="P9" s="7" t="s">
        <v>23</v>
      </c>
    </row>
    <row r="10" ht="22.5" customHeight="1" spans="1:16">
      <c r="A10" s="4" t="s">
        <v>16</v>
      </c>
      <c r="B10" s="4" t="s">
        <v>17</v>
      </c>
      <c r="C10" s="4" t="s">
        <v>31</v>
      </c>
      <c r="D10" s="5">
        <v>46098.8449835648</v>
      </c>
      <c r="E10" s="4" t="s">
        <v>19</v>
      </c>
      <c r="F10" s="4" t="s">
        <v>28</v>
      </c>
      <c r="G10" s="4">
        <v>19</v>
      </c>
      <c r="H10" s="6">
        <v>3.3</v>
      </c>
      <c r="I10" s="6">
        <f t="shared" si="0"/>
        <v>62.7</v>
      </c>
      <c r="J10" s="4">
        <v>19</v>
      </c>
      <c r="K10" s="6">
        <f t="shared" si="1"/>
        <v>62.7</v>
      </c>
      <c r="L10" s="6"/>
      <c r="M10" s="6"/>
      <c r="N10" s="7" t="s">
        <v>30</v>
      </c>
      <c r="O10" s="7" t="s">
        <v>22</v>
      </c>
      <c r="P10" s="7" t="s">
        <v>23</v>
      </c>
    </row>
    <row r="11" ht="22.5" customHeight="1" spans="1:16">
      <c r="A11" s="4" t="s">
        <v>16</v>
      </c>
      <c r="B11" s="4" t="s">
        <v>17</v>
      </c>
      <c r="C11" s="4" t="s">
        <v>32</v>
      </c>
      <c r="D11" s="5">
        <v>46098.844987037</v>
      </c>
      <c r="E11" s="4" t="s">
        <v>19</v>
      </c>
      <c r="F11" s="4" t="s">
        <v>28</v>
      </c>
      <c r="G11" s="4">
        <v>12</v>
      </c>
      <c r="H11" s="6">
        <v>3.3</v>
      </c>
      <c r="I11" s="6">
        <f t="shared" si="0"/>
        <v>39.6</v>
      </c>
      <c r="J11" s="4">
        <v>12</v>
      </c>
      <c r="K11" s="6">
        <f t="shared" si="1"/>
        <v>39.6</v>
      </c>
      <c r="L11" s="6"/>
      <c r="M11" s="6"/>
      <c r="N11" s="7" t="s">
        <v>30</v>
      </c>
      <c r="O11" s="7" t="s">
        <v>22</v>
      </c>
      <c r="P11" s="7" t="s">
        <v>23</v>
      </c>
    </row>
    <row r="12" ht="22.5" customHeight="1" spans="1:16">
      <c r="A12" s="4" t="s">
        <v>16</v>
      </c>
      <c r="B12" s="4" t="s">
        <v>17</v>
      </c>
      <c r="C12" s="4" t="s">
        <v>33</v>
      </c>
      <c r="D12" s="5">
        <v>46098.844987037</v>
      </c>
      <c r="E12" s="4" t="s">
        <v>24</v>
      </c>
      <c r="F12" s="4" t="s">
        <v>25</v>
      </c>
      <c r="G12" s="4">
        <v>1</v>
      </c>
      <c r="H12" s="6">
        <v>3.3</v>
      </c>
      <c r="I12" s="6">
        <f t="shared" si="0"/>
        <v>3.3</v>
      </c>
      <c r="J12" s="7"/>
      <c r="K12" s="7"/>
      <c r="L12" s="4">
        <v>1</v>
      </c>
      <c r="M12" s="6">
        <f>L12*3.3</f>
        <v>3.3</v>
      </c>
      <c r="N12" s="7" t="s">
        <v>30</v>
      </c>
      <c r="O12" s="7" t="s">
        <v>22</v>
      </c>
      <c r="P12" s="7" t="s">
        <v>23</v>
      </c>
    </row>
    <row r="13" ht="22.5" customHeight="1" spans="1:16">
      <c r="A13" s="4" t="s">
        <v>16</v>
      </c>
      <c r="B13" s="4" t="s">
        <v>17</v>
      </c>
      <c r="C13" s="4" t="s">
        <v>33</v>
      </c>
      <c r="D13" s="5">
        <v>46098.844987037</v>
      </c>
      <c r="E13" s="4" t="s">
        <v>19</v>
      </c>
      <c r="F13" s="4" t="s">
        <v>28</v>
      </c>
      <c r="G13" s="4">
        <v>34</v>
      </c>
      <c r="H13" s="6">
        <v>3.3</v>
      </c>
      <c r="I13" s="6">
        <f t="shared" si="0"/>
        <v>112.2</v>
      </c>
      <c r="J13" s="4">
        <v>34</v>
      </c>
      <c r="K13" s="6">
        <f t="shared" si="1"/>
        <v>112.2</v>
      </c>
      <c r="L13" s="6"/>
      <c r="M13" s="6"/>
      <c r="N13" s="7" t="s">
        <v>30</v>
      </c>
      <c r="O13" s="7" t="s">
        <v>22</v>
      </c>
      <c r="P13" s="7" t="s">
        <v>23</v>
      </c>
    </row>
    <row r="14" ht="22.5" customHeight="1" spans="1:16">
      <c r="A14" s="4" t="s">
        <v>16</v>
      </c>
      <c r="B14" s="4" t="s">
        <v>17</v>
      </c>
      <c r="C14" s="4" t="s">
        <v>32</v>
      </c>
      <c r="D14" s="5">
        <v>46098.844987037</v>
      </c>
      <c r="E14" s="4" t="s">
        <v>24</v>
      </c>
      <c r="F14" s="4" t="s">
        <v>25</v>
      </c>
      <c r="G14" s="4">
        <v>1</v>
      </c>
      <c r="H14" s="6">
        <v>3.3</v>
      </c>
      <c r="I14" s="6">
        <f t="shared" si="0"/>
        <v>3.3</v>
      </c>
      <c r="J14" s="7"/>
      <c r="K14" s="7"/>
      <c r="L14" s="4">
        <v>1</v>
      </c>
      <c r="M14" s="6">
        <f>L14*3.3</f>
        <v>3.3</v>
      </c>
      <c r="N14" s="7" t="s">
        <v>30</v>
      </c>
      <c r="O14" s="7" t="s">
        <v>22</v>
      </c>
      <c r="P14" s="7" t="s">
        <v>23</v>
      </c>
    </row>
    <row r="15" ht="22.5" customHeight="1" spans="1:16">
      <c r="A15" s="4" t="s">
        <v>16</v>
      </c>
      <c r="B15" s="4" t="s">
        <v>17</v>
      </c>
      <c r="C15" s="4" t="s">
        <v>34</v>
      </c>
      <c r="D15" s="5">
        <v>46098.8449903125</v>
      </c>
      <c r="E15" s="4" t="s">
        <v>19</v>
      </c>
      <c r="F15" s="4" t="s">
        <v>28</v>
      </c>
      <c r="G15" s="4">
        <v>10</v>
      </c>
      <c r="H15" s="6">
        <v>3.3</v>
      </c>
      <c r="I15" s="6">
        <f t="shared" si="0"/>
        <v>33</v>
      </c>
      <c r="J15" s="4">
        <v>10</v>
      </c>
      <c r="K15" s="6">
        <f t="shared" si="1"/>
        <v>33</v>
      </c>
      <c r="L15" s="6"/>
      <c r="M15" s="6"/>
      <c r="N15" s="7" t="s">
        <v>30</v>
      </c>
      <c r="O15" s="7" t="s">
        <v>22</v>
      </c>
      <c r="P15" s="7" t="s">
        <v>23</v>
      </c>
    </row>
    <row r="16" ht="22.5" customHeight="1" spans="1:16">
      <c r="A16" s="4" t="s">
        <v>16</v>
      </c>
      <c r="B16" s="4" t="s">
        <v>17</v>
      </c>
      <c r="C16" s="4" t="s">
        <v>34</v>
      </c>
      <c r="D16" s="5">
        <v>46098.8449903125</v>
      </c>
      <c r="E16" s="4" t="s">
        <v>24</v>
      </c>
      <c r="F16" s="4" t="s">
        <v>25</v>
      </c>
      <c r="G16" s="4">
        <v>1</v>
      </c>
      <c r="H16" s="6">
        <v>3.3</v>
      </c>
      <c r="I16" s="6">
        <f t="shared" si="0"/>
        <v>3.3</v>
      </c>
      <c r="J16" s="7"/>
      <c r="K16" s="7"/>
      <c r="L16" s="4">
        <v>1</v>
      </c>
      <c r="M16" s="6">
        <f>L16*3.3</f>
        <v>3.3</v>
      </c>
      <c r="N16" s="7" t="s">
        <v>30</v>
      </c>
      <c r="O16" s="7" t="s">
        <v>22</v>
      </c>
      <c r="P16" s="7" t="s">
        <v>23</v>
      </c>
    </row>
    <row r="17" ht="22.5" customHeight="1" spans="1:16">
      <c r="A17" s="4" t="s">
        <v>16</v>
      </c>
      <c r="B17" s="4" t="s">
        <v>17</v>
      </c>
      <c r="C17" s="4" t="s">
        <v>35</v>
      </c>
      <c r="D17" s="5">
        <v>46098.8449903125</v>
      </c>
      <c r="E17" s="4" t="s">
        <v>24</v>
      </c>
      <c r="F17" s="4" t="s">
        <v>25</v>
      </c>
      <c r="G17" s="4">
        <v>1</v>
      </c>
      <c r="H17" s="6">
        <v>3.3</v>
      </c>
      <c r="I17" s="6">
        <f t="shared" si="0"/>
        <v>3.3</v>
      </c>
      <c r="J17" s="7"/>
      <c r="K17" s="7"/>
      <c r="L17" s="4">
        <v>1</v>
      </c>
      <c r="M17" s="6">
        <f>L17*3.3</f>
        <v>3.3</v>
      </c>
      <c r="N17" s="7" t="s">
        <v>30</v>
      </c>
      <c r="O17" s="7" t="s">
        <v>22</v>
      </c>
      <c r="P17" s="7" t="s">
        <v>23</v>
      </c>
    </row>
    <row r="18" ht="22.5" customHeight="1" spans="1:16">
      <c r="A18" s="4" t="s">
        <v>16</v>
      </c>
      <c r="B18" s="4" t="s">
        <v>17</v>
      </c>
      <c r="C18" s="4" t="s">
        <v>35</v>
      </c>
      <c r="D18" s="5">
        <v>46098.8449903125</v>
      </c>
      <c r="E18" s="4" t="s">
        <v>19</v>
      </c>
      <c r="F18" s="4" t="s">
        <v>28</v>
      </c>
      <c r="G18" s="4">
        <v>7</v>
      </c>
      <c r="H18" s="6">
        <v>3.3</v>
      </c>
      <c r="I18" s="6">
        <f t="shared" si="0"/>
        <v>23.1</v>
      </c>
      <c r="J18" s="4">
        <v>7</v>
      </c>
      <c r="K18" s="6">
        <f t="shared" si="1"/>
        <v>23.1</v>
      </c>
      <c r="L18" s="6"/>
      <c r="M18" s="6"/>
      <c r="N18" s="7" t="s">
        <v>30</v>
      </c>
      <c r="O18" s="7" t="s">
        <v>22</v>
      </c>
      <c r="P18" s="7" t="s">
        <v>23</v>
      </c>
    </row>
    <row r="19" ht="22.5" customHeight="1" spans="1:16">
      <c r="A19" s="4" t="s">
        <v>16</v>
      </c>
      <c r="B19" s="4" t="s">
        <v>17</v>
      </c>
      <c r="C19" s="4" t="s">
        <v>36</v>
      </c>
      <c r="D19" s="5">
        <v>46098.8449935185</v>
      </c>
      <c r="E19" s="4" t="s">
        <v>24</v>
      </c>
      <c r="F19" s="4" t="s">
        <v>25</v>
      </c>
      <c r="G19" s="4">
        <v>1</v>
      </c>
      <c r="H19" s="6">
        <v>3.3</v>
      </c>
      <c r="I19" s="6">
        <f t="shared" si="0"/>
        <v>3.3</v>
      </c>
      <c r="J19" s="7"/>
      <c r="K19" s="7"/>
      <c r="L19" s="4">
        <v>1</v>
      </c>
      <c r="M19" s="6">
        <f>L19*3.3</f>
        <v>3.3</v>
      </c>
      <c r="N19" s="7" t="s">
        <v>30</v>
      </c>
      <c r="O19" s="7" t="s">
        <v>22</v>
      </c>
      <c r="P19" s="7" t="s">
        <v>23</v>
      </c>
    </row>
    <row r="20" ht="22.5" customHeight="1" spans="1:16">
      <c r="A20" s="4" t="s">
        <v>16</v>
      </c>
      <c r="B20" s="4" t="s">
        <v>17</v>
      </c>
      <c r="C20" s="4" t="s">
        <v>36</v>
      </c>
      <c r="D20" s="5">
        <v>46098.8449935185</v>
      </c>
      <c r="E20" s="4" t="s">
        <v>19</v>
      </c>
      <c r="F20" s="4" t="s">
        <v>28</v>
      </c>
      <c r="G20" s="4">
        <v>21</v>
      </c>
      <c r="H20" s="6">
        <v>3.3</v>
      </c>
      <c r="I20" s="6">
        <f t="shared" si="0"/>
        <v>69.3</v>
      </c>
      <c r="J20" s="4">
        <v>21</v>
      </c>
      <c r="K20" s="6">
        <f t="shared" si="1"/>
        <v>69.3</v>
      </c>
      <c r="L20" s="6"/>
      <c r="M20" s="6"/>
      <c r="N20" s="7" t="s">
        <v>30</v>
      </c>
      <c r="O20" s="7" t="s">
        <v>22</v>
      </c>
      <c r="P20" s="7" t="s">
        <v>23</v>
      </c>
    </row>
    <row r="21" ht="22.5" customHeight="1" spans="1:16">
      <c r="A21" s="4" t="s">
        <v>16</v>
      </c>
      <c r="B21" s="4" t="s">
        <v>17</v>
      </c>
      <c r="C21" s="4" t="s">
        <v>37</v>
      </c>
      <c r="D21" s="5">
        <v>46098.844996794</v>
      </c>
      <c r="E21" s="4" t="s">
        <v>19</v>
      </c>
      <c r="F21" s="4" t="s">
        <v>28</v>
      </c>
      <c r="G21" s="4">
        <v>16</v>
      </c>
      <c r="H21" s="6">
        <v>3.3</v>
      </c>
      <c r="I21" s="6">
        <f t="shared" si="0"/>
        <v>52.8</v>
      </c>
      <c r="J21" s="4">
        <v>16</v>
      </c>
      <c r="K21" s="6">
        <f t="shared" si="1"/>
        <v>52.8</v>
      </c>
      <c r="L21" s="6"/>
      <c r="M21" s="6"/>
      <c r="N21" s="7" t="s">
        <v>30</v>
      </c>
      <c r="O21" s="7" t="s">
        <v>22</v>
      </c>
      <c r="P21" s="7" t="s">
        <v>23</v>
      </c>
    </row>
    <row r="22" ht="22.5" customHeight="1" spans="1:16">
      <c r="A22" s="4" t="s">
        <v>16</v>
      </c>
      <c r="B22" s="4" t="s">
        <v>17</v>
      </c>
      <c r="C22" s="4" t="s">
        <v>37</v>
      </c>
      <c r="D22" s="5">
        <v>46098.844996794</v>
      </c>
      <c r="E22" s="4" t="s">
        <v>24</v>
      </c>
      <c r="F22" s="4" t="s">
        <v>25</v>
      </c>
      <c r="G22" s="4">
        <v>1</v>
      </c>
      <c r="H22" s="6">
        <v>3.3</v>
      </c>
      <c r="I22" s="6">
        <f t="shared" si="0"/>
        <v>3.3</v>
      </c>
      <c r="J22" s="6">
        <v>1</v>
      </c>
      <c r="K22" s="6">
        <f t="shared" si="1"/>
        <v>3.3</v>
      </c>
      <c r="L22" s="6"/>
      <c r="M22" s="6"/>
      <c r="N22" s="7" t="s">
        <v>30</v>
      </c>
      <c r="O22" s="7" t="s">
        <v>22</v>
      </c>
      <c r="P22" s="7" t="s">
        <v>23</v>
      </c>
    </row>
    <row r="23" ht="22.5" customHeight="1" spans="1:16">
      <c r="A23" s="7"/>
      <c r="B23" s="7"/>
      <c r="C23" s="7"/>
      <c r="D23" s="7"/>
      <c r="E23" s="7"/>
      <c r="F23" s="7"/>
      <c r="G23" s="7"/>
      <c r="H23" s="7"/>
      <c r="I23" s="7"/>
      <c r="J23" s="7"/>
      <c r="K23" s="7">
        <f t="shared" ref="G23:M23" si="2">SUM(K2:K22)</f>
        <v>677.7</v>
      </c>
      <c r="L23" s="7">
        <f t="shared" si="2"/>
        <v>7</v>
      </c>
      <c r="M23" s="7">
        <f t="shared" si="2"/>
        <v>23.1</v>
      </c>
      <c r="N23" s="7"/>
      <c r="O23" s="7"/>
      <c r="P23" s="7"/>
    </row>
  </sheetData>
  <pageMargins left="0.25" right="0.25" top="0.75" bottom="0.75" header="0.298611111111111" footer="0.298611111111111"/>
  <pageSetup paperSize="9" scale="7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2026-03-30T04:18:41Z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E7FA27DCC7514B1E85A74FE4847F71CD_12</vt:lpwstr>
  </property>
  <property fmtid="{D5CDD505-2E9C-101B-9397-08002B2CF9AE}" pid="4" name="CalculationRule">
    <vt:i4>0</vt:i4>
  </property>
</Properties>
</file>