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5060" windowHeight="11655"/>
  </bookViews>
  <sheets>
    <sheet name="手术室" sheetId="1" r:id="rId1"/>
    <sheet name="住院部" sheetId="2" r:id="rId2"/>
  </sheets>
  <definedNames>
    <definedName name="_xlnm._FilterDatabase" localSheetId="0" hidden="1">手术室!$A$9:$K$17</definedName>
    <definedName name="_xlnm.Print_Titles" localSheetId="0">手术室!$1:$6</definedName>
    <definedName name="_xlnm.Print_Titles" localSheetId="1">住院部!$1:$6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<sst xmlns="http://schemas.openxmlformats.org/spreadsheetml/2006/main" count="66" uniqueCount="23">
  <si>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</si>
  <si>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2026/1/1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00:00:00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2026/1/31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23:59:59.999</t>
    </r>
  </si>
  <si>
    <t/>
  </si>
  <si>
    <t>黑龙江九洲妇科医院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</si>
  <si>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</si>
  <si>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</si>
  <si>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</si>
  <si>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</si>
  <si>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</si>
  <si>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</si>
  <si>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</si>
  <si>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</si>
  <si>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手术室</t>
  </si>
  <si>
    <t>额外包(无纺布)</t>
  </si>
  <si>
    <t>人流包-22件/w9050</t>
  </si>
  <si>
    <t>盆3盘2杯1/W9050</t>
  </si>
  <si>
    <t>开腹包54件（筐1）</t>
  </si>
  <si>
    <t>敷料包(无纺布包)</t>
  </si>
  <si>
    <t>手术衣/W12050</t>
  </si>
  <si>
    <t>整形-28件/w9050</t>
  </si>
  <si>
    <t>住院部</t>
  </si>
  <si>
    <t>额外包(纸塑袋)</t>
  </si>
  <si>
    <t>开口器舌钳压舌板（3件）/z1526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</si>
</sst>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$-10804]yyyy/m/d"/>
  </numFmts>
  <fonts count="27">
    <font>
      <sz val="11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0"/>
      <color rgb="FF000000"/>
      <name val="Droid Sans Fallback"/>
      <charset val="134"/>
    </font>
    <font>
      <sz val="11"/>
      <color rgb="FF000000"/>
      <name val="Droid Sans Fallback"/>
      <charset val="134"/>
    </font>
    <font>
      <sz val="12"/>
      <color rgb="FFFFFFFF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BCC3CC"/>
        <bgColor rgb="FFBCC3CC"/>
      </patternFill>
    </fill>
    <fill>
      <patternFill patternType="solid">
        <fgColor rgb="FF6799AF"/>
        <bgColor rgb="FF6799A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6" borderId="9" applyNumberFormat="0" applyAlignment="0" applyProtection="0">
      <alignment vertical="center"/>
    </xf>
    <xf numFmtId="0" fontId="17" fillId="6" borderId="8" applyNumberFormat="0" applyAlignment="0" applyProtection="0">
      <alignment vertical="center"/>
    </xf>
    <xf numFmtId="0" fontId="18" fillId="7" borderId="10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6" fillId="0" borderId="0"/>
  </cellStyleXfs>
  <cellXfs count="18">
    <xf numFmtId="0" fontId="0" fillId="0" borderId="0" xfId="0" applyFont="1" applyFill="1" applyBorder="1" applyAlignment="1"/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vertical="top" wrapText="1" readingOrder="1"/>
    </xf>
    <xf numFmtId="0" fontId="3" fillId="0" borderId="0" xfId="0" applyNumberFormat="1" applyFont="1" applyFill="1" applyBorder="1" applyAlignment="1">
      <alignment vertical="top" wrapText="1" readingOrder="1"/>
    </xf>
    <xf numFmtId="0" fontId="0" fillId="0" borderId="1" xfId="0" applyNumberFormat="1" applyFont="1" applyFill="1" applyBorder="1" applyAlignment="1">
      <alignment vertical="top" wrapText="1"/>
    </xf>
    <xf numFmtId="0" fontId="3" fillId="0" borderId="1" xfId="0" applyNumberFormat="1" applyFont="1" applyFill="1" applyBorder="1" applyAlignment="1">
      <alignment vertical="top" wrapText="1" readingOrder="1"/>
    </xf>
    <xf numFmtId="0" fontId="3" fillId="0" borderId="2" xfId="0" applyNumberFormat="1" applyFont="1" applyFill="1" applyBorder="1" applyAlignment="1">
      <alignment horizontal="center" vertical="top" wrapText="1" readingOrder="1"/>
    </xf>
    <xf numFmtId="0" fontId="4" fillId="2" borderId="3" xfId="0" applyNumberFormat="1" applyFont="1" applyFill="1" applyBorder="1" applyAlignment="1">
      <alignment vertical="top" wrapText="1" readingOrder="1"/>
    </xf>
    <xf numFmtId="0" fontId="0" fillId="0" borderId="4" xfId="0" applyNumberFormat="1" applyFont="1" applyFill="1" applyBorder="1" applyAlignment="1">
      <alignment vertical="top" wrapText="1"/>
    </xf>
    <xf numFmtId="0" fontId="4" fillId="2" borderId="3" xfId="0" applyNumberFormat="1" applyFont="1" applyFill="1" applyBorder="1" applyAlignment="1">
      <alignment horizontal="center" vertical="top" wrapText="1" readingOrder="1"/>
    </xf>
    <xf numFmtId="176" fontId="4" fillId="2" borderId="3" xfId="0" applyNumberFormat="1" applyFont="1" applyFill="1" applyBorder="1" applyAlignment="1">
      <alignment horizontal="center" vertical="top" wrapText="1" readingOrder="1"/>
    </xf>
    <xf numFmtId="177" fontId="3" fillId="0" borderId="3" xfId="0" applyNumberFormat="1" applyFont="1" applyFill="1" applyBorder="1" applyAlignment="1">
      <alignment vertical="top" wrapText="1" readingOrder="1"/>
    </xf>
    <xf numFmtId="0" fontId="3" fillId="0" borderId="3" xfId="0" applyNumberFormat="1" applyFont="1" applyFill="1" applyBorder="1" applyAlignment="1">
      <alignment vertical="top" wrapText="1" readingOrder="1"/>
    </xf>
    <xf numFmtId="0" fontId="3" fillId="0" borderId="3" xfId="0" applyNumberFormat="1" applyFont="1" applyFill="1" applyBorder="1" applyAlignment="1">
      <alignment horizontal="center" vertical="top" wrapText="1" readingOrder="1"/>
    </xf>
    <xf numFmtId="176" fontId="3" fillId="0" borderId="3" xfId="0" applyNumberFormat="1" applyFont="1" applyFill="1" applyBorder="1" applyAlignment="1">
      <alignment horizontal="center" vertical="top" wrapText="1" readingOrder="1"/>
    </xf>
    <xf numFmtId="0" fontId="5" fillId="3" borderId="3" xfId="0" applyNumberFormat="1" applyFont="1" applyFill="1" applyBorder="1" applyAlignment="1">
      <alignment vertical="top" wrapText="1" readingOrder="1"/>
    </xf>
    <xf numFmtId="0" fontId="5" fillId="3" borderId="3" xfId="0" applyNumberFormat="1" applyFont="1" applyFill="1" applyBorder="1" applyAlignment="1">
      <alignment horizontal="center" vertical="top" wrapText="1" readingOrder="1"/>
    </xf>
    <xf numFmtId="176" fontId="5" fillId="3" borderId="3" xfId="0" applyNumberFormat="1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475615</xdr:colOff>
      <xdr:row>1</xdr:row>
      <xdr:rowOff>0</xdr:rowOff>
    </xdr:from>
    <xdr:to>
      <xdr:col>10</xdr:col>
      <xdr:colOff>55328</xdr:colOff>
      <xdr:row>3</xdr:row>
      <xdr:rowOff>190500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168390" y="171450"/>
          <a:ext cx="509905" cy="50863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256540</xdr:colOff>
      <xdr:row>1</xdr:row>
      <xdr:rowOff>47625</xdr:rowOff>
    </xdr:from>
    <xdr:to>
      <xdr:col>9</xdr:col>
      <xdr:colOff>766528</xdr:colOff>
      <xdr:row>4</xdr:row>
      <xdr:rowOff>45085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5949315" y="219075"/>
          <a:ext cx="509905" cy="5086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8"/>
  <sheetViews>
    <sheetView showGridLines="0" tabSelected="1" view="pageBreakPreview" zoomScaleNormal="100" workbookViewId="0">
      <pane ySplit="6" topLeftCell="A7" activePane="bottomLeft" state="frozen"/>
      <selection/>
      <selection pane="bottomLeft" activeCell="M17" sqref="L17:M17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625" customWidth="1"/>
  </cols>
  <sheetData>
    <row r="1" spans="2:11">
      <c r="C1" s="1" t="s">
        <v>0</v>
      </c>
    </row>
    <row r="2" ht="23.05" customHeight="1"/>
    <row r="3" ht="2" customHeight="1"/>
    <row r="4" ht="15.2" customHeight="1" spans="2:11">
      <c r="B4" s="2" t="s">
        <v>1</v>
      </c>
    </row>
    <row r="6" ht="2.95" customHeight="1"/>
    <row r="7" ht="3.95" customHeight="1" spans="2:11">
      <c r="B7" s="4" t="s">
        <v>2</v>
      </c>
      <c r="C7" s="4" t="s">
        <v>2</v>
      </c>
      <c r="D7" s="4" t="s">
        <v>2</v>
      </c>
      <c r="E7" s="4" t="s">
        <v>2</v>
      </c>
      <c r="F7" s="4" t="s">
        <v>2</v>
      </c>
      <c r="G7" s="4" t="s">
        <v>2</v>
      </c>
      <c r="H7" s="4" t="s">
        <v>2</v>
      </c>
      <c r="I7" s="4" t="s">
        <v>2</v>
      </c>
      <c r="J7" s="4" t="s">
        <v>2</v>
      </c>
      <c r="K7" s="4" t="s">
        <v>2</v>
      </c>
    </row>
    <row r="8" ht="15" spans="2:11">
      <c r="C8" s="3" t="s">
        <v>2</v>
      </c>
      <c r="D8" s="15" t="s">
        <v>3</v>
      </c>
      <c r="E8" s="8" t="s">
        <v>2</v>
      </c>
      <c r="F8" s="8" t="s">
        <v>2</v>
      </c>
      <c r="G8" s="8" t="s">
        <v>2</v>
      </c>
      <c r="H8" s="8" t="s">
        <v>2</v>
      </c>
      <c r="I8" s="16"/>
      <c r="J8" s="17"/>
      <c r="K8" s="17"/>
    </row>
    <row r="9" spans="2:11">
      <c r="C9" s="3" t="s">
        <v>2</v>
      </c>
      <c r="D9" s="13" t="s">
        <v>4</v>
      </c>
      <c r="E9" s="13" t="s">
        <v>5</v>
      </c>
      <c r="F9" s="13" t="s">
        <v>6</v>
      </c>
      <c r="G9" s="13" t="s">
        <v>7</v>
      </c>
      <c r="H9" s="13" t="s">
        <v>8</v>
      </c>
      <c r="I9" s="13" t="s">
        <v>9</v>
      </c>
      <c r="J9" s="13" t="s">
        <v>10</v>
      </c>
      <c r="K9" s="13" t="s">
        <v>11</v>
      </c>
    </row>
    <row r="10" ht="14.25" spans="2:11">
      <c r="D10" s="7" t="s">
        <v>12</v>
      </c>
      <c r="E10" s="8" t="s">
        <v>2</v>
      </c>
      <c r="F10" s="8" t="s">
        <v>2</v>
      </c>
      <c r="G10" s="8" t="s">
        <v>2</v>
      </c>
      <c r="H10" s="8" t="s">
        <v>2</v>
      </c>
      <c r="I10" s="9">
        <v>50</v>
      </c>
      <c r="J10" s="10"/>
      <c r="K10" s="10">
        <f>SUM(K11:K17)</f>
        <v>6090.5</v>
      </c>
    </row>
    <row r="11" spans="2:11">
      <c r="D11" s="11">
        <v>46029</v>
      </c>
      <c r="E11" s="12">
        <v>1568553</v>
      </c>
      <c r="F11" s="12" t="s">
        <v>13</v>
      </c>
      <c r="G11" s="13">
        <v>20013197</v>
      </c>
      <c r="H11" s="12" t="s">
        <v>14</v>
      </c>
      <c r="I11" s="13">
        <v>13</v>
      </c>
      <c r="J11" s="14">
        <v>121</v>
      </c>
      <c r="K11" s="14">
        <f>J11*I11</f>
        <v>1573</v>
      </c>
    </row>
    <row r="12" spans="2:11">
      <c r="D12" s="11">
        <v>46029</v>
      </c>
      <c r="E12" s="12">
        <v>1568559</v>
      </c>
      <c r="F12" s="12" t="s">
        <v>13</v>
      </c>
      <c r="G12" s="13">
        <v>20389865</v>
      </c>
      <c r="H12" s="12" t="s">
        <v>15</v>
      </c>
      <c r="I12" s="13">
        <v>1</v>
      </c>
      <c r="J12" s="14">
        <v>33</v>
      </c>
      <c r="K12" s="14">
        <f t="shared" ref="K12:K17" si="0">J12*I12</f>
        <v>33</v>
      </c>
    </row>
    <row r="13" spans="2:11">
      <c r="D13" s="11">
        <v>46030</v>
      </c>
      <c r="E13" s="12">
        <v>1568607</v>
      </c>
      <c r="F13" s="12" t="s">
        <v>13</v>
      </c>
      <c r="G13" s="13">
        <v>20389853</v>
      </c>
      <c r="H13" s="12" t="s">
        <v>16</v>
      </c>
      <c r="I13" s="13">
        <v>1</v>
      </c>
      <c r="J13" s="14">
        <v>302.5</v>
      </c>
      <c r="K13" s="14">
        <f t="shared" si="0"/>
        <v>302.5</v>
      </c>
    </row>
    <row r="14" spans="2:11">
      <c r="D14" s="11">
        <v>46042</v>
      </c>
      <c r="E14" s="12">
        <v>1572166</v>
      </c>
      <c r="F14" s="12" t="s">
        <v>17</v>
      </c>
      <c r="G14" s="13">
        <v>20003050</v>
      </c>
      <c r="H14" s="12" t="s">
        <v>18</v>
      </c>
      <c r="I14" s="13">
        <v>1</v>
      </c>
      <c r="J14" s="14">
        <v>35</v>
      </c>
      <c r="K14" s="14">
        <f t="shared" si="0"/>
        <v>35</v>
      </c>
    </row>
    <row r="15" spans="2:11">
      <c r="D15" s="11">
        <v>46042</v>
      </c>
      <c r="E15" s="12">
        <v>1572166</v>
      </c>
      <c r="F15" s="12" t="s">
        <v>13</v>
      </c>
      <c r="G15" s="13">
        <v>20013197</v>
      </c>
      <c r="H15" s="12" t="s">
        <v>14</v>
      </c>
      <c r="I15" s="13">
        <v>20</v>
      </c>
      <c r="J15" s="14">
        <v>121</v>
      </c>
      <c r="K15" s="14">
        <f t="shared" si="0"/>
        <v>2420</v>
      </c>
    </row>
    <row r="16" spans="2:11">
      <c r="D16" s="11">
        <v>46050</v>
      </c>
      <c r="E16" s="12">
        <v>1574402</v>
      </c>
      <c r="F16" s="12" t="s">
        <v>13</v>
      </c>
      <c r="G16" s="13">
        <v>20013197</v>
      </c>
      <c r="H16" s="12" t="s">
        <v>14</v>
      </c>
      <c r="I16" s="13">
        <v>13</v>
      </c>
      <c r="J16" s="14">
        <v>121</v>
      </c>
      <c r="K16" s="14">
        <f t="shared" si="0"/>
        <v>1573</v>
      </c>
    </row>
    <row r="17" spans="4:11">
      <c r="D17" s="11">
        <v>46050</v>
      </c>
      <c r="E17" s="12">
        <v>1574402</v>
      </c>
      <c r="F17" s="12" t="s">
        <v>13</v>
      </c>
      <c r="G17" s="13">
        <v>20345364</v>
      </c>
      <c r="H17" s="12" t="s">
        <v>19</v>
      </c>
      <c r="I17" s="13">
        <v>1</v>
      </c>
      <c r="J17" s="14">
        <v>154</v>
      </c>
      <c r="K17" s="14">
        <f t="shared" si="0"/>
        <v>154</v>
      </c>
    </row>
    <row r="18" ht="0.05" customHeight="1"/>
  </sheetData>
  <autoFilter xmlns:etc="http://www.wps.cn/officeDocument/2017/etCustomData" ref="A9:K17" etc:filterBottomFollowUsedRange="0">
    <extLst/>
  </autoFilter>
  <mergeCells count="6">
    <mergeCell ref="D8:H8"/>
    <mergeCell ref="D10:H10"/>
    <mergeCell ref="C9:C17"/>
    <mergeCell ref="B4:H5"/>
    <mergeCell ref="A8:B17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&amp;"-,Regular"2026年2月3日 12:45 
&amp;"-,Bold"&amp;10 黑龙江省铂康医疗灭菌有限公司 &amp;R&amp;"Droid Sans Fallback"&amp;9第&amp;P页，共&amp;N页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"/>
  <sheetViews>
    <sheetView showGridLines="0" view="pageBreakPreview" zoomScaleNormal="100" workbookViewId="0">
      <pane ySplit="6" topLeftCell="A7" activePane="bottomLeft" state="frozen"/>
      <selection/>
      <selection pane="bottomLeft" activeCell="K9" sqref="K9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62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20</v>
      </c>
      <c r="E8" s="8" t="s">
        <v>2</v>
      </c>
      <c r="F8" s="8" t="s">
        <v>2</v>
      </c>
      <c r="G8" s="8" t="s">
        <v>2</v>
      </c>
      <c r="H8" s="8" t="s">
        <v>2</v>
      </c>
      <c r="I8" s="9">
        <v>1</v>
      </c>
      <c r="J8" s="10"/>
      <c r="K8" s="10">
        <v>16.5</v>
      </c>
    </row>
    <row r="9" spans="1:11">
      <c r="D9" s="11">
        <v>46042</v>
      </c>
      <c r="E9" s="12">
        <v>1572165</v>
      </c>
      <c r="F9" s="12" t="s">
        <v>21</v>
      </c>
      <c r="G9" s="13">
        <v>20007962</v>
      </c>
      <c r="H9" s="12" t="s">
        <v>22</v>
      </c>
      <c r="I9" s="13">
        <v>1</v>
      </c>
      <c r="J9" s="14">
        <v>16.5</v>
      </c>
      <c r="K9" s="14">
        <v>16.5</v>
      </c>
    </row>
    <row r="10" ht="0.05" customHeight="1"/>
  </sheetData>
  <mergeCells count="5">
    <mergeCell ref="D8:H8"/>
    <mergeCell ref="C7:C9"/>
    <mergeCell ref="B4:H5"/>
    <mergeCell ref="A7:B9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&amp;"-,Regular"2026年2月3日 12:45 
&amp;"-,Bold"&amp;10 黑龙江省铂康医疗灭菌有限公司 &amp;R&amp;"Droid Sans Fallback"&amp;9第&amp;P页，共&amp;N页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手术室</vt:lpstr>
      <vt:lpstr>住院部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2026-02-03T04:45:00Z</dcterms:created>
  <dcterms:modified xsi:type="dcterms:W3CDTF">2026-02-06T01:09:55Z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ReadingLayout">
    <vt:bool>true</vt:bool>
  </property>
  <property fmtid="{D5CDD505-2E9C-101B-9397-08002B2CF9AE}" pid="3" name="ICV">
    <vt:lpwstr>18CFDCD39EDC4780A165277BFD24C437_13</vt:lpwstr>
  </property>
  <property fmtid="{D5CDD505-2E9C-101B-9397-08002B2CF9AE}" pid="4" name="KSOProductBuildVer">
    <vt:lpwstr>2052-12.1.0.24657</vt:lpwstr>
  </property>
  <property fmtid="{D5CDD505-2E9C-101B-9397-08002B2CF9AE}" pid="5" name="CalculationRule">
    <vt:i4>0</vt:i4>
  </property>
</Properties>
</file>