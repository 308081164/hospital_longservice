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20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<sst xmlns="http://schemas.openxmlformats.org/spreadsheetml/2006/main" count="1819" uniqueCount="400">
  <si>
    <t>哈尔滨市骨伤科医院2026年4月1日-2026年4月30日账单（财务专用）</t>
  </si>
  <si>
    <t>名称</t>
  </si>
  <si>
    <t>数量</t>
  </si>
  <si>
    <t>单价</t>
  </si>
  <si>
    <t>合计</t>
  </si>
  <si>
    <r>
      <t>开口器包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/z1526</t>
    </r>
  </si>
  <si>
    <r>
      <t>手科包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</si>
  <si>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外科包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</si>
  <si>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止血钳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</si>
  <si>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邦德锁定上肢器械</t>
    </r>
    <r>
      <rPr>
        <b/>
        <sz val="11"/>
        <color rgb="FF000000"/>
        <rFont val="Droid Sans Fallback"/>
        <charset val="134"/>
      </rPr>
      <t>-22</t>
    </r>
    <r>
      <rPr>
        <b/>
        <sz val="11"/>
        <color rgb="FF000000"/>
        <rFont val="宋体"/>
        <charset val="134"/>
      </rPr>
      <t>件</t>
    </r>
  </si>
  <si>
    <t>股骨干</t>
  </si>
  <si>
    <t>手足部骨折包</t>
  </si>
  <si>
    <r>
      <t>邦德主钉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</si>
  <si>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长钻头</t>
    </r>
    <r>
      <rPr>
        <b/>
        <sz val="11"/>
        <color rgb="FF000000"/>
        <rFont val="Droid Sans Fallback"/>
        <charset val="134"/>
      </rPr>
      <t>4.8-1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/z7537</t>
    </r>
  </si>
  <si>
    <r>
      <t>大刀柄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/z7530</t>
    </r>
  </si>
  <si>
    <r>
      <t>钢板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</si>
  <si>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钢板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</si>
  <si>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钢针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，扳手</t>
    </r>
    <r>
      <rPr>
        <b/>
        <sz val="11"/>
        <color rgb="FF000000"/>
        <rFont val="Droid Sans Fallback"/>
        <charset val="134"/>
      </rPr>
      <t>1/</t>
    </r>
    <r>
      <rPr>
        <b/>
        <sz val="11"/>
        <color rgb="FF000000"/>
        <rFont val="宋体"/>
        <charset val="134"/>
      </rPr>
      <t>（双）</t>
    </r>
    <r>
      <rPr>
        <b/>
        <sz val="11"/>
        <color rgb="FF000000"/>
        <rFont val="Droid Sans Fallback"/>
        <charset val="134"/>
      </rPr>
      <t>Z1526</t>
    </r>
  </si>
  <si>
    <r>
      <t>拉力钉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/z1026</t>
    </r>
  </si>
  <si>
    <r>
      <t>驱血带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/z2032</t>
    </r>
  </si>
  <si>
    <r>
      <t>手科钩镊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</si>
  <si>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手科小爪钩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</si>
  <si>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手科直镊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</si>
  <si>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外架钢针（</t>
    </r>
    <r>
      <rPr>
        <b/>
        <sz val="11"/>
        <color rgb="FF000000"/>
        <rFont val="Droid Sans Fallback"/>
        <charset val="134"/>
      </rPr>
      <t>5*110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</si>
  <si>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外架钢针（</t>
    </r>
    <r>
      <rPr>
        <b/>
        <sz val="11"/>
        <color rgb="FF000000"/>
        <rFont val="Droid Sans Fallback"/>
        <charset val="134"/>
      </rPr>
      <t>5*90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</si>
  <si>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线锯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/z1526</t>
    </r>
  </si>
  <si>
    <r>
      <t>小肌钩</t>
    </r>
    <r>
      <rPr>
        <b/>
        <sz val="11"/>
        <color rgb="FF000000"/>
        <rFont val="Droid Sans Fallback"/>
        <charset val="134"/>
      </rPr>
      <t>-2/</t>
    </r>
    <r>
      <rPr>
        <b/>
        <sz val="11"/>
        <color rgb="FF000000"/>
        <rFont val="宋体"/>
        <charset val="134"/>
      </rPr>
      <t>（双）</t>
    </r>
    <r>
      <rPr>
        <b/>
        <sz val="11"/>
        <color rgb="FF000000"/>
        <rFont val="Droid Sans Fallback"/>
        <charset val="134"/>
      </rPr>
      <t>Z1026</t>
    </r>
  </si>
  <si>
    <r>
      <t>直角钳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</si>
  <si>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钻钥匙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</si>
  <si>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钻钥匙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</si>
  <si>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(</t>
    </r>
    <r>
      <rPr>
        <b/>
        <sz val="11"/>
        <color rgb="FF000000"/>
        <rFont val="宋体"/>
        <charset val="134"/>
      </rPr>
      <t>邦德</t>
    </r>
    <r>
      <rPr>
        <b/>
        <sz val="11"/>
        <color rgb="FF000000"/>
        <rFont val="Droid Sans Fallback"/>
        <charset val="134"/>
      </rPr>
      <t>)PFNA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</si>
  <si>
    <r>
      <t>邦德锁定上肢</t>
    </r>
    <r>
      <rPr>
        <b/>
        <sz val="11"/>
        <color rgb="FF000000"/>
        <rFont val="Droid Sans Fallback"/>
        <charset val="134"/>
      </rPr>
      <t xml:space="preserve"> 3.5 2.7</t>
    </r>
    <r>
      <rPr>
        <b/>
        <sz val="11"/>
        <color rgb="FF000000"/>
        <rFont val="宋体"/>
        <charset val="134"/>
      </rPr>
      <t>钉盒（</t>
    </r>
    <r>
      <rPr>
        <b/>
        <sz val="11"/>
        <color rgb="FF000000"/>
        <rFont val="Droid Sans Fallback"/>
        <charset val="134"/>
      </rPr>
      <t>7</t>
    </r>
    <r>
      <rPr>
        <b/>
        <sz val="11"/>
        <color rgb="FF000000"/>
        <rFont val="宋体"/>
        <charset val="134"/>
      </rPr>
      <t>号）</t>
    </r>
  </si>
  <si>
    <r>
      <t>邦德锁定上肢</t>
    </r>
    <r>
      <rPr>
        <b/>
        <sz val="11"/>
        <color rgb="FF000000"/>
        <rFont val="Droid Sans Fallback"/>
        <charset val="134"/>
      </rPr>
      <t>3.5 2.7</t>
    </r>
    <r>
      <rPr>
        <b/>
        <sz val="11"/>
        <color rgb="FF000000"/>
        <rFont val="宋体"/>
        <charset val="134"/>
      </rPr>
      <t>钉盒（</t>
    </r>
    <r>
      <rPr>
        <b/>
        <sz val="11"/>
        <color rgb="FF000000"/>
        <rFont val="Droid Sans Fallback"/>
        <charset val="134"/>
      </rPr>
      <t>5</t>
    </r>
    <r>
      <rPr>
        <b/>
        <sz val="11"/>
        <color rgb="FF000000"/>
        <rFont val="宋体"/>
        <charset val="134"/>
      </rPr>
      <t>号）</t>
    </r>
  </si>
  <si>
    <r>
      <t>闻泰无头钉器械</t>
    </r>
    <r>
      <rPr>
        <b/>
        <sz val="11"/>
        <color rgb="FF000000"/>
        <rFont val="Droid Sans Fallback"/>
        <charset val="134"/>
      </rPr>
      <t xml:space="preserve"> 5.0 6.0-17</t>
    </r>
    <r>
      <rPr>
        <b/>
        <sz val="11"/>
        <color rgb="FF000000"/>
        <rFont val="宋体"/>
        <charset val="134"/>
      </rPr>
      <t>件（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</si>
  <si>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闻泰小空心钉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件，钉</t>
    </r>
    <r>
      <rPr>
        <b/>
        <sz val="11"/>
        <color rgb="FF000000"/>
        <rFont val="Droid Sans Fallback"/>
        <charset val="134"/>
      </rPr>
      <t>32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4</t>
    </r>
    <r>
      <rPr>
        <b/>
        <sz val="11"/>
        <color rgb="FF000000"/>
        <rFont val="宋体"/>
        <charset val="134"/>
      </rPr>
      <t>号）</t>
    </r>
  </si>
  <si>
    <r>
      <t>健力邦德</t>
    </r>
    <r>
      <rPr>
        <b/>
        <sz val="11"/>
        <color rgb="FF000000"/>
        <rFont val="Droid Sans Fallback"/>
        <charset val="134"/>
      </rPr>
      <t>PFNA2</t>
    </r>
    <r>
      <rPr>
        <b/>
        <sz val="11"/>
        <color rgb="FF000000"/>
        <rFont val="宋体"/>
        <charset val="134"/>
      </rPr>
      <t>号（副）</t>
    </r>
    <r>
      <rPr>
        <b/>
        <sz val="11"/>
        <color rgb="FF000000"/>
        <rFont val="Droid Sans Fallback"/>
        <charset val="134"/>
      </rPr>
      <t>-18</t>
    </r>
    <r>
      <rPr>
        <b/>
        <sz val="11"/>
        <color rgb="FF000000"/>
        <rFont val="宋体"/>
        <charset val="134"/>
      </rPr>
      <t>件</t>
    </r>
  </si>
  <si>
    <r>
      <t>健力邦德锁定上肢器械</t>
    </r>
    <r>
      <rPr>
        <b/>
        <sz val="11"/>
        <color rgb="FF000000"/>
        <rFont val="Droid Sans Fallback"/>
        <charset val="134"/>
      </rPr>
      <t>-22</t>
    </r>
    <r>
      <rPr>
        <b/>
        <sz val="11"/>
        <color rgb="FF000000"/>
        <rFont val="宋体"/>
        <charset val="134"/>
      </rPr>
      <t>件</t>
    </r>
  </si>
  <si>
    <r>
      <t>持物钳罐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</si>
  <si>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富康取外架扳手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</si>
  <si>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腹膜钳（直）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</si>
  <si>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钢丝剪子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</si>
  <si>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健力邦德取锁定上肢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</si>
  <si>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克氏钳（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尖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平）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</si>
  <si>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空骨电钻（后盖一体的）</t>
    </r>
    <r>
      <rPr>
        <b/>
        <sz val="11"/>
        <color rgb="FF000000"/>
        <rFont val="Droid Sans Fallback"/>
        <charset val="134"/>
      </rPr>
      <t>-1/w9050</t>
    </r>
  </si>
  <si>
    <r>
      <t>空骨电钻</t>
    </r>
    <r>
      <rPr>
        <b/>
        <sz val="11"/>
        <color rgb="FF000000"/>
        <rFont val="Droid Sans Fallback"/>
        <charset val="134"/>
      </rPr>
      <t>-1/w9050</t>
    </r>
  </si>
  <si>
    <r>
      <t>取锁定下肢内六角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</si>
  <si>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手科咬骨钳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</si>
  <si>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碗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盘</t>
    </r>
    <r>
      <rPr>
        <b/>
        <sz val="11"/>
        <color rgb="FF000000"/>
        <rFont val="Droid Sans Fallback"/>
        <charset val="134"/>
      </rPr>
      <t>2/w6050</t>
    </r>
  </si>
  <si>
    <r>
      <t>闻泰取锁定下肢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</si>
  <si>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止血钳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</si>
  <si>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椎板牵开器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（大）</t>
    </r>
    <r>
      <rPr>
        <b/>
        <sz val="11"/>
        <color rgb="FF000000"/>
        <rFont val="Droid Sans Fallback"/>
        <charset val="134"/>
      </rPr>
      <t>/W6050</t>
    </r>
  </si>
  <si>
    <r>
      <t>椎板牵开器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（小）</t>
    </r>
    <r>
      <rPr>
        <b/>
        <sz val="11"/>
        <color rgb="FF000000"/>
        <rFont val="Droid Sans Fallback"/>
        <charset val="134"/>
      </rPr>
      <t>/W6050</t>
    </r>
  </si>
  <si>
    <t>缝合包</t>
  </si>
  <si>
    <t>锁骨踝关节包</t>
  </si>
  <si>
    <r>
      <t>锤子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</si>
  <si>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t>髌骨包</t>
  </si>
  <si>
    <r>
      <t>关节镜器械</t>
    </r>
    <r>
      <rPr>
        <b/>
        <sz val="11"/>
        <color rgb="FF000000"/>
        <rFont val="Droid Sans Fallback"/>
        <charset val="134"/>
      </rPr>
      <t>(</t>
    </r>
    <r>
      <rPr>
        <b/>
        <sz val="11"/>
        <color rgb="FF000000"/>
        <rFont val="宋体"/>
        <charset val="134"/>
      </rPr>
      <t>二号</t>
    </r>
    <r>
      <rPr>
        <b/>
        <sz val="11"/>
        <color rgb="FF000000"/>
        <rFont val="Droid Sans Fallback"/>
        <charset val="134"/>
      </rPr>
      <t>)19</t>
    </r>
    <r>
      <rPr>
        <b/>
        <sz val="11"/>
        <color rgb="FF000000"/>
        <rFont val="宋体"/>
        <charset val="134"/>
      </rPr>
      <t>件</t>
    </r>
  </si>
  <si>
    <r>
      <t>关节镜器械</t>
    </r>
    <r>
      <rPr>
        <b/>
        <sz val="11"/>
        <color rgb="FF000000"/>
        <rFont val="Droid Sans Fallback"/>
        <charset val="134"/>
      </rPr>
      <t>(</t>
    </r>
    <r>
      <rPr>
        <b/>
        <sz val="11"/>
        <color rgb="FF000000"/>
        <rFont val="宋体"/>
        <charset val="134"/>
      </rPr>
      <t>一号</t>
    </r>
    <r>
      <rPr>
        <b/>
        <sz val="11"/>
        <color rgb="FF000000"/>
        <rFont val="Droid Sans Fallback"/>
        <charset val="134"/>
      </rPr>
      <t>)19</t>
    </r>
    <r>
      <rPr>
        <b/>
        <sz val="11"/>
        <color rgb="FF000000"/>
        <rFont val="宋体"/>
        <charset val="134"/>
      </rPr>
      <t>件</t>
    </r>
  </si>
  <si>
    <t>手科（腱鞘炎、肿物）</t>
  </si>
  <si>
    <t>闭式撬拔包</t>
  </si>
  <si>
    <t>骨折取出包</t>
  </si>
  <si>
    <r>
      <t>美容包</t>
    </r>
    <r>
      <rPr>
        <b/>
        <sz val="11"/>
        <color rgb="FF000000"/>
        <rFont val="Droid Sans Fallback"/>
        <charset val="134"/>
      </rPr>
      <t>-11</t>
    </r>
    <r>
      <rPr>
        <b/>
        <sz val="11"/>
        <color rgb="FF000000"/>
        <rFont val="宋体"/>
        <charset val="134"/>
      </rPr>
      <t>件</t>
    </r>
  </si>
  <si>
    <r>
      <t>健力邦德</t>
    </r>
    <r>
      <rPr>
        <b/>
        <sz val="11"/>
        <color rgb="FF000000"/>
        <rFont val="Droid Sans Fallback"/>
        <charset val="134"/>
      </rPr>
      <t>intertan-15</t>
    </r>
    <r>
      <rPr>
        <b/>
        <sz val="11"/>
        <color rgb="FF000000"/>
        <rFont val="宋体"/>
        <charset val="134"/>
      </rPr>
      <t>件（二）</t>
    </r>
  </si>
  <si>
    <r>
      <t>健力邦德</t>
    </r>
    <r>
      <rPr>
        <b/>
        <sz val="11"/>
        <color rgb="FF000000"/>
        <rFont val="Droid Sans Fallback"/>
        <charset val="134"/>
      </rPr>
      <t>intertan-25</t>
    </r>
    <r>
      <rPr>
        <b/>
        <sz val="11"/>
        <color rgb="FF000000"/>
        <rFont val="宋体"/>
        <charset val="134"/>
      </rPr>
      <t>件（一）</t>
    </r>
  </si>
  <si>
    <r>
      <t>胫骨髓针取器械</t>
    </r>
    <r>
      <rPr>
        <b/>
        <sz val="11"/>
        <color rgb="FF000000"/>
        <rFont val="Droid Sans Fallback"/>
        <charset val="134"/>
      </rPr>
      <t>-11</t>
    </r>
    <r>
      <rPr>
        <b/>
        <sz val="11"/>
        <color rgb="FF000000"/>
        <rFont val="宋体"/>
        <charset val="134"/>
      </rPr>
      <t>件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</si>
  <si>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-37</t>
    </r>
    <r>
      <rPr>
        <b/>
        <sz val="11"/>
        <color rgb="FF000000"/>
        <rFont val="宋体"/>
        <charset val="134"/>
      </rPr>
      <t>件（一）</t>
    </r>
  </si>
  <si>
    <r>
      <t>（闻泰）胫骨髓针取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</si>
  <si>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（中号）富康直型架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（布）</t>
    </r>
  </si>
  <si>
    <r>
      <t>持骨器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</si>
  <si>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闻泰小空心钉扳手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</si>
  <si>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（闻泰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髓针</t>
    </r>
    <r>
      <rPr>
        <b/>
        <sz val="11"/>
        <color rgb="FF000000"/>
        <rFont val="Droid Sans Fallback"/>
        <charset val="134"/>
      </rPr>
      <t>-4//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z1530</t>
    </r>
  </si>
  <si>
    <r>
      <t>7.3</t>
    </r>
    <r>
      <rPr>
        <b/>
        <sz val="11"/>
        <color rgb="FF000000"/>
        <rFont val="宋体"/>
        <charset val="134"/>
      </rPr>
      <t>空心扳手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/z1035</t>
    </r>
  </si>
  <si>
    <r>
      <t>长钻头</t>
    </r>
    <r>
      <rPr>
        <b/>
        <sz val="11"/>
        <color rgb="FF000000"/>
        <rFont val="Droid Sans Fallback"/>
        <charset val="134"/>
      </rPr>
      <t>4.0-1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/z7537</t>
    </r>
  </si>
  <si>
    <r>
      <t>钢板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</si>
  <si>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钢板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</si>
  <si>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美容链条眼袋拉勾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</si>
  <si>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美容自助拉钩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/z1026</t>
    </r>
  </si>
  <si>
    <r>
      <t>手科双面拉钩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/z7530</t>
    </r>
  </si>
  <si>
    <r>
      <t>手科小肌钩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/z1026</t>
    </r>
  </si>
  <si>
    <r>
      <t>小空心钻头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</si>
  <si>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邦德锁定上肢</t>
    </r>
    <r>
      <rPr>
        <b/>
        <sz val="11"/>
        <color rgb="FF000000"/>
        <rFont val="Droid Sans Fallback"/>
        <charset val="134"/>
      </rPr>
      <t>3.5 2.7</t>
    </r>
    <r>
      <rPr>
        <b/>
        <sz val="11"/>
        <color rgb="FF000000"/>
        <rFont val="宋体"/>
        <charset val="134"/>
      </rPr>
      <t>钉盒（</t>
    </r>
    <r>
      <rPr>
        <b/>
        <sz val="11"/>
        <color rgb="FF000000"/>
        <rFont val="Droid Sans Fallback"/>
        <charset val="134"/>
      </rPr>
      <t>4</t>
    </r>
    <r>
      <rPr>
        <b/>
        <sz val="11"/>
        <color rgb="FF000000"/>
        <rFont val="宋体"/>
        <charset val="134"/>
      </rPr>
      <t>号）</t>
    </r>
  </si>
  <si>
    <r>
      <t>邦德锁定上肢钉盒</t>
    </r>
    <r>
      <rPr>
        <b/>
        <sz val="11"/>
        <color rgb="FF000000"/>
        <rFont val="Droid Sans Fallback"/>
        <charset val="134"/>
      </rPr>
      <t>2.7  3.5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</si>
  <si>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健力邦德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-42</t>
    </r>
    <r>
      <rPr>
        <b/>
        <sz val="11"/>
        <color rgb="FF000000"/>
        <rFont val="宋体"/>
        <charset val="134"/>
      </rPr>
      <t>个</t>
    </r>
  </si>
  <si>
    <r>
      <t>健力邦德锁定上肢钉盒</t>
    </r>
    <r>
      <rPr>
        <b/>
        <sz val="11"/>
        <color rgb="FF000000"/>
        <rFont val="Droid Sans Fallback"/>
        <charset val="134"/>
      </rPr>
      <t xml:space="preserve">2.7 3.5 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号）</t>
    </r>
  </si>
  <si>
    <r>
      <t>闻泰上肢器械</t>
    </r>
    <r>
      <rPr>
        <b/>
        <sz val="11"/>
        <color rgb="FF000000"/>
        <rFont val="Droid Sans Fallback"/>
        <charset val="134"/>
      </rPr>
      <t>-23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加钉盒（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号）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</si>
  <si>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-13</t>
    </r>
    <r>
      <rPr>
        <b/>
        <sz val="11"/>
        <color rgb="FF000000"/>
        <rFont val="宋体"/>
        <charset val="134"/>
      </rPr>
      <t>件（二）</t>
    </r>
  </si>
  <si>
    <r>
      <t>闻泰胫骨髓针器械</t>
    </r>
    <r>
      <rPr>
        <b/>
        <sz val="11"/>
        <color rgb="FF000000"/>
        <rFont val="Droid Sans Fallback"/>
        <charset val="134"/>
      </rPr>
      <t>-66</t>
    </r>
    <r>
      <rPr>
        <b/>
        <sz val="11"/>
        <color rgb="FF000000"/>
        <rFont val="宋体"/>
        <charset val="134"/>
      </rPr>
      <t>件</t>
    </r>
  </si>
  <si>
    <r>
      <t>大髌骨复位钳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/w7050</t>
    </r>
  </si>
  <si>
    <r>
      <t>关节镜进水管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w6050</t>
    </r>
  </si>
  <si>
    <r>
      <t>关节镜直兰钳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</si>
  <si>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取锁定下肢扳手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</si>
  <si>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闻泰取锁定上肢扳手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</si>
  <si>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（旧）刨刀头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/z1030</t>
    </r>
  </si>
  <si>
    <r>
      <t>（新）刨刀头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/z1030</t>
    </r>
  </si>
  <si>
    <r>
      <t>关节镜水管（粗）</t>
    </r>
    <r>
      <rPr>
        <b/>
        <sz val="11"/>
        <color rgb="FF000000"/>
        <rFont val="Droid Sans Fallback"/>
        <charset val="134"/>
      </rPr>
      <t>-1 /z3040</t>
    </r>
  </si>
  <si>
    <r>
      <t>关节镜水管（细）</t>
    </r>
    <r>
      <rPr>
        <b/>
        <sz val="11"/>
        <color rgb="FF000000"/>
        <rFont val="Droid Sans Fallback"/>
        <charset val="134"/>
      </rPr>
      <t>-1/z3040</t>
    </r>
  </si>
  <si>
    <r>
      <t>光源</t>
    </r>
    <r>
      <rPr>
        <b/>
        <sz val="11"/>
        <color rgb="FF000000"/>
        <rFont val="Droid Sans Fallback"/>
        <charset val="134"/>
      </rPr>
      <t>-1/z3040</t>
    </r>
  </si>
  <si>
    <r>
      <t>美容离心桶</t>
    </r>
    <r>
      <rPr>
        <b/>
        <sz val="11"/>
        <color rgb="FF000000"/>
        <rFont val="Droid Sans Fallback"/>
        <charset val="134"/>
      </rPr>
      <t>-12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</si>
  <si>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（新）刨刀线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件（盒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/w7050</t>
    </r>
  </si>
  <si>
    <r>
      <t>30</t>
    </r>
    <r>
      <rPr>
        <b/>
        <sz val="11"/>
        <color rgb="FF000000"/>
        <rFont val="宋体"/>
        <charset val="134"/>
      </rPr>
      <t>度关节镜（好</t>
    </r>
    <r>
      <rPr>
        <b/>
        <sz val="11"/>
        <color rgb="FF000000"/>
        <rFont val="Droid Sans Fallback"/>
        <charset val="134"/>
      </rPr>
      <t>B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-1/Z2045</t>
    </r>
  </si>
  <si>
    <r>
      <t>关节镜</t>
    </r>
    <r>
      <rPr>
        <b/>
        <sz val="11"/>
        <color rgb="FF000000"/>
        <rFont val="Droid Sans Fallback"/>
        <charset val="134"/>
      </rPr>
      <t>30</t>
    </r>
    <r>
      <rPr>
        <b/>
        <sz val="11"/>
        <color rgb="FF000000"/>
        <rFont val="宋体"/>
        <charset val="134"/>
      </rPr>
      <t>度（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  <r>
      <rPr>
        <b/>
        <sz val="11"/>
        <color rgb="FF000000"/>
        <rFont val="Droid Sans Fallback"/>
        <charset val="134"/>
      </rPr>
      <t>-1/Z2045</t>
    </r>
  </si>
  <si>
    <r>
      <t>刨刀线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件（盒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/w7050</t>
    </r>
  </si>
  <si>
    <r>
      <t>艾迪尔威高髓针取</t>
    </r>
    <r>
      <rPr>
        <b/>
        <sz val="11"/>
        <color rgb="FF000000"/>
        <rFont val="Droid Sans Fallback"/>
        <charset val="134"/>
      </rPr>
      <t>-18</t>
    </r>
    <r>
      <rPr>
        <b/>
        <sz val="11"/>
        <color rgb="FF000000"/>
        <rFont val="宋体"/>
        <charset val="134"/>
      </rPr>
      <t>件</t>
    </r>
  </si>
  <si>
    <r>
      <t>艾迪尔威高髓针取</t>
    </r>
    <r>
      <rPr>
        <b/>
        <sz val="11"/>
        <color rgb="FF000000"/>
        <rFont val="Droid Sans Fallback"/>
        <charset val="134"/>
      </rPr>
      <t>-21</t>
    </r>
    <r>
      <rPr>
        <b/>
        <sz val="11"/>
        <color rgb="FF000000"/>
        <rFont val="宋体"/>
        <charset val="134"/>
      </rPr>
      <t>件</t>
    </r>
  </si>
  <si>
    <r>
      <t>胫骨髓针取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件（框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/W12050</t>
    </r>
  </si>
  <si>
    <r>
      <t>手科骨锉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</si>
  <si>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手科凿子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</si>
  <si>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双头剥离子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</si>
  <si>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咬骨钳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</si>
  <si>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圆凿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</si>
  <si>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空心钉</t>
    </r>
    <r>
      <rPr>
        <b/>
        <sz val="11"/>
        <color rgb="FF000000"/>
        <rFont val="Droid Sans Fallback"/>
        <charset val="134"/>
      </rPr>
      <t xml:space="preserve">1/2 </t>
    </r>
  </si>
  <si>
    <r>
      <t>5</t>
    </r>
    <r>
      <rPr>
        <b/>
        <sz val="11"/>
        <color rgb="FF000000"/>
        <rFont val="宋体"/>
        <charset val="134"/>
      </rPr>
      <t>区威高半髋</t>
    </r>
    <r>
      <rPr>
        <b/>
        <sz val="11"/>
        <color rgb="FF000000"/>
        <rFont val="Droid Sans Fallback"/>
        <charset val="134"/>
      </rPr>
      <t>51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1/3</t>
    </r>
  </si>
  <si>
    <r>
      <t>5</t>
    </r>
    <r>
      <rPr>
        <b/>
        <sz val="11"/>
        <color rgb="FF000000"/>
        <rFont val="宋体"/>
        <charset val="134"/>
      </rPr>
      <t>区威高半髋</t>
    </r>
    <r>
      <rPr>
        <b/>
        <sz val="11"/>
        <color rgb="FF000000"/>
        <rFont val="Droid Sans Fallback"/>
        <charset val="134"/>
      </rPr>
      <t>51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2/3</t>
    </r>
  </si>
  <si>
    <r>
      <t>骨科剪刀（大）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/w12050</t>
    </r>
  </si>
  <si>
    <r>
      <t>骨科剪刀（小）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/w9050</t>
    </r>
  </si>
  <si>
    <r>
      <t>肌钩（大）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</si>
  <si>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钛钢丝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/z1020</t>
    </r>
  </si>
  <si>
    <r>
      <t>闻泰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胫骨髓内钉钉盒</t>
    </r>
  </si>
  <si>
    <r>
      <t>闻泰股骨颈空心钉器械</t>
    </r>
    <r>
      <rPr>
        <b/>
        <sz val="11"/>
        <color rgb="FF000000"/>
        <rFont val="Droid Sans Fallback"/>
        <charset val="134"/>
      </rPr>
      <t>4</t>
    </r>
    <r>
      <rPr>
        <b/>
        <sz val="11"/>
        <color rgb="FF000000"/>
        <rFont val="宋体"/>
        <charset val="134"/>
      </rPr>
      <t>件（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</si>
  <si>
    <r>
      <t>5</t>
    </r>
    <r>
      <rPr>
        <b/>
        <sz val="11"/>
        <color rgb="FF000000"/>
        <rFont val="宋体"/>
        <charset val="134"/>
      </rPr>
      <t>区钛缆工具</t>
    </r>
    <r>
      <rPr>
        <b/>
        <sz val="11"/>
        <color rgb="FF000000"/>
        <rFont val="Droid Sans Fallback"/>
        <charset val="134"/>
      </rPr>
      <t>-21</t>
    </r>
    <r>
      <rPr>
        <b/>
        <sz val="11"/>
        <color rgb="FF000000"/>
        <rFont val="宋体"/>
        <charset val="134"/>
      </rPr>
      <t>件</t>
    </r>
  </si>
  <si>
    <r>
      <t>5</t>
    </r>
    <r>
      <rPr>
        <b/>
        <sz val="11"/>
        <color rgb="FF000000"/>
        <rFont val="宋体"/>
        <charset val="134"/>
      </rPr>
      <t>区威高半髋</t>
    </r>
    <r>
      <rPr>
        <b/>
        <sz val="11"/>
        <color rgb="FF000000"/>
        <rFont val="Droid Sans Fallback"/>
        <charset val="134"/>
      </rPr>
      <t>51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3/3</t>
    </r>
  </si>
  <si>
    <r>
      <t>半髋工具（二）</t>
    </r>
    <r>
      <rPr>
        <b/>
        <sz val="11"/>
        <color rgb="FF000000"/>
        <rFont val="Droid Sans Fallback"/>
        <charset val="134"/>
      </rPr>
      <t>-39</t>
    </r>
    <r>
      <rPr>
        <b/>
        <sz val="11"/>
        <color rgb="FF000000"/>
        <rFont val="宋体"/>
        <charset val="134"/>
      </rPr>
      <t>件（</t>
    </r>
    <r>
      <rPr>
        <b/>
        <sz val="11"/>
        <color rgb="FF000000"/>
        <rFont val="Droid Sans Fallback"/>
        <charset val="134"/>
      </rPr>
      <t>4</t>
    </r>
    <r>
      <rPr>
        <b/>
        <sz val="11"/>
        <color rgb="FF000000"/>
        <rFont val="宋体"/>
        <charset val="134"/>
      </rPr>
      <t>区）</t>
    </r>
  </si>
  <si>
    <r>
      <t>半髋工具（一）</t>
    </r>
    <r>
      <rPr>
        <b/>
        <sz val="11"/>
        <color rgb="FF000000"/>
        <rFont val="Droid Sans Fallback"/>
        <charset val="134"/>
      </rPr>
      <t>-12</t>
    </r>
    <r>
      <rPr>
        <b/>
        <sz val="11"/>
        <color rgb="FF000000"/>
        <rFont val="宋体"/>
        <charset val="134"/>
      </rPr>
      <t>件（</t>
    </r>
    <r>
      <rPr>
        <b/>
        <sz val="11"/>
        <color rgb="FF000000"/>
        <rFont val="Droid Sans Fallback"/>
        <charset val="134"/>
      </rPr>
      <t>4</t>
    </r>
    <r>
      <rPr>
        <b/>
        <sz val="11"/>
        <color rgb="FF000000"/>
        <rFont val="宋体"/>
        <charset val="134"/>
      </rPr>
      <t>区）</t>
    </r>
  </si>
  <si>
    <r>
      <t>健力邦德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取</t>
    </r>
    <r>
      <rPr>
        <b/>
        <sz val="11"/>
        <color rgb="FF000000"/>
        <rFont val="Droid Sans Fallback"/>
        <charset val="134"/>
      </rPr>
      <t>-10</t>
    </r>
    <r>
      <rPr>
        <b/>
        <sz val="11"/>
        <color rgb="FF000000"/>
        <rFont val="宋体"/>
        <charset val="134"/>
      </rPr>
      <t>件</t>
    </r>
  </si>
  <si>
    <r>
      <t>（闻泰）髓针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</si>
  <si>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手二跟骨复位钳（大）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/w9050</t>
    </r>
  </si>
  <si>
    <r>
      <t>手科摆锯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 w9050</t>
    </r>
  </si>
  <si>
    <t>空心钉（取）</t>
  </si>
  <si>
    <r>
      <t>大折弯器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/w12050</t>
    </r>
  </si>
  <si>
    <r>
      <t>后颅凹拉钩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</si>
  <si>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</t>
    </r>
    <r>
      <rPr>
        <b/>
        <sz val="11"/>
        <color rgb="FF000000"/>
        <rFont val="Droid Sans Fallback"/>
        <charset val="134"/>
      </rPr>
      <t>7.3</t>
    </r>
    <r>
      <rPr>
        <b/>
        <sz val="11"/>
        <color rgb="FF000000"/>
        <rFont val="宋体"/>
        <charset val="134"/>
      </rPr>
      <t>空心钉取出扳手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</si>
  <si>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钢板</t>
    </r>
    <r>
      <rPr>
        <b/>
        <sz val="11"/>
        <color rgb="FF000000"/>
        <rFont val="Droid Sans Fallback"/>
        <charset val="134"/>
      </rPr>
      <t>-8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</si>
  <si>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闻泰手科器械</t>
    </r>
    <r>
      <rPr>
        <b/>
        <sz val="11"/>
        <color rgb="FF000000"/>
        <rFont val="Droid Sans Fallback"/>
        <charset val="134"/>
      </rPr>
      <t>17</t>
    </r>
    <r>
      <rPr>
        <b/>
        <sz val="11"/>
        <color rgb="FF000000"/>
        <rFont val="宋体"/>
        <charset val="134"/>
      </rPr>
      <t>加</t>
    </r>
    <r>
      <rPr>
        <b/>
        <sz val="11"/>
        <color rgb="FF000000"/>
        <rFont val="Droid Sans Fallback"/>
        <charset val="134"/>
      </rPr>
      <t>2.0</t>
    </r>
    <r>
      <rPr>
        <b/>
        <sz val="11"/>
        <color rgb="FF000000"/>
        <rFont val="宋体"/>
        <charset val="134"/>
      </rPr>
      <t>钉盒（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</si>
  <si>
    <r>
      <t>闻泰锁定下肢器械</t>
    </r>
    <r>
      <rPr>
        <b/>
        <sz val="11"/>
        <color rgb="FF000000"/>
        <rFont val="Droid Sans Fallback"/>
        <charset val="134"/>
      </rPr>
      <t>18</t>
    </r>
    <r>
      <rPr>
        <b/>
        <sz val="11"/>
        <color rgb="FF000000"/>
        <rFont val="宋体"/>
        <charset val="134"/>
      </rPr>
      <t>加钉盒（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</si>
  <si>
    <r>
      <t>闻泰小空心钉</t>
    </r>
    <r>
      <rPr>
        <b/>
        <sz val="11"/>
        <color rgb="FF000000"/>
        <rFont val="Droid Sans Fallback"/>
        <charset val="134"/>
      </rPr>
      <t>4.5-2</t>
    </r>
    <r>
      <rPr>
        <b/>
        <sz val="11"/>
        <color rgb="FF000000"/>
        <rFont val="宋体"/>
        <charset val="134"/>
      </rPr>
      <t>件，钉</t>
    </r>
    <r>
      <rPr>
        <b/>
        <sz val="11"/>
        <color rgb="FF000000"/>
        <rFont val="Droid Sans Fallback"/>
        <charset val="134"/>
      </rPr>
      <t>32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</si>
  <si>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健力邦德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取出工具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</si>
  <si>
    <r>
      <t>半月板拉钩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/w7050</t>
    </r>
  </si>
  <si>
    <r>
      <t>手二跟骨撑开器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</si>
  <si>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美容包</t>
    </r>
    <r>
      <rPr>
        <b/>
        <sz val="11"/>
        <color rgb="FF000000"/>
        <rFont val="Droid Sans Fallback"/>
        <charset val="134"/>
      </rPr>
      <t>-9</t>
    </r>
    <r>
      <rPr>
        <b/>
        <sz val="11"/>
        <color rgb="FF000000"/>
        <rFont val="宋体"/>
        <charset val="134"/>
      </rPr>
      <t>件</t>
    </r>
  </si>
  <si>
    <r>
      <t>邦德锁定上肢钉盒</t>
    </r>
    <r>
      <rPr>
        <b/>
        <sz val="11"/>
        <color rgb="FF000000"/>
        <rFont val="Droid Sans Fallback"/>
        <charset val="134"/>
      </rPr>
      <t>2.7  3.5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</si>
  <si>
    <r>
      <t>健力邦德锁定上肢钉盒</t>
    </r>
    <r>
      <rPr>
        <b/>
        <sz val="11"/>
        <color rgb="FF000000"/>
        <rFont val="Droid Sans Fallback"/>
        <charset val="134"/>
      </rPr>
      <t>3.5 2.7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号）</t>
    </r>
  </si>
  <si>
    <r>
      <t>手科剥离子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</si>
  <si>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眼袋拉钩</t>
    </r>
    <r>
      <rPr>
        <b/>
        <sz val="11"/>
        <color rgb="FF000000"/>
        <rFont val="Droid Sans Fallback"/>
        <charset val="134"/>
      </rPr>
      <t>-2/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/Z1026</t>
    </r>
  </si>
  <si>
    <r>
      <t>威高小空心器械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</si>
  <si>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钢板</t>
    </r>
    <r>
      <rPr>
        <b/>
        <sz val="11"/>
        <color rgb="FF000000"/>
        <rFont val="Droid Sans Fallback"/>
        <charset val="134"/>
      </rPr>
      <t>-9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</si>
  <si>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闻泰小空心钉</t>
    </r>
    <r>
      <rPr>
        <b/>
        <sz val="11"/>
        <color rgb="FF000000"/>
        <rFont val="Droid Sans Fallback"/>
        <charset val="134"/>
      </rPr>
      <t>4.5-2</t>
    </r>
    <r>
      <rPr>
        <b/>
        <sz val="11"/>
        <color rgb="FF000000"/>
        <rFont val="宋体"/>
        <charset val="134"/>
      </rPr>
      <t>件，钉</t>
    </r>
    <r>
      <rPr>
        <b/>
        <sz val="11"/>
        <color rgb="FF000000"/>
        <rFont val="Droid Sans Fallback"/>
        <charset val="134"/>
      </rPr>
      <t>32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号）</t>
    </r>
  </si>
  <si>
    <r>
      <t>闻泰锁定下肢</t>
    </r>
    <r>
      <rPr>
        <b/>
        <sz val="11"/>
        <color rgb="FF000000"/>
        <rFont val="Droid Sans Fallback"/>
        <charset val="134"/>
      </rPr>
      <t>18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加钉盒（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</si>
  <si>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髌骨钳子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</si>
  <si>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威高小空心钉扳手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</si>
  <si>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闻泰小空心钉扳手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</si>
  <si>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邦德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髓针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-42</t>
    </r>
    <r>
      <rPr>
        <b/>
        <sz val="11"/>
        <color rgb="FF000000"/>
        <rFont val="宋体"/>
        <charset val="134"/>
      </rPr>
      <t>件</t>
    </r>
  </si>
  <si>
    <r>
      <t>腰椎间孔器械</t>
    </r>
    <r>
      <rPr>
        <b/>
        <sz val="11"/>
        <color rgb="FF000000"/>
        <rFont val="Droid Sans Fallback"/>
        <charset val="134"/>
      </rPr>
      <t>-30</t>
    </r>
    <r>
      <rPr>
        <b/>
        <sz val="11"/>
        <color rgb="FF000000"/>
        <rFont val="宋体"/>
        <charset val="134"/>
      </rPr>
      <t>件</t>
    </r>
  </si>
  <si>
    <r>
      <t>钢板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</si>
  <si>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小空心钉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</si>
  <si>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邦德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号）钉盒</t>
    </r>
  </si>
  <si>
    <r>
      <t>健力邦德锁定上肢钉盒</t>
    </r>
    <r>
      <rPr>
        <b/>
        <sz val="11"/>
        <color rgb="FF000000"/>
        <rFont val="Droid Sans Fallback"/>
        <charset val="134"/>
      </rPr>
      <t>3.5 2.7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9</t>
    </r>
    <r>
      <rPr>
        <b/>
        <sz val="11"/>
        <color rgb="FF000000"/>
        <rFont val="宋体"/>
        <charset val="134"/>
      </rPr>
      <t>号）</t>
    </r>
  </si>
  <si>
    <r>
      <t>优贝特肱骨髓针器械</t>
    </r>
    <r>
      <rPr>
        <b/>
        <sz val="11"/>
        <color rgb="FF000000"/>
        <rFont val="Droid Sans Fallback"/>
        <charset val="134"/>
      </rPr>
      <t>-39</t>
    </r>
    <r>
      <rPr>
        <b/>
        <sz val="11"/>
        <color rgb="FF000000"/>
        <rFont val="宋体"/>
        <charset val="134"/>
      </rPr>
      <t>件</t>
    </r>
  </si>
  <si>
    <r>
      <t>优贝特肱骨髓针器械</t>
    </r>
    <r>
      <rPr>
        <b/>
        <sz val="11"/>
        <color rgb="FF000000"/>
        <rFont val="Droid Sans Fallback"/>
        <charset val="134"/>
      </rPr>
      <t>-45</t>
    </r>
    <r>
      <rPr>
        <b/>
        <sz val="11"/>
        <color rgb="FF000000"/>
        <rFont val="宋体"/>
        <charset val="134"/>
      </rPr>
      <t>件</t>
    </r>
  </si>
  <si>
    <r>
      <t>（手科二）跟骨器械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</si>
  <si>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刨刀头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/z1030</t>
    </r>
  </si>
  <si>
    <r>
      <t>椎间孔穿刺针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/z7530</t>
    </r>
  </si>
  <si>
    <r>
      <t>椎间孔镜头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（盒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，自家）</t>
    </r>
    <r>
      <rPr>
        <b/>
        <sz val="11"/>
        <color rgb="FF000000"/>
        <rFont val="Droid Sans Fallback"/>
        <charset val="134"/>
      </rPr>
      <t>/w9050</t>
    </r>
  </si>
  <si>
    <r>
      <t>椎间孔镜头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/Z2060</t>
    </r>
  </si>
  <si>
    <r>
      <t>全髋</t>
    </r>
    <r>
      <rPr>
        <b/>
        <sz val="11"/>
        <color rgb="FF000000"/>
        <rFont val="Droid Sans Fallback"/>
        <charset val="134"/>
      </rPr>
      <t>-9</t>
    </r>
    <r>
      <rPr>
        <b/>
        <sz val="11"/>
        <color rgb="FF000000"/>
        <rFont val="宋体"/>
        <charset val="134"/>
      </rPr>
      <t>件</t>
    </r>
  </si>
  <si>
    <r>
      <t>（威高）锁定上肢钉盒</t>
    </r>
    <r>
      <rPr>
        <b/>
        <sz val="11"/>
        <color rgb="FF000000"/>
        <rFont val="Droid Sans Fallback"/>
        <charset val="134"/>
      </rPr>
      <t xml:space="preserve"> 3.5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</si>
  <si>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</si>
  <si>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号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</si>
  <si>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13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1/2</t>
    </r>
  </si>
  <si>
    <r>
      <t>闻泰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37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2/2</t>
    </r>
  </si>
  <si>
    <r>
      <t>摆锯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/w9050</t>
    </r>
  </si>
  <si>
    <r>
      <t>钢板折弯器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</si>
  <si>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骨撬</t>
    </r>
    <r>
      <rPr>
        <b/>
        <sz val="11"/>
        <color rgb="FF000000"/>
        <rFont val="Droid Sans Fallback"/>
        <charset val="134"/>
      </rPr>
      <t xml:space="preserve">2 </t>
    </r>
    <r>
      <rPr>
        <b/>
        <sz val="11"/>
        <color rgb="FF000000"/>
        <rFont val="宋体"/>
        <charset val="134"/>
      </rPr>
      <t>小剥离子</t>
    </r>
    <r>
      <rPr>
        <b/>
        <sz val="11"/>
        <color rgb="FF000000"/>
        <rFont val="Droid Sans Fallback"/>
        <charset val="134"/>
      </rPr>
      <t>1(</t>
    </r>
    <r>
      <rPr>
        <b/>
        <sz val="11"/>
        <color rgb="FF000000"/>
        <rFont val="宋体"/>
        <charset val="134"/>
      </rPr>
      <t>腕）</t>
    </r>
    <r>
      <rPr>
        <b/>
        <sz val="11"/>
        <color rgb="FF000000"/>
        <rFont val="Droid Sans Fallback"/>
        <charset val="134"/>
      </rPr>
      <t>/W6050</t>
    </r>
  </si>
  <si>
    <r>
      <t>手科锤子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</si>
  <si>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凿子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</si>
  <si>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脊柱</t>
    </r>
    <r>
      <rPr>
        <b/>
        <sz val="11"/>
        <color rgb="FF000000"/>
        <rFont val="Droid Sans Fallback"/>
        <charset val="134"/>
      </rPr>
      <t>T</t>
    </r>
    <r>
      <rPr>
        <b/>
        <sz val="11"/>
        <color rgb="FF000000"/>
        <rFont val="宋体"/>
        <charset val="134"/>
      </rPr>
      <t>型扳手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</si>
  <si>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健力邦德限位器</t>
    </r>
    <r>
      <rPr>
        <b/>
        <sz val="11"/>
        <color rgb="FF000000"/>
        <rFont val="Droid Sans Fallback"/>
        <charset val="134"/>
      </rPr>
      <t>-2/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</si>
  <si>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扣剥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/Z1035</t>
    </r>
  </si>
  <si>
    <r>
      <t>梅花起子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</si>
  <si>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手科螺钉扳手</t>
    </r>
    <r>
      <rPr>
        <b/>
        <sz val="11"/>
        <color rgb="FF000000"/>
        <rFont val="Droid Sans Fallback"/>
        <charset val="134"/>
      </rPr>
      <t>(1.5)-1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</si>
  <si>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手科螺钉扳手</t>
    </r>
    <r>
      <rPr>
        <b/>
        <sz val="11"/>
        <color rgb="FF000000"/>
        <rFont val="Droid Sans Fallback"/>
        <charset val="134"/>
      </rPr>
      <t>(2.0)-1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</si>
  <si>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新四方起子</t>
    </r>
    <r>
      <rPr>
        <b/>
        <sz val="11"/>
        <color rgb="FF000000"/>
        <rFont val="Droid Sans Fallback"/>
        <charset val="134"/>
      </rPr>
      <t>φ1.2φ1.5-2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</si>
  <si>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一字起子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/z1035</t>
    </r>
  </si>
  <si>
    <r>
      <t>闻泰锁定上肢</t>
    </r>
    <r>
      <rPr>
        <b/>
        <sz val="11"/>
        <color rgb="FF000000"/>
        <rFont val="Droid Sans Fallback"/>
        <charset val="134"/>
      </rPr>
      <t>23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 </t>
    </r>
    <r>
      <rPr>
        <b/>
        <sz val="11"/>
        <color rgb="FF000000"/>
        <rFont val="宋体"/>
        <charset val="134"/>
      </rPr>
      <t>加钉盒（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</si>
  <si>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优贝特肱骨髓针钉盒</t>
    </r>
    <r>
      <rPr>
        <b/>
        <sz val="11"/>
        <color rgb="FF000000"/>
        <rFont val="Droid Sans Fallback"/>
        <charset val="134"/>
      </rPr>
      <t>+</t>
    </r>
    <r>
      <rPr>
        <b/>
        <sz val="11"/>
        <color rgb="FF000000"/>
        <rFont val="宋体"/>
        <charset val="134"/>
      </rPr>
      <t>封帽</t>
    </r>
  </si>
  <si>
    <r>
      <t>优贝特肱骨髓针主钉</t>
    </r>
    <r>
      <rPr>
        <b/>
        <sz val="11"/>
        <color rgb="FF000000"/>
        <rFont val="Droid Sans Fallback"/>
        <charset val="134"/>
      </rPr>
      <t>14</t>
    </r>
    <r>
      <rPr>
        <b/>
        <sz val="11"/>
        <color rgb="FF000000"/>
        <rFont val="宋体"/>
        <charset val="134"/>
      </rPr>
      <t>件（左）</t>
    </r>
  </si>
  <si>
    <r>
      <t>（闻泰）髓针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</si>
  <si>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百易得锁定扳手</t>
    </r>
    <r>
      <rPr>
        <b/>
        <sz val="11"/>
        <color rgb="FF000000"/>
        <rFont val="Droid Sans Fallback"/>
        <charset val="134"/>
      </rPr>
      <t>(3.5 2.7)-2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</si>
  <si>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大一字螺丝刀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</si>
  <si>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富康于架中号（直型）</t>
    </r>
    <r>
      <rPr>
        <b/>
        <sz val="11"/>
        <color rgb="FF000000"/>
        <rFont val="Droid Sans Fallback"/>
        <charset val="134"/>
      </rPr>
      <t>-4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</si>
  <si>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闻泰取手科</t>
    </r>
    <r>
      <rPr>
        <b/>
        <sz val="11"/>
        <color rgb="FF000000"/>
        <rFont val="Droid Sans Fallback"/>
        <charset val="134"/>
      </rPr>
      <t>2.0</t>
    </r>
    <r>
      <rPr>
        <b/>
        <sz val="11"/>
        <color rgb="FF000000"/>
        <rFont val="宋体"/>
        <charset val="134"/>
      </rPr>
      <t>扳手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</si>
  <si>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闻泰无头钉取</t>
    </r>
    <r>
      <rPr>
        <b/>
        <sz val="11"/>
        <color rgb="FF000000"/>
        <rFont val="Droid Sans Fallback"/>
        <charset val="134"/>
      </rPr>
      <t>-8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</si>
  <si>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小内六角器械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</si>
  <si>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健力邦德锁定上肢钉盒</t>
    </r>
    <r>
      <rPr>
        <b/>
        <sz val="11"/>
        <color rgb="FF000000"/>
        <rFont val="Droid Sans Fallback"/>
        <charset val="134"/>
      </rPr>
      <t>3.5 2.7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10</t>
    </r>
    <r>
      <rPr>
        <b/>
        <sz val="11"/>
        <color rgb="FF000000"/>
        <rFont val="宋体"/>
        <charset val="134"/>
      </rPr>
      <t>号）</t>
    </r>
  </si>
  <si>
    <r>
      <t>剥离子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</si>
  <si>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大爪钩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/w7050</t>
    </r>
  </si>
  <si>
    <r>
      <t>踝持骨器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</si>
  <si>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t>手外伤清创包</t>
  </si>
  <si>
    <r>
      <t>手科钻袖</t>
    </r>
    <r>
      <rPr>
        <b/>
        <sz val="11"/>
        <color rgb="FF000000"/>
        <rFont val="Droid Sans Fallback"/>
        <charset val="134"/>
      </rPr>
      <t>(2.5-2.5)-1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</si>
  <si>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闻泰无头钉</t>
    </r>
    <r>
      <rPr>
        <b/>
        <sz val="11"/>
        <color rgb="FF000000"/>
        <rFont val="Droid Sans Fallback"/>
        <charset val="134"/>
      </rPr>
      <t>2.5 3.5 4.0-16</t>
    </r>
    <r>
      <rPr>
        <b/>
        <sz val="11"/>
        <color rgb="FF000000"/>
        <rFont val="宋体"/>
        <charset val="134"/>
      </rPr>
      <t>件（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</si>
  <si>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T</t>
    </r>
    <r>
      <rPr>
        <b/>
        <sz val="11"/>
        <color rgb="FF000000"/>
        <rFont val="宋体"/>
        <charset val="134"/>
      </rPr>
      <t>型扳手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</si>
  <si>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内六角起子</t>
    </r>
    <r>
      <rPr>
        <b/>
        <sz val="11"/>
        <color rgb="FF000000"/>
        <rFont val="Droid Sans Fallback"/>
        <charset val="134"/>
      </rPr>
      <t>-9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/z1026</t>
    </r>
  </si>
  <si>
    <r>
      <t>十字起子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/z7526</t>
    </r>
  </si>
  <si>
    <r>
      <t>小梅花（六角）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/z1526</t>
    </r>
  </si>
  <si>
    <r>
      <t>PFNA</t>
    </r>
    <r>
      <rPr>
        <b/>
        <sz val="11"/>
        <color rgb="FF000000"/>
        <rFont val="宋体"/>
        <charset val="134"/>
      </rPr>
      <t>取器械</t>
    </r>
    <r>
      <rPr>
        <b/>
        <sz val="11"/>
        <color rgb="FF000000"/>
        <rFont val="Droid Sans Fallback"/>
        <charset val="134"/>
      </rPr>
      <t>(15</t>
    </r>
    <r>
      <rPr>
        <b/>
        <sz val="11"/>
        <color rgb="FF000000"/>
        <rFont val="宋体"/>
        <charset val="134"/>
      </rPr>
      <t>件）</t>
    </r>
  </si>
  <si>
    <r>
      <t>闻泰锁定上肢</t>
    </r>
    <r>
      <rPr>
        <b/>
        <sz val="11"/>
        <color rgb="FF000000"/>
        <rFont val="Droid Sans Fallback"/>
        <charset val="134"/>
      </rPr>
      <t>23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加钉盒（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号）</t>
    </r>
  </si>
  <si>
    <r>
      <t>（手科一）跟骨器械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</si>
  <si>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拔钉钳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</si>
  <si>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大力钳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</si>
  <si>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取锁定上肢梅花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/w6050</t>
    </r>
  </si>
  <si>
    <r>
      <t>科仪关节器械</t>
    </r>
    <r>
      <rPr>
        <b/>
        <sz val="11"/>
        <color rgb="FF000000"/>
        <rFont val="Droid Sans Fallback"/>
        <charset val="134"/>
      </rPr>
      <t>1/3</t>
    </r>
  </si>
  <si>
    <r>
      <t>科仪关节器械</t>
    </r>
    <r>
      <rPr>
        <b/>
        <sz val="11"/>
        <color rgb="FF000000"/>
        <rFont val="Droid Sans Fallback"/>
        <charset val="134"/>
      </rPr>
      <t>2/3</t>
    </r>
  </si>
  <si>
    <r>
      <t>科仪关节器械</t>
    </r>
    <r>
      <rPr>
        <b/>
        <sz val="11"/>
        <color rgb="FF000000"/>
        <rFont val="Droid Sans Fallback"/>
        <charset val="134"/>
      </rPr>
      <t>3/3</t>
    </r>
  </si>
  <si>
    <t>显微器械包</t>
  </si>
  <si>
    <r>
      <t>全髋器械</t>
    </r>
    <r>
      <rPr>
        <b/>
        <sz val="11"/>
        <color rgb="FF000000"/>
        <rFont val="Droid Sans Fallback"/>
        <charset val="134"/>
      </rPr>
      <t>-15</t>
    </r>
    <r>
      <rPr>
        <b/>
        <sz val="11"/>
        <color rgb="FF000000"/>
        <rFont val="宋体"/>
        <charset val="134"/>
      </rPr>
      <t>件</t>
    </r>
  </si>
  <si>
    <r>
      <t>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健力邦德</t>
    </r>
    <r>
      <rPr>
        <b/>
        <sz val="11"/>
        <color rgb="FF000000"/>
        <rFont val="Droid Sans Fallback"/>
        <charset val="134"/>
      </rPr>
      <t>-42</t>
    </r>
    <r>
      <rPr>
        <b/>
        <sz val="11"/>
        <color rgb="FF000000"/>
        <rFont val="宋体"/>
        <charset val="134"/>
      </rPr>
      <t>件</t>
    </r>
  </si>
  <si>
    <r>
      <t>四方起子</t>
    </r>
    <r>
      <rPr>
        <b/>
        <sz val="11"/>
        <color rgb="FF000000"/>
        <rFont val="Droid Sans Fallback"/>
        <charset val="134"/>
      </rPr>
      <t>1.5-1/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</si>
  <si>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威高中空螺钉</t>
    </r>
    <r>
      <rPr>
        <b/>
        <sz val="11"/>
        <color rgb="FF000000"/>
        <rFont val="Droid Sans Fallback"/>
        <charset val="134"/>
      </rPr>
      <t xml:space="preserve"> 7.3 -3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24</t>
    </r>
    <r>
      <rPr>
        <b/>
        <sz val="11"/>
        <color rgb="FF000000"/>
        <rFont val="宋体"/>
        <charset val="134"/>
      </rPr>
      <t>钉，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</si>
  <si>
    <r>
      <t>腹膜钳（弯）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</si>
  <si>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威高髌骨爪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</si>
  <si>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椎板拉钩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</si>
  <si>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全髋</t>
    </r>
    <r>
      <rPr>
        <b/>
        <sz val="11"/>
        <color rgb="FF000000"/>
        <rFont val="Droid Sans Fallback"/>
        <charset val="134"/>
      </rPr>
      <t>-11</t>
    </r>
    <r>
      <rPr>
        <b/>
        <sz val="11"/>
        <color rgb="FF000000"/>
        <rFont val="宋体"/>
        <charset val="134"/>
      </rPr>
      <t>件</t>
    </r>
  </si>
  <si>
    <r>
      <t>钢丝</t>
    </r>
    <r>
      <rPr>
        <b/>
        <sz val="11"/>
        <color rgb="FF000000"/>
        <rFont val="Droid Sans Fallback"/>
        <charset val="134"/>
      </rPr>
      <t>(0.8)-1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/1020</t>
    </r>
  </si>
  <si>
    <r>
      <t>威高小空心钉扳手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</si>
  <si>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钢板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</si>
  <si>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健力邦德填塞钉</t>
    </r>
    <r>
      <rPr>
        <b/>
        <sz val="11"/>
        <color rgb="FF000000"/>
        <rFont val="Droid Sans Fallback"/>
        <charset val="134"/>
      </rPr>
      <t>3.5-2</t>
    </r>
    <r>
      <rPr>
        <b/>
        <sz val="11"/>
        <color rgb="FF000000"/>
        <rFont val="宋体"/>
        <charset val="134"/>
      </rPr>
      <t>筐</t>
    </r>
    <r>
      <rPr>
        <b/>
        <sz val="11"/>
        <color rgb="FF000000"/>
        <rFont val="Droid Sans Fallback"/>
        <charset val="134"/>
      </rPr>
      <t>1/W6050</t>
    </r>
  </si>
  <si>
    <r>
      <t>半髋器械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-24</t>
    </r>
    <r>
      <rPr>
        <b/>
        <sz val="11"/>
        <color rgb="FF000000"/>
        <rFont val="宋体"/>
        <charset val="134"/>
      </rPr>
      <t>件</t>
    </r>
  </si>
  <si>
    <r>
      <t>半髋器械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-27</t>
    </r>
    <r>
      <rPr>
        <b/>
        <sz val="11"/>
        <color rgb="FF000000"/>
        <rFont val="宋体"/>
        <charset val="134"/>
      </rPr>
      <t>件</t>
    </r>
  </si>
  <si>
    <r>
      <t>威高半髋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-24</t>
    </r>
    <r>
      <rPr>
        <b/>
        <sz val="11"/>
        <color rgb="FF000000"/>
        <rFont val="宋体"/>
        <charset val="134"/>
      </rPr>
      <t>件</t>
    </r>
  </si>
  <si>
    <r>
      <t>威高半髋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-27</t>
    </r>
    <r>
      <rPr>
        <b/>
        <sz val="11"/>
        <color rgb="FF000000"/>
        <rFont val="宋体"/>
        <charset val="134"/>
      </rPr>
      <t>件</t>
    </r>
  </si>
  <si>
    <r>
      <t>手科刮勺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</si>
  <si>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威高取</t>
    </r>
    <r>
      <rPr>
        <b/>
        <sz val="11"/>
        <color rgb="FF000000"/>
        <rFont val="Droid Sans Fallback"/>
        <charset val="134"/>
      </rPr>
      <t>4.5</t>
    </r>
    <r>
      <rPr>
        <b/>
        <sz val="11"/>
        <color rgb="FF000000"/>
        <rFont val="宋体"/>
        <charset val="134"/>
      </rPr>
      <t>空心扳手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Z7520</t>
    </r>
  </si>
  <si>
    <r>
      <t>线锯拉钩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/z1020</t>
    </r>
  </si>
  <si>
    <r>
      <t>巾钳子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</si>
  <si>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美容脂肪移植包</t>
    </r>
    <r>
      <rPr>
        <b/>
        <sz val="11"/>
        <color rgb="FF000000"/>
        <rFont val="Droid Sans Fallback"/>
        <charset val="134"/>
      </rPr>
      <t>-13</t>
    </r>
    <r>
      <rPr>
        <b/>
        <sz val="11"/>
        <color rgb="FF000000"/>
        <rFont val="宋体"/>
        <charset val="134"/>
      </rPr>
      <t>件</t>
    </r>
  </si>
  <si>
    <r>
      <t>滤网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</si>
  <si>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美容静止夹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</si>
  <si>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外架钢针（</t>
    </r>
    <r>
      <rPr>
        <b/>
        <sz val="11"/>
        <color rgb="FF000000"/>
        <rFont val="Droid Sans Fallback"/>
        <charset val="134"/>
      </rPr>
      <t>5*100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</si>
  <si>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2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健力邦德</t>
    </r>
    <r>
      <rPr>
        <b/>
        <sz val="11"/>
        <color rgb="FF000000"/>
        <rFont val="Droid Sans Fallback"/>
        <charset val="134"/>
      </rPr>
      <t>-42</t>
    </r>
    <r>
      <rPr>
        <b/>
        <sz val="11"/>
        <color rgb="FF000000"/>
        <rFont val="宋体"/>
        <charset val="134"/>
      </rPr>
      <t>件</t>
    </r>
  </si>
  <si>
    <r>
      <t>关节镜凿子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/Z1035</t>
    </r>
  </si>
  <si>
    <r>
      <t>优贝特肱骨髓针器械</t>
    </r>
    <r>
      <rPr>
        <b/>
        <sz val="11"/>
        <color rgb="FF000000"/>
        <rFont val="Droid Sans Fallback"/>
        <charset val="134"/>
      </rPr>
      <t>-2/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Z7530</t>
    </r>
  </si>
  <si>
    <r>
      <t>UBE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-19</t>
    </r>
    <r>
      <rPr>
        <b/>
        <sz val="11"/>
        <color rgb="FF000000"/>
        <rFont val="宋体"/>
        <charset val="134"/>
      </rPr>
      <t>件（一）</t>
    </r>
  </si>
  <si>
    <r>
      <t>UBE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-26</t>
    </r>
    <r>
      <rPr>
        <b/>
        <sz val="11"/>
        <color rgb="FF000000"/>
        <rFont val="宋体"/>
        <charset val="134"/>
      </rPr>
      <t>件（二）</t>
    </r>
  </si>
  <si>
    <r>
      <t>（邦德）</t>
    </r>
    <r>
      <rPr>
        <b/>
        <sz val="11"/>
        <color rgb="FF000000"/>
        <rFont val="Droid Sans Fallback"/>
        <charset val="134"/>
      </rPr>
      <t>PFNA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</si>
  <si>
    <r>
      <t>闻泰手科器械</t>
    </r>
    <r>
      <rPr>
        <b/>
        <sz val="11"/>
        <color rgb="FF000000"/>
        <rFont val="Droid Sans Fallback"/>
        <charset val="134"/>
      </rPr>
      <t>17</t>
    </r>
    <r>
      <rPr>
        <b/>
        <sz val="11"/>
        <color rgb="FF000000"/>
        <rFont val="宋体"/>
        <charset val="134"/>
      </rPr>
      <t>，</t>
    </r>
    <r>
      <rPr>
        <b/>
        <sz val="11"/>
        <color rgb="FF000000"/>
        <rFont val="Droid Sans Fallback"/>
        <charset val="134"/>
      </rPr>
      <t>2.0</t>
    </r>
    <r>
      <rPr>
        <b/>
        <sz val="11"/>
        <color rgb="FF000000"/>
        <rFont val="宋体"/>
        <charset val="134"/>
      </rPr>
      <t>钉盒（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号）</t>
    </r>
  </si>
  <si>
    <r>
      <t>UBE</t>
    </r>
    <r>
      <rPr>
        <b/>
        <sz val="11"/>
        <color rgb="FF000000"/>
        <rFont val="宋体"/>
        <charset val="134"/>
      </rPr>
      <t>手柄</t>
    </r>
    <r>
      <rPr>
        <b/>
        <sz val="11"/>
        <color rgb="FF000000"/>
        <rFont val="Droid Sans Fallback"/>
        <charset val="134"/>
      </rPr>
      <t>-1/W7050</t>
    </r>
  </si>
  <si>
    <r>
      <t>威高光源</t>
    </r>
    <r>
      <rPr>
        <b/>
        <sz val="11"/>
        <color rgb="FF000000"/>
        <rFont val="Droid Sans Fallback"/>
        <charset val="134"/>
      </rPr>
      <t>-1/z3040</t>
    </r>
  </si>
  <si>
    <r>
      <t>威高镜头</t>
    </r>
    <r>
      <rPr>
        <b/>
        <sz val="11"/>
        <color rgb="FF000000"/>
        <rFont val="Droid Sans Fallback"/>
        <charset val="134"/>
      </rPr>
      <t>-3(</t>
    </r>
    <r>
      <rPr>
        <b/>
        <sz val="11"/>
        <color rgb="FF000000"/>
        <rFont val="宋体"/>
        <charset val="134"/>
      </rPr>
      <t>盒</t>
    </r>
    <r>
      <rPr>
        <b/>
        <sz val="11"/>
        <color rgb="FF000000"/>
        <rFont val="Droid Sans Fallback"/>
        <charset val="134"/>
      </rPr>
      <t>1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Z2040</t>
    </r>
  </si>
  <si>
    <r>
      <t>威高镜头连线（带盖）</t>
    </r>
    <r>
      <rPr>
        <b/>
        <sz val="11"/>
        <color rgb="FF000000"/>
        <rFont val="Droid Sans Fallback"/>
        <charset val="134"/>
      </rPr>
      <t>-1/Z3040</t>
    </r>
  </si>
  <si>
    <r>
      <t>手刷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/z1535</t>
    </r>
  </si>
  <si>
    <r>
      <t>UBE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-26</t>
    </r>
    <r>
      <rPr>
        <b/>
        <sz val="11"/>
        <color rgb="FF000000"/>
        <rFont val="宋体"/>
        <charset val="134"/>
      </rPr>
      <t>件</t>
    </r>
  </si>
  <si>
    <r>
      <t>取锁定上肢内六角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/w6050</t>
    </r>
  </si>
  <si>
    <r>
      <t>腰椎器械</t>
    </r>
    <r>
      <rPr>
        <b/>
        <sz val="11"/>
        <color rgb="FF000000"/>
        <rFont val="Droid Sans Fallback"/>
        <charset val="134"/>
      </rPr>
      <t>-19</t>
    </r>
    <r>
      <rPr>
        <b/>
        <sz val="11"/>
        <color rgb="FF000000"/>
        <rFont val="宋体"/>
        <charset val="134"/>
      </rPr>
      <t>件</t>
    </r>
  </si>
  <si>
    <r>
      <t>持针器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</si>
  <si>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t>威高</t>
    </r>
    <r>
      <rPr>
        <b/>
        <sz val="11"/>
        <color rgb="FF000000"/>
        <rFont val="Droid Sans Fallback"/>
        <charset val="134"/>
      </rPr>
      <t>2.7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>2</t>
    </r>
    <r>
      <rPr>
        <b/>
        <sz val="11"/>
        <color rgb="FF000000"/>
        <rFont val="宋体"/>
        <charset val="134"/>
      </rPr>
      <t>号</t>
    </r>
  </si>
  <si>
    <t>威高钉盒</t>
  </si>
  <si>
    <r>
      <t>UBE</t>
    </r>
    <r>
      <rPr>
        <b/>
        <sz val="11"/>
        <color rgb="FF000000"/>
        <rFont val="宋体"/>
        <charset val="134"/>
      </rPr>
      <t>高速手柄</t>
    </r>
    <r>
      <rPr>
        <b/>
        <sz val="11"/>
        <color rgb="FF000000"/>
        <rFont val="Droid Sans Fallback"/>
        <charset val="134"/>
      </rPr>
      <t>-1/Z2030</t>
    </r>
  </si>
  <si>
    <r>
      <t>梅花起子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Z1030</t>
    </r>
  </si>
  <si>
    <r>
      <t>手二跟骨复位钳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</si>
  <si>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威高取小空心钉扳手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</si>
  <si>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六角起子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</si>
  <si>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六角起子</t>
    </r>
    <r>
      <rPr>
        <b/>
        <sz val="11"/>
        <color rgb="FF000000"/>
        <rFont val="Droid Sans Fallback"/>
        <charset val="134"/>
      </rPr>
      <t>φ4.5φ5.0φ5.5/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</si>
  <si>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梅花起子</t>
    </r>
    <r>
      <rPr>
        <b/>
        <sz val="11"/>
        <color rgb="FF000000"/>
        <rFont val="Droid Sans Fallback"/>
        <charset val="134"/>
      </rPr>
      <t>-6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Z1030</t>
    </r>
  </si>
  <si>
    <r>
      <t>手科小剪刀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</si>
  <si>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闻泰股骨顺行髓内钉取出</t>
    </r>
    <r>
      <rPr>
        <b/>
        <sz val="11"/>
        <color rgb="FF000000"/>
        <rFont val="Droid Sans Fallback"/>
        <charset val="134"/>
      </rPr>
      <t>-7</t>
    </r>
  </si>
  <si>
    <r>
      <t>上肢折弯器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</si>
  <si>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下肢折弯器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</si>
  <si>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五区特殊器械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</si>
  <si>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腰椎取出</t>
    </r>
    <r>
      <rPr>
        <b/>
        <sz val="11"/>
        <color rgb="FF000000"/>
        <rFont val="Droid Sans Fallback"/>
        <charset val="134"/>
      </rPr>
      <t>-13</t>
    </r>
    <r>
      <rPr>
        <b/>
        <sz val="11"/>
        <color rgb="FF000000"/>
        <rFont val="宋体"/>
        <charset val="134"/>
      </rPr>
      <t>件</t>
    </r>
  </si>
  <si>
    <r>
      <t>六角起子</t>
    </r>
    <r>
      <rPr>
        <b/>
        <sz val="11"/>
        <color rgb="FF000000"/>
        <rFont val="Droid Sans Fallback"/>
        <charset val="134"/>
      </rPr>
      <t>φ1.5φ2.0φ2.5-3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</si>
  <si>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梅花起子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Z1030</t>
    </r>
  </si>
  <si>
    <r>
      <t>自动拉钩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/w9050</t>
    </r>
  </si>
  <si>
    <r>
      <t>断指盘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</si>
  <si>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腰椎器械</t>
    </r>
    <r>
      <rPr>
        <b/>
        <sz val="11"/>
        <color rgb="FF000000"/>
        <rFont val="Droid Sans Fallback"/>
        <charset val="134"/>
      </rPr>
      <t>-29</t>
    </r>
    <r>
      <rPr>
        <b/>
        <sz val="11"/>
        <color rgb="FF000000"/>
        <rFont val="宋体"/>
        <charset val="134"/>
      </rPr>
      <t>件</t>
    </r>
  </si>
  <si>
    <r>
      <t>威高中空螺钉</t>
    </r>
    <r>
      <rPr>
        <b/>
        <sz val="11"/>
        <color rgb="FF000000"/>
        <rFont val="Droid Sans Fallback"/>
        <charset val="134"/>
      </rPr>
      <t>7.3(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钉</t>
    </r>
    <r>
      <rPr>
        <b/>
        <sz val="11"/>
        <color rgb="FF000000"/>
        <rFont val="Droid Sans Fallback"/>
        <charset val="134"/>
      </rPr>
      <t>24)2</t>
    </r>
    <r>
      <rPr>
        <b/>
        <sz val="11"/>
        <color rgb="FF000000"/>
        <rFont val="宋体"/>
        <charset val="134"/>
      </rPr>
      <t>号</t>
    </r>
  </si>
  <si>
    <r>
      <t>小空心钉扳手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</si>
  <si>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威高全髋器械</t>
    </r>
    <r>
      <rPr>
        <b/>
        <sz val="11"/>
        <color rgb="FF000000"/>
        <rFont val="Droid Sans Fallback"/>
        <charset val="134"/>
      </rPr>
      <t>-58</t>
    </r>
    <r>
      <rPr>
        <b/>
        <sz val="11"/>
        <color rgb="FF000000"/>
        <rFont val="宋体"/>
        <charset val="134"/>
      </rPr>
      <t>件（二）</t>
    </r>
  </si>
  <si>
    <r>
      <t>威高全髋器械</t>
    </r>
    <r>
      <rPr>
        <b/>
        <sz val="11"/>
        <color rgb="FF000000"/>
        <rFont val="Droid Sans Fallback"/>
        <charset val="134"/>
      </rPr>
      <t>-39</t>
    </r>
    <r>
      <rPr>
        <b/>
        <sz val="11"/>
        <color rgb="FF000000"/>
        <rFont val="宋体"/>
        <charset val="134"/>
      </rPr>
      <t>件（一）</t>
    </r>
  </si>
  <si>
    <r>
      <t>富康钢针</t>
    </r>
    <r>
      <rPr>
        <b/>
        <sz val="11"/>
        <color rgb="FF000000"/>
        <rFont val="Droid Sans Fallback"/>
        <charset val="134"/>
      </rPr>
      <t>2.5-7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/z1526</t>
    </r>
  </si>
  <si>
    <r>
      <t>威高可折断光杆骨针</t>
    </r>
    <r>
      <rPr>
        <b/>
        <sz val="11"/>
        <color rgb="FF000000"/>
        <rFont val="Droid Sans Fallback"/>
        <charset val="134"/>
      </rPr>
      <t>2.5-1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</si>
  <si>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r>
      <t>大三爪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</si>
  <si>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富康特小号架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</si>
  <si>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骨掀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</si>
  <si>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刮勺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</si>
  <si>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30</t>
    </r>
    <r>
      <rPr>
        <b/>
        <sz val="11"/>
        <color rgb="FF000000"/>
        <rFont val="宋体"/>
        <charset val="134"/>
      </rPr>
      <t>度关节镜（好</t>
    </r>
    <r>
      <rPr>
        <b/>
        <sz val="11"/>
        <color rgb="FF000000"/>
        <rFont val="Droid Sans Fallback"/>
        <charset val="134"/>
      </rPr>
      <t>A</t>
    </r>
    <r>
      <rPr>
        <b/>
        <sz val="11"/>
        <color rgb="FF000000"/>
        <rFont val="宋体"/>
        <charset val="134"/>
      </rPr>
      <t>）</t>
    </r>
    <r>
      <rPr>
        <b/>
        <sz val="11"/>
        <color rgb="FF000000"/>
        <rFont val="Droid Sans Fallback"/>
        <charset val="134"/>
      </rPr>
      <t>-1/Z2060</t>
    </r>
  </si>
  <si>
    <r>
      <t>钢丝</t>
    </r>
    <r>
      <rPr>
        <b/>
        <sz val="11"/>
        <color rgb="FF000000"/>
        <rFont val="Droid Sans Fallback"/>
        <charset val="134"/>
      </rPr>
      <t>(1.0)-1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/z1020</t>
    </r>
  </si>
  <si>
    <r>
      <t>钢丝牵引器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</si>
  <si>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软钻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/w9050</t>
    </r>
  </si>
  <si>
    <r>
      <t>双头空心扳手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</si>
  <si>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环锯断钉取出器</t>
    </r>
    <r>
      <rPr>
        <b/>
        <sz val="11"/>
        <color rgb="FF000000"/>
        <rFont val="Droid Sans Fallback"/>
        <charset val="134"/>
      </rPr>
      <t>2.0 -1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</si>
  <si>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环锯断钉取出器</t>
    </r>
    <r>
      <rPr>
        <b/>
        <sz val="11"/>
        <color rgb="FF000000"/>
        <rFont val="Droid Sans Fallback"/>
        <charset val="134"/>
      </rPr>
      <t>5.0 6.5 -2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</si>
  <si>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环锯内丝式</t>
    </r>
    <r>
      <rPr>
        <b/>
        <sz val="11"/>
        <color rgb="FF000000"/>
        <rFont val="Droid Sans Fallback"/>
        <charset val="134"/>
      </rPr>
      <t>(4.0 5.0 6.0)-3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</si>
  <si>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磨钻钻头（旧）</t>
    </r>
    <r>
      <rPr>
        <b/>
        <sz val="11"/>
        <color rgb="FF000000"/>
        <rFont val="Droid Sans Fallback"/>
        <charset val="134"/>
      </rPr>
      <t>-5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/z7520</t>
    </r>
  </si>
  <si>
    <r>
      <t>磨钻钻头（新）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/z7526</t>
    </r>
  </si>
  <si>
    <r>
      <t>取断钉器械</t>
    </r>
    <r>
      <rPr>
        <b/>
        <sz val="11"/>
        <color rgb="FF000000"/>
        <rFont val="Droid Sans Fallback"/>
        <charset val="134"/>
      </rPr>
      <t>-</t>
    </r>
    <r>
      <rPr>
        <b/>
        <sz val="11"/>
        <color rgb="FF000000"/>
        <rFont val="宋体"/>
        <charset val="134"/>
      </rPr>
      <t>开口器</t>
    </r>
    <r>
      <rPr>
        <b/>
        <sz val="11"/>
        <color rgb="FF000000"/>
        <rFont val="Droid Sans Fallback"/>
        <charset val="134"/>
      </rPr>
      <t>//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7520</t>
    </r>
  </si>
  <si>
    <r>
      <t>丝锥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/z1530</t>
    </r>
  </si>
  <si>
    <r>
      <t>磨钻导线（旧）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/w7050</t>
    </r>
  </si>
  <si>
    <r>
      <t>磨钻导线（新）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/w7050</t>
    </r>
  </si>
  <si>
    <r>
      <t>关节镜钻孔瞄准器</t>
    </r>
    <r>
      <rPr>
        <b/>
        <sz val="11"/>
        <color rgb="FF000000"/>
        <rFont val="Droid Sans Fallback"/>
        <charset val="134"/>
      </rPr>
      <t>-7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/w6050</t>
    </r>
  </si>
  <si>
    <r>
      <t>小空心扳手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</si>
  <si>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优贝特肱骨导针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保</t>
    </r>
    <r>
      <rPr>
        <b/>
        <sz val="11"/>
        <color rgb="FF000000"/>
        <rFont val="Droid Sans Fallback"/>
        <charset val="134"/>
      </rPr>
      <t>/W6050</t>
    </r>
  </si>
  <si>
    <r>
      <t>优贝特肱骨髓针主钉</t>
    </r>
    <r>
      <rPr>
        <b/>
        <sz val="11"/>
        <color rgb="FF000000"/>
        <rFont val="Droid Sans Fallback"/>
        <charset val="134"/>
      </rPr>
      <t>14</t>
    </r>
    <r>
      <rPr>
        <b/>
        <sz val="11"/>
        <color rgb="FF000000"/>
        <rFont val="宋体"/>
        <charset val="134"/>
      </rPr>
      <t>件（右）</t>
    </r>
  </si>
  <si>
    <r>
      <t>关节镜头，镜鞘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/Z2045</t>
    </r>
  </si>
  <si>
    <r>
      <t>手科肌腱探子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/Z7534</t>
    </r>
  </si>
  <si>
    <r>
      <t>优贝特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钉盒</t>
    </r>
    <r>
      <rPr>
        <b/>
        <sz val="11"/>
        <color rgb="FF000000"/>
        <rFont val="Droid Sans Fallback"/>
        <charset val="134"/>
      </rPr>
      <t xml:space="preserve"> 1</t>
    </r>
    <r>
      <rPr>
        <b/>
        <sz val="11"/>
        <color rgb="FF000000"/>
        <rFont val="宋体"/>
        <charset val="134"/>
      </rPr>
      <t>号（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区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</si>
  <si>
    <r>
      <t>优贝特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主钉</t>
    </r>
    <r>
      <rPr>
        <b/>
        <sz val="11"/>
        <color rgb="FF000000"/>
        <rFont val="Droid Sans Fallback"/>
        <charset val="134"/>
      </rPr>
      <t>11</t>
    </r>
    <r>
      <rPr>
        <b/>
        <sz val="11"/>
        <color rgb="FF000000"/>
        <rFont val="宋体"/>
        <charset val="134"/>
      </rPr>
      <t>个</t>
    </r>
    <r>
      <rPr>
        <b/>
        <sz val="11"/>
        <color rgb="FF000000"/>
        <rFont val="Droid Sans Fallback"/>
        <charset val="134"/>
      </rPr>
      <t xml:space="preserve"> 1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区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</si>
  <si>
    <r>
      <t>优贝特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-14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1</t>
    </r>
    <r>
      <rPr>
        <b/>
        <sz val="11"/>
        <color rgb="FF000000"/>
        <rFont val="宋体"/>
        <charset val="134"/>
      </rPr>
      <t>号（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区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</si>
  <si>
    <r>
      <t>优贝特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-22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1</t>
    </r>
    <r>
      <rPr>
        <b/>
        <sz val="11"/>
        <color rgb="FF000000"/>
        <rFont val="宋体"/>
        <charset val="134"/>
      </rPr>
      <t>号（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区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</si>
  <si>
    <r>
      <t>优贝特</t>
    </r>
    <r>
      <rPr>
        <b/>
        <sz val="11"/>
        <color rgb="FF000000"/>
        <rFont val="Droid Sans Fallback"/>
        <charset val="134"/>
      </rPr>
      <t>intertan</t>
    </r>
    <r>
      <rPr>
        <b/>
        <sz val="11"/>
        <color rgb="FF000000"/>
        <rFont val="宋体"/>
        <charset val="134"/>
      </rPr>
      <t>器械</t>
    </r>
    <r>
      <rPr>
        <b/>
        <sz val="11"/>
        <color rgb="FF000000"/>
        <rFont val="Droid Sans Fallback"/>
        <charset val="134"/>
      </rPr>
      <t>-28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 xml:space="preserve"> 1</t>
    </r>
    <r>
      <rPr>
        <b/>
        <sz val="11"/>
        <color rgb="FF000000"/>
        <rFont val="宋体"/>
        <charset val="134"/>
      </rPr>
      <t>号（</t>
    </r>
    <r>
      <rPr>
        <b/>
        <sz val="11"/>
        <color rgb="FF000000"/>
        <rFont val="Droid Sans Fallback"/>
        <charset val="134"/>
      </rPr>
      <t>8</t>
    </r>
    <r>
      <rPr>
        <b/>
        <sz val="11"/>
        <color rgb="FF000000"/>
        <rFont val="宋体"/>
        <charset val="134"/>
      </rPr>
      <t>区</t>
    </r>
    <r>
      <rPr>
        <b/>
        <sz val="11"/>
        <color rgb="FF000000"/>
        <rFont val="Droid Sans Fallback"/>
        <charset val="134"/>
      </rPr>
      <t xml:space="preserve"> </t>
    </r>
    <r>
      <rPr>
        <b/>
        <sz val="11"/>
        <color rgb="FF000000"/>
        <rFont val="宋体"/>
        <charset val="134"/>
      </rPr>
      <t>）</t>
    </r>
  </si>
  <si>
    <r>
      <t>（新）关节镜镜头</t>
    </r>
    <r>
      <rPr>
        <b/>
        <sz val="11"/>
        <color rgb="FF000000"/>
        <rFont val="Droid Sans Fallback"/>
        <charset val="134"/>
      </rPr>
      <t>3</t>
    </r>
    <r>
      <rPr>
        <b/>
        <sz val="11"/>
        <color rgb="FF000000"/>
        <rFont val="宋体"/>
        <charset val="134"/>
      </rPr>
      <t>号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/Z2045</t>
    </r>
  </si>
  <si>
    <r>
      <t>反力式血管夹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（双）</t>
    </r>
    <r>
      <rPr>
        <b/>
        <sz val="11"/>
        <color rgb="FF000000"/>
        <rFont val="Droid Sans Fallback"/>
        <charset val="134"/>
      </rPr>
      <t>z7520</t>
    </r>
  </si>
  <si>
    <r>
      <t>血管夹</t>
    </r>
    <r>
      <rPr>
        <b/>
        <sz val="11"/>
        <color rgb="FF000000"/>
        <rFont val="Droid Sans Fallback"/>
        <charset val="134"/>
      </rPr>
      <t>-1/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/z7520</t>
    </r>
  </si>
  <si>
    <t>毛巾（棉布）</t>
  </si>
  <si>
    <r>
      <t>威高半髋工具（二）</t>
    </r>
    <r>
      <rPr>
        <b/>
        <sz val="11"/>
        <color rgb="FF000000"/>
        <rFont val="Droid Sans Fallback"/>
        <charset val="134"/>
      </rPr>
      <t>-10</t>
    </r>
    <r>
      <rPr>
        <b/>
        <sz val="11"/>
        <color rgb="FF000000"/>
        <rFont val="宋体"/>
        <charset val="134"/>
      </rPr>
      <t>件</t>
    </r>
  </si>
  <si>
    <r>
      <t>剪刀</t>
    </r>
    <r>
      <rPr>
        <b/>
        <sz val="11"/>
        <color rgb="FF000000"/>
        <rFont val="Droid Sans Fallback"/>
        <charset val="134"/>
      </rPr>
      <t>-2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</si>
  <si>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t>威高半髋工具（一）</t>
    </r>
    <r>
      <rPr>
        <b/>
        <sz val="11"/>
        <color rgb="FF000000"/>
        <rFont val="Droid Sans Fallback"/>
        <charset val="134"/>
      </rPr>
      <t>-41</t>
    </r>
    <r>
      <rPr>
        <b/>
        <sz val="11"/>
        <color rgb="FF000000"/>
        <rFont val="宋体"/>
        <charset val="134"/>
      </rPr>
      <t>件</t>
    </r>
  </si>
  <si>
    <r>
      <t>注射助推器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（低温）</t>
    </r>
    <r>
      <rPr>
        <b/>
        <sz val="11"/>
        <color rgb="FF000000"/>
        <rFont val="Droid Sans Fallback"/>
        <charset val="134"/>
      </rPr>
      <t>/z1030</t>
    </r>
  </si>
  <si>
    <t>哈尔滨市骨伤科医院2026年4月1日-2026年4月30日外来器械账单</t>
  </si>
  <si>
    <t>1/1-备用-胫骨髓针取出器械7件，借3区</t>
  </si>
  <si>
    <t>1/5-备用-健力邦德胫骨髓针器械100件钉盒2，借5区</t>
  </si>
  <si>
    <t>2/5-备用-健力邦德胫骨髓针器械100件钉盒2，借5区</t>
  </si>
  <si>
    <t>3/5-备用-健力邦德胫骨髓针器械100件钉盒2，借5区</t>
  </si>
  <si>
    <t>4/5-备用-健力邦德胫骨髓针器械100件钉盒2，借5区</t>
  </si>
  <si>
    <t>5/5-备用-健力邦德胫骨髓针器械100件钉盒2，借5区</t>
  </si>
  <si>
    <t>1/1-备用-优贝特上肢器械23件，钉盒1，借1区</t>
  </si>
  <si>
    <t>1/2-备用-威高半髋器械51件，借8区</t>
  </si>
  <si>
    <t>2/2-备用-威高半髋器械51件，借8区</t>
  </si>
  <si>
    <t>1/2-备用-2号威高半髋器械51件，借3区</t>
  </si>
  <si>
    <t>2/2-备用-2号威高半髋器械51件，借3区</t>
  </si>
  <si>
    <t>1/2-备用-1号威高半髋器械51件，借3区</t>
  </si>
  <si>
    <t>2/2-备用-1号威高半髋器械51件，借3区</t>
  </si>
  <si>
    <t>1/1-备用-优贝特1.8钛缆8件，借8区</t>
  </si>
  <si>
    <t>3/5优贝特intertan右侧器械86件钉盒1借八区</t>
  </si>
  <si>
    <t>2/5优贝特intertan右侧器械86件钉盒1借八区</t>
  </si>
  <si>
    <t>1/5优贝特intertan右侧器械86件钉盒1借八区</t>
  </si>
  <si>
    <t>4/5优贝特intertan右侧器械86件钉盒1借八区</t>
  </si>
  <si>
    <t>5/5优贝特intertan右侧器械86件钉盒1借八区</t>
  </si>
  <si>
    <t>1/1-备用-威高下肢5.0工具19件，钉盒1，借4区</t>
  </si>
  <si>
    <t>1/1-备用-威高尺骨冠突2.4皮钉工具9，钉盒1，借6区</t>
  </si>
  <si>
    <t>1/1-N/A-N/A-威高腰椎钉棒取出8件，借8区</t>
  </si>
  <si>
    <t>1/2-备用-威高半髋51件，借8区</t>
  </si>
  <si>
    <t>2/2-备用-威高半髋51件，借8区</t>
  </si>
  <si>
    <t>1/3爱得腰椎经皮钉41件，钉盒1，借5区</t>
  </si>
  <si>
    <t>2/3爱得腰椎经皮钉41件，钉盒1，借5区</t>
  </si>
  <si>
    <t>3/3爱得腰椎经皮钉41件，钉盒1，借5区</t>
  </si>
  <si>
    <t>1/4优贝特intertan左侧</t>
  </si>
  <si>
    <t>3/4优贝特intertan左侧</t>
  </si>
  <si>
    <t>4/4优贝特intertan左侧</t>
  </si>
  <si>
    <t>2/4优贝特intertan左侧</t>
  </si>
  <si>
    <t>1/5优贝特intert右侧加长</t>
  </si>
  <si>
    <t>2/5优贝特intert右侧加长</t>
  </si>
  <si>
    <t>3/5优贝特intert右侧加长</t>
  </si>
  <si>
    <t>4/5优贝特intert右侧加长</t>
  </si>
  <si>
    <t>5/5优贝特intert右侧加长</t>
  </si>
  <si>
    <t>1/1-备用-2号优贝特钛缆1.8，11件，借8区</t>
  </si>
  <si>
    <t>1/2-备用-威高半髋器械51件，借2区</t>
  </si>
  <si>
    <t>2/2-备用-威高半髋器械51件，借2区</t>
  </si>
  <si>
    <t>2/4-备用-优贝特左侧inter器械126件，钉盒1借8区</t>
  </si>
  <si>
    <t>3/4-备用-优贝特左侧inter器械126件，钉盒1借8区</t>
  </si>
  <si>
    <t>4/4-备用-优贝特左侧inter器械126件，钉盒1借8区</t>
  </si>
  <si>
    <t>1/4-备用-优贝特左侧inter器械126件，钉盒1借8区</t>
  </si>
  <si>
    <t>1/3-备用-2号优贝特intertan器械76件，钉盒1，借8区</t>
  </si>
  <si>
    <t>2/3-备用-2号优贝特intertan器械76件，钉盒1，借8区</t>
  </si>
  <si>
    <t>3/3-备用-2号优贝特intertan器械76件，钉盒1，借8区</t>
  </si>
  <si>
    <t>1/1-备用-科仪关节器械12</t>
  </si>
  <si>
    <t>1/5-备用-科仪单髁器械166</t>
  </si>
  <si>
    <t>2/5-备用-科仪单髁器械166</t>
  </si>
  <si>
    <t>3/5-备用-科仪单髁器械166</t>
  </si>
  <si>
    <t>4/5-备用-科仪单髁器械166</t>
  </si>
  <si>
    <t>5/5-备用-科仪单髁器械166</t>
  </si>
  <si>
    <t>1/4-备用-金约应关节器械108</t>
  </si>
  <si>
    <t>2/4-备用-金约应关节器械108</t>
  </si>
  <si>
    <t>3/4-备用-金约应关节器械108</t>
  </si>
  <si>
    <t>4/4-备用-金约应关节器械108</t>
  </si>
  <si>
    <t>1/2-备用-UBE手术器械43件</t>
  </si>
  <si>
    <t>2/2-备用-UBE手术器械43件</t>
  </si>
  <si>
    <t>1/1-备用-UBE高速手柄1个</t>
  </si>
  <si>
    <t>1/2-备用-UBE手术器械45件</t>
  </si>
  <si>
    <t>2/2-备用-UBE手术器械45件</t>
  </si>
  <si>
    <t>闻泰SD14胫骨远外侧板右侧共五块借骨三</t>
  </si>
  <si>
    <t>闻泰SD28锁骨板左侧共五块借骨五</t>
  </si>
  <si>
    <t>闻泰SD17胫骨近外板左侧共4块借骨五</t>
  </si>
  <si>
    <t>闻泰SD31腓骨板右侧共七块借骨五</t>
  </si>
  <si>
    <t>1/1-备用-闻泰SD17胫骨板右侧（5.7.9.11）共四块借骨一</t>
  </si>
  <si>
    <t>1/1-备用-闻泰SD33跟骨板右侧（8.11）共两块借骨五</t>
  </si>
  <si>
    <t>1/1-备用-闻泰SD75跟骨板右侧（12）一块借骨五</t>
  </si>
  <si>
    <t>闻泰S14胫骨远内板左侧5.7.9.11.13五块借骨一</t>
  </si>
  <si>
    <t>闻泰SD14胫骨远端内侧板右侧</t>
  </si>
  <si>
    <t>闻泰SD16胫骨近端外侧板右侧</t>
  </si>
  <si>
    <t>闻泰SD31腓骨板右侧</t>
  </si>
  <si>
    <t>闻泰SD62锁骨板右侧（6.7.8.9）共四块借骨六</t>
  </si>
  <si>
    <t>闻泰SD10重建板</t>
  </si>
  <si>
    <t>闻泰SD17胫骨板左侧5.7.9.11四块借骨一</t>
  </si>
  <si>
    <t>闻泰SD61胫骨板左侧</t>
  </si>
  <si>
    <t>闻泰SD70桡骨板右侧2.3.4.5.6共五块借骨五</t>
  </si>
  <si>
    <t>哈尔滨市骨伤科医院2026年4月1日-2026年4月30日消毒灭菌费用合计</t>
  </si>
  <si>
    <t>常规器械合计</t>
  </si>
  <si>
    <t>外来器械合计</t>
  </si>
  <si>
    <t>费用调整</t>
  </si>
  <si>
    <t>物流费</t>
  </si>
  <si>
    <t>总合计金额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</si>
</sst>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Droid Sans Fallback"/>
      <charset val="134"/>
    </font>
    <font>
      <sz val="16"/>
      <name val="宋体"/>
      <charset val="134"/>
      <scheme val="minor"/>
    </font>
    <font>
      <b/>
      <sz val="10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36">
    <xf numFmtId="0" fontId="0" fillId="0" borderId="0" xfId="0">
      <alignment vertical="center"/>
    </xf>
    <xf numFmtId="0" fontId="1" fillId="0" borderId="0" xfId="49" applyFont="1" applyFill="1" applyBorder="1" applyAlignment="1"/>
    <xf numFmtId="0" fontId="2" fillId="0" borderId="0" xfId="49" applyFont="1" applyFill="1" applyBorder="1" applyAlignment="1"/>
    <xf numFmtId="0" fontId="3" fillId="0" borderId="0" xfId="49" applyFont="1" applyFill="1" applyBorder="1" applyAlignment="1">
      <alignment horizontal="center" vertical="top"/>
    </xf>
    <xf numFmtId="0" fontId="3" fillId="0" borderId="0" xfId="49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1" xfId="49" applyNumberFormat="1" applyFont="1" applyFill="1" applyBorder="1" applyAlignment="1">
      <alignment horizontal="center" vertical="top" wrapText="1" readingOrder="1"/>
    </xf>
    <xf numFmtId="0" fontId="5" fillId="0" borderId="1" xfId="49" applyNumberFormat="1" applyFont="1" applyFill="1" applyBorder="1" applyAlignment="1">
      <alignment horizontal="right" vertical="center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176" fontId="6" fillId="0" borderId="1" xfId="0" applyNumberFormat="1" applyFont="1" applyFill="1" applyBorder="1" applyAlignment="1">
      <alignment horizontal="righ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176" fontId="6" fillId="0" borderId="2" xfId="0" applyNumberFormat="1" applyFont="1" applyFill="1" applyBorder="1" applyAlignment="1">
      <alignment horizontal="right" vertical="top" wrapText="1" readingOrder="1"/>
    </xf>
    <xf numFmtId="0" fontId="6" fillId="0" borderId="2" xfId="0" applyNumberFormat="1" applyFont="1" applyFill="1" applyBorder="1" applyAlignment="1">
      <alignment horizontal="center" vertical="top" wrapText="1" readingOrder="1"/>
    </xf>
    <xf numFmtId="0" fontId="3" fillId="0" borderId="3" xfId="49" applyFont="1" applyFill="1" applyBorder="1" applyAlignment="1">
      <alignment horizontal="center" vertical="top"/>
    </xf>
    <xf numFmtId="0" fontId="3" fillId="0" borderId="4" xfId="49" applyFont="1" applyFill="1" applyBorder="1" applyAlignment="1">
      <alignment horizontal="right"/>
    </xf>
    <xf numFmtId="0" fontId="3" fillId="0" borderId="5" xfId="49" applyFont="1" applyFill="1" applyBorder="1" applyAlignment="1">
      <alignment horizontal="right"/>
    </xf>
    <xf numFmtId="0" fontId="3" fillId="0" borderId="1" xfId="49" applyFont="1" applyFill="1" applyBorder="1" applyAlignment="1">
      <alignment horizontal="right"/>
    </xf>
    <xf numFmtId="0" fontId="7" fillId="0" borderId="0" xfId="49" applyFont="1" applyFill="1" applyAlignment="1">
      <alignment horizontal="center" vertical="center"/>
    </xf>
    <xf numFmtId="0" fontId="7" fillId="0" borderId="0" xfId="49" applyFont="1" applyFill="1" applyAlignment="1">
      <alignment horizontal="right" vertical="center"/>
    </xf>
    <xf numFmtId="0" fontId="5" fillId="0" borderId="0" xfId="49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176" fontId="5" fillId="0" borderId="1" xfId="0" applyNumberFormat="1" applyFont="1" applyFill="1" applyBorder="1" applyAlignment="1">
      <alignment horizontal="right" vertical="top" wrapText="1" readingOrder="1"/>
    </xf>
    <xf numFmtId="0" fontId="3" fillId="0" borderId="3" xfId="49" applyFont="1" applyFill="1" applyBorder="1" applyAlignment="1">
      <alignment horizontal="center" vertical="top"/>
    </xf>
    <xf numFmtId="0" fontId="3" fillId="0" borderId="4" xfId="49" applyFont="1" applyFill="1" applyBorder="1" applyAlignment="1">
      <alignment horizontal="center" vertical="top"/>
    </xf>
    <xf numFmtId="0" fontId="3" fillId="0" borderId="5" xfId="49" applyFont="1" applyFill="1" applyBorder="1" applyAlignment="1">
      <alignment horizontal="center" vertical="top"/>
    </xf>
    <xf numFmtId="0" fontId="5" fillId="0" borderId="1" xfId="49" applyNumberFormat="1" applyFont="1" applyFill="1" applyBorder="1" applyAlignment="1">
      <alignment horizontal="right" vertical="top" wrapText="1" readingOrder="1"/>
    </xf>
    <xf numFmtId="176" fontId="8" fillId="0" borderId="1" xfId="0" applyNumberFormat="1" applyFont="1" applyFill="1" applyBorder="1" applyAlignment="1">
      <alignment horizontal="right" vertical="top" wrapText="1" readingOrder="1"/>
    </xf>
    <xf numFmtId="177" fontId="8" fillId="0" borderId="1" xfId="0" applyNumberFormat="1" applyFont="1" applyFill="1" applyBorder="1" applyAlignment="1">
      <alignment horizontal="right" vertical="top" wrapText="1" readingOrder="1"/>
    </xf>
    <xf numFmtId="0" fontId="5" fillId="0" borderId="3" xfId="49" applyNumberFormat="1" applyFont="1" applyFill="1" applyBorder="1" applyAlignment="1">
      <alignment horizontal="center" vertical="top" wrapText="1" readingOrder="1"/>
    </xf>
    <xf numFmtId="0" fontId="5" fillId="0" borderId="4" xfId="49" applyNumberFormat="1" applyFont="1" applyFill="1" applyBorder="1" applyAlignment="1">
      <alignment horizontal="right" vertical="top" wrapText="1" readingOrder="1"/>
    </xf>
    <xf numFmtId="0" fontId="5" fillId="0" borderId="5" xfId="49" applyNumberFormat="1" applyFont="1" applyFill="1" applyBorder="1" applyAlignment="1">
      <alignment horizontal="right" vertical="top" wrapText="1" readingOrder="1"/>
    </xf>
    <xf numFmtId="178" fontId="3" fillId="0" borderId="1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9592;&#20260;&#3118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外来器械"/>
      <sheetName val="费用调整"/>
    </sheetNames>
    <sheetDataSet>
      <sheetData sheetId="0"/>
      <sheetData sheetId="1"/>
      <sheetData sheetId="2"/>
      <sheetData sheetId="3">
        <row r="7">
          <cell r="G7">
            <v>-669.2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20"/>
  <sheetViews>
    <sheetView tabSelected="1" view="pageBreakPreview" zoomScaleNormal="100" topLeftCell="A1784" workbookViewId="0">
      <selection activeCell="N1736" sqref="N1736"/>
    </sheetView>
  </sheetViews>
  <sheetFormatPr defaultColWidth="9" defaultRowHeight="13.5"/>
  <cols>
    <col min="1" max="1" width="46" style="3" customWidth="1"/>
    <col min="2" max="2" width="11.625" style="4" customWidth="1"/>
    <col min="3" max="3" width="20" style="4" customWidth="1"/>
    <col min="4" max="4" width="22.625" style="4" customWidth="1"/>
    <col min="5" max="16372" width="9" style="1"/>
  </cols>
  <sheetData>
    <row r="1" s="1" customFormat="1" ht="44" customHeight="1" spans="1:4 16373:16384">
      <c r="A1" s="5" t="s">
        <v>0</v>
      </c>
      <c r="B1" s="6"/>
      <c r="C1" s="6"/>
      <c r="D1" s="6"/>
    </row>
    <row r="2" s="2" customFormat="1" customHeight="1" spans="1:4 16373:16384">
      <c r="A2" s="7" t="s">
        <v>1</v>
      </c>
      <c r="B2" s="8" t="s">
        <v>2</v>
      </c>
      <c r="C2" s="8" t="s">
        <v>3</v>
      </c>
      <c r="D2" s="8" t="s">
        <v>4</v>
      </c>
    </row>
    <row r="3" s="1" customFormat="1" ht="15" spans="1:4 16373:16384">
      <c r="A3" s="9" t="s">
        <v>5</v>
      </c>
      <c r="B3" s="10">
        <v>1</v>
      </c>
      <c r="C3" s="11">
        <v>16.8</v>
      </c>
      <c r="D3" s="11">
        <v>16.8</v>
      </c>
      <c r="XES3"/>
      <c r="XET3"/>
      <c r="XEU3"/>
      <c r="XEV3"/>
      <c r="XEW3"/>
      <c r="XEX3"/>
      <c r="XEY3"/>
      <c r="XEZ3"/>
      <c r="XFA3"/>
      <c r="XFB3"/>
      <c r="XFC3"/>
      <c r="XFD3"/>
    </row>
    <row r="4" s="1" customFormat="1" ht="15" spans="1:4 16373:16384">
      <c r="A4" s="9" t="s">
        <v>6</v>
      </c>
      <c r="B4" s="10">
        <v>1</v>
      </c>
      <c r="C4" s="11">
        <v>16.5</v>
      </c>
      <c r="D4" s="11">
        <v>16.5</v>
      </c>
      <c r="XES4"/>
      <c r="XET4"/>
      <c r="XEU4"/>
      <c r="XEV4"/>
      <c r="XEW4"/>
      <c r="XEX4"/>
      <c r="XEY4"/>
      <c r="XEZ4"/>
      <c r="XFA4"/>
      <c r="XFB4"/>
      <c r="XFC4"/>
      <c r="XFD4"/>
    </row>
    <row r="5" s="1" customFormat="1" ht="15" spans="1:4 16373:16384">
      <c r="A5" s="9" t="s">
        <v>7</v>
      </c>
      <c r="B5" s="10">
        <v>3</v>
      </c>
      <c r="C5" s="11">
        <v>16.5</v>
      </c>
      <c r="D5" s="11">
        <v>49.5</v>
      </c>
      <c r="XES5"/>
      <c r="XET5"/>
      <c r="XEU5"/>
      <c r="XEV5"/>
      <c r="XEW5"/>
      <c r="XEX5"/>
      <c r="XEY5"/>
      <c r="XEZ5"/>
      <c r="XFA5"/>
      <c r="XFB5"/>
      <c r="XFC5"/>
      <c r="XFD5"/>
    </row>
    <row r="6" s="1" customFormat="1" ht="15" spans="1:4 16373:16384">
      <c r="A6" s="9" t="s">
        <v>8</v>
      </c>
      <c r="B6" s="10">
        <v>4</v>
      </c>
      <c r="C6" s="11">
        <v>16.5</v>
      </c>
      <c r="D6" s="11">
        <v>66</v>
      </c>
      <c r="XES6"/>
      <c r="XET6"/>
      <c r="XEU6"/>
      <c r="XEV6"/>
      <c r="XEW6"/>
      <c r="XEX6"/>
      <c r="XEY6"/>
      <c r="XEZ6"/>
      <c r="XFA6"/>
      <c r="XFB6"/>
      <c r="XFC6"/>
      <c r="XFD6"/>
    </row>
    <row r="7" s="1" customFormat="1" ht="15" spans="1:4 16373:16384">
      <c r="A7" s="12" t="s">
        <v>9</v>
      </c>
      <c r="B7" s="13">
        <v>1</v>
      </c>
      <c r="C7" s="14">
        <v>126.5</v>
      </c>
      <c r="D7" s="14">
        <f t="shared" ref="D7:D70" si="0">C7*B7</f>
        <v>126.5</v>
      </c>
      <c r="XES7"/>
      <c r="XET7"/>
      <c r="XEU7"/>
      <c r="XEV7"/>
      <c r="XEW7"/>
      <c r="XEX7"/>
      <c r="XEY7"/>
      <c r="XEZ7"/>
      <c r="XFA7"/>
      <c r="XFB7"/>
      <c r="XFC7"/>
      <c r="XFD7"/>
    </row>
    <row r="8" s="1" customFormat="1" ht="15" spans="1:4 16373:16384">
      <c r="A8" s="12" t="s">
        <v>10</v>
      </c>
      <c r="B8" s="13">
        <v>1</v>
      </c>
      <c r="C8" s="14">
        <v>159</v>
      </c>
      <c r="D8" s="14">
        <f t="shared" si="0"/>
        <v>159</v>
      </c>
      <c r="XES8"/>
      <c r="XET8"/>
      <c r="XEU8"/>
      <c r="XEV8"/>
      <c r="XEW8"/>
      <c r="XEX8"/>
      <c r="XEY8"/>
      <c r="XEZ8"/>
      <c r="XFA8"/>
      <c r="XFB8"/>
      <c r="XFC8"/>
      <c r="XFD8"/>
    </row>
    <row r="9" s="1" customFormat="1" ht="15" spans="1:4 16373:16384">
      <c r="A9" s="12" t="s">
        <v>11</v>
      </c>
      <c r="B9" s="13">
        <v>1</v>
      </c>
      <c r="C9" s="14">
        <v>159</v>
      </c>
      <c r="D9" s="14">
        <f t="shared" si="0"/>
        <v>159</v>
      </c>
      <c r="XES9"/>
      <c r="XET9"/>
      <c r="XEU9"/>
      <c r="XEV9"/>
      <c r="XEW9"/>
      <c r="XEX9"/>
      <c r="XEY9"/>
      <c r="XEZ9"/>
      <c r="XFA9"/>
      <c r="XFB9"/>
      <c r="XFC9"/>
      <c r="XFD9"/>
    </row>
    <row r="10" s="1" customFormat="1" ht="15" spans="1:4 16373:16384">
      <c r="A10" s="12" t="s">
        <v>12</v>
      </c>
      <c r="B10" s="13">
        <v>1</v>
      </c>
      <c r="C10" s="14">
        <v>22.3</v>
      </c>
      <c r="D10" s="14">
        <f t="shared" si="0"/>
        <v>22.3</v>
      </c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="1" customFormat="1" ht="15" spans="1:4 16373:16384">
      <c r="A11" s="12" t="s">
        <v>13</v>
      </c>
      <c r="B11" s="13">
        <v>1</v>
      </c>
      <c r="C11" s="14">
        <v>5.8</v>
      </c>
      <c r="D11" s="14">
        <f t="shared" si="0"/>
        <v>5.8</v>
      </c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="1" customFormat="1" ht="15" spans="1:4 16373:16384">
      <c r="A12" s="12" t="s">
        <v>14</v>
      </c>
      <c r="B12" s="13">
        <v>1</v>
      </c>
      <c r="C12" s="14">
        <v>8.3</v>
      </c>
      <c r="D12" s="14">
        <f t="shared" si="0"/>
        <v>8.3</v>
      </c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="1" customFormat="1" ht="15" spans="1:4 16373:16384">
      <c r="A13" s="12" t="s">
        <v>15</v>
      </c>
      <c r="B13" s="13">
        <v>1</v>
      </c>
      <c r="C13" s="14">
        <v>27.8</v>
      </c>
      <c r="D13" s="14">
        <f t="shared" si="0"/>
        <v>27.8</v>
      </c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="1" customFormat="1" ht="15" spans="1:4 16373:16384">
      <c r="A14" s="12" t="s">
        <v>16</v>
      </c>
      <c r="B14" s="13">
        <v>2</v>
      </c>
      <c r="C14" s="14">
        <v>38.8</v>
      </c>
      <c r="D14" s="14">
        <f t="shared" si="0"/>
        <v>77.6</v>
      </c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="1" customFormat="1" ht="15" spans="1:4 16373:16384">
      <c r="A15" s="12" t="s">
        <v>17</v>
      </c>
      <c r="B15" s="13">
        <v>1</v>
      </c>
      <c r="C15" s="14">
        <v>38.8</v>
      </c>
      <c r="D15" s="14">
        <f t="shared" si="0"/>
        <v>38.8</v>
      </c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="1" customFormat="1" ht="15" spans="1:4 16373:16384">
      <c r="A16" s="12" t="s">
        <v>18</v>
      </c>
      <c r="B16" s="13">
        <v>1</v>
      </c>
      <c r="C16" s="14">
        <v>33.3</v>
      </c>
      <c r="D16" s="14">
        <f t="shared" si="0"/>
        <v>33.3</v>
      </c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1" customFormat="1" ht="15" spans="1:4 16373:16384">
      <c r="A17" s="12" t="s">
        <v>19</v>
      </c>
      <c r="B17" s="13">
        <v>3</v>
      </c>
      <c r="C17" s="14">
        <v>13.3</v>
      </c>
      <c r="D17" s="14">
        <f t="shared" si="0"/>
        <v>39.9</v>
      </c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="1" customFormat="1" ht="15" spans="1:4 16373:16384">
      <c r="A18" s="12" t="s">
        <v>20</v>
      </c>
      <c r="B18" s="13">
        <v>1</v>
      </c>
      <c r="C18" s="14">
        <v>8.3</v>
      </c>
      <c r="D18" s="14">
        <f t="shared" si="0"/>
        <v>8.3</v>
      </c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="1" customFormat="1" ht="15" spans="1:4 16373:16384">
      <c r="A19" s="12" t="s">
        <v>21</v>
      </c>
      <c r="B19" s="13">
        <v>1</v>
      </c>
      <c r="C19" s="14">
        <v>13.8</v>
      </c>
      <c r="D19" s="14">
        <f t="shared" si="0"/>
        <v>13.8</v>
      </c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="1" customFormat="1" ht="15" spans="1:4 16373:16384">
      <c r="A20" s="12" t="s">
        <v>22</v>
      </c>
      <c r="B20" s="13">
        <v>1</v>
      </c>
      <c r="C20" s="14">
        <v>8.3</v>
      </c>
      <c r="D20" s="14">
        <f t="shared" si="0"/>
        <v>8.3</v>
      </c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="1" customFormat="1" ht="15" spans="1:4 16373:16384">
      <c r="A21" s="12" t="s">
        <v>23</v>
      </c>
      <c r="B21" s="13">
        <v>2</v>
      </c>
      <c r="C21" s="14">
        <v>8.3</v>
      </c>
      <c r="D21" s="14">
        <f t="shared" si="0"/>
        <v>16.6</v>
      </c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="1" customFormat="1" ht="15" spans="1:4 16373:16384">
      <c r="A22" s="12" t="s">
        <v>24</v>
      </c>
      <c r="B22" s="13">
        <v>5</v>
      </c>
      <c r="C22" s="14">
        <v>8.3</v>
      </c>
      <c r="D22" s="14">
        <f t="shared" si="0"/>
        <v>41.5</v>
      </c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="1" customFormat="1" ht="15" spans="1:4 16373:16384">
      <c r="A23" s="12" t="s">
        <v>25</v>
      </c>
      <c r="B23" s="13">
        <v>1</v>
      </c>
      <c r="C23" s="14">
        <v>11.3</v>
      </c>
      <c r="D23" s="14">
        <f t="shared" si="0"/>
        <v>11.3</v>
      </c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="1" customFormat="1" ht="15" spans="1:4 16373:16384">
      <c r="A24" s="12" t="s">
        <v>26</v>
      </c>
      <c r="B24" s="13">
        <v>1</v>
      </c>
      <c r="C24" s="14">
        <v>13.8</v>
      </c>
      <c r="D24" s="14">
        <f t="shared" si="0"/>
        <v>13.8</v>
      </c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="1" customFormat="1" ht="15" spans="1:4 16373:16384">
      <c r="A25" s="12" t="s">
        <v>27</v>
      </c>
      <c r="B25" s="13">
        <v>1</v>
      </c>
      <c r="C25" s="14">
        <v>13.3</v>
      </c>
      <c r="D25" s="14">
        <f t="shared" si="0"/>
        <v>13.3</v>
      </c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="1" customFormat="1" ht="15" spans="1:4 16373:16384">
      <c r="A26" s="12" t="s">
        <v>28</v>
      </c>
      <c r="B26" s="13">
        <v>8</v>
      </c>
      <c r="C26" s="14">
        <v>0</v>
      </c>
      <c r="D26" s="14">
        <f t="shared" si="0"/>
        <v>0</v>
      </c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="1" customFormat="1" ht="15" spans="1:4 16373:16384">
      <c r="A27" s="12" t="s">
        <v>29</v>
      </c>
      <c r="B27" s="13">
        <v>5</v>
      </c>
      <c r="C27" s="14">
        <v>0</v>
      </c>
      <c r="D27" s="14">
        <f t="shared" si="0"/>
        <v>0</v>
      </c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="1" customFormat="1" ht="15" spans="1:4 16373:16384">
      <c r="A28" s="15" t="s">
        <v>30</v>
      </c>
      <c r="B28" s="13">
        <v>1</v>
      </c>
      <c r="C28" s="14">
        <v>50</v>
      </c>
      <c r="D28" s="14">
        <f t="shared" si="0"/>
        <v>50</v>
      </c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="1" customFormat="1" ht="15" spans="1:4 16373:16384">
      <c r="A29" s="12" t="s">
        <v>31</v>
      </c>
      <c r="B29" s="13">
        <v>1</v>
      </c>
      <c r="C29" s="14">
        <v>50</v>
      </c>
      <c r="D29" s="14">
        <f t="shared" si="0"/>
        <v>50</v>
      </c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="1" customFormat="1" ht="15" spans="1:4 16373:16384">
      <c r="A30" s="12" t="s">
        <v>32</v>
      </c>
      <c r="B30" s="13">
        <v>1</v>
      </c>
      <c r="C30" s="14">
        <v>50</v>
      </c>
      <c r="D30" s="14">
        <f t="shared" si="0"/>
        <v>50</v>
      </c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="1" customFormat="1" ht="15" spans="1:4 16373:16384">
      <c r="A31" s="12" t="s">
        <v>33</v>
      </c>
      <c r="B31" s="13">
        <v>1</v>
      </c>
      <c r="C31" s="14">
        <v>149</v>
      </c>
      <c r="D31" s="14">
        <f t="shared" si="0"/>
        <v>149</v>
      </c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="1" customFormat="1" ht="15" spans="1:4 16373:16384">
      <c r="A32" s="12" t="s">
        <v>34</v>
      </c>
      <c r="B32" s="13">
        <v>1</v>
      </c>
      <c r="C32" s="14">
        <v>66.5</v>
      </c>
      <c r="D32" s="14">
        <f t="shared" si="0"/>
        <v>66.5</v>
      </c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="1" customFormat="1" ht="15" spans="1:4 16373:16384">
      <c r="A33" s="12" t="s">
        <v>35</v>
      </c>
      <c r="B33" s="13">
        <v>1</v>
      </c>
      <c r="C33" s="14">
        <v>104.5</v>
      </c>
      <c r="D33" s="14">
        <f t="shared" si="0"/>
        <v>104.5</v>
      </c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="1" customFormat="1" ht="15" spans="1:4 16373:16384">
      <c r="A34" s="12" t="s">
        <v>36</v>
      </c>
      <c r="B34" s="13">
        <v>1</v>
      </c>
      <c r="C34" s="14">
        <v>126.5</v>
      </c>
      <c r="D34" s="14">
        <f t="shared" si="0"/>
        <v>126.5</v>
      </c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="1" customFormat="1" ht="15" spans="1:4 16373:16384">
      <c r="A35" s="12" t="s">
        <v>37</v>
      </c>
      <c r="B35" s="13">
        <v>2</v>
      </c>
      <c r="C35" s="14">
        <v>16.5</v>
      </c>
      <c r="D35" s="14">
        <f t="shared" si="0"/>
        <v>33</v>
      </c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="1" customFormat="1" ht="15" spans="1:4 16373:16384">
      <c r="A36" s="12" t="s">
        <v>38</v>
      </c>
      <c r="B36" s="13">
        <v>1</v>
      </c>
      <c r="C36" s="14">
        <v>38.5</v>
      </c>
      <c r="D36" s="14">
        <f t="shared" si="0"/>
        <v>38.5</v>
      </c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="1" customFormat="1" ht="15" spans="1:4 16373:16384">
      <c r="A37" s="12" t="s">
        <v>39</v>
      </c>
      <c r="B37" s="13">
        <v>1</v>
      </c>
      <c r="C37" s="14">
        <v>12.2</v>
      </c>
      <c r="D37" s="14">
        <f t="shared" si="0"/>
        <v>12.2</v>
      </c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="1" customFormat="1" ht="15" spans="1:4 16373:16384">
      <c r="A38" s="12" t="s">
        <v>40</v>
      </c>
      <c r="B38" s="13">
        <v>2</v>
      </c>
      <c r="C38" s="14">
        <v>14.2</v>
      </c>
      <c r="D38" s="14">
        <f t="shared" si="0"/>
        <v>28.4</v>
      </c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="1" customFormat="1" ht="15" spans="1:4 16373:16384">
      <c r="A39" s="12" t="s">
        <v>41</v>
      </c>
      <c r="B39" s="13">
        <v>2</v>
      </c>
      <c r="C39" s="14">
        <v>27.5</v>
      </c>
      <c r="D39" s="14">
        <f t="shared" si="0"/>
        <v>55</v>
      </c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="1" customFormat="1" ht="15" spans="1:4 16373:16384">
      <c r="A40" s="12" t="s">
        <v>42</v>
      </c>
      <c r="B40" s="13">
        <v>5</v>
      </c>
      <c r="C40" s="14">
        <v>17.7</v>
      </c>
      <c r="D40" s="14">
        <f t="shared" si="0"/>
        <v>88.5</v>
      </c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="1" customFormat="1" ht="15" spans="1:4 16373:16384">
      <c r="A41" s="12" t="s">
        <v>43</v>
      </c>
      <c r="B41" s="13">
        <v>7</v>
      </c>
      <c r="C41" s="14">
        <v>16.5</v>
      </c>
      <c r="D41" s="14">
        <f t="shared" si="0"/>
        <v>115.5</v>
      </c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s="1" customFormat="1" ht="15" spans="1:4 16373:16384">
      <c r="A42" s="12" t="s">
        <v>44</v>
      </c>
      <c r="B42" s="13">
        <v>1</v>
      </c>
      <c r="C42" s="14">
        <v>16.5</v>
      </c>
      <c r="D42" s="14">
        <f t="shared" si="0"/>
        <v>16.5</v>
      </c>
      <c r="XES42"/>
      <c r="XET42"/>
      <c r="XEU42"/>
      <c r="XEV42"/>
      <c r="XEW42"/>
      <c r="XEX42"/>
      <c r="XEY42"/>
      <c r="XEZ42"/>
      <c r="XFA42"/>
      <c r="XFB42"/>
      <c r="XFC42"/>
      <c r="XFD42"/>
    </row>
    <row r="43" s="1" customFormat="1" ht="15" spans="1:4 16373:16384">
      <c r="A43" s="12" t="s">
        <v>45</v>
      </c>
      <c r="B43" s="13">
        <v>1</v>
      </c>
      <c r="C43" s="14">
        <v>16.5</v>
      </c>
      <c r="D43" s="14">
        <f t="shared" si="0"/>
        <v>16.5</v>
      </c>
      <c r="XES43"/>
      <c r="XET43"/>
      <c r="XEU43"/>
      <c r="XEV43"/>
      <c r="XEW43"/>
      <c r="XEX43"/>
      <c r="XEY43"/>
      <c r="XEZ43"/>
      <c r="XFA43"/>
      <c r="XFB43"/>
      <c r="XFC43"/>
      <c r="XFD43"/>
    </row>
    <row r="44" s="1" customFormat="1" ht="15" spans="1:4 16373:16384">
      <c r="A44" s="12" t="s">
        <v>46</v>
      </c>
      <c r="B44" s="13">
        <v>1</v>
      </c>
      <c r="C44" s="14">
        <v>12.2</v>
      </c>
      <c r="D44" s="14">
        <f t="shared" si="0"/>
        <v>12.2</v>
      </c>
      <c r="XES44"/>
      <c r="XET44"/>
      <c r="XEU44"/>
      <c r="XEV44"/>
      <c r="XEW44"/>
      <c r="XEX44"/>
      <c r="XEY44"/>
      <c r="XEZ44"/>
      <c r="XFA44"/>
      <c r="XFB44"/>
      <c r="XFC44"/>
      <c r="XFD44"/>
    </row>
    <row r="45" s="1" customFormat="1" ht="15" spans="1:4 16373:16384">
      <c r="A45" s="12" t="s">
        <v>47</v>
      </c>
      <c r="B45" s="13">
        <v>10</v>
      </c>
      <c r="C45" s="14">
        <v>22</v>
      </c>
      <c r="D45" s="14">
        <f t="shared" si="0"/>
        <v>220</v>
      </c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="1" customFormat="1" ht="15" spans="1:4 16373:16384">
      <c r="A46" s="12" t="s">
        <v>48</v>
      </c>
      <c r="B46" s="13">
        <v>1</v>
      </c>
      <c r="C46" s="14">
        <v>38.5</v>
      </c>
      <c r="D46" s="14">
        <f t="shared" si="0"/>
        <v>38.5</v>
      </c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="1" customFormat="1" ht="15" spans="1:4 16373:16384">
      <c r="A47" s="12" t="s">
        <v>49</v>
      </c>
      <c r="B47" s="13">
        <v>1</v>
      </c>
      <c r="C47" s="14">
        <v>16.5</v>
      </c>
      <c r="D47" s="14">
        <f t="shared" si="0"/>
        <v>16.5</v>
      </c>
      <c r="XES47"/>
      <c r="XET47"/>
      <c r="XEU47"/>
      <c r="XEV47"/>
      <c r="XEW47"/>
      <c r="XEX47"/>
      <c r="XEY47"/>
      <c r="XEZ47"/>
      <c r="XFA47"/>
      <c r="XFB47"/>
      <c r="XFC47"/>
      <c r="XFD47"/>
    </row>
    <row r="48" s="1" customFormat="1" ht="15" spans="1:4 16373:16384">
      <c r="A48" s="12" t="s">
        <v>50</v>
      </c>
      <c r="B48" s="13">
        <v>1</v>
      </c>
      <c r="C48" s="14">
        <v>16.5</v>
      </c>
      <c r="D48" s="14">
        <f t="shared" si="0"/>
        <v>16.5</v>
      </c>
      <c r="XES48"/>
      <c r="XET48"/>
      <c r="XEU48"/>
      <c r="XEV48"/>
      <c r="XEW48"/>
      <c r="XEX48"/>
      <c r="XEY48"/>
      <c r="XEZ48"/>
      <c r="XFA48"/>
      <c r="XFB48"/>
      <c r="XFC48"/>
      <c r="XFD48"/>
    </row>
    <row r="49" s="1" customFormat="1" ht="15" spans="1:4 16373:16384">
      <c r="A49" s="12" t="s">
        <v>51</v>
      </c>
      <c r="B49" s="13">
        <v>1</v>
      </c>
      <c r="C49" s="14">
        <v>16.5</v>
      </c>
      <c r="D49" s="14">
        <f t="shared" si="0"/>
        <v>16.5</v>
      </c>
      <c r="XES49"/>
      <c r="XET49"/>
      <c r="XEU49"/>
      <c r="XEV49"/>
      <c r="XEW49"/>
      <c r="XEX49"/>
      <c r="XEY49"/>
      <c r="XEZ49"/>
      <c r="XFA49"/>
      <c r="XFB49"/>
      <c r="XFC49"/>
      <c r="XFD49"/>
    </row>
    <row r="50" s="1" customFormat="1" ht="15" spans="1:4 16373:16384">
      <c r="A50" s="12" t="s">
        <v>52</v>
      </c>
      <c r="B50" s="13">
        <v>1</v>
      </c>
      <c r="C50" s="14">
        <v>120.5</v>
      </c>
      <c r="D50" s="14">
        <f t="shared" si="0"/>
        <v>120.5</v>
      </c>
      <c r="XES50"/>
      <c r="XET50"/>
      <c r="XEU50"/>
      <c r="XEV50"/>
      <c r="XEW50"/>
      <c r="XEX50"/>
      <c r="XEY50"/>
      <c r="XEZ50"/>
      <c r="XFA50"/>
      <c r="XFB50"/>
      <c r="XFC50"/>
      <c r="XFD50"/>
    </row>
    <row r="51" s="1" customFormat="1" ht="15" spans="1:4 16373:16384">
      <c r="A51" s="12" t="s">
        <v>53</v>
      </c>
      <c r="B51" s="13">
        <v>1</v>
      </c>
      <c r="C51" s="14">
        <v>170</v>
      </c>
      <c r="D51" s="14">
        <f t="shared" si="0"/>
        <v>170</v>
      </c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="1" customFormat="1" ht="15" spans="1:4 16373:16384">
      <c r="A52" s="12" t="s">
        <v>29</v>
      </c>
      <c r="B52" s="13">
        <v>1</v>
      </c>
      <c r="C52" s="14">
        <v>0</v>
      </c>
      <c r="D52" s="14">
        <f t="shared" si="0"/>
        <v>0</v>
      </c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="1" customFormat="1" ht="15" spans="1:4 16373:16384">
      <c r="A53" s="12" t="s">
        <v>37</v>
      </c>
      <c r="B53" s="13">
        <v>1</v>
      </c>
      <c r="C53" s="14">
        <v>16.5</v>
      </c>
      <c r="D53" s="14">
        <f t="shared" si="0"/>
        <v>16.5</v>
      </c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="1" customFormat="1" ht="15" spans="1:4 16373:16384">
      <c r="A54" s="12" t="s">
        <v>54</v>
      </c>
      <c r="B54" s="13">
        <v>1</v>
      </c>
      <c r="C54" s="14">
        <v>12.2</v>
      </c>
      <c r="D54" s="14">
        <f t="shared" si="0"/>
        <v>12.2</v>
      </c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="1" customFormat="1" ht="15" spans="1:4 16373:16384">
      <c r="A55" s="12" t="s">
        <v>41</v>
      </c>
      <c r="B55" s="13">
        <v>1</v>
      </c>
      <c r="C55" s="14">
        <v>27.5</v>
      </c>
      <c r="D55" s="14">
        <f t="shared" si="0"/>
        <v>27.5</v>
      </c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="1" customFormat="1" ht="15" spans="1:4 16373:16384">
      <c r="A56" s="12" t="s">
        <v>44</v>
      </c>
      <c r="B56" s="13">
        <v>1</v>
      </c>
      <c r="C56" s="14">
        <v>16.5</v>
      </c>
      <c r="D56" s="14">
        <f t="shared" si="0"/>
        <v>16.5</v>
      </c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="1" customFormat="1" ht="15" spans="1:4 16373:16384">
      <c r="A57" s="12" t="s">
        <v>47</v>
      </c>
      <c r="B57" s="13">
        <v>2</v>
      </c>
      <c r="C57" s="14">
        <v>22</v>
      </c>
      <c r="D57" s="14">
        <f t="shared" si="0"/>
        <v>44</v>
      </c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="1" customFormat="1" ht="15" spans="1:4 16373:16384">
      <c r="A58" s="12" t="s">
        <v>55</v>
      </c>
      <c r="B58" s="13">
        <v>1</v>
      </c>
      <c r="C58" s="14">
        <v>197.5</v>
      </c>
      <c r="D58" s="14">
        <f t="shared" si="0"/>
        <v>197.5</v>
      </c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="1" customFormat="1" ht="15" spans="1:4 16373:16384">
      <c r="A59" s="12" t="s">
        <v>56</v>
      </c>
      <c r="B59" s="13">
        <v>1</v>
      </c>
      <c r="C59" s="14">
        <v>115</v>
      </c>
      <c r="D59" s="14">
        <f t="shared" si="0"/>
        <v>115</v>
      </c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="1" customFormat="1" ht="15" spans="1:4 16373:16384">
      <c r="A60" s="12" t="s">
        <v>57</v>
      </c>
      <c r="B60" s="13">
        <v>1</v>
      </c>
      <c r="C60" s="14">
        <v>115</v>
      </c>
      <c r="D60" s="14">
        <f t="shared" si="0"/>
        <v>115</v>
      </c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="1" customFormat="1" ht="15" spans="1:4 16373:16384">
      <c r="A61" s="12" t="s">
        <v>58</v>
      </c>
      <c r="B61" s="13">
        <v>1</v>
      </c>
      <c r="C61" s="14">
        <v>104</v>
      </c>
      <c r="D61" s="14">
        <f t="shared" si="0"/>
        <v>104</v>
      </c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="1" customFormat="1" ht="15" spans="1:4 16373:16384">
      <c r="A62" s="12" t="s">
        <v>11</v>
      </c>
      <c r="B62" s="13">
        <v>2</v>
      </c>
      <c r="C62" s="14">
        <v>159</v>
      </c>
      <c r="D62" s="14">
        <f t="shared" si="0"/>
        <v>318</v>
      </c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="1" customFormat="1" ht="15" spans="1:4 16373:16384">
      <c r="A63" s="12" t="s">
        <v>13</v>
      </c>
      <c r="B63" s="13">
        <v>1</v>
      </c>
      <c r="C63" s="14">
        <v>5.8</v>
      </c>
      <c r="D63" s="14">
        <f t="shared" si="0"/>
        <v>5.8</v>
      </c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="1" customFormat="1" ht="15" spans="1:4 16373:16384">
      <c r="A64" s="12" t="s">
        <v>22</v>
      </c>
      <c r="B64" s="13">
        <v>1</v>
      </c>
      <c r="C64" s="14">
        <v>8.3</v>
      </c>
      <c r="D64" s="14">
        <f t="shared" si="0"/>
        <v>8.3</v>
      </c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="1" customFormat="1" ht="15" spans="1:4 16373:16384">
      <c r="A65" s="12" t="s">
        <v>37</v>
      </c>
      <c r="B65" s="13">
        <v>1</v>
      </c>
      <c r="C65" s="14">
        <v>16.5</v>
      </c>
      <c r="D65" s="14">
        <f t="shared" si="0"/>
        <v>16.5</v>
      </c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="1" customFormat="1" ht="15" spans="1:4 16373:16384">
      <c r="A66" s="12" t="s">
        <v>43</v>
      </c>
      <c r="B66" s="13">
        <v>3</v>
      </c>
      <c r="C66" s="14">
        <v>16.5</v>
      </c>
      <c r="D66" s="14">
        <f t="shared" si="0"/>
        <v>49.5</v>
      </c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="1" customFormat="1" ht="15" spans="1:4 16373:16384">
      <c r="A67" s="12" t="s">
        <v>44</v>
      </c>
      <c r="B67" s="13">
        <v>1</v>
      </c>
      <c r="C67" s="14">
        <v>16.5</v>
      </c>
      <c r="D67" s="14">
        <f t="shared" si="0"/>
        <v>16.5</v>
      </c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="1" customFormat="1" ht="15" spans="1:4 16373:16384">
      <c r="A68" s="12" t="s">
        <v>47</v>
      </c>
      <c r="B68" s="13">
        <v>1</v>
      </c>
      <c r="C68" s="14">
        <v>22</v>
      </c>
      <c r="D68" s="14">
        <f t="shared" si="0"/>
        <v>22</v>
      </c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="1" customFormat="1" ht="15" spans="1:4 16373:16384">
      <c r="A69" s="12" t="s">
        <v>9</v>
      </c>
      <c r="B69" s="13">
        <v>1</v>
      </c>
      <c r="C69" s="14">
        <v>126.5</v>
      </c>
      <c r="D69" s="14">
        <f t="shared" si="0"/>
        <v>126.5</v>
      </c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="1" customFormat="1" ht="15" spans="1:4 16373:16384">
      <c r="A70" s="12" t="s">
        <v>59</v>
      </c>
      <c r="B70" s="13">
        <v>1</v>
      </c>
      <c r="C70" s="14">
        <v>71</v>
      </c>
      <c r="D70" s="14">
        <f t="shared" si="0"/>
        <v>71</v>
      </c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="1" customFormat="1" ht="15" spans="1:4 16373:16384">
      <c r="A71" s="12" t="s">
        <v>55</v>
      </c>
      <c r="B71" s="13">
        <v>3</v>
      </c>
      <c r="C71" s="14">
        <v>197.5</v>
      </c>
      <c r="D71" s="14">
        <f t="shared" ref="D71:D134" si="1">C71*B71</f>
        <v>592.5</v>
      </c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="1" customFormat="1" ht="15" spans="1:4 16373:16384">
      <c r="A72" s="12" t="s">
        <v>10</v>
      </c>
      <c r="B72" s="13">
        <v>3</v>
      </c>
      <c r="C72" s="14">
        <v>159</v>
      </c>
      <c r="D72" s="14">
        <f t="shared" si="1"/>
        <v>477</v>
      </c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="1" customFormat="1" ht="15" spans="1:4 16373:16384">
      <c r="A73" s="12" t="s">
        <v>60</v>
      </c>
      <c r="B73" s="13">
        <v>2</v>
      </c>
      <c r="C73" s="14">
        <v>131.5</v>
      </c>
      <c r="D73" s="14">
        <f t="shared" si="1"/>
        <v>263</v>
      </c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="1" customFormat="1" ht="15" spans="1:4 16373:16384">
      <c r="A74" s="12" t="s">
        <v>61</v>
      </c>
      <c r="B74" s="13">
        <v>1</v>
      </c>
      <c r="C74" s="14">
        <v>60.5</v>
      </c>
      <c r="D74" s="14">
        <f t="shared" si="1"/>
        <v>60.5</v>
      </c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="1" customFormat="1" ht="15" spans="1:4 16373:16384">
      <c r="A75" s="12" t="s">
        <v>58</v>
      </c>
      <c r="B75" s="13">
        <v>1</v>
      </c>
      <c r="C75" s="14">
        <v>104</v>
      </c>
      <c r="D75" s="14">
        <f t="shared" si="1"/>
        <v>104</v>
      </c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="1" customFormat="1" ht="15" spans="1:4 16373:16384">
      <c r="A76" s="12" t="s">
        <v>53</v>
      </c>
      <c r="B76" s="13">
        <v>2</v>
      </c>
      <c r="C76" s="14">
        <v>170</v>
      </c>
      <c r="D76" s="14">
        <f t="shared" si="1"/>
        <v>340</v>
      </c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="1" customFormat="1" ht="15" spans="1:4 16373:16384">
      <c r="A77" s="12" t="s">
        <v>62</v>
      </c>
      <c r="B77" s="13">
        <v>1</v>
      </c>
      <c r="C77" s="14">
        <v>88</v>
      </c>
      <c r="D77" s="14">
        <f t="shared" si="1"/>
        <v>88</v>
      </c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="1" customFormat="1" ht="15" spans="1:4 16373:16384">
      <c r="A78" s="12" t="s">
        <v>63</v>
      </c>
      <c r="B78" s="13">
        <v>1</v>
      </c>
      <c r="C78" s="14">
        <v>143</v>
      </c>
      <c r="D78" s="14">
        <f t="shared" si="1"/>
        <v>143</v>
      </c>
      <c r="XES78"/>
      <c r="XET78"/>
      <c r="XEU78"/>
      <c r="XEV78"/>
      <c r="XEW78"/>
      <c r="XEX78"/>
      <c r="XEY78"/>
      <c r="XEZ78"/>
      <c r="XFA78"/>
      <c r="XFB78"/>
      <c r="XFC78"/>
      <c r="XFD78"/>
    </row>
    <row r="79" s="1" customFormat="1" ht="15" spans="1:4 16373:16384">
      <c r="A79" s="12" t="s">
        <v>36</v>
      </c>
      <c r="B79" s="13">
        <v>2</v>
      </c>
      <c r="C79" s="14">
        <v>126.5</v>
      </c>
      <c r="D79" s="14">
        <f t="shared" si="1"/>
        <v>253</v>
      </c>
      <c r="XES79"/>
      <c r="XET79"/>
      <c r="XEU79"/>
      <c r="XEV79"/>
      <c r="XEW79"/>
      <c r="XEX79"/>
      <c r="XEY79"/>
      <c r="XEZ79"/>
      <c r="XFA79"/>
      <c r="XFB79"/>
      <c r="XFC79"/>
      <c r="XFD79"/>
    </row>
    <row r="80" s="1" customFormat="1" ht="15" spans="1:4 16373:16384">
      <c r="A80" s="12" t="s">
        <v>64</v>
      </c>
      <c r="B80" s="13">
        <v>1</v>
      </c>
      <c r="C80" s="14">
        <v>66</v>
      </c>
      <c r="D80" s="14">
        <f t="shared" si="1"/>
        <v>66</v>
      </c>
      <c r="XES80"/>
      <c r="XET80"/>
      <c r="XEU80"/>
      <c r="XEV80"/>
      <c r="XEW80"/>
      <c r="XEX80"/>
      <c r="XEY80"/>
      <c r="XEZ80"/>
      <c r="XFA80"/>
      <c r="XFB80"/>
      <c r="XFC80"/>
      <c r="XFD80"/>
    </row>
    <row r="81" s="1" customFormat="1" ht="15" spans="1:4 16373:16384">
      <c r="A81" s="12" t="s">
        <v>65</v>
      </c>
      <c r="B81" s="13">
        <v>1</v>
      </c>
      <c r="C81" s="14">
        <v>209</v>
      </c>
      <c r="D81" s="14">
        <f t="shared" si="1"/>
        <v>209</v>
      </c>
      <c r="XES81"/>
      <c r="XET81"/>
      <c r="XEU81"/>
      <c r="XEV81"/>
      <c r="XEW81"/>
      <c r="XEX81"/>
      <c r="XEY81"/>
      <c r="XEZ81"/>
      <c r="XFA81"/>
      <c r="XFB81"/>
      <c r="XFC81"/>
      <c r="XFD81"/>
    </row>
    <row r="82" s="1" customFormat="1" ht="15" spans="1:4 16373:16384">
      <c r="A82" s="12" t="s">
        <v>66</v>
      </c>
      <c r="B82" s="13">
        <v>1</v>
      </c>
      <c r="C82" s="14">
        <v>33</v>
      </c>
      <c r="D82" s="14">
        <f t="shared" si="1"/>
        <v>33</v>
      </c>
      <c r="XES82"/>
      <c r="XET82"/>
      <c r="XEU82"/>
      <c r="XEV82"/>
      <c r="XEW82"/>
      <c r="XEX82"/>
      <c r="XEY82"/>
      <c r="XEZ82"/>
      <c r="XFA82"/>
      <c r="XFB82"/>
      <c r="XFC82"/>
      <c r="XFD82"/>
    </row>
    <row r="83" s="1" customFormat="1" ht="15" spans="1:4 16373:16384">
      <c r="A83" s="12" t="s">
        <v>67</v>
      </c>
      <c r="B83" s="13">
        <v>1</v>
      </c>
      <c r="C83" s="14">
        <v>22</v>
      </c>
      <c r="D83" s="14">
        <f t="shared" si="1"/>
        <v>22</v>
      </c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="1" customFormat="1" ht="15" spans="1:4 16373:16384">
      <c r="A84" s="12" t="s">
        <v>68</v>
      </c>
      <c r="B84" s="13">
        <v>2</v>
      </c>
      <c r="C84" s="14">
        <v>17.2</v>
      </c>
      <c r="D84" s="14">
        <f t="shared" si="1"/>
        <v>34.4</v>
      </c>
      <c r="XES84"/>
      <c r="XET84"/>
      <c r="XEU84"/>
      <c r="XEV84"/>
      <c r="XEW84"/>
      <c r="XEX84"/>
      <c r="XEY84"/>
      <c r="XEZ84"/>
      <c r="XFA84"/>
      <c r="XFB84"/>
      <c r="XFC84"/>
      <c r="XFD84"/>
    </row>
    <row r="85" s="1" customFormat="1" ht="15" spans="1:4 16373:16384">
      <c r="A85" s="12" t="s">
        <v>37</v>
      </c>
      <c r="B85" s="13">
        <v>1</v>
      </c>
      <c r="C85" s="14">
        <v>16.5</v>
      </c>
      <c r="D85" s="14">
        <f t="shared" si="1"/>
        <v>16.5</v>
      </c>
      <c r="XES85"/>
      <c r="XET85"/>
      <c r="XEU85"/>
      <c r="XEV85"/>
      <c r="XEW85"/>
      <c r="XEX85"/>
      <c r="XEY85"/>
      <c r="XEZ85"/>
      <c r="XFA85"/>
      <c r="XFB85"/>
      <c r="XFC85"/>
      <c r="XFD85"/>
    </row>
    <row r="86" s="1" customFormat="1" ht="15" spans="1:4 16373:16384">
      <c r="A86" s="12" t="s">
        <v>40</v>
      </c>
      <c r="B86" s="13">
        <v>1</v>
      </c>
      <c r="C86" s="14">
        <v>14.2</v>
      </c>
      <c r="D86" s="14">
        <f t="shared" si="1"/>
        <v>14.2</v>
      </c>
      <c r="XES86"/>
      <c r="XET86"/>
      <c r="XEU86"/>
      <c r="XEV86"/>
      <c r="XEW86"/>
      <c r="XEX86"/>
      <c r="XEY86"/>
      <c r="XEZ86"/>
      <c r="XFA86"/>
      <c r="XFB86"/>
      <c r="XFC86"/>
      <c r="XFD86"/>
    </row>
    <row r="87" ht="15" spans="1:4 16373:16384">
      <c r="A87" s="12" t="s">
        <v>42</v>
      </c>
      <c r="B87" s="13">
        <v>2</v>
      </c>
      <c r="C87" s="14">
        <v>17.7</v>
      </c>
      <c r="D87" s="14">
        <f t="shared" si="1"/>
        <v>35.4</v>
      </c>
    </row>
    <row r="88" ht="15" spans="1:4 16373:16384">
      <c r="A88" s="12" t="s">
        <v>43</v>
      </c>
      <c r="B88" s="13">
        <v>4</v>
      </c>
      <c r="C88" s="14">
        <v>16.5</v>
      </c>
      <c r="D88" s="14">
        <f t="shared" si="1"/>
        <v>66</v>
      </c>
    </row>
    <row r="89" ht="15" spans="1:4 16373:16384">
      <c r="A89" s="12" t="s">
        <v>47</v>
      </c>
      <c r="B89" s="13">
        <v>9</v>
      </c>
      <c r="C89" s="14">
        <v>22</v>
      </c>
      <c r="D89" s="14">
        <f t="shared" si="1"/>
        <v>198</v>
      </c>
    </row>
    <row r="90" ht="15" spans="1:4 16373:16384">
      <c r="A90" s="12" t="s">
        <v>69</v>
      </c>
      <c r="B90" s="13">
        <v>1</v>
      </c>
      <c r="C90" s="14">
        <v>9.2</v>
      </c>
      <c r="D90" s="14">
        <f t="shared" si="1"/>
        <v>9.2</v>
      </c>
    </row>
    <row r="91" ht="15" spans="1:4 16373:16384">
      <c r="A91" s="12" t="s">
        <v>9</v>
      </c>
      <c r="B91" s="13">
        <v>1</v>
      </c>
      <c r="C91" s="14">
        <v>126.5</v>
      </c>
      <c r="D91" s="14">
        <f t="shared" si="1"/>
        <v>126.5</v>
      </c>
    </row>
    <row r="92" ht="15" spans="1:4 16373:16384">
      <c r="A92" s="12" t="s">
        <v>59</v>
      </c>
      <c r="B92" s="13">
        <v>1</v>
      </c>
      <c r="C92" s="14">
        <v>71</v>
      </c>
      <c r="D92" s="14">
        <f t="shared" si="1"/>
        <v>71</v>
      </c>
    </row>
    <row r="93" ht="15" spans="1:4 16373:16384">
      <c r="A93" s="12" t="s">
        <v>55</v>
      </c>
      <c r="B93" s="13">
        <v>1</v>
      </c>
      <c r="C93" s="14">
        <v>197.5</v>
      </c>
      <c r="D93" s="14">
        <f t="shared" si="1"/>
        <v>197.5</v>
      </c>
    </row>
    <row r="94" ht="15" spans="1:4 16373:16384">
      <c r="A94" s="12" t="s">
        <v>61</v>
      </c>
      <c r="B94" s="13">
        <v>1</v>
      </c>
      <c r="C94" s="14">
        <v>60.5</v>
      </c>
      <c r="D94" s="14">
        <f t="shared" si="1"/>
        <v>60.5</v>
      </c>
    </row>
    <row r="95" ht="15" spans="1:4 16373:16384">
      <c r="A95" s="12" t="s">
        <v>70</v>
      </c>
      <c r="B95" s="13">
        <v>1</v>
      </c>
      <c r="C95" s="14">
        <v>22.3</v>
      </c>
      <c r="D95" s="14">
        <f t="shared" si="1"/>
        <v>22.3</v>
      </c>
    </row>
    <row r="96" ht="15" spans="1:4 16373:16384">
      <c r="A96" s="15" t="s">
        <v>71</v>
      </c>
      <c r="B96" s="13">
        <v>1</v>
      </c>
      <c r="C96" s="14">
        <v>8.3</v>
      </c>
      <c r="D96" s="14">
        <f t="shared" si="1"/>
        <v>8.3</v>
      </c>
    </row>
    <row r="97" ht="15" spans="1:4">
      <c r="A97" s="12" t="s">
        <v>12</v>
      </c>
      <c r="B97" s="13">
        <v>1</v>
      </c>
      <c r="C97" s="14">
        <v>22.3</v>
      </c>
      <c r="D97" s="14">
        <f t="shared" si="1"/>
        <v>22.3</v>
      </c>
    </row>
    <row r="98" ht="15" spans="1:4">
      <c r="A98" s="12" t="s">
        <v>72</v>
      </c>
      <c r="B98" s="13">
        <v>1</v>
      </c>
      <c r="C98" s="14">
        <v>5.8</v>
      </c>
      <c r="D98" s="14">
        <f t="shared" si="1"/>
        <v>5.8</v>
      </c>
    </row>
    <row r="99" ht="15" spans="1:4">
      <c r="A99" s="12" t="s">
        <v>73</v>
      </c>
      <c r="B99" s="13">
        <v>3</v>
      </c>
      <c r="C99" s="14">
        <v>16.8</v>
      </c>
      <c r="D99" s="14">
        <f t="shared" si="1"/>
        <v>50.4</v>
      </c>
    </row>
    <row r="100" ht="15" spans="1:4">
      <c r="A100" s="12" t="s">
        <v>74</v>
      </c>
      <c r="B100" s="13">
        <v>1</v>
      </c>
      <c r="C100" s="14">
        <v>22.3</v>
      </c>
      <c r="D100" s="14">
        <f t="shared" si="1"/>
        <v>22.3</v>
      </c>
    </row>
    <row r="101" ht="15" spans="1:4">
      <c r="A101" s="12" t="s">
        <v>15</v>
      </c>
      <c r="B101" s="13">
        <v>1</v>
      </c>
      <c r="C101" s="14">
        <v>27.8</v>
      </c>
      <c r="D101" s="14">
        <f t="shared" si="1"/>
        <v>27.8</v>
      </c>
    </row>
    <row r="102" ht="15" spans="1:4">
      <c r="A102" s="12" t="s">
        <v>18</v>
      </c>
      <c r="B102" s="13">
        <v>1</v>
      </c>
      <c r="C102" s="14">
        <v>33.3</v>
      </c>
      <c r="D102" s="14">
        <f t="shared" si="1"/>
        <v>33.3</v>
      </c>
    </row>
    <row r="103" ht="15" spans="1:4">
      <c r="A103" s="12" t="s">
        <v>75</v>
      </c>
      <c r="B103" s="13">
        <v>1</v>
      </c>
      <c r="C103" s="14">
        <v>8.3</v>
      </c>
      <c r="D103" s="14">
        <f t="shared" si="1"/>
        <v>8.3</v>
      </c>
    </row>
    <row r="104" ht="15" spans="1:4">
      <c r="A104" s="12" t="s">
        <v>76</v>
      </c>
      <c r="B104" s="13">
        <v>1</v>
      </c>
      <c r="C104" s="14">
        <v>8.3</v>
      </c>
      <c r="D104" s="14">
        <f t="shared" si="1"/>
        <v>8.3</v>
      </c>
    </row>
    <row r="105" ht="15" spans="1:4">
      <c r="A105" s="12" t="s">
        <v>19</v>
      </c>
      <c r="B105" s="13">
        <v>5</v>
      </c>
      <c r="C105" s="14">
        <v>13.3</v>
      </c>
      <c r="D105" s="14">
        <f t="shared" si="1"/>
        <v>66.5</v>
      </c>
    </row>
    <row r="106" ht="15" spans="1:4">
      <c r="A106" s="12" t="s">
        <v>77</v>
      </c>
      <c r="B106" s="13">
        <v>1</v>
      </c>
      <c r="C106" s="14">
        <v>13.8</v>
      </c>
      <c r="D106" s="14">
        <f t="shared" si="1"/>
        <v>13.8</v>
      </c>
    </row>
    <row r="107" ht="15" spans="1:4">
      <c r="A107" s="12" t="s">
        <v>78</v>
      </c>
      <c r="B107" s="13">
        <v>1</v>
      </c>
      <c r="C107" s="14">
        <v>13.8</v>
      </c>
      <c r="D107" s="14">
        <f t="shared" si="1"/>
        <v>13.8</v>
      </c>
    </row>
    <row r="108" ht="15" spans="1:4">
      <c r="A108" s="12" t="s">
        <v>24</v>
      </c>
      <c r="B108" s="13">
        <v>1</v>
      </c>
      <c r="C108" s="14">
        <v>8.3</v>
      </c>
      <c r="D108" s="14">
        <f t="shared" si="1"/>
        <v>8.3</v>
      </c>
    </row>
    <row r="109" ht="15" spans="1:4">
      <c r="A109" s="12" t="s">
        <v>26</v>
      </c>
      <c r="B109" s="13">
        <v>1</v>
      </c>
      <c r="C109" s="14">
        <v>13.8</v>
      </c>
      <c r="D109" s="14">
        <f t="shared" si="1"/>
        <v>13.8</v>
      </c>
    </row>
    <row r="110" ht="15" spans="1:4">
      <c r="A110" s="12" t="s">
        <v>79</v>
      </c>
      <c r="B110" s="13">
        <v>1</v>
      </c>
      <c r="C110" s="14">
        <v>8.3</v>
      </c>
      <c r="D110" s="14">
        <f t="shared" si="1"/>
        <v>8.3</v>
      </c>
    </row>
    <row r="111" ht="15" spans="1:4">
      <c r="A111" s="12" t="s">
        <v>28</v>
      </c>
      <c r="B111" s="13">
        <v>10</v>
      </c>
      <c r="C111" s="14">
        <v>0</v>
      </c>
      <c r="D111" s="14">
        <f t="shared" si="1"/>
        <v>0</v>
      </c>
    </row>
    <row r="112" ht="15" spans="1:4">
      <c r="A112" s="12" t="s">
        <v>29</v>
      </c>
      <c r="B112" s="13">
        <v>7</v>
      </c>
      <c r="C112" s="14">
        <v>0</v>
      </c>
      <c r="D112" s="14">
        <f t="shared" si="1"/>
        <v>0</v>
      </c>
    </row>
    <row r="113" ht="15" spans="1:4">
      <c r="A113" s="12" t="s">
        <v>31</v>
      </c>
      <c r="B113" s="13">
        <v>1</v>
      </c>
      <c r="C113" s="14">
        <v>50</v>
      </c>
      <c r="D113" s="14">
        <f t="shared" si="1"/>
        <v>50</v>
      </c>
    </row>
    <row r="114" ht="15" spans="1:4">
      <c r="A114" s="12" t="s">
        <v>80</v>
      </c>
      <c r="B114" s="13">
        <v>1</v>
      </c>
      <c r="C114" s="14">
        <v>50</v>
      </c>
      <c r="D114" s="14">
        <f t="shared" si="1"/>
        <v>50</v>
      </c>
    </row>
    <row r="115" ht="15" spans="1:4">
      <c r="A115" s="12" t="s">
        <v>81</v>
      </c>
      <c r="B115" s="13">
        <v>1</v>
      </c>
      <c r="C115" s="14">
        <v>50</v>
      </c>
      <c r="D115" s="14">
        <f t="shared" si="1"/>
        <v>50</v>
      </c>
    </row>
    <row r="116" ht="15" spans="1:4">
      <c r="A116" s="12" t="s">
        <v>82</v>
      </c>
      <c r="B116" s="13">
        <v>1</v>
      </c>
      <c r="C116" s="14">
        <v>50</v>
      </c>
      <c r="D116" s="14">
        <f t="shared" si="1"/>
        <v>50</v>
      </c>
    </row>
    <row r="117" ht="15" spans="1:4">
      <c r="A117" s="12" t="s">
        <v>83</v>
      </c>
      <c r="B117" s="13">
        <v>1</v>
      </c>
      <c r="C117" s="14">
        <v>50</v>
      </c>
      <c r="D117" s="14">
        <f t="shared" si="1"/>
        <v>50</v>
      </c>
    </row>
    <row r="118" ht="15" spans="1:4">
      <c r="A118" s="12" t="s">
        <v>84</v>
      </c>
      <c r="B118" s="13">
        <v>1</v>
      </c>
      <c r="C118" s="14">
        <v>50</v>
      </c>
      <c r="D118" s="14">
        <f t="shared" si="1"/>
        <v>50</v>
      </c>
    </row>
    <row r="119" ht="15" spans="1:4">
      <c r="A119" s="12" t="s">
        <v>85</v>
      </c>
      <c r="B119" s="13">
        <v>1</v>
      </c>
      <c r="C119" s="14">
        <v>77</v>
      </c>
      <c r="D119" s="14">
        <f t="shared" si="1"/>
        <v>77</v>
      </c>
    </row>
    <row r="120" ht="15" spans="1:4">
      <c r="A120" s="12" t="s">
        <v>86</v>
      </c>
      <c r="B120" s="13">
        <v>1</v>
      </c>
      <c r="C120" s="14">
        <v>368.5</v>
      </c>
      <c r="D120" s="14">
        <f t="shared" si="1"/>
        <v>368.5</v>
      </c>
    </row>
    <row r="121" ht="15" spans="1:4">
      <c r="A121" s="12" t="s">
        <v>68</v>
      </c>
      <c r="B121" s="13">
        <v>1</v>
      </c>
      <c r="C121" s="14">
        <v>17.2</v>
      </c>
      <c r="D121" s="14">
        <f t="shared" si="1"/>
        <v>17.2</v>
      </c>
    </row>
    <row r="122" ht="15" spans="1:4">
      <c r="A122" s="12" t="s">
        <v>37</v>
      </c>
      <c r="B122" s="13">
        <v>7</v>
      </c>
      <c r="C122" s="14">
        <v>16.5</v>
      </c>
      <c r="D122" s="14">
        <f t="shared" si="1"/>
        <v>115.5</v>
      </c>
    </row>
    <row r="123" ht="15" spans="1:4">
      <c r="A123" s="12" t="s">
        <v>87</v>
      </c>
      <c r="B123" s="13">
        <v>1</v>
      </c>
      <c r="C123" s="14">
        <v>17.2</v>
      </c>
      <c r="D123" s="14">
        <f t="shared" si="1"/>
        <v>17.2</v>
      </c>
    </row>
    <row r="124" ht="15" spans="1:4">
      <c r="A124" s="12" t="s">
        <v>88</v>
      </c>
      <c r="B124" s="13">
        <v>2</v>
      </c>
      <c r="C124" s="14">
        <v>16.5</v>
      </c>
      <c r="D124" s="14">
        <f t="shared" si="1"/>
        <v>33</v>
      </c>
    </row>
    <row r="125" ht="15" spans="1:4">
      <c r="A125" s="12" t="s">
        <v>89</v>
      </c>
      <c r="B125" s="13">
        <v>2</v>
      </c>
      <c r="C125" s="14">
        <v>14.2</v>
      </c>
      <c r="D125" s="14">
        <f t="shared" si="1"/>
        <v>28.4</v>
      </c>
    </row>
    <row r="126" ht="15" spans="1:4">
      <c r="A126" s="12" t="s">
        <v>41</v>
      </c>
      <c r="B126" s="13">
        <v>2</v>
      </c>
      <c r="C126" s="14">
        <v>27.5</v>
      </c>
      <c r="D126" s="14">
        <f t="shared" si="1"/>
        <v>55</v>
      </c>
    </row>
    <row r="127" ht="15" spans="1:4">
      <c r="A127" s="12" t="s">
        <v>43</v>
      </c>
      <c r="B127" s="13">
        <v>4</v>
      </c>
      <c r="C127" s="14">
        <v>16.5</v>
      </c>
      <c r="D127" s="14">
        <f t="shared" si="1"/>
        <v>66</v>
      </c>
    </row>
    <row r="128" ht="15" spans="1:4">
      <c r="A128" s="12" t="s">
        <v>44</v>
      </c>
      <c r="B128" s="13">
        <v>5</v>
      </c>
      <c r="C128" s="14">
        <v>16.5</v>
      </c>
      <c r="D128" s="14">
        <f t="shared" si="1"/>
        <v>82.5</v>
      </c>
    </row>
    <row r="129" ht="15" spans="1:4">
      <c r="A129" s="12" t="s">
        <v>90</v>
      </c>
      <c r="B129" s="13">
        <v>1</v>
      </c>
      <c r="C129" s="14">
        <v>16.5</v>
      </c>
      <c r="D129" s="14">
        <f t="shared" si="1"/>
        <v>16.5</v>
      </c>
    </row>
    <row r="130" ht="15" spans="1:4">
      <c r="A130" s="12" t="s">
        <v>47</v>
      </c>
      <c r="B130" s="13">
        <v>10</v>
      </c>
      <c r="C130" s="14">
        <v>22</v>
      </c>
      <c r="D130" s="14">
        <f t="shared" si="1"/>
        <v>220</v>
      </c>
    </row>
    <row r="131" ht="15" spans="1:4">
      <c r="A131" s="12" t="s">
        <v>91</v>
      </c>
      <c r="B131" s="13">
        <v>1</v>
      </c>
      <c r="C131" s="14">
        <v>16.5</v>
      </c>
      <c r="D131" s="14">
        <f t="shared" si="1"/>
        <v>16.5</v>
      </c>
    </row>
    <row r="132" ht="15" spans="1:4">
      <c r="A132" s="12" t="s">
        <v>92</v>
      </c>
      <c r="B132" s="13">
        <v>1</v>
      </c>
      <c r="C132" s="14">
        <v>44</v>
      </c>
      <c r="D132" s="14">
        <f t="shared" si="1"/>
        <v>44</v>
      </c>
    </row>
    <row r="133" ht="15" spans="1:4">
      <c r="A133" s="12" t="s">
        <v>93</v>
      </c>
      <c r="B133" s="13">
        <v>1</v>
      </c>
      <c r="C133" s="14">
        <v>44</v>
      </c>
      <c r="D133" s="14">
        <f t="shared" si="1"/>
        <v>44</v>
      </c>
    </row>
    <row r="134" ht="15" spans="1:4">
      <c r="A134" s="12" t="s">
        <v>94</v>
      </c>
      <c r="B134" s="13">
        <v>2</v>
      </c>
      <c r="C134" s="14">
        <v>35</v>
      </c>
      <c r="D134" s="14">
        <f t="shared" si="1"/>
        <v>70</v>
      </c>
    </row>
    <row r="135" ht="15" spans="1:4">
      <c r="A135" s="12" t="s">
        <v>95</v>
      </c>
      <c r="B135" s="13">
        <v>2</v>
      </c>
      <c r="C135" s="14">
        <v>35</v>
      </c>
      <c r="D135" s="14">
        <f t="shared" ref="D135:D198" si="2">C135*B135</f>
        <v>70</v>
      </c>
    </row>
    <row r="136" ht="15" spans="1:4">
      <c r="A136" s="12" t="s">
        <v>96</v>
      </c>
      <c r="B136" s="13">
        <v>2</v>
      </c>
      <c r="C136" s="14">
        <v>35</v>
      </c>
      <c r="D136" s="14">
        <f t="shared" si="2"/>
        <v>70</v>
      </c>
    </row>
    <row r="137" ht="15" spans="1:4">
      <c r="A137" s="12" t="s">
        <v>97</v>
      </c>
      <c r="B137" s="13">
        <v>1</v>
      </c>
      <c r="C137" s="14">
        <v>209</v>
      </c>
      <c r="D137" s="14">
        <f t="shared" si="2"/>
        <v>209</v>
      </c>
    </row>
    <row r="138" ht="15" spans="1:4">
      <c r="A138" s="12" t="s">
        <v>98</v>
      </c>
      <c r="B138" s="13">
        <v>1</v>
      </c>
      <c r="C138" s="14">
        <v>35</v>
      </c>
      <c r="D138" s="14">
        <f t="shared" si="2"/>
        <v>35</v>
      </c>
    </row>
    <row r="139" ht="15" spans="1:4">
      <c r="A139" s="15" t="s">
        <v>99</v>
      </c>
      <c r="B139" s="13">
        <v>1</v>
      </c>
      <c r="C139" s="14">
        <v>28</v>
      </c>
      <c r="D139" s="14">
        <f t="shared" si="2"/>
        <v>28</v>
      </c>
    </row>
    <row r="140" ht="15" spans="1:4">
      <c r="A140" s="12" t="s">
        <v>100</v>
      </c>
      <c r="B140" s="13">
        <v>1</v>
      </c>
      <c r="C140" s="14">
        <v>28</v>
      </c>
      <c r="D140" s="14">
        <f t="shared" si="2"/>
        <v>28</v>
      </c>
    </row>
    <row r="141" ht="15" spans="1:4">
      <c r="A141" s="12" t="s">
        <v>101</v>
      </c>
      <c r="B141" s="13">
        <v>1</v>
      </c>
      <c r="C141" s="14">
        <v>35</v>
      </c>
      <c r="D141" s="14">
        <f t="shared" si="2"/>
        <v>35</v>
      </c>
    </row>
    <row r="142" ht="15" spans="1:4">
      <c r="A142" s="12" t="s">
        <v>9</v>
      </c>
      <c r="B142" s="13">
        <v>1</v>
      </c>
      <c r="C142" s="14">
        <v>126.5</v>
      </c>
      <c r="D142" s="14">
        <f t="shared" si="2"/>
        <v>126.5</v>
      </c>
    </row>
    <row r="143" ht="15" spans="1:4">
      <c r="A143" s="12" t="s">
        <v>60</v>
      </c>
      <c r="B143" s="13">
        <v>2</v>
      </c>
      <c r="C143" s="14">
        <v>131.5</v>
      </c>
      <c r="D143" s="14">
        <f t="shared" si="2"/>
        <v>263</v>
      </c>
    </row>
    <row r="144" ht="15" spans="1:4">
      <c r="A144" s="12" t="s">
        <v>58</v>
      </c>
      <c r="B144" s="13">
        <v>1</v>
      </c>
      <c r="C144" s="14">
        <v>104</v>
      </c>
      <c r="D144" s="14">
        <f t="shared" si="2"/>
        <v>104</v>
      </c>
    </row>
    <row r="145" ht="15" spans="1:4">
      <c r="A145" s="12" t="s">
        <v>53</v>
      </c>
      <c r="B145" s="13">
        <v>1</v>
      </c>
      <c r="C145" s="14">
        <v>170</v>
      </c>
      <c r="D145" s="14">
        <f t="shared" si="2"/>
        <v>170</v>
      </c>
    </row>
    <row r="146" ht="15" spans="1:4">
      <c r="A146" s="12" t="s">
        <v>19</v>
      </c>
      <c r="B146" s="13">
        <v>1</v>
      </c>
      <c r="C146" s="14">
        <v>13.3</v>
      </c>
      <c r="D146" s="14">
        <f t="shared" si="2"/>
        <v>13.3</v>
      </c>
    </row>
    <row r="147" ht="15" spans="1:4">
      <c r="A147" s="12" t="s">
        <v>29</v>
      </c>
      <c r="B147" s="13">
        <v>2</v>
      </c>
      <c r="C147" s="14">
        <v>0</v>
      </c>
      <c r="D147" s="14">
        <f t="shared" si="2"/>
        <v>0</v>
      </c>
    </row>
    <row r="148" ht="15" spans="1:4">
      <c r="A148" s="12" t="s">
        <v>32</v>
      </c>
      <c r="B148" s="13">
        <v>1</v>
      </c>
      <c r="C148" s="14">
        <v>50</v>
      </c>
      <c r="D148" s="14">
        <f t="shared" si="2"/>
        <v>50</v>
      </c>
    </row>
    <row r="149" ht="15" spans="1:4">
      <c r="A149" s="12" t="s">
        <v>102</v>
      </c>
      <c r="B149" s="13">
        <v>1</v>
      </c>
      <c r="C149" s="14">
        <v>104.5</v>
      </c>
      <c r="D149" s="14">
        <f t="shared" si="2"/>
        <v>104.5</v>
      </c>
    </row>
    <row r="150" ht="15" spans="1:4">
      <c r="A150" s="12" t="s">
        <v>103</v>
      </c>
      <c r="B150" s="13">
        <v>1</v>
      </c>
      <c r="C150" s="14">
        <v>121</v>
      </c>
      <c r="D150" s="14">
        <f t="shared" si="2"/>
        <v>121</v>
      </c>
    </row>
    <row r="151" ht="15" spans="1:4">
      <c r="A151" s="12" t="s">
        <v>37</v>
      </c>
      <c r="B151" s="13">
        <v>4</v>
      </c>
      <c r="C151" s="14">
        <v>16.5</v>
      </c>
      <c r="D151" s="14">
        <f t="shared" si="2"/>
        <v>66</v>
      </c>
    </row>
    <row r="152" ht="15" spans="1:4">
      <c r="A152" s="12" t="s">
        <v>41</v>
      </c>
      <c r="B152" s="13">
        <v>1</v>
      </c>
      <c r="C152" s="14">
        <v>27.5</v>
      </c>
      <c r="D152" s="14">
        <f t="shared" si="2"/>
        <v>27.5</v>
      </c>
    </row>
    <row r="153" ht="15" spans="1:4">
      <c r="A153" s="12" t="s">
        <v>104</v>
      </c>
      <c r="B153" s="13">
        <v>1</v>
      </c>
      <c r="C153" s="14">
        <v>44</v>
      </c>
      <c r="D153" s="14">
        <f t="shared" si="2"/>
        <v>44</v>
      </c>
    </row>
    <row r="154" ht="15" spans="1:4">
      <c r="A154" s="12" t="s">
        <v>42</v>
      </c>
      <c r="B154" s="13">
        <v>2</v>
      </c>
      <c r="C154" s="14">
        <v>17.7</v>
      </c>
      <c r="D154" s="14">
        <f t="shared" si="2"/>
        <v>35.4</v>
      </c>
    </row>
    <row r="155" ht="15" spans="1:4">
      <c r="A155" s="12" t="s">
        <v>44</v>
      </c>
      <c r="B155" s="13">
        <v>2</v>
      </c>
      <c r="C155" s="14">
        <v>16.5</v>
      </c>
      <c r="D155" s="14">
        <f t="shared" si="2"/>
        <v>33</v>
      </c>
    </row>
    <row r="156" ht="15" spans="1:4">
      <c r="A156" s="12" t="s">
        <v>47</v>
      </c>
      <c r="B156" s="13">
        <v>4</v>
      </c>
      <c r="C156" s="14">
        <v>22</v>
      </c>
      <c r="D156" s="14">
        <f t="shared" si="2"/>
        <v>88</v>
      </c>
    </row>
    <row r="157" ht="15" spans="1:4">
      <c r="A157" s="12" t="s">
        <v>49</v>
      </c>
      <c r="B157" s="13">
        <v>1</v>
      </c>
      <c r="C157" s="14">
        <v>16.5</v>
      </c>
      <c r="D157" s="14">
        <f t="shared" si="2"/>
        <v>16.5</v>
      </c>
    </row>
    <row r="158" ht="15" spans="1:4">
      <c r="A158" s="12" t="s">
        <v>59</v>
      </c>
      <c r="B158" s="13">
        <v>1</v>
      </c>
      <c r="C158" s="14">
        <v>71</v>
      </c>
      <c r="D158" s="14">
        <f t="shared" si="2"/>
        <v>71</v>
      </c>
    </row>
    <row r="159" ht="15" spans="1:4">
      <c r="A159" s="12" t="s">
        <v>55</v>
      </c>
      <c r="B159" s="13">
        <v>2</v>
      </c>
      <c r="C159" s="14">
        <v>197.5</v>
      </c>
      <c r="D159" s="14">
        <f t="shared" si="2"/>
        <v>395</v>
      </c>
    </row>
    <row r="160" ht="15" spans="1:4">
      <c r="A160" s="12" t="s">
        <v>52</v>
      </c>
      <c r="B160" s="13">
        <v>1</v>
      </c>
      <c r="C160" s="14">
        <v>120.5</v>
      </c>
      <c r="D160" s="14">
        <f t="shared" si="2"/>
        <v>120.5</v>
      </c>
    </row>
    <row r="161" ht="15" spans="1:4">
      <c r="A161" s="12" t="s">
        <v>10</v>
      </c>
      <c r="B161" s="13">
        <v>1</v>
      </c>
      <c r="C161" s="14">
        <v>159</v>
      </c>
      <c r="D161" s="14">
        <f t="shared" si="2"/>
        <v>159</v>
      </c>
    </row>
    <row r="162" ht="15" spans="1:4">
      <c r="A162" s="12" t="s">
        <v>60</v>
      </c>
      <c r="B162" s="13">
        <v>1</v>
      </c>
      <c r="C162" s="14">
        <v>131.5</v>
      </c>
      <c r="D162" s="14">
        <f t="shared" si="2"/>
        <v>131.5</v>
      </c>
    </row>
    <row r="163" ht="15" spans="1:4">
      <c r="A163" s="12" t="s">
        <v>57</v>
      </c>
      <c r="B163" s="13">
        <v>1</v>
      </c>
      <c r="C163" s="14">
        <v>115</v>
      </c>
      <c r="D163" s="14">
        <f t="shared" si="2"/>
        <v>115</v>
      </c>
    </row>
    <row r="164" ht="15" spans="1:4">
      <c r="A164" s="12" t="s">
        <v>58</v>
      </c>
      <c r="B164" s="13">
        <v>1</v>
      </c>
      <c r="C164" s="14">
        <v>104</v>
      </c>
      <c r="D164" s="14">
        <f t="shared" si="2"/>
        <v>104</v>
      </c>
    </row>
    <row r="165" ht="15" spans="1:4">
      <c r="A165" s="12" t="s">
        <v>11</v>
      </c>
      <c r="B165" s="13">
        <v>2</v>
      </c>
      <c r="C165" s="14">
        <v>159</v>
      </c>
      <c r="D165" s="14">
        <f t="shared" si="2"/>
        <v>318</v>
      </c>
    </row>
    <row r="166" ht="15" spans="1:4">
      <c r="A166" s="12" t="s">
        <v>37</v>
      </c>
      <c r="B166" s="13">
        <v>3</v>
      </c>
      <c r="C166" s="14">
        <v>16.5</v>
      </c>
      <c r="D166" s="14">
        <f t="shared" si="2"/>
        <v>49.5</v>
      </c>
    </row>
    <row r="167" ht="15" spans="1:4">
      <c r="A167" s="12" t="s">
        <v>42</v>
      </c>
      <c r="B167" s="13">
        <v>1</v>
      </c>
      <c r="C167" s="14">
        <v>17.7</v>
      </c>
      <c r="D167" s="14">
        <f t="shared" si="2"/>
        <v>17.7</v>
      </c>
    </row>
    <row r="168" ht="15" spans="1:4">
      <c r="A168" s="12" t="s">
        <v>43</v>
      </c>
      <c r="B168" s="13">
        <v>2</v>
      </c>
      <c r="C168" s="14">
        <v>16.5</v>
      </c>
      <c r="D168" s="14">
        <f t="shared" si="2"/>
        <v>33</v>
      </c>
    </row>
    <row r="169" ht="15" spans="1:4">
      <c r="A169" s="12" t="s">
        <v>105</v>
      </c>
      <c r="B169" s="13">
        <v>1</v>
      </c>
      <c r="C169" s="14">
        <v>9.2</v>
      </c>
      <c r="D169" s="14">
        <f t="shared" si="2"/>
        <v>9.2</v>
      </c>
    </row>
    <row r="170" ht="15" spans="1:4">
      <c r="A170" s="12" t="s">
        <v>106</v>
      </c>
      <c r="B170" s="13">
        <v>1</v>
      </c>
      <c r="C170" s="14">
        <v>16.5</v>
      </c>
      <c r="D170" s="14">
        <f t="shared" si="2"/>
        <v>16.5</v>
      </c>
    </row>
    <row r="171" ht="15" spans="1:4">
      <c r="A171" s="12" t="s">
        <v>107</v>
      </c>
      <c r="B171" s="13">
        <v>1</v>
      </c>
      <c r="C171" s="14">
        <v>9.2</v>
      </c>
      <c r="D171" s="14">
        <f t="shared" si="2"/>
        <v>9.2</v>
      </c>
    </row>
    <row r="172" ht="15" spans="1:4">
      <c r="A172" s="12" t="s">
        <v>47</v>
      </c>
      <c r="B172" s="13">
        <v>5</v>
      </c>
      <c r="C172" s="14">
        <v>22</v>
      </c>
      <c r="D172" s="14">
        <f t="shared" si="2"/>
        <v>110</v>
      </c>
    </row>
    <row r="173" ht="15" spans="1:4">
      <c r="A173" s="12" t="s">
        <v>108</v>
      </c>
      <c r="B173" s="13">
        <v>1</v>
      </c>
      <c r="C173" s="14">
        <v>12.2</v>
      </c>
      <c r="D173" s="14">
        <f t="shared" si="2"/>
        <v>12.2</v>
      </c>
    </row>
    <row r="174" ht="15" spans="1:4">
      <c r="A174" s="12" t="s">
        <v>109</v>
      </c>
      <c r="B174" s="13">
        <v>1</v>
      </c>
      <c r="C174" s="14">
        <v>9.2</v>
      </c>
      <c r="D174" s="14">
        <f t="shared" si="2"/>
        <v>9.2</v>
      </c>
    </row>
    <row r="175" ht="15" spans="1:4">
      <c r="A175" s="12" t="s">
        <v>49</v>
      </c>
      <c r="B175" s="13">
        <v>1</v>
      </c>
      <c r="C175" s="14">
        <v>16.5</v>
      </c>
      <c r="D175" s="14">
        <f t="shared" si="2"/>
        <v>16.5</v>
      </c>
    </row>
    <row r="176" ht="15" spans="1:4">
      <c r="A176" s="12" t="s">
        <v>55</v>
      </c>
      <c r="B176" s="13">
        <v>2</v>
      </c>
      <c r="C176" s="14">
        <v>197.5</v>
      </c>
      <c r="D176" s="14">
        <f t="shared" si="2"/>
        <v>395</v>
      </c>
    </row>
    <row r="177" ht="15" spans="1:4">
      <c r="A177" s="12" t="s">
        <v>110</v>
      </c>
      <c r="B177" s="13">
        <v>1</v>
      </c>
      <c r="C177" s="14">
        <v>82</v>
      </c>
      <c r="D177" s="14">
        <f t="shared" si="2"/>
        <v>82</v>
      </c>
    </row>
    <row r="178" ht="15" spans="1:4">
      <c r="A178" s="15" t="s">
        <v>111</v>
      </c>
      <c r="B178" s="13">
        <v>1</v>
      </c>
      <c r="C178" s="14">
        <v>55</v>
      </c>
      <c r="D178" s="14">
        <f t="shared" si="2"/>
        <v>55</v>
      </c>
    </row>
    <row r="179" ht="15" spans="1:4">
      <c r="A179" s="15" t="s">
        <v>112</v>
      </c>
      <c r="B179" s="13">
        <v>1</v>
      </c>
      <c r="C179" s="14">
        <v>231</v>
      </c>
      <c r="D179" s="14">
        <f t="shared" si="2"/>
        <v>231</v>
      </c>
    </row>
    <row r="180" ht="15" spans="1:4">
      <c r="A180" s="12" t="s">
        <v>37</v>
      </c>
      <c r="B180" s="13">
        <v>3</v>
      </c>
      <c r="C180" s="14">
        <v>16.5</v>
      </c>
      <c r="D180" s="14">
        <f t="shared" si="2"/>
        <v>49.5</v>
      </c>
    </row>
    <row r="181" ht="15" spans="1:4">
      <c r="A181" s="12" t="s">
        <v>40</v>
      </c>
      <c r="B181" s="13">
        <v>1</v>
      </c>
      <c r="C181" s="14">
        <v>14.2</v>
      </c>
      <c r="D181" s="14">
        <f t="shared" si="2"/>
        <v>14.2</v>
      </c>
    </row>
    <row r="182" ht="15" spans="1:4">
      <c r="A182" s="12" t="s">
        <v>113</v>
      </c>
      <c r="B182" s="13">
        <v>1</v>
      </c>
      <c r="C182" s="14">
        <v>17.2</v>
      </c>
      <c r="D182" s="14">
        <f t="shared" si="2"/>
        <v>17.2</v>
      </c>
    </row>
    <row r="183" ht="15" spans="1:4">
      <c r="A183" s="12" t="s">
        <v>114</v>
      </c>
      <c r="B183" s="13">
        <v>1</v>
      </c>
      <c r="C183" s="14">
        <v>17.2</v>
      </c>
      <c r="D183" s="14">
        <f t="shared" si="2"/>
        <v>17.2</v>
      </c>
    </row>
    <row r="184" ht="15" spans="1:4">
      <c r="A184" s="12" t="s">
        <v>88</v>
      </c>
      <c r="B184" s="13">
        <v>1</v>
      </c>
      <c r="C184" s="14">
        <v>16.5</v>
      </c>
      <c r="D184" s="14">
        <f t="shared" si="2"/>
        <v>16.5</v>
      </c>
    </row>
    <row r="185" ht="15" spans="1:4">
      <c r="A185" s="12" t="s">
        <v>89</v>
      </c>
      <c r="B185" s="13">
        <v>1</v>
      </c>
      <c r="C185" s="14">
        <v>14.2</v>
      </c>
      <c r="D185" s="14">
        <f t="shared" si="2"/>
        <v>14.2</v>
      </c>
    </row>
    <row r="186" ht="15" spans="1:4">
      <c r="A186" s="12" t="s">
        <v>115</v>
      </c>
      <c r="B186" s="13">
        <v>1</v>
      </c>
      <c r="C186" s="14">
        <v>14.7</v>
      </c>
      <c r="D186" s="14">
        <f t="shared" si="2"/>
        <v>14.7</v>
      </c>
    </row>
    <row r="187" ht="15" spans="1:4">
      <c r="A187" s="12" t="s">
        <v>41</v>
      </c>
      <c r="B187" s="13">
        <v>1</v>
      </c>
      <c r="C187" s="14">
        <v>27.5</v>
      </c>
      <c r="D187" s="14">
        <f t="shared" si="2"/>
        <v>27.5</v>
      </c>
    </row>
    <row r="188" ht="15" spans="1:4">
      <c r="A188" s="12" t="s">
        <v>42</v>
      </c>
      <c r="B188" s="13">
        <v>1</v>
      </c>
      <c r="C188" s="14">
        <v>17.7</v>
      </c>
      <c r="D188" s="14">
        <f t="shared" si="2"/>
        <v>17.7</v>
      </c>
    </row>
    <row r="189" ht="15" spans="1:4">
      <c r="A189" s="12" t="s">
        <v>43</v>
      </c>
      <c r="B189" s="13">
        <v>2</v>
      </c>
      <c r="C189" s="14">
        <v>16.5</v>
      </c>
      <c r="D189" s="14">
        <f t="shared" si="2"/>
        <v>33</v>
      </c>
    </row>
    <row r="190" ht="15" spans="1:4">
      <c r="A190" s="12" t="s">
        <v>44</v>
      </c>
      <c r="B190" s="13">
        <v>3</v>
      </c>
      <c r="C190" s="14">
        <v>16.5</v>
      </c>
      <c r="D190" s="14">
        <f t="shared" si="2"/>
        <v>49.5</v>
      </c>
    </row>
    <row r="191" ht="15" spans="1:4">
      <c r="A191" s="12" t="s">
        <v>45</v>
      </c>
      <c r="B191" s="13">
        <v>1</v>
      </c>
      <c r="C191" s="14">
        <v>16.5</v>
      </c>
      <c r="D191" s="14">
        <f t="shared" si="2"/>
        <v>16.5</v>
      </c>
    </row>
    <row r="192" ht="15" spans="1:4">
      <c r="A192" s="12" t="s">
        <v>47</v>
      </c>
      <c r="B192" s="13">
        <v>7</v>
      </c>
      <c r="C192" s="14">
        <v>22</v>
      </c>
      <c r="D192" s="14">
        <f t="shared" si="2"/>
        <v>154</v>
      </c>
    </row>
    <row r="193" ht="15" spans="1:4">
      <c r="A193" s="12" t="s">
        <v>48</v>
      </c>
      <c r="B193" s="13">
        <v>1</v>
      </c>
      <c r="C193" s="14">
        <v>38.5</v>
      </c>
      <c r="D193" s="14">
        <f t="shared" si="2"/>
        <v>38.5</v>
      </c>
    </row>
    <row r="194" ht="15" spans="1:4">
      <c r="A194" s="12" t="s">
        <v>69</v>
      </c>
      <c r="B194" s="13">
        <v>1</v>
      </c>
      <c r="C194" s="14">
        <v>9.2</v>
      </c>
      <c r="D194" s="14">
        <f t="shared" si="2"/>
        <v>9.2</v>
      </c>
    </row>
    <row r="195" ht="15" spans="1:4">
      <c r="A195" s="12" t="s">
        <v>9</v>
      </c>
      <c r="B195" s="13">
        <v>2</v>
      </c>
      <c r="C195" s="14">
        <v>126.5</v>
      </c>
      <c r="D195" s="14">
        <f t="shared" si="2"/>
        <v>253</v>
      </c>
    </row>
    <row r="196" ht="15" spans="1:4">
      <c r="A196" s="12" t="s">
        <v>59</v>
      </c>
      <c r="B196" s="13">
        <v>1</v>
      </c>
      <c r="C196" s="14">
        <v>71</v>
      </c>
      <c r="D196" s="14">
        <f t="shared" si="2"/>
        <v>71</v>
      </c>
    </row>
    <row r="197" ht="15" spans="1:4">
      <c r="A197" s="12" t="s">
        <v>55</v>
      </c>
      <c r="B197" s="13">
        <v>2</v>
      </c>
      <c r="C197" s="14">
        <v>197.5</v>
      </c>
      <c r="D197" s="14">
        <f t="shared" si="2"/>
        <v>395</v>
      </c>
    </row>
    <row r="198" ht="15" spans="1:4">
      <c r="A198" s="12" t="s">
        <v>10</v>
      </c>
      <c r="B198" s="13">
        <v>1</v>
      </c>
      <c r="C198" s="14">
        <v>159</v>
      </c>
      <c r="D198" s="14">
        <f t="shared" si="2"/>
        <v>159</v>
      </c>
    </row>
    <row r="199" ht="15" spans="1:4">
      <c r="A199" s="12" t="s">
        <v>61</v>
      </c>
      <c r="B199" s="13">
        <v>1</v>
      </c>
      <c r="C199" s="14">
        <v>60.5</v>
      </c>
      <c r="D199" s="14">
        <f t="shared" ref="D199:D262" si="3">C199*B199</f>
        <v>60.5</v>
      </c>
    </row>
    <row r="200" ht="15" spans="1:4">
      <c r="A200" s="12" t="s">
        <v>11</v>
      </c>
      <c r="B200" s="13">
        <v>1</v>
      </c>
      <c r="C200" s="14">
        <v>159</v>
      </c>
      <c r="D200" s="14">
        <f t="shared" si="3"/>
        <v>159</v>
      </c>
    </row>
    <row r="201" ht="15" spans="1:4">
      <c r="A201" s="12" t="s">
        <v>53</v>
      </c>
      <c r="B201" s="13">
        <v>1</v>
      </c>
      <c r="C201" s="14">
        <v>170</v>
      </c>
      <c r="D201" s="14">
        <f t="shared" si="3"/>
        <v>170</v>
      </c>
    </row>
    <row r="202" ht="15" spans="1:4">
      <c r="A202" s="12" t="s">
        <v>74</v>
      </c>
      <c r="B202" s="13">
        <v>1</v>
      </c>
      <c r="C202" s="14">
        <v>22.3</v>
      </c>
      <c r="D202" s="14">
        <f t="shared" si="3"/>
        <v>22.3</v>
      </c>
    </row>
    <row r="203" ht="15" spans="1:4">
      <c r="A203" s="12" t="s">
        <v>15</v>
      </c>
      <c r="B203" s="13">
        <v>1</v>
      </c>
      <c r="C203" s="14">
        <v>27.8</v>
      </c>
      <c r="D203" s="14">
        <f t="shared" si="3"/>
        <v>27.8</v>
      </c>
    </row>
    <row r="204" ht="15" spans="1:4">
      <c r="A204" s="12" t="s">
        <v>19</v>
      </c>
      <c r="B204" s="13">
        <v>6</v>
      </c>
      <c r="C204" s="14">
        <v>13.3</v>
      </c>
      <c r="D204" s="14">
        <f t="shared" si="3"/>
        <v>79.8</v>
      </c>
    </row>
    <row r="205" ht="15" spans="1:4">
      <c r="A205" s="12" t="s">
        <v>116</v>
      </c>
      <c r="B205" s="13">
        <v>3</v>
      </c>
      <c r="C205" s="14">
        <v>8.3</v>
      </c>
      <c r="D205" s="14">
        <f t="shared" si="3"/>
        <v>24.9</v>
      </c>
    </row>
    <row r="206" ht="15" spans="1:4">
      <c r="A206" s="12" t="s">
        <v>28</v>
      </c>
      <c r="B206" s="13">
        <v>10</v>
      </c>
      <c r="C206" s="14">
        <v>0</v>
      </c>
      <c r="D206" s="14">
        <f t="shared" si="3"/>
        <v>0</v>
      </c>
    </row>
    <row r="207" ht="15" spans="1:4">
      <c r="A207" s="12" t="s">
        <v>29</v>
      </c>
      <c r="B207" s="13">
        <v>5</v>
      </c>
      <c r="C207" s="14">
        <v>0</v>
      </c>
      <c r="D207" s="14">
        <f t="shared" si="3"/>
        <v>0</v>
      </c>
    </row>
    <row r="208" ht="15" spans="1:4">
      <c r="A208" s="12" t="s">
        <v>80</v>
      </c>
      <c r="B208" s="13">
        <v>1</v>
      </c>
      <c r="C208" s="14">
        <v>50</v>
      </c>
      <c r="D208" s="14">
        <f t="shared" si="3"/>
        <v>50</v>
      </c>
    </row>
    <row r="209" ht="15" spans="1:4">
      <c r="A209" s="12" t="s">
        <v>32</v>
      </c>
      <c r="B209" s="13">
        <v>1</v>
      </c>
      <c r="C209" s="14">
        <v>50</v>
      </c>
      <c r="D209" s="14">
        <f t="shared" si="3"/>
        <v>50</v>
      </c>
    </row>
    <row r="210" ht="15" spans="1:4">
      <c r="A210" s="12" t="s">
        <v>117</v>
      </c>
      <c r="B210" s="13">
        <v>1</v>
      </c>
      <c r="C210" s="14">
        <v>50</v>
      </c>
      <c r="D210" s="14">
        <f t="shared" si="3"/>
        <v>50</v>
      </c>
    </row>
    <row r="211" ht="15" spans="1:4">
      <c r="A211" s="12" t="s">
        <v>118</v>
      </c>
      <c r="B211" s="13">
        <v>1</v>
      </c>
      <c r="C211" s="14">
        <v>77.5</v>
      </c>
      <c r="D211" s="14">
        <f t="shared" si="3"/>
        <v>77.5</v>
      </c>
    </row>
    <row r="212" ht="15" spans="1:4">
      <c r="A212" s="12" t="s">
        <v>34</v>
      </c>
      <c r="B212" s="13">
        <v>1</v>
      </c>
      <c r="C212" s="14">
        <v>66.5</v>
      </c>
      <c r="D212" s="14">
        <f t="shared" si="3"/>
        <v>66.5</v>
      </c>
    </row>
    <row r="213" ht="15" spans="1:4">
      <c r="A213" s="15" t="s">
        <v>119</v>
      </c>
      <c r="B213" s="13">
        <v>1</v>
      </c>
      <c r="C213" s="14">
        <v>121</v>
      </c>
      <c r="D213" s="14">
        <f t="shared" si="3"/>
        <v>121</v>
      </c>
    </row>
    <row r="214" ht="15" spans="1:4">
      <c r="A214" s="15" t="s">
        <v>120</v>
      </c>
      <c r="B214" s="13">
        <v>1</v>
      </c>
      <c r="C214" s="14">
        <v>16.5</v>
      </c>
      <c r="D214" s="14">
        <f t="shared" si="3"/>
        <v>16.5</v>
      </c>
    </row>
    <row r="215" ht="15" spans="1:4">
      <c r="A215" s="12" t="s">
        <v>121</v>
      </c>
      <c r="B215" s="13">
        <v>1</v>
      </c>
      <c r="C215" s="14">
        <v>220</v>
      </c>
      <c r="D215" s="14">
        <f t="shared" si="3"/>
        <v>220</v>
      </c>
    </row>
    <row r="216" ht="15" spans="1:4">
      <c r="A216" s="12" t="s">
        <v>122</v>
      </c>
      <c r="B216" s="13">
        <v>1</v>
      </c>
      <c r="C216" s="14">
        <v>71.5</v>
      </c>
      <c r="D216" s="14">
        <f t="shared" si="3"/>
        <v>71.5</v>
      </c>
    </row>
    <row r="217" ht="15" spans="1:4">
      <c r="A217" s="12" t="s">
        <v>123</v>
      </c>
      <c r="B217" s="13">
        <v>1</v>
      </c>
      <c r="C217" s="14">
        <v>60.5</v>
      </c>
      <c r="D217" s="14">
        <f t="shared" si="3"/>
        <v>60.5</v>
      </c>
    </row>
    <row r="218" ht="15" spans="1:4">
      <c r="A218" s="12" t="s">
        <v>124</v>
      </c>
      <c r="B218" s="13">
        <v>1</v>
      </c>
      <c r="C218" s="14">
        <v>16.5</v>
      </c>
      <c r="D218" s="14">
        <f t="shared" si="3"/>
        <v>16.5</v>
      </c>
    </row>
    <row r="219" ht="15" spans="1:4">
      <c r="A219" s="12" t="s">
        <v>68</v>
      </c>
      <c r="B219" s="13">
        <v>1</v>
      </c>
      <c r="C219" s="14">
        <v>17.2</v>
      </c>
      <c r="D219" s="14">
        <f t="shared" si="3"/>
        <v>17.2</v>
      </c>
    </row>
    <row r="220" ht="15" spans="1:4">
      <c r="A220" s="12" t="s">
        <v>37</v>
      </c>
      <c r="B220" s="13">
        <v>5</v>
      </c>
      <c r="C220" s="14">
        <v>16.5</v>
      </c>
      <c r="D220" s="14">
        <f t="shared" si="3"/>
        <v>82.5</v>
      </c>
    </row>
    <row r="221" ht="15" spans="1:4">
      <c r="A221" s="12" t="s">
        <v>42</v>
      </c>
      <c r="B221" s="13">
        <v>1</v>
      </c>
      <c r="C221" s="14">
        <v>17.7</v>
      </c>
      <c r="D221" s="14">
        <f t="shared" si="3"/>
        <v>17.7</v>
      </c>
    </row>
    <row r="222" ht="15" spans="1:4">
      <c r="A222" s="12" t="s">
        <v>43</v>
      </c>
      <c r="B222" s="13">
        <v>5</v>
      </c>
      <c r="C222" s="14">
        <v>16.5</v>
      </c>
      <c r="D222" s="14">
        <f t="shared" si="3"/>
        <v>82.5</v>
      </c>
    </row>
    <row r="223" ht="15" spans="1:4">
      <c r="A223" s="12" t="s">
        <v>44</v>
      </c>
      <c r="B223" s="13">
        <v>2</v>
      </c>
      <c r="C223" s="14">
        <v>16.5</v>
      </c>
      <c r="D223" s="14">
        <f t="shared" si="3"/>
        <v>33</v>
      </c>
    </row>
    <row r="224" ht="15" spans="1:4">
      <c r="A224" s="12" t="s">
        <v>125</v>
      </c>
      <c r="B224" s="13">
        <v>1</v>
      </c>
      <c r="C224" s="14">
        <v>17.2</v>
      </c>
      <c r="D224" s="14">
        <f t="shared" si="3"/>
        <v>17.2</v>
      </c>
    </row>
    <row r="225" ht="15" spans="1:4">
      <c r="A225" s="12" t="s">
        <v>126</v>
      </c>
      <c r="B225" s="13">
        <v>1</v>
      </c>
      <c r="C225" s="14">
        <v>22</v>
      </c>
      <c r="D225" s="14">
        <f t="shared" si="3"/>
        <v>22</v>
      </c>
    </row>
    <row r="226" ht="15" spans="1:4">
      <c r="A226" s="12" t="s">
        <v>105</v>
      </c>
      <c r="B226" s="13">
        <v>1</v>
      </c>
      <c r="C226" s="14">
        <v>9.2</v>
      </c>
      <c r="D226" s="14">
        <f t="shared" si="3"/>
        <v>9.2</v>
      </c>
    </row>
    <row r="227" ht="15" spans="1:4">
      <c r="A227" s="12" t="s">
        <v>46</v>
      </c>
      <c r="B227" s="13">
        <v>1</v>
      </c>
      <c r="C227" s="14">
        <v>12.2</v>
      </c>
      <c r="D227" s="14">
        <f t="shared" si="3"/>
        <v>12.2</v>
      </c>
    </row>
    <row r="228" ht="15" spans="1:4">
      <c r="A228" s="12" t="s">
        <v>47</v>
      </c>
      <c r="B228" s="13">
        <v>7</v>
      </c>
      <c r="C228" s="14">
        <v>22</v>
      </c>
      <c r="D228" s="14">
        <f t="shared" si="3"/>
        <v>154</v>
      </c>
    </row>
    <row r="229" ht="15" spans="1:4">
      <c r="A229" s="12" t="s">
        <v>108</v>
      </c>
      <c r="B229" s="13">
        <v>1</v>
      </c>
      <c r="C229" s="14">
        <v>12.2</v>
      </c>
      <c r="D229" s="14">
        <f t="shared" si="3"/>
        <v>12.2</v>
      </c>
    </row>
    <row r="230" ht="15" spans="1:4">
      <c r="A230" s="12" t="s">
        <v>93</v>
      </c>
      <c r="B230" s="13">
        <v>1</v>
      </c>
      <c r="C230" s="14">
        <v>44</v>
      </c>
      <c r="D230" s="14">
        <f t="shared" si="3"/>
        <v>44</v>
      </c>
    </row>
    <row r="231" ht="15" spans="1:4">
      <c r="A231" s="12" t="s">
        <v>94</v>
      </c>
      <c r="B231" s="13">
        <v>1</v>
      </c>
      <c r="C231" s="14">
        <v>35</v>
      </c>
      <c r="D231" s="14">
        <f t="shared" si="3"/>
        <v>35</v>
      </c>
    </row>
    <row r="232" ht="15" spans="1:4">
      <c r="A232" s="12" t="s">
        <v>95</v>
      </c>
      <c r="B232" s="13">
        <v>1</v>
      </c>
      <c r="C232" s="14">
        <v>35</v>
      </c>
      <c r="D232" s="14">
        <f t="shared" si="3"/>
        <v>35</v>
      </c>
    </row>
    <row r="233" ht="15" spans="1:4">
      <c r="A233" s="12" t="s">
        <v>96</v>
      </c>
      <c r="B233" s="13">
        <v>2</v>
      </c>
      <c r="C233" s="14">
        <v>35</v>
      </c>
      <c r="D233" s="14">
        <f t="shared" si="3"/>
        <v>70</v>
      </c>
    </row>
    <row r="234" ht="15" spans="1:4">
      <c r="A234" s="15" t="s">
        <v>99</v>
      </c>
      <c r="B234" s="13">
        <v>1</v>
      </c>
      <c r="C234" s="14">
        <v>28</v>
      </c>
      <c r="D234" s="14">
        <f t="shared" si="3"/>
        <v>28</v>
      </c>
    </row>
    <row r="235" ht="15" spans="1:4">
      <c r="A235" s="12" t="s">
        <v>101</v>
      </c>
      <c r="B235" s="13">
        <v>1</v>
      </c>
      <c r="C235" s="14">
        <v>35</v>
      </c>
      <c r="D235" s="14">
        <f t="shared" si="3"/>
        <v>35</v>
      </c>
    </row>
    <row r="236" ht="15" spans="1:4">
      <c r="A236" s="12" t="s">
        <v>11</v>
      </c>
      <c r="B236" s="13">
        <v>1</v>
      </c>
      <c r="C236" s="14">
        <v>159</v>
      </c>
      <c r="D236" s="14">
        <f t="shared" si="3"/>
        <v>159</v>
      </c>
    </row>
    <row r="237" ht="15" spans="1:4">
      <c r="A237" s="12" t="s">
        <v>37</v>
      </c>
      <c r="B237" s="13">
        <v>1</v>
      </c>
      <c r="C237" s="14">
        <v>16.5</v>
      </c>
      <c r="D237" s="14">
        <f t="shared" si="3"/>
        <v>16.5</v>
      </c>
    </row>
    <row r="238" ht="15" spans="1:4">
      <c r="A238" s="12" t="s">
        <v>43</v>
      </c>
      <c r="B238" s="13">
        <v>1</v>
      </c>
      <c r="C238" s="14">
        <v>16.5</v>
      </c>
      <c r="D238" s="14">
        <f t="shared" si="3"/>
        <v>16.5</v>
      </c>
    </row>
    <row r="239" ht="15" spans="1:4">
      <c r="A239" s="12" t="s">
        <v>47</v>
      </c>
      <c r="B239" s="13">
        <v>1</v>
      </c>
      <c r="C239" s="14">
        <v>22</v>
      </c>
      <c r="D239" s="14">
        <f t="shared" si="3"/>
        <v>22</v>
      </c>
    </row>
    <row r="240" ht="15" spans="1:4">
      <c r="A240" s="12" t="s">
        <v>9</v>
      </c>
      <c r="B240" s="13">
        <v>1</v>
      </c>
      <c r="C240" s="14">
        <v>126.5</v>
      </c>
      <c r="D240" s="14">
        <f t="shared" si="3"/>
        <v>126.5</v>
      </c>
    </row>
    <row r="241" ht="15" spans="1:4">
      <c r="A241" s="12" t="s">
        <v>55</v>
      </c>
      <c r="B241" s="13">
        <v>2</v>
      </c>
      <c r="C241" s="14">
        <v>197.5</v>
      </c>
      <c r="D241" s="14">
        <f t="shared" si="3"/>
        <v>395</v>
      </c>
    </row>
    <row r="242" ht="15" spans="1:4">
      <c r="A242" s="12" t="s">
        <v>52</v>
      </c>
      <c r="B242" s="13">
        <v>2</v>
      </c>
      <c r="C242" s="14">
        <v>120.5</v>
      </c>
      <c r="D242" s="14">
        <f t="shared" si="3"/>
        <v>241</v>
      </c>
    </row>
    <row r="243" ht="15" spans="1:4">
      <c r="A243" s="12" t="s">
        <v>10</v>
      </c>
      <c r="B243" s="13">
        <v>1</v>
      </c>
      <c r="C243" s="14">
        <v>159</v>
      </c>
      <c r="D243" s="14">
        <f t="shared" si="3"/>
        <v>159</v>
      </c>
    </row>
    <row r="244" ht="15" spans="1:4">
      <c r="A244" s="12" t="s">
        <v>127</v>
      </c>
      <c r="B244" s="13">
        <v>1</v>
      </c>
      <c r="C244" s="14">
        <v>104</v>
      </c>
      <c r="D244" s="14">
        <f t="shared" si="3"/>
        <v>104</v>
      </c>
    </row>
    <row r="245" ht="15" spans="1:4">
      <c r="A245" s="12" t="s">
        <v>58</v>
      </c>
      <c r="B245" s="13">
        <v>1</v>
      </c>
      <c r="C245" s="14">
        <v>104</v>
      </c>
      <c r="D245" s="14">
        <f t="shared" si="3"/>
        <v>104</v>
      </c>
    </row>
    <row r="246" ht="15" spans="1:4">
      <c r="A246" s="12" t="s">
        <v>11</v>
      </c>
      <c r="B246" s="13">
        <v>3</v>
      </c>
      <c r="C246" s="14">
        <v>159</v>
      </c>
      <c r="D246" s="14">
        <f t="shared" si="3"/>
        <v>477</v>
      </c>
    </row>
    <row r="247" ht="15" spans="1:4">
      <c r="A247" s="12" t="s">
        <v>53</v>
      </c>
      <c r="B247" s="13">
        <v>1</v>
      </c>
      <c r="C247" s="14">
        <v>170</v>
      </c>
      <c r="D247" s="14">
        <f t="shared" si="3"/>
        <v>170</v>
      </c>
    </row>
    <row r="248" ht="15" spans="1:4">
      <c r="A248" s="12" t="s">
        <v>28</v>
      </c>
      <c r="B248" s="13">
        <v>3</v>
      </c>
      <c r="C248" s="14">
        <v>0</v>
      </c>
      <c r="D248" s="14">
        <f t="shared" si="3"/>
        <v>0</v>
      </c>
    </row>
    <row r="249" ht="15" spans="1:4">
      <c r="A249" s="12" t="s">
        <v>68</v>
      </c>
      <c r="B249" s="13">
        <v>1</v>
      </c>
      <c r="C249" s="14">
        <v>17.2</v>
      </c>
      <c r="D249" s="14">
        <f t="shared" si="3"/>
        <v>17.2</v>
      </c>
    </row>
    <row r="250" ht="15" spans="1:4">
      <c r="A250" s="12" t="s">
        <v>37</v>
      </c>
      <c r="B250" s="13">
        <v>4</v>
      </c>
      <c r="C250" s="14">
        <v>16.5</v>
      </c>
      <c r="D250" s="14">
        <f t="shared" si="3"/>
        <v>66</v>
      </c>
    </row>
    <row r="251" ht="15" spans="1:4">
      <c r="A251" s="12" t="s">
        <v>54</v>
      </c>
      <c r="B251" s="13">
        <v>1</v>
      </c>
      <c r="C251" s="14">
        <v>12.2</v>
      </c>
      <c r="D251" s="14">
        <f t="shared" si="3"/>
        <v>12.2</v>
      </c>
    </row>
    <row r="252" ht="15" spans="1:4">
      <c r="A252" s="12" t="s">
        <v>128</v>
      </c>
      <c r="B252" s="13">
        <v>1</v>
      </c>
      <c r="C252" s="14">
        <v>17.2</v>
      </c>
      <c r="D252" s="14">
        <f t="shared" si="3"/>
        <v>17.2</v>
      </c>
    </row>
    <row r="253" ht="15" spans="1:4">
      <c r="A253" s="12" t="s">
        <v>40</v>
      </c>
      <c r="B253" s="13">
        <v>2</v>
      </c>
      <c r="C253" s="14">
        <v>14.2</v>
      </c>
      <c r="D253" s="14">
        <f t="shared" si="3"/>
        <v>28.4</v>
      </c>
    </row>
    <row r="254" ht="15" spans="1:4">
      <c r="A254" s="12" t="s">
        <v>129</v>
      </c>
      <c r="B254" s="13">
        <v>1</v>
      </c>
      <c r="C254" s="14">
        <v>17.2</v>
      </c>
      <c r="D254" s="14">
        <f t="shared" si="3"/>
        <v>17.2</v>
      </c>
    </row>
    <row r="255" ht="15" spans="1:4">
      <c r="A255" s="12" t="s">
        <v>42</v>
      </c>
      <c r="B255" s="13">
        <v>2</v>
      </c>
      <c r="C255" s="14">
        <v>17.7</v>
      </c>
      <c r="D255" s="14">
        <f t="shared" si="3"/>
        <v>35.4</v>
      </c>
    </row>
    <row r="256" ht="15" spans="1:4">
      <c r="A256" s="12" t="s">
        <v>43</v>
      </c>
      <c r="B256" s="13">
        <v>1</v>
      </c>
      <c r="C256" s="14">
        <v>16.5</v>
      </c>
      <c r="D256" s="14">
        <f t="shared" si="3"/>
        <v>16.5</v>
      </c>
    </row>
    <row r="257" ht="15" spans="1:4">
      <c r="A257" s="12" t="s">
        <v>105</v>
      </c>
      <c r="B257" s="13">
        <v>1</v>
      </c>
      <c r="C257" s="14">
        <v>9.2</v>
      </c>
      <c r="D257" s="14">
        <f t="shared" si="3"/>
        <v>9.2</v>
      </c>
    </row>
    <row r="258" ht="15" spans="1:4">
      <c r="A258" s="12" t="s">
        <v>47</v>
      </c>
      <c r="B258" s="13">
        <v>11</v>
      </c>
      <c r="C258" s="14">
        <v>22</v>
      </c>
      <c r="D258" s="14">
        <f t="shared" si="3"/>
        <v>242</v>
      </c>
    </row>
    <row r="259" ht="15" spans="1:4">
      <c r="A259" s="12" t="s">
        <v>130</v>
      </c>
      <c r="B259" s="13">
        <v>1</v>
      </c>
      <c r="C259" s="14">
        <v>17.7</v>
      </c>
      <c r="D259" s="14">
        <f t="shared" si="3"/>
        <v>17.7</v>
      </c>
    </row>
    <row r="260" ht="15" spans="1:4">
      <c r="A260" s="12" t="s">
        <v>108</v>
      </c>
      <c r="B260" s="13">
        <v>1</v>
      </c>
      <c r="C260" s="14">
        <v>12.2</v>
      </c>
      <c r="D260" s="14">
        <f t="shared" si="3"/>
        <v>12.2</v>
      </c>
    </row>
    <row r="261" ht="15" spans="1:4">
      <c r="A261" s="12" t="s">
        <v>9</v>
      </c>
      <c r="B261" s="13">
        <v>1</v>
      </c>
      <c r="C261" s="14">
        <v>126.5</v>
      </c>
      <c r="D261" s="14">
        <f t="shared" si="3"/>
        <v>126.5</v>
      </c>
    </row>
    <row r="262" ht="15" spans="1:4">
      <c r="A262" s="12" t="s">
        <v>74</v>
      </c>
      <c r="B262" s="13">
        <v>2</v>
      </c>
      <c r="C262" s="14">
        <v>22.3</v>
      </c>
      <c r="D262" s="14">
        <f t="shared" si="3"/>
        <v>44.6</v>
      </c>
    </row>
    <row r="263" ht="15" spans="1:4">
      <c r="A263" s="12" t="s">
        <v>15</v>
      </c>
      <c r="B263" s="13">
        <v>2</v>
      </c>
      <c r="C263" s="14">
        <v>27.8</v>
      </c>
      <c r="D263" s="14">
        <f t="shared" ref="D263:D326" si="4">C263*B263</f>
        <v>55.6</v>
      </c>
    </row>
    <row r="264" ht="15" spans="1:4">
      <c r="A264" s="12" t="s">
        <v>131</v>
      </c>
      <c r="B264" s="13">
        <v>1</v>
      </c>
      <c r="C264" s="14">
        <v>44.3</v>
      </c>
      <c r="D264" s="14">
        <f t="shared" si="4"/>
        <v>44.3</v>
      </c>
    </row>
    <row r="265" ht="15" spans="1:4">
      <c r="A265" s="12" t="s">
        <v>19</v>
      </c>
      <c r="B265" s="13">
        <v>3</v>
      </c>
      <c r="C265" s="14">
        <v>13.3</v>
      </c>
      <c r="D265" s="14">
        <f t="shared" si="4"/>
        <v>39.9</v>
      </c>
    </row>
    <row r="266" ht="15" spans="1:4">
      <c r="A266" s="12" t="s">
        <v>28</v>
      </c>
      <c r="B266" s="13">
        <v>4</v>
      </c>
      <c r="C266" s="14">
        <v>0</v>
      </c>
      <c r="D266" s="14">
        <f t="shared" si="4"/>
        <v>0</v>
      </c>
    </row>
    <row r="267" ht="15" spans="1:4">
      <c r="A267" s="12" t="s">
        <v>29</v>
      </c>
      <c r="B267" s="13">
        <v>1</v>
      </c>
      <c r="C267" s="14">
        <v>0</v>
      </c>
      <c r="D267" s="14">
        <f t="shared" si="4"/>
        <v>0</v>
      </c>
    </row>
    <row r="268" ht="15" spans="1:4">
      <c r="A268" s="12" t="s">
        <v>80</v>
      </c>
      <c r="B268" s="13">
        <v>1</v>
      </c>
      <c r="C268" s="14">
        <v>50</v>
      </c>
      <c r="D268" s="14">
        <f t="shared" si="4"/>
        <v>50</v>
      </c>
    </row>
    <row r="269" ht="15" spans="1:4">
      <c r="A269" s="12" t="s">
        <v>32</v>
      </c>
      <c r="B269" s="13">
        <v>1</v>
      </c>
      <c r="C269" s="14">
        <v>50</v>
      </c>
      <c r="D269" s="14">
        <f t="shared" si="4"/>
        <v>50</v>
      </c>
    </row>
    <row r="270" ht="15" spans="1:4">
      <c r="A270" s="12" t="s">
        <v>84</v>
      </c>
      <c r="B270" s="13">
        <v>1</v>
      </c>
      <c r="C270" s="14">
        <v>50</v>
      </c>
      <c r="D270" s="14">
        <f t="shared" si="4"/>
        <v>50</v>
      </c>
    </row>
    <row r="271" ht="15" spans="1:4">
      <c r="A271" s="12" t="s">
        <v>132</v>
      </c>
      <c r="B271" s="13">
        <v>1</v>
      </c>
      <c r="C271" s="14">
        <v>50</v>
      </c>
      <c r="D271" s="14">
        <f t="shared" si="4"/>
        <v>50</v>
      </c>
    </row>
    <row r="272" ht="15" spans="1:4">
      <c r="A272" s="12" t="s">
        <v>133</v>
      </c>
      <c r="B272" s="13">
        <v>1</v>
      </c>
      <c r="C272" s="14">
        <v>50</v>
      </c>
      <c r="D272" s="14">
        <f t="shared" si="4"/>
        <v>50</v>
      </c>
    </row>
    <row r="273" ht="15" spans="1:4">
      <c r="A273" s="12" t="s">
        <v>34</v>
      </c>
      <c r="B273" s="13">
        <v>1</v>
      </c>
      <c r="C273" s="14">
        <v>66.5</v>
      </c>
      <c r="D273" s="14">
        <f t="shared" si="4"/>
        <v>66.5</v>
      </c>
    </row>
    <row r="274" ht="15" spans="1:4">
      <c r="A274" s="12" t="s">
        <v>134</v>
      </c>
      <c r="B274" s="13">
        <v>1</v>
      </c>
      <c r="C274" s="14">
        <v>61</v>
      </c>
      <c r="D274" s="14">
        <f t="shared" si="4"/>
        <v>61</v>
      </c>
    </row>
    <row r="275" ht="15" spans="1:4">
      <c r="A275" s="12" t="s">
        <v>135</v>
      </c>
      <c r="B275" s="13">
        <v>1</v>
      </c>
      <c r="C275" s="14">
        <v>44</v>
      </c>
      <c r="D275" s="14">
        <f t="shared" si="4"/>
        <v>44</v>
      </c>
    </row>
    <row r="276" ht="15" spans="1:4">
      <c r="A276" s="12" t="s">
        <v>43</v>
      </c>
      <c r="B276" s="13">
        <v>6</v>
      </c>
      <c r="C276" s="14">
        <v>16.5</v>
      </c>
      <c r="D276" s="14">
        <f t="shared" si="4"/>
        <v>99</v>
      </c>
    </row>
    <row r="277" ht="15" spans="1:4">
      <c r="A277" s="12" t="s">
        <v>44</v>
      </c>
      <c r="B277" s="13">
        <v>1</v>
      </c>
      <c r="C277" s="14">
        <v>16.5</v>
      </c>
      <c r="D277" s="14">
        <f t="shared" si="4"/>
        <v>16.5</v>
      </c>
    </row>
    <row r="278" ht="15" spans="1:4">
      <c r="A278" s="12" t="s">
        <v>9</v>
      </c>
      <c r="B278" s="13">
        <v>1</v>
      </c>
      <c r="C278" s="14">
        <v>126.5</v>
      </c>
      <c r="D278" s="14">
        <f t="shared" si="4"/>
        <v>126.5</v>
      </c>
    </row>
    <row r="279" ht="15" spans="1:4">
      <c r="A279" s="12" t="s">
        <v>55</v>
      </c>
      <c r="B279" s="13">
        <v>2</v>
      </c>
      <c r="C279" s="14">
        <v>197.5</v>
      </c>
      <c r="D279" s="14">
        <f t="shared" si="4"/>
        <v>395</v>
      </c>
    </row>
    <row r="280" ht="15" spans="1:4">
      <c r="A280" s="12" t="s">
        <v>11</v>
      </c>
      <c r="B280" s="13">
        <v>1</v>
      </c>
      <c r="C280" s="14">
        <v>159</v>
      </c>
      <c r="D280" s="14">
        <f t="shared" si="4"/>
        <v>159</v>
      </c>
    </row>
    <row r="281" ht="15" spans="1:4">
      <c r="A281" s="12" t="s">
        <v>53</v>
      </c>
      <c r="B281" s="13">
        <v>3</v>
      </c>
      <c r="C281" s="14">
        <v>170</v>
      </c>
      <c r="D281" s="14">
        <f t="shared" si="4"/>
        <v>510</v>
      </c>
    </row>
    <row r="282" ht="15" spans="1:4">
      <c r="A282" s="12" t="s">
        <v>28</v>
      </c>
      <c r="B282" s="13">
        <v>3</v>
      </c>
      <c r="C282" s="14">
        <v>0</v>
      </c>
      <c r="D282" s="14">
        <f t="shared" si="4"/>
        <v>0</v>
      </c>
    </row>
    <row r="283" ht="15" spans="1:4">
      <c r="A283" s="12" t="s">
        <v>29</v>
      </c>
      <c r="B283" s="13">
        <v>7</v>
      </c>
      <c r="C283" s="14">
        <v>0</v>
      </c>
      <c r="D283" s="14">
        <f t="shared" si="4"/>
        <v>0</v>
      </c>
    </row>
    <row r="284" ht="15" spans="1:4">
      <c r="A284" s="12" t="s">
        <v>31</v>
      </c>
      <c r="B284" s="13">
        <v>1</v>
      </c>
      <c r="C284" s="14">
        <v>50</v>
      </c>
      <c r="D284" s="14">
        <f t="shared" si="4"/>
        <v>50</v>
      </c>
    </row>
    <row r="285" ht="15" spans="1:4">
      <c r="A285" s="12" t="s">
        <v>81</v>
      </c>
      <c r="B285" s="13">
        <v>1</v>
      </c>
      <c r="C285" s="14">
        <v>50</v>
      </c>
      <c r="D285" s="14">
        <f t="shared" si="4"/>
        <v>50</v>
      </c>
    </row>
    <row r="286" ht="15" spans="1:4">
      <c r="A286" s="12" t="s">
        <v>83</v>
      </c>
      <c r="B286" s="13">
        <v>1</v>
      </c>
      <c r="C286" s="14">
        <v>50</v>
      </c>
      <c r="D286" s="14">
        <f t="shared" si="4"/>
        <v>50</v>
      </c>
    </row>
    <row r="287" ht="15" spans="1:4">
      <c r="A287" s="12" t="s">
        <v>36</v>
      </c>
      <c r="B287" s="13">
        <v>2</v>
      </c>
      <c r="C287" s="14">
        <v>126.5</v>
      </c>
      <c r="D287" s="14">
        <f t="shared" si="4"/>
        <v>253</v>
      </c>
    </row>
    <row r="288" ht="15" spans="1:4">
      <c r="A288" s="12" t="s">
        <v>136</v>
      </c>
      <c r="B288" s="13">
        <v>1</v>
      </c>
      <c r="C288" s="14">
        <v>17.7</v>
      </c>
      <c r="D288" s="14">
        <f t="shared" si="4"/>
        <v>17.7</v>
      </c>
    </row>
    <row r="289" ht="15" spans="1:4">
      <c r="A289" s="12" t="s">
        <v>68</v>
      </c>
      <c r="B289" s="13">
        <v>2</v>
      </c>
      <c r="C289" s="14">
        <v>17.2</v>
      </c>
      <c r="D289" s="14">
        <f t="shared" si="4"/>
        <v>34.4</v>
      </c>
    </row>
    <row r="290" ht="15" spans="1:4">
      <c r="A290" s="12" t="s">
        <v>37</v>
      </c>
      <c r="B290" s="13">
        <v>6</v>
      </c>
      <c r="C290" s="14">
        <v>16.5</v>
      </c>
      <c r="D290" s="14">
        <f t="shared" si="4"/>
        <v>99</v>
      </c>
    </row>
    <row r="291" ht="15" spans="1:4">
      <c r="A291" s="12" t="s">
        <v>40</v>
      </c>
      <c r="B291" s="13">
        <v>2</v>
      </c>
      <c r="C291" s="14">
        <v>14.2</v>
      </c>
      <c r="D291" s="14">
        <f t="shared" si="4"/>
        <v>28.4</v>
      </c>
    </row>
    <row r="292" ht="15" spans="1:4">
      <c r="A292" s="12" t="s">
        <v>42</v>
      </c>
      <c r="B292" s="13">
        <v>2</v>
      </c>
      <c r="C292" s="14">
        <v>17.7</v>
      </c>
      <c r="D292" s="14">
        <f t="shared" si="4"/>
        <v>35.4</v>
      </c>
    </row>
    <row r="293" ht="15" spans="1:4">
      <c r="A293" s="12" t="s">
        <v>43</v>
      </c>
      <c r="B293" s="13">
        <v>4</v>
      </c>
      <c r="C293" s="14">
        <v>16.5</v>
      </c>
      <c r="D293" s="14">
        <f t="shared" si="4"/>
        <v>66</v>
      </c>
    </row>
    <row r="294" ht="15" spans="1:4">
      <c r="A294" s="12" t="s">
        <v>44</v>
      </c>
      <c r="B294" s="13">
        <v>6</v>
      </c>
      <c r="C294" s="14">
        <v>16.5</v>
      </c>
      <c r="D294" s="14">
        <f t="shared" si="4"/>
        <v>99</v>
      </c>
    </row>
    <row r="295" ht="15" spans="1:4">
      <c r="A295" s="12" t="s">
        <v>137</v>
      </c>
      <c r="B295" s="13">
        <v>1</v>
      </c>
      <c r="C295" s="14">
        <v>16.5</v>
      </c>
      <c r="D295" s="14">
        <f t="shared" si="4"/>
        <v>16.5</v>
      </c>
    </row>
    <row r="296" ht="15" spans="1:4">
      <c r="A296" s="12" t="s">
        <v>46</v>
      </c>
      <c r="B296" s="13">
        <v>1</v>
      </c>
      <c r="C296" s="14">
        <v>12.2</v>
      </c>
      <c r="D296" s="14">
        <f t="shared" si="4"/>
        <v>12.2</v>
      </c>
    </row>
    <row r="297" ht="15" spans="1:4">
      <c r="A297" s="12" t="s">
        <v>47</v>
      </c>
      <c r="B297" s="13">
        <v>6</v>
      </c>
      <c r="C297" s="14">
        <v>22</v>
      </c>
      <c r="D297" s="14">
        <f t="shared" si="4"/>
        <v>132</v>
      </c>
    </row>
    <row r="298" ht="15" spans="1:4">
      <c r="A298" s="12" t="s">
        <v>105</v>
      </c>
      <c r="B298" s="13">
        <v>1</v>
      </c>
      <c r="C298" s="14">
        <v>9.2</v>
      </c>
      <c r="D298" s="14">
        <f t="shared" si="4"/>
        <v>9.2</v>
      </c>
    </row>
    <row r="299" ht="15" spans="1:4">
      <c r="A299" s="12" t="s">
        <v>9</v>
      </c>
      <c r="B299" s="13">
        <v>2</v>
      </c>
      <c r="C299" s="14">
        <v>126.5</v>
      </c>
      <c r="D299" s="14">
        <f t="shared" si="4"/>
        <v>253</v>
      </c>
    </row>
    <row r="300" ht="15" spans="1:4">
      <c r="A300" s="12" t="s">
        <v>59</v>
      </c>
      <c r="B300" s="13">
        <v>3</v>
      </c>
      <c r="C300" s="14">
        <v>71</v>
      </c>
      <c r="D300" s="14">
        <f t="shared" si="4"/>
        <v>213</v>
      </c>
    </row>
    <row r="301" ht="15" spans="1:4">
      <c r="A301" s="12" t="s">
        <v>55</v>
      </c>
      <c r="B301" s="13">
        <v>2</v>
      </c>
      <c r="C301" s="14">
        <v>197.5</v>
      </c>
      <c r="D301" s="14">
        <f t="shared" si="4"/>
        <v>395</v>
      </c>
    </row>
    <row r="302" ht="15" spans="1:4">
      <c r="A302" s="12" t="s">
        <v>61</v>
      </c>
      <c r="B302" s="13">
        <v>2</v>
      </c>
      <c r="C302" s="14">
        <v>60.5</v>
      </c>
      <c r="D302" s="14">
        <f t="shared" si="4"/>
        <v>121</v>
      </c>
    </row>
    <row r="303" ht="15" spans="1:4">
      <c r="A303" s="12" t="s">
        <v>138</v>
      </c>
      <c r="B303" s="13">
        <v>1</v>
      </c>
      <c r="C303" s="14">
        <v>49.5</v>
      </c>
      <c r="D303" s="14">
        <f t="shared" si="4"/>
        <v>49.5</v>
      </c>
    </row>
    <row r="304" ht="15" spans="1:4">
      <c r="A304" s="12" t="s">
        <v>53</v>
      </c>
      <c r="B304" s="13">
        <v>2</v>
      </c>
      <c r="C304" s="14">
        <v>170</v>
      </c>
      <c r="D304" s="14">
        <f t="shared" si="4"/>
        <v>340</v>
      </c>
    </row>
    <row r="305" ht="15" spans="1:4">
      <c r="A305" s="12" t="s">
        <v>32</v>
      </c>
      <c r="B305" s="13">
        <v>1</v>
      </c>
      <c r="C305" s="14">
        <v>50</v>
      </c>
      <c r="D305" s="14">
        <f t="shared" si="4"/>
        <v>50</v>
      </c>
    </row>
    <row r="306" ht="15" spans="1:4">
      <c r="A306" s="12" t="s">
        <v>139</v>
      </c>
      <c r="B306" s="13">
        <v>1</v>
      </c>
      <c r="C306" s="14">
        <v>50</v>
      </c>
      <c r="D306" s="14">
        <f t="shared" si="4"/>
        <v>50</v>
      </c>
    </row>
    <row r="307" ht="15" spans="1:4">
      <c r="A307" s="12" t="s">
        <v>140</v>
      </c>
      <c r="B307" s="13">
        <v>1</v>
      </c>
      <c r="C307" s="14">
        <v>50</v>
      </c>
      <c r="D307" s="14">
        <f t="shared" si="4"/>
        <v>50</v>
      </c>
    </row>
    <row r="308" ht="15" spans="1:4">
      <c r="A308" s="12" t="s">
        <v>36</v>
      </c>
      <c r="B308" s="13">
        <v>1</v>
      </c>
      <c r="C308" s="14">
        <v>126.5</v>
      </c>
      <c r="D308" s="14">
        <f t="shared" si="4"/>
        <v>126.5</v>
      </c>
    </row>
    <row r="309" ht="15" spans="1:4">
      <c r="A309" s="12" t="s">
        <v>40</v>
      </c>
      <c r="B309" s="13">
        <v>1</v>
      </c>
      <c r="C309" s="14">
        <v>14.2</v>
      </c>
      <c r="D309" s="14">
        <f t="shared" si="4"/>
        <v>14.2</v>
      </c>
    </row>
    <row r="310" ht="15" spans="1:4">
      <c r="A310" s="12" t="s">
        <v>43</v>
      </c>
      <c r="B310" s="13">
        <v>2</v>
      </c>
      <c r="C310" s="14">
        <v>16.5</v>
      </c>
      <c r="D310" s="14">
        <f t="shared" si="4"/>
        <v>33</v>
      </c>
    </row>
    <row r="311" ht="15" spans="1:4">
      <c r="A311" s="12" t="s">
        <v>44</v>
      </c>
      <c r="B311" s="13">
        <v>4</v>
      </c>
      <c r="C311" s="14">
        <v>16.5</v>
      </c>
      <c r="D311" s="14">
        <f t="shared" si="4"/>
        <v>66</v>
      </c>
    </row>
    <row r="312" ht="15" spans="1:4">
      <c r="A312" s="12" t="s">
        <v>47</v>
      </c>
      <c r="B312" s="13">
        <v>4</v>
      </c>
      <c r="C312" s="14">
        <v>22</v>
      </c>
      <c r="D312" s="14">
        <f t="shared" si="4"/>
        <v>88</v>
      </c>
    </row>
    <row r="313" ht="15" spans="1:4">
      <c r="A313" s="12" t="s">
        <v>9</v>
      </c>
      <c r="B313" s="13">
        <v>1</v>
      </c>
      <c r="C313" s="14">
        <v>126.5</v>
      </c>
      <c r="D313" s="14">
        <f t="shared" si="4"/>
        <v>126.5</v>
      </c>
    </row>
    <row r="314" ht="15" spans="1:4">
      <c r="A314" s="12" t="s">
        <v>55</v>
      </c>
      <c r="B314" s="13">
        <v>1</v>
      </c>
      <c r="C314" s="14">
        <v>197.5</v>
      </c>
      <c r="D314" s="14">
        <f t="shared" si="4"/>
        <v>197.5</v>
      </c>
    </row>
    <row r="315" ht="15" spans="1:4">
      <c r="A315" s="15" t="s">
        <v>71</v>
      </c>
      <c r="B315" s="13">
        <v>1</v>
      </c>
      <c r="C315" s="14">
        <v>8.3</v>
      </c>
      <c r="D315" s="14">
        <f t="shared" si="4"/>
        <v>8.3</v>
      </c>
    </row>
    <row r="316" ht="15" spans="1:4">
      <c r="A316" s="12" t="s">
        <v>75</v>
      </c>
      <c r="B316" s="13">
        <v>1</v>
      </c>
      <c r="C316" s="14">
        <v>8.3</v>
      </c>
      <c r="D316" s="14">
        <f t="shared" si="4"/>
        <v>8.3</v>
      </c>
    </row>
    <row r="317" ht="15" spans="1:4">
      <c r="A317" s="12" t="s">
        <v>141</v>
      </c>
      <c r="B317" s="13">
        <v>1</v>
      </c>
      <c r="C317" s="14">
        <v>8.3</v>
      </c>
      <c r="D317" s="14">
        <f t="shared" si="4"/>
        <v>8.3</v>
      </c>
    </row>
    <row r="318" ht="15" spans="1:4">
      <c r="A318" s="12" t="s">
        <v>142</v>
      </c>
      <c r="B318" s="13">
        <v>1</v>
      </c>
      <c r="C318" s="14">
        <v>16.8</v>
      </c>
      <c r="D318" s="14">
        <f t="shared" si="4"/>
        <v>16.8</v>
      </c>
    </row>
    <row r="319" ht="15" spans="1:4">
      <c r="A319" s="12" t="s">
        <v>28</v>
      </c>
      <c r="B319" s="13">
        <v>4</v>
      </c>
      <c r="C319" s="14">
        <v>0</v>
      </c>
      <c r="D319" s="14">
        <f t="shared" si="4"/>
        <v>0</v>
      </c>
    </row>
    <row r="320" ht="15" spans="1:4">
      <c r="A320" s="12" t="s">
        <v>29</v>
      </c>
      <c r="B320" s="13">
        <v>6</v>
      </c>
      <c r="C320" s="14">
        <v>0</v>
      </c>
      <c r="D320" s="14">
        <f t="shared" si="4"/>
        <v>0</v>
      </c>
    </row>
    <row r="321" ht="15" spans="1:4">
      <c r="A321" s="12" t="s">
        <v>68</v>
      </c>
      <c r="B321" s="13">
        <v>2</v>
      </c>
      <c r="C321" s="14">
        <v>17.2</v>
      </c>
      <c r="D321" s="14">
        <f t="shared" si="4"/>
        <v>34.4</v>
      </c>
    </row>
    <row r="322" ht="15" spans="1:4">
      <c r="A322" s="12" t="s">
        <v>37</v>
      </c>
      <c r="B322" s="13">
        <v>2</v>
      </c>
      <c r="C322" s="14">
        <v>16.5</v>
      </c>
      <c r="D322" s="14">
        <f t="shared" si="4"/>
        <v>33</v>
      </c>
    </row>
    <row r="323" ht="15" spans="1:4">
      <c r="A323" s="12" t="s">
        <v>42</v>
      </c>
      <c r="B323" s="13">
        <v>1</v>
      </c>
      <c r="C323" s="14">
        <v>17.7</v>
      </c>
      <c r="D323" s="14">
        <f t="shared" si="4"/>
        <v>17.7</v>
      </c>
    </row>
    <row r="324" ht="15" spans="1:4">
      <c r="A324" s="12" t="s">
        <v>43</v>
      </c>
      <c r="B324" s="13">
        <v>4</v>
      </c>
      <c r="C324" s="14">
        <v>16.5</v>
      </c>
      <c r="D324" s="14">
        <f t="shared" si="4"/>
        <v>66</v>
      </c>
    </row>
    <row r="325" ht="15" spans="1:4">
      <c r="A325" s="12" t="s">
        <v>44</v>
      </c>
      <c r="B325" s="13">
        <v>2</v>
      </c>
      <c r="C325" s="14">
        <v>16.5</v>
      </c>
      <c r="D325" s="14">
        <f t="shared" si="4"/>
        <v>33</v>
      </c>
    </row>
    <row r="326" ht="15" spans="1:4">
      <c r="A326" s="12" t="s">
        <v>47</v>
      </c>
      <c r="B326" s="13">
        <v>4</v>
      </c>
      <c r="C326" s="14">
        <v>22</v>
      </c>
      <c r="D326" s="14">
        <f t="shared" si="4"/>
        <v>88</v>
      </c>
    </row>
    <row r="327" ht="15" spans="1:4">
      <c r="A327" s="12" t="s">
        <v>143</v>
      </c>
      <c r="B327" s="13">
        <v>1</v>
      </c>
      <c r="C327" s="14">
        <v>16.5</v>
      </c>
      <c r="D327" s="14">
        <f t="shared" ref="D327:D390" si="5">C327*B327</f>
        <v>16.5</v>
      </c>
    </row>
    <row r="328" ht="15" spans="1:4">
      <c r="A328" s="12" t="s">
        <v>59</v>
      </c>
      <c r="B328" s="13">
        <v>1</v>
      </c>
      <c r="C328" s="14">
        <v>71</v>
      </c>
      <c r="D328" s="14">
        <f t="shared" si="5"/>
        <v>71</v>
      </c>
    </row>
    <row r="329" ht="15" spans="1:4">
      <c r="A329" s="12" t="s">
        <v>28</v>
      </c>
      <c r="B329" s="13">
        <v>1</v>
      </c>
      <c r="C329" s="14">
        <v>0</v>
      </c>
      <c r="D329" s="14">
        <f t="shared" si="5"/>
        <v>0</v>
      </c>
    </row>
    <row r="330" ht="15" spans="1:4">
      <c r="A330" s="12" t="s">
        <v>37</v>
      </c>
      <c r="B330" s="13">
        <v>2</v>
      </c>
      <c r="C330" s="14">
        <v>16.5</v>
      </c>
      <c r="D330" s="14">
        <f t="shared" si="5"/>
        <v>33</v>
      </c>
    </row>
    <row r="331" ht="15" spans="1:4">
      <c r="A331" s="12" t="s">
        <v>43</v>
      </c>
      <c r="B331" s="13">
        <v>1</v>
      </c>
      <c r="C331" s="14">
        <v>16.5</v>
      </c>
      <c r="D331" s="14">
        <f t="shared" si="5"/>
        <v>16.5</v>
      </c>
    </row>
    <row r="332" ht="15" spans="1:4">
      <c r="A332" s="12" t="s">
        <v>47</v>
      </c>
      <c r="B332" s="13">
        <v>1</v>
      </c>
      <c r="C332" s="14">
        <v>22</v>
      </c>
      <c r="D332" s="14">
        <f t="shared" si="5"/>
        <v>22</v>
      </c>
    </row>
    <row r="333" ht="15" spans="1:4">
      <c r="A333" s="12" t="s">
        <v>73</v>
      </c>
      <c r="B333" s="13">
        <v>1</v>
      </c>
      <c r="C333" s="14">
        <v>16.8</v>
      </c>
      <c r="D333" s="14">
        <f t="shared" si="5"/>
        <v>16.8</v>
      </c>
    </row>
    <row r="334" ht="15" spans="1:4">
      <c r="A334" s="12" t="s">
        <v>74</v>
      </c>
      <c r="B334" s="13">
        <v>1</v>
      </c>
      <c r="C334" s="14">
        <v>22.3</v>
      </c>
      <c r="D334" s="14">
        <f t="shared" si="5"/>
        <v>22.3</v>
      </c>
    </row>
    <row r="335" ht="15" spans="1:4">
      <c r="A335" s="12" t="s">
        <v>15</v>
      </c>
      <c r="B335" s="13">
        <v>4</v>
      </c>
      <c r="C335" s="14">
        <v>27.8</v>
      </c>
      <c r="D335" s="14">
        <f t="shared" si="5"/>
        <v>111.2</v>
      </c>
    </row>
    <row r="336" ht="15" spans="1:4">
      <c r="A336" s="12" t="s">
        <v>144</v>
      </c>
      <c r="B336" s="13">
        <v>1</v>
      </c>
      <c r="C336" s="14">
        <v>49.8</v>
      </c>
      <c r="D336" s="14">
        <f t="shared" si="5"/>
        <v>49.8</v>
      </c>
    </row>
    <row r="337" ht="15" spans="1:4">
      <c r="A337" s="12" t="s">
        <v>80</v>
      </c>
      <c r="B337" s="13">
        <v>1</v>
      </c>
      <c r="C337" s="14">
        <v>50</v>
      </c>
      <c r="D337" s="14">
        <f t="shared" si="5"/>
        <v>50</v>
      </c>
    </row>
    <row r="338" ht="15" spans="1:4">
      <c r="A338" s="12" t="s">
        <v>145</v>
      </c>
      <c r="B338" s="13">
        <v>1</v>
      </c>
      <c r="C338" s="14">
        <v>66.5</v>
      </c>
      <c r="D338" s="14">
        <f t="shared" si="5"/>
        <v>66.5</v>
      </c>
    </row>
    <row r="339" ht="15" spans="1:4">
      <c r="A339" s="12" t="s">
        <v>146</v>
      </c>
      <c r="B339" s="13">
        <v>1</v>
      </c>
      <c r="C339" s="14">
        <v>50</v>
      </c>
      <c r="D339" s="14">
        <f t="shared" si="5"/>
        <v>50</v>
      </c>
    </row>
    <row r="340" ht="15" spans="1:4">
      <c r="A340" s="12" t="s">
        <v>11</v>
      </c>
      <c r="B340" s="13">
        <v>2</v>
      </c>
      <c r="C340" s="14">
        <v>159</v>
      </c>
      <c r="D340" s="14">
        <f t="shared" si="5"/>
        <v>318</v>
      </c>
    </row>
    <row r="341" ht="15" spans="1:4">
      <c r="A341" s="12" t="s">
        <v>29</v>
      </c>
      <c r="B341" s="13">
        <v>1</v>
      </c>
      <c r="C341" s="14">
        <v>0</v>
      </c>
      <c r="D341" s="14">
        <f t="shared" si="5"/>
        <v>0</v>
      </c>
    </row>
    <row r="342" ht="15" spans="1:4">
      <c r="A342" s="12" t="s">
        <v>37</v>
      </c>
      <c r="B342" s="13">
        <v>1</v>
      </c>
      <c r="C342" s="14">
        <v>16.5</v>
      </c>
      <c r="D342" s="14">
        <f t="shared" si="5"/>
        <v>16.5</v>
      </c>
    </row>
    <row r="343" ht="15" spans="1:4">
      <c r="A343" s="12" t="s">
        <v>44</v>
      </c>
      <c r="B343" s="13">
        <v>1</v>
      </c>
      <c r="C343" s="14">
        <v>16.5</v>
      </c>
      <c r="D343" s="14">
        <f t="shared" si="5"/>
        <v>16.5</v>
      </c>
    </row>
    <row r="344" ht="15" spans="1:4">
      <c r="A344" s="12" t="s">
        <v>47</v>
      </c>
      <c r="B344" s="13">
        <v>2</v>
      </c>
      <c r="C344" s="14">
        <v>22</v>
      </c>
      <c r="D344" s="14">
        <f t="shared" si="5"/>
        <v>44</v>
      </c>
    </row>
    <row r="345" ht="15" spans="1:4">
      <c r="A345" s="12" t="s">
        <v>55</v>
      </c>
      <c r="B345" s="13">
        <v>2</v>
      </c>
      <c r="C345" s="14">
        <v>197.5</v>
      </c>
      <c r="D345" s="14">
        <f t="shared" si="5"/>
        <v>395</v>
      </c>
    </row>
    <row r="346" ht="15" spans="1:4">
      <c r="A346" s="12" t="s">
        <v>52</v>
      </c>
      <c r="B346" s="13">
        <v>1</v>
      </c>
      <c r="C346" s="14">
        <v>120.5</v>
      </c>
      <c r="D346" s="14">
        <f t="shared" si="5"/>
        <v>120.5</v>
      </c>
    </row>
    <row r="347" ht="15" spans="1:4">
      <c r="A347" s="12" t="s">
        <v>60</v>
      </c>
      <c r="B347" s="13">
        <v>3</v>
      </c>
      <c r="C347" s="14">
        <v>131.5</v>
      </c>
      <c r="D347" s="14">
        <f t="shared" si="5"/>
        <v>394.5</v>
      </c>
    </row>
    <row r="348" ht="15" spans="1:4">
      <c r="A348" s="12" t="s">
        <v>11</v>
      </c>
      <c r="B348" s="13">
        <v>2</v>
      </c>
      <c r="C348" s="14">
        <v>159</v>
      </c>
      <c r="D348" s="14">
        <f t="shared" si="5"/>
        <v>318</v>
      </c>
    </row>
    <row r="349" ht="15" spans="1:4">
      <c r="A349" s="12" t="s">
        <v>53</v>
      </c>
      <c r="B349" s="13">
        <v>3</v>
      </c>
      <c r="C349" s="14">
        <v>170</v>
      </c>
      <c r="D349" s="14">
        <f t="shared" si="5"/>
        <v>510</v>
      </c>
    </row>
    <row r="350" ht="15" spans="1:4">
      <c r="A350" s="12" t="s">
        <v>36</v>
      </c>
      <c r="B350" s="13">
        <v>1</v>
      </c>
      <c r="C350" s="14">
        <v>126.5</v>
      </c>
      <c r="D350" s="14">
        <f t="shared" si="5"/>
        <v>126.5</v>
      </c>
    </row>
    <row r="351" ht="15" spans="1:4">
      <c r="A351" s="12" t="s">
        <v>147</v>
      </c>
      <c r="B351" s="13">
        <v>2</v>
      </c>
      <c r="C351" s="14">
        <v>9.2</v>
      </c>
      <c r="D351" s="14">
        <f t="shared" si="5"/>
        <v>18.4</v>
      </c>
    </row>
    <row r="352" ht="15" spans="1:4">
      <c r="A352" s="12" t="s">
        <v>37</v>
      </c>
      <c r="B352" s="13">
        <v>3</v>
      </c>
      <c r="C352" s="14">
        <v>16.5</v>
      </c>
      <c r="D352" s="14">
        <f t="shared" si="5"/>
        <v>49.5</v>
      </c>
    </row>
    <row r="353" ht="15" spans="1:4">
      <c r="A353" s="12" t="s">
        <v>41</v>
      </c>
      <c r="B353" s="13">
        <v>1</v>
      </c>
      <c r="C353" s="14">
        <v>27.5</v>
      </c>
      <c r="D353" s="14">
        <f t="shared" si="5"/>
        <v>27.5</v>
      </c>
    </row>
    <row r="354" ht="15" spans="1:4">
      <c r="A354" s="12" t="s">
        <v>47</v>
      </c>
      <c r="B354" s="13">
        <v>5</v>
      </c>
      <c r="C354" s="14">
        <v>22</v>
      </c>
      <c r="D354" s="14">
        <f t="shared" si="5"/>
        <v>110</v>
      </c>
    </row>
    <row r="355" ht="15" spans="1:4">
      <c r="A355" s="12" t="s">
        <v>148</v>
      </c>
      <c r="B355" s="13">
        <v>1</v>
      </c>
      <c r="C355" s="14">
        <v>9.2</v>
      </c>
      <c r="D355" s="14">
        <f t="shared" si="5"/>
        <v>9.2</v>
      </c>
    </row>
    <row r="356" ht="15" spans="1:4">
      <c r="A356" s="12" t="s">
        <v>149</v>
      </c>
      <c r="B356" s="13">
        <v>1</v>
      </c>
      <c r="C356" s="14">
        <v>16.5</v>
      </c>
      <c r="D356" s="14">
        <f t="shared" si="5"/>
        <v>16.5</v>
      </c>
    </row>
    <row r="357" ht="15" spans="1:4">
      <c r="A357" s="12" t="s">
        <v>9</v>
      </c>
      <c r="B357" s="13">
        <v>3</v>
      </c>
      <c r="C357" s="14">
        <v>126.5</v>
      </c>
      <c r="D357" s="14">
        <f t="shared" si="5"/>
        <v>379.5</v>
      </c>
    </row>
    <row r="358" ht="15" spans="1:4">
      <c r="A358" s="12" t="s">
        <v>55</v>
      </c>
      <c r="B358" s="13">
        <v>1</v>
      </c>
      <c r="C358" s="14">
        <v>197.5</v>
      </c>
      <c r="D358" s="14">
        <f t="shared" si="5"/>
        <v>197.5</v>
      </c>
    </row>
    <row r="359" ht="15" spans="1:4">
      <c r="A359" s="12" t="s">
        <v>52</v>
      </c>
      <c r="B359" s="13">
        <v>1</v>
      </c>
      <c r="C359" s="14">
        <v>120.5</v>
      </c>
      <c r="D359" s="14">
        <f t="shared" si="5"/>
        <v>120.5</v>
      </c>
    </row>
    <row r="360" ht="15" spans="1:4">
      <c r="A360" s="12" t="s">
        <v>10</v>
      </c>
      <c r="B360" s="13">
        <v>1</v>
      </c>
      <c r="C360" s="14">
        <v>159</v>
      </c>
      <c r="D360" s="14">
        <f t="shared" si="5"/>
        <v>159</v>
      </c>
    </row>
    <row r="361" ht="15" spans="1:4">
      <c r="A361" s="12" t="s">
        <v>56</v>
      </c>
      <c r="B361" s="13">
        <v>1</v>
      </c>
      <c r="C361" s="14">
        <v>115</v>
      </c>
      <c r="D361" s="14">
        <f t="shared" si="5"/>
        <v>115</v>
      </c>
    </row>
    <row r="362" ht="15" spans="1:4">
      <c r="A362" s="12" t="s">
        <v>150</v>
      </c>
      <c r="B362" s="13">
        <v>1</v>
      </c>
      <c r="C362" s="14">
        <v>236.5</v>
      </c>
      <c r="D362" s="14">
        <f t="shared" si="5"/>
        <v>236.5</v>
      </c>
    </row>
    <row r="363" ht="15" spans="1:4">
      <c r="A363" s="12" t="s">
        <v>37</v>
      </c>
      <c r="B363" s="13">
        <v>5</v>
      </c>
      <c r="C363" s="14">
        <v>16.5</v>
      </c>
      <c r="D363" s="14">
        <f t="shared" si="5"/>
        <v>82.5</v>
      </c>
    </row>
    <row r="364" ht="15" spans="1:4">
      <c r="A364" s="12" t="s">
        <v>54</v>
      </c>
      <c r="B364" s="13">
        <v>1</v>
      </c>
      <c r="C364" s="14">
        <v>12.2</v>
      </c>
      <c r="D364" s="14">
        <f t="shared" si="5"/>
        <v>12.2</v>
      </c>
    </row>
    <row r="365" ht="15" spans="1:4">
      <c r="A365" s="12" t="s">
        <v>40</v>
      </c>
      <c r="B365" s="13">
        <v>2</v>
      </c>
      <c r="C365" s="14">
        <v>14.2</v>
      </c>
      <c r="D365" s="14">
        <f t="shared" si="5"/>
        <v>28.4</v>
      </c>
    </row>
    <row r="366" ht="15" spans="1:4">
      <c r="A366" s="12" t="s">
        <v>88</v>
      </c>
      <c r="B366" s="13">
        <v>1</v>
      </c>
      <c r="C366" s="14">
        <v>16.5</v>
      </c>
      <c r="D366" s="14">
        <f t="shared" si="5"/>
        <v>16.5</v>
      </c>
    </row>
    <row r="367" ht="15" spans="1:4">
      <c r="A367" s="12" t="s">
        <v>89</v>
      </c>
      <c r="B367" s="13">
        <v>1</v>
      </c>
      <c r="C367" s="14">
        <v>14.2</v>
      </c>
      <c r="D367" s="14">
        <f t="shared" si="5"/>
        <v>14.2</v>
      </c>
    </row>
    <row r="368" ht="15" spans="1:4">
      <c r="A368" s="12" t="s">
        <v>42</v>
      </c>
      <c r="B368" s="13">
        <v>1</v>
      </c>
      <c r="C368" s="14">
        <v>17.7</v>
      </c>
      <c r="D368" s="14">
        <f t="shared" si="5"/>
        <v>17.7</v>
      </c>
    </row>
    <row r="369" ht="15" spans="1:4">
      <c r="A369" s="12" t="s">
        <v>47</v>
      </c>
      <c r="B369" s="13">
        <v>8</v>
      </c>
      <c r="C369" s="14">
        <v>22</v>
      </c>
      <c r="D369" s="14">
        <f t="shared" si="5"/>
        <v>176</v>
      </c>
    </row>
    <row r="370" ht="15" spans="1:4">
      <c r="A370" s="12" t="s">
        <v>26</v>
      </c>
      <c r="B370" s="13">
        <v>1</v>
      </c>
      <c r="C370" s="14">
        <v>13.8</v>
      </c>
      <c r="D370" s="14">
        <f t="shared" si="5"/>
        <v>13.8</v>
      </c>
    </row>
    <row r="371" ht="15" spans="1:4">
      <c r="A371" s="12" t="s">
        <v>28</v>
      </c>
      <c r="B371" s="13">
        <v>6</v>
      </c>
      <c r="C371" s="14">
        <v>0</v>
      </c>
      <c r="D371" s="14">
        <f t="shared" si="5"/>
        <v>0</v>
      </c>
    </row>
    <row r="372" ht="15" spans="1:4">
      <c r="A372" s="12" t="s">
        <v>29</v>
      </c>
      <c r="B372" s="13">
        <v>7</v>
      </c>
      <c r="C372" s="14">
        <v>0</v>
      </c>
      <c r="D372" s="14">
        <f t="shared" si="5"/>
        <v>0</v>
      </c>
    </row>
    <row r="373" ht="15" spans="1:4">
      <c r="A373" s="12" t="s">
        <v>9</v>
      </c>
      <c r="B373" s="13">
        <v>1</v>
      </c>
      <c r="C373" s="14">
        <v>126.5</v>
      </c>
      <c r="D373" s="14">
        <f t="shared" si="5"/>
        <v>126.5</v>
      </c>
    </row>
    <row r="374" ht="15" spans="1:4">
      <c r="A374" s="12" t="s">
        <v>55</v>
      </c>
      <c r="B374" s="13">
        <v>3</v>
      </c>
      <c r="C374" s="14">
        <v>197.5</v>
      </c>
      <c r="D374" s="14">
        <f t="shared" si="5"/>
        <v>592.5</v>
      </c>
    </row>
    <row r="375" ht="15" spans="1:4">
      <c r="A375" s="12" t="s">
        <v>52</v>
      </c>
      <c r="B375" s="13">
        <v>2</v>
      </c>
      <c r="C375" s="14">
        <v>120.5</v>
      </c>
      <c r="D375" s="14">
        <f t="shared" si="5"/>
        <v>241</v>
      </c>
    </row>
    <row r="376" ht="15" spans="1:4">
      <c r="A376" s="12" t="s">
        <v>53</v>
      </c>
      <c r="B376" s="13">
        <v>3</v>
      </c>
      <c r="C376" s="14">
        <v>170</v>
      </c>
      <c r="D376" s="14">
        <f t="shared" si="5"/>
        <v>510</v>
      </c>
    </row>
    <row r="377" ht="15" spans="1:4">
      <c r="A377" s="12" t="s">
        <v>151</v>
      </c>
      <c r="B377" s="13">
        <v>1</v>
      </c>
      <c r="C377" s="14">
        <v>170.5</v>
      </c>
      <c r="D377" s="14">
        <f t="shared" si="5"/>
        <v>170.5</v>
      </c>
    </row>
    <row r="378" ht="15" spans="1:4">
      <c r="A378" s="12" t="s">
        <v>12</v>
      </c>
      <c r="B378" s="13">
        <v>1</v>
      </c>
      <c r="C378" s="14">
        <v>22.3</v>
      </c>
      <c r="D378" s="14">
        <f t="shared" si="5"/>
        <v>22.3</v>
      </c>
    </row>
    <row r="379" ht="15" spans="1:4">
      <c r="A379" s="12" t="s">
        <v>72</v>
      </c>
      <c r="B379" s="13">
        <v>1</v>
      </c>
      <c r="C379" s="14">
        <v>5.8</v>
      </c>
      <c r="D379" s="14">
        <f t="shared" si="5"/>
        <v>5.8</v>
      </c>
    </row>
    <row r="380" ht="15" spans="1:4">
      <c r="A380" s="12" t="s">
        <v>73</v>
      </c>
      <c r="B380" s="13">
        <v>2</v>
      </c>
      <c r="C380" s="14">
        <v>16.8</v>
      </c>
      <c r="D380" s="14">
        <f t="shared" si="5"/>
        <v>33.6</v>
      </c>
    </row>
    <row r="381" ht="15" spans="1:4">
      <c r="A381" s="12" t="s">
        <v>15</v>
      </c>
      <c r="B381" s="13">
        <v>2</v>
      </c>
      <c r="C381" s="14">
        <v>27.8</v>
      </c>
      <c r="D381" s="14">
        <f t="shared" si="5"/>
        <v>55.6</v>
      </c>
    </row>
    <row r="382" ht="15" spans="1:4">
      <c r="A382" s="12" t="s">
        <v>152</v>
      </c>
      <c r="B382" s="13">
        <v>2</v>
      </c>
      <c r="C382" s="14">
        <v>33.3</v>
      </c>
      <c r="D382" s="14">
        <f t="shared" si="5"/>
        <v>66.6</v>
      </c>
    </row>
    <row r="383" ht="15" spans="1:4">
      <c r="A383" s="12" t="s">
        <v>16</v>
      </c>
      <c r="B383" s="13">
        <v>1</v>
      </c>
      <c r="C383" s="14">
        <v>38.8</v>
      </c>
      <c r="D383" s="14">
        <f t="shared" si="5"/>
        <v>38.8</v>
      </c>
    </row>
    <row r="384" ht="15" spans="1:4">
      <c r="A384" s="12" t="s">
        <v>18</v>
      </c>
      <c r="B384" s="13">
        <v>1</v>
      </c>
      <c r="C384" s="14">
        <v>33.3</v>
      </c>
      <c r="D384" s="14">
        <f t="shared" si="5"/>
        <v>33.3</v>
      </c>
    </row>
    <row r="385" ht="15" spans="1:4">
      <c r="A385" s="12" t="s">
        <v>19</v>
      </c>
      <c r="B385" s="13">
        <v>3</v>
      </c>
      <c r="C385" s="14">
        <v>13.3</v>
      </c>
      <c r="D385" s="14">
        <f t="shared" si="5"/>
        <v>39.9</v>
      </c>
    </row>
    <row r="386" ht="15" spans="1:4">
      <c r="A386" s="12" t="s">
        <v>153</v>
      </c>
      <c r="B386" s="13">
        <v>2</v>
      </c>
      <c r="C386" s="14">
        <v>8.3</v>
      </c>
      <c r="D386" s="14">
        <f t="shared" si="5"/>
        <v>16.6</v>
      </c>
    </row>
    <row r="387" ht="15" spans="1:4">
      <c r="A387" s="12" t="s">
        <v>79</v>
      </c>
      <c r="B387" s="13">
        <v>1</v>
      </c>
      <c r="C387" s="14">
        <v>8.3</v>
      </c>
      <c r="D387" s="14">
        <f t="shared" si="5"/>
        <v>8.3</v>
      </c>
    </row>
    <row r="388" ht="15" spans="1:4">
      <c r="A388" s="12" t="s">
        <v>28</v>
      </c>
      <c r="B388" s="13">
        <v>4</v>
      </c>
      <c r="C388" s="14">
        <v>0</v>
      </c>
      <c r="D388" s="14">
        <f t="shared" si="5"/>
        <v>0</v>
      </c>
    </row>
    <row r="389" ht="15" spans="1:4">
      <c r="A389" s="12" t="s">
        <v>29</v>
      </c>
      <c r="B389" s="13">
        <v>5</v>
      </c>
      <c r="C389" s="14">
        <v>0</v>
      </c>
      <c r="D389" s="14">
        <f t="shared" si="5"/>
        <v>0</v>
      </c>
    </row>
    <row r="390" ht="15" spans="1:4">
      <c r="A390" s="12" t="s">
        <v>154</v>
      </c>
      <c r="B390" s="13">
        <v>1</v>
      </c>
      <c r="C390" s="14">
        <v>50</v>
      </c>
      <c r="D390" s="14">
        <f t="shared" si="5"/>
        <v>50</v>
      </c>
    </row>
    <row r="391" ht="15" spans="1:4">
      <c r="A391" s="12" t="s">
        <v>31</v>
      </c>
      <c r="B391" s="13">
        <v>1</v>
      </c>
      <c r="C391" s="14">
        <v>50</v>
      </c>
      <c r="D391" s="14">
        <f t="shared" ref="D391:D454" si="6">C391*B391</f>
        <v>50</v>
      </c>
    </row>
    <row r="392" ht="15" spans="1:4">
      <c r="A392" s="12" t="s">
        <v>80</v>
      </c>
      <c r="B392" s="13">
        <v>1</v>
      </c>
      <c r="C392" s="14">
        <v>50</v>
      </c>
      <c r="D392" s="14">
        <f t="shared" si="6"/>
        <v>50</v>
      </c>
    </row>
    <row r="393" ht="15" spans="1:4">
      <c r="A393" s="12" t="s">
        <v>32</v>
      </c>
      <c r="B393" s="13">
        <v>1</v>
      </c>
      <c r="C393" s="14">
        <v>50</v>
      </c>
      <c r="D393" s="14">
        <f t="shared" si="6"/>
        <v>50</v>
      </c>
    </row>
    <row r="394" ht="15" spans="1:4">
      <c r="A394" s="12" t="s">
        <v>81</v>
      </c>
      <c r="B394" s="13">
        <v>1</v>
      </c>
      <c r="C394" s="14">
        <v>50</v>
      </c>
      <c r="D394" s="14">
        <f t="shared" si="6"/>
        <v>50</v>
      </c>
    </row>
    <row r="395" ht="15" spans="1:4">
      <c r="A395" s="12" t="s">
        <v>139</v>
      </c>
      <c r="B395" s="13">
        <v>1</v>
      </c>
      <c r="C395" s="14">
        <v>50</v>
      </c>
      <c r="D395" s="14">
        <f t="shared" si="6"/>
        <v>50</v>
      </c>
    </row>
    <row r="396" ht="15" spans="1:4">
      <c r="A396" s="12" t="s">
        <v>83</v>
      </c>
      <c r="B396" s="13">
        <v>1</v>
      </c>
      <c r="C396" s="14">
        <v>50</v>
      </c>
      <c r="D396" s="14">
        <f t="shared" si="6"/>
        <v>50</v>
      </c>
    </row>
    <row r="397" ht="15" spans="1:4">
      <c r="A397" s="12" t="s">
        <v>140</v>
      </c>
      <c r="B397" s="13">
        <v>1</v>
      </c>
      <c r="C397" s="14">
        <v>50</v>
      </c>
      <c r="D397" s="14">
        <f t="shared" si="6"/>
        <v>50</v>
      </c>
    </row>
    <row r="398" ht="15" spans="1:4">
      <c r="A398" s="12" t="s">
        <v>155</v>
      </c>
      <c r="B398" s="13">
        <v>1</v>
      </c>
      <c r="C398" s="14">
        <v>50</v>
      </c>
      <c r="D398" s="14">
        <f t="shared" si="6"/>
        <v>50</v>
      </c>
    </row>
    <row r="399" ht="15" spans="1:4">
      <c r="A399" s="12" t="s">
        <v>84</v>
      </c>
      <c r="B399" s="13">
        <v>1</v>
      </c>
      <c r="C399" s="14">
        <v>50</v>
      </c>
      <c r="D399" s="14">
        <f t="shared" si="6"/>
        <v>50</v>
      </c>
    </row>
    <row r="400" ht="15" spans="1:4">
      <c r="A400" s="12" t="s">
        <v>145</v>
      </c>
      <c r="B400" s="13">
        <v>1</v>
      </c>
      <c r="C400" s="14">
        <v>66.5</v>
      </c>
      <c r="D400" s="14">
        <f t="shared" si="6"/>
        <v>66.5</v>
      </c>
    </row>
    <row r="401" ht="15" spans="1:4">
      <c r="A401" s="12" t="s">
        <v>36</v>
      </c>
      <c r="B401" s="13">
        <v>1</v>
      </c>
      <c r="C401" s="14">
        <v>126.5</v>
      </c>
      <c r="D401" s="14">
        <f t="shared" si="6"/>
        <v>126.5</v>
      </c>
    </row>
    <row r="402" ht="15" spans="1:4">
      <c r="A402" s="12" t="s">
        <v>36</v>
      </c>
      <c r="B402" s="13">
        <v>1</v>
      </c>
      <c r="C402" s="14">
        <v>126.5</v>
      </c>
      <c r="D402" s="14">
        <f t="shared" si="6"/>
        <v>126.5</v>
      </c>
    </row>
    <row r="403" ht="15" spans="1:4">
      <c r="A403" s="12" t="s">
        <v>156</v>
      </c>
      <c r="B403" s="13">
        <v>1</v>
      </c>
      <c r="C403" s="14">
        <v>220</v>
      </c>
      <c r="D403" s="14">
        <f t="shared" si="6"/>
        <v>220</v>
      </c>
    </row>
    <row r="404" ht="15" spans="1:4">
      <c r="A404" s="12" t="s">
        <v>157</v>
      </c>
      <c r="B404" s="13">
        <v>1</v>
      </c>
      <c r="C404" s="14">
        <v>253</v>
      </c>
      <c r="D404" s="14">
        <f t="shared" si="6"/>
        <v>253</v>
      </c>
    </row>
    <row r="405" ht="15" spans="1:4">
      <c r="A405" s="12" t="s">
        <v>158</v>
      </c>
      <c r="B405" s="13">
        <v>1</v>
      </c>
      <c r="C405" s="14">
        <v>16.5</v>
      </c>
      <c r="D405" s="14">
        <f t="shared" si="6"/>
        <v>16.5</v>
      </c>
    </row>
    <row r="406" ht="15" spans="1:4">
      <c r="A406" s="12" t="s">
        <v>37</v>
      </c>
      <c r="B406" s="13">
        <v>5</v>
      </c>
      <c r="C406" s="14">
        <v>16.5</v>
      </c>
      <c r="D406" s="14">
        <f t="shared" si="6"/>
        <v>82.5</v>
      </c>
    </row>
    <row r="407" ht="15" spans="1:4">
      <c r="A407" s="12" t="s">
        <v>54</v>
      </c>
      <c r="B407" s="13">
        <v>1</v>
      </c>
      <c r="C407" s="14">
        <v>12.2</v>
      </c>
      <c r="D407" s="14">
        <f t="shared" si="6"/>
        <v>12.2</v>
      </c>
    </row>
    <row r="408" ht="15" spans="1:4">
      <c r="A408" s="12" t="s">
        <v>40</v>
      </c>
      <c r="B408" s="13">
        <v>1</v>
      </c>
      <c r="C408" s="14">
        <v>14.2</v>
      </c>
      <c r="D408" s="14">
        <f t="shared" si="6"/>
        <v>14.2</v>
      </c>
    </row>
    <row r="409" ht="15" spans="1:4">
      <c r="A409" s="12" t="s">
        <v>42</v>
      </c>
      <c r="B409" s="13">
        <v>1</v>
      </c>
      <c r="C409" s="14">
        <v>17.7</v>
      </c>
      <c r="D409" s="14">
        <f t="shared" si="6"/>
        <v>17.7</v>
      </c>
    </row>
    <row r="410" ht="15" spans="1:4">
      <c r="A410" s="12" t="s">
        <v>43</v>
      </c>
      <c r="B410" s="13">
        <v>12</v>
      </c>
      <c r="C410" s="14">
        <v>16.5</v>
      </c>
      <c r="D410" s="14">
        <f t="shared" si="6"/>
        <v>198</v>
      </c>
    </row>
    <row r="411" ht="15" spans="1:4">
      <c r="A411" s="12" t="s">
        <v>44</v>
      </c>
      <c r="B411" s="13">
        <v>11</v>
      </c>
      <c r="C411" s="14">
        <v>16.5</v>
      </c>
      <c r="D411" s="14">
        <f t="shared" si="6"/>
        <v>181.5</v>
      </c>
    </row>
    <row r="412" ht="15" spans="1:4">
      <c r="A412" s="12" t="s">
        <v>47</v>
      </c>
      <c r="B412" s="13">
        <v>10</v>
      </c>
      <c r="C412" s="14">
        <v>22</v>
      </c>
      <c r="D412" s="14">
        <f t="shared" si="6"/>
        <v>220</v>
      </c>
    </row>
    <row r="413" ht="15" spans="1:4">
      <c r="A413" s="12" t="s">
        <v>94</v>
      </c>
      <c r="B413" s="13">
        <v>1</v>
      </c>
      <c r="C413" s="14">
        <v>35</v>
      </c>
      <c r="D413" s="14">
        <f t="shared" si="6"/>
        <v>35</v>
      </c>
    </row>
    <row r="414" ht="15" spans="1:4">
      <c r="A414" s="12" t="s">
        <v>95</v>
      </c>
      <c r="B414" s="13">
        <v>3</v>
      </c>
      <c r="C414" s="14">
        <v>35</v>
      </c>
      <c r="D414" s="14">
        <f t="shared" si="6"/>
        <v>105</v>
      </c>
    </row>
    <row r="415" ht="15" spans="1:4">
      <c r="A415" s="12" t="s">
        <v>96</v>
      </c>
      <c r="B415" s="13">
        <v>2</v>
      </c>
      <c r="C415" s="14">
        <v>35</v>
      </c>
      <c r="D415" s="14">
        <f t="shared" si="6"/>
        <v>70</v>
      </c>
    </row>
    <row r="416" ht="15" spans="1:4">
      <c r="A416" s="12" t="s">
        <v>159</v>
      </c>
      <c r="B416" s="13">
        <v>1</v>
      </c>
      <c r="C416" s="14">
        <v>44</v>
      </c>
      <c r="D416" s="14">
        <f t="shared" si="6"/>
        <v>44</v>
      </c>
    </row>
    <row r="417" ht="15" spans="1:4">
      <c r="A417" s="12" t="s">
        <v>160</v>
      </c>
      <c r="B417" s="13">
        <v>1</v>
      </c>
      <c r="C417" s="14">
        <v>44</v>
      </c>
      <c r="D417" s="14">
        <f t="shared" si="6"/>
        <v>44</v>
      </c>
    </row>
    <row r="418" ht="15" spans="1:4">
      <c r="A418" s="12" t="s">
        <v>161</v>
      </c>
      <c r="B418" s="13">
        <v>1</v>
      </c>
      <c r="C418" s="14">
        <v>28</v>
      </c>
      <c r="D418" s="14">
        <f t="shared" si="6"/>
        <v>28</v>
      </c>
    </row>
    <row r="419" ht="15" spans="1:4">
      <c r="A419" s="12" t="s">
        <v>162</v>
      </c>
      <c r="B419" s="13">
        <v>1</v>
      </c>
      <c r="C419" s="14">
        <v>28</v>
      </c>
      <c r="D419" s="14">
        <f t="shared" si="6"/>
        <v>28</v>
      </c>
    </row>
    <row r="420" ht="15" spans="1:4">
      <c r="A420" s="15" t="s">
        <v>99</v>
      </c>
      <c r="B420" s="13">
        <v>1</v>
      </c>
      <c r="C420" s="14">
        <v>28</v>
      </c>
      <c r="D420" s="14">
        <f t="shared" si="6"/>
        <v>28</v>
      </c>
    </row>
    <row r="421" ht="15" spans="1:4">
      <c r="A421" s="12" t="s">
        <v>101</v>
      </c>
      <c r="B421" s="13">
        <v>1</v>
      </c>
      <c r="C421" s="14">
        <v>35</v>
      </c>
      <c r="D421" s="14">
        <f t="shared" si="6"/>
        <v>35</v>
      </c>
    </row>
    <row r="422" ht="15" spans="1:4">
      <c r="A422" s="12" t="s">
        <v>52</v>
      </c>
      <c r="B422" s="13">
        <v>1</v>
      </c>
      <c r="C422" s="14">
        <v>120.5</v>
      </c>
      <c r="D422" s="14">
        <f t="shared" si="6"/>
        <v>120.5</v>
      </c>
    </row>
    <row r="423" ht="15" spans="1:4">
      <c r="A423" s="12" t="s">
        <v>60</v>
      </c>
      <c r="B423" s="13">
        <v>5</v>
      </c>
      <c r="C423" s="14">
        <v>131.5</v>
      </c>
      <c r="D423" s="14">
        <f t="shared" si="6"/>
        <v>657.5</v>
      </c>
    </row>
    <row r="424" ht="15" spans="1:4">
      <c r="A424" s="12" t="s">
        <v>11</v>
      </c>
      <c r="B424" s="13">
        <v>3</v>
      </c>
      <c r="C424" s="14">
        <v>159</v>
      </c>
      <c r="D424" s="14">
        <f t="shared" si="6"/>
        <v>477</v>
      </c>
    </row>
    <row r="425" ht="15" spans="1:4">
      <c r="A425" s="12" t="s">
        <v>53</v>
      </c>
      <c r="B425" s="13">
        <v>4</v>
      </c>
      <c r="C425" s="14">
        <v>170</v>
      </c>
      <c r="D425" s="14">
        <f t="shared" si="6"/>
        <v>680</v>
      </c>
    </row>
    <row r="426" ht="15" spans="1:4">
      <c r="A426" s="12" t="s">
        <v>37</v>
      </c>
      <c r="B426" s="13">
        <v>5</v>
      </c>
      <c r="C426" s="14">
        <v>16.5</v>
      </c>
      <c r="D426" s="14">
        <f t="shared" si="6"/>
        <v>82.5</v>
      </c>
    </row>
    <row r="427" ht="15" spans="1:4">
      <c r="A427" s="12" t="s">
        <v>41</v>
      </c>
      <c r="B427" s="13">
        <v>2</v>
      </c>
      <c r="C427" s="14">
        <v>27.5</v>
      </c>
      <c r="D427" s="14">
        <f t="shared" si="6"/>
        <v>55</v>
      </c>
    </row>
    <row r="428" ht="15" spans="1:4">
      <c r="A428" s="12" t="s">
        <v>42</v>
      </c>
      <c r="B428" s="13">
        <v>1</v>
      </c>
      <c r="C428" s="14">
        <v>17.7</v>
      </c>
      <c r="D428" s="14">
        <f t="shared" si="6"/>
        <v>17.7</v>
      </c>
    </row>
    <row r="429" ht="15" spans="1:4">
      <c r="A429" s="12" t="s">
        <v>126</v>
      </c>
      <c r="B429" s="13">
        <v>1</v>
      </c>
      <c r="C429" s="14">
        <v>22</v>
      </c>
      <c r="D429" s="14">
        <f t="shared" si="6"/>
        <v>22</v>
      </c>
    </row>
    <row r="430" ht="15" spans="1:4">
      <c r="A430" s="12" t="s">
        <v>106</v>
      </c>
      <c r="B430" s="13">
        <v>1</v>
      </c>
      <c r="C430" s="14">
        <v>16.5</v>
      </c>
      <c r="D430" s="14">
        <f t="shared" si="6"/>
        <v>16.5</v>
      </c>
    </row>
    <row r="431" ht="15" spans="1:4">
      <c r="A431" s="12" t="s">
        <v>47</v>
      </c>
      <c r="B431" s="13">
        <v>6</v>
      </c>
      <c r="C431" s="14">
        <v>22</v>
      </c>
      <c r="D431" s="14">
        <f t="shared" si="6"/>
        <v>132</v>
      </c>
    </row>
    <row r="432" ht="15" spans="1:4">
      <c r="A432" s="12" t="s">
        <v>91</v>
      </c>
      <c r="B432" s="13">
        <v>1</v>
      </c>
      <c r="C432" s="14">
        <v>16.5</v>
      </c>
      <c r="D432" s="14">
        <f t="shared" si="6"/>
        <v>16.5</v>
      </c>
    </row>
    <row r="433" ht="15" spans="1:4">
      <c r="A433" s="12" t="s">
        <v>69</v>
      </c>
      <c r="B433" s="13">
        <v>1</v>
      </c>
      <c r="C433" s="14">
        <v>9.2</v>
      </c>
      <c r="D433" s="14">
        <f t="shared" si="6"/>
        <v>9.2</v>
      </c>
    </row>
    <row r="434" ht="15" spans="1:4">
      <c r="A434" s="12" t="s">
        <v>108</v>
      </c>
      <c r="B434" s="13">
        <v>1</v>
      </c>
      <c r="C434" s="14">
        <v>12.2</v>
      </c>
      <c r="D434" s="14">
        <f t="shared" si="6"/>
        <v>12.2</v>
      </c>
    </row>
    <row r="435" ht="15" spans="1:4">
      <c r="A435" s="12" t="s">
        <v>9</v>
      </c>
      <c r="B435" s="13">
        <v>1</v>
      </c>
      <c r="C435" s="14">
        <v>126.5</v>
      </c>
      <c r="D435" s="14">
        <f t="shared" si="6"/>
        <v>126.5</v>
      </c>
    </row>
    <row r="436" ht="15" spans="1:4">
      <c r="A436" s="12" t="s">
        <v>10</v>
      </c>
      <c r="B436" s="13">
        <v>2</v>
      </c>
      <c r="C436" s="14">
        <v>159</v>
      </c>
      <c r="D436" s="14">
        <f t="shared" si="6"/>
        <v>318</v>
      </c>
    </row>
    <row r="437" ht="15" spans="1:4">
      <c r="A437" s="12" t="s">
        <v>61</v>
      </c>
      <c r="B437" s="13">
        <v>1</v>
      </c>
      <c r="C437" s="14">
        <v>60.5</v>
      </c>
      <c r="D437" s="14">
        <f t="shared" si="6"/>
        <v>60.5</v>
      </c>
    </row>
    <row r="438" ht="15" spans="1:4">
      <c r="A438" s="12" t="s">
        <v>163</v>
      </c>
      <c r="B438" s="13">
        <v>1</v>
      </c>
      <c r="C438" s="14">
        <v>55</v>
      </c>
      <c r="D438" s="14">
        <f t="shared" si="6"/>
        <v>55</v>
      </c>
    </row>
    <row r="439" ht="15" spans="1:4">
      <c r="A439" s="12" t="s">
        <v>164</v>
      </c>
      <c r="B439" s="13">
        <v>1</v>
      </c>
      <c r="C439" s="14">
        <v>50</v>
      </c>
      <c r="D439" s="14">
        <f t="shared" si="6"/>
        <v>50</v>
      </c>
    </row>
    <row r="440" ht="15" spans="1:4">
      <c r="A440" s="12" t="s">
        <v>80</v>
      </c>
      <c r="B440" s="13">
        <v>1</v>
      </c>
      <c r="C440" s="14">
        <v>50</v>
      </c>
      <c r="D440" s="14">
        <f t="shared" si="6"/>
        <v>50</v>
      </c>
    </row>
    <row r="441" ht="15" spans="1:4">
      <c r="A441" s="12" t="s">
        <v>140</v>
      </c>
      <c r="B441" s="13">
        <v>1</v>
      </c>
      <c r="C441" s="14">
        <v>50</v>
      </c>
      <c r="D441" s="14">
        <f t="shared" si="6"/>
        <v>50</v>
      </c>
    </row>
    <row r="442" ht="15" spans="1:4">
      <c r="A442" s="12" t="s">
        <v>165</v>
      </c>
      <c r="B442" s="13">
        <v>1</v>
      </c>
      <c r="C442" s="14">
        <v>50</v>
      </c>
      <c r="D442" s="14">
        <f t="shared" si="6"/>
        <v>50</v>
      </c>
    </row>
    <row r="443" ht="15" spans="1:4">
      <c r="A443" s="12" t="s">
        <v>166</v>
      </c>
      <c r="B443" s="13">
        <v>1</v>
      </c>
      <c r="C443" s="14">
        <v>50</v>
      </c>
      <c r="D443" s="14">
        <f t="shared" si="6"/>
        <v>50</v>
      </c>
    </row>
    <row r="444" ht="15" spans="1:4">
      <c r="A444" s="12" t="s">
        <v>167</v>
      </c>
      <c r="B444" s="13">
        <v>1</v>
      </c>
      <c r="C444" s="14">
        <v>77</v>
      </c>
      <c r="D444" s="14">
        <f t="shared" si="6"/>
        <v>77</v>
      </c>
    </row>
    <row r="445" ht="15" spans="1:4">
      <c r="A445" s="12" t="s">
        <v>168</v>
      </c>
      <c r="B445" s="13">
        <v>1</v>
      </c>
      <c r="C445" s="14">
        <v>209</v>
      </c>
      <c r="D445" s="14">
        <f t="shared" si="6"/>
        <v>209</v>
      </c>
    </row>
    <row r="446" ht="15" spans="1:4">
      <c r="A446" s="12" t="s">
        <v>169</v>
      </c>
      <c r="B446" s="13">
        <v>1</v>
      </c>
      <c r="C446" s="14">
        <v>27.5</v>
      </c>
      <c r="D446" s="14">
        <f t="shared" si="6"/>
        <v>27.5</v>
      </c>
    </row>
    <row r="447" ht="15" spans="1:4">
      <c r="A447" s="12" t="s">
        <v>147</v>
      </c>
      <c r="B447" s="13">
        <v>1</v>
      </c>
      <c r="C447" s="14">
        <v>9.2</v>
      </c>
      <c r="D447" s="14">
        <f t="shared" si="6"/>
        <v>9.2</v>
      </c>
    </row>
    <row r="448" ht="15" spans="1:4">
      <c r="A448" s="12" t="s">
        <v>37</v>
      </c>
      <c r="B448" s="13">
        <v>2</v>
      </c>
      <c r="C448" s="14">
        <v>16.5</v>
      </c>
      <c r="D448" s="14">
        <f t="shared" si="6"/>
        <v>33</v>
      </c>
    </row>
    <row r="449" ht="15" spans="1:4">
      <c r="A449" s="12" t="s">
        <v>54</v>
      </c>
      <c r="B449" s="13">
        <v>2</v>
      </c>
      <c r="C449" s="14">
        <v>12.2</v>
      </c>
      <c r="D449" s="14">
        <f t="shared" si="6"/>
        <v>24.4</v>
      </c>
    </row>
    <row r="450" ht="15" spans="1:4">
      <c r="A450" s="12" t="s">
        <v>170</v>
      </c>
      <c r="B450" s="13">
        <v>1</v>
      </c>
      <c r="C450" s="14">
        <v>17.7</v>
      </c>
      <c r="D450" s="14">
        <f t="shared" si="6"/>
        <v>17.7</v>
      </c>
    </row>
    <row r="451" ht="15" spans="1:4">
      <c r="A451" s="12" t="s">
        <v>40</v>
      </c>
      <c r="B451" s="13">
        <v>2</v>
      </c>
      <c r="C451" s="14">
        <v>14.2</v>
      </c>
      <c r="D451" s="14">
        <f t="shared" si="6"/>
        <v>28.4</v>
      </c>
    </row>
    <row r="452" ht="15" spans="1:4">
      <c r="A452" s="12" t="s">
        <v>171</v>
      </c>
      <c r="B452" s="13">
        <v>1</v>
      </c>
      <c r="C452" s="14">
        <v>16.5</v>
      </c>
      <c r="D452" s="14">
        <f t="shared" si="6"/>
        <v>16.5</v>
      </c>
    </row>
    <row r="453" ht="15" spans="1:4">
      <c r="A453" s="12" t="s">
        <v>41</v>
      </c>
      <c r="B453" s="13">
        <v>1</v>
      </c>
      <c r="C453" s="14">
        <v>27.5</v>
      </c>
      <c r="D453" s="14">
        <f t="shared" si="6"/>
        <v>27.5</v>
      </c>
    </row>
    <row r="454" ht="15" spans="1:4">
      <c r="A454" s="12" t="s">
        <v>42</v>
      </c>
      <c r="B454" s="13">
        <v>5</v>
      </c>
      <c r="C454" s="14">
        <v>17.7</v>
      </c>
      <c r="D454" s="14">
        <f t="shared" si="6"/>
        <v>88.5</v>
      </c>
    </row>
    <row r="455" ht="15" spans="1:4">
      <c r="A455" s="12" t="s">
        <v>172</v>
      </c>
      <c r="B455" s="13">
        <v>1</v>
      </c>
      <c r="C455" s="14">
        <v>12.2</v>
      </c>
      <c r="D455" s="14">
        <f t="shared" ref="D455:D518" si="7">C455*B455</f>
        <v>12.2</v>
      </c>
    </row>
    <row r="456" ht="15" spans="1:4">
      <c r="A456" s="12" t="s">
        <v>105</v>
      </c>
      <c r="B456" s="13">
        <v>1</v>
      </c>
      <c r="C456" s="14">
        <v>9.2</v>
      </c>
      <c r="D456" s="14">
        <f t="shared" si="7"/>
        <v>9.2</v>
      </c>
    </row>
    <row r="457" ht="15" spans="1:4">
      <c r="A457" s="12" t="s">
        <v>46</v>
      </c>
      <c r="B457" s="13">
        <v>2</v>
      </c>
      <c r="C457" s="14">
        <v>12.2</v>
      </c>
      <c r="D457" s="14">
        <f t="shared" si="7"/>
        <v>24.4</v>
      </c>
    </row>
    <row r="458" ht="15" spans="1:4">
      <c r="A458" s="12" t="s">
        <v>47</v>
      </c>
      <c r="B458" s="13">
        <v>8</v>
      </c>
      <c r="C458" s="14">
        <v>22</v>
      </c>
      <c r="D458" s="14">
        <f t="shared" si="7"/>
        <v>176</v>
      </c>
    </row>
    <row r="459" ht="15" spans="1:4">
      <c r="A459" s="12" t="s">
        <v>173</v>
      </c>
      <c r="B459" s="13">
        <v>1</v>
      </c>
      <c r="C459" s="14">
        <v>16.5</v>
      </c>
      <c r="D459" s="14">
        <f t="shared" si="7"/>
        <v>16.5</v>
      </c>
    </row>
    <row r="460" ht="15" spans="1:4">
      <c r="A460" s="12" t="s">
        <v>9</v>
      </c>
      <c r="B460" s="13">
        <v>2</v>
      </c>
      <c r="C460" s="14">
        <v>126.5</v>
      </c>
      <c r="D460" s="14">
        <f t="shared" si="7"/>
        <v>253</v>
      </c>
    </row>
    <row r="461" ht="15" spans="1:4">
      <c r="A461" s="12" t="s">
        <v>55</v>
      </c>
      <c r="B461" s="13">
        <v>1</v>
      </c>
      <c r="C461" s="14">
        <v>197.5</v>
      </c>
      <c r="D461" s="14">
        <f t="shared" si="7"/>
        <v>197.5</v>
      </c>
    </row>
    <row r="462" ht="15" spans="1:4">
      <c r="A462" s="12" t="s">
        <v>53</v>
      </c>
      <c r="B462" s="13">
        <v>1</v>
      </c>
      <c r="C462" s="14">
        <v>170</v>
      </c>
      <c r="D462" s="14">
        <f t="shared" si="7"/>
        <v>170</v>
      </c>
    </row>
    <row r="463" ht="15" spans="1:4">
      <c r="A463" s="12" t="s">
        <v>73</v>
      </c>
      <c r="B463" s="13">
        <v>1</v>
      </c>
      <c r="C463" s="14">
        <v>16.8</v>
      </c>
      <c r="D463" s="14">
        <f t="shared" si="7"/>
        <v>16.8</v>
      </c>
    </row>
    <row r="464" ht="15" spans="1:4">
      <c r="A464" s="12" t="s">
        <v>74</v>
      </c>
      <c r="B464" s="13">
        <v>1</v>
      </c>
      <c r="C464" s="14">
        <v>22.3</v>
      </c>
      <c r="D464" s="14">
        <f t="shared" si="7"/>
        <v>22.3</v>
      </c>
    </row>
    <row r="465" ht="15" spans="1:4">
      <c r="A465" s="12" t="s">
        <v>15</v>
      </c>
      <c r="B465" s="13">
        <v>3</v>
      </c>
      <c r="C465" s="14">
        <v>27.8</v>
      </c>
      <c r="D465" s="14">
        <f t="shared" si="7"/>
        <v>83.4</v>
      </c>
    </row>
    <row r="466" ht="15" spans="1:4">
      <c r="A466" s="12" t="s">
        <v>144</v>
      </c>
      <c r="B466" s="13">
        <v>2</v>
      </c>
      <c r="C466" s="14">
        <v>49.8</v>
      </c>
      <c r="D466" s="14">
        <f t="shared" si="7"/>
        <v>99.6</v>
      </c>
    </row>
    <row r="467" ht="15" spans="1:4">
      <c r="A467" s="12" t="s">
        <v>174</v>
      </c>
      <c r="B467" s="13">
        <v>1</v>
      </c>
      <c r="C467" s="14">
        <v>8.3</v>
      </c>
      <c r="D467" s="14">
        <f t="shared" si="7"/>
        <v>8.3</v>
      </c>
    </row>
    <row r="468" ht="15" spans="1:4">
      <c r="A468" s="12" t="s">
        <v>175</v>
      </c>
      <c r="B468" s="13">
        <v>1</v>
      </c>
      <c r="C468" s="14">
        <v>13.8</v>
      </c>
      <c r="D468" s="14">
        <f t="shared" si="7"/>
        <v>13.8</v>
      </c>
    </row>
    <row r="469" ht="15" spans="1:4">
      <c r="A469" s="12" t="s">
        <v>176</v>
      </c>
      <c r="B469" s="13">
        <v>1</v>
      </c>
      <c r="C469" s="14">
        <v>8.3</v>
      </c>
      <c r="D469" s="14">
        <f t="shared" si="7"/>
        <v>8.3</v>
      </c>
    </row>
    <row r="470" ht="15" spans="1:4">
      <c r="A470" s="12" t="s">
        <v>18</v>
      </c>
      <c r="B470" s="13">
        <v>1</v>
      </c>
      <c r="C470" s="14">
        <v>33.3</v>
      </c>
      <c r="D470" s="14">
        <f t="shared" si="7"/>
        <v>33.3</v>
      </c>
    </row>
    <row r="471" ht="15" spans="1:4">
      <c r="A471" s="12" t="s">
        <v>177</v>
      </c>
      <c r="B471" s="13">
        <v>2</v>
      </c>
      <c r="C471" s="14">
        <v>13.8</v>
      </c>
      <c r="D471" s="14">
        <f t="shared" si="7"/>
        <v>27.6</v>
      </c>
    </row>
    <row r="472" ht="15" spans="1:4">
      <c r="A472" s="12" t="s">
        <v>19</v>
      </c>
      <c r="B472" s="13">
        <v>3</v>
      </c>
      <c r="C472" s="14">
        <v>13.3</v>
      </c>
      <c r="D472" s="14">
        <f t="shared" si="7"/>
        <v>39.9</v>
      </c>
    </row>
    <row r="473" ht="15" spans="1:4">
      <c r="A473" s="12" t="s">
        <v>178</v>
      </c>
      <c r="B473" s="13">
        <v>1</v>
      </c>
      <c r="C473" s="14">
        <v>8.3</v>
      </c>
      <c r="D473" s="14">
        <f t="shared" si="7"/>
        <v>8.3</v>
      </c>
    </row>
    <row r="474" ht="15" spans="1:4">
      <c r="A474" s="12" t="s">
        <v>179</v>
      </c>
      <c r="B474" s="13">
        <v>1</v>
      </c>
      <c r="C474" s="14">
        <v>8.3</v>
      </c>
      <c r="D474" s="14">
        <f t="shared" si="7"/>
        <v>8.3</v>
      </c>
    </row>
    <row r="475" ht="15" spans="1:4">
      <c r="A475" s="12" t="s">
        <v>26</v>
      </c>
      <c r="B475" s="13">
        <v>1</v>
      </c>
      <c r="C475" s="14">
        <v>13.8</v>
      </c>
      <c r="D475" s="14">
        <f t="shared" si="7"/>
        <v>13.8</v>
      </c>
    </row>
    <row r="476" ht="15" spans="1:4">
      <c r="A476" s="12" t="s">
        <v>180</v>
      </c>
      <c r="B476" s="13">
        <v>1</v>
      </c>
      <c r="C476" s="14">
        <v>13.8</v>
      </c>
      <c r="D476" s="14">
        <f t="shared" si="7"/>
        <v>13.8</v>
      </c>
    </row>
    <row r="477" ht="15" spans="1:4">
      <c r="A477" s="12" t="s">
        <v>181</v>
      </c>
      <c r="B477" s="13">
        <v>4</v>
      </c>
      <c r="C477" s="14">
        <v>13.8</v>
      </c>
      <c r="D477" s="14">
        <f t="shared" si="7"/>
        <v>55.2</v>
      </c>
    </row>
    <row r="478" ht="15" spans="1:4">
      <c r="A478" s="12" t="s">
        <v>28</v>
      </c>
      <c r="B478" s="13">
        <v>8</v>
      </c>
      <c r="C478" s="14">
        <v>0</v>
      </c>
      <c r="D478" s="14">
        <f t="shared" si="7"/>
        <v>0</v>
      </c>
    </row>
    <row r="479" ht="15" spans="1:4">
      <c r="A479" s="12" t="s">
        <v>29</v>
      </c>
      <c r="B479" s="13">
        <v>4</v>
      </c>
      <c r="C479" s="14">
        <v>0</v>
      </c>
      <c r="D479" s="14">
        <f t="shared" si="7"/>
        <v>0</v>
      </c>
    </row>
    <row r="480" ht="15" spans="1:4">
      <c r="A480" s="12" t="s">
        <v>139</v>
      </c>
      <c r="B480" s="13">
        <v>1</v>
      </c>
      <c r="C480" s="14">
        <v>50</v>
      </c>
      <c r="D480" s="14">
        <f t="shared" si="7"/>
        <v>50</v>
      </c>
    </row>
    <row r="481" ht="15" spans="1:4">
      <c r="A481" s="12" t="s">
        <v>182</v>
      </c>
      <c r="B481" s="13">
        <v>1</v>
      </c>
      <c r="C481" s="14">
        <v>50</v>
      </c>
      <c r="D481" s="14">
        <f t="shared" si="7"/>
        <v>50</v>
      </c>
    </row>
    <row r="482" ht="15" spans="1:4">
      <c r="A482" s="12" t="s">
        <v>145</v>
      </c>
      <c r="B482" s="13">
        <v>1</v>
      </c>
      <c r="C482" s="14">
        <v>66.5</v>
      </c>
      <c r="D482" s="14">
        <f t="shared" si="7"/>
        <v>66.5</v>
      </c>
    </row>
    <row r="483" ht="15" spans="1:4">
      <c r="A483" s="12" t="s">
        <v>183</v>
      </c>
      <c r="B483" s="13">
        <v>1</v>
      </c>
      <c r="C483" s="14">
        <v>50</v>
      </c>
      <c r="D483" s="14">
        <f t="shared" si="7"/>
        <v>50</v>
      </c>
    </row>
    <row r="484" ht="15" spans="1:4">
      <c r="A484" s="12" t="s">
        <v>184</v>
      </c>
      <c r="B484" s="13">
        <v>1</v>
      </c>
      <c r="C484" s="14">
        <v>82.5</v>
      </c>
      <c r="D484" s="14">
        <f t="shared" si="7"/>
        <v>82.5</v>
      </c>
    </row>
    <row r="485" ht="15" spans="1:4">
      <c r="A485" s="12" t="s">
        <v>36</v>
      </c>
      <c r="B485" s="13">
        <v>1</v>
      </c>
      <c r="C485" s="14">
        <v>126.5</v>
      </c>
      <c r="D485" s="14">
        <f t="shared" si="7"/>
        <v>126.5</v>
      </c>
    </row>
    <row r="486" ht="15" spans="1:4">
      <c r="A486" s="12" t="s">
        <v>185</v>
      </c>
      <c r="B486" s="13">
        <v>1</v>
      </c>
      <c r="C486" s="14">
        <v>22</v>
      </c>
      <c r="D486" s="14">
        <f t="shared" si="7"/>
        <v>22</v>
      </c>
    </row>
    <row r="487" ht="15" spans="1:4">
      <c r="A487" s="12" t="s">
        <v>186</v>
      </c>
      <c r="B487" s="13">
        <v>1</v>
      </c>
      <c r="C487" s="14">
        <v>16.5</v>
      </c>
      <c r="D487" s="14">
        <f t="shared" si="7"/>
        <v>16.5</v>
      </c>
    </row>
    <row r="488" ht="15" spans="1:4">
      <c r="A488" s="12" t="s">
        <v>68</v>
      </c>
      <c r="B488" s="13">
        <v>1</v>
      </c>
      <c r="C488" s="14">
        <v>17.2</v>
      </c>
      <c r="D488" s="14">
        <f t="shared" si="7"/>
        <v>17.2</v>
      </c>
    </row>
    <row r="489" ht="15" spans="1:4">
      <c r="A489" s="12" t="s">
        <v>37</v>
      </c>
      <c r="B489" s="13">
        <v>1</v>
      </c>
      <c r="C489" s="14">
        <v>16.5</v>
      </c>
      <c r="D489" s="14">
        <f t="shared" si="7"/>
        <v>16.5</v>
      </c>
    </row>
    <row r="490" ht="15" spans="1:4">
      <c r="A490" s="12" t="s">
        <v>54</v>
      </c>
      <c r="B490" s="13">
        <v>1</v>
      </c>
      <c r="C490" s="14">
        <v>12.2</v>
      </c>
      <c r="D490" s="14">
        <f t="shared" si="7"/>
        <v>12.2</v>
      </c>
    </row>
    <row r="491" ht="15" spans="1:4">
      <c r="A491" s="12" t="s">
        <v>187</v>
      </c>
      <c r="B491" s="13">
        <v>1</v>
      </c>
      <c r="C491" s="14">
        <v>9.2</v>
      </c>
      <c r="D491" s="14">
        <f t="shared" si="7"/>
        <v>9.2</v>
      </c>
    </row>
    <row r="492" ht="15" spans="1:4">
      <c r="A492" s="12" t="s">
        <v>188</v>
      </c>
      <c r="B492" s="13">
        <v>1</v>
      </c>
      <c r="C492" s="14">
        <v>22</v>
      </c>
      <c r="D492" s="14">
        <f t="shared" si="7"/>
        <v>22</v>
      </c>
    </row>
    <row r="493" ht="15" spans="1:4">
      <c r="A493" s="12" t="s">
        <v>42</v>
      </c>
      <c r="B493" s="13">
        <v>1</v>
      </c>
      <c r="C493" s="14">
        <v>17.7</v>
      </c>
      <c r="D493" s="14">
        <f t="shared" si="7"/>
        <v>17.7</v>
      </c>
    </row>
    <row r="494" ht="15" spans="1:4">
      <c r="A494" s="12" t="s">
        <v>43</v>
      </c>
      <c r="B494" s="13">
        <v>9</v>
      </c>
      <c r="C494" s="14">
        <v>16.5</v>
      </c>
      <c r="D494" s="14">
        <f t="shared" si="7"/>
        <v>148.5</v>
      </c>
    </row>
    <row r="495" ht="15" spans="1:4">
      <c r="A495" s="12" t="s">
        <v>44</v>
      </c>
      <c r="B495" s="13">
        <v>3</v>
      </c>
      <c r="C495" s="14">
        <v>16.5</v>
      </c>
      <c r="D495" s="14">
        <f t="shared" si="7"/>
        <v>49.5</v>
      </c>
    </row>
    <row r="496" ht="15" spans="1:4">
      <c r="A496" s="12" t="s">
        <v>106</v>
      </c>
      <c r="B496" s="13">
        <v>1</v>
      </c>
      <c r="C496" s="14">
        <v>16.5</v>
      </c>
      <c r="D496" s="14">
        <f t="shared" si="7"/>
        <v>16.5</v>
      </c>
    </row>
    <row r="497" ht="15" spans="1:4">
      <c r="A497" s="12" t="s">
        <v>47</v>
      </c>
      <c r="B497" s="13">
        <v>3</v>
      </c>
      <c r="C497" s="14">
        <v>22</v>
      </c>
      <c r="D497" s="14">
        <f t="shared" si="7"/>
        <v>66</v>
      </c>
    </row>
    <row r="498" ht="15" spans="1:4">
      <c r="A498" s="12" t="s">
        <v>189</v>
      </c>
      <c r="B498" s="13">
        <v>1</v>
      </c>
      <c r="C498" s="14">
        <v>16.5</v>
      </c>
      <c r="D498" s="14">
        <f t="shared" si="7"/>
        <v>16.5</v>
      </c>
    </row>
    <row r="499" ht="15" spans="1:4">
      <c r="A499" s="12" t="s">
        <v>190</v>
      </c>
      <c r="B499" s="13">
        <v>1</v>
      </c>
      <c r="C499" s="14">
        <v>44</v>
      </c>
      <c r="D499" s="14">
        <f t="shared" si="7"/>
        <v>44</v>
      </c>
    </row>
    <row r="500" ht="15" spans="1:4">
      <c r="A500" s="12" t="s">
        <v>191</v>
      </c>
      <c r="B500" s="13">
        <v>1</v>
      </c>
      <c r="C500" s="14">
        <v>9.2</v>
      </c>
      <c r="D500" s="14">
        <f t="shared" si="7"/>
        <v>9.2</v>
      </c>
    </row>
    <row r="501" ht="15" spans="1:4">
      <c r="A501" s="12" t="s">
        <v>109</v>
      </c>
      <c r="B501" s="13">
        <v>1</v>
      </c>
      <c r="C501" s="14">
        <v>9.2</v>
      </c>
      <c r="D501" s="14">
        <f t="shared" si="7"/>
        <v>9.2</v>
      </c>
    </row>
    <row r="502" ht="15" spans="1:4">
      <c r="A502" s="12" t="s">
        <v>173</v>
      </c>
      <c r="B502" s="13">
        <v>1</v>
      </c>
      <c r="C502" s="14">
        <v>16.5</v>
      </c>
      <c r="D502" s="14">
        <f t="shared" si="7"/>
        <v>16.5</v>
      </c>
    </row>
    <row r="503" ht="15" spans="1:4">
      <c r="A503" s="12" t="s">
        <v>49</v>
      </c>
      <c r="B503" s="13">
        <v>2</v>
      </c>
      <c r="C503" s="14">
        <v>16.5</v>
      </c>
      <c r="D503" s="14">
        <f t="shared" si="7"/>
        <v>33</v>
      </c>
    </row>
    <row r="504" ht="15" spans="1:4">
      <c r="A504" s="12" t="s">
        <v>55</v>
      </c>
      <c r="B504" s="13">
        <v>1</v>
      </c>
      <c r="C504" s="14">
        <v>197.5</v>
      </c>
      <c r="D504" s="14">
        <f t="shared" si="7"/>
        <v>197.5</v>
      </c>
    </row>
    <row r="505" ht="15" spans="1:4">
      <c r="A505" s="12" t="s">
        <v>52</v>
      </c>
      <c r="B505" s="13">
        <v>1</v>
      </c>
      <c r="C505" s="14">
        <v>120.5</v>
      </c>
      <c r="D505" s="14">
        <f t="shared" si="7"/>
        <v>120.5</v>
      </c>
    </row>
    <row r="506" ht="15" spans="1:4">
      <c r="A506" s="12" t="s">
        <v>61</v>
      </c>
      <c r="B506" s="13">
        <v>2</v>
      </c>
      <c r="C506" s="14">
        <v>60.5</v>
      </c>
      <c r="D506" s="14">
        <f t="shared" si="7"/>
        <v>121</v>
      </c>
    </row>
    <row r="507" ht="15" spans="1:4">
      <c r="A507" s="12" t="s">
        <v>53</v>
      </c>
      <c r="B507" s="13">
        <v>1</v>
      </c>
      <c r="C507" s="14">
        <v>170</v>
      </c>
      <c r="D507" s="14">
        <f t="shared" si="7"/>
        <v>170</v>
      </c>
    </row>
    <row r="508" ht="15" spans="1:4">
      <c r="A508" s="12" t="s">
        <v>19</v>
      </c>
      <c r="B508" s="13">
        <v>1</v>
      </c>
      <c r="C508" s="14">
        <v>13.3</v>
      </c>
      <c r="D508" s="14">
        <f t="shared" si="7"/>
        <v>13.3</v>
      </c>
    </row>
    <row r="509" ht="15" spans="1:4">
      <c r="A509" s="12" t="s">
        <v>79</v>
      </c>
      <c r="B509" s="13">
        <v>1</v>
      </c>
      <c r="C509" s="14">
        <v>8.3</v>
      </c>
      <c r="D509" s="14">
        <f t="shared" si="7"/>
        <v>8.3</v>
      </c>
    </row>
    <row r="510" ht="15" spans="1:4">
      <c r="A510" s="12" t="s">
        <v>28</v>
      </c>
      <c r="B510" s="13">
        <v>3</v>
      </c>
      <c r="C510" s="14">
        <v>0</v>
      </c>
      <c r="D510" s="14">
        <f t="shared" si="7"/>
        <v>0</v>
      </c>
    </row>
    <row r="511" ht="15" spans="1:4">
      <c r="A511" s="12" t="s">
        <v>29</v>
      </c>
      <c r="B511" s="13">
        <v>2</v>
      </c>
      <c r="C511" s="14">
        <v>0</v>
      </c>
      <c r="D511" s="14">
        <f t="shared" si="7"/>
        <v>0</v>
      </c>
    </row>
    <row r="512" ht="15" spans="1:4">
      <c r="A512" s="12" t="s">
        <v>81</v>
      </c>
      <c r="B512" s="13">
        <v>1</v>
      </c>
      <c r="C512" s="14">
        <v>50</v>
      </c>
      <c r="D512" s="14">
        <f t="shared" si="7"/>
        <v>50</v>
      </c>
    </row>
    <row r="513" ht="15" spans="1:4">
      <c r="A513" s="12" t="s">
        <v>192</v>
      </c>
      <c r="B513" s="13">
        <v>1</v>
      </c>
      <c r="C513" s="14">
        <v>50</v>
      </c>
      <c r="D513" s="14">
        <f t="shared" si="7"/>
        <v>50</v>
      </c>
    </row>
    <row r="514" ht="15" spans="1:4">
      <c r="A514" s="12" t="s">
        <v>36</v>
      </c>
      <c r="B514" s="13">
        <v>2</v>
      </c>
      <c r="C514" s="14">
        <v>126.5</v>
      </c>
      <c r="D514" s="14">
        <f t="shared" si="7"/>
        <v>253</v>
      </c>
    </row>
    <row r="515" ht="15" spans="1:4">
      <c r="A515" s="12" t="s">
        <v>147</v>
      </c>
      <c r="B515" s="13">
        <v>1</v>
      </c>
      <c r="C515" s="14">
        <v>9.2</v>
      </c>
      <c r="D515" s="14">
        <f t="shared" si="7"/>
        <v>9.2</v>
      </c>
    </row>
    <row r="516" ht="15" spans="1:4">
      <c r="A516" s="12" t="s">
        <v>193</v>
      </c>
      <c r="B516" s="13">
        <v>1</v>
      </c>
      <c r="C516" s="14">
        <v>9.2</v>
      </c>
      <c r="D516" s="14">
        <f t="shared" si="7"/>
        <v>9.2</v>
      </c>
    </row>
    <row r="517" ht="15" spans="1:4">
      <c r="A517" s="12" t="s">
        <v>37</v>
      </c>
      <c r="B517" s="13">
        <v>3</v>
      </c>
      <c r="C517" s="14">
        <v>16.5</v>
      </c>
      <c r="D517" s="14">
        <f t="shared" si="7"/>
        <v>49.5</v>
      </c>
    </row>
    <row r="518" ht="15" spans="1:4">
      <c r="A518" s="12" t="s">
        <v>194</v>
      </c>
      <c r="B518" s="13">
        <v>1</v>
      </c>
      <c r="C518" s="14">
        <v>17.7</v>
      </c>
      <c r="D518" s="14">
        <f t="shared" si="7"/>
        <v>17.7</v>
      </c>
    </row>
    <row r="519" ht="15" spans="1:4">
      <c r="A519" s="12" t="s">
        <v>40</v>
      </c>
      <c r="B519" s="13">
        <v>1</v>
      </c>
      <c r="C519" s="14">
        <v>14.2</v>
      </c>
      <c r="D519" s="14">
        <f t="shared" ref="D519:D582" si="8">C519*B519</f>
        <v>14.2</v>
      </c>
    </row>
    <row r="520" ht="15" spans="1:4">
      <c r="A520" s="12" t="s">
        <v>42</v>
      </c>
      <c r="B520" s="13">
        <v>1</v>
      </c>
      <c r="C520" s="14">
        <v>17.7</v>
      </c>
      <c r="D520" s="14">
        <f t="shared" si="8"/>
        <v>17.7</v>
      </c>
    </row>
    <row r="521" ht="15" spans="1:4">
      <c r="A521" s="12" t="s">
        <v>43</v>
      </c>
      <c r="B521" s="13">
        <v>3</v>
      </c>
      <c r="C521" s="14">
        <v>16.5</v>
      </c>
      <c r="D521" s="14">
        <f t="shared" si="8"/>
        <v>49.5</v>
      </c>
    </row>
    <row r="522" ht="15" spans="1:4">
      <c r="A522" s="12" t="s">
        <v>44</v>
      </c>
      <c r="B522" s="13">
        <v>2</v>
      </c>
      <c r="C522" s="14">
        <v>16.5</v>
      </c>
      <c r="D522" s="14">
        <f t="shared" si="8"/>
        <v>33</v>
      </c>
    </row>
    <row r="523" ht="15" spans="1:4">
      <c r="A523" s="12" t="s">
        <v>47</v>
      </c>
      <c r="B523" s="13">
        <v>3</v>
      </c>
      <c r="C523" s="14">
        <v>22</v>
      </c>
      <c r="D523" s="14">
        <f t="shared" si="8"/>
        <v>66</v>
      </c>
    </row>
    <row r="524" ht="15" spans="1:4">
      <c r="A524" s="12" t="s">
        <v>108</v>
      </c>
      <c r="B524" s="13">
        <v>1</v>
      </c>
      <c r="C524" s="14">
        <v>12.2</v>
      </c>
      <c r="D524" s="14">
        <f t="shared" si="8"/>
        <v>12.2</v>
      </c>
    </row>
    <row r="525" ht="15" spans="1:4">
      <c r="A525" s="12" t="s">
        <v>173</v>
      </c>
      <c r="B525" s="13">
        <v>1</v>
      </c>
      <c r="C525" s="14">
        <v>16.5</v>
      </c>
      <c r="D525" s="14">
        <f t="shared" si="8"/>
        <v>16.5</v>
      </c>
    </row>
    <row r="526" ht="15" spans="1:4">
      <c r="A526" s="12" t="s">
        <v>9</v>
      </c>
      <c r="B526" s="13">
        <v>2</v>
      </c>
      <c r="C526" s="14">
        <v>126.5</v>
      </c>
      <c r="D526" s="14">
        <f t="shared" si="8"/>
        <v>253</v>
      </c>
    </row>
    <row r="527" ht="15" spans="1:4">
      <c r="A527" s="12" t="s">
        <v>55</v>
      </c>
      <c r="B527" s="13">
        <v>3</v>
      </c>
      <c r="C527" s="14">
        <v>197.5</v>
      </c>
      <c r="D527" s="14">
        <f t="shared" si="8"/>
        <v>592.5</v>
      </c>
    </row>
    <row r="528" ht="15" spans="1:4">
      <c r="A528" s="12" t="s">
        <v>60</v>
      </c>
      <c r="B528" s="13">
        <v>2</v>
      </c>
      <c r="C528" s="14">
        <v>131.5</v>
      </c>
      <c r="D528" s="14">
        <f t="shared" si="8"/>
        <v>263</v>
      </c>
    </row>
    <row r="529" ht="15" spans="1:4">
      <c r="A529" s="12" t="s">
        <v>11</v>
      </c>
      <c r="B529" s="13">
        <v>1</v>
      </c>
      <c r="C529" s="14">
        <v>159</v>
      </c>
      <c r="D529" s="14">
        <f t="shared" si="8"/>
        <v>159</v>
      </c>
    </row>
    <row r="530" ht="15" spans="1:4">
      <c r="A530" s="12" t="s">
        <v>28</v>
      </c>
      <c r="B530" s="13">
        <v>3</v>
      </c>
      <c r="C530" s="14">
        <v>0</v>
      </c>
      <c r="D530" s="14">
        <f t="shared" si="8"/>
        <v>0</v>
      </c>
    </row>
    <row r="531" ht="15" spans="1:4">
      <c r="A531" s="12" t="s">
        <v>29</v>
      </c>
      <c r="B531" s="13">
        <v>3</v>
      </c>
      <c r="C531" s="14">
        <v>0</v>
      </c>
      <c r="D531" s="14">
        <f t="shared" si="8"/>
        <v>0</v>
      </c>
    </row>
    <row r="532" ht="15" spans="1:4">
      <c r="A532" s="12" t="s">
        <v>62</v>
      </c>
      <c r="B532" s="13">
        <v>1</v>
      </c>
      <c r="C532" s="14">
        <v>88</v>
      </c>
      <c r="D532" s="14">
        <f t="shared" si="8"/>
        <v>88</v>
      </c>
    </row>
    <row r="533" ht="15" spans="1:4">
      <c r="A533" s="12" t="s">
        <v>63</v>
      </c>
      <c r="B533" s="13">
        <v>1</v>
      </c>
      <c r="C533" s="14">
        <v>143</v>
      </c>
      <c r="D533" s="14">
        <f t="shared" si="8"/>
        <v>143</v>
      </c>
    </row>
    <row r="534" ht="15" spans="1:4">
      <c r="A534" s="12" t="s">
        <v>68</v>
      </c>
      <c r="B534" s="13">
        <v>1</v>
      </c>
      <c r="C534" s="14">
        <v>17.2</v>
      </c>
      <c r="D534" s="14">
        <f t="shared" si="8"/>
        <v>17.2</v>
      </c>
    </row>
    <row r="535" ht="15" spans="1:4">
      <c r="A535" s="12" t="s">
        <v>37</v>
      </c>
      <c r="B535" s="13">
        <v>4</v>
      </c>
      <c r="C535" s="14">
        <v>16.5</v>
      </c>
      <c r="D535" s="14">
        <f t="shared" si="8"/>
        <v>66</v>
      </c>
    </row>
    <row r="536" ht="15" spans="1:4">
      <c r="A536" s="12" t="s">
        <v>40</v>
      </c>
      <c r="B536" s="13">
        <v>1</v>
      </c>
      <c r="C536" s="14">
        <v>14.2</v>
      </c>
      <c r="D536" s="14">
        <f t="shared" si="8"/>
        <v>14.2</v>
      </c>
    </row>
    <row r="537" ht="15" spans="1:4">
      <c r="A537" s="12" t="s">
        <v>195</v>
      </c>
      <c r="B537" s="13">
        <v>1</v>
      </c>
      <c r="C537" s="14">
        <v>9.2</v>
      </c>
      <c r="D537" s="14">
        <f t="shared" si="8"/>
        <v>9.2</v>
      </c>
    </row>
    <row r="538" ht="15" spans="1:4">
      <c r="A538" s="12" t="s">
        <v>41</v>
      </c>
      <c r="B538" s="13">
        <v>1</v>
      </c>
      <c r="C538" s="14">
        <v>27.5</v>
      </c>
      <c r="D538" s="14">
        <f t="shared" si="8"/>
        <v>27.5</v>
      </c>
    </row>
    <row r="539" ht="15" spans="1:4">
      <c r="A539" s="12" t="s">
        <v>42</v>
      </c>
      <c r="B539" s="13">
        <v>2</v>
      </c>
      <c r="C539" s="14">
        <v>17.7</v>
      </c>
      <c r="D539" s="14">
        <f t="shared" si="8"/>
        <v>35.4</v>
      </c>
    </row>
    <row r="540" ht="15" spans="1:4">
      <c r="A540" s="12" t="s">
        <v>44</v>
      </c>
      <c r="B540" s="13">
        <v>5</v>
      </c>
      <c r="C540" s="14">
        <v>16.5</v>
      </c>
      <c r="D540" s="14">
        <f t="shared" si="8"/>
        <v>82.5</v>
      </c>
    </row>
    <row r="541" ht="15" spans="1:4">
      <c r="A541" s="12" t="s">
        <v>47</v>
      </c>
      <c r="B541" s="13">
        <v>11</v>
      </c>
      <c r="C541" s="14">
        <v>22</v>
      </c>
      <c r="D541" s="14">
        <f t="shared" si="8"/>
        <v>242</v>
      </c>
    </row>
    <row r="542" ht="15" spans="1:4">
      <c r="A542" s="12" t="s">
        <v>59</v>
      </c>
      <c r="B542" s="13">
        <v>1</v>
      </c>
      <c r="C542" s="14">
        <v>71</v>
      </c>
      <c r="D542" s="14">
        <f t="shared" si="8"/>
        <v>71</v>
      </c>
    </row>
    <row r="543" ht="15" spans="1:4">
      <c r="A543" s="12" t="s">
        <v>52</v>
      </c>
      <c r="B543" s="13">
        <v>1</v>
      </c>
      <c r="C543" s="14">
        <v>120.5</v>
      </c>
      <c r="D543" s="14">
        <f t="shared" si="8"/>
        <v>120.5</v>
      </c>
    </row>
    <row r="544" ht="15" spans="1:4">
      <c r="A544" s="12" t="s">
        <v>60</v>
      </c>
      <c r="B544" s="13">
        <v>1</v>
      </c>
      <c r="C544" s="14">
        <v>131.5</v>
      </c>
      <c r="D544" s="14">
        <f t="shared" si="8"/>
        <v>131.5</v>
      </c>
    </row>
    <row r="545" ht="15" spans="1:4">
      <c r="A545" s="12" t="s">
        <v>11</v>
      </c>
      <c r="B545" s="13">
        <v>2</v>
      </c>
      <c r="C545" s="14">
        <v>159</v>
      </c>
      <c r="D545" s="14">
        <f t="shared" si="8"/>
        <v>318</v>
      </c>
    </row>
    <row r="546" ht="15" spans="1:4">
      <c r="A546" s="12" t="s">
        <v>37</v>
      </c>
      <c r="B546" s="13">
        <v>3</v>
      </c>
      <c r="C546" s="14">
        <v>16.5</v>
      </c>
      <c r="D546" s="14">
        <f t="shared" si="8"/>
        <v>49.5</v>
      </c>
    </row>
    <row r="547" ht="15" spans="1:4">
      <c r="A547" s="12" t="s">
        <v>42</v>
      </c>
      <c r="B547" s="13">
        <v>2</v>
      </c>
      <c r="C547" s="14">
        <v>17.7</v>
      </c>
      <c r="D547" s="14">
        <f t="shared" si="8"/>
        <v>35.4</v>
      </c>
    </row>
    <row r="548" ht="15" spans="1:4">
      <c r="A548" s="12" t="s">
        <v>43</v>
      </c>
      <c r="B548" s="13">
        <v>5</v>
      </c>
      <c r="C548" s="14">
        <v>16.5</v>
      </c>
      <c r="D548" s="14">
        <f t="shared" si="8"/>
        <v>82.5</v>
      </c>
    </row>
    <row r="549" ht="15" spans="1:4">
      <c r="A549" s="12" t="s">
        <v>44</v>
      </c>
      <c r="B549" s="13">
        <v>1</v>
      </c>
      <c r="C549" s="14">
        <v>16.5</v>
      </c>
      <c r="D549" s="14">
        <f t="shared" si="8"/>
        <v>16.5</v>
      </c>
    </row>
    <row r="550" ht="15" spans="1:4">
      <c r="A550" s="12" t="s">
        <v>47</v>
      </c>
      <c r="B550" s="13">
        <v>2</v>
      </c>
      <c r="C550" s="14">
        <v>22</v>
      </c>
      <c r="D550" s="14">
        <f t="shared" si="8"/>
        <v>44</v>
      </c>
    </row>
    <row r="551" ht="15" spans="1:4">
      <c r="A551" s="12" t="s">
        <v>55</v>
      </c>
      <c r="B551" s="13">
        <v>2</v>
      </c>
      <c r="C551" s="14">
        <v>197.5</v>
      </c>
      <c r="D551" s="14">
        <f t="shared" si="8"/>
        <v>395</v>
      </c>
    </row>
    <row r="552" ht="15" spans="1:4">
      <c r="A552" s="12" t="s">
        <v>52</v>
      </c>
      <c r="B552" s="13">
        <v>1</v>
      </c>
      <c r="C552" s="14">
        <v>120.5</v>
      </c>
      <c r="D552" s="14">
        <f t="shared" si="8"/>
        <v>120.5</v>
      </c>
    </row>
    <row r="553" ht="15" spans="1:4">
      <c r="A553" s="12" t="s">
        <v>10</v>
      </c>
      <c r="B553" s="13">
        <v>1</v>
      </c>
      <c r="C553" s="14">
        <v>159</v>
      </c>
      <c r="D553" s="14">
        <f t="shared" si="8"/>
        <v>159</v>
      </c>
    </row>
    <row r="554" ht="15" spans="1:4">
      <c r="A554" s="12" t="s">
        <v>60</v>
      </c>
      <c r="B554" s="13">
        <v>1</v>
      </c>
      <c r="C554" s="14">
        <v>131.5</v>
      </c>
      <c r="D554" s="14">
        <f t="shared" si="8"/>
        <v>131.5</v>
      </c>
    </row>
    <row r="555" ht="15" spans="1:4">
      <c r="A555" s="12" t="s">
        <v>53</v>
      </c>
      <c r="B555" s="13">
        <v>1</v>
      </c>
      <c r="C555" s="14">
        <v>170</v>
      </c>
      <c r="D555" s="14">
        <f t="shared" si="8"/>
        <v>170</v>
      </c>
    </row>
    <row r="556" ht="15" spans="1:4">
      <c r="A556" s="12" t="s">
        <v>19</v>
      </c>
      <c r="B556" s="13">
        <v>2</v>
      </c>
      <c r="C556" s="14">
        <v>13.3</v>
      </c>
      <c r="D556" s="14">
        <f t="shared" si="8"/>
        <v>26.6</v>
      </c>
    </row>
    <row r="557" ht="15" spans="1:4">
      <c r="A557" s="12" t="s">
        <v>28</v>
      </c>
      <c r="B557" s="13">
        <v>5</v>
      </c>
      <c r="C557" s="14">
        <v>0</v>
      </c>
      <c r="D557" s="14">
        <f t="shared" si="8"/>
        <v>0</v>
      </c>
    </row>
    <row r="558" ht="15" spans="1:4">
      <c r="A558" s="12" t="s">
        <v>29</v>
      </c>
      <c r="B558" s="13">
        <v>5</v>
      </c>
      <c r="C558" s="14">
        <v>0</v>
      </c>
      <c r="D558" s="14">
        <f t="shared" si="8"/>
        <v>0</v>
      </c>
    </row>
    <row r="559" ht="15" spans="1:4">
      <c r="A559" s="12" t="s">
        <v>36</v>
      </c>
      <c r="B559" s="13">
        <v>1</v>
      </c>
      <c r="C559" s="14">
        <v>126.5</v>
      </c>
      <c r="D559" s="14">
        <f t="shared" si="8"/>
        <v>126.5</v>
      </c>
    </row>
    <row r="560" ht="15" spans="1:4">
      <c r="A560" s="12" t="s">
        <v>54</v>
      </c>
      <c r="B560" s="13">
        <v>1</v>
      </c>
      <c r="C560" s="14">
        <v>12.2</v>
      </c>
      <c r="D560" s="14">
        <f t="shared" si="8"/>
        <v>12.2</v>
      </c>
    </row>
    <row r="561" ht="15" spans="1:4">
      <c r="A561" s="12" t="s">
        <v>47</v>
      </c>
      <c r="B561" s="13">
        <v>1</v>
      </c>
      <c r="C561" s="14">
        <v>22</v>
      </c>
      <c r="D561" s="14">
        <f t="shared" si="8"/>
        <v>22</v>
      </c>
    </row>
    <row r="562" ht="15" spans="1:4">
      <c r="A562" s="12" t="s">
        <v>69</v>
      </c>
      <c r="B562" s="13">
        <v>2</v>
      </c>
      <c r="C562" s="14">
        <v>9.2</v>
      </c>
      <c r="D562" s="14">
        <f t="shared" si="8"/>
        <v>18.4</v>
      </c>
    </row>
    <row r="563" ht="15" spans="1:4">
      <c r="A563" s="12" t="s">
        <v>9</v>
      </c>
      <c r="B563" s="13">
        <v>1</v>
      </c>
      <c r="C563" s="14">
        <v>126.5</v>
      </c>
      <c r="D563" s="14">
        <f t="shared" si="8"/>
        <v>126.5</v>
      </c>
    </row>
    <row r="564" ht="15" spans="1:4">
      <c r="A564" s="12" t="s">
        <v>59</v>
      </c>
      <c r="B564" s="13">
        <v>4</v>
      </c>
      <c r="C564" s="14">
        <v>71</v>
      </c>
      <c r="D564" s="14">
        <f t="shared" si="8"/>
        <v>284</v>
      </c>
    </row>
    <row r="565" ht="15" spans="1:4">
      <c r="A565" s="12" t="s">
        <v>55</v>
      </c>
      <c r="B565" s="13">
        <v>1</v>
      </c>
      <c r="C565" s="14">
        <v>197.5</v>
      </c>
      <c r="D565" s="14">
        <f t="shared" si="8"/>
        <v>197.5</v>
      </c>
    </row>
    <row r="566" ht="15" spans="1:4">
      <c r="A566" s="12" t="s">
        <v>127</v>
      </c>
      <c r="B566" s="13">
        <v>1</v>
      </c>
      <c r="C566" s="14">
        <v>104</v>
      </c>
      <c r="D566" s="14">
        <f t="shared" si="8"/>
        <v>104</v>
      </c>
    </row>
    <row r="567" ht="15" spans="1:4">
      <c r="A567" s="12" t="s">
        <v>58</v>
      </c>
      <c r="B567" s="13">
        <v>1</v>
      </c>
      <c r="C567" s="14">
        <v>104</v>
      </c>
      <c r="D567" s="14">
        <f t="shared" si="8"/>
        <v>104</v>
      </c>
    </row>
    <row r="568" ht="15" spans="1:4">
      <c r="A568" s="12" t="s">
        <v>196</v>
      </c>
      <c r="B568" s="13">
        <v>1</v>
      </c>
      <c r="C568" s="14">
        <v>126</v>
      </c>
      <c r="D568" s="14">
        <f t="shared" si="8"/>
        <v>126</v>
      </c>
    </row>
    <row r="569" ht="15" spans="1:4">
      <c r="A569" s="12" t="s">
        <v>11</v>
      </c>
      <c r="B569" s="13">
        <v>1</v>
      </c>
      <c r="C569" s="14">
        <v>159</v>
      </c>
      <c r="D569" s="14">
        <f t="shared" si="8"/>
        <v>159</v>
      </c>
    </row>
    <row r="570" ht="15" spans="1:4">
      <c r="A570" s="12" t="s">
        <v>53</v>
      </c>
      <c r="B570" s="13">
        <v>1</v>
      </c>
      <c r="C570" s="14">
        <v>170</v>
      </c>
      <c r="D570" s="14">
        <f t="shared" si="8"/>
        <v>170</v>
      </c>
    </row>
    <row r="571" ht="15" spans="1:4">
      <c r="A571" s="12" t="s">
        <v>12</v>
      </c>
      <c r="B571" s="13">
        <v>1</v>
      </c>
      <c r="C571" s="14">
        <v>22.3</v>
      </c>
      <c r="D571" s="14">
        <f t="shared" si="8"/>
        <v>22.3</v>
      </c>
    </row>
    <row r="572" ht="15" spans="1:4">
      <c r="A572" s="12" t="s">
        <v>14</v>
      </c>
      <c r="B572" s="13">
        <v>1</v>
      </c>
      <c r="C572" s="14">
        <v>8.3</v>
      </c>
      <c r="D572" s="14">
        <f t="shared" si="8"/>
        <v>8.3</v>
      </c>
    </row>
    <row r="573" ht="15" spans="1:4">
      <c r="A573" s="12" t="s">
        <v>73</v>
      </c>
      <c r="B573" s="13">
        <v>1</v>
      </c>
      <c r="C573" s="14">
        <v>16.8</v>
      </c>
      <c r="D573" s="14">
        <f t="shared" si="8"/>
        <v>16.8</v>
      </c>
    </row>
    <row r="574" ht="15" spans="1:4">
      <c r="A574" s="12" t="s">
        <v>15</v>
      </c>
      <c r="B574" s="13">
        <v>1</v>
      </c>
      <c r="C574" s="14">
        <v>27.8</v>
      </c>
      <c r="D574" s="14">
        <f t="shared" si="8"/>
        <v>27.8</v>
      </c>
    </row>
    <row r="575" ht="15" spans="1:4">
      <c r="A575" s="12" t="s">
        <v>144</v>
      </c>
      <c r="B575" s="13">
        <v>2</v>
      </c>
      <c r="C575" s="14">
        <v>49.8</v>
      </c>
      <c r="D575" s="14">
        <f t="shared" si="8"/>
        <v>99.6</v>
      </c>
    </row>
    <row r="576" ht="15" spans="1:4">
      <c r="A576" s="12" t="s">
        <v>19</v>
      </c>
      <c r="B576" s="13">
        <v>5</v>
      </c>
      <c r="C576" s="14">
        <v>13.3</v>
      </c>
      <c r="D576" s="14">
        <f t="shared" si="8"/>
        <v>66.5</v>
      </c>
    </row>
    <row r="577" ht="15" spans="1:4">
      <c r="A577" s="12" t="s">
        <v>197</v>
      </c>
      <c r="B577" s="13">
        <v>1</v>
      </c>
      <c r="C577" s="14">
        <v>8.3</v>
      </c>
      <c r="D577" s="14">
        <f t="shared" si="8"/>
        <v>8.3</v>
      </c>
    </row>
    <row r="578" ht="15" spans="1:4">
      <c r="A578" s="12" t="s">
        <v>28</v>
      </c>
      <c r="B578" s="13">
        <v>1</v>
      </c>
      <c r="C578" s="14">
        <v>0</v>
      </c>
      <c r="D578" s="14">
        <f t="shared" si="8"/>
        <v>0</v>
      </c>
    </row>
    <row r="579" ht="15" spans="1:4">
      <c r="A579" s="12" t="s">
        <v>29</v>
      </c>
      <c r="B579" s="13">
        <v>6</v>
      </c>
      <c r="C579" s="14">
        <v>0</v>
      </c>
      <c r="D579" s="14">
        <f t="shared" si="8"/>
        <v>0</v>
      </c>
    </row>
    <row r="580" ht="15" spans="1:4">
      <c r="A580" s="12" t="s">
        <v>80</v>
      </c>
      <c r="B580" s="13">
        <v>1</v>
      </c>
      <c r="C580" s="14">
        <v>50</v>
      </c>
      <c r="D580" s="14">
        <f t="shared" si="8"/>
        <v>50</v>
      </c>
    </row>
    <row r="581" ht="15" spans="1:4">
      <c r="A581" s="12" t="s">
        <v>32</v>
      </c>
      <c r="B581" s="13">
        <v>1</v>
      </c>
      <c r="C581" s="14">
        <v>50</v>
      </c>
      <c r="D581" s="14">
        <f t="shared" si="8"/>
        <v>50</v>
      </c>
    </row>
    <row r="582" ht="15" spans="1:4">
      <c r="A582" s="12" t="s">
        <v>139</v>
      </c>
      <c r="B582" s="13">
        <v>1</v>
      </c>
      <c r="C582" s="14">
        <v>50</v>
      </c>
      <c r="D582" s="14">
        <f t="shared" si="8"/>
        <v>50</v>
      </c>
    </row>
    <row r="583" ht="15" spans="1:4">
      <c r="A583" s="12" t="s">
        <v>82</v>
      </c>
      <c r="B583" s="13">
        <v>1</v>
      </c>
      <c r="C583" s="14">
        <v>50</v>
      </c>
      <c r="D583" s="14">
        <f t="shared" ref="D583:D646" si="9">C583*B583</f>
        <v>50</v>
      </c>
    </row>
    <row r="584" ht="15" spans="1:4">
      <c r="A584" s="12" t="s">
        <v>155</v>
      </c>
      <c r="B584" s="13">
        <v>1</v>
      </c>
      <c r="C584" s="14">
        <v>50</v>
      </c>
      <c r="D584" s="14">
        <f t="shared" si="9"/>
        <v>50</v>
      </c>
    </row>
    <row r="585" ht="15" spans="1:4">
      <c r="A585" s="12" t="s">
        <v>198</v>
      </c>
      <c r="B585" s="13">
        <v>1</v>
      </c>
      <c r="C585" s="14">
        <v>143.5</v>
      </c>
      <c r="D585" s="14">
        <f t="shared" si="9"/>
        <v>143.5</v>
      </c>
    </row>
    <row r="586" ht="15" spans="1:4">
      <c r="A586" s="12" t="s">
        <v>34</v>
      </c>
      <c r="B586" s="13">
        <v>1</v>
      </c>
      <c r="C586" s="14">
        <v>66.5</v>
      </c>
      <c r="D586" s="14">
        <f t="shared" si="9"/>
        <v>66.5</v>
      </c>
    </row>
    <row r="587" ht="15" spans="1:4">
      <c r="A587" s="12" t="s">
        <v>145</v>
      </c>
      <c r="B587" s="13">
        <v>1</v>
      </c>
      <c r="C587" s="14">
        <v>66.5</v>
      </c>
      <c r="D587" s="14">
        <f t="shared" si="9"/>
        <v>66.5</v>
      </c>
    </row>
    <row r="588" ht="15" spans="1:4">
      <c r="A588" s="12" t="s">
        <v>67</v>
      </c>
      <c r="B588" s="13">
        <v>1</v>
      </c>
      <c r="C588" s="14">
        <v>22</v>
      </c>
      <c r="D588" s="14">
        <f t="shared" si="9"/>
        <v>22</v>
      </c>
    </row>
    <row r="589" ht="15" spans="1:4">
      <c r="A589" s="12" t="s">
        <v>68</v>
      </c>
      <c r="B589" s="13">
        <v>1</v>
      </c>
      <c r="C589" s="14">
        <v>17.2</v>
      </c>
      <c r="D589" s="14">
        <f t="shared" si="9"/>
        <v>17.2</v>
      </c>
    </row>
    <row r="590" ht="15" spans="1:4">
      <c r="A590" s="12" t="s">
        <v>37</v>
      </c>
      <c r="B590" s="13">
        <v>5</v>
      </c>
      <c r="C590" s="14">
        <v>16.5</v>
      </c>
      <c r="D590" s="14">
        <f t="shared" si="9"/>
        <v>82.5</v>
      </c>
    </row>
    <row r="591" ht="15" spans="1:4">
      <c r="A591" s="12" t="s">
        <v>40</v>
      </c>
      <c r="B591" s="13">
        <v>1</v>
      </c>
      <c r="C591" s="14">
        <v>14.2</v>
      </c>
      <c r="D591" s="14">
        <f t="shared" si="9"/>
        <v>14.2</v>
      </c>
    </row>
    <row r="592" ht="15" spans="1:4">
      <c r="A592" s="12" t="s">
        <v>41</v>
      </c>
      <c r="B592" s="13">
        <v>1</v>
      </c>
      <c r="C592" s="14">
        <v>27.5</v>
      </c>
      <c r="D592" s="14">
        <f t="shared" si="9"/>
        <v>27.5</v>
      </c>
    </row>
    <row r="593" ht="15" spans="1:4">
      <c r="A593" s="12" t="s">
        <v>42</v>
      </c>
      <c r="B593" s="13">
        <v>2</v>
      </c>
      <c r="C593" s="14">
        <v>17.7</v>
      </c>
      <c r="D593" s="14">
        <f t="shared" si="9"/>
        <v>35.4</v>
      </c>
    </row>
    <row r="594" ht="15" spans="1:4">
      <c r="A594" s="12" t="s">
        <v>43</v>
      </c>
      <c r="B594" s="13">
        <v>5</v>
      </c>
      <c r="C594" s="14">
        <v>16.5</v>
      </c>
      <c r="D594" s="14">
        <f t="shared" si="9"/>
        <v>82.5</v>
      </c>
    </row>
    <row r="595" ht="15" spans="1:4">
      <c r="A595" s="12" t="s">
        <v>44</v>
      </c>
      <c r="B595" s="13">
        <v>6</v>
      </c>
      <c r="C595" s="14">
        <v>16.5</v>
      </c>
      <c r="D595" s="14">
        <f t="shared" si="9"/>
        <v>99</v>
      </c>
    </row>
    <row r="596" ht="15" spans="1:4">
      <c r="A596" s="12" t="s">
        <v>47</v>
      </c>
      <c r="B596" s="13">
        <v>12</v>
      </c>
      <c r="C596" s="14">
        <v>22</v>
      </c>
      <c r="D596" s="14">
        <f t="shared" si="9"/>
        <v>264</v>
      </c>
    </row>
    <row r="597" ht="15" spans="1:4">
      <c r="A597" s="12" t="s">
        <v>130</v>
      </c>
      <c r="B597" s="13">
        <v>1</v>
      </c>
      <c r="C597" s="14">
        <v>17.7</v>
      </c>
      <c r="D597" s="14">
        <f t="shared" si="9"/>
        <v>17.7</v>
      </c>
    </row>
    <row r="598" ht="15" spans="1:4">
      <c r="A598" s="12" t="s">
        <v>69</v>
      </c>
      <c r="B598" s="13">
        <v>1</v>
      </c>
      <c r="C598" s="14">
        <v>9.2</v>
      </c>
      <c r="D598" s="14">
        <f t="shared" si="9"/>
        <v>9.2</v>
      </c>
    </row>
    <row r="599" ht="15" spans="1:4">
      <c r="A599" s="12" t="s">
        <v>108</v>
      </c>
      <c r="B599" s="13">
        <v>1</v>
      </c>
      <c r="C599" s="14">
        <v>12.2</v>
      </c>
      <c r="D599" s="14">
        <f t="shared" si="9"/>
        <v>12.2</v>
      </c>
    </row>
    <row r="600" ht="15" spans="1:4">
      <c r="A600" s="12" t="s">
        <v>49</v>
      </c>
      <c r="B600" s="13">
        <v>1</v>
      </c>
      <c r="C600" s="14">
        <v>16.5</v>
      </c>
      <c r="D600" s="14">
        <f t="shared" si="9"/>
        <v>16.5</v>
      </c>
    </row>
    <row r="601" ht="15" spans="1:4">
      <c r="A601" s="12" t="s">
        <v>55</v>
      </c>
      <c r="B601" s="13">
        <v>1</v>
      </c>
      <c r="C601" s="14">
        <v>197.5</v>
      </c>
      <c r="D601" s="14">
        <f t="shared" si="9"/>
        <v>197.5</v>
      </c>
    </row>
    <row r="602" ht="15" spans="1:4">
      <c r="A602" s="12" t="s">
        <v>60</v>
      </c>
      <c r="B602" s="13">
        <v>2</v>
      </c>
      <c r="C602" s="14">
        <v>131.5</v>
      </c>
      <c r="D602" s="14">
        <f t="shared" si="9"/>
        <v>263</v>
      </c>
    </row>
    <row r="603" ht="15" spans="1:4">
      <c r="A603" s="12" t="s">
        <v>11</v>
      </c>
      <c r="B603" s="13">
        <v>1</v>
      </c>
      <c r="C603" s="14">
        <v>159</v>
      </c>
      <c r="D603" s="14">
        <f t="shared" si="9"/>
        <v>159</v>
      </c>
    </row>
    <row r="604" ht="15" spans="1:4">
      <c r="A604" s="12" t="s">
        <v>53</v>
      </c>
      <c r="B604" s="13">
        <v>1</v>
      </c>
      <c r="C604" s="14">
        <v>170</v>
      </c>
      <c r="D604" s="14">
        <f t="shared" si="9"/>
        <v>170</v>
      </c>
    </row>
    <row r="605" ht="15" spans="1:4">
      <c r="A605" s="15" t="s">
        <v>199</v>
      </c>
      <c r="B605" s="13">
        <v>1</v>
      </c>
      <c r="C605" s="14">
        <v>11.3</v>
      </c>
      <c r="D605" s="14">
        <f t="shared" si="9"/>
        <v>11.3</v>
      </c>
    </row>
    <row r="606" ht="15" spans="1:4">
      <c r="A606" s="12" t="s">
        <v>200</v>
      </c>
      <c r="B606" s="13">
        <v>1</v>
      </c>
      <c r="C606" s="14">
        <v>49.8</v>
      </c>
      <c r="D606" s="14">
        <f t="shared" si="9"/>
        <v>49.8</v>
      </c>
    </row>
    <row r="607" ht="15" spans="1:4">
      <c r="A607" s="12" t="s">
        <v>19</v>
      </c>
      <c r="B607" s="13">
        <v>1</v>
      </c>
      <c r="C607" s="14">
        <v>13.3</v>
      </c>
      <c r="D607" s="14">
        <f t="shared" si="9"/>
        <v>13.3</v>
      </c>
    </row>
    <row r="608" ht="15" spans="1:4">
      <c r="A608" s="12" t="s">
        <v>201</v>
      </c>
      <c r="B608" s="13">
        <v>1</v>
      </c>
      <c r="C608" s="14">
        <v>8.3</v>
      </c>
      <c r="D608" s="14">
        <f t="shared" si="9"/>
        <v>8.3</v>
      </c>
    </row>
    <row r="609" ht="15" spans="1:4">
      <c r="A609" s="12" t="s">
        <v>180</v>
      </c>
      <c r="B609" s="13">
        <v>2</v>
      </c>
      <c r="C609" s="14">
        <v>13.8</v>
      </c>
      <c r="D609" s="14">
        <f t="shared" si="9"/>
        <v>27.6</v>
      </c>
    </row>
    <row r="610" ht="15" spans="1:4">
      <c r="A610" s="12" t="s">
        <v>181</v>
      </c>
      <c r="B610" s="13">
        <v>2</v>
      </c>
      <c r="C610" s="14">
        <v>13.8</v>
      </c>
      <c r="D610" s="14">
        <f t="shared" si="9"/>
        <v>27.6</v>
      </c>
    </row>
    <row r="611" ht="15" spans="1:4">
      <c r="A611" s="12" t="s">
        <v>28</v>
      </c>
      <c r="B611" s="13">
        <v>3</v>
      </c>
      <c r="C611" s="14">
        <v>0</v>
      </c>
      <c r="D611" s="14">
        <f t="shared" si="9"/>
        <v>0</v>
      </c>
    </row>
    <row r="612" ht="15" spans="1:4">
      <c r="A612" s="12" t="s">
        <v>29</v>
      </c>
      <c r="B612" s="13">
        <v>4</v>
      </c>
      <c r="C612" s="14">
        <v>0</v>
      </c>
      <c r="D612" s="14">
        <f t="shared" si="9"/>
        <v>0</v>
      </c>
    </row>
    <row r="613" ht="15" spans="1:4">
      <c r="A613" s="12" t="s">
        <v>134</v>
      </c>
      <c r="B613" s="13">
        <v>1</v>
      </c>
      <c r="C613" s="14">
        <v>61</v>
      </c>
      <c r="D613" s="14">
        <f t="shared" si="9"/>
        <v>61</v>
      </c>
    </row>
    <row r="614" ht="15" spans="1:4">
      <c r="A614" s="12" t="s">
        <v>37</v>
      </c>
      <c r="B614" s="13">
        <v>2</v>
      </c>
      <c r="C614" s="14">
        <v>16.5</v>
      </c>
      <c r="D614" s="14">
        <f t="shared" si="9"/>
        <v>33</v>
      </c>
    </row>
    <row r="615" ht="15" spans="1:4">
      <c r="A615" s="12" t="s">
        <v>128</v>
      </c>
      <c r="B615" s="13">
        <v>1</v>
      </c>
      <c r="C615" s="14">
        <v>17.2</v>
      </c>
      <c r="D615" s="14">
        <f t="shared" si="9"/>
        <v>17.2</v>
      </c>
    </row>
    <row r="616" ht="15" spans="1:4">
      <c r="A616" s="12" t="s">
        <v>40</v>
      </c>
      <c r="B616" s="13">
        <v>1</v>
      </c>
      <c r="C616" s="14">
        <v>14.2</v>
      </c>
      <c r="D616" s="14">
        <f t="shared" si="9"/>
        <v>14.2</v>
      </c>
    </row>
    <row r="617" ht="15" spans="1:4">
      <c r="A617" s="12" t="s">
        <v>115</v>
      </c>
      <c r="B617" s="13">
        <v>1</v>
      </c>
      <c r="C617" s="14">
        <v>14.7</v>
      </c>
      <c r="D617" s="14">
        <f t="shared" si="9"/>
        <v>14.7</v>
      </c>
    </row>
    <row r="618" ht="15" spans="1:4">
      <c r="A618" s="12" t="s">
        <v>41</v>
      </c>
      <c r="B618" s="13">
        <v>2</v>
      </c>
      <c r="C618" s="14">
        <v>27.5</v>
      </c>
      <c r="D618" s="14">
        <f t="shared" si="9"/>
        <v>55</v>
      </c>
    </row>
    <row r="619" ht="15" spans="1:4">
      <c r="A619" s="12" t="s">
        <v>42</v>
      </c>
      <c r="B619" s="13">
        <v>4</v>
      </c>
      <c r="C619" s="14">
        <v>17.7</v>
      </c>
      <c r="D619" s="14">
        <f t="shared" si="9"/>
        <v>70.8</v>
      </c>
    </row>
    <row r="620" ht="15" spans="1:4">
      <c r="A620" s="12" t="s">
        <v>43</v>
      </c>
      <c r="B620" s="13">
        <v>2</v>
      </c>
      <c r="C620" s="14">
        <v>16.5</v>
      </c>
      <c r="D620" s="14">
        <f t="shared" si="9"/>
        <v>33</v>
      </c>
    </row>
    <row r="621" ht="15" spans="1:4">
      <c r="A621" s="12" t="s">
        <v>44</v>
      </c>
      <c r="B621" s="13">
        <v>3</v>
      </c>
      <c r="C621" s="14">
        <v>16.5</v>
      </c>
      <c r="D621" s="14">
        <f t="shared" si="9"/>
        <v>49.5</v>
      </c>
    </row>
    <row r="622" ht="15" spans="1:4">
      <c r="A622" s="12" t="s">
        <v>47</v>
      </c>
      <c r="B622" s="13">
        <v>5</v>
      </c>
      <c r="C622" s="14">
        <v>22</v>
      </c>
      <c r="D622" s="14">
        <f t="shared" si="9"/>
        <v>110</v>
      </c>
    </row>
    <row r="623" ht="15" spans="1:4">
      <c r="A623" s="12" t="s">
        <v>148</v>
      </c>
      <c r="B623" s="13">
        <v>1</v>
      </c>
      <c r="C623" s="14">
        <v>9.2</v>
      </c>
      <c r="D623" s="14">
        <f t="shared" si="9"/>
        <v>9.2</v>
      </c>
    </row>
    <row r="624" ht="15" spans="1:4">
      <c r="A624" s="12" t="s">
        <v>108</v>
      </c>
      <c r="B624" s="13">
        <v>2</v>
      </c>
      <c r="C624" s="14">
        <v>12.2</v>
      </c>
      <c r="D624" s="14">
        <f t="shared" si="9"/>
        <v>24.4</v>
      </c>
    </row>
    <row r="625" ht="15" spans="1:4">
      <c r="A625" s="12" t="s">
        <v>202</v>
      </c>
      <c r="B625" s="13">
        <v>1</v>
      </c>
      <c r="C625" s="14">
        <v>132</v>
      </c>
      <c r="D625" s="14">
        <f t="shared" si="9"/>
        <v>132</v>
      </c>
    </row>
    <row r="626" ht="15" spans="1:4">
      <c r="A626" s="12" t="s">
        <v>55</v>
      </c>
      <c r="B626" s="13">
        <v>1</v>
      </c>
      <c r="C626" s="14">
        <v>197.5</v>
      </c>
      <c r="D626" s="14">
        <f t="shared" si="9"/>
        <v>197.5</v>
      </c>
    </row>
    <row r="627" ht="15" spans="1:4">
      <c r="A627" s="12" t="s">
        <v>52</v>
      </c>
      <c r="B627" s="13">
        <v>1</v>
      </c>
      <c r="C627" s="14">
        <v>120.5</v>
      </c>
      <c r="D627" s="14">
        <f t="shared" si="9"/>
        <v>120.5</v>
      </c>
    </row>
    <row r="628" ht="15" spans="1:4">
      <c r="A628" s="12" t="s">
        <v>10</v>
      </c>
      <c r="B628" s="13">
        <v>1</v>
      </c>
      <c r="C628" s="14">
        <v>159</v>
      </c>
      <c r="D628" s="14">
        <f t="shared" si="9"/>
        <v>159</v>
      </c>
    </row>
    <row r="629" ht="15" spans="1:4">
      <c r="A629" s="12" t="s">
        <v>53</v>
      </c>
      <c r="B629" s="13">
        <v>1</v>
      </c>
      <c r="C629" s="14">
        <v>170</v>
      </c>
      <c r="D629" s="14">
        <f t="shared" si="9"/>
        <v>170</v>
      </c>
    </row>
    <row r="630" ht="15" spans="1:4">
      <c r="A630" s="12" t="s">
        <v>94</v>
      </c>
      <c r="B630" s="13">
        <v>1</v>
      </c>
      <c r="C630" s="14">
        <v>35</v>
      </c>
      <c r="D630" s="14">
        <f t="shared" si="9"/>
        <v>35</v>
      </c>
    </row>
    <row r="631" ht="15" spans="1:4">
      <c r="A631" s="12" t="s">
        <v>95</v>
      </c>
      <c r="B631" s="13">
        <v>3</v>
      </c>
      <c r="C631" s="14">
        <v>35</v>
      </c>
      <c r="D631" s="14">
        <f t="shared" si="9"/>
        <v>105</v>
      </c>
    </row>
    <row r="632" ht="15" spans="1:4">
      <c r="A632" s="12" t="s">
        <v>96</v>
      </c>
      <c r="B632" s="13">
        <v>2</v>
      </c>
      <c r="C632" s="14">
        <v>35</v>
      </c>
      <c r="D632" s="14">
        <f t="shared" si="9"/>
        <v>70</v>
      </c>
    </row>
    <row r="633" ht="15" spans="1:4">
      <c r="A633" s="12" t="s">
        <v>159</v>
      </c>
      <c r="B633" s="13">
        <v>1</v>
      </c>
      <c r="C633" s="14">
        <v>44</v>
      </c>
      <c r="D633" s="14">
        <f t="shared" si="9"/>
        <v>44</v>
      </c>
    </row>
    <row r="634" ht="15" spans="1:4">
      <c r="A634" s="15" t="s">
        <v>203</v>
      </c>
      <c r="B634" s="13">
        <v>1</v>
      </c>
      <c r="C634" s="14">
        <v>88</v>
      </c>
      <c r="D634" s="14">
        <f t="shared" si="9"/>
        <v>88</v>
      </c>
    </row>
    <row r="635" ht="15" spans="1:4">
      <c r="A635" s="12" t="s">
        <v>55</v>
      </c>
      <c r="B635" s="13">
        <v>2</v>
      </c>
      <c r="C635" s="14">
        <v>197.5</v>
      </c>
      <c r="D635" s="14">
        <f t="shared" si="9"/>
        <v>395</v>
      </c>
    </row>
    <row r="636" ht="15" spans="1:4">
      <c r="A636" s="12" t="s">
        <v>52</v>
      </c>
      <c r="B636" s="13">
        <v>1</v>
      </c>
      <c r="C636" s="14">
        <v>120.5</v>
      </c>
      <c r="D636" s="14">
        <f t="shared" si="9"/>
        <v>120.5</v>
      </c>
    </row>
    <row r="637" ht="15" spans="1:4">
      <c r="A637" s="12" t="s">
        <v>56</v>
      </c>
      <c r="B637" s="13">
        <v>1</v>
      </c>
      <c r="C637" s="14">
        <v>115</v>
      </c>
      <c r="D637" s="14">
        <f t="shared" si="9"/>
        <v>115</v>
      </c>
    </row>
    <row r="638" ht="15" spans="1:4">
      <c r="A638" s="12" t="s">
        <v>11</v>
      </c>
      <c r="B638" s="13">
        <v>1</v>
      </c>
      <c r="C638" s="14">
        <v>159</v>
      </c>
      <c r="D638" s="14">
        <f t="shared" si="9"/>
        <v>159</v>
      </c>
    </row>
    <row r="639" ht="15" spans="1:4">
      <c r="A639" s="12" t="s">
        <v>151</v>
      </c>
      <c r="B639" s="13">
        <v>1</v>
      </c>
      <c r="C639" s="14">
        <v>170.5</v>
      </c>
      <c r="D639" s="14">
        <f t="shared" si="9"/>
        <v>170.5</v>
      </c>
    </row>
    <row r="640" ht="15" spans="1:4">
      <c r="A640" s="12" t="s">
        <v>123</v>
      </c>
      <c r="B640" s="13">
        <v>1</v>
      </c>
      <c r="C640" s="14">
        <v>60.5</v>
      </c>
      <c r="D640" s="14">
        <f t="shared" si="9"/>
        <v>60.5</v>
      </c>
    </row>
    <row r="641" ht="15" spans="1:4">
      <c r="A641" s="12" t="s">
        <v>37</v>
      </c>
      <c r="B641" s="13">
        <v>6</v>
      </c>
      <c r="C641" s="14">
        <v>16.5</v>
      </c>
      <c r="D641" s="14">
        <f t="shared" si="9"/>
        <v>99</v>
      </c>
    </row>
    <row r="642" ht="15" spans="1:4">
      <c r="A642" s="12" t="s">
        <v>54</v>
      </c>
      <c r="B642" s="13">
        <v>2</v>
      </c>
      <c r="C642" s="14">
        <v>12.2</v>
      </c>
      <c r="D642" s="14">
        <f t="shared" si="9"/>
        <v>24.4</v>
      </c>
    </row>
    <row r="643" ht="15" spans="1:4">
      <c r="A643" s="12" t="s">
        <v>40</v>
      </c>
      <c r="B643" s="13">
        <v>1</v>
      </c>
      <c r="C643" s="14">
        <v>14.2</v>
      </c>
      <c r="D643" s="14">
        <f t="shared" si="9"/>
        <v>14.2</v>
      </c>
    </row>
    <row r="644" ht="15" spans="1:4">
      <c r="A644" s="12" t="s">
        <v>137</v>
      </c>
      <c r="B644" s="13">
        <v>1</v>
      </c>
      <c r="C644" s="14">
        <v>16.5</v>
      </c>
      <c r="D644" s="14">
        <f t="shared" si="9"/>
        <v>16.5</v>
      </c>
    </row>
    <row r="645" ht="15" spans="1:4">
      <c r="A645" s="12" t="s">
        <v>47</v>
      </c>
      <c r="B645" s="13">
        <v>5</v>
      </c>
      <c r="C645" s="14">
        <v>22</v>
      </c>
      <c r="D645" s="14">
        <f t="shared" si="9"/>
        <v>110</v>
      </c>
    </row>
    <row r="646" ht="15" spans="1:4">
      <c r="A646" s="12" t="s">
        <v>14</v>
      </c>
      <c r="B646" s="13">
        <v>1</v>
      </c>
      <c r="C646" s="14">
        <v>8.3</v>
      </c>
      <c r="D646" s="14">
        <f t="shared" si="9"/>
        <v>8.3</v>
      </c>
    </row>
    <row r="647" ht="15" spans="1:4">
      <c r="A647" s="12" t="s">
        <v>73</v>
      </c>
      <c r="B647" s="13">
        <v>1</v>
      </c>
      <c r="C647" s="14">
        <v>16.8</v>
      </c>
      <c r="D647" s="14">
        <f t="shared" ref="D647:D710" si="10">C647*B647</f>
        <v>16.8</v>
      </c>
    </row>
    <row r="648" ht="15" spans="1:4">
      <c r="A648" s="12" t="s">
        <v>15</v>
      </c>
      <c r="B648" s="13">
        <v>3</v>
      </c>
      <c r="C648" s="14">
        <v>27.8</v>
      </c>
      <c r="D648" s="14">
        <f t="shared" si="10"/>
        <v>83.4</v>
      </c>
    </row>
    <row r="649" ht="15" spans="1:4">
      <c r="A649" s="12" t="s">
        <v>152</v>
      </c>
      <c r="B649" s="13">
        <v>1</v>
      </c>
      <c r="C649" s="14">
        <v>33.3</v>
      </c>
      <c r="D649" s="14">
        <f t="shared" si="10"/>
        <v>33.3</v>
      </c>
    </row>
    <row r="650" ht="15" spans="1:4">
      <c r="A650" s="12" t="s">
        <v>19</v>
      </c>
      <c r="B650" s="13">
        <v>2</v>
      </c>
      <c r="C650" s="14">
        <v>13.3</v>
      </c>
      <c r="D650" s="14">
        <f t="shared" si="10"/>
        <v>26.6</v>
      </c>
    </row>
    <row r="651" ht="15" spans="1:4">
      <c r="A651" s="12" t="s">
        <v>26</v>
      </c>
      <c r="B651" s="13">
        <v>1</v>
      </c>
      <c r="C651" s="14">
        <v>13.8</v>
      </c>
      <c r="D651" s="14">
        <f t="shared" si="10"/>
        <v>13.8</v>
      </c>
    </row>
    <row r="652" ht="15" spans="1:4">
      <c r="A652" s="12" t="s">
        <v>28</v>
      </c>
      <c r="B652" s="13">
        <v>5</v>
      </c>
      <c r="C652" s="14">
        <v>0</v>
      </c>
      <c r="D652" s="14">
        <f t="shared" si="10"/>
        <v>0</v>
      </c>
    </row>
    <row r="653" ht="15" spans="1:4">
      <c r="A653" s="12" t="s">
        <v>29</v>
      </c>
      <c r="B653" s="13">
        <v>2</v>
      </c>
      <c r="C653" s="14">
        <v>0</v>
      </c>
      <c r="D653" s="14">
        <f t="shared" si="10"/>
        <v>0</v>
      </c>
    </row>
    <row r="654" ht="15" spans="1:4">
      <c r="A654" s="12" t="s">
        <v>182</v>
      </c>
      <c r="B654" s="13">
        <v>1</v>
      </c>
      <c r="C654" s="14">
        <v>50</v>
      </c>
      <c r="D654" s="14">
        <f t="shared" si="10"/>
        <v>50</v>
      </c>
    </row>
    <row r="655" ht="15" spans="1:4">
      <c r="A655" s="12" t="s">
        <v>204</v>
      </c>
      <c r="B655" s="13">
        <v>1</v>
      </c>
      <c r="C655" s="14">
        <v>50</v>
      </c>
      <c r="D655" s="14">
        <f t="shared" si="10"/>
        <v>50</v>
      </c>
    </row>
    <row r="656" ht="15" spans="1:4">
      <c r="A656" s="12" t="s">
        <v>205</v>
      </c>
      <c r="B656" s="13">
        <v>1</v>
      </c>
      <c r="C656" s="14">
        <v>16.5</v>
      </c>
      <c r="D656" s="14">
        <f t="shared" si="10"/>
        <v>16.5</v>
      </c>
    </row>
    <row r="657" ht="15" spans="1:4">
      <c r="A657" s="12" t="s">
        <v>206</v>
      </c>
      <c r="B657" s="13">
        <v>1</v>
      </c>
      <c r="C657" s="14">
        <v>12.2</v>
      </c>
      <c r="D657" s="14">
        <f t="shared" si="10"/>
        <v>12.2</v>
      </c>
    </row>
    <row r="658" ht="15" spans="1:4">
      <c r="A658" s="12" t="s">
        <v>136</v>
      </c>
      <c r="B658" s="13">
        <v>1</v>
      </c>
      <c r="C658" s="14">
        <v>17.7</v>
      </c>
      <c r="D658" s="14">
        <f t="shared" si="10"/>
        <v>17.7</v>
      </c>
    </row>
    <row r="659" ht="15" spans="1:4">
      <c r="A659" s="12" t="s">
        <v>68</v>
      </c>
      <c r="B659" s="13">
        <v>1</v>
      </c>
      <c r="C659" s="14">
        <v>17.2</v>
      </c>
      <c r="D659" s="14">
        <f t="shared" si="10"/>
        <v>17.2</v>
      </c>
    </row>
    <row r="660" ht="15" spans="1:4">
      <c r="A660" s="12" t="s">
        <v>37</v>
      </c>
      <c r="B660" s="13">
        <v>1</v>
      </c>
      <c r="C660" s="14">
        <v>16.5</v>
      </c>
      <c r="D660" s="14">
        <f t="shared" si="10"/>
        <v>16.5</v>
      </c>
    </row>
    <row r="661" ht="15" spans="1:4">
      <c r="A661" s="12" t="s">
        <v>207</v>
      </c>
      <c r="B661" s="13">
        <v>1</v>
      </c>
      <c r="C661" s="14">
        <v>12.2</v>
      </c>
      <c r="D661" s="14">
        <f t="shared" si="10"/>
        <v>12.2</v>
      </c>
    </row>
    <row r="662" ht="15" spans="1:4">
      <c r="A662" s="12" t="s">
        <v>113</v>
      </c>
      <c r="B662" s="13">
        <v>1</v>
      </c>
      <c r="C662" s="14">
        <v>17.2</v>
      </c>
      <c r="D662" s="14">
        <f t="shared" si="10"/>
        <v>17.2</v>
      </c>
    </row>
    <row r="663" ht="15" spans="1:4">
      <c r="A663" s="12" t="s">
        <v>88</v>
      </c>
      <c r="B663" s="13">
        <v>1</v>
      </c>
      <c r="C663" s="14">
        <v>16.5</v>
      </c>
      <c r="D663" s="14">
        <f t="shared" si="10"/>
        <v>16.5</v>
      </c>
    </row>
    <row r="664" ht="15" spans="1:4">
      <c r="A664" s="12" t="s">
        <v>89</v>
      </c>
      <c r="B664" s="13">
        <v>1</v>
      </c>
      <c r="C664" s="14">
        <v>14.2</v>
      </c>
      <c r="D664" s="14">
        <f t="shared" si="10"/>
        <v>14.2</v>
      </c>
    </row>
    <row r="665" ht="15" spans="1:4">
      <c r="A665" s="12" t="s">
        <v>42</v>
      </c>
      <c r="B665" s="13">
        <v>2</v>
      </c>
      <c r="C665" s="14">
        <v>17.7</v>
      </c>
      <c r="D665" s="14">
        <f t="shared" si="10"/>
        <v>35.4</v>
      </c>
    </row>
    <row r="666" ht="15" spans="1:4">
      <c r="A666" s="12" t="s">
        <v>43</v>
      </c>
      <c r="B666" s="13">
        <v>5</v>
      </c>
      <c r="C666" s="14">
        <v>16.5</v>
      </c>
      <c r="D666" s="14">
        <f t="shared" si="10"/>
        <v>82.5</v>
      </c>
    </row>
    <row r="667" ht="15" spans="1:4">
      <c r="A667" s="12" t="s">
        <v>44</v>
      </c>
      <c r="B667" s="13">
        <v>2</v>
      </c>
      <c r="C667" s="14">
        <v>16.5</v>
      </c>
      <c r="D667" s="14">
        <f t="shared" si="10"/>
        <v>33</v>
      </c>
    </row>
    <row r="668" ht="15" spans="1:4">
      <c r="A668" s="12" t="s">
        <v>208</v>
      </c>
      <c r="B668" s="13">
        <v>1</v>
      </c>
      <c r="C668" s="14">
        <v>16.5</v>
      </c>
      <c r="D668" s="14">
        <f t="shared" si="10"/>
        <v>16.5</v>
      </c>
    </row>
    <row r="669" ht="15" spans="1:4">
      <c r="A669" s="12" t="s">
        <v>47</v>
      </c>
      <c r="B669" s="13">
        <v>4</v>
      </c>
      <c r="C669" s="14">
        <v>22</v>
      </c>
      <c r="D669" s="14">
        <f t="shared" si="10"/>
        <v>88</v>
      </c>
    </row>
    <row r="670" ht="15" spans="1:4">
      <c r="A670" s="12" t="s">
        <v>173</v>
      </c>
      <c r="B670" s="13">
        <v>1</v>
      </c>
      <c r="C670" s="14">
        <v>16.5</v>
      </c>
      <c r="D670" s="14">
        <f t="shared" si="10"/>
        <v>16.5</v>
      </c>
    </row>
    <row r="671" ht="15" spans="1:4">
      <c r="A671" s="12" t="s">
        <v>49</v>
      </c>
      <c r="B671" s="13">
        <v>1</v>
      </c>
      <c r="C671" s="14">
        <v>16.5</v>
      </c>
      <c r="D671" s="14">
        <f t="shared" si="10"/>
        <v>16.5</v>
      </c>
    </row>
    <row r="672" ht="15" spans="1:4">
      <c r="A672" s="12" t="s">
        <v>160</v>
      </c>
      <c r="B672" s="13">
        <v>1</v>
      </c>
      <c r="C672" s="14">
        <v>44</v>
      </c>
      <c r="D672" s="14">
        <f t="shared" si="10"/>
        <v>44</v>
      </c>
    </row>
    <row r="673" ht="15" spans="1:4">
      <c r="A673" s="12" t="s">
        <v>162</v>
      </c>
      <c r="B673" s="13">
        <v>1</v>
      </c>
      <c r="C673" s="14">
        <v>28</v>
      </c>
      <c r="D673" s="14">
        <f t="shared" si="10"/>
        <v>28</v>
      </c>
    </row>
    <row r="674" ht="15" spans="1:4">
      <c r="A674" s="15" t="s">
        <v>99</v>
      </c>
      <c r="B674" s="13">
        <v>1</v>
      </c>
      <c r="C674" s="14">
        <v>28</v>
      </c>
      <c r="D674" s="14">
        <f t="shared" si="10"/>
        <v>28</v>
      </c>
    </row>
    <row r="675" ht="15" spans="1:4">
      <c r="A675" s="12" t="s">
        <v>101</v>
      </c>
      <c r="B675" s="13">
        <v>1</v>
      </c>
      <c r="C675" s="14">
        <v>35</v>
      </c>
      <c r="D675" s="14">
        <f t="shared" si="10"/>
        <v>35</v>
      </c>
    </row>
    <row r="676" ht="15" spans="1:4">
      <c r="A676" s="12" t="s">
        <v>52</v>
      </c>
      <c r="B676" s="13">
        <v>1</v>
      </c>
      <c r="C676" s="14">
        <v>120.5</v>
      </c>
      <c r="D676" s="14">
        <f t="shared" si="10"/>
        <v>120.5</v>
      </c>
    </row>
    <row r="677" ht="15" spans="1:4">
      <c r="A677" s="12" t="s">
        <v>58</v>
      </c>
      <c r="B677" s="13">
        <v>1</v>
      </c>
      <c r="C677" s="14">
        <v>104</v>
      </c>
      <c r="D677" s="14">
        <f t="shared" si="10"/>
        <v>104</v>
      </c>
    </row>
    <row r="678" ht="15" spans="1:4">
      <c r="A678" s="12" t="s">
        <v>37</v>
      </c>
      <c r="B678" s="13">
        <v>1</v>
      </c>
      <c r="C678" s="14">
        <v>16.5</v>
      </c>
      <c r="D678" s="14">
        <f t="shared" si="10"/>
        <v>16.5</v>
      </c>
    </row>
    <row r="679" ht="15" spans="1:4">
      <c r="A679" s="12" t="s">
        <v>47</v>
      </c>
      <c r="B679" s="13">
        <v>2</v>
      </c>
      <c r="C679" s="14">
        <v>22</v>
      </c>
      <c r="D679" s="14">
        <f t="shared" si="10"/>
        <v>44</v>
      </c>
    </row>
    <row r="680" ht="15" spans="1:4">
      <c r="A680" s="12" t="s">
        <v>209</v>
      </c>
      <c r="B680" s="13">
        <v>1</v>
      </c>
      <c r="C680" s="14">
        <v>214.5</v>
      </c>
      <c r="D680" s="14">
        <f t="shared" si="10"/>
        <v>214.5</v>
      </c>
    </row>
    <row r="681" ht="15" spans="1:4">
      <c r="A681" s="12" t="s">
        <v>210</v>
      </c>
      <c r="B681" s="13">
        <v>1</v>
      </c>
      <c r="C681" s="14">
        <v>302.5</v>
      </c>
      <c r="D681" s="14">
        <f t="shared" si="10"/>
        <v>302.5</v>
      </c>
    </row>
    <row r="682" ht="15" spans="1:4">
      <c r="A682" s="12" t="s">
        <v>211</v>
      </c>
      <c r="B682" s="13">
        <v>1</v>
      </c>
      <c r="C682" s="14">
        <v>16.5</v>
      </c>
      <c r="D682" s="14">
        <f t="shared" si="10"/>
        <v>16.5</v>
      </c>
    </row>
    <row r="683" ht="15" spans="1:4">
      <c r="A683" s="12" t="s">
        <v>9</v>
      </c>
      <c r="B683" s="13">
        <v>1</v>
      </c>
      <c r="C683" s="14">
        <v>126.5</v>
      </c>
      <c r="D683" s="14">
        <f t="shared" si="10"/>
        <v>126.5</v>
      </c>
    </row>
    <row r="684" ht="15" spans="1:4">
      <c r="A684" s="12" t="s">
        <v>55</v>
      </c>
      <c r="B684" s="13">
        <v>1</v>
      </c>
      <c r="C684" s="14">
        <v>197.5</v>
      </c>
      <c r="D684" s="14">
        <f t="shared" si="10"/>
        <v>197.5</v>
      </c>
    </row>
    <row r="685" ht="15" spans="1:4">
      <c r="A685" s="12" t="s">
        <v>58</v>
      </c>
      <c r="B685" s="13">
        <v>1</v>
      </c>
      <c r="C685" s="14">
        <v>104</v>
      </c>
      <c r="D685" s="14">
        <f t="shared" si="10"/>
        <v>104</v>
      </c>
    </row>
    <row r="686" ht="15" spans="1:4">
      <c r="A686" s="12" t="s">
        <v>11</v>
      </c>
      <c r="B686" s="13">
        <v>1</v>
      </c>
      <c r="C686" s="14">
        <v>159</v>
      </c>
      <c r="D686" s="14">
        <f t="shared" si="10"/>
        <v>159</v>
      </c>
    </row>
    <row r="687" ht="15" spans="1:4">
      <c r="A687" s="12" t="s">
        <v>15</v>
      </c>
      <c r="B687" s="13">
        <v>1</v>
      </c>
      <c r="C687" s="14">
        <v>27.8</v>
      </c>
      <c r="D687" s="14">
        <f t="shared" si="10"/>
        <v>27.8</v>
      </c>
    </row>
    <row r="688" ht="15" spans="1:4">
      <c r="A688" s="12" t="s">
        <v>19</v>
      </c>
      <c r="B688" s="13">
        <v>1</v>
      </c>
      <c r="C688" s="14">
        <v>13.3</v>
      </c>
      <c r="D688" s="14">
        <f t="shared" si="10"/>
        <v>13.3</v>
      </c>
    </row>
    <row r="689" ht="15" spans="1:4">
      <c r="A689" s="12" t="s">
        <v>24</v>
      </c>
      <c r="B689" s="13">
        <v>3</v>
      </c>
      <c r="C689" s="14">
        <v>8.3</v>
      </c>
      <c r="D689" s="14">
        <f t="shared" si="10"/>
        <v>24.9</v>
      </c>
    </row>
    <row r="690" ht="15" spans="1:4">
      <c r="A690" s="12" t="s">
        <v>28</v>
      </c>
      <c r="B690" s="13">
        <v>2</v>
      </c>
      <c r="C690" s="14">
        <v>0</v>
      </c>
      <c r="D690" s="14">
        <f t="shared" si="10"/>
        <v>0</v>
      </c>
    </row>
    <row r="691" ht="15" spans="1:4">
      <c r="A691" s="12" t="s">
        <v>80</v>
      </c>
      <c r="B691" s="13">
        <v>1</v>
      </c>
      <c r="C691" s="14">
        <v>50</v>
      </c>
      <c r="D691" s="14">
        <f t="shared" si="10"/>
        <v>50</v>
      </c>
    </row>
    <row r="692" ht="15" spans="1:4">
      <c r="A692" s="12" t="s">
        <v>32</v>
      </c>
      <c r="B692" s="13">
        <v>1</v>
      </c>
      <c r="C692" s="14">
        <v>50</v>
      </c>
      <c r="D692" s="14">
        <f t="shared" si="10"/>
        <v>50</v>
      </c>
    </row>
    <row r="693" ht="15" spans="1:4">
      <c r="A693" s="12" t="s">
        <v>133</v>
      </c>
      <c r="B693" s="13">
        <v>1</v>
      </c>
      <c r="C693" s="14">
        <v>50</v>
      </c>
      <c r="D693" s="14">
        <f t="shared" si="10"/>
        <v>50</v>
      </c>
    </row>
    <row r="694" ht="15" spans="1:4">
      <c r="A694" s="12" t="s">
        <v>212</v>
      </c>
      <c r="B694" s="13">
        <v>1</v>
      </c>
      <c r="C694" s="14">
        <v>27.5</v>
      </c>
      <c r="D694" s="14">
        <f t="shared" si="10"/>
        <v>27.5</v>
      </c>
    </row>
    <row r="695" ht="15" spans="1:4">
      <c r="A695" s="12" t="s">
        <v>68</v>
      </c>
      <c r="B695" s="13">
        <v>1</v>
      </c>
      <c r="C695" s="14">
        <v>17.2</v>
      </c>
      <c r="D695" s="14">
        <f t="shared" si="10"/>
        <v>17.2</v>
      </c>
    </row>
    <row r="696" ht="15" spans="1:4">
      <c r="A696" s="12" t="s">
        <v>37</v>
      </c>
      <c r="B696" s="13">
        <v>3</v>
      </c>
      <c r="C696" s="14">
        <v>16.5</v>
      </c>
      <c r="D696" s="14">
        <f t="shared" si="10"/>
        <v>49.5</v>
      </c>
    </row>
    <row r="697" ht="15" spans="1:4">
      <c r="A697" s="12" t="s">
        <v>43</v>
      </c>
      <c r="B697" s="13">
        <v>2</v>
      </c>
      <c r="C697" s="14">
        <v>16.5</v>
      </c>
      <c r="D697" s="14">
        <f t="shared" si="10"/>
        <v>33</v>
      </c>
    </row>
    <row r="698" ht="15" spans="1:4">
      <c r="A698" s="12" t="s">
        <v>47</v>
      </c>
      <c r="B698" s="13">
        <v>4</v>
      </c>
      <c r="C698" s="14">
        <v>22</v>
      </c>
      <c r="D698" s="14">
        <f t="shared" si="10"/>
        <v>88</v>
      </c>
    </row>
    <row r="699" ht="15" spans="1:4">
      <c r="A699" s="12" t="s">
        <v>68</v>
      </c>
      <c r="B699" s="13">
        <v>1</v>
      </c>
      <c r="C699" s="14">
        <v>17.2</v>
      </c>
      <c r="D699" s="14">
        <f t="shared" si="10"/>
        <v>17.2</v>
      </c>
    </row>
    <row r="700" ht="15" spans="1:4">
      <c r="A700" s="12" t="s">
        <v>196</v>
      </c>
      <c r="B700" s="13">
        <v>2</v>
      </c>
      <c r="C700" s="14">
        <v>126</v>
      </c>
      <c r="D700" s="14">
        <f t="shared" si="10"/>
        <v>252</v>
      </c>
    </row>
    <row r="701" ht="15" spans="1:4">
      <c r="A701" s="12" t="s">
        <v>11</v>
      </c>
      <c r="B701" s="13">
        <v>1</v>
      </c>
      <c r="C701" s="14">
        <v>159</v>
      </c>
      <c r="D701" s="14">
        <f t="shared" si="10"/>
        <v>159</v>
      </c>
    </row>
    <row r="702" ht="15" spans="1:4">
      <c r="A702" s="12" t="s">
        <v>37</v>
      </c>
      <c r="B702" s="13">
        <v>1</v>
      </c>
      <c r="C702" s="14">
        <v>16.5</v>
      </c>
      <c r="D702" s="14">
        <f t="shared" si="10"/>
        <v>16.5</v>
      </c>
    </row>
    <row r="703" ht="15" spans="1:4">
      <c r="A703" s="12" t="s">
        <v>47</v>
      </c>
      <c r="B703" s="13">
        <v>3</v>
      </c>
      <c r="C703" s="14">
        <v>22</v>
      </c>
      <c r="D703" s="14">
        <f t="shared" si="10"/>
        <v>66</v>
      </c>
    </row>
    <row r="704" ht="15" spans="1:4">
      <c r="A704" s="12" t="s">
        <v>9</v>
      </c>
      <c r="B704" s="13">
        <v>1</v>
      </c>
      <c r="C704" s="14">
        <v>126.5</v>
      </c>
      <c r="D704" s="14">
        <f t="shared" si="10"/>
        <v>126.5</v>
      </c>
    </row>
    <row r="705" ht="15" spans="1:4">
      <c r="A705" s="12" t="s">
        <v>55</v>
      </c>
      <c r="B705" s="13">
        <v>1</v>
      </c>
      <c r="C705" s="14">
        <v>197.5</v>
      </c>
      <c r="D705" s="14">
        <f t="shared" si="10"/>
        <v>197.5</v>
      </c>
    </row>
    <row r="706" ht="15" spans="1:4">
      <c r="A706" s="12" t="s">
        <v>52</v>
      </c>
      <c r="B706" s="13">
        <v>3</v>
      </c>
      <c r="C706" s="14">
        <v>120.5</v>
      </c>
      <c r="D706" s="14">
        <f t="shared" si="10"/>
        <v>361.5</v>
      </c>
    </row>
    <row r="707" ht="15" spans="1:4">
      <c r="A707" s="12" t="s">
        <v>10</v>
      </c>
      <c r="B707" s="13">
        <v>1</v>
      </c>
      <c r="C707" s="14">
        <v>159</v>
      </c>
      <c r="D707" s="14">
        <f t="shared" si="10"/>
        <v>159</v>
      </c>
    </row>
    <row r="708" ht="15" spans="1:4">
      <c r="A708" s="12" t="s">
        <v>60</v>
      </c>
      <c r="B708" s="13">
        <v>2</v>
      </c>
      <c r="C708" s="14">
        <v>131.5</v>
      </c>
      <c r="D708" s="14">
        <f t="shared" si="10"/>
        <v>263</v>
      </c>
    </row>
    <row r="709" ht="15" spans="1:4">
      <c r="A709" s="12" t="s">
        <v>58</v>
      </c>
      <c r="B709" s="13">
        <v>1</v>
      </c>
      <c r="C709" s="14">
        <v>104</v>
      </c>
      <c r="D709" s="14">
        <f t="shared" si="10"/>
        <v>104</v>
      </c>
    </row>
    <row r="710" ht="15" spans="1:4">
      <c r="A710" s="12" t="s">
        <v>53</v>
      </c>
      <c r="B710" s="13">
        <v>1</v>
      </c>
      <c r="C710" s="14">
        <v>170</v>
      </c>
      <c r="D710" s="14">
        <f t="shared" si="10"/>
        <v>170</v>
      </c>
    </row>
    <row r="711" ht="15" spans="1:4">
      <c r="A711" s="12" t="s">
        <v>29</v>
      </c>
      <c r="B711" s="13">
        <v>2</v>
      </c>
      <c r="C711" s="14">
        <v>0</v>
      </c>
      <c r="D711" s="14">
        <f t="shared" ref="D711:D774" si="11">C711*B711</f>
        <v>0</v>
      </c>
    </row>
    <row r="712" ht="15" spans="1:4">
      <c r="A712" s="12" t="s">
        <v>213</v>
      </c>
      <c r="B712" s="13">
        <v>1</v>
      </c>
      <c r="C712" s="14">
        <v>88</v>
      </c>
      <c r="D712" s="14">
        <f t="shared" si="11"/>
        <v>88</v>
      </c>
    </row>
    <row r="713" ht="15" spans="1:4">
      <c r="A713" s="12" t="s">
        <v>37</v>
      </c>
      <c r="B713" s="13">
        <v>4</v>
      </c>
      <c r="C713" s="14">
        <v>16.5</v>
      </c>
      <c r="D713" s="14">
        <f t="shared" si="11"/>
        <v>66</v>
      </c>
    </row>
    <row r="714" ht="15" spans="1:4">
      <c r="A714" s="12" t="s">
        <v>54</v>
      </c>
      <c r="B714" s="13">
        <v>3</v>
      </c>
      <c r="C714" s="14">
        <v>12.2</v>
      </c>
      <c r="D714" s="14">
        <f t="shared" si="11"/>
        <v>36.6</v>
      </c>
    </row>
    <row r="715" ht="15" spans="1:4">
      <c r="A715" s="12" t="s">
        <v>40</v>
      </c>
      <c r="B715" s="13">
        <v>1</v>
      </c>
      <c r="C715" s="14">
        <v>14.2</v>
      </c>
      <c r="D715" s="14">
        <f t="shared" si="11"/>
        <v>14.2</v>
      </c>
    </row>
    <row r="716" ht="15" spans="1:4">
      <c r="A716" s="12" t="s">
        <v>41</v>
      </c>
      <c r="B716" s="13">
        <v>1</v>
      </c>
      <c r="C716" s="14">
        <v>27.5</v>
      </c>
      <c r="D716" s="14">
        <f t="shared" si="11"/>
        <v>27.5</v>
      </c>
    </row>
    <row r="717" ht="15" spans="1:4">
      <c r="A717" s="12" t="s">
        <v>42</v>
      </c>
      <c r="B717" s="13">
        <v>3</v>
      </c>
      <c r="C717" s="14">
        <v>17.7</v>
      </c>
      <c r="D717" s="14">
        <f t="shared" si="11"/>
        <v>53.1</v>
      </c>
    </row>
    <row r="718" ht="15" spans="1:4">
      <c r="A718" s="12" t="s">
        <v>47</v>
      </c>
      <c r="B718" s="13">
        <v>9</v>
      </c>
      <c r="C718" s="14">
        <v>22</v>
      </c>
      <c r="D718" s="14">
        <f t="shared" si="11"/>
        <v>198</v>
      </c>
    </row>
    <row r="719" ht="15" spans="1:4">
      <c r="A719" s="15" t="s">
        <v>214</v>
      </c>
      <c r="B719" s="13">
        <v>1</v>
      </c>
      <c r="C719" s="14">
        <v>236.5</v>
      </c>
      <c r="D719" s="14">
        <f t="shared" si="11"/>
        <v>236.5</v>
      </c>
    </row>
    <row r="720" ht="15" spans="1:4">
      <c r="A720" s="12" t="s">
        <v>55</v>
      </c>
      <c r="B720" s="13">
        <v>4</v>
      </c>
      <c r="C720" s="14">
        <v>197.5</v>
      </c>
      <c r="D720" s="14">
        <f t="shared" si="11"/>
        <v>790</v>
      </c>
    </row>
    <row r="721" ht="15" spans="1:4">
      <c r="A721" s="12" t="s">
        <v>10</v>
      </c>
      <c r="B721" s="13">
        <v>2</v>
      </c>
      <c r="C721" s="14">
        <v>159</v>
      </c>
      <c r="D721" s="14">
        <f t="shared" si="11"/>
        <v>318</v>
      </c>
    </row>
    <row r="722" ht="15" spans="1:4">
      <c r="A722" s="12" t="s">
        <v>60</v>
      </c>
      <c r="B722" s="13">
        <v>1</v>
      </c>
      <c r="C722" s="14">
        <v>131.5</v>
      </c>
      <c r="D722" s="14">
        <f t="shared" si="11"/>
        <v>131.5</v>
      </c>
    </row>
    <row r="723" ht="15" spans="1:4">
      <c r="A723" s="12" t="s">
        <v>163</v>
      </c>
      <c r="B723" s="13">
        <v>1</v>
      </c>
      <c r="C723" s="14">
        <v>55</v>
      </c>
      <c r="D723" s="14">
        <f t="shared" si="11"/>
        <v>55</v>
      </c>
    </row>
    <row r="724" ht="15" spans="1:4">
      <c r="A724" s="12" t="s">
        <v>58</v>
      </c>
      <c r="B724" s="13">
        <v>1</v>
      </c>
      <c r="C724" s="14">
        <v>104</v>
      </c>
      <c r="D724" s="14">
        <f t="shared" si="11"/>
        <v>104</v>
      </c>
    </row>
    <row r="725" ht="15" spans="1:4">
      <c r="A725" s="12" t="s">
        <v>11</v>
      </c>
      <c r="B725" s="13">
        <v>1</v>
      </c>
      <c r="C725" s="14">
        <v>159</v>
      </c>
      <c r="D725" s="14">
        <f t="shared" si="11"/>
        <v>159</v>
      </c>
    </row>
    <row r="726" ht="15" spans="1:4">
      <c r="A726" s="12" t="s">
        <v>53</v>
      </c>
      <c r="B726" s="13">
        <v>1</v>
      </c>
      <c r="C726" s="14">
        <v>170</v>
      </c>
      <c r="D726" s="14">
        <f t="shared" si="11"/>
        <v>170</v>
      </c>
    </row>
    <row r="727" ht="15" spans="1:4">
      <c r="A727" s="12" t="s">
        <v>12</v>
      </c>
      <c r="B727" s="13">
        <v>2</v>
      </c>
      <c r="C727" s="14">
        <v>22.3</v>
      </c>
      <c r="D727" s="14">
        <f t="shared" si="11"/>
        <v>44.6</v>
      </c>
    </row>
    <row r="728" ht="15" spans="1:4">
      <c r="A728" s="12" t="s">
        <v>74</v>
      </c>
      <c r="B728" s="13">
        <v>1</v>
      </c>
      <c r="C728" s="14">
        <v>22.3</v>
      </c>
      <c r="D728" s="14">
        <f t="shared" si="11"/>
        <v>22.3</v>
      </c>
    </row>
    <row r="729" ht="15" spans="1:4">
      <c r="A729" s="12" t="s">
        <v>152</v>
      </c>
      <c r="B729" s="13">
        <v>1</v>
      </c>
      <c r="C729" s="14">
        <v>33.3</v>
      </c>
      <c r="D729" s="14">
        <f t="shared" si="11"/>
        <v>33.3</v>
      </c>
    </row>
    <row r="730" ht="15" spans="1:4">
      <c r="A730" s="12" t="s">
        <v>175</v>
      </c>
      <c r="B730" s="13">
        <v>1</v>
      </c>
      <c r="C730" s="14">
        <v>13.8</v>
      </c>
      <c r="D730" s="14">
        <f t="shared" si="11"/>
        <v>13.8</v>
      </c>
    </row>
    <row r="731" ht="15" spans="1:4">
      <c r="A731" s="12" t="s">
        <v>176</v>
      </c>
      <c r="B731" s="13">
        <v>1</v>
      </c>
      <c r="C731" s="14">
        <v>8.3</v>
      </c>
      <c r="D731" s="14">
        <f t="shared" si="11"/>
        <v>8.3</v>
      </c>
    </row>
    <row r="732" ht="15" spans="1:4">
      <c r="A732" s="12" t="s">
        <v>18</v>
      </c>
      <c r="B732" s="13">
        <v>2</v>
      </c>
      <c r="C732" s="14">
        <v>33.3</v>
      </c>
      <c r="D732" s="14">
        <f t="shared" si="11"/>
        <v>66.6</v>
      </c>
    </row>
    <row r="733" ht="15" spans="1:4">
      <c r="A733" s="12" t="s">
        <v>19</v>
      </c>
      <c r="B733" s="13">
        <v>2</v>
      </c>
      <c r="C733" s="14">
        <v>13.3</v>
      </c>
      <c r="D733" s="14">
        <f t="shared" si="11"/>
        <v>26.6</v>
      </c>
    </row>
    <row r="734" ht="15" spans="1:4">
      <c r="A734" s="12" t="s">
        <v>77</v>
      </c>
      <c r="B734" s="13">
        <v>1</v>
      </c>
      <c r="C734" s="14">
        <v>13.8</v>
      </c>
      <c r="D734" s="14">
        <f t="shared" si="11"/>
        <v>13.8</v>
      </c>
    </row>
    <row r="735" ht="15" spans="1:4">
      <c r="A735" s="12" t="s">
        <v>215</v>
      </c>
      <c r="B735" s="13">
        <v>1</v>
      </c>
      <c r="C735" s="14">
        <v>8.3</v>
      </c>
      <c r="D735" s="14">
        <f t="shared" si="11"/>
        <v>8.3</v>
      </c>
    </row>
    <row r="736" ht="15" spans="1:4">
      <c r="A736" s="12" t="s">
        <v>24</v>
      </c>
      <c r="B736" s="13">
        <v>1</v>
      </c>
      <c r="C736" s="14">
        <v>8.3</v>
      </c>
      <c r="D736" s="14">
        <f t="shared" si="11"/>
        <v>8.3</v>
      </c>
    </row>
    <row r="737" ht="15" spans="1:4">
      <c r="A737" s="12" t="s">
        <v>28</v>
      </c>
      <c r="B737" s="13">
        <v>6</v>
      </c>
      <c r="C737" s="14">
        <v>0</v>
      </c>
      <c r="D737" s="14">
        <f t="shared" si="11"/>
        <v>0</v>
      </c>
    </row>
    <row r="738" ht="15" spans="1:4">
      <c r="A738" s="12" t="s">
        <v>29</v>
      </c>
      <c r="B738" s="13">
        <v>3</v>
      </c>
      <c r="C738" s="14">
        <v>0</v>
      </c>
      <c r="D738" s="14">
        <f t="shared" si="11"/>
        <v>0</v>
      </c>
    </row>
    <row r="739" ht="15" spans="1:4">
      <c r="A739" s="15" t="s">
        <v>30</v>
      </c>
      <c r="B739" s="13">
        <v>1</v>
      </c>
      <c r="C739" s="14">
        <v>50</v>
      </c>
      <c r="D739" s="14">
        <f t="shared" si="11"/>
        <v>50</v>
      </c>
    </row>
    <row r="740" ht="15" spans="1:4">
      <c r="A740" s="12" t="s">
        <v>154</v>
      </c>
      <c r="B740" s="13">
        <v>1</v>
      </c>
      <c r="C740" s="14">
        <v>50</v>
      </c>
      <c r="D740" s="14">
        <f t="shared" si="11"/>
        <v>50</v>
      </c>
    </row>
    <row r="741" ht="15" spans="1:4">
      <c r="A741" s="12" t="s">
        <v>80</v>
      </c>
      <c r="B741" s="13">
        <v>1</v>
      </c>
      <c r="C741" s="14">
        <v>50</v>
      </c>
      <c r="D741" s="14">
        <f t="shared" si="11"/>
        <v>50</v>
      </c>
    </row>
    <row r="742" ht="15" spans="1:4">
      <c r="A742" s="12" t="s">
        <v>216</v>
      </c>
      <c r="B742" s="13">
        <v>1</v>
      </c>
      <c r="C742" s="14">
        <v>50</v>
      </c>
      <c r="D742" s="14">
        <f t="shared" si="11"/>
        <v>50</v>
      </c>
    </row>
    <row r="743" ht="15" spans="1:4">
      <c r="A743" s="12" t="s">
        <v>150</v>
      </c>
      <c r="B743" s="13">
        <v>1</v>
      </c>
      <c r="C743" s="14">
        <v>236.5</v>
      </c>
      <c r="D743" s="14">
        <f t="shared" si="11"/>
        <v>236.5</v>
      </c>
    </row>
    <row r="744" ht="15" spans="1:4">
      <c r="A744" s="12" t="s">
        <v>68</v>
      </c>
      <c r="B744" s="13">
        <v>1</v>
      </c>
      <c r="C744" s="14">
        <v>17.2</v>
      </c>
      <c r="D744" s="14">
        <f t="shared" si="11"/>
        <v>17.2</v>
      </c>
    </row>
    <row r="745" ht="15" spans="1:4">
      <c r="A745" s="12" t="s">
        <v>37</v>
      </c>
      <c r="B745" s="13">
        <v>5</v>
      </c>
      <c r="C745" s="14">
        <v>16.5</v>
      </c>
      <c r="D745" s="14">
        <f t="shared" si="11"/>
        <v>82.5</v>
      </c>
    </row>
    <row r="746" ht="15" spans="1:4">
      <c r="A746" s="12" t="s">
        <v>194</v>
      </c>
      <c r="B746" s="13">
        <v>3</v>
      </c>
      <c r="C746" s="14">
        <v>17.7</v>
      </c>
      <c r="D746" s="14">
        <f t="shared" si="11"/>
        <v>53.1</v>
      </c>
    </row>
    <row r="747" ht="15" spans="1:4">
      <c r="A747" s="12" t="s">
        <v>188</v>
      </c>
      <c r="B747" s="13">
        <v>1</v>
      </c>
      <c r="C747" s="14">
        <v>22</v>
      </c>
      <c r="D747" s="14">
        <f t="shared" si="11"/>
        <v>22</v>
      </c>
    </row>
    <row r="748" ht="15" spans="1:4">
      <c r="A748" s="12" t="s">
        <v>217</v>
      </c>
      <c r="B748" s="13">
        <v>2</v>
      </c>
      <c r="C748" s="14">
        <v>12.2</v>
      </c>
      <c r="D748" s="14">
        <f t="shared" si="11"/>
        <v>24.4</v>
      </c>
    </row>
    <row r="749" ht="15" spans="1:4">
      <c r="A749" s="12" t="s">
        <v>41</v>
      </c>
      <c r="B749" s="13">
        <v>2</v>
      </c>
      <c r="C749" s="14">
        <v>27.5</v>
      </c>
      <c r="D749" s="14">
        <f t="shared" si="11"/>
        <v>55</v>
      </c>
    </row>
    <row r="750" ht="15" spans="1:4">
      <c r="A750" s="12" t="s">
        <v>43</v>
      </c>
      <c r="B750" s="13">
        <v>7</v>
      </c>
      <c r="C750" s="14">
        <v>16.5</v>
      </c>
      <c r="D750" s="14">
        <f t="shared" si="11"/>
        <v>115.5</v>
      </c>
    </row>
    <row r="751" ht="15" spans="1:4">
      <c r="A751" s="12" t="s">
        <v>44</v>
      </c>
      <c r="B751" s="13">
        <v>5</v>
      </c>
      <c r="C751" s="14">
        <v>16.5</v>
      </c>
      <c r="D751" s="14">
        <f t="shared" si="11"/>
        <v>82.5</v>
      </c>
    </row>
    <row r="752" ht="15" spans="1:4">
      <c r="A752" s="12" t="s">
        <v>47</v>
      </c>
      <c r="B752" s="13">
        <v>9</v>
      </c>
      <c r="C752" s="14">
        <v>22</v>
      </c>
      <c r="D752" s="14">
        <f t="shared" si="11"/>
        <v>198</v>
      </c>
    </row>
    <row r="753" ht="15" spans="1:4">
      <c r="A753" s="12" t="s">
        <v>218</v>
      </c>
      <c r="B753" s="13">
        <v>1</v>
      </c>
      <c r="C753" s="14">
        <v>27.5</v>
      </c>
      <c r="D753" s="14">
        <f t="shared" si="11"/>
        <v>27.5</v>
      </c>
    </row>
    <row r="754" ht="15" spans="1:4">
      <c r="A754" s="12" t="s">
        <v>130</v>
      </c>
      <c r="B754" s="13">
        <v>1</v>
      </c>
      <c r="C754" s="14">
        <v>17.7</v>
      </c>
      <c r="D754" s="14">
        <f t="shared" si="11"/>
        <v>17.7</v>
      </c>
    </row>
    <row r="755" ht="15" spans="1:4">
      <c r="A755" s="12" t="s">
        <v>173</v>
      </c>
      <c r="B755" s="13">
        <v>3</v>
      </c>
      <c r="C755" s="14">
        <v>16.5</v>
      </c>
      <c r="D755" s="14">
        <f t="shared" si="11"/>
        <v>49.5</v>
      </c>
    </row>
    <row r="756" ht="15" spans="1:4">
      <c r="A756" s="12" t="s">
        <v>219</v>
      </c>
      <c r="B756" s="13">
        <v>1</v>
      </c>
      <c r="C756" s="14">
        <v>16.5</v>
      </c>
      <c r="D756" s="14">
        <f t="shared" si="11"/>
        <v>16.5</v>
      </c>
    </row>
    <row r="757" ht="15" spans="1:4">
      <c r="A757" s="12" t="s">
        <v>220</v>
      </c>
      <c r="B757" s="13">
        <v>1</v>
      </c>
      <c r="C757" s="14">
        <v>66</v>
      </c>
      <c r="D757" s="14">
        <f t="shared" si="11"/>
        <v>66</v>
      </c>
    </row>
    <row r="758" ht="15" spans="1:4">
      <c r="A758" s="12" t="s">
        <v>56</v>
      </c>
      <c r="B758" s="13">
        <v>1</v>
      </c>
      <c r="C758" s="14">
        <v>115</v>
      </c>
      <c r="D758" s="14">
        <f t="shared" si="11"/>
        <v>115</v>
      </c>
    </row>
    <row r="759" ht="15" spans="1:4">
      <c r="A759" s="12" t="s">
        <v>11</v>
      </c>
      <c r="B759" s="13">
        <v>1</v>
      </c>
      <c r="C759" s="14">
        <v>159</v>
      </c>
      <c r="D759" s="14">
        <f t="shared" si="11"/>
        <v>159</v>
      </c>
    </row>
    <row r="760" ht="15" spans="1:4">
      <c r="A760" s="12" t="s">
        <v>53</v>
      </c>
      <c r="B760" s="13">
        <v>2</v>
      </c>
      <c r="C760" s="14">
        <v>170</v>
      </c>
      <c r="D760" s="14">
        <f t="shared" si="11"/>
        <v>340</v>
      </c>
    </row>
    <row r="761" ht="15" spans="1:4">
      <c r="A761" s="12" t="s">
        <v>9</v>
      </c>
      <c r="B761" s="13">
        <v>3</v>
      </c>
      <c r="C761" s="14">
        <v>126.5</v>
      </c>
      <c r="D761" s="14">
        <f t="shared" si="11"/>
        <v>379.5</v>
      </c>
    </row>
    <row r="762" ht="15" spans="1:4">
      <c r="A762" s="12" t="s">
        <v>55</v>
      </c>
      <c r="B762" s="13">
        <v>4</v>
      </c>
      <c r="C762" s="14">
        <v>197.5</v>
      </c>
      <c r="D762" s="14">
        <f t="shared" si="11"/>
        <v>790</v>
      </c>
    </row>
    <row r="763" ht="15" spans="1:4">
      <c r="A763" s="12" t="s">
        <v>60</v>
      </c>
      <c r="B763" s="13">
        <v>6</v>
      </c>
      <c r="C763" s="14">
        <v>131.5</v>
      </c>
      <c r="D763" s="14">
        <f t="shared" si="11"/>
        <v>789</v>
      </c>
    </row>
    <row r="764" ht="15" spans="1:4">
      <c r="A764" s="12" t="s">
        <v>11</v>
      </c>
      <c r="B764" s="13">
        <v>1</v>
      </c>
      <c r="C764" s="14">
        <v>159</v>
      </c>
      <c r="D764" s="14">
        <f t="shared" si="11"/>
        <v>159</v>
      </c>
    </row>
    <row r="765" ht="15" spans="1:4">
      <c r="A765" s="12" t="s">
        <v>53</v>
      </c>
      <c r="B765" s="13">
        <v>1</v>
      </c>
      <c r="C765" s="14">
        <v>170</v>
      </c>
      <c r="D765" s="14">
        <f t="shared" si="11"/>
        <v>170</v>
      </c>
    </row>
    <row r="766" ht="15" spans="1:4">
      <c r="A766" s="12" t="s">
        <v>221</v>
      </c>
      <c r="B766" s="13">
        <v>8</v>
      </c>
      <c r="C766" s="14">
        <v>8.3</v>
      </c>
      <c r="D766" s="14">
        <f t="shared" si="11"/>
        <v>66.4</v>
      </c>
    </row>
    <row r="767" ht="15" spans="1:4">
      <c r="A767" s="12" t="s">
        <v>36</v>
      </c>
      <c r="B767" s="13">
        <v>2</v>
      </c>
      <c r="C767" s="14">
        <v>126.5</v>
      </c>
      <c r="D767" s="14">
        <f t="shared" si="11"/>
        <v>253</v>
      </c>
    </row>
    <row r="768" ht="15" spans="1:4">
      <c r="A768" s="12" t="s">
        <v>147</v>
      </c>
      <c r="B768" s="13">
        <v>1</v>
      </c>
      <c r="C768" s="14">
        <v>9.2</v>
      </c>
      <c r="D768" s="14">
        <f t="shared" si="11"/>
        <v>9.2</v>
      </c>
    </row>
    <row r="769" ht="15" spans="1:4">
      <c r="A769" s="12" t="s">
        <v>68</v>
      </c>
      <c r="B769" s="13">
        <v>2</v>
      </c>
      <c r="C769" s="14">
        <v>17.2</v>
      </c>
      <c r="D769" s="14">
        <f t="shared" si="11"/>
        <v>34.4</v>
      </c>
    </row>
    <row r="770" ht="15" spans="1:4">
      <c r="A770" s="12" t="s">
        <v>37</v>
      </c>
      <c r="B770" s="13">
        <v>8</v>
      </c>
      <c r="C770" s="14">
        <v>16.5</v>
      </c>
      <c r="D770" s="14">
        <f t="shared" si="11"/>
        <v>132</v>
      </c>
    </row>
    <row r="771" ht="15" spans="1:4">
      <c r="A771" s="12" t="s">
        <v>40</v>
      </c>
      <c r="B771" s="13">
        <v>2</v>
      </c>
      <c r="C771" s="14">
        <v>14.2</v>
      </c>
      <c r="D771" s="14">
        <f t="shared" si="11"/>
        <v>28.4</v>
      </c>
    </row>
    <row r="772" ht="15" spans="1:4">
      <c r="A772" s="12" t="s">
        <v>88</v>
      </c>
      <c r="B772" s="13">
        <v>1</v>
      </c>
      <c r="C772" s="14">
        <v>16.5</v>
      </c>
      <c r="D772" s="14">
        <f t="shared" si="11"/>
        <v>16.5</v>
      </c>
    </row>
    <row r="773" ht="15" spans="1:4">
      <c r="A773" s="12" t="s">
        <v>89</v>
      </c>
      <c r="B773" s="13">
        <v>1</v>
      </c>
      <c r="C773" s="14">
        <v>14.2</v>
      </c>
      <c r="D773" s="14">
        <f t="shared" si="11"/>
        <v>14.2</v>
      </c>
    </row>
    <row r="774" ht="15" spans="1:4">
      <c r="A774" s="12" t="s">
        <v>41</v>
      </c>
      <c r="B774" s="13">
        <v>1</v>
      </c>
      <c r="C774" s="14">
        <v>27.5</v>
      </c>
      <c r="D774" s="14">
        <f t="shared" si="11"/>
        <v>27.5</v>
      </c>
    </row>
    <row r="775" ht="15" spans="1:4">
      <c r="A775" s="12" t="s">
        <v>42</v>
      </c>
      <c r="B775" s="13">
        <v>3</v>
      </c>
      <c r="C775" s="14">
        <v>17.7</v>
      </c>
      <c r="D775" s="14">
        <f t="shared" ref="D775:D838" si="12">C775*B775</f>
        <v>53.1</v>
      </c>
    </row>
    <row r="776" ht="15" spans="1:4">
      <c r="A776" s="12" t="s">
        <v>43</v>
      </c>
      <c r="B776" s="13">
        <v>8</v>
      </c>
      <c r="C776" s="14">
        <v>16.5</v>
      </c>
      <c r="D776" s="14">
        <f t="shared" si="12"/>
        <v>132</v>
      </c>
    </row>
    <row r="777" ht="15" spans="1:4">
      <c r="A777" s="12" t="s">
        <v>44</v>
      </c>
      <c r="B777" s="13">
        <v>5</v>
      </c>
      <c r="C777" s="14">
        <v>16.5</v>
      </c>
      <c r="D777" s="14">
        <f t="shared" si="12"/>
        <v>82.5</v>
      </c>
    </row>
    <row r="778" ht="15" spans="1:4">
      <c r="A778" s="12" t="s">
        <v>47</v>
      </c>
      <c r="B778" s="13">
        <v>10</v>
      </c>
      <c r="C778" s="14">
        <v>22</v>
      </c>
      <c r="D778" s="14">
        <f t="shared" si="12"/>
        <v>220</v>
      </c>
    </row>
    <row r="779" ht="15" spans="1:4">
      <c r="A779" s="12" t="s">
        <v>148</v>
      </c>
      <c r="B779" s="13">
        <v>1</v>
      </c>
      <c r="C779" s="14">
        <v>9.2</v>
      </c>
      <c r="D779" s="14">
        <f t="shared" si="12"/>
        <v>9.2</v>
      </c>
    </row>
    <row r="780" ht="15" spans="1:4">
      <c r="A780" s="12" t="s">
        <v>222</v>
      </c>
      <c r="B780" s="13">
        <v>1</v>
      </c>
      <c r="C780" s="14">
        <v>17.7</v>
      </c>
      <c r="D780" s="14">
        <f t="shared" si="12"/>
        <v>17.7</v>
      </c>
    </row>
    <row r="781" ht="15" spans="1:4">
      <c r="A781" s="12" t="s">
        <v>191</v>
      </c>
      <c r="B781" s="13">
        <v>1</v>
      </c>
      <c r="C781" s="14">
        <v>9.2</v>
      </c>
      <c r="D781" s="14">
        <f t="shared" si="12"/>
        <v>9.2</v>
      </c>
    </row>
    <row r="782" ht="15" spans="1:4">
      <c r="A782" s="12" t="s">
        <v>223</v>
      </c>
      <c r="B782" s="13">
        <v>1</v>
      </c>
      <c r="C782" s="14">
        <v>13.8</v>
      </c>
      <c r="D782" s="14">
        <f t="shared" si="12"/>
        <v>13.8</v>
      </c>
    </row>
    <row r="783" ht="15" spans="1:4">
      <c r="A783" s="12" t="s">
        <v>73</v>
      </c>
      <c r="B783" s="13">
        <v>3</v>
      </c>
      <c r="C783" s="14">
        <v>16.8</v>
      </c>
      <c r="D783" s="14">
        <f t="shared" si="12"/>
        <v>50.4</v>
      </c>
    </row>
    <row r="784" ht="15" spans="1:4">
      <c r="A784" s="12" t="s">
        <v>152</v>
      </c>
      <c r="B784" s="13">
        <v>3</v>
      </c>
      <c r="C784" s="14">
        <v>33.3</v>
      </c>
      <c r="D784" s="14">
        <f t="shared" si="12"/>
        <v>99.9</v>
      </c>
    </row>
    <row r="785" ht="15" spans="1:4">
      <c r="A785" s="12" t="s">
        <v>16</v>
      </c>
      <c r="B785" s="13">
        <v>1</v>
      </c>
      <c r="C785" s="14">
        <v>38.8</v>
      </c>
      <c r="D785" s="14">
        <f t="shared" si="12"/>
        <v>38.8</v>
      </c>
    </row>
    <row r="786" ht="15" spans="1:4">
      <c r="A786" s="12" t="s">
        <v>144</v>
      </c>
      <c r="B786" s="13">
        <v>1</v>
      </c>
      <c r="C786" s="14">
        <v>49.8</v>
      </c>
      <c r="D786" s="14">
        <f t="shared" si="12"/>
        <v>49.8</v>
      </c>
    </row>
    <row r="787" ht="15" spans="1:4">
      <c r="A787" s="12" t="s">
        <v>19</v>
      </c>
      <c r="B787" s="13">
        <v>14</v>
      </c>
      <c r="C787" s="14">
        <v>13.3</v>
      </c>
      <c r="D787" s="14">
        <f t="shared" si="12"/>
        <v>186.2</v>
      </c>
    </row>
    <row r="788" ht="15" spans="1:4">
      <c r="A788" s="12" t="s">
        <v>26</v>
      </c>
      <c r="B788" s="13">
        <v>1</v>
      </c>
      <c r="C788" s="14">
        <v>13.8</v>
      </c>
      <c r="D788" s="14">
        <f t="shared" si="12"/>
        <v>13.8</v>
      </c>
    </row>
    <row r="789" ht="15" spans="1:4">
      <c r="A789" s="12" t="s">
        <v>153</v>
      </c>
      <c r="B789" s="13">
        <v>2</v>
      </c>
      <c r="C789" s="14">
        <v>8.3</v>
      </c>
      <c r="D789" s="14">
        <f t="shared" si="12"/>
        <v>16.6</v>
      </c>
    </row>
    <row r="790" ht="15" spans="1:4">
      <c r="A790" s="12" t="s">
        <v>28</v>
      </c>
      <c r="B790" s="13">
        <v>10</v>
      </c>
      <c r="C790" s="14">
        <v>0</v>
      </c>
      <c r="D790" s="14">
        <f t="shared" si="12"/>
        <v>0</v>
      </c>
    </row>
    <row r="791" ht="15" spans="1:4">
      <c r="A791" s="12" t="s">
        <v>29</v>
      </c>
      <c r="B791" s="13">
        <v>5</v>
      </c>
      <c r="C791" s="14">
        <v>0</v>
      </c>
      <c r="D791" s="14">
        <f t="shared" si="12"/>
        <v>0</v>
      </c>
    </row>
    <row r="792" ht="15" spans="1:4">
      <c r="A792" s="12" t="s">
        <v>80</v>
      </c>
      <c r="B792" s="13">
        <v>1</v>
      </c>
      <c r="C792" s="14">
        <v>50</v>
      </c>
      <c r="D792" s="14">
        <f t="shared" si="12"/>
        <v>50</v>
      </c>
    </row>
    <row r="793" ht="15" spans="1:4">
      <c r="A793" s="12" t="s">
        <v>32</v>
      </c>
      <c r="B793" s="13">
        <v>1</v>
      </c>
      <c r="C793" s="14">
        <v>50</v>
      </c>
      <c r="D793" s="14">
        <f t="shared" si="12"/>
        <v>50</v>
      </c>
    </row>
    <row r="794" ht="15" spans="1:4">
      <c r="A794" s="12" t="s">
        <v>139</v>
      </c>
      <c r="B794" s="13">
        <v>1</v>
      </c>
      <c r="C794" s="14">
        <v>50</v>
      </c>
      <c r="D794" s="14">
        <f t="shared" si="12"/>
        <v>50</v>
      </c>
    </row>
    <row r="795" ht="15" spans="1:4">
      <c r="A795" s="12" t="s">
        <v>192</v>
      </c>
      <c r="B795" s="13">
        <v>1</v>
      </c>
      <c r="C795" s="14">
        <v>50</v>
      </c>
      <c r="D795" s="14">
        <f t="shared" si="12"/>
        <v>50</v>
      </c>
    </row>
    <row r="796" ht="15" spans="1:4">
      <c r="A796" s="12" t="s">
        <v>140</v>
      </c>
      <c r="B796" s="13">
        <v>1</v>
      </c>
      <c r="C796" s="14">
        <v>50</v>
      </c>
      <c r="D796" s="14">
        <f t="shared" si="12"/>
        <v>50</v>
      </c>
    </row>
    <row r="797" ht="15" spans="1:4">
      <c r="A797" s="12" t="s">
        <v>155</v>
      </c>
      <c r="B797" s="13">
        <v>1</v>
      </c>
      <c r="C797" s="14">
        <v>50</v>
      </c>
      <c r="D797" s="14">
        <f t="shared" si="12"/>
        <v>50</v>
      </c>
    </row>
    <row r="798" ht="15" spans="1:4">
      <c r="A798" s="12" t="s">
        <v>132</v>
      </c>
      <c r="B798" s="13">
        <v>1</v>
      </c>
      <c r="C798" s="14">
        <v>50</v>
      </c>
      <c r="D798" s="14">
        <f t="shared" si="12"/>
        <v>50</v>
      </c>
    </row>
    <row r="799" ht="15" spans="1:4">
      <c r="A799" s="12" t="s">
        <v>37</v>
      </c>
      <c r="B799" s="13">
        <v>3</v>
      </c>
      <c r="C799" s="14">
        <v>16.5</v>
      </c>
      <c r="D799" s="14">
        <f t="shared" si="12"/>
        <v>49.5</v>
      </c>
    </row>
    <row r="800" ht="15" spans="1:4">
      <c r="A800" s="12" t="s">
        <v>41</v>
      </c>
      <c r="B800" s="13">
        <v>3</v>
      </c>
      <c r="C800" s="14">
        <v>27.5</v>
      </c>
      <c r="D800" s="14">
        <f t="shared" si="12"/>
        <v>82.5</v>
      </c>
    </row>
    <row r="801" ht="15" spans="1:4">
      <c r="A801" s="12" t="s">
        <v>43</v>
      </c>
      <c r="B801" s="13">
        <v>2</v>
      </c>
      <c r="C801" s="14">
        <v>16.5</v>
      </c>
      <c r="D801" s="14">
        <f t="shared" si="12"/>
        <v>33</v>
      </c>
    </row>
    <row r="802" ht="15" spans="1:4">
      <c r="A802" s="12" t="s">
        <v>47</v>
      </c>
      <c r="B802" s="13">
        <v>5</v>
      </c>
      <c r="C802" s="14">
        <v>22</v>
      </c>
      <c r="D802" s="14">
        <f t="shared" si="12"/>
        <v>110</v>
      </c>
    </row>
    <row r="803" ht="15" spans="1:4">
      <c r="A803" s="12" t="s">
        <v>69</v>
      </c>
      <c r="B803" s="13">
        <v>1</v>
      </c>
      <c r="C803" s="14">
        <v>9.2</v>
      </c>
      <c r="D803" s="14">
        <f t="shared" si="12"/>
        <v>9.2</v>
      </c>
    </row>
    <row r="804" ht="15" spans="1:4">
      <c r="A804" s="12" t="s">
        <v>94</v>
      </c>
      <c r="B804" s="13">
        <v>1</v>
      </c>
      <c r="C804" s="14">
        <v>35</v>
      </c>
      <c r="D804" s="14">
        <f t="shared" si="12"/>
        <v>35</v>
      </c>
    </row>
    <row r="805" ht="15" spans="1:4">
      <c r="A805" s="12" t="s">
        <v>95</v>
      </c>
      <c r="B805" s="13">
        <v>1</v>
      </c>
      <c r="C805" s="14">
        <v>35</v>
      </c>
      <c r="D805" s="14">
        <f t="shared" si="12"/>
        <v>35</v>
      </c>
    </row>
    <row r="806" ht="15" spans="1:4">
      <c r="A806" s="12" t="s">
        <v>96</v>
      </c>
      <c r="B806" s="13">
        <v>1</v>
      </c>
      <c r="C806" s="14">
        <v>35</v>
      </c>
      <c r="D806" s="14">
        <f t="shared" si="12"/>
        <v>35</v>
      </c>
    </row>
    <row r="807" ht="15" spans="1:4">
      <c r="A807" s="12" t="s">
        <v>159</v>
      </c>
      <c r="B807" s="13">
        <v>1</v>
      </c>
      <c r="C807" s="14">
        <v>44</v>
      </c>
      <c r="D807" s="14">
        <f t="shared" si="12"/>
        <v>44</v>
      </c>
    </row>
    <row r="808" ht="15" spans="1:4">
      <c r="A808" s="15" t="s">
        <v>99</v>
      </c>
      <c r="B808" s="13">
        <v>1</v>
      </c>
      <c r="C808" s="14">
        <v>28</v>
      </c>
      <c r="D808" s="14">
        <f t="shared" si="12"/>
        <v>28</v>
      </c>
    </row>
    <row r="809" ht="15" spans="1:4">
      <c r="A809" s="12" t="s">
        <v>101</v>
      </c>
      <c r="B809" s="13">
        <v>1</v>
      </c>
      <c r="C809" s="14">
        <v>35</v>
      </c>
      <c r="D809" s="14">
        <f t="shared" si="12"/>
        <v>35</v>
      </c>
    </row>
    <row r="810" ht="15" spans="1:4">
      <c r="A810" s="12" t="s">
        <v>11</v>
      </c>
      <c r="B810" s="13">
        <v>1</v>
      </c>
      <c r="C810" s="14">
        <v>159</v>
      </c>
      <c r="D810" s="14">
        <f t="shared" si="12"/>
        <v>159</v>
      </c>
    </row>
    <row r="811" ht="15" spans="1:4">
      <c r="A811" s="12" t="s">
        <v>19</v>
      </c>
      <c r="B811" s="13">
        <v>1</v>
      </c>
      <c r="C811" s="14">
        <v>13.3</v>
      </c>
      <c r="D811" s="14">
        <f t="shared" si="12"/>
        <v>13.3</v>
      </c>
    </row>
    <row r="812" ht="15" spans="1:4">
      <c r="A812" s="12" t="s">
        <v>29</v>
      </c>
      <c r="B812" s="13">
        <v>1</v>
      </c>
      <c r="C812" s="14">
        <v>0</v>
      </c>
      <c r="D812" s="14">
        <f t="shared" si="12"/>
        <v>0</v>
      </c>
    </row>
    <row r="813" ht="15" spans="1:4">
      <c r="A813" s="12" t="s">
        <v>37</v>
      </c>
      <c r="B813" s="13">
        <v>1</v>
      </c>
      <c r="C813" s="14">
        <v>16.5</v>
      </c>
      <c r="D813" s="14">
        <f t="shared" si="12"/>
        <v>16.5</v>
      </c>
    </row>
    <row r="814" ht="15" spans="1:4">
      <c r="A814" s="12" t="s">
        <v>44</v>
      </c>
      <c r="B814" s="13">
        <v>1</v>
      </c>
      <c r="C814" s="14">
        <v>16.5</v>
      </c>
      <c r="D814" s="14">
        <f t="shared" si="12"/>
        <v>16.5</v>
      </c>
    </row>
    <row r="815" ht="15" spans="1:4">
      <c r="A815" s="12" t="s">
        <v>47</v>
      </c>
      <c r="B815" s="13">
        <v>1</v>
      </c>
      <c r="C815" s="14">
        <v>22</v>
      </c>
      <c r="D815" s="14">
        <f t="shared" si="12"/>
        <v>22</v>
      </c>
    </row>
    <row r="816" ht="15" spans="1:4">
      <c r="A816" s="12" t="s">
        <v>9</v>
      </c>
      <c r="B816" s="13">
        <v>1</v>
      </c>
      <c r="C816" s="14">
        <v>126.5</v>
      </c>
      <c r="D816" s="14">
        <f t="shared" si="12"/>
        <v>126.5</v>
      </c>
    </row>
    <row r="817" ht="15" spans="1:4">
      <c r="A817" s="12" t="s">
        <v>55</v>
      </c>
      <c r="B817" s="13">
        <v>1</v>
      </c>
      <c r="C817" s="14">
        <v>197.5</v>
      </c>
      <c r="D817" s="14">
        <f t="shared" si="12"/>
        <v>197.5</v>
      </c>
    </row>
    <row r="818" ht="15" spans="1:4">
      <c r="A818" s="12" t="s">
        <v>10</v>
      </c>
      <c r="B818" s="13">
        <v>1</v>
      </c>
      <c r="C818" s="14">
        <v>159</v>
      </c>
      <c r="D818" s="14">
        <f t="shared" si="12"/>
        <v>159</v>
      </c>
    </row>
    <row r="819" ht="15" spans="1:4">
      <c r="A819" s="12" t="s">
        <v>60</v>
      </c>
      <c r="B819" s="13">
        <v>2</v>
      </c>
      <c r="C819" s="14">
        <v>131.5</v>
      </c>
      <c r="D819" s="14">
        <f t="shared" si="12"/>
        <v>263</v>
      </c>
    </row>
    <row r="820" ht="15" spans="1:4">
      <c r="A820" s="12" t="s">
        <v>58</v>
      </c>
      <c r="B820" s="13">
        <v>1</v>
      </c>
      <c r="C820" s="14">
        <v>104</v>
      </c>
      <c r="D820" s="14">
        <f t="shared" si="12"/>
        <v>104</v>
      </c>
    </row>
    <row r="821" ht="15" spans="1:4">
      <c r="A821" s="12" t="s">
        <v>11</v>
      </c>
      <c r="B821" s="13">
        <v>1</v>
      </c>
      <c r="C821" s="14">
        <v>159</v>
      </c>
      <c r="D821" s="14">
        <f t="shared" si="12"/>
        <v>159</v>
      </c>
    </row>
    <row r="822" ht="15" spans="1:4">
      <c r="A822" s="12" t="s">
        <v>53</v>
      </c>
      <c r="B822" s="13">
        <v>2</v>
      </c>
      <c r="C822" s="14">
        <v>170</v>
      </c>
      <c r="D822" s="14">
        <f t="shared" si="12"/>
        <v>340</v>
      </c>
    </row>
    <row r="823" ht="15" spans="1:4">
      <c r="A823" s="12" t="s">
        <v>36</v>
      </c>
      <c r="B823" s="13">
        <v>1</v>
      </c>
      <c r="C823" s="14">
        <v>126.5</v>
      </c>
      <c r="D823" s="14">
        <f t="shared" si="12"/>
        <v>126.5</v>
      </c>
    </row>
    <row r="824" ht="15" spans="1:4">
      <c r="A824" s="12" t="s">
        <v>147</v>
      </c>
      <c r="B824" s="13">
        <v>1</v>
      </c>
      <c r="C824" s="14">
        <v>9.2</v>
      </c>
      <c r="D824" s="14">
        <f t="shared" si="12"/>
        <v>9.2</v>
      </c>
    </row>
    <row r="825" ht="15" spans="1:4">
      <c r="A825" s="12" t="s">
        <v>37</v>
      </c>
      <c r="B825" s="13">
        <v>4</v>
      </c>
      <c r="C825" s="14">
        <v>16.5</v>
      </c>
      <c r="D825" s="14">
        <f t="shared" si="12"/>
        <v>66</v>
      </c>
    </row>
    <row r="826" ht="15" spans="1:4">
      <c r="A826" s="12" t="s">
        <v>54</v>
      </c>
      <c r="B826" s="13">
        <v>1</v>
      </c>
      <c r="C826" s="14">
        <v>12.2</v>
      </c>
      <c r="D826" s="14">
        <f t="shared" si="12"/>
        <v>12.2</v>
      </c>
    </row>
    <row r="827" ht="15" spans="1:4">
      <c r="A827" s="12" t="s">
        <v>40</v>
      </c>
      <c r="B827" s="13">
        <v>3</v>
      </c>
      <c r="C827" s="14">
        <v>14.2</v>
      </c>
      <c r="D827" s="14">
        <f t="shared" si="12"/>
        <v>42.6</v>
      </c>
    </row>
    <row r="828" ht="15" spans="1:4">
      <c r="A828" s="12" t="s">
        <v>88</v>
      </c>
      <c r="B828" s="13">
        <v>1</v>
      </c>
      <c r="C828" s="14">
        <v>16.5</v>
      </c>
      <c r="D828" s="14">
        <f t="shared" si="12"/>
        <v>16.5</v>
      </c>
    </row>
    <row r="829" ht="15" spans="1:4">
      <c r="A829" s="12" t="s">
        <v>89</v>
      </c>
      <c r="B829" s="13">
        <v>1</v>
      </c>
      <c r="C829" s="14">
        <v>14.2</v>
      </c>
      <c r="D829" s="14">
        <f t="shared" si="12"/>
        <v>14.2</v>
      </c>
    </row>
    <row r="830" ht="15" spans="1:4">
      <c r="A830" s="12" t="s">
        <v>224</v>
      </c>
      <c r="B830" s="13">
        <v>1</v>
      </c>
      <c r="C830" s="14">
        <v>16.5</v>
      </c>
      <c r="D830" s="14">
        <f t="shared" si="12"/>
        <v>16.5</v>
      </c>
    </row>
    <row r="831" ht="15" spans="1:4">
      <c r="A831" s="12" t="s">
        <v>42</v>
      </c>
      <c r="B831" s="13">
        <v>2</v>
      </c>
      <c r="C831" s="14">
        <v>17.7</v>
      </c>
      <c r="D831" s="14">
        <f t="shared" si="12"/>
        <v>35.4</v>
      </c>
    </row>
    <row r="832" ht="15" spans="1:4">
      <c r="A832" s="12" t="s">
        <v>47</v>
      </c>
      <c r="B832" s="13">
        <v>6</v>
      </c>
      <c r="C832" s="14">
        <v>22</v>
      </c>
      <c r="D832" s="14">
        <f t="shared" si="12"/>
        <v>132</v>
      </c>
    </row>
    <row r="833" ht="15" spans="1:4">
      <c r="A833" s="12" t="s">
        <v>69</v>
      </c>
      <c r="B833" s="13">
        <v>1</v>
      </c>
      <c r="C833" s="14">
        <v>9.2</v>
      </c>
      <c r="D833" s="14">
        <f t="shared" si="12"/>
        <v>9.2</v>
      </c>
    </row>
    <row r="834" ht="15" spans="1:4">
      <c r="A834" s="12" t="s">
        <v>220</v>
      </c>
      <c r="B834" s="13">
        <v>1</v>
      </c>
      <c r="C834" s="14">
        <v>66</v>
      </c>
      <c r="D834" s="14">
        <f t="shared" si="12"/>
        <v>66</v>
      </c>
    </row>
    <row r="835" ht="15" spans="1:4">
      <c r="A835" s="15" t="s">
        <v>214</v>
      </c>
      <c r="B835" s="13">
        <v>1</v>
      </c>
      <c r="C835" s="14">
        <v>236.5</v>
      </c>
      <c r="D835" s="14">
        <f t="shared" si="12"/>
        <v>236.5</v>
      </c>
    </row>
    <row r="836" ht="15" spans="1:4">
      <c r="A836" s="12" t="s">
        <v>55</v>
      </c>
      <c r="B836" s="13">
        <v>2</v>
      </c>
      <c r="C836" s="14">
        <v>197.5</v>
      </c>
      <c r="D836" s="14">
        <f t="shared" si="12"/>
        <v>395</v>
      </c>
    </row>
    <row r="837" ht="15" spans="1:4">
      <c r="A837" s="12" t="s">
        <v>10</v>
      </c>
      <c r="B837" s="13">
        <v>2</v>
      </c>
      <c r="C837" s="14">
        <v>159</v>
      </c>
      <c r="D837" s="14">
        <f t="shared" si="12"/>
        <v>318</v>
      </c>
    </row>
    <row r="838" ht="15" spans="1:4">
      <c r="A838" s="12" t="s">
        <v>56</v>
      </c>
      <c r="B838" s="13">
        <v>1</v>
      </c>
      <c r="C838" s="14">
        <v>115</v>
      </c>
      <c r="D838" s="14">
        <f t="shared" si="12"/>
        <v>115</v>
      </c>
    </row>
    <row r="839" ht="15" spans="1:4">
      <c r="A839" s="12" t="s">
        <v>163</v>
      </c>
      <c r="B839" s="13">
        <v>1</v>
      </c>
      <c r="C839" s="14">
        <v>55</v>
      </c>
      <c r="D839" s="14">
        <f t="shared" ref="D839:D902" si="13">C839*B839</f>
        <v>55</v>
      </c>
    </row>
    <row r="840" ht="15" spans="1:4">
      <c r="A840" s="12" t="s">
        <v>11</v>
      </c>
      <c r="B840" s="13">
        <v>3</v>
      </c>
      <c r="C840" s="14">
        <v>159</v>
      </c>
      <c r="D840" s="14">
        <f t="shared" si="13"/>
        <v>477</v>
      </c>
    </row>
    <row r="841" ht="15" spans="1:4">
      <c r="A841" s="12" t="s">
        <v>225</v>
      </c>
      <c r="B841" s="13">
        <v>1</v>
      </c>
      <c r="C841" s="14">
        <v>137.5</v>
      </c>
      <c r="D841" s="14">
        <f t="shared" si="13"/>
        <v>137.5</v>
      </c>
    </row>
    <row r="842" ht="15" spans="1:4">
      <c r="A842" s="12" t="s">
        <v>226</v>
      </c>
      <c r="B842" s="13">
        <v>1</v>
      </c>
      <c r="C842" s="14">
        <v>154</v>
      </c>
      <c r="D842" s="14">
        <f t="shared" si="13"/>
        <v>154</v>
      </c>
    </row>
    <row r="843" ht="15" spans="1:4">
      <c r="A843" s="12" t="s">
        <v>36</v>
      </c>
      <c r="B843" s="13">
        <v>1</v>
      </c>
      <c r="C843" s="14">
        <v>126.5</v>
      </c>
      <c r="D843" s="14">
        <f t="shared" si="13"/>
        <v>126.5</v>
      </c>
    </row>
    <row r="844" ht="15" spans="1:4">
      <c r="A844" s="12" t="s">
        <v>227</v>
      </c>
      <c r="B844" s="13">
        <v>1</v>
      </c>
      <c r="C844" s="14">
        <v>137.5</v>
      </c>
      <c r="D844" s="14">
        <f t="shared" si="13"/>
        <v>137.5</v>
      </c>
    </row>
    <row r="845" ht="15" spans="1:4">
      <c r="A845" s="12" t="s">
        <v>37</v>
      </c>
      <c r="B845" s="13">
        <v>2</v>
      </c>
      <c r="C845" s="14">
        <v>16.5</v>
      </c>
      <c r="D845" s="14">
        <f t="shared" si="13"/>
        <v>33</v>
      </c>
    </row>
    <row r="846" ht="15" spans="1:4">
      <c r="A846" s="12" t="s">
        <v>43</v>
      </c>
      <c r="B846" s="13">
        <v>5</v>
      </c>
      <c r="C846" s="14">
        <v>16.5</v>
      </c>
      <c r="D846" s="14">
        <f t="shared" si="13"/>
        <v>82.5</v>
      </c>
    </row>
    <row r="847" ht="15" spans="1:4">
      <c r="A847" s="12" t="s">
        <v>44</v>
      </c>
      <c r="B847" s="13">
        <v>1</v>
      </c>
      <c r="C847" s="14">
        <v>16.5</v>
      </c>
      <c r="D847" s="14">
        <f t="shared" si="13"/>
        <v>16.5</v>
      </c>
    </row>
    <row r="848" ht="15" spans="1:4">
      <c r="A848" s="12" t="s">
        <v>47</v>
      </c>
      <c r="B848" s="13">
        <v>3</v>
      </c>
      <c r="C848" s="14">
        <v>22</v>
      </c>
      <c r="D848" s="14">
        <f t="shared" si="13"/>
        <v>66</v>
      </c>
    </row>
    <row r="849" ht="15" spans="1:4">
      <c r="A849" s="12" t="s">
        <v>228</v>
      </c>
      <c r="B849" s="13">
        <v>1</v>
      </c>
      <c r="C849" s="14">
        <v>154</v>
      </c>
      <c r="D849" s="14">
        <f t="shared" si="13"/>
        <v>154</v>
      </c>
    </row>
    <row r="850" ht="15" spans="1:4">
      <c r="A850" s="12" t="s">
        <v>12</v>
      </c>
      <c r="B850" s="13">
        <v>1</v>
      </c>
      <c r="C850" s="14">
        <v>22.3</v>
      </c>
      <c r="D850" s="14">
        <f t="shared" si="13"/>
        <v>22.3</v>
      </c>
    </row>
    <row r="851" ht="15" spans="1:4">
      <c r="A851" s="12" t="s">
        <v>73</v>
      </c>
      <c r="B851" s="13">
        <v>2</v>
      </c>
      <c r="C851" s="14">
        <v>16.8</v>
      </c>
      <c r="D851" s="14">
        <f t="shared" si="13"/>
        <v>33.6</v>
      </c>
    </row>
    <row r="852" ht="15" spans="1:4">
      <c r="A852" s="12" t="s">
        <v>15</v>
      </c>
      <c r="B852" s="13">
        <v>2</v>
      </c>
      <c r="C852" s="14">
        <v>27.8</v>
      </c>
      <c r="D852" s="14">
        <f t="shared" si="13"/>
        <v>55.6</v>
      </c>
    </row>
    <row r="853" ht="15" spans="1:4">
      <c r="A853" s="12" t="s">
        <v>152</v>
      </c>
      <c r="B853" s="13">
        <v>1</v>
      </c>
      <c r="C853" s="14">
        <v>33.3</v>
      </c>
      <c r="D853" s="14">
        <f t="shared" si="13"/>
        <v>33.3</v>
      </c>
    </row>
    <row r="854" ht="15" spans="1:4">
      <c r="A854" s="12" t="s">
        <v>144</v>
      </c>
      <c r="B854" s="13">
        <v>2</v>
      </c>
      <c r="C854" s="14">
        <v>49.8</v>
      </c>
      <c r="D854" s="14">
        <f t="shared" si="13"/>
        <v>99.6</v>
      </c>
    </row>
    <row r="855" ht="15" spans="1:4">
      <c r="A855" s="12" t="s">
        <v>18</v>
      </c>
      <c r="B855" s="13">
        <v>1</v>
      </c>
      <c r="C855" s="14">
        <v>33.3</v>
      </c>
      <c r="D855" s="14">
        <f t="shared" si="13"/>
        <v>33.3</v>
      </c>
    </row>
    <row r="856" ht="15" spans="1:4">
      <c r="A856" s="12" t="s">
        <v>19</v>
      </c>
      <c r="B856" s="13">
        <v>5</v>
      </c>
      <c r="C856" s="14">
        <v>13.3</v>
      </c>
      <c r="D856" s="14">
        <f t="shared" si="13"/>
        <v>66.5</v>
      </c>
    </row>
    <row r="857" ht="15" spans="1:4">
      <c r="A857" s="12" t="s">
        <v>141</v>
      </c>
      <c r="B857" s="13">
        <v>1</v>
      </c>
      <c r="C857" s="14">
        <v>8.3</v>
      </c>
      <c r="D857" s="14">
        <f t="shared" si="13"/>
        <v>8.3</v>
      </c>
    </row>
    <row r="858" ht="15" spans="1:4">
      <c r="A858" s="12" t="s">
        <v>229</v>
      </c>
      <c r="B858" s="13">
        <v>1</v>
      </c>
      <c r="C858" s="14">
        <v>8.3</v>
      </c>
      <c r="D858" s="14">
        <f t="shared" si="13"/>
        <v>8.3</v>
      </c>
    </row>
    <row r="859" ht="15" spans="1:4">
      <c r="A859" s="12" t="s">
        <v>77</v>
      </c>
      <c r="B859" s="13">
        <v>1</v>
      </c>
      <c r="C859" s="14">
        <v>13.8</v>
      </c>
      <c r="D859" s="14">
        <f t="shared" si="13"/>
        <v>13.8</v>
      </c>
    </row>
    <row r="860" ht="15" spans="1:4">
      <c r="A860" s="12" t="s">
        <v>230</v>
      </c>
      <c r="B860" s="13">
        <v>1</v>
      </c>
      <c r="C860" s="14">
        <v>8.3</v>
      </c>
      <c r="D860" s="14">
        <f t="shared" si="13"/>
        <v>8.3</v>
      </c>
    </row>
    <row r="861" ht="15" spans="1:4">
      <c r="A861" s="12" t="s">
        <v>25</v>
      </c>
      <c r="B861" s="13">
        <v>1</v>
      </c>
      <c r="C861" s="14">
        <v>11.3</v>
      </c>
      <c r="D861" s="14">
        <f t="shared" si="13"/>
        <v>11.3</v>
      </c>
    </row>
    <row r="862" ht="15" spans="1:4">
      <c r="A862" s="12" t="s">
        <v>231</v>
      </c>
      <c r="B862" s="13">
        <v>1</v>
      </c>
      <c r="C862" s="14">
        <v>13.8</v>
      </c>
      <c r="D862" s="14">
        <f t="shared" si="13"/>
        <v>13.8</v>
      </c>
    </row>
    <row r="863" ht="15" spans="1:4">
      <c r="A863" s="12" t="s">
        <v>28</v>
      </c>
      <c r="B863" s="13">
        <v>5</v>
      </c>
      <c r="C863" s="14">
        <v>0</v>
      </c>
      <c r="D863" s="14">
        <f t="shared" si="13"/>
        <v>0</v>
      </c>
    </row>
    <row r="864" ht="15" spans="1:4">
      <c r="A864" s="12" t="s">
        <v>29</v>
      </c>
      <c r="B864" s="13">
        <v>11</v>
      </c>
      <c r="C864" s="14">
        <v>0</v>
      </c>
      <c r="D864" s="14">
        <f t="shared" si="13"/>
        <v>0</v>
      </c>
    </row>
    <row r="865" ht="15" spans="1:4">
      <c r="A865" s="15" t="s">
        <v>30</v>
      </c>
      <c r="B865" s="13">
        <v>1</v>
      </c>
      <c r="C865" s="14">
        <v>50</v>
      </c>
      <c r="D865" s="14">
        <f t="shared" si="13"/>
        <v>50</v>
      </c>
    </row>
    <row r="866" ht="15" spans="1:4">
      <c r="A866" s="12" t="s">
        <v>81</v>
      </c>
      <c r="B866" s="13">
        <v>1</v>
      </c>
      <c r="C866" s="14">
        <v>50</v>
      </c>
      <c r="D866" s="14">
        <f t="shared" si="13"/>
        <v>50</v>
      </c>
    </row>
    <row r="867" ht="15" spans="1:4">
      <c r="A867" s="12" t="s">
        <v>139</v>
      </c>
      <c r="B867" s="13">
        <v>1</v>
      </c>
      <c r="C867" s="14">
        <v>50</v>
      </c>
      <c r="D867" s="14">
        <f t="shared" si="13"/>
        <v>50</v>
      </c>
    </row>
    <row r="868" ht="15" spans="1:4">
      <c r="A868" s="12" t="s">
        <v>192</v>
      </c>
      <c r="B868" s="13">
        <v>1</v>
      </c>
      <c r="C868" s="14">
        <v>50</v>
      </c>
      <c r="D868" s="14">
        <f t="shared" si="13"/>
        <v>50</v>
      </c>
    </row>
    <row r="869" ht="15" spans="1:4">
      <c r="A869" s="12" t="s">
        <v>145</v>
      </c>
      <c r="B869" s="13">
        <v>1</v>
      </c>
      <c r="C869" s="14">
        <v>66.5</v>
      </c>
      <c r="D869" s="14">
        <f t="shared" si="13"/>
        <v>66.5</v>
      </c>
    </row>
    <row r="870" ht="15" spans="1:4">
      <c r="A870" s="12" t="s">
        <v>68</v>
      </c>
      <c r="B870" s="13">
        <v>2</v>
      </c>
      <c r="C870" s="14">
        <v>17.2</v>
      </c>
      <c r="D870" s="14">
        <f t="shared" si="13"/>
        <v>34.4</v>
      </c>
    </row>
    <row r="871" ht="15" spans="1:4">
      <c r="A871" s="12" t="s">
        <v>37</v>
      </c>
      <c r="B871" s="13">
        <v>2</v>
      </c>
      <c r="C871" s="14">
        <v>16.5</v>
      </c>
      <c r="D871" s="14">
        <f t="shared" si="13"/>
        <v>33</v>
      </c>
    </row>
    <row r="872" ht="15" spans="1:4">
      <c r="A872" s="12" t="s">
        <v>170</v>
      </c>
      <c r="B872" s="13">
        <v>1</v>
      </c>
      <c r="C872" s="14">
        <v>17.7</v>
      </c>
      <c r="D872" s="14">
        <f t="shared" si="13"/>
        <v>17.7</v>
      </c>
    </row>
    <row r="873" ht="15" spans="1:4">
      <c r="A873" s="12" t="s">
        <v>232</v>
      </c>
      <c r="B873" s="13">
        <v>1</v>
      </c>
      <c r="C873" s="14">
        <v>14.7</v>
      </c>
      <c r="D873" s="14">
        <f t="shared" si="13"/>
        <v>14.7</v>
      </c>
    </row>
    <row r="874" ht="15" spans="1:4">
      <c r="A874" s="12" t="s">
        <v>42</v>
      </c>
      <c r="B874" s="13">
        <v>1</v>
      </c>
      <c r="C874" s="14">
        <v>17.7</v>
      </c>
      <c r="D874" s="14">
        <f t="shared" si="13"/>
        <v>17.7</v>
      </c>
    </row>
    <row r="875" ht="15" spans="1:4">
      <c r="A875" s="12" t="s">
        <v>43</v>
      </c>
      <c r="B875" s="13">
        <v>2</v>
      </c>
      <c r="C875" s="14">
        <v>16.5</v>
      </c>
      <c r="D875" s="14">
        <f t="shared" si="13"/>
        <v>33</v>
      </c>
    </row>
    <row r="876" ht="15" spans="1:4">
      <c r="A876" s="12" t="s">
        <v>44</v>
      </c>
      <c r="B876" s="13">
        <v>9</v>
      </c>
      <c r="C876" s="14">
        <v>16.5</v>
      </c>
      <c r="D876" s="14">
        <f t="shared" si="13"/>
        <v>148.5</v>
      </c>
    </row>
    <row r="877" ht="15" spans="1:4">
      <c r="A877" s="12" t="s">
        <v>137</v>
      </c>
      <c r="B877" s="13">
        <v>1</v>
      </c>
      <c r="C877" s="14">
        <v>16.5</v>
      </c>
      <c r="D877" s="14">
        <f t="shared" si="13"/>
        <v>16.5</v>
      </c>
    </row>
    <row r="878" ht="15" spans="1:4">
      <c r="A878" s="12" t="s">
        <v>105</v>
      </c>
      <c r="B878" s="13">
        <v>1</v>
      </c>
      <c r="C878" s="14">
        <v>9.2</v>
      </c>
      <c r="D878" s="14">
        <f t="shared" si="13"/>
        <v>9.2</v>
      </c>
    </row>
    <row r="879" ht="15" spans="1:4">
      <c r="A879" s="12" t="s">
        <v>46</v>
      </c>
      <c r="B879" s="13">
        <v>1</v>
      </c>
      <c r="C879" s="14">
        <v>12.2</v>
      </c>
      <c r="D879" s="14">
        <f t="shared" si="13"/>
        <v>12.2</v>
      </c>
    </row>
    <row r="880" ht="15" spans="1:4">
      <c r="A880" s="12" t="s">
        <v>106</v>
      </c>
      <c r="B880" s="13">
        <v>1</v>
      </c>
      <c r="C880" s="14">
        <v>16.5</v>
      </c>
      <c r="D880" s="14">
        <f t="shared" si="13"/>
        <v>16.5</v>
      </c>
    </row>
    <row r="881" ht="15" spans="1:4">
      <c r="A881" s="12" t="s">
        <v>47</v>
      </c>
      <c r="B881" s="13">
        <v>7</v>
      </c>
      <c r="C881" s="14">
        <v>22</v>
      </c>
      <c r="D881" s="14">
        <f t="shared" si="13"/>
        <v>154</v>
      </c>
    </row>
    <row r="882" ht="15" spans="1:4">
      <c r="A882" s="12" t="s">
        <v>69</v>
      </c>
      <c r="B882" s="13">
        <v>1</v>
      </c>
      <c r="C882" s="14">
        <v>9.2</v>
      </c>
      <c r="D882" s="14">
        <f t="shared" si="13"/>
        <v>9.2</v>
      </c>
    </row>
    <row r="883" ht="15" spans="1:4">
      <c r="A883" s="12" t="s">
        <v>173</v>
      </c>
      <c r="B883" s="13">
        <v>2</v>
      </c>
      <c r="C883" s="14">
        <v>16.5</v>
      </c>
      <c r="D883" s="14">
        <f t="shared" si="13"/>
        <v>33</v>
      </c>
    </row>
    <row r="884" ht="15" spans="1:4">
      <c r="A884" s="12" t="s">
        <v>94</v>
      </c>
      <c r="B884" s="13">
        <v>1</v>
      </c>
      <c r="C884" s="14">
        <v>35</v>
      </c>
      <c r="D884" s="14">
        <f t="shared" si="13"/>
        <v>35</v>
      </c>
    </row>
    <row r="885" ht="15" spans="1:4">
      <c r="A885" s="12" t="s">
        <v>95</v>
      </c>
      <c r="B885" s="13">
        <v>1</v>
      </c>
      <c r="C885" s="14">
        <v>35</v>
      </c>
      <c r="D885" s="14">
        <f t="shared" si="13"/>
        <v>35</v>
      </c>
    </row>
    <row r="886" ht="15" spans="1:4">
      <c r="A886" s="12" t="s">
        <v>96</v>
      </c>
      <c r="B886" s="13">
        <v>1</v>
      </c>
      <c r="C886" s="14">
        <v>35</v>
      </c>
      <c r="D886" s="14">
        <f t="shared" si="13"/>
        <v>35</v>
      </c>
    </row>
    <row r="887" ht="15" spans="1:4">
      <c r="A887" s="12" t="s">
        <v>159</v>
      </c>
      <c r="B887" s="13">
        <v>1</v>
      </c>
      <c r="C887" s="14">
        <v>44</v>
      </c>
      <c r="D887" s="14">
        <f t="shared" si="13"/>
        <v>44</v>
      </c>
    </row>
    <row r="888" ht="15" spans="1:4">
      <c r="A888" s="15" t="s">
        <v>99</v>
      </c>
      <c r="B888" s="13">
        <v>1</v>
      </c>
      <c r="C888" s="14">
        <v>28</v>
      </c>
      <c r="D888" s="14">
        <f t="shared" si="13"/>
        <v>28</v>
      </c>
    </row>
    <row r="889" ht="15" spans="1:4">
      <c r="A889" s="12" t="s">
        <v>101</v>
      </c>
      <c r="B889" s="13">
        <v>1</v>
      </c>
      <c r="C889" s="14">
        <v>35</v>
      </c>
      <c r="D889" s="14">
        <f t="shared" si="13"/>
        <v>35</v>
      </c>
    </row>
    <row r="890" ht="15" spans="1:4">
      <c r="A890" s="12" t="s">
        <v>9</v>
      </c>
      <c r="B890" s="13">
        <v>1</v>
      </c>
      <c r="C890" s="14">
        <v>126.5</v>
      </c>
      <c r="D890" s="14">
        <f t="shared" si="13"/>
        <v>126.5</v>
      </c>
    </row>
    <row r="891" ht="15" spans="1:4">
      <c r="A891" s="12" t="s">
        <v>55</v>
      </c>
      <c r="B891" s="13">
        <v>1</v>
      </c>
      <c r="C891" s="14">
        <v>197.5</v>
      </c>
      <c r="D891" s="14">
        <f t="shared" si="13"/>
        <v>197.5</v>
      </c>
    </row>
    <row r="892" ht="15" spans="1:4">
      <c r="A892" s="12" t="s">
        <v>52</v>
      </c>
      <c r="B892" s="13">
        <v>1</v>
      </c>
      <c r="C892" s="14">
        <v>120.5</v>
      </c>
      <c r="D892" s="14">
        <f t="shared" si="13"/>
        <v>120.5</v>
      </c>
    </row>
    <row r="893" ht="15" spans="1:4">
      <c r="A893" s="12" t="s">
        <v>60</v>
      </c>
      <c r="B893" s="13">
        <v>2</v>
      </c>
      <c r="C893" s="14">
        <v>131.5</v>
      </c>
      <c r="D893" s="14">
        <f t="shared" si="13"/>
        <v>263</v>
      </c>
    </row>
    <row r="894" ht="15" spans="1:4">
      <c r="A894" s="12" t="s">
        <v>11</v>
      </c>
      <c r="B894" s="13">
        <v>1</v>
      </c>
      <c r="C894" s="14">
        <v>159</v>
      </c>
      <c r="D894" s="14">
        <f t="shared" si="13"/>
        <v>159</v>
      </c>
    </row>
    <row r="895" ht="15" spans="1:4">
      <c r="A895" s="12" t="s">
        <v>19</v>
      </c>
      <c r="B895" s="13">
        <v>5</v>
      </c>
      <c r="C895" s="14">
        <v>13.3</v>
      </c>
      <c r="D895" s="14">
        <f t="shared" si="13"/>
        <v>66.5</v>
      </c>
    </row>
    <row r="896" ht="15" spans="1:4">
      <c r="A896" s="12" t="s">
        <v>28</v>
      </c>
      <c r="B896" s="13">
        <v>2</v>
      </c>
      <c r="C896" s="14">
        <v>0</v>
      </c>
      <c r="D896" s="14">
        <f t="shared" si="13"/>
        <v>0</v>
      </c>
    </row>
    <row r="897" ht="15" spans="1:4">
      <c r="A897" s="12" t="s">
        <v>29</v>
      </c>
      <c r="B897" s="13">
        <v>2</v>
      </c>
      <c r="C897" s="14">
        <v>0</v>
      </c>
      <c r="D897" s="14">
        <f t="shared" si="13"/>
        <v>0</v>
      </c>
    </row>
    <row r="898" ht="15" spans="1:4">
      <c r="A898" s="12" t="s">
        <v>140</v>
      </c>
      <c r="B898" s="13">
        <v>1</v>
      </c>
      <c r="C898" s="14">
        <v>50</v>
      </c>
      <c r="D898" s="14">
        <f t="shared" si="13"/>
        <v>50</v>
      </c>
    </row>
    <row r="899" ht="15" spans="1:4">
      <c r="A899" s="12" t="s">
        <v>132</v>
      </c>
      <c r="B899" s="13">
        <v>1</v>
      </c>
      <c r="C899" s="14">
        <v>50</v>
      </c>
      <c r="D899" s="14">
        <f t="shared" si="13"/>
        <v>50</v>
      </c>
    </row>
    <row r="900" ht="15" spans="1:4">
      <c r="A900" s="12" t="s">
        <v>68</v>
      </c>
      <c r="B900" s="13">
        <v>1</v>
      </c>
      <c r="C900" s="14">
        <v>17.2</v>
      </c>
      <c r="D900" s="14">
        <f t="shared" si="13"/>
        <v>17.2</v>
      </c>
    </row>
    <row r="901" ht="15" spans="1:4">
      <c r="A901" s="12" t="s">
        <v>37</v>
      </c>
      <c r="B901" s="13">
        <v>3</v>
      </c>
      <c r="C901" s="14">
        <v>16.5</v>
      </c>
      <c r="D901" s="14">
        <f t="shared" si="13"/>
        <v>49.5</v>
      </c>
    </row>
    <row r="902" ht="15" spans="1:4">
      <c r="A902" s="12" t="s">
        <v>40</v>
      </c>
      <c r="B902" s="13">
        <v>1</v>
      </c>
      <c r="C902" s="14">
        <v>14.2</v>
      </c>
      <c r="D902" s="14">
        <f t="shared" si="13"/>
        <v>14.2</v>
      </c>
    </row>
    <row r="903" ht="15" spans="1:4">
      <c r="A903" s="12" t="s">
        <v>41</v>
      </c>
      <c r="B903" s="13">
        <v>1</v>
      </c>
      <c r="C903" s="14">
        <v>27.5</v>
      </c>
      <c r="D903" s="14">
        <f t="shared" ref="D903:D966" si="14">C903*B903</f>
        <v>27.5</v>
      </c>
    </row>
    <row r="904" ht="15" spans="1:4">
      <c r="A904" s="12" t="s">
        <v>42</v>
      </c>
      <c r="B904" s="13">
        <v>2</v>
      </c>
      <c r="C904" s="14">
        <v>17.7</v>
      </c>
      <c r="D904" s="14">
        <f t="shared" si="14"/>
        <v>35.4</v>
      </c>
    </row>
    <row r="905" ht="15" spans="1:4">
      <c r="A905" s="12" t="s">
        <v>43</v>
      </c>
      <c r="B905" s="13">
        <v>2</v>
      </c>
      <c r="C905" s="14">
        <v>16.5</v>
      </c>
      <c r="D905" s="14">
        <f t="shared" si="14"/>
        <v>33</v>
      </c>
    </row>
    <row r="906" ht="15" spans="1:4">
      <c r="A906" s="12" t="s">
        <v>44</v>
      </c>
      <c r="B906" s="13">
        <v>2</v>
      </c>
      <c r="C906" s="14">
        <v>16.5</v>
      </c>
      <c r="D906" s="14">
        <f t="shared" si="14"/>
        <v>33</v>
      </c>
    </row>
    <row r="907" ht="15" spans="1:4">
      <c r="A907" s="12" t="s">
        <v>47</v>
      </c>
      <c r="B907" s="13">
        <v>5</v>
      </c>
      <c r="C907" s="14">
        <v>22</v>
      </c>
      <c r="D907" s="14">
        <f t="shared" si="14"/>
        <v>110</v>
      </c>
    </row>
    <row r="908" ht="15" spans="1:4">
      <c r="A908" s="12" t="s">
        <v>49</v>
      </c>
      <c r="B908" s="13">
        <v>1</v>
      </c>
      <c r="C908" s="14">
        <v>16.5</v>
      </c>
      <c r="D908" s="14">
        <f t="shared" si="14"/>
        <v>16.5</v>
      </c>
    </row>
    <row r="909" ht="15" spans="1:4">
      <c r="A909" s="12" t="s">
        <v>59</v>
      </c>
      <c r="B909" s="13">
        <v>1</v>
      </c>
      <c r="C909" s="14">
        <v>71</v>
      </c>
      <c r="D909" s="14">
        <f t="shared" si="14"/>
        <v>71</v>
      </c>
    </row>
    <row r="910" ht="15" spans="1:4">
      <c r="A910" s="12" t="s">
        <v>55</v>
      </c>
      <c r="B910" s="13">
        <v>2</v>
      </c>
      <c r="C910" s="14">
        <v>197.5</v>
      </c>
      <c r="D910" s="14">
        <f t="shared" si="14"/>
        <v>395</v>
      </c>
    </row>
    <row r="911" ht="15" spans="1:4">
      <c r="A911" s="12" t="s">
        <v>52</v>
      </c>
      <c r="B911" s="13">
        <v>1</v>
      </c>
      <c r="C911" s="14">
        <v>120.5</v>
      </c>
      <c r="D911" s="14">
        <f t="shared" si="14"/>
        <v>120.5</v>
      </c>
    </row>
    <row r="912" ht="15" spans="1:4">
      <c r="A912" s="12" t="s">
        <v>10</v>
      </c>
      <c r="B912" s="13">
        <v>1</v>
      </c>
      <c r="C912" s="14">
        <v>159</v>
      </c>
      <c r="D912" s="14">
        <f t="shared" si="14"/>
        <v>159</v>
      </c>
    </row>
    <row r="913" ht="15" spans="1:4">
      <c r="A913" s="12" t="s">
        <v>60</v>
      </c>
      <c r="B913" s="13">
        <v>1</v>
      </c>
      <c r="C913" s="14">
        <v>131.5</v>
      </c>
      <c r="D913" s="14">
        <f t="shared" si="14"/>
        <v>131.5</v>
      </c>
    </row>
    <row r="914" ht="15" spans="1:4">
      <c r="A914" s="12" t="s">
        <v>61</v>
      </c>
      <c r="B914" s="13">
        <v>1</v>
      </c>
      <c r="C914" s="14">
        <v>60.5</v>
      </c>
      <c r="D914" s="14">
        <f t="shared" si="14"/>
        <v>60.5</v>
      </c>
    </row>
    <row r="915" ht="15" spans="1:4">
      <c r="A915" s="12" t="s">
        <v>138</v>
      </c>
      <c r="B915" s="13">
        <v>1</v>
      </c>
      <c r="C915" s="14">
        <v>49.5</v>
      </c>
      <c r="D915" s="14">
        <f t="shared" si="14"/>
        <v>49.5</v>
      </c>
    </row>
    <row r="916" ht="15" spans="1:4">
      <c r="A916" s="12" t="s">
        <v>11</v>
      </c>
      <c r="B916" s="13">
        <v>1</v>
      </c>
      <c r="C916" s="14">
        <v>159</v>
      </c>
      <c r="D916" s="14">
        <f t="shared" si="14"/>
        <v>159</v>
      </c>
    </row>
    <row r="917" ht="15" spans="1:4">
      <c r="A917" s="12" t="s">
        <v>36</v>
      </c>
      <c r="B917" s="13">
        <v>2</v>
      </c>
      <c r="C917" s="14">
        <v>126.5</v>
      </c>
      <c r="D917" s="14">
        <f t="shared" si="14"/>
        <v>253</v>
      </c>
    </row>
    <row r="918" ht="15" spans="1:4">
      <c r="A918" s="12" t="s">
        <v>233</v>
      </c>
      <c r="B918" s="13">
        <v>1</v>
      </c>
      <c r="C918" s="14">
        <v>77</v>
      </c>
      <c r="D918" s="14">
        <f t="shared" si="14"/>
        <v>77</v>
      </c>
    </row>
    <row r="919" ht="15" spans="1:4">
      <c r="A919" s="12" t="s">
        <v>68</v>
      </c>
      <c r="B919" s="13">
        <v>1</v>
      </c>
      <c r="C919" s="14">
        <v>17.2</v>
      </c>
      <c r="D919" s="14">
        <f t="shared" si="14"/>
        <v>17.2</v>
      </c>
    </row>
    <row r="920" ht="15" spans="1:4">
      <c r="A920" s="12" t="s">
        <v>37</v>
      </c>
      <c r="B920" s="13">
        <v>7</v>
      </c>
      <c r="C920" s="14">
        <v>16.5</v>
      </c>
      <c r="D920" s="14">
        <f t="shared" si="14"/>
        <v>115.5</v>
      </c>
    </row>
    <row r="921" ht="15" spans="1:4">
      <c r="A921" s="12" t="s">
        <v>38</v>
      </c>
      <c r="B921" s="13">
        <v>1</v>
      </c>
      <c r="C921" s="14">
        <v>38.5</v>
      </c>
      <c r="D921" s="14">
        <f t="shared" si="14"/>
        <v>38.5</v>
      </c>
    </row>
    <row r="922" ht="15" spans="1:4">
      <c r="A922" s="12" t="s">
        <v>217</v>
      </c>
      <c r="B922" s="13">
        <v>2</v>
      </c>
      <c r="C922" s="14">
        <v>12.2</v>
      </c>
      <c r="D922" s="14">
        <f t="shared" si="14"/>
        <v>24.4</v>
      </c>
    </row>
    <row r="923" ht="15" spans="1:4">
      <c r="A923" s="12" t="s">
        <v>40</v>
      </c>
      <c r="B923" s="13">
        <v>1</v>
      </c>
      <c r="C923" s="14">
        <v>14.2</v>
      </c>
      <c r="D923" s="14">
        <f t="shared" si="14"/>
        <v>14.2</v>
      </c>
    </row>
    <row r="924" ht="15" spans="1:4">
      <c r="A924" s="12" t="s">
        <v>41</v>
      </c>
      <c r="B924" s="13">
        <v>2</v>
      </c>
      <c r="C924" s="14">
        <v>27.5</v>
      </c>
      <c r="D924" s="14">
        <f t="shared" si="14"/>
        <v>55</v>
      </c>
    </row>
    <row r="925" ht="15" spans="1:4">
      <c r="A925" s="12" t="s">
        <v>42</v>
      </c>
      <c r="B925" s="13">
        <v>2</v>
      </c>
      <c r="C925" s="14">
        <v>17.7</v>
      </c>
      <c r="D925" s="14">
        <f t="shared" si="14"/>
        <v>35.4</v>
      </c>
    </row>
    <row r="926" ht="15" spans="1:4">
      <c r="A926" s="12" t="s">
        <v>234</v>
      </c>
      <c r="B926" s="13">
        <v>1</v>
      </c>
      <c r="C926" s="14">
        <v>17.2</v>
      </c>
      <c r="D926" s="14">
        <f t="shared" si="14"/>
        <v>17.2</v>
      </c>
    </row>
    <row r="927" ht="15" spans="1:4">
      <c r="A927" s="12" t="s">
        <v>47</v>
      </c>
      <c r="B927" s="13">
        <v>5</v>
      </c>
      <c r="C927" s="14">
        <v>22</v>
      </c>
      <c r="D927" s="14">
        <f t="shared" si="14"/>
        <v>110</v>
      </c>
    </row>
    <row r="928" ht="15" spans="1:4">
      <c r="A928" s="12" t="s">
        <v>69</v>
      </c>
      <c r="B928" s="13">
        <v>1</v>
      </c>
      <c r="C928" s="14">
        <v>9.2</v>
      </c>
      <c r="D928" s="14">
        <f t="shared" si="14"/>
        <v>9.2</v>
      </c>
    </row>
    <row r="929" ht="15" spans="1:4">
      <c r="A929" s="12" t="s">
        <v>173</v>
      </c>
      <c r="B929" s="13">
        <v>2</v>
      </c>
      <c r="C929" s="14">
        <v>16.5</v>
      </c>
      <c r="D929" s="14">
        <f t="shared" si="14"/>
        <v>33</v>
      </c>
    </row>
    <row r="930" ht="15" spans="1:4">
      <c r="A930" s="12" t="s">
        <v>49</v>
      </c>
      <c r="B930" s="13">
        <v>1</v>
      </c>
      <c r="C930" s="14">
        <v>16.5</v>
      </c>
      <c r="D930" s="14">
        <f t="shared" si="14"/>
        <v>16.5</v>
      </c>
    </row>
    <row r="931" ht="15" spans="1:4">
      <c r="A931" s="12" t="s">
        <v>220</v>
      </c>
      <c r="B931" s="13">
        <v>1</v>
      </c>
      <c r="C931" s="14">
        <v>66</v>
      </c>
      <c r="D931" s="14">
        <f t="shared" si="14"/>
        <v>66</v>
      </c>
    </row>
    <row r="932" ht="15" spans="1:4">
      <c r="A932" s="12" t="s">
        <v>53</v>
      </c>
      <c r="B932" s="13">
        <v>1</v>
      </c>
      <c r="C932" s="14">
        <v>170</v>
      </c>
      <c r="D932" s="14">
        <f t="shared" si="14"/>
        <v>170</v>
      </c>
    </row>
    <row r="933" ht="15" spans="1:4">
      <c r="A933" s="12" t="s">
        <v>55</v>
      </c>
      <c r="B933" s="13">
        <v>1</v>
      </c>
      <c r="C933" s="14">
        <v>197.5</v>
      </c>
      <c r="D933" s="14">
        <f t="shared" si="14"/>
        <v>197.5</v>
      </c>
    </row>
    <row r="934" ht="15" spans="1:4">
      <c r="A934" s="12" t="s">
        <v>10</v>
      </c>
      <c r="B934" s="13">
        <v>1</v>
      </c>
      <c r="C934" s="14">
        <v>159</v>
      </c>
      <c r="D934" s="14">
        <f t="shared" si="14"/>
        <v>159</v>
      </c>
    </row>
    <row r="935" ht="15" spans="1:4">
      <c r="A935" s="12" t="s">
        <v>60</v>
      </c>
      <c r="B935" s="13">
        <v>1</v>
      </c>
      <c r="C935" s="14">
        <v>131.5</v>
      </c>
      <c r="D935" s="14">
        <f t="shared" si="14"/>
        <v>131.5</v>
      </c>
    </row>
    <row r="936" ht="15" spans="1:4">
      <c r="A936" s="12" t="s">
        <v>163</v>
      </c>
      <c r="B936" s="13">
        <v>1</v>
      </c>
      <c r="C936" s="14">
        <v>55</v>
      </c>
      <c r="D936" s="14">
        <f t="shared" si="14"/>
        <v>55</v>
      </c>
    </row>
    <row r="937" ht="15" spans="1:4">
      <c r="A937" s="12" t="s">
        <v>36</v>
      </c>
      <c r="B937" s="13">
        <v>1</v>
      </c>
      <c r="C937" s="14">
        <v>126.5</v>
      </c>
      <c r="D937" s="14">
        <f t="shared" si="14"/>
        <v>126.5</v>
      </c>
    </row>
    <row r="938" ht="15" spans="1:4">
      <c r="A938" s="12" t="s">
        <v>40</v>
      </c>
      <c r="B938" s="13">
        <v>1</v>
      </c>
      <c r="C938" s="14">
        <v>14.2</v>
      </c>
      <c r="D938" s="14">
        <f t="shared" si="14"/>
        <v>14.2</v>
      </c>
    </row>
    <row r="939" ht="15" spans="1:4">
      <c r="A939" s="12" t="s">
        <v>42</v>
      </c>
      <c r="B939" s="13">
        <v>1</v>
      </c>
      <c r="C939" s="14">
        <v>17.7</v>
      </c>
      <c r="D939" s="14">
        <f t="shared" si="14"/>
        <v>17.7</v>
      </c>
    </row>
    <row r="940" ht="15" spans="1:4">
      <c r="A940" s="12" t="s">
        <v>235</v>
      </c>
      <c r="B940" s="13">
        <v>1</v>
      </c>
      <c r="C940" s="14">
        <v>17.2</v>
      </c>
      <c r="D940" s="14">
        <f t="shared" si="14"/>
        <v>17.2</v>
      </c>
    </row>
    <row r="941" ht="15" spans="1:4">
      <c r="A941" s="12" t="s">
        <v>46</v>
      </c>
      <c r="B941" s="13">
        <v>1</v>
      </c>
      <c r="C941" s="14">
        <v>12.2</v>
      </c>
      <c r="D941" s="14">
        <f t="shared" si="14"/>
        <v>12.2</v>
      </c>
    </row>
    <row r="942" ht="15" spans="1:4">
      <c r="A942" s="12" t="s">
        <v>47</v>
      </c>
      <c r="B942" s="13">
        <v>6</v>
      </c>
      <c r="C942" s="14">
        <v>22</v>
      </c>
      <c r="D942" s="14">
        <f t="shared" si="14"/>
        <v>132</v>
      </c>
    </row>
    <row r="943" ht="15" spans="1:4">
      <c r="A943" s="12" t="s">
        <v>60</v>
      </c>
      <c r="B943" s="13">
        <v>1</v>
      </c>
      <c r="C943" s="14">
        <v>131.5</v>
      </c>
      <c r="D943" s="14">
        <f t="shared" si="14"/>
        <v>131.5</v>
      </c>
    </row>
    <row r="944" ht="15" spans="1:4">
      <c r="A944" s="12" t="s">
        <v>196</v>
      </c>
      <c r="B944" s="13">
        <v>1</v>
      </c>
      <c r="C944" s="14">
        <v>126</v>
      </c>
      <c r="D944" s="14">
        <f t="shared" si="14"/>
        <v>126</v>
      </c>
    </row>
    <row r="945" ht="15" spans="1:4">
      <c r="A945" s="12" t="s">
        <v>53</v>
      </c>
      <c r="B945" s="13">
        <v>1</v>
      </c>
      <c r="C945" s="14">
        <v>170</v>
      </c>
      <c r="D945" s="14">
        <f t="shared" si="14"/>
        <v>170</v>
      </c>
    </row>
    <row r="946" ht="15" spans="1:4">
      <c r="A946" s="12" t="s">
        <v>15</v>
      </c>
      <c r="B946" s="13">
        <v>4</v>
      </c>
      <c r="C946" s="14">
        <v>27.8</v>
      </c>
      <c r="D946" s="14">
        <f t="shared" si="14"/>
        <v>111.2</v>
      </c>
    </row>
    <row r="947" ht="15" spans="1:4">
      <c r="A947" s="12" t="s">
        <v>176</v>
      </c>
      <c r="B947" s="13">
        <v>2</v>
      </c>
      <c r="C947" s="14">
        <v>8.3</v>
      </c>
      <c r="D947" s="14">
        <f t="shared" si="14"/>
        <v>16.6</v>
      </c>
    </row>
    <row r="948" ht="15" spans="1:4">
      <c r="A948" s="12" t="s">
        <v>75</v>
      </c>
      <c r="B948" s="13">
        <v>1</v>
      </c>
      <c r="C948" s="14">
        <v>8.3</v>
      </c>
      <c r="D948" s="14">
        <f t="shared" si="14"/>
        <v>8.3</v>
      </c>
    </row>
    <row r="949" ht="15" spans="1:4">
      <c r="A949" s="12" t="s">
        <v>19</v>
      </c>
      <c r="B949" s="13">
        <v>1</v>
      </c>
      <c r="C949" s="14">
        <v>13.3</v>
      </c>
      <c r="D949" s="14">
        <f t="shared" si="14"/>
        <v>13.3</v>
      </c>
    </row>
    <row r="950" ht="15" spans="1:4">
      <c r="A950" s="12" t="s">
        <v>141</v>
      </c>
      <c r="B950" s="13">
        <v>1</v>
      </c>
      <c r="C950" s="14">
        <v>8.3</v>
      </c>
      <c r="D950" s="14">
        <f t="shared" si="14"/>
        <v>8.3</v>
      </c>
    </row>
    <row r="951" ht="15" spans="1:4">
      <c r="A951" s="12" t="s">
        <v>178</v>
      </c>
      <c r="B951" s="13">
        <v>1</v>
      </c>
      <c r="C951" s="14">
        <v>8.3</v>
      </c>
      <c r="D951" s="14">
        <f t="shared" si="14"/>
        <v>8.3</v>
      </c>
    </row>
    <row r="952" ht="15" spans="1:4">
      <c r="A952" s="12" t="s">
        <v>236</v>
      </c>
      <c r="B952" s="13">
        <v>1</v>
      </c>
      <c r="C952" s="14">
        <v>8.3</v>
      </c>
      <c r="D952" s="14">
        <f t="shared" si="14"/>
        <v>8.3</v>
      </c>
    </row>
    <row r="953" ht="15" spans="1:4">
      <c r="A953" s="12" t="s">
        <v>24</v>
      </c>
      <c r="B953" s="13">
        <v>1</v>
      </c>
      <c r="C953" s="14">
        <v>8.3</v>
      </c>
      <c r="D953" s="14">
        <f t="shared" si="14"/>
        <v>8.3</v>
      </c>
    </row>
    <row r="954" ht="15" spans="1:4">
      <c r="A954" s="12" t="s">
        <v>28</v>
      </c>
      <c r="B954" s="13">
        <v>3</v>
      </c>
      <c r="C954" s="14">
        <v>0</v>
      </c>
      <c r="D954" s="14">
        <f t="shared" si="14"/>
        <v>0</v>
      </c>
    </row>
    <row r="955" ht="15" spans="1:4">
      <c r="A955" s="12" t="s">
        <v>29</v>
      </c>
      <c r="B955" s="13">
        <v>7</v>
      </c>
      <c r="C955" s="14">
        <v>0</v>
      </c>
      <c r="D955" s="14">
        <f t="shared" si="14"/>
        <v>0</v>
      </c>
    </row>
    <row r="956" ht="15" spans="1:4">
      <c r="A956" s="12" t="s">
        <v>80</v>
      </c>
      <c r="B956" s="13">
        <v>1</v>
      </c>
      <c r="C956" s="14">
        <v>50</v>
      </c>
      <c r="D956" s="14">
        <f t="shared" si="14"/>
        <v>50</v>
      </c>
    </row>
    <row r="957" ht="15" spans="1:4">
      <c r="A957" s="12" t="s">
        <v>81</v>
      </c>
      <c r="B957" s="13">
        <v>1</v>
      </c>
      <c r="C957" s="14">
        <v>50</v>
      </c>
      <c r="D957" s="14">
        <f t="shared" si="14"/>
        <v>50</v>
      </c>
    </row>
    <row r="958" ht="15" spans="1:4">
      <c r="A958" s="12" t="s">
        <v>139</v>
      </c>
      <c r="B958" s="13">
        <v>1</v>
      </c>
      <c r="C958" s="14">
        <v>50</v>
      </c>
      <c r="D958" s="14">
        <f t="shared" si="14"/>
        <v>50</v>
      </c>
    </row>
    <row r="959" ht="15" spans="1:4">
      <c r="A959" s="12" t="s">
        <v>34</v>
      </c>
      <c r="B959" s="13">
        <v>1</v>
      </c>
      <c r="C959" s="14">
        <v>66.5</v>
      </c>
      <c r="D959" s="14">
        <f t="shared" si="14"/>
        <v>66.5</v>
      </c>
    </row>
    <row r="960" ht="15" spans="1:4">
      <c r="A960" s="12" t="s">
        <v>145</v>
      </c>
      <c r="B960" s="13">
        <v>1</v>
      </c>
      <c r="C960" s="14">
        <v>66.5</v>
      </c>
      <c r="D960" s="14">
        <f t="shared" si="14"/>
        <v>66.5</v>
      </c>
    </row>
    <row r="961" ht="15" spans="1:4">
      <c r="A961" s="12" t="s">
        <v>37</v>
      </c>
      <c r="B961" s="13">
        <v>1</v>
      </c>
      <c r="C961" s="14">
        <v>16.5</v>
      </c>
      <c r="D961" s="14">
        <f t="shared" si="14"/>
        <v>16.5</v>
      </c>
    </row>
    <row r="962" ht="15" spans="1:4">
      <c r="A962" s="12" t="s">
        <v>54</v>
      </c>
      <c r="B962" s="13">
        <v>2</v>
      </c>
      <c r="C962" s="14">
        <v>12.2</v>
      </c>
      <c r="D962" s="14">
        <f t="shared" si="14"/>
        <v>24.4</v>
      </c>
    </row>
    <row r="963" ht="15" spans="1:4">
      <c r="A963" s="12" t="s">
        <v>41</v>
      </c>
      <c r="B963" s="13">
        <v>1</v>
      </c>
      <c r="C963" s="14">
        <v>27.5</v>
      </c>
      <c r="D963" s="14">
        <f t="shared" si="14"/>
        <v>27.5</v>
      </c>
    </row>
    <row r="964" ht="15" spans="1:4">
      <c r="A964" s="12" t="s">
        <v>43</v>
      </c>
      <c r="B964" s="13">
        <v>5</v>
      </c>
      <c r="C964" s="14">
        <v>16.5</v>
      </c>
      <c r="D964" s="14">
        <f t="shared" si="14"/>
        <v>82.5</v>
      </c>
    </row>
    <row r="965" ht="15" spans="1:4">
      <c r="A965" s="12" t="s">
        <v>44</v>
      </c>
      <c r="B965" s="13">
        <v>6</v>
      </c>
      <c r="C965" s="14">
        <v>16.5</v>
      </c>
      <c r="D965" s="14">
        <f t="shared" si="14"/>
        <v>99</v>
      </c>
    </row>
    <row r="966" ht="15" spans="1:4">
      <c r="A966" s="12" t="s">
        <v>106</v>
      </c>
      <c r="B966" s="13">
        <v>1</v>
      </c>
      <c r="C966" s="14">
        <v>16.5</v>
      </c>
      <c r="D966" s="14">
        <f t="shared" si="14"/>
        <v>16.5</v>
      </c>
    </row>
    <row r="967" ht="15" spans="1:4">
      <c r="A967" s="12" t="s">
        <v>47</v>
      </c>
      <c r="B967" s="13">
        <v>4</v>
      </c>
      <c r="C967" s="14">
        <v>22</v>
      </c>
      <c r="D967" s="14">
        <f t="shared" ref="D967:D1030" si="15">C967*B967</f>
        <v>88</v>
      </c>
    </row>
    <row r="968" ht="15" spans="1:4">
      <c r="A968" s="12" t="s">
        <v>189</v>
      </c>
      <c r="B968" s="13">
        <v>1</v>
      </c>
      <c r="C968" s="14">
        <v>16.5</v>
      </c>
      <c r="D968" s="14">
        <f t="shared" si="15"/>
        <v>16.5</v>
      </c>
    </row>
    <row r="969" ht="15" spans="1:4">
      <c r="A969" s="12" t="s">
        <v>11</v>
      </c>
      <c r="B969" s="13">
        <v>3</v>
      </c>
      <c r="C969" s="14">
        <v>159</v>
      </c>
      <c r="D969" s="14">
        <f t="shared" si="15"/>
        <v>477</v>
      </c>
    </row>
    <row r="970" ht="15" spans="1:4">
      <c r="A970" s="12" t="s">
        <v>28</v>
      </c>
      <c r="B970" s="13">
        <v>1</v>
      </c>
      <c r="C970" s="14">
        <v>0</v>
      </c>
      <c r="D970" s="14">
        <f t="shared" si="15"/>
        <v>0</v>
      </c>
    </row>
    <row r="971" ht="15" spans="1:4">
      <c r="A971" s="12" t="s">
        <v>29</v>
      </c>
      <c r="B971" s="13">
        <v>2</v>
      </c>
      <c r="C971" s="14">
        <v>0</v>
      </c>
      <c r="D971" s="14">
        <f t="shared" si="15"/>
        <v>0</v>
      </c>
    </row>
    <row r="972" ht="15" spans="1:4">
      <c r="A972" s="12" t="s">
        <v>37</v>
      </c>
      <c r="B972" s="13">
        <v>2</v>
      </c>
      <c r="C972" s="14">
        <v>16.5</v>
      </c>
      <c r="D972" s="14">
        <f t="shared" si="15"/>
        <v>33</v>
      </c>
    </row>
    <row r="973" ht="15" spans="1:4">
      <c r="A973" s="12" t="s">
        <v>42</v>
      </c>
      <c r="B973" s="13">
        <v>1</v>
      </c>
      <c r="C973" s="14">
        <v>17.7</v>
      </c>
      <c r="D973" s="14">
        <f t="shared" si="15"/>
        <v>17.7</v>
      </c>
    </row>
    <row r="974" ht="15" spans="1:4">
      <c r="A974" s="12" t="s">
        <v>43</v>
      </c>
      <c r="B974" s="13">
        <v>1</v>
      </c>
      <c r="C974" s="14">
        <v>16.5</v>
      </c>
      <c r="D974" s="14">
        <f t="shared" si="15"/>
        <v>16.5</v>
      </c>
    </row>
    <row r="975" ht="15" spans="1:4">
      <c r="A975" s="12" t="s">
        <v>44</v>
      </c>
      <c r="B975" s="13">
        <v>2</v>
      </c>
      <c r="C975" s="14">
        <v>16.5</v>
      </c>
      <c r="D975" s="14">
        <f t="shared" si="15"/>
        <v>33</v>
      </c>
    </row>
    <row r="976" ht="15" spans="1:4">
      <c r="A976" s="12" t="s">
        <v>47</v>
      </c>
      <c r="B976" s="13">
        <v>3</v>
      </c>
      <c r="C976" s="14">
        <v>22</v>
      </c>
      <c r="D976" s="14">
        <f t="shared" si="15"/>
        <v>66</v>
      </c>
    </row>
    <row r="977" ht="15" spans="1:4">
      <c r="A977" s="12" t="s">
        <v>108</v>
      </c>
      <c r="B977" s="13">
        <v>1</v>
      </c>
      <c r="C977" s="14">
        <v>12.2</v>
      </c>
      <c r="D977" s="14">
        <f t="shared" si="15"/>
        <v>12.2</v>
      </c>
    </row>
    <row r="978" ht="15" spans="1:4">
      <c r="A978" s="12" t="s">
        <v>55</v>
      </c>
      <c r="B978" s="13">
        <v>2</v>
      </c>
      <c r="C978" s="14">
        <v>197.5</v>
      </c>
      <c r="D978" s="14">
        <f t="shared" si="15"/>
        <v>395</v>
      </c>
    </row>
    <row r="979" ht="15" spans="1:4">
      <c r="A979" s="12" t="s">
        <v>52</v>
      </c>
      <c r="B979" s="13">
        <v>2</v>
      </c>
      <c r="C979" s="14">
        <v>120.5</v>
      </c>
      <c r="D979" s="14">
        <f t="shared" si="15"/>
        <v>241</v>
      </c>
    </row>
    <row r="980" ht="15" spans="1:4">
      <c r="A980" s="12" t="s">
        <v>10</v>
      </c>
      <c r="B980" s="13">
        <v>2</v>
      </c>
      <c r="C980" s="14">
        <v>159</v>
      </c>
      <c r="D980" s="14">
        <f t="shared" si="15"/>
        <v>318</v>
      </c>
    </row>
    <row r="981" ht="15" spans="1:4">
      <c r="A981" s="12" t="s">
        <v>60</v>
      </c>
      <c r="B981" s="13">
        <v>3</v>
      </c>
      <c r="C981" s="14">
        <v>131.5</v>
      </c>
      <c r="D981" s="14">
        <f t="shared" si="15"/>
        <v>394.5</v>
      </c>
    </row>
    <row r="982" ht="15" spans="1:4">
      <c r="A982" s="12" t="s">
        <v>58</v>
      </c>
      <c r="B982" s="13">
        <v>1</v>
      </c>
      <c r="C982" s="14">
        <v>104</v>
      </c>
      <c r="D982" s="14">
        <f t="shared" si="15"/>
        <v>104</v>
      </c>
    </row>
    <row r="983" ht="15" spans="1:4">
      <c r="A983" s="12" t="s">
        <v>11</v>
      </c>
      <c r="B983" s="13">
        <v>3</v>
      </c>
      <c r="C983" s="14">
        <v>159</v>
      </c>
      <c r="D983" s="14">
        <f t="shared" si="15"/>
        <v>477</v>
      </c>
    </row>
    <row r="984" ht="15" spans="1:4">
      <c r="A984" s="12" t="s">
        <v>53</v>
      </c>
      <c r="B984" s="13">
        <v>1</v>
      </c>
      <c r="C984" s="14">
        <v>170</v>
      </c>
      <c r="D984" s="14">
        <f t="shared" si="15"/>
        <v>170</v>
      </c>
    </row>
    <row r="985" ht="15" spans="1:4">
      <c r="A985" s="12" t="s">
        <v>37</v>
      </c>
      <c r="B985" s="13">
        <v>2</v>
      </c>
      <c r="C985" s="14">
        <v>16.5</v>
      </c>
      <c r="D985" s="14">
        <f t="shared" si="15"/>
        <v>33</v>
      </c>
    </row>
    <row r="986" ht="15" spans="1:4">
      <c r="A986" s="12" t="s">
        <v>41</v>
      </c>
      <c r="B986" s="13">
        <v>1</v>
      </c>
      <c r="C986" s="14">
        <v>27.5</v>
      </c>
      <c r="D986" s="14">
        <f t="shared" si="15"/>
        <v>27.5</v>
      </c>
    </row>
    <row r="987" ht="15" spans="1:4">
      <c r="A987" s="12" t="s">
        <v>47</v>
      </c>
      <c r="B987" s="13">
        <v>2</v>
      </c>
      <c r="C987" s="14">
        <v>22</v>
      </c>
      <c r="D987" s="14">
        <f t="shared" si="15"/>
        <v>44</v>
      </c>
    </row>
    <row r="988" ht="15" spans="1:4">
      <c r="A988" s="12" t="s">
        <v>189</v>
      </c>
      <c r="B988" s="13">
        <v>1</v>
      </c>
      <c r="C988" s="14">
        <v>16.5</v>
      </c>
      <c r="D988" s="14">
        <f t="shared" si="15"/>
        <v>16.5</v>
      </c>
    </row>
    <row r="989" ht="15" spans="1:4">
      <c r="A989" s="12" t="s">
        <v>190</v>
      </c>
      <c r="B989" s="13">
        <v>1</v>
      </c>
      <c r="C989" s="14">
        <v>44</v>
      </c>
      <c r="D989" s="14">
        <f t="shared" si="15"/>
        <v>44</v>
      </c>
    </row>
    <row r="990" ht="15" spans="1:4">
      <c r="A990" s="12" t="s">
        <v>69</v>
      </c>
      <c r="B990" s="13">
        <v>1</v>
      </c>
      <c r="C990" s="14">
        <v>9.2</v>
      </c>
      <c r="D990" s="14">
        <f t="shared" si="15"/>
        <v>9.2</v>
      </c>
    </row>
    <row r="991" ht="15" spans="1:4">
      <c r="A991" s="15" t="s">
        <v>214</v>
      </c>
      <c r="B991" s="13">
        <v>1</v>
      </c>
      <c r="C991" s="14">
        <v>236.5</v>
      </c>
      <c r="D991" s="14">
        <f t="shared" si="15"/>
        <v>236.5</v>
      </c>
    </row>
    <row r="992" ht="15" spans="1:4">
      <c r="A992" s="15" t="s">
        <v>237</v>
      </c>
      <c r="B992" s="13">
        <v>1</v>
      </c>
      <c r="C992" s="14">
        <v>236.5</v>
      </c>
      <c r="D992" s="14">
        <f t="shared" si="15"/>
        <v>236.5</v>
      </c>
    </row>
    <row r="993" ht="15" spans="1:4">
      <c r="A993" s="12" t="s">
        <v>52</v>
      </c>
      <c r="B993" s="13">
        <v>1</v>
      </c>
      <c r="C993" s="14">
        <v>120.5</v>
      </c>
      <c r="D993" s="14">
        <f t="shared" si="15"/>
        <v>120.5</v>
      </c>
    </row>
    <row r="994" ht="15" spans="1:4">
      <c r="A994" s="12" t="s">
        <v>10</v>
      </c>
      <c r="B994" s="13">
        <v>1</v>
      </c>
      <c r="C994" s="14">
        <v>159</v>
      </c>
      <c r="D994" s="14">
        <f t="shared" si="15"/>
        <v>159</v>
      </c>
    </row>
    <row r="995" ht="15" spans="1:4">
      <c r="A995" s="12" t="s">
        <v>60</v>
      </c>
      <c r="B995" s="13">
        <v>3</v>
      </c>
      <c r="C995" s="14">
        <v>131.5</v>
      </c>
      <c r="D995" s="14">
        <f t="shared" si="15"/>
        <v>394.5</v>
      </c>
    </row>
    <row r="996" ht="15" spans="1:4">
      <c r="A996" s="12" t="s">
        <v>62</v>
      </c>
      <c r="B996" s="13">
        <v>1</v>
      </c>
      <c r="C996" s="14">
        <v>88</v>
      </c>
      <c r="D996" s="14">
        <f t="shared" si="15"/>
        <v>88</v>
      </c>
    </row>
    <row r="997" ht="15" spans="1:4">
      <c r="A997" s="12" t="s">
        <v>63</v>
      </c>
      <c r="B997" s="13">
        <v>1</v>
      </c>
      <c r="C997" s="14">
        <v>143</v>
      </c>
      <c r="D997" s="14">
        <f t="shared" si="15"/>
        <v>143</v>
      </c>
    </row>
    <row r="998" ht="15" spans="1:4">
      <c r="A998" s="12" t="s">
        <v>37</v>
      </c>
      <c r="B998" s="13">
        <v>2</v>
      </c>
      <c r="C998" s="14">
        <v>16.5</v>
      </c>
      <c r="D998" s="14">
        <f t="shared" si="15"/>
        <v>33</v>
      </c>
    </row>
    <row r="999" ht="15" spans="1:4">
      <c r="A999" s="12" t="s">
        <v>54</v>
      </c>
      <c r="B999" s="13">
        <v>3</v>
      </c>
      <c r="C999" s="14">
        <v>12.2</v>
      </c>
      <c r="D999" s="14">
        <f t="shared" si="15"/>
        <v>36.6</v>
      </c>
    </row>
    <row r="1000" ht="15" spans="1:4">
      <c r="A1000" s="12" t="s">
        <v>40</v>
      </c>
      <c r="B1000" s="13">
        <v>2</v>
      </c>
      <c r="C1000" s="14">
        <v>14.2</v>
      </c>
      <c r="D1000" s="14">
        <f t="shared" si="15"/>
        <v>28.4</v>
      </c>
    </row>
    <row r="1001" ht="15" spans="1:4">
      <c r="A1001" s="12" t="s">
        <v>41</v>
      </c>
      <c r="B1001" s="13">
        <v>3</v>
      </c>
      <c r="C1001" s="14">
        <v>27.5</v>
      </c>
      <c r="D1001" s="14">
        <f t="shared" si="15"/>
        <v>82.5</v>
      </c>
    </row>
    <row r="1002" ht="15" spans="1:4">
      <c r="A1002" s="12" t="s">
        <v>42</v>
      </c>
      <c r="B1002" s="13">
        <v>4</v>
      </c>
      <c r="C1002" s="14">
        <v>17.7</v>
      </c>
      <c r="D1002" s="14">
        <f t="shared" si="15"/>
        <v>70.8</v>
      </c>
    </row>
    <row r="1003" ht="15" spans="1:4">
      <c r="A1003" s="12" t="s">
        <v>43</v>
      </c>
      <c r="B1003" s="13">
        <v>6</v>
      </c>
      <c r="C1003" s="14">
        <v>16.5</v>
      </c>
      <c r="D1003" s="14">
        <f t="shared" si="15"/>
        <v>99</v>
      </c>
    </row>
    <row r="1004" ht="15" spans="1:4">
      <c r="A1004" s="12" t="s">
        <v>44</v>
      </c>
      <c r="B1004" s="13">
        <v>7</v>
      </c>
      <c r="C1004" s="14">
        <v>16.5</v>
      </c>
      <c r="D1004" s="14">
        <f t="shared" si="15"/>
        <v>115.5</v>
      </c>
    </row>
    <row r="1005" ht="15" spans="1:4">
      <c r="A1005" s="12" t="s">
        <v>47</v>
      </c>
      <c r="B1005" s="13">
        <v>13</v>
      </c>
      <c r="C1005" s="14">
        <v>22</v>
      </c>
      <c r="D1005" s="14">
        <f t="shared" si="15"/>
        <v>286</v>
      </c>
    </row>
    <row r="1006" ht="15" spans="1:4">
      <c r="A1006" s="12" t="s">
        <v>49</v>
      </c>
      <c r="B1006" s="13">
        <v>1</v>
      </c>
      <c r="C1006" s="14">
        <v>16.5</v>
      </c>
      <c r="D1006" s="14">
        <f t="shared" si="15"/>
        <v>16.5</v>
      </c>
    </row>
    <row r="1007" ht="15" spans="1:4">
      <c r="A1007" s="12" t="s">
        <v>59</v>
      </c>
      <c r="B1007" s="13">
        <v>1</v>
      </c>
      <c r="C1007" s="14">
        <v>71</v>
      </c>
      <c r="D1007" s="14">
        <f t="shared" si="15"/>
        <v>71</v>
      </c>
    </row>
    <row r="1008" ht="15" spans="1:4">
      <c r="A1008" s="12" t="s">
        <v>52</v>
      </c>
      <c r="B1008" s="13">
        <v>1</v>
      </c>
      <c r="C1008" s="14">
        <v>120.5</v>
      </c>
      <c r="D1008" s="14">
        <f t="shared" si="15"/>
        <v>120.5</v>
      </c>
    </row>
    <row r="1009" ht="15" spans="1:4">
      <c r="A1009" s="12" t="s">
        <v>238</v>
      </c>
      <c r="B1009" s="13">
        <v>1</v>
      </c>
      <c r="C1009" s="14">
        <v>13.8</v>
      </c>
      <c r="D1009" s="14">
        <f t="shared" si="15"/>
        <v>13.8</v>
      </c>
    </row>
    <row r="1010" ht="15" spans="1:4">
      <c r="A1010" s="12" t="s">
        <v>19</v>
      </c>
      <c r="B1010" s="13">
        <v>2</v>
      </c>
      <c r="C1010" s="14">
        <v>13.3</v>
      </c>
      <c r="D1010" s="14">
        <f t="shared" si="15"/>
        <v>26.6</v>
      </c>
    </row>
    <row r="1011" ht="15" spans="1:4">
      <c r="A1011" s="12" t="s">
        <v>239</v>
      </c>
      <c r="B1011" s="13">
        <v>1</v>
      </c>
      <c r="C1011" s="14">
        <v>16.3</v>
      </c>
      <c r="D1011" s="14">
        <f t="shared" si="15"/>
        <v>16.3</v>
      </c>
    </row>
    <row r="1012" ht="15" spans="1:4">
      <c r="A1012" s="12" t="s">
        <v>28</v>
      </c>
      <c r="B1012" s="13">
        <v>6</v>
      </c>
      <c r="C1012" s="14">
        <v>0</v>
      </c>
      <c r="D1012" s="14">
        <f t="shared" si="15"/>
        <v>0</v>
      </c>
    </row>
    <row r="1013" ht="15" spans="1:4">
      <c r="A1013" s="12" t="s">
        <v>29</v>
      </c>
      <c r="B1013" s="13">
        <v>7</v>
      </c>
      <c r="C1013" s="14">
        <v>0</v>
      </c>
      <c r="D1013" s="14">
        <f t="shared" si="15"/>
        <v>0</v>
      </c>
    </row>
    <row r="1014" ht="15" spans="1:4">
      <c r="A1014" s="15" t="s">
        <v>240</v>
      </c>
      <c r="B1014" s="13">
        <v>1</v>
      </c>
      <c r="C1014" s="14">
        <v>110</v>
      </c>
      <c r="D1014" s="14">
        <f t="shared" si="15"/>
        <v>110</v>
      </c>
    </row>
    <row r="1015" ht="15" spans="1:4">
      <c r="A1015" s="15" t="s">
        <v>241</v>
      </c>
      <c r="B1015" s="13">
        <v>1</v>
      </c>
      <c r="C1015" s="14">
        <v>148.5</v>
      </c>
      <c r="D1015" s="14">
        <f t="shared" si="15"/>
        <v>148.5</v>
      </c>
    </row>
    <row r="1016" ht="15" spans="1:4">
      <c r="A1016" s="12" t="s">
        <v>37</v>
      </c>
      <c r="B1016" s="13">
        <v>7</v>
      </c>
      <c r="C1016" s="14">
        <v>16.5</v>
      </c>
      <c r="D1016" s="14">
        <f t="shared" si="15"/>
        <v>115.5</v>
      </c>
    </row>
    <row r="1017" ht="15" spans="1:4">
      <c r="A1017" s="12" t="s">
        <v>88</v>
      </c>
      <c r="B1017" s="13">
        <v>1</v>
      </c>
      <c r="C1017" s="14">
        <v>16.5</v>
      </c>
      <c r="D1017" s="14">
        <f t="shared" si="15"/>
        <v>16.5</v>
      </c>
    </row>
    <row r="1018" ht="15" spans="1:4">
      <c r="A1018" s="12" t="s">
        <v>42</v>
      </c>
      <c r="B1018" s="13">
        <v>1</v>
      </c>
      <c r="C1018" s="14">
        <v>17.7</v>
      </c>
      <c r="D1018" s="14">
        <f t="shared" si="15"/>
        <v>17.7</v>
      </c>
    </row>
    <row r="1019" ht="15" spans="1:4">
      <c r="A1019" s="12" t="s">
        <v>47</v>
      </c>
      <c r="B1019" s="13">
        <v>4</v>
      </c>
      <c r="C1019" s="14">
        <v>22</v>
      </c>
      <c r="D1019" s="14">
        <f t="shared" si="15"/>
        <v>88</v>
      </c>
    </row>
    <row r="1020" ht="15" spans="1:4">
      <c r="A1020" s="12" t="s">
        <v>12</v>
      </c>
      <c r="B1020" s="13">
        <v>3</v>
      </c>
      <c r="C1020" s="14">
        <v>22.3</v>
      </c>
      <c r="D1020" s="14">
        <f t="shared" si="15"/>
        <v>66.9</v>
      </c>
    </row>
    <row r="1021" ht="15" spans="1:4">
      <c r="A1021" s="12" t="s">
        <v>73</v>
      </c>
      <c r="B1021" s="13">
        <v>2</v>
      </c>
      <c r="C1021" s="14">
        <v>16.8</v>
      </c>
      <c r="D1021" s="14">
        <f t="shared" si="15"/>
        <v>33.6</v>
      </c>
    </row>
    <row r="1022" ht="15" spans="1:4">
      <c r="A1022" s="12" t="s">
        <v>18</v>
      </c>
      <c r="B1022" s="13">
        <v>2</v>
      </c>
      <c r="C1022" s="14">
        <v>33.3</v>
      </c>
      <c r="D1022" s="14">
        <f t="shared" si="15"/>
        <v>66.6</v>
      </c>
    </row>
    <row r="1023" ht="15" spans="1:4">
      <c r="A1023" s="15" t="s">
        <v>30</v>
      </c>
      <c r="B1023" s="13">
        <v>1</v>
      </c>
      <c r="C1023" s="14">
        <v>50</v>
      </c>
      <c r="D1023" s="14">
        <f t="shared" si="15"/>
        <v>50</v>
      </c>
    </row>
    <row r="1024" ht="15" spans="1:4">
      <c r="A1024" s="12" t="s">
        <v>242</v>
      </c>
      <c r="B1024" s="13">
        <v>1</v>
      </c>
      <c r="C1024" s="14">
        <v>50</v>
      </c>
      <c r="D1024" s="14">
        <f t="shared" si="15"/>
        <v>50</v>
      </c>
    </row>
    <row r="1025" ht="15" spans="1:4">
      <c r="A1025" s="12" t="s">
        <v>82</v>
      </c>
      <c r="B1025" s="13">
        <v>1</v>
      </c>
      <c r="C1025" s="14">
        <v>50</v>
      </c>
      <c r="D1025" s="14">
        <f t="shared" si="15"/>
        <v>50</v>
      </c>
    </row>
    <row r="1026" ht="15" spans="1:4">
      <c r="A1026" s="12" t="s">
        <v>243</v>
      </c>
      <c r="B1026" s="13">
        <v>1</v>
      </c>
      <c r="C1026" s="14">
        <v>50</v>
      </c>
      <c r="D1026" s="14">
        <f t="shared" si="15"/>
        <v>50</v>
      </c>
    </row>
    <row r="1027" ht="15" spans="1:4">
      <c r="A1027" s="12" t="s">
        <v>145</v>
      </c>
      <c r="B1027" s="13">
        <v>1</v>
      </c>
      <c r="C1027" s="14">
        <v>66.5</v>
      </c>
      <c r="D1027" s="14">
        <f t="shared" si="15"/>
        <v>66.5</v>
      </c>
    </row>
    <row r="1028" ht="15" spans="1:4">
      <c r="A1028" s="15" t="s">
        <v>244</v>
      </c>
      <c r="B1028" s="13">
        <v>1</v>
      </c>
      <c r="C1028" s="14">
        <v>35</v>
      </c>
      <c r="D1028" s="14">
        <f t="shared" si="15"/>
        <v>35</v>
      </c>
    </row>
    <row r="1029" ht="15" spans="1:4">
      <c r="A1029" s="12" t="s">
        <v>95</v>
      </c>
      <c r="B1029" s="13">
        <v>2</v>
      </c>
      <c r="C1029" s="14">
        <v>35</v>
      </c>
      <c r="D1029" s="14">
        <f t="shared" si="15"/>
        <v>70</v>
      </c>
    </row>
    <row r="1030" ht="15" spans="1:4">
      <c r="A1030" s="12" t="s">
        <v>96</v>
      </c>
      <c r="B1030" s="13">
        <v>1</v>
      </c>
      <c r="C1030" s="14">
        <v>35</v>
      </c>
      <c r="D1030" s="14">
        <f t="shared" si="15"/>
        <v>35</v>
      </c>
    </row>
    <row r="1031" ht="15" spans="1:4">
      <c r="A1031" s="12" t="s">
        <v>245</v>
      </c>
      <c r="B1031" s="13">
        <v>1</v>
      </c>
      <c r="C1031" s="14">
        <v>35</v>
      </c>
      <c r="D1031" s="14">
        <f t="shared" ref="D1031:D1094" si="16">C1031*B1031</f>
        <v>35</v>
      </c>
    </row>
    <row r="1032" ht="15" spans="1:4">
      <c r="A1032" s="12" t="s">
        <v>246</v>
      </c>
      <c r="B1032" s="13">
        <v>1</v>
      </c>
      <c r="C1032" s="14">
        <v>66</v>
      </c>
      <c r="D1032" s="14">
        <f t="shared" si="16"/>
        <v>66</v>
      </c>
    </row>
    <row r="1033" ht="15" spans="1:4">
      <c r="A1033" s="12" t="s">
        <v>247</v>
      </c>
      <c r="B1033" s="13">
        <v>1</v>
      </c>
      <c r="C1033" s="14">
        <v>35</v>
      </c>
      <c r="D1033" s="14">
        <f t="shared" si="16"/>
        <v>35</v>
      </c>
    </row>
    <row r="1034" ht="15" spans="1:4">
      <c r="A1034" s="15" t="s">
        <v>99</v>
      </c>
      <c r="B1034" s="13">
        <v>1</v>
      </c>
      <c r="C1034" s="14">
        <v>28</v>
      </c>
      <c r="D1034" s="14">
        <f t="shared" si="16"/>
        <v>28</v>
      </c>
    </row>
    <row r="1035" ht="15" spans="1:4">
      <c r="A1035" s="15" t="s">
        <v>244</v>
      </c>
      <c r="B1035" s="13">
        <v>1</v>
      </c>
      <c r="C1035" s="14">
        <v>35</v>
      </c>
      <c r="D1035" s="14">
        <f t="shared" si="16"/>
        <v>35</v>
      </c>
    </row>
    <row r="1036" ht="15" spans="1:4">
      <c r="A1036" s="12" t="s">
        <v>95</v>
      </c>
      <c r="B1036" s="13">
        <v>2</v>
      </c>
      <c r="C1036" s="14">
        <v>35</v>
      </c>
      <c r="D1036" s="14">
        <f t="shared" si="16"/>
        <v>70</v>
      </c>
    </row>
    <row r="1037" ht="15" spans="1:4">
      <c r="A1037" s="12" t="s">
        <v>96</v>
      </c>
      <c r="B1037" s="13">
        <v>1</v>
      </c>
      <c r="C1037" s="14">
        <v>35</v>
      </c>
      <c r="D1037" s="14">
        <f t="shared" si="16"/>
        <v>35</v>
      </c>
    </row>
    <row r="1038" ht="15" spans="1:4">
      <c r="A1038" s="15" t="s">
        <v>99</v>
      </c>
      <c r="B1038" s="13">
        <v>1</v>
      </c>
      <c r="C1038" s="14">
        <v>28</v>
      </c>
      <c r="D1038" s="14">
        <f t="shared" si="16"/>
        <v>28</v>
      </c>
    </row>
    <row r="1039" ht="15" spans="1:4">
      <c r="A1039" s="12" t="s">
        <v>52</v>
      </c>
      <c r="B1039" s="13">
        <v>1</v>
      </c>
      <c r="C1039" s="14">
        <v>120.5</v>
      </c>
      <c r="D1039" s="14">
        <f t="shared" si="16"/>
        <v>120.5</v>
      </c>
    </row>
    <row r="1040" ht="15" spans="1:4">
      <c r="A1040" s="12" t="s">
        <v>11</v>
      </c>
      <c r="B1040" s="13">
        <v>1</v>
      </c>
      <c r="C1040" s="14">
        <v>159</v>
      </c>
      <c r="D1040" s="14">
        <f t="shared" si="16"/>
        <v>159</v>
      </c>
    </row>
    <row r="1041" ht="15" spans="1:4">
      <c r="A1041" s="12" t="s">
        <v>53</v>
      </c>
      <c r="B1041" s="13">
        <v>1</v>
      </c>
      <c r="C1041" s="14">
        <v>170</v>
      </c>
      <c r="D1041" s="14">
        <f t="shared" si="16"/>
        <v>170</v>
      </c>
    </row>
    <row r="1042" ht="15" spans="1:4">
      <c r="A1042" s="12" t="s">
        <v>19</v>
      </c>
      <c r="B1042" s="13">
        <v>1</v>
      </c>
      <c r="C1042" s="14">
        <v>13.3</v>
      </c>
      <c r="D1042" s="14">
        <f t="shared" si="16"/>
        <v>13.3</v>
      </c>
    </row>
    <row r="1043" ht="15" spans="1:4">
      <c r="A1043" s="12" t="s">
        <v>28</v>
      </c>
      <c r="B1043" s="13">
        <v>1</v>
      </c>
      <c r="C1043" s="14">
        <v>0</v>
      </c>
      <c r="D1043" s="14">
        <f t="shared" si="16"/>
        <v>0</v>
      </c>
    </row>
    <row r="1044" ht="15" spans="1:4">
      <c r="A1044" s="12" t="s">
        <v>29</v>
      </c>
      <c r="B1044" s="13">
        <v>2</v>
      </c>
      <c r="C1044" s="14">
        <v>0</v>
      </c>
      <c r="D1044" s="14">
        <f t="shared" si="16"/>
        <v>0</v>
      </c>
    </row>
    <row r="1045" ht="15" spans="1:4">
      <c r="A1045" s="15" t="s">
        <v>240</v>
      </c>
      <c r="B1045" s="13">
        <v>1</v>
      </c>
      <c r="C1045" s="14">
        <v>110</v>
      </c>
      <c r="D1045" s="14">
        <f t="shared" si="16"/>
        <v>110</v>
      </c>
    </row>
    <row r="1046" ht="15" spans="1:4">
      <c r="A1046" s="15" t="s">
        <v>241</v>
      </c>
      <c r="B1046" s="13">
        <v>1</v>
      </c>
      <c r="C1046" s="14">
        <v>148.5</v>
      </c>
      <c r="D1046" s="14">
        <f t="shared" si="16"/>
        <v>148.5</v>
      </c>
    </row>
    <row r="1047" ht="15" spans="1:4">
      <c r="A1047" s="12" t="s">
        <v>37</v>
      </c>
      <c r="B1047" s="13">
        <v>3</v>
      </c>
      <c r="C1047" s="14">
        <v>16.5</v>
      </c>
      <c r="D1047" s="14">
        <f t="shared" si="16"/>
        <v>49.5</v>
      </c>
    </row>
    <row r="1048" ht="15" spans="1:4">
      <c r="A1048" s="12" t="s">
        <v>88</v>
      </c>
      <c r="B1048" s="13">
        <v>1</v>
      </c>
      <c r="C1048" s="14">
        <v>16.5</v>
      </c>
      <c r="D1048" s="14">
        <f t="shared" si="16"/>
        <v>16.5</v>
      </c>
    </row>
    <row r="1049" ht="15" spans="1:4">
      <c r="A1049" s="12" t="s">
        <v>42</v>
      </c>
      <c r="B1049" s="13">
        <v>1</v>
      </c>
      <c r="C1049" s="14">
        <v>17.7</v>
      </c>
      <c r="D1049" s="14">
        <f t="shared" si="16"/>
        <v>17.7</v>
      </c>
    </row>
    <row r="1050" ht="15" spans="1:4">
      <c r="A1050" s="12" t="s">
        <v>43</v>
      </c>
      <c r="B1050" s="13">
        <v>1</v>
      </c>
      <c r="C1050" s="14">
        <v>16.5</v>
      </c>
      <c r="D1050" s="14">
        <f t="shared" si="16"/>
        <v>16.5</v>
      </c>
    </row>
    <row r="1051" ht="15" spans="1:4">
      <c r="A1051" s="12" t="s">
        <v>44</v>
      </c>
      <c r="B1051" s="13">
        <v>2</v>
      </c>
      <c r="C1051" s="14">
        <v>16.5</v>
      </c>
      <c r="D1051" s="14">
        <f t="shared" si="16"/>
        <v>33</v>
      </c>
    </row>
    <row r="1052" ht="15" spans="1:4">
      <c r="A1052" s="12" t="s">
        <v>47</v>
      </c>
      <c r="B1052" s="13">
        <v>3</v>
      </c>
      <c r="C1052" s="14">
        <v>22</v>
      </c>
      <c r="D1052" s="14">
        <f t="shared" si="16"/>
        <v>66</v>
      </c>
    </row>
    <row r="1053" ht="15" spans="1:4">
      <c r="A1053" s="12" t="s">
        <v>73</v>
      </c>
      <c r="B1053" s="13">
        <v>1</v>
      </c>
      <c r="C1053" s="14">
        <v>16.8</v>
      </c>
      <c r="D1053" s="14">
        <f t="shared" si="16"/>
        <v>16.8</v>
      </c>
    </row>
    <row r="1054" ht="15" spans="1:4">
      <c r="A1054" s="12" t="s">
        <v>15</v>
      </c>
      <c r="B1054" s="13">
        <v>2</v>
      </c>
      <c r="C1054" s="14">
        <v>27.8</v>
      </c>
      <c r="D1054" s="14">
        <f t="shared" si="16"/>
        <v>55.6</v>
      </c>
    </row>
    <row r="1055" ht="15" spans="1:4">
      <c r="A1055" s="12" t="s">
        <v>139</v>
      </c>
      <c r="B1055" s="13">
        <v>1</v>
      </c>
      <c r="C1055" s="14">
        <v>50</v>
      </c>
      <c r="D1055" s="14">
        <f t="shared" si="16"/>
        <v>50</v>
      </c>
    </row>
    <row r="1056" ht="15" spans="1:4">
      <c r="A1056" s="12" t="s">
        <v>145</v>
      </c>
      <c r="B1056" s="13">
        <v>1</v>
      </c>
      <c r="C1056" s="14">
        <v>66.5</v>
      </c>
      <c r="D1056" s="14">
        <f t="shared" si="16"/>
        <v>66.5</v>
      </c>
    </row>
    <row r="1057" ht="15" spans="1:4">
      <c r="A1057" s="12" t="s">
        <v>36</v>
      </c>
      <c r="B1057" s="13">
        <v>1</v>
      </c>
      <c r="C1057" s="14">
        <v>126.5</v>
      </c>
      <c r="D1057" s="14">
        <f t="shared" si="16"/>
        <v>126.5</v>
      </c>
    </row>
    <row r="1058" ht="15" spans="1:4">
      <c r="A1058" s="12" t="s">
        <v>55</v>
      </c>
      <c r="B1058" s="13">
        <v>1</v>
      </c>
      <c r="C1058" s="14">
        <v>197.5</v>
      </c>
      <c r="D1058" s="14">
        <f t="shared" si="16"/>
        <v>197.5</v>
      </c>
    </row>
    <row r="1059" ht="15" spans="1:4">
      <c r="A1059" s="12" t="s">
        <v>52</v>
      </c>
      <c r="B1059" s="13">
        <v>1</v>
      </c>
      <c r="C1059" s="14">
        <v>120.5</v>
      </c>
      <c r="D1059" s="14">
        <f t="shared" si="16"/>
        <v>120.5</v>
      </c>
    </row>
    <row r="1060" ht="15" spans="1:4">
      <c r="A1060" s="12" t="s">
        <v>53</v>
      </c>
      <c r="B1060" s="13">
        <v>1</v>
      </c>
      <c r="C1060" s="14">
        <v>170</v>
      </c>
      <c r="D1060" s="14">
        <f t="shared" si="16"/>
        <v>170</v>
      </c>
    </row>
    <row r="1061" ht="15" spans="1:4">
      <c r="A1061" s="12" t="s">
        <v>36</v>
      </c>
      <c r="B1061" s="13">
        <v>1</v>
      </c>
      <c r="C1061" s="14">
        <v>126.5</v>
      </c>
      <c r="D1061" s="14">
        <f t="shared" si="16"/>
        <v>126.5</v>
      </c>
    </row>
    <row r="1062" ht="15" spans="1:4">
      <c r="A1062" s="12" t="s">
        <v>248</v>
      </c>
      <c r="B1062" s="13">
        <v>8</v>
      </c>
      <c r="C1062" s="14">
        <v>2.8</v>
      </c>
      <c r="D1062" s="14">
        <f t="shared" si="16"/>
        <v>22.4</v>
      </c>
    </row>
    <row r="1063" ht="15" spans="1:4">
      <c r="A1063" s="12" t="s">
        <v>55</v>
      </c>
      <c r="B1063" s="13">
        <v>1</v>
      </c>
      <c r="C1063" s="14">
        <v>197.5</v>
      </c>
      <c r="D1063" s="14">
        <f t="shared" si="16"/>
        <v>197.5</v>
      </c>
    </row>
    <row r="1064" ht="15" spans="1:4">
      <c r="A1064" s="12" t="s">
        <v>52</v>
      </c>
      <c r="B1064" s="13">
        <v>1</v>
      </c>
      <c r="C1064" s="14">
        <v>120.5</v>
      </c>
      <c r="D1064" s="14">
        <f t="shared" si="16"/>
        <v>120.5</v>
      </c>
    </row>
    <row r="1065" ht="15" spans="1:4">
      <c r="A1065" s="12" t="s">
        <v>60</v>
      </c>
      <c r="B1065" s="13">
        <v>3</v>
      </c>
      <c r="C1065" s="14">
        <v>131.5</v>
      </c>
      <c r="D1065" s="14">
        <f t="shared" si="16"/>
        <v>394.5</v>
      </c>
    </row>
    <row r="1066" ht="15" spans="1:4">
      <c r="A1066" s="12" t="s">
        <v>110</v>
      </c>
      <c r="B1066" s="13">
        <v>1</v>
      </c>
      <c r="C1066" s="14">
        <v>82</v>
      </c>
      <c r="D1066" s="14">
        <f t="shared" si="16"/>
        <v>82</v>
      </c>
    </row>
    <row r="1067" ht="15" spans="1:4">
      <c r="A1067" s="12" t="s">
        <v>53</v>
      </c>
      <c r="B1067" s="13">
        <v>1</v>
      </c>
      <c r="C1067" s="14">
        <v>170</v>
      </c>
      <c r="D1067" s="14">
        <f t="shared" si="16"/>
        <v>170</v>
      </c>
    </row>
    <row r="1068" ht="15" spans="1:4">
      <c r="A1068" s="15" t="s">
        <v>249</v>
      </c>
      <c r="B1068" s="13">
        <v>1</v>
      </c>
      <c r="C1068" s="14">
        <v>148.5</v>
      </c>
      <c r="D1068" s="14">
        <f t="shared" si="16"/>
        <v>148.5</v>
      </c>
    </row>
    <row r="1069" ht="15" spans="1:4">
      <c r="A1069" s="12" t="s">
        <v>158</v>
      </c>
      <c r="B1069" s="13">
        <v>1</v>
      </c>
      <c r="C1069" s="14">
        <v>16.5</v>
      </c>
      <c r="D1069" s="14">
        <f t="shared" si="16"/>
        <v>16.5</v>
      </c>
    </row>
    <row r="1070" ht="15" spans="1:4">
      <c r="A1070" s="12" t="s">
        <v>37</v>
      </c>
      <c r="B1070" s="13">
        <v>5</v>
      </c>
      <c r="C1070" s="14">
        <v>16.5</v>
      </c>
      <c r="D1070" s="14">
        <f t="shared" si="16"/>
        <v>82.5</v>
      </c>
    </row>
    <row r="1071" ht="15" spans="1:4">
      <c r="A1071" s="12" t="s">
        <v>38</v>
      </c>
      <c r="B1071" s="13">
        <v>1</v>
      </c>
      <c r="C1071" s="14">
        <v>38.5</v>
      </c>
      <c r="D1071" s="14">
        <f t="shared" si="16"/>
        <v>38.5</v>
      </c>
    </row>
    <row r="1072" ht="15" spans="1:4">
      <c r="A1072" s="12" t="s">
        <v>40</v>
      </c>
      <c r="B1072" s="13">
        <v>1</v>
      </c>
      <c r="C1072" s="14">
        <v>14.2</v>
      </c>
      <c r="D1072" s="14">
        <f t="shared" si="16"/>
        <v>14.2</v>
      </c>
    </row>
    <row r="1073" ht="15" spans="1:4">
      <c r="A1073" s="12" t="s">
        <v>115</v>
      </c>
      <c r="B1073" s="13">
        <v>1</v>
      </c>
      <c r="C1073" s="14">
        <v>14.7</v>
      </c>
      <c r="D1073" s="14">
        <f t="shared" si="16"/>
        <v>14.7</v>
      </c>
    </row>
    <row r="1074" ht="15" spans="1:4">
      <c r="A1074" s="12" t="s">
        <v>42</v>
      </c>
      <c r="B1074" s="13">
        <v>2</v>
      </c>
      <c r="C1074" s="14">
        <v>17.7</v>
      </c>
      <c r="D1074" s="14">
        <f t="shared" si="16"/>
        <v>35.4</v>
      </c>
    </row>
    <row r="1075" ht="15" spans="1:4">
      <c r="A1075" s="12" t="s">
        <v>250</v>
      </c>
      <c r="B1075" s="13">
        <v>1</v>
      </c>
      <c r="C1075" s="14">
        <v>16.5</v>
      </c>
      <c r="D1075" s="14">
        <f t="shared" si="16"/>
        <v>16.5</v>
      </c>
    </row>
    <row r="1076" ht="15" spans="1:4">
      <c r="A1076" s="12" t="s">
        <v>106</v>
      </c>
      <c r="B1076" s="13">
        <v>1</v>
      </c>
      <c r="C1076" s="14">
        <v>16.5</v>
      </c>
      <c r="D1076" s="14">
        <f t="shared" si="16"/>
        <v>16.5</v>
      </c>
    </row>
    <row r="1077" ht="15" spans="1:4">
      <c r="A1077" s="12" t="s">
        <v>47</v>
      </c>
      <c r="B1077" s="13">
        <v>7</v>
      </c>
      <c r="C1077" s="14">
        <v>22</v>
      </c>
      <c r="D1077" s="14">
        <f t="shared" si="16"/>
        <v>154</v>
      </c>
    </row>
    <row r="1078" ht="15" spans="1:4">
      <c r="A1078" s="12" t="s">
        <v>222</v>
      </c>
      <c r="B1078" s="13">
        <v>1</v>
      </c>
      <c r="C1078" s="14">
        <v>17.7</v>
      </c>
      <c r="D1078" s="14">
        <f t="shared" si="16"/>
        <v>17.7</v>
      </c>
    </row>
    <row r="1079" ht="15" spans="1:4">
      <c r="A1079" s="12" t="s">
        <v>49</v>
      </c>
      <c r="B1079" s="13">
        <v>1</v>
      </c>
      <c r="C1079" s="14">
        <v>16.5</v>
      </c>
      <c r="D1079" s="14">
        <f t="shared" si="16"/>
        <v>16.5</v>
      </c>
    </row>
    <row r="1080" ht="15" spans="1:4">
      <c r="A1080" s="12" t="s">
        <v>251</v>
      </c>
      <c r="B1080" s="13">
        <v>1</v>
      </c>
      <c r="C1080" s="14">
        <v>110</v>
      </c>
      <c r="D1080" s="14">
        <f t="shared" si="16"/>
        <v>110</v>
      </c>
    </row>
    <row r="1081" ht="15" spans="1:4">
      <c r="A1081" s="12" t="s">
        <v>9</v>
      </c>
      <c r="B1081" s="13">
        <v>2</v>
      </c>
      <c r="C1081" s="14">
        <v>126.5</v>
      </c>
      <c r="D1081" s="14">
        <f t="shared" si="16"/>
        <v>253</v>
      </c>
    </row>
    <row r="1082" ht="15" spans="1:4">
      <c r="A1082" s="12" t="s">
        <v>55</v>
      </c>
      <c r="B1082" s="13">
        <v>2</v>
      </c>
      <c r="C1082" s="14">
        <v>197.5</v>
      </c>
      <c r="D1082" s="14">
        <f t="shared" si="16"/>
        <v>395</v>
      </c>
    </row>
    <row r="1083" ht="15" spans="1:4">
      <c r="A1083" s="12" t="s">
        <v>52</v>
      </c>
      <c r="B1083" s="13">
        <v>2</v>
      </c>
      <c r="C1083" s="14">
        <v>120.5</v>
      </c>
      <c r="D1083" s="14">
        <f t="shared" si="16"/>
        <v>241</v>
      </c>
    </row>
    <row r="1084" ht="15" spans="1:4">
      <c r="A1084" s="12" t="s">
        <v>60</v>
      </c>
      <c r="B1084" s="13">
        <v>2</v>
      </c>
      <c r="C1084" s="14">
        <v>131.5</v>
      </c>
      <c r="D1084" s="14">
        <f t="shared" si="16"/>
        <v>263</v>
      </c>
    </row>
    <row r="1085" ht="15" spans="1:4">
      <c r="A1085" s="12" t="s">
        <v>53</v>
      </c>
      <c r="B1085" s="13">
        <v>2</v>
      </c>
      <c r="C1085" s="14">
        <v>170</v>
      </c>
      <c r="D1085" s="14">
        <f t="shared" si="16"/>
        <v>340</v>
      </c>
    </row>
    <row r="1086" ht="15" spans="1:4">
      <c r="A1086" s="12" t="s">
        <v>252</v>
      </c>
      <c r="B1086" s="13">
        <v>1</v>
      </c>
      <c r="C1086" s="14">
        <v>8.3</v>
      </c>
      <c r="D1086" s="14">
        <f t="shared" si="16"/>
        <v>8.3</v>
      </c>
    </row>
    <row r="1087" ht="15" spans="1:4">
      <c r="A1087" s="12" t="s">
        <v>223</v>
      </c>
      <c r="B1087" s="13">
        <v>1</v>
      </c>
      <c r="C1087" s="14">
        <v>13.8</v>
      </c>
      <c r="D1087" s="14">
        <f t="shared" si="16"/>
        <v>13.8</v>
      </c>
    </row>
    <row r="1088" ht="15" spans="1:4">
      <c r="A1088" s="12" t="s">
        <v>73</v>
      </c>
      <c r="B1088" s="13">
        <v>1</v>
      </c>
      <c r="C1088" s="14">
        <v>16.8</v>
      </c>
      <c r="D1088" s="14">
        <f t="shared" si="16"/>
        <v>16.8</v>
      </c>
    </row>
    <row r="1089" ht="15" spans="1:4">
      <c r="A1089" s="12" t="s">
        <v>16</v>
      </c>
      <c r="B1089" s="13">
        <v>1</v>
      </c>
      <c r="C1089" s="14">
        <v>38.8</v>
      </c>
      <c r="D1089" s="14">
        <f t="shared" si="16"/>
        <v>38.8</v>
      </c>
    </row>
    <row r="1090" ht="15" spans="1:4">
      <c r="A1090" s="12" t="s">
        <v>144</v>
      </c>
      <c r="B1090" s="13">
        <v>2</v>
      </c>
      <c r="C1090" s="14">
        <v>49.8</v>
      </c>
      <c r="D1090" s="14">
        <f t="shared" si="16"/>
        <v>99.6</v>
      </c>
    </row>
    <row r="1091" ht="15" spans="1:4">
      <c r="A1091" s="12" t="s">
        <v>221</v>
      </c>
      <c r="B1091" s="13">
        <v>10</v>
      </c>
      <c r="C1091" s="14">
        <v>8.3</v>
      </c>
      <c r="D1091" s="14">
        <f t="shared" si="16"/>
        <v>83</v>
      </c>
    </row>
    <row r="1092" ht="15" spans="1:4">
      <c r="A1092" s="12" t="s">
        <v>19</v>
      </c>
      <c r="B1092" s="13">
        <v>3</v>
      </c>
      <c r="C1092" s="14">
        <v>13.3</v>
      </c>
      <c r="D1092" s="14">
        <f t="shared" si="16"/>
        <v>39.9</v>
      </c>
    </row>
    <row r="1093" ht="15" spans="1:4">
      <c r="A1093" s="12" t="s">
        <v>141</v>
      </c>
      <c r="B1093" s="13">
        <v>2</v>
      </c>
      <c r="C1093" s="14">
        <v>8.3</v>
      </c>
      <c r="D1093" s="14">
        <f t="shared" si="16"/>
        <v>16.6</v>
      </c>
    </row>
    <row r="1094" ht="15" spans="1:4">
      <c r="A1094" s="12" t="s">
        <v>153</v>
      </c>
      <c r="B1094" s="13">
        <v>2</v>
      </c>
      <c r="C1094" s="14">
        <v>8.3</v>
      </c>
      <c r="D1094" s="14">
        <f t="shared" si="16"/>
        <v>16.6</v>
      </c>
    </row>
    <row r="1095" ht="15" spans="1:4">
      <c r="A1095" s="12" t="s">
        <v>28</v>
      </c>
      <c r="B1095" s="13">
        <v>6</v>
      </c>
      <c r="C1095" s="14">
        <v>0</v>
      </c>
      <c r="D1095" s="14">
        <f t="shared" ref="D1095:D1158" si="17">C1095*B1095</f>
        <v>0</v>
      </c>
    </row>
    <row r="1096" ht="15" spans="1:4">
      <c r="A1096" s="12" t="s">
        <v>29</v>
      </c>
      <c r="B1096" s="13">
        <v>7</v>
      </c>
      <c r="C1096" s="14">
        <v>0</v>
      </c>
      <c r="D1096" s="14">
        <f t="shared" si="17"/>
        <v>0</v>
      </c>
    </row>
    <row r="1097" ht="15" spans="1:4">
      <c r="A1097" s="12" t="s">
        <v>164</v>
      </c>
      <c r="B1097" s="13">
        <v>1</v>
      </c>
      <c r="C1097" s="14">
        <v>50</v>
      </c>
      <c r="D1097" s="14">
        <f t="shared" si="17"/>
        <v>50</v>
      </c>
    </row>
    <row r="1098" ht="15" spans="1:4">
      <c r="A1098" s="12" t="s">
        <v>139</v>
      </c>
      <c r="B1098" s="13">
        <v>1</v>
      </c>
      <c r="C1098" s="14">
        <v>50</v>
      </c>
      <c r="D1098" s="14">
        <f t="shared" si="17"/>
        <v>50</v>
      </c>
    </row>
    <row r="1099" ht="15" spans="1:4">
      <c r="A1099" s="12" t="s">
        <v>140</v>
      </c>
      <c r="B1099" s="13">
        <v>1</v>
      </c>
      <c r="C1099" s="14">
        <v>50</v>
      </c>
      <c r="D1099" s="14">
        <f t="shared" si="17"/>
        <v>50</v>
      </c>
    </row>
    <row r="1100" ht="15" spans="1:4">
      <c r="A1100" s="12" t="s">
        <v>253</v>
      </c>
      <c r="B1100" s="13">
        <v>1</v>
      </c>
      <c r="C1100" s="14">
        <v>50</v>
      </c>
      <c r="D1100" s="14">
        <f t="shared" si="17"/>
        <v>50</v>
      </c>
    </row>
    <row r="1101" ht="15" spans="1:4">
      <c r="A1101" s="12" t="s">
        <v>254</v>
      </c>
      <c r="B1101" s="13">
        <v>1</v>
      </c>
      <c r="C1101" s="14">
        <v>50</v>
      </c>
      <c r="D1101" s="14">
        <f t="shared" si="17"/>
        <v>50</v>
      </c>
    </row>
    <row r="1102" ht="15" spans="1:4">
      <c r="A1102" s="12" t="s">
        <v>204</v>
      </c>
      <c r="B1102" s="13">
        <v>1</v>
      </c>
      <c r="C1102" s="14">
        <v>50</v>
      </c>
      <c r="D1102" s="14">
        <f t="shared" si="17"/>
        <v>50</v>
      </c>
    </row>
    <row r="1103" ht="15" spans="1:4">
      <c r="A1103" s="12" t="s">
        <v>36</v>
      </c>
      <c r="B1103" s="13">
        <v>1</v>
      </c>
      <c r="C1103" s="14">
        <v>126.5</v>
      </c>
      <c r="D1103" s="14">
        <f t="shared" si="17"/>
        <v>126.5</v>
      </c>
    </row>
    <row r="1104" ht="15" spans="1:4">
      <c r="A1104" s="12" t="s">
        <v>68</v>
      </c>
      <c r="B1104" s="13">
        <v>2</v>
      </c>
      <c r="C1104" s="14">
        <v>17.2</v>
      </c>
      <c r="D1104" s="14">
        <f t="shared" si="17"/>
        <v>34.4</v>
      </c>
    </row>
    <row r="1105" ht="15" spans="1:4">
      <c r="A1105" s="12" t="s">
        <v>37</v>
      </c>
      <c r="B1105" s="13">
        <v>6</v>
      </c>
      <c r="C1105" s="14">
        <v>16.5</v>
      </c>
      <c r="D1105" s="14">
        <f t="shared" si="17"/>
        <v>99</v>
      </c>
    </row>
    <row r="1106" ht="15" spans="1:4">
      <c r="A1106" s="12" t="s">
        <v>54</v>
      </c>
      <c r="B1106" s="13">
        <v>2</v>
      </c>
      <c r="C1106" s="14">
        <v>12.2</v>
      </c>
      <c r="D1106" s="14">
        <f t="shared" si="17"/>
        <v>24.4</v>
      </c>
    </row>
    <row r="1107" ht="15" spans="1:4">
      <c r="A1107" s="12" t="s">
        <v>40</v>
      </c>
      <c r="B1107" s="13">
        <v>1</v>
      </c>
      <c r="C1107" s="14">
        <v>14.2</v>
      </c>
      <c r="D1107" s="14">
        <f t="shared" si="17"/>
        <v>14.2</v>
      </c>
    </row>
    <row r="1108" ht="15" spans="1:4">
      <c r="A1108" s="12" t="s">
        <v>88</v>
      </c>
      <c r="B1108" s="13">
        <v>1</v>
      </c>
      <c r="C1108" s="14">
        <v>16.5</v>
      </c>
      <c r="D1108" s="14">
        <f t="shared" si="17"/>
        <v>16.5</v>
      </c>
    </row>
    <row r="1109" ht="15" spans="1:4">
      <c r="A1109" s="12" t="s">
        <v>41</v>
      </c>
      <c r="B1109" s="13">
        <v>4</v>
      </c>
      <c r="C1109" s="14">
        <v>27.5</v>
      </c>
      <c r="D1109" s="14">
        <f t="shared" si="17"/>
        <v>110</v>
      </c>
    </row>
    <row r="1110" ht="15" spans="1:4">
      <c r="A1110" s="12" t="s">
        <v>42</v>
      </c>
      <c r="B1110" s="13">
        <v>2</v>
      </c>
      <c r="C1110" s="14">
        <v>17.7</v>
      </c>
      <c r="D1110" s="14">
        <f t="shared" si="17"/>
        <v>35.4</v>
      </c>
    </row>
    <row r="1111" ht="15" spans="1:4">
      <c r="A1111" s="12" t="s">
        <v>43</v>
      </c>
      <c r="B1111" s="13">
        <v>5</v>
      </c>
      <c r="C1111" s="14">
        <v>16.5</v>
      </c>
      <c r="D1111" s="14">
        <f t="shared" si="17"/>
        <v>82.5</v>
      </c>
    </row>
    <row r="1112" ht="15" spans="1:4">
      <c r="A1112" s="12" t="s">
        <v>44</v>
      </c>
      <c r="B1112" s="13">
        <v>3</v>
      </c>
      <c r="C1112" s="14">
        <v>16.5</v>
      </c>
      <c r="D1112" s="14">
        <f t="shared" si="17"/>
        <v>49.5</v>
      </c>
    </row>
    <row r="1113" ht="15" spans="1:4">
      <c r="A1113" s="12" t="s">
        <v>107</v>
      </c>
      <c r="B1113" s="13">
        <v>1</v>
      </c>
      <c r="C1113" s="14">
        <v>9.2</v>
      </c>
      <c r="D1113" s="14">
        <f t="shared" si="17"/>
        <v>9.2</v>
      </c>
    </row>
    <row r="1114" ht="15" spans="1:4">
      <c r="A1114" s="12" t="s">
        <v>47</v>
      </c>
      <c r="B1114" s="13">
        <v>10</v>
      </c>
      <c r="C1114" s="14">
        <v>22</v>
      </c>
      <c r="D1114" s="14">
        <f t="shared" si="17"/>
        <v>220</v>
      </c>
    </row>
    <row r="1115" ht="15" spans="1:4">
      <c r="A1115" s="12" t="s">
        <v>69</v>
      </c>
      <c r="B1115" s="13">
        <v>1</v>
      </c>
      <c r="C1115" s="14">
        <v>9.2</v>
      </c>
      <c r="D1115" s="14">
        <f t="shared" si="17"/>
        <v>9.2</v>
      </c>
    </row>
    <row r="1116" ht="15" spans="1:4">
      <c r="A1116" s="12" t="s">
        <v>43</v>
      </c>
      <c r="B1116" s="13">
        <v>1</v>
      </c>
      <c r="C1116" s="14">
        <v>16.5</v>
      </c>
      <c r="D1116" s="14">
        <f t="shared" si="17"/>
        <v>16.5</v>
      </c>
    </row>
    <row r="1117" ht="15" spans="1:4">
      <c r="A1117" s="12" t="s">
        <v>44</v>
      </c>
      <c r="B1117" s="13">
        <v>3</v>
      </c>
      <c r="C1117" s="14">
        <v>16.5</v>
      </c>
      <c r="D1117" s="14">
        <f t="shared" si="17"/>
        <v>49.5</v>
      </c>
    </row>
    <row r="1118" ht="15" spans="1:4">
      <c r="A1118" s="15" t="s">
        <v>255</v>
      </c>
      <c r="B1118" s="13">
        <v>1</v>
      </c>
      <c r="C1118" s="14">
        <v>28</v>
      </c>
      <c r="D1118" s="14">
        <f t="shared" si="17"/>
        <v>28</v>
      </c>
    </row>
    <row r="1119" ht="15" spans="1:4">
      <c r="A1119" s="12" t="s">
        <v>95</v>
      </c>
      <c r="B1119" s="13">
        <v>2</v>
      </c>
      <c r="C1119" s="14">
        <v>35</v>
      </c>
      <c r="D1119" s="14">
        <f t="shared" si="17"/>
        <v>70</v>
      </c>
    </row>
    <row r="1120" ht="15" spans="1:4">
      <c r="A1120" s="12" t="s">
        <v>96</v>
      </c>
      <c r="B1120" s="13">
        <v>1</v>
      </c>
      <c r="C1120" s="14">
        <v>35</v>
      </c>
      <c r="D1120" s="14">
        <f t="shared" si="17"/>
        <v>35</v>
      </c>
    </row>
    <row r="1121" ht="15" spans="1:4">
      <c r="A1121" s="15" t="s">
        <v>99</v>
      </c>
      <c r="B1121" s="13">
        <v>1</v>
      </c>
      <c r="C1121" s="14">
        <v>28</v>
      </c>
      <c r="D1121" s="14">
        <f t="shared" si="17"/>
        <v>28</v>
      </c>
    </row>
    <row r="1122" ht="15" spans="1:4">
      <c r="A1122" s="12" t="s">
        <v>55</v>
      </c>
      <c r="B1122" s="13">
        <v>1</v>
      </c>
      <c r="C1122" s="14">
        <v>197.5</v>
      </c>
      <c r="D1122" s="14">
        <f t="shared" si="17"/>
        <v>197.5</v>
      </c>
    </row>
    <row r="1123" ht="15" spans="1:4">
      <c r="A1123" s="12" t="s">
        <v>60</v>
      </c>
      <c r="B1123" s="13">
        <v>1</v>
      </c>
      <c r="C1123" s="14">
        <v>131.5</v>
      </c>
      <c r="D1123" s="14">
        <f t="shared" si="17"/>
        <v>131.5</v>
      </c>
    </row>
    <row r="1124" ht="15" spans="1:4">
      <c r="A1124" s="12" t="s">
        <v>61</v>
      </c>
      <c r="B1124" s="13">
        <v>1</v>
      </c>
      <c r="C1124" s="14">
        <v>60.5</v>
      </c>
      <c r="D1124" s="14">
        <f t="shared" si="17"/>
        <v>60.5</v>
      </c>
    </row>
    <row r="1125" ht="15" spans="1:4">
      <c r="A1125" s="12" t="s">
        <v>179</v>
      </c>
      <c r="B1125" s="13">
        <v>1</v>
      </c>
      <c r="C1125" s="14">
        <v>8.3</v>
      </c>
      <c r="D1125" s="14">
        <f t="shared" si="17"/>
        <v>8.3</v>
      </c>
    </row>
    <row r="1126" ht="15" spans="1:4">
      <c r="A1126" s="12" t="s">
        <v>29</v>
      </c>
      <c r="B1126" s="13">
        <v>1</v>
      </c>
      <c r="C1126" s="14">
        <v>0</v>
      </c>
      <c r="D1126" s="14">
        <f t="shared" si="17"/>
        <v>0</v>
      </c>
    </row>
    <row r="1127" ht="15" spans="1:4">
      <c r="A1127" s="12" t="s">
        <v>41</v>
      </c>
      <c r="B1127" s="13">
        <v>1</v>
      </c>
      <c r="C1127" s="14">
        <v>27.5</v>
      </c>
      <c r="D1127" s="14">
        <f t="shared" si="17"/>
        <v>27.5</v>
      </c>
    </row>
    <row r="1128" ht="15" spans="1:4">
      <c r="A1128" s="12" t="s">
        <v>44</v>
      </c>
      <c r="B1128" s="13">
        <v>1</v>
      </c>
      <c r="C1128" s="14">
        <v>16.5</v>
      </c>
      <c r="D1128" s="14">
        <f t="shared" si="17"/>
        <v>16.5</v>
      </c>
    </row>
    <row r="1129" ht="15" spans="1:4">
      <c r="A1129" s="12" t="s">
        <v>47</v>
      </c>
      <c r="B1129" s="13">
        <v>2</v>
      </c>
      <c r="C1129" s="14">
        <v>22</v>
      </c>
      <c r="D1129" s="14">
        <f t="shared" si="17"/>
        <v>44</v>
      </c>
    </row>
    <row r="1130" ht="15" spans="1:4">
      <c r="A1130" s="12" t="s">
        <v>49</v>
      </c>
      <c r="B1130" s="13">
        <v>1</v>
      </c>
      <c r="C1130" s="14">
        <v>16.5</v>
      </c>
      <c r="D1130" s="14">
        <f t="shared" si="17"/>
        <v>16.5</v>
      </c>
    </row>
    <row r="1131" ht="15" spans="1:4">
      <c r="A1131" s="12" t="s">
        <v>59</v>
      </c>
      <c r="B1131" s="13">
        <v>1</v>
      </c>
      <c r="C1131" s="14">
        <v>71</v>
      </c>
      <c r="D1131" s="14">
        <f t="shared" si="17"/>
        <v>71</v>
      </c>
    </row>
    <row r="1132" ht="15" spans="1:4">
      <c r="A1132" s="12" t="s">
        <v>55</v>
      </c>
      <c r="B1132" s="13">
        <v>1</v>
      </c>
      <c r="C1132" s="14">
        <v>197.5</v>
      </c>
      <c r="D1132" s="14">
        <f t="shared" si="17"/>
        <v>197.5</v>
      </c>
    </row>
    <row r="1133" ht="15" spans="1:4">
      <c r="A1133" s="12" t="s">
        <v>60</v>
      </c>
      <c r="B1133" s="13">
        <v>2</v>
      </c>
      <c r="C1133" s="14">
        <v>131.5</v>
      </c>
      <c r="D1133" s="14">
        <f t="shared" si="17"/>
        <v>263</v>
      </c>
    </row>
    <row r="1134" ht="15" spans="1:4">
      <c r="A1134" s="12" t="s">
        <v>11</v>
      </c>
      <c r="B1134" s="13">
        <v>3</v>
      </c>
      <c r="C1134" s="14">
        <v>159</v>
      </c>
      <c r="D1134" s="14">
        <f t="shared" si="17"/>
        <v>477</v>
      </c>
    </row>
    <row r="1135" ht="15" spans="1:4">
      <c r="A1135" s="12" t="s">
        <v>53</v>
      </c>
      <c r="B1135" s="13">
        <v>1</v>
      </c>
      <c r="C1135" s="14">
        <v>170</v>
      </c>
      <c r="D1135" s="14">
        <f t="shared" si="17"/>
        <v>170</v>
      </c>
    </row>
    <row r="1136" ht="15" spans="1:4">
      <c r="A1136" s="12" t="s">
        <v>37</v>
      </c>
      <c r="B1136" s="13">
        <v>2</v>
      </c>
      <c r="C1136" s="14">
        <v>16.5</v>
      </c>
      <c r="D1136" s="14">
        <f t="shared" si="17"/>
        <v>33</v>
      </c>
    </row>
    <row r="1137" ht="15" spans="1:4">
      <c r="A1137" s="12" t="s">
        <v>115</v>
      </c>
      <c r="B1137" s="13">
        <v>1</v>
      </c>
      <c r="C1137" s="14">
        <v>14.7</v>
      </c>
      <c r="D1137" s="14">
        <f t="shared" si="17"/>
        <v>14.7</v>
      </c>
    </row>
    <row r="1138" ht="15" spans="1:4">
      <c r="A1138" s="12" t="s">
        <v>41</v>
      </c>
      <c r="B1138" s="13">
        <v>2</v>
      </c>
      <c r="C1138" s="14">
        <v>27.5</v>
      </c>
      <c r="D1138" s="14">
        <f t="shared" si="17"/>
        <v>55</v>
      </c>
    </row>
    <row r="1139" ht="15" spans="1:4">
      <c r="A1139" s="12" t="s">
        <v>42</v>
      </c>
      <c r="B1139" s="13">
        <v>1</v>
      </c>
      <c r="C1139" s="14">
        <v>17.7</v>
      </c>
      <c r="D1139" s="14">
        <f t="shared" si="17"/>
        <v>17.7</v>
      </c>
    </row>
    <row r="1140" ht="15" spans="1:4">
      <c r="A1140" s="12" t="s">
        <v>43</v>
      </c>
      <c r="B1140" s="13">
        <v>2</v>
      </c>
      <c r="C1140" s="14">
        <v>16.5</v>
      </c>
      <c r="D1140" s="14">
        <f t="shared" si="17"/>
        <v>33</v>
      </c>
    </row>
    <row r="1141" ht="15" spans="1:4">
      <c r="A1141" s="12" t="s">
        <v>44</v>
      </c>
      <c r="B1141" s="13">
        <v>1</v>
      </c>
      <c r="C1141" s="14">
        <v>16.5</v>
      </c>
      <c r="D1141" s="14">
        <f t="shared" si="17"/>
        <v>16.5</v>
      </c>
    </row>
    <row r="1142" ht="15" spans="1:4">
      <c r="A1142" s="12" t="s">
        <v>47</v>
      </c>
      <c r="B1142" s="13">
        <v>2</v>
      </c>
      <c r="C1142" s="14">
        <v>22</v>
      </c>
      <c r="D1142" s="14">
        <f t="shared" si="17"/>
        <v>44</v>
      </c>
    </row>
    <row r="1143" ht="15" spans="1:4">
      <c r="A1143" s="12" t="s">
        <v>148</v>
      </c>
      <c r="B1143" s="13">
        <v>1</v>
      </c>
      <c r="C1143" s="14">
        <v>9.2</v>
      </c>
      <c r="D1143" s="14">
        <f t="shared" si="17"/>
        <v>9.2</v>
      </c>
    </row>
    <row r="1144" ht="15" spans="1:4">
      <c r="A1144" s="12" t="s">
        <v>69</v>
      </c>
      <c r="B1144" s="13">
        <v>1</v>
      </c>
      <c r="C1144" s="14">
        <v>9.2</v>
      </c>
      <c r="D1144" s="14">
        <f t="shared" si="17"/>
        <v>9.2</v>
      </c>
    </row>
    <row r="1145" ht="15" spans="1:4">
      <c r="A1145" s="12" t="s">
        <v>9</v>
      </c>
      <c r="B1145" s="13">
        <v>3</v>
      </c>
      <c r="C1145" s="14">
        <v>126.5</v>
      </c>
      <c r="D1145" s="14">
        <f t="shared" si="17"/>
        <v>379.5</v>
      </c>
    </row>
    <row r="1146" ht="15" spans="1:4">
      <c r="A1146" s="12" t="s">
        <v>55</v>
      </c>
      <c r="B1146" s="13">
        <v>3</v>
      </c>
      <c r="C1146" s="14">
        <v>197.5</v>
      </c>
      <c r="D1146" s="14">
        <f t="shared" si="17"/>
        <v>592.5</v>
      </c>
    </row>
    <row r="1147" ht="15" spans="1:4">
      <c r="A1147" s="12" t="s">
        <v>52</v>
      </c>
      <c r="B1147" s="13">
        <v>1</v>
      </c>
      <c r="C1147" s="14">
        <v>120.5</v>
      </c>
      <c r="D1147" s="14">
        <f t="shared" si="17"/>
        <v>120.5</v>
      </c>
    </row>
    <row r="1148" ht="15" spans="1:4">
      <c r="A1148" s="12" t="s">
        <v>11</v>
      </c>
      <c r="B1148" s="13">
        <v>1</v>
      </c>
      <c r="C1148" s="14">
        <v>159</v>
      </c>
      <c r="D1148" s="14">
        <f t="shared" si="17"/>
        <v>159</v>
      </c>
    </row>
    <row r="1149" ht="15" spans="1:4">
      <c r="A1149" s="12" t="s">
        <v>53</v>
      </c>
      <c r="B1149" s="13">
        <v>2</v>
      </c>
      <c r="C1149" s="14">
        <v>170</v>
      </c>
      <c r="D1149" s="14">
        <f t="shared" si="17"/>
        <v>340</v>
      </c>
    </row>
    <row r="1150" ht="15" spans="1:4">
      <c r="A1150" s="12" t="s">
        <v>36</v>
      </c>
      <c r="B1150" s="13">
        <v>1</v>
      </c>
      <c r="C1150" s="14">
        <v>126.5</v>
      </c>
      <c r="D1150" s="14">
        <f t="shared" si="17"/>
        <v>126.5</v>
      </c>
    </row>
    <row r="1151" ht="15" spans="1:4">
      <c r="A1151" s="12" t="s">
        <v>68</v>
      </c>
      <c r="B1151" s="13">
        <v>1</v>
      </c>
      <c r="C1151" s="14">
        <v>17.2</v>
      </c>
      <c r="D1151" s="14">
        <f t="shared" si="17"/>
        <v>17.2</v>
      </c>
    </row>
    <row r="1152" ht="15" spans="1:4">
      <c r="A1152" s="12" t="s">
        <v>37</v>
      </c>
      <c r="B1152" s="13">
        <v>4</v>
      </c>
      <c r="C1152" s="14">
        <v>16.5</v>
      </c>
      <c r="D1152" s="14">
        <f t="shared" si="17"/>
        <v>66</v>
      </c>
    </row>
    <row r="1153" ht="15" spans="1:4">
      <c r="A1153" s="12" t="s">
        <v>40</v>
      </c>
      <c r="B1153" s="13">
        <v>2</v>
      </c>
      <c r="C1153" s="14">
        <v>14.2</v>
      </c>
      <c r="D1153" s="14">
        <f t="shared" si="17"/>
        <v>28.4</v>
      </c>
    </row>
    <row r="1154" ht="15" spans="1:4">
      <c r="A1154" s="12" t="s">
        <v>42</v>
      </c>
      <c r="B1154" s="13">
        <v>4</v>
      </c>
      <c r="C1154" s="14">
        <v>17.7</v>
      </c>
      <c r="D1154" s="14">
        <f t="shared" si="17"/>
        <v>70.8</v>
      </c>
    </row>
    <row r="1155" ht="15" spans="1:4">
      <c r="A1155" s="12" t="s">
        <v>43</v>
      </c>
      <c r="B1155" s="13">
        <v>7</v>
      </c>
      <c r="C1155" s="14">
        <v>16.5</v>
      </c>
      <c r="D1155" s="14">
        <f t="shared" si="17"/>
        <v>115.5</v>
      </c>
    </row>
    <row r="1156" ht="15" spans="1:4">
      <c r="A1156" s="12" t="s">
        <v>44</v>
      </c>
      <c r="B1156" s="13">
        <v>1</v>
      </c>
      <c r="C1156" s="14">
        <v>16.5</v>
      </c>
      <c r="D1156" s="14">
        <f t="shared" si="17"/>
        <v>16.5</v>
      </c>
    </row>
    <row r="1157" ht="15" spans="1:4">
      <c r="A1157" s="12" t="s">
        <v>250</v>
      </c>
      <c r="B1157" s="13">
        <v>1</v>
      </c>
      <c r="C1157" s="14">
        <v>16.5</v>
      </c>
      <c r="D1157" s="14">
        <f t="shared" si="17"/>
        <v>16.5</v>
      </c>
    </row>
    <row r="1158" ht="15" spans="1:4">
      <c r="A1158" s="12" t="s">
        <v>137</v>
      </c>
      <c r="B1158" s="13">
        <v>1</v>
      </c>
      <c r="C1158" s="14">
        <v>16.5</v>
      </c>
      <c r="D1158" s="14">
        <f t="shared" si="17"/>
        <v>16.5</v>
      </c>
    </row>
    <row r="1159" ht="15" spans="1:4">
      <c r="A1159" s="12" t="s">
        <v>47</v>
      </c>
      <c r="B1159" s="13">
        <v>10</v>
      </c>
      <c r="C1159" s="14">
        <v>22</v>
      </c>
      <c r="D1159" s="14">
        <f t="shared" ref="D1159:D1222" si="18">C1159*B1159</f>
        <v>220</v>
      </c>
    </row>
    <row r="1160" ht="15" spans="1:4">
      <c r="A1160" s="12" t="s">
        <v>69</v>
      </c>
      <c r="B1160" s="13">
        <v>1</v>
      </c>
      <c r="C1160" s="14">
        <v>9.2</v>
      </c>
      <c r="D1160" s="14">
        <f t="shared" si="18"/>
        <v>9.2</v>
      </c>
    </row>
    <row r="1161" ht="15" spans="1:4">
      <c r="A1161" s="12" t="s">
        <v>49</v>
      </c>
      <c r="B1161" s="13">
        <v>1</v>
      </c>
      <c r="C1161" s="14">
        <v>16.5</v>
      </c>
      <c r="D1161" s="14">
        <f t="shared" si="18"/>
        <v>16.5</v>
      </c>
    </row>
    <row r="1162" ht="15" spans="1:4">
      <c r="A1162" s="12" t="s">
        <v>60</v>
      </c>
      <c r="B1162" s="13">
        <v>3</v>
      </c>
      <c r="C1162" s="14">
        <v>131.5</v>
      </c>
      <c r="D1162" s="14">
        <f t="shared" si="18"/>
        <v>394.5</v>
      </c>
    </row>
    <row r="1163" ht="15" spans="1:4">
      <c r="A1163" s="12" t="s">
        <v>53</v>
      </c>
      <c r="B1163" s="13">
        <v>1</v>
      </c>
      <c r="C1163" s="14">
        <v>170</v>
      </c>
      <c r="D1163" s="14">
        <f t="shared" si="18"/>
        <v>170</v>
      </c>
    </row>
    <row r="1164" ht="15" spans="1:4">
      <c r="A1164" s="12" t="s">
        <v>256</v>
      </c>
      <c r="B1164" s="13">
        <v>1</v>
      </c>
      <c r="C1164" s="14">
        <v>27.8</v>
      </c>
      <c r="D1164" s="14">
        <f t="shared" si="18"/>
        <v>27.8</v>
      </c>
    </row>
    <row r="1165" ht="15" spans="1:4">
      <c r="A1165" s="12" t="s">
        <v>257</v>
      </c>
      <c r="B1165" s="13">
        <v>1</v>
      </c>
      <c r="C1165" s="14">
        <v>11.3</v>
      </c>
      <c r="D1165" s="14">
        <f t="shared" si="18"/>
        <v>11.3</v>
      </c>
    </row>
    <row r="1166" ht="15" spans="1:4">
      <c r="A1166" s="12" t="s">
        <v>141</v>
      </c>
      <c r="B1166" s="13">
        <v>1</v>
      </c>
      <c r="C1166" s="14">
        <v>8.3</v>
      </c>
      <c r="D1166" s="14">
        <f t="shared" si="18"/>
        <v>8.3</v>
      </c>
    </row>
    <row r="1167" ht="15" spans="1:4">
      <c r="A1167" s="12" t="s">
        <v>26</v>
      </c>
      <c r="B1167" s="13">
        <v>1</v>
      </c>
      <c r="C1167" s="14">
        <v>13.8</v>
      </c>
      <c r="D1167" s="14">
        <f t="shared" si="18"/>
        <v>13.8</v>
      </c>
    </row>
    <row r="1168" ht="15" spans="1:4">
      <c r="A1168" s="12" t="s">
        <v>28</v>
      </c>
      <c r="B1168" s="13">
        <v>12</v>
      </c>
      <c r="C1168" s="14">
        <v>0</v>
      </c>
      <c r="D1168" s="14">
        <f t="shared" si="18"/>
        <v>0</v>
      </c>
    </row>
    <row r="1169" ht="15" spans="1:4">
      <c r="A1169" s="12" t="s">
        <v>29</v>
      </c>
      <c r="B1169" s="13">
        <v>4</v>
      </c>
      <c r="C1169" s="14">
        <v>0</v>
      </c>
      <c r="D1169" s="14">
        <f t="shared" si="18"/>
        <v>0</v>
      </c>
    </row>
    <row r="1170" ht="15" spans="1:4">
      <c r="A1170" s="12" t="s">
        <v>80</v>
      </c>
      <c r="B1170" s="13">
        <v>1</v>
      </c>
      <c r="C1170" s="14">
        <v>50</v>
      </c>
      <c r="D1170" s="14">
        <f t="shared" si="18"/>
        <v>50</v>
      </c>
    </row>
    <row r="1171" ht="15" spans="1:4">
      <c r="A1171" s="12" t="s">
        <v>32</v>
      </c>
      <c r="B1171" s="13">
        <v>1</v>
      </c>
      <c r="C1171" s="14">
        <v>50</v>
      </c>
      <c r="D1171" s="14">
        <f t="shared" si="18"/>
        <v>50</v>
      </c>
    </row>
    <row r="1172" ht="15" spans="1:4">
      <c r="A1172" s="12" t="s">
        <v>81</v>
      </c>
      <c r="B1172" s="13">
        <v>1</v>
      </c>
      <c r="C1172" s="14">
        <v>50</v>
      </c>
      <c r="D1172" s="14">
        <f t="shared" si="18"/>
        <v>50</v>
      </c>
    </row>
    <row r="1173" ht="15" spans="1:4">
      <c r="A1173" s="12" t="s">
        <v>139</v>
      </c>
      <c r="B1173" s="13">
        <v>1</v>
      </c>
      <c r="C1173" s="14">
        <v>50</v>
      </c>
      <c r="D1173" s="14">
        <f t="shared" si="18"/>
        <v>50</v>
      </c>
    </row>
    <row r="1174" ht="15" spans="1:4">
      <c r="A1174" s="12" t="s">
        <v>145</v>
      </c>
      <c r="B1174" s="13">
        <v>1</v>
      </c>
      <c r="C1174" s="14">
        <v>66.5</v>
      </c>
      <c r="D1174" s="14">
        <f t="shared" si="18"/>
        <v>66.5</v>
      </c>
    </row>
    <row r="1175" ht="15" spans="1:4">
      <c r="A1175" s="12" t="s">
        <v>36</v>
      </c>
      <c r="B1175" s="13">
        <v>1</v>
      </c>
      <c r="C1175" s="14">
        <v>126.5</v>
      </c>
      <c r="D1175" s="14">
        <f t="shared" si="18"/>
        <v>126.5</v>
      </c>
    </row>
    <row r="1176" ht="15" spans="1:4">
      <c r="A1176" s="12" t="s">
        <v>41</v>
      </c>
      <c r="B1176" s="13">
        <v>1</v>
      </c>
      <c r="C1176" s="14">
        <v>27.5</v>
      </c>
      <c r="D1176" s="14">
        <f t="shared" si="18"/>
        <v>27.5</v>
      </c>
    </row>
    <row r="1177" ht="15" spans="1:4">
      <c r="A1177" s="12" t="s">
        <v>42</v>
      </c>
      <c r="B1177" s="13">
        <v>3</v>
      </c>
      <c r="C1177" s="14">
        <v>17.7</v>
      </c>
      <c r="D1177" s="14">
        <f t="shared" si="18"/>
        <v>53.1</v>
      </c>
    </row>
    <row r="1178" ht="15" spans="1:4">
      <c r="A1178" s="12" t="s">
        <v>43</v>
      </c>
      <c r="B1178" s="13">
        <v>2</v>
      </c>
      <c r="C1178" s="14">
        <v>16.5</v>
      </c>
      <c r="D1178" s="14">
        <f t="shared" si="18"/>
        <v>33</v>
      </c>
    </row>
    <row r="1179" ht="15" spans="1:4">
      <c r="A1179" s="12" t="s">
        <v>44</v>
      </c>
      <c r="B1179" s="13">
        <v>3</v>
      </c>
      <c r="C1179" s="14">
        <v>16.5</v>
      </c>
      <c r="D1179" s="14">
        <f t="shared" si="18"/>
        <v>49.5</v>
      </c>
    </row>
    <row r="1180" ht="15" spans="1:4">
      <c r="A1180" s="12" t="s">
        <v>47</v>
      </c>
      <c r="B1180" s="13">
        <v>4</v>
      </c>
      <c r="C1180" s="14">
        <v>22</v>
      </c>
      <c r="D1180" s="14">
        <f t="shared" si="18"/>
        <v>88</v>
      </c>
    </row>
    <row r="1181" ht="15" spans="1:4">
      <c r="A1181" s="12" t="s">
        <v>258</v>
      </c>
      <c r="B1181" s="13">
        <v>1</v>
      </c>
      <c r="C1181" s="14">
        <v>9.2</v>
      </c>
      <c r="D1181" s="14">
        <f t="shared" si="18"/>
        <v>9.2</v>
      </c>
    </row>
    <row r="1182" ht="15" spans="1:4">
      <c r="A1182" s="12" t="s">
        <v>69</v>
      </c>
      <c r="B1182" s="13">
        <v>1</v>
      </c>
      <c r="C1182" s="14">
        <v>9.2</v>
      </c>
      <c r="D1182" s="14">
        <f t="shared" si="18"/>
        <v>9.2</v>
      </c>
    </row>
    <row r="1183" ht="15" spans="1:4">
      <c r="A1183" s="12" t="s">
        <v>9</v>
      </c>
      <c r="B1183" s="13">
        <v>1</v>
      </c>
      <c r="C1183" s="14">
        <v>126.5</v>
      </c>
      <c r="D1183" s="14">
        <f t="shared" si="18"/>
        <v>126.5</v>
      </c>
    </row>
    <row r="1184" ht="15" spans="1:4">
      <c r="A1184" s="12" t="s">
        <v>59</v>
      </c>
      <c r="B1184" s="13">
        <v>1</v>
      </c>
      <c r="C1184" s="14">
        <v>71</v>
      </c>
      <c r="D1184" s="14">
        <f t="shared" si="18"/>
        <v>71</v>
      </c>
    </row>
    <row r="1185" ht="15" spans="1:4">
      <c r="A1185" s="12" t="s">
        <v>55</v>
      </c>
      <c r="B1185" s="13">
        <v>2</v>
      </c>
      <c r="C1185" s="14">
        <v>197.5</v>
      </c>
      <c r="D1185" s="14">
        <f t="shared" si="18"/>
        <v>395</v>
      </c>
    </row>
    <row r="1186" ht="15" spans="1:4">
      <c r="A1186" s="12" t="s">
        <v>52</v>
      </c>
      <c r="B1186" s="13">
        <v>3</v>
      </c>
      <c r="C1186" s="14">
        <v>120.5</v>
      </c>
      <c r="D1186" s="14">
        <f t="shared" si="18"/>
        <v>361.5</v>
      </c>
    </row>
    <row r="1187" ht="15" spans="1:4">
      <c r="A1187" s="12" t="s">
        <v>11</v>
      </c>
      <c r="B1187" s="13">
        <v>1</v>
      </c>
      <c r="C1187" s="14">
        <v>159</v>
      </c>
      <c r="D1187" s="14">
        <f t="shared" si="18"/>
        <v>159</v>
      </c>
    </row>
    <row r="1188" ht="15" spans="1:4">
      <c r="A1188" s="12" t="s">
        <v>53</v>
      </c>
      <c r="B1188" s="13">
        <v>3</v>
      </c>
      <c r="C1188" s="14">
        <v>170</v>
      </c>
      <c r="D1188" s="14">
        <f t="shared" si="18"/>
        <v>510</v>
      </c>
    </row>
    <row r="1189" ht="15" spans="1:4">
      <c r="A1189" s="15" t="s">
        <v>199</v>
      </c>
      <c r="B1189" s="13">
        <v>1</v>
      </c>
      <c r="C1189" s="14">
        <v>11.3</v>
      </c>
      <c r="D1189" s="14">
        <f t="shared" si="18"/>
        <v>11.3</v>
      </c>
    </row>
    <row r="1190" ht="15" spans="1:4">
      <c r="A1190" s="12" t="s">
        <v>73</v>
      </c>
      <c r="B1190" s="13">
        <v>1</v>
      </c>
      <c r="C1190" s="14">
        <v>16.8</v>
      </c>
      <c r="D1190" s="14">
        <f t="shared" si="18"/>
        <v>16.8</v>
      </c>
    </row>
    <row r="1191" ht="15" spans="1:4">
      <c r="A1191" s="12" t="s">
        <v>15</v>
      </c>
      <c r="B1191" s="13">
        <v>3</v>
      </c>
      <c r="C1191" s="14">
        <v>27.8</v>
      </c>
      <c r="D1191" s="14">
        <f t="shared" si="18"/>
        <v>83.4</v>
      </c>
    </row>
    <row r="1192" ht="15" spans="1:4">
      <c r="A1192" s="12" t="s">
        <v>259</v>
      </c>
      <c r="B1192" s="13">
        <v>1</v>
      </c>
      <c r="C1192" s="14">
        <v>38.8</v>
      </c>
      <c r="D1192" s="14">
        <f t="shared" si="18"/>
        <v>38.8</v>
      </c>
    </row>
    <row r="1193" ht="15" spans="1:4">
      <c r="A1193" s="12" t="s">
        <v>260</v>
      </c>
      <c r="B1193" s="13">
        <v>1</v>
      </c>
      <c r="C1193" s="14">
        <v>16.8</v>
      </c>
      <c r="D1193" s="14">
        <f t="shared" si="18"/>
        <v>16.8</v>
      </c>
    </row>
    <row r="1194" ht="15" spans="1:4">
      <c r="A1194" s="12" t="s">
        <v>261</v>
      </c>
      <c r="B1194" s="13">
        <v>1</v>
      </c>
      <c r="C1194" s="14">
        <v>33.3</v>
      </c>
      <c r="D1194" s="14">
        <f t="shared" si="18"/>
        <v>33.3</v>
      </c>
    </row>
    <row r="1195" ht="15" spans="1:4">
      <c r="A1195" s="12" t="s">
        <v>19</v>
      </c>
      <c r="B1195" s="13">
        <v>11</v>
      </c>
      <c r="C1195" s="14">
        <v>13.3</v>
      </c>
      <c r="D1195" s="14">
        <f t="shared" si="18"/>
        <v>146.3</v>
      </c>
    </row>
    <row r="1196" ht="15" spans="1:4">
      <c r="A1196" s="12" t="s">
        <v>77</v>
      </c>
      <c r="B1196" s="13">
        <v>1</v>
      </c>
      <c r="C1196" s="14">
        <v>13.8</v>
      </c>
      <c r="D1196" s="14">
        <f t="shared" si="18"/>
        <v>13.8</v>
      </c>
    </row>
    <row r="1197" ht="15" spans="1:4">
      <c r="A1197" s="12" t="s">
        <v>262</v>
      </c>
      <c r="B1197" s="13">
        <v>1</v>
      </c>
      <c r="C1197" s="14">
        <v>8.3</v>
      </c>
      <c r="D1197" s="14">
        <f t="shared" si="18"/>
        <v>8.3</v>
      </c>
    </row>
    <row r="1198" ht="15" spans="1:4">
      <c r="A1198" s="12" t="s">
        <v>29</v>
      </c>
      <c r="B1198" s="13">
        <v>8</v>
      </c>
      <c r="C1198" s="14">
        <v>0</v>
      </c>
      <c r="D1198" s="14">
        <f t="shared" si="18"/>
        <v>0</v>
      </c>
    </row>
    <row r="1199" ht="15" spans="1:4">
      <c r="A1199" s="12" t="s">
        <v>140</v>
      </c>
      <c r="B1199" s="13">
        <v>1</v>
      </c>
      <c r="C1199" s="14">
        <v>50</v>
      </c>
      <c r="D1199" s="14">
        <f t="shared" si="18"/>
        <v>50</v>
      </c>
    </row>
    <row r="1200" ht="15" spans="1:4">
      <c r="A1200" s="12" t="s">
        <v>155</v>
      </c>
      <c r="B1200" s="13">
        <v>1</v>
      </c>
      <c r="C1200" s="14">
        <v>50</v>
      </c>
      <c r="D1200" s="14">
        <f t="shared" si="18"/>
        <v>50</v>
      </c>
    </row>
    <row r="1201" ht="15" spans="1:4">
      <c r="A1201" s="12" t="s">
        <v>263</v>
      </c>
      <c r="B1201" s="13">
        <v>1</v>
      </c>
      <c r="C1201" s="14">
        <v>44</v>
      </c>
      <c r="D1201" s="14">
        <f t="shared" si="18"/>
        <v>44</v>
      </c>
    </row>
    <row r="1202" ht="15" spans="1:4">
      <c r="A1202" s="12" t="s">
        <v>147</v>
      </c>
      <c r="B1202" s="13">
        <v>1</v>
      </c>
      <c r="C1202" s="14">
        <v>9.2</v>
      </c>
      <c r="D1202" s="14">
        <f t="shared" si="18"/>
        <v>9.2</v>
      </c>
    </row>
    <row r="1203" ht="15" spans="1:4">
      <c r="A1203" s="12" t="s">
        <v>193</v>
      </c>
      <c r="B1203" s="13">
        <v>1</v>
      </c>
      <c r="C1203" s="14">
        <v>9.2</v>
      </c>
      <c r="D1203" s="14">
        <f t="shared" si="18"/>
        <v>9.2</v>
      </c>
    </row>
    <row r="1204" ht="15" spans="1:4">
      <c r="A1204" s="12" t="s">
        <v>68</v>
      </c>
      <c r="B1204" s="13">
        <v>1</v>
      </c>
      <c r="C1204" s="14">
        <v>17.2</v>
      </c>
      <c r="D1204" s="14">
        <f t="shared" si="18"/>
        <v>17.2</v>
      </c>
    </row>
    <row r="1205" ht="15" spans="1:4">
      <c r="A1205" s="12" t="s">
        <v>37</v>
      </c>
      <c r="B1205" s="13">
        <v>7</v>
      </c>
      <c r="C1205" s="14">
        <v>16.5</v>
      </c>
      <c r="D1205" s="14">
        <f t="shared" si="18"/>
        <v>115.5</v>
      </c>
    </row>
    <row r="1206" ht="15" spans="1:4">
      <c r="A1206" s="12" t="s">
        <v>88</v>
      </c>
      <c r="B1206" s="13">
        <v>1</v>
      </c>
      <c r="C1206" s="14">
        <v>16.5</v>
      </c>
      <c r="D1206" s="14">
        <f t="shared" si="18"/>
        <v>16.5</v>
      </c>
    </row>
    <row r="1207" ht="15" spans="1:4">
      <c r="A1207" s="12" t="s">
        <v>41</v>
      </c>
      <c r="B1207" s="13">
        <v>3</v>
      </c>
      <c r="C1207" s="14">
        <v>27.5</v>
      </c>
      <c r="D1207" s="14">
        <f t="shared" si="18"/>
        <v>82.5</v>
      </c>
    </row>
    <row r="1208" ht="15" spans="1:4">
      <c r="A1208" s="12" t="s">
        <v>42</v>
      </c>
      <c r="B1208" s="13">
        <v>2</v>
      </c>
      <c r="C1208" s="14">
        <v>17.7</v>
      </c>
      <c r="D1208" s="14">
        <f t="shared" si="18"/>
        <v>35.4</v>
      </c>
    </row>
    <row r="1209" ht="15" spans="1:4">
      <c r="A1209" s="12" t="s">
        <v>44</v>
      </c>
      <c r="B1209" s="13">
        <v>5</v>
      </c>
      <c r="C1209" s="14">
        <v>16.5</v>
      </c>
      <c r="D1209" s="14">
        <f t="shared" si="18"/>
        <v>82.5</v>
      </c>
    </row>
    <row r="1210" ht="15" spans="1:4">
      <c r="A1210" s="12" t="s">
        <v>90</v>
      </c>
      <c r="B1210" s="13">
        <v>1</v>
      </c>
      <c r="C1210" s="14">
        <v>16.5</v>
      </c>
      <c r="D1210" s="14">
        <f t="shared" si="18"/>
        <v>16.5</v>
      </c>
    </row>
    <row r="1211" ht="15" spans="1:4">
      <c r="A1211" s="12" t="s">
        <v>45</v>
      </c>
      <c r="B1211" s="13">
        <v>1</v>
      </c>
      <c r="C1211" s="14">
        <v>16.5</v>
      </c>
      <c r="D1211" s="14">
        <f t="shared" si="18"/>
        <v>16.5</v>
      </c>
    </row>
    <row r="1212" ht="15" spans="1:4">
      <c r="A1212" s="12" t="s">
        <v>264</v>
      </c>
      <c r="B1212" s="13">
        <v>1</v>
      </c>
      <c r="C1212" s="14">
        <v>14.7</v>
      </c>
      <c r="D1212" s="14">
        <f t="shared" si="18"/>
        <v>14.7</v>
      </c>
    </row>
    <row r="1213" ht="15" spans="1:4">
      <c r="A1213" s="12" t="s">
        <v>172</v>
      </c>
      <c r="B1213" s="13">
        <v>1</v>
      </c>
      <c r="C1213" s="14">
        <v>12.2</v>
      </c>
      <c r="D1213" s="14">
        <f t="shared" si="18"/>
        <v>12.2</v>
      </c>
    </row>
    <row r="1214" ht="15" spans="1:4">
      <c r="A1214" s="12" t="s">
        <v>106</v>
      </c>
      <c r="B1214" s="13">
        <v>2</v>
      </c>
      <c r="C1214" s="14">
        <v>16.5</v>
      </c>
      <c r="D1214" s="14">
        <f t="shared" si="18"/>
        <v>33</v>
      </c>
    </row>
    <row r="1215" ht="15" spans="1:4">
      <c r="A1215" s="12" t="s">
        <v>107</v>
      </c>
      <c r="B1215" s="13">
        <v>2</v>
      </c>
      <c r="C1215" s="14">
        <v>9.2</v>
      </c>
      <c r="D1215" s="14">
        <f t="shared" si="18"/>
        <v>18.4</v>
      </c>
    </row>
    <row r="1216" ht="15" spans="1:4">
      <c r="A1216" s="12" t="s">
        <v>47</v>
      </c>
      <c r="B1216" s="13">
        <v>12</v>
      </c>
      <c r="C1216" s="14">
        <v>22</v>
      </c>
      <c r="D1216" s="14">
        <f t="shared" si="18"/>
        <v>264</v>
      </c>
    </row>
    <row r="1217" ht="15" spans="1:4">
      <c r="A1217" s="12" t="s">
        <v>91</v>
      </c>
      <c r="B1217" s="13">
        <v>1</v>
      </c>
      <c r="C1217" s="14">
        <v>16.5</v>
      </c>
      <c r="D1217" s="14">
        <f t="shared" si="18"/>
        <v>16.5</v>
      </c>
    </row>
    <row r="1218" ht="15" spans="1:4">
      <c r="A1218" s="12" t="s">
        <v>265</v>
      </c>
      <c r="B1218" s="13">
        <v>1</v>
      </c>
      <c r="C1218" s="14">
        <v>17.7</v>
      </c>
      <c r="D1218" s="14">
        <f t="shared" si="18"/>
        <v>17.7</v>
      </c>
    </row>
    <row r="1219" ht="15" spans="1:4">
      <c r="A1219" s="12" t="s">
        <v>108</v>
      </c>
      <c r="B1219" s="13">
        <v>1</v>
      </c>
      <c r="C1219" s="14">
        <v>12.2</v>
      </c>
      <c r="D1219" s="14">
        <f t="shared" si="18"/>
        <v>12.2</v>
      </c>
    </row>
    <row r="1220" ht="15" spans="1:4">
      <c r="A1220" s="12" t="s">
        <v>49</v>
      </c>
      <c r="B1220" s="13">
        <v>1</v>
      </c>
      <c r="C1220" s="14">
        <v>16.5</v>
      </c>
      <c r="D1220" s="14">
        <f t="shared" si="18"/>
        <v>16.5</v>
      </c>
    </row>
    <row r="1221" ht="15" spans="1:4">
      <c r="A1221" s="12" t="s">
        <v>95</v>
      </c>
      <c r="B1221" s="13">
        <v>1</v>
      </c>
      <c r="C1221" s="14">
        <v>35</v>
      </c>
      <c r="D1221" s="14">
        <f t="shared" si="18"/>
        <v>35</v>
      </c>
    </row>
    <row r="1222" ht="15" spans="1:4">
      <c r="A1222" s="12" t="s">
        <v>96</v>
      </c>
      <c r="B1222" s="13">
        <v>1</v>
      </c>
      <c r="C1222" s="14">
        <v>35</v>
      </c>
      <c r="D1222" s="14">
        <f t="shared" si="18"/>
        <v>35</v>
      </c>
    </row>
    <row r="1223" ht="15" spans="1:4">
      <c r="A1223" s="15" t="s">
        <v>99</v>
      </c>
      <c r="B1223" s="13">
        <v>1</v>
      </c>
      <c r="C1223" s="14">
        <v>28</v>
      </c>
      <c r="D1223" s="14">
        <f t="shared" ref="D1223:D1286" si="19">C1223*B1223</f>
        <v>28</v>
      </c>
    </row>
    <row r="1224" ht="15" spans="1:4">
      <c r="A1224" s="12" t="s">
        <v>55</v>
      </c>
      <c r="B1224" s="13">
        <v>1</v>
      </c>
      <c r="C1224" s="14">
        <v>197.5</v>
      </c>
      <c r="D1224" s="14">
        <f t="shared" si="19"/>
        <v>197.5</v>
      </c>
    </row>
    <row r="1225" ht="15" spans="1:4">
      <c r="A1225" s="12" t="s">
        <v>52</v>
      </c>
      <c r="B1225" s="13">
        <v>2</v>
      </c>
      <c r="C1225" s="14">
        <v>120.5</v>
      </c>
      <c r="D1225" s="14">
        <f t="shared" si="19"/>
        <v>241</v>
      </c>
    </row>
    <row r="1226" ht="15" spans="1:4">
      <c r="A1226" s="12" t="s">
        <v>10</v>
      </c>
      <c r="B1226" s="13">
        <v>3</v>
      </c>
      <c r="C1226" s="14">
        <v>159</v>
      </c>
      <c r="D1226" s="14">
        <f t="shared" si="19"/>
        <v>477</v>
      </c>
    </row>
    <row r="1227" ht="15" spans="1:4">
      <c r="A1227" s="12" t="s">
        <v>60</v>
      </c>
      <c r="B1227" s="13">
        <v>5</v>
      </c>
      <c r="C1227" s="14">
        <v>131.5</v>
      </c>
      <c r="D1227" s="14">
        <f t="shared" si="19"/>
        <v>657.5</v>
      </c>
    </row>
    <row r="1228" ht="15" spans="1:4">
      <c r="A1228" s="12" t="s">
        <v>56</v>
      </c>
      <c r="B1228" s="13">
        <v>1</v>
      </c>
      <c r="C1228" s="14">
        <v>115</v>
      </c>
      <c r="D1228" s="14">
        <f t="shared" si="19"/>
        <v>115</v>
      </c>
    </row>
    <row r="1229" ht="15" spans="1:4">
      <c r="A1229" s="12" t="s">
        <v>57</v>
      </c>
      <c r="B1229" s="13">
        <v>1</v>
      </c>
      <c r="C1229" s="14">
        <v>115</v>
      </c>
      <c r="D1229" s="14">
        <f t="shared" si="19"/>
        <v>115</v>
      </c>
    </row>
    <row r="1230" ht="15" spans="1:4">
      <c r="A1230" s="12" t="s">
        <v>163</v>
      </c>
      <c r="B1230" s="13">
        <v>1</v>
      </c>
      <c r="C1230" s="14">
        <v>55</v>
      </c>
      <c r="D1230" s="14">
        <f t="shared" si="19"/>
        <v>55</v>
      </c>
    </row>
    <row r="1231" ht="15" spans="1:4">
      <c r="A1231" s="12" t="s">
        <v>11</v>
      </c>
      <c r="B1231" s="13">
        <v>1</v>
      </c>
      <c r="C1231" s="14">
        <v>159</v>
      </c>
      <c r="D1231" s="14">
        <f t="shared" si="19"/>
        <v>159</v>
      </c>
    </row>
    <row r="1232" ht="15" spans="1:4">
      <c r="A1232" s="12" t="s">
        <v>53</v>
      </c>
      <c r="B1232" s="13">
        <v>2</v>
      </c>
      <c r="C1232" s="14">
        <v>170</v>
      </c>
      <c r="D1232" s="14">
        <f t="shared" si="19"/>
        <v>340</v>
      </c>
    </row>
    <row r="1233" ht="15" spans="1:4">
      <c r="A1233" s="12" t="s">
        <v>176</v>
      </c>
      <c r="B1233" s="13">
        <v>1</v>
      </c>
      <c r="C1233" s="14">
        <v>8.3</v>
      </c>
      <c r="D1233" s="14">
        <f t="shared" si="19"/>
        <v>8.3</v>
      </c>
    </row>
    <row r="1234" ht="15" spans="1:4">
      <c r="A1234" s="12" t="s">
        <v>141</v>
      </c>
      <c r="B1234" s="13">
        <v>1</v>
      </c>
      <c r="C1234" s="14">
        <v>8.3</v>
      </c>
      <c r="D1234" s="14">
        <f t="shared" si="19"/>
        <v>8.3</v>
      </c>
    </row>
    <row r="1235" ht="15" spans="1:4">
      <c r="A1235" s="12" t="s">
        <v>28</v>
      </c>
      <c r="B1235" s="13">
        <v>3</v>
      </c>
      <c r="C1235" s="14">
        <v>0</v>
      </c>
      <c r="D1235" s="14">
        <f t="shared" si="19"/>
        <v>0</v>
      </c>
    </row>
    <row r="1236" ht="15" spans="1:4">
      <c r="A1236" s="12" t="s">
        <v>29</v>
      </c>
      <c r="B1236" s="13">
        <v>3</v>
      </c>
      <c r="C1236" s="14">
        <v>0</v>
      </c>
      <c r="D1236" s="14">
        <f t="shared" si="19"/>
        <v>0</v>
      </c>
    </row>
    <row r="1237" ht="15" spans="1:4">
      <c r="A1237" s="12" t="s">
        <v>193</v>
      </c>
      <c r="B1237" s="13">
        <v>1</v>
      </c>
      <c r="C1237" s="14">
        <v>9.2</v>
      </c>
      <c r="D1237" s="14">
        <f t="shared" si="19"/>
        <v>9.2</v>
      </c>
    </row>
    <row r="1238" ht="15" spans="1:4">
      <c r="A1238" s="12" t="s">
        <v>37</v>
      </c>
      <c r="B1238" s="13">
        <v>5</v>
      </c>
      <c r="C1238" s="14">
        <v>16.5</v>
      </c>
      <c r="D1238" s="14">
        <f t="shared" si="19"/>
        <v>82.5</v>
      </c>
    </row>
    <row r="1239" ht="15" spans="1:4">
      <c r="A1239" s="12" t="s">
        <v>194</v>
      </c>
      <c r="B1239" s="13">
        <v>2</v>
      </c>
      <c r="C1239" s="14">
        <v>17.7</v>
      </c>
      <c r="D1239" s="14">
        <f t="shared" si="19"/>
        <v>35.4</v>
      </c>
    </row>
    <row r="1240" ht="15" spans="1:4">
      <c r="A1240" s="12" t="s">
        <v>217</v>
      </c>
      <c r="B1240" s="13">
        <v>1</v>
      </c>
      <c r="C1240" s="14">
        <v>12.2</v>
      </c>
      <c r="D1240" s="14">
        <f t="shared" si="19"/>
        <v>12.2</v>
      </c>
    </row>
    <row r="1241" ht="15" spans="1:4">
      <c r="A1241" s="12" t="s">
        <v>88</v>
      </c>
      <c r="B1241" s="13">
        <v>1</v>
      </c>
      <c r="C1241" s="14">
        <v>16.5</v>
      </c>
      <c r="D1241" s="14">
        <f t="shared" si="19"/>
        <v>16.5</v>
      </c>
    </row>
    <row r="1242" ht="15" spans="1:4">
      <c r="A1242" s="12" t="s">
        <v>89</v>
      </c>
      <c r="B1242" s="13">
        <v>1</v>
      </c>
      <c r="C1242" s="14">
        <v>14.2</v>
      </c>
      <c r="D1242" s="14">
        <f t="shared" si="19"/>
        <v>14.2</v>
      </c>
    </row>
    <row r="1243" ht="15" spans="1:4">
      <c r="A1243" s="12" t="s">
        <v>41</v>
      </c>
      <c r="B1243" s="13">
        <v>1</v>
      </c>
      <c r="C1243" s="14">
        <v>27.5</v>
      </c>
      <c r="D1243" s="14">
        <f t="shared" si="19"/>
        <v>27.5</v>
      </c>
    </row>
    <row r="1244" ht="15" spans="1:4">
      <c r="A1244" s="12" t="s">
        <v>42</v>
      </c>
      <c r="B1244" s="13">
        <v>5</v>
      </c>
      <c r="C1244" s="14">
        <v>17.7</v>
      </c>
      <c r="D1244" s="14">
        <f t="shared" si="19"/>
        <v>88.5</v>
      </c>
    </row>
    <row r="1245" ht="15" spans="1:4">
      <c r="A1245" s="12" t="s">
        <v>47</v>
      </c>
      <c r="B1245" s="13">
        <v>4</v>
      </c>
      <c r="C1245" s="14">
        <v>22</v>
      </c>
      <c r="D1245" s="14">
        <f t="shared" si="19"/>
        <v>88</v>
      </c>
    </row>
    <row r="1246" ht="15" spans="1:4">
      <c r="A1246" s="12" t="s">
        <v>266</v>
      </c>
      <c r="B1246" s="13">
        <v>1</v>
      </c>
      <c r="C1246" s="14">
        <v>16.5</v>
      </c>
      <c r="D1246" s="14">
        <f t="shared" si="19"/>
        <v>16.5</v>
      </c>
    </row>
    <row r="1247" ht="15" spans="1:4">
      <c r="A1247" s="12" t="s">
        <v>173</v>
      </c>
      <c r="B1247" s="13">
        <v>1</v>
      </c>
      <c r="C1247" s="14">
        <v>16.5</v>
      </c>
      <c r="D1247" s="14">
        <f t="shared" si="19"/>
        <v>16.5</v>
      </c>
    </row>
    <row r="1248" ht="15" spans="1:4">
      <c r="A1248" s="12" t="s">
        <v>59</v>
      </c>
      <c r="B1248" s="13">
        <v>1</v>
      </c>
      <c r="C1248" s="14">
        <v>71</v>
      </c>
      <c r="D1248" s="14">
        <f t="shared" si="19"/>
        <v>71</v>
      </c>
    </row>
    <row r="1249" ht="15" spans="1:4">
      <c r="A1249" s="12" t="s">
        <v>267</v>
      </c>
      <c r="B1249" s="13">
        <v>1</v>
      </c>
      <c r="C1249" s="14">
        <v>77</v>
      </c>
      <c r="D1249" s="14">
        <f t="shared" si="19"/>
        <v>77</v>
      </c>
    </row>
    <row r="1250" ht="15" spans="1:4">
      <c r="A1250" s="15" t="s">
        <v>199</v>
      </c>
      <c r="B1250" s="13">
        <v>2</v>
      </c>
      <c r="C1250" s="14">
        <v>11.3</v>
      </c>
      <c r="D1250" s="14">
        <f t="shared" si="19"/>
        <v>22.6</v>
      </c>
    </row>
    <row r="1251" ht="15" spans="1:4">
      <c r="A1251" s="12" t="s">
        <v>12</v>
      </c>
      <c r="B1251" s="13">
        <v>1</v>
      </c>
      <c r="C1251" s="14">
        <v>22.3</v>
      </c>
      <c r="D1251" s="14">
        <f t="shared" si="19"/>
        <v>22.3</v>
      </c>
    </row>
    <row r="1252" ht="15" spans="1:4">
      <c r="A1252" s="12" t="s">
        <v>73</v>
      </c>
      <c r="B1252" s="13">
        <v>1</v>
      </c>
      <c r="C1252" s="14">
        <v>16.8</v>
      </c>
      <c r="D1252" s="14">
        <f t="shared" si="19"/>
        <v>16.8</v>
      </c>
    </row>
    <row r="1253" ht="15" spans="1:4">
      <c r="A1253" s="12" t="s">
        <v>74</v>
      </c>
      <c r="B1253" s="13">
        <v>1</v>
      </c>
      <c r="C1253" s="14">
        <v>22.3</v>
      </c>
      <c r="D1253" s="14">
        <f t="shared" si="19"/>
        <v>22.3</v>
      </c>
    </row>
    <row r="1254" ht="15" spans="1:4">
      <c r="A1254" s="12" t="s">
        <v>152</v>
      </c>
      <c r="B1254" s="13">
        <v>1</v>
      </c>
      <c r="C1254" s="14">
        <v>33.3</v>
      </c>
      <c r="D1254" s="14">
        <f t="shared" si="19"/>
        <v>33.3</v>
      </c>
    </row>
    <row r="1255" ht="15" spans="1:4">
      <c r="A1255" s="12" t="s">
        <v>259</v>
      </c>
      <c r="B1255" s="13">
        <v>1</v>
      </c>
      <c r="C1255" s="14">
        <v>38.8</v>
      </c>
      <c r="D1255" s="14">
        <f t="shared" si="19"/>
        <v>38.8</v>
      </c>
    </row>
    <row r="1256" ht="15" spans="1:4">
      <c r="A1256" s="12" t="s">
        <v>268</v>
      </c>
      <c r="B1256" s="13">
        <v>1</v>
      </c>
      <c r="C1256" s="14">
        <v>16.8</v>
      </c>
      <c r="D1256" s="14">
        <f t="shared" si="19"/>
        <v>16.8</v>
      </c>
    </row>
    <row r="1257" ht="15" spans="1:4">
      <c r="A1257" s="12" t="s">
        <v>177</v>
      </c>
      <c r="B1257" s="13">
        <v>1</v>
      </c>
      <c r="C1257" s="14">
        <v>13.8</v>
      </c>
      <c r="D1257" s="14">
        <f t="shared" si="19"/>
        <v>13.8</v>
      </c>
    </row>
    <row r="1258" ht="15" spans="1:4">
      <c r="A1258" s="12" t="s">
        <v>269</v>
      </c>
      <c r="B1258" s="13">
        <v>1</v>
      </c>
      <c r="C1258" s="14">
        <v>16.5</v>
      </c>
      <c r="D1258" s="14">
        <f t="shared" si="19"/>
        <v>16.5</v>
      </c>
    </row>
    <row r="1259" ht="15" spans="1:4">
      <c r="A1259" s="12" t="s">
        <v>261</v>
      </c>
      <c r="B1259" s="13">
        <v>1</v>
      </c>
      <c r="C1259" s="14">
        <v>33.3</v>
      </c>
      <c r="D1259" s="14">
        <f t="shared" si="19"/>
        <v>33.3</v>
      </c>
    </row>
    <row r="1260" ht="15" spans="1:4">
      <c r="A1260" s="12" t="s">
        <v>200</v>
      </c>
      <c r="B1260" s="13">
        <v>1</v>
      </c>
      <c r="C1260" s="14">
        <v>49.8</v>
      </c>
      <c r="D1260" s="14">
        <f t="shared" si="19"/>
        <v>49.8</v>
      </c>
    </row>
    <row r="1261" ht="15" spans="1:4">
      <c r="A1261" s="12" t="s">
        <v>19</v>
      </c>
      <c r="B1261" s="13">
        <v>3</v>
      </c>
      <c r="C1261" s="14">
        <v>13.3</v>
      </c>
      <c r="D1261" s="14">
        <f t="shared" si="19"/>
        <v>39.9</v>
      </c>
    </row>
    <row r="1262" ht="15" spans="1:4">
      <c r="A1262" s="12" t="s">
        <v>178</v>
      </c>
      <c r="B1262" s="13">
        <v>1</v>
      </c>
      <c r="C1262" s="14">
        <v>8.3</v>
      </c>
      <c r="D1262" s="14">
        <f t="shared" si="19"/>
        <v>8.3</v>
      </c>
    </row>
    <row r="1263" ht="15" spans="1:4">
      <c r="A1263" s="12" t="s">
        <v>180</v>
      </c>
      <c r="B1263" s="13">
        <v>1</v>
      </c>
      <c r="C1263" s="14">
        <v>13.8</v>
      </c>
      <c r="D1263" s="14">
        <f t="shared" si="19"/>
        <v>13.8</v>
      </c>
    </row>
    <row r="1264" ht="15" spans="1:4">
      <c r="A1264" s="12" t="s">
        <v>28</v>
      </c>
      <c r="B1264" s="13">
        <v>3</v>
      </c>
      <c r="C1264" s="14">
        <v>0</v>
      </c>
      <c r="D1264" s="14">
        <f t="shared" si="19"/>
        <v>0</v>
      </c>
    </row>
    <row r="1265" ht="15" spans="1:4">
      <c r="A1265" s="12" t="s">
        <v>82</v>
      </c>
      <c r="B1265" s="13">
        <v>1</v>
      </c>
      <c r="C1265" s="14">
        <v>50</v>
      </c>
      <c r="D1265" s="14">
        <f t="shared" si="19"/>
        <v>50</v>
      </c>
    </row>
    <row r="1266" ht="15" spans="1:4">
      <c r="A1266" s="12" t="s">
        <v>182</v>
      </c>
      <c r="B1266" s="13">
        <v>1</v>
      </c>
      <c r="C1266" s="14">
        <v>50</v>
      </c>
      <c r="D1266" s="14">
        <f t="shared" si="19"/>
        <v>50</v>
      </c>
    </row>
    <row r="1267" ht="15" spans="1:4">
      <c r="A1267" s="12" t="s">
        <v>62</v>
      </c>
      <c r="B1267" s="13">
        <v>1</v>
      </c>
      <c r="C1267" s="14">
        <v>88</v>
      </c>
      <c r="D1267" s="14">
        <f t="shared" si="19"/>
        <v>88</v>
      </c>
    </row>
    <row r="1268" ht="15" spans="1:4">
      <c r="A1268" s="12" t="s">
        <v>63</v>
      </c>
      <c r="B1268" s="13">
        <v>1</v>
      </c>
      <c r="C1268" s="14">
        <v>143</v>
      </c>
      <c r="D1268" s="14">
        <f t="shared" si="19"/>
        <v>143</v>
      </c>
    </row>
    <row r="1269" ht="15" spans="1:4">
      <c r="A1269" s="12" t="s">
        <v>37</v>
      </c>
      <c r="B1269" s="13">
        <v>3</v>
      </c>
      <c r="C1269" s="14">
        <v>16.5</v>
      </c>
      <c r="D1269" s="14">
        <f t="shared" si="19"/>
        <v>49.5</v>
      </c>
    </row>
    <row r="1270" ht="15" spans="1:4">
      <c r="A1270" s="12" t="s">
        <v>54</v>
      </c>
      <c r="B1270" s="13">
        <v>1</v>
      </c>
      <c r="C1270" s="14">
        <v>12.2</v>
      </c>
      <c r="D1270" s="14">
        <f t="shared" si="19"/>
        <v>12.2</v>
      </c>
    </row>
    <row r="1271" ht="15" spans="1:4">
      <c r="A1271" s="12" t="s">
        <v>88</v>
      </c>
      <c r="B1271" s="13">
        <v>1</v>
      </c>
      <c r="C1271" s="14">
        <v>16.5</v>
      </c>
      <c r="D1271" s="14">
        <f t="shared" si="19"/>
        <v>16.5</v>
      </c>
    </row>
    <row r="1272" ht="15" spans="1:4">
      <c r="A1272" s="12" t="s">
        <v>89</v>
      </c>
      <c r="B1272" s="13">
        <v>1</v>
      </c>
      <c r="C1272" s="14">
        <v>14.2</v>
      </c>
      <c r="D1272" s="14">
        <f t="shared" si="19"/>
        <v>14.2</v>
      </c>
    </row>
    <row r="1273" ht="15" spans="1:4">
      <c r="A1273" s="12" t="s">
        <v>41</v>
      </c>
      <c r="B1273" s="13">
        <v>5</v>
      </c>
      <c r="C1273" s="14">
        <v>27.5</v>
      </c>
      <c r="D1273" s="14">
        <f t="shared" si="19"/>
        <v>137.5</v>
      </c>
    </row>
    <row r="1274" ht="15" spans="1:4">
      <c r="A1274" s="12" t="s">
        <v>42</v>
      </c>
      <c r="B1274" s="13">
        <v>1</v>
      </c>
      <c r="C1274" s="14">
        <v>17.7</v>
      </c>
      <c r="D1274" s="14">
        <f t="shared" si="19"/>
        <v>17.7</v>
      </c>
    </row>
    <row r="1275" ht="15" spans="1:4">
      <c r="A1275" s="12" t="s">
        <v>43</v>
      </c>
      <c r="B1275" s="13">
        <v>5</v>
      </c>
      <c r="C1275" s="14">
        <v>16.5</v>
      </c>
      <c r="D1275" s="14">
        <f t="shared" si="19"/>
        <v>82.5</v>
      </c>
    </row>
    <row r="1276" ht="15" spans="1:4">
      <c r="A1276" s="12" t="s">
        <v>44</v>
      </c>
      <c r="B1276" s="13">
        <v>3</v>
      </c>
      <c r="C1276" s="14">
        <v>16.5</v>
      </c>
      <c r="D1276" s="14">
        <f t="shared" si="19"/>
        <v>49.5</v>
      </c>
    </row>
    <row r="1277" ht="15" spans="1:4">
      <c r="A1277" s="12" t="s">
        <v>47</v>
      </c>
      <c r="B1277" s="13">
        <v>13</v>
      </c>
      <c r="C1277" s="14">
        <v>22</v>
      </c>
      <c r="D1277" s="14">
        <f t="shared" si="19"/>
        <v>286</v>
      </c>
    </row>
    <row r="1278" ht="15" spans="1:4">
      <c r="A1278" s="12" t="s">
        <v>222</v>
      </c>
      <c r="B1278" s="13">
        <v>1</v>
      </c>
      <c r="C1278" s="14">
        <v>17.7</v>
      </c>
      <c r="D1278" s="14">
        <f t="shared" si="19"/>
        <v>17.7</v>
      </c>
    </row>
    <row r="1279" ht="15" spans="1:4">
      <c r="A1279" s="12" t="s">
        <v>48</v>
      </c>
      <c r="B1279" s="13">
        <v>1</v>
      </c>
      <c r="C1279" s="14">
        <v>38.5</v>
      </c>
      <c r="D1279" s="14">
        <f t="shared" si="19"/>
        <v>38.5</v>
      </c>
    </row>
    <row r="1280" ht="15" spans="1:4">
      <c r="A1280" s="12" t="s">
        <v>270</v>
      </c>
      <c r="B1280" s="13">
        <v>1</v>
      </c>
      <c r="C1280" s="14">
        <v>17.2</v>
      </c>
      <c r="D1280" s="14">
        <f t="shared" si="19"/>
        <v>17.2</v>
      </c>
    </row>
    <row r="1281" ht="15" spans="1:4">
      <c r="A1281" s="12" t="s">
        <v>114</v>
      </c>
      <c r="B1281" s="13">
        <v>1</v>
      </c>
      <c r="C1281" s="14">
        <v>17.2</v>
      </c>
      <c r="D1281" s="14">
        <f t="shared" si="19"/>
        <v>17.2</v>
      </c>
    </row>
    <row r="1282" ht="15" spans="1:4">
      <c r="A1282" s="15" t="s">
        <v>255</v>
      </c>
      <c r="B1282" s="13">
        <v>1</v>
      </c>
      <c r="C1282" s="14">
        <v>28</v>
      </c>
      <c r="D1282" s="14">
        <f t="shared" si="19"/>
        <v>28</v>
      </c>
    </row>
    <row r="1283" ht="15" spans="1:4">
      <c r="A1283" s="12" t="s">
        <v>94</v>
      </c>
      <c r="B1283" s="13">
        <v>2</v>
      </c>
      <c r="C1283" s="14">
        <v>35</v>
      </c>
      <c r="D1283" s="14">
        <f t="shared" si="19"/>
        <v>70</v>
      </c>
    </row>
    <row r="1284" ht="15" spans="1:4">
      <c r="A1284" s="12" t="s">
        <v>95</v>
      </c>
      <c r="B1284" s="13">
        <v>2</v>
      </c>
      <c r="C1284" s="14">
        <v>35</v>
      </c>
      <c r="D1284" s="14">
        <f t="shared" si="19"/>
        <v>70</v>
      </c>
    </row>
    <row r="1285" ht="15" spans="1:4">
      <c r="A1285" s="12" t="s">
        <v>96</v>
      </c>
      <c r="B1285" s="13">
        <v>2</v>
      </c>
      <c r="C1285" s="14">
        <v>35</v>
      </c>
      <c r="D1285" s="14">
        <f t="shared" si="19"/>
        <v>70</v>
      </c>
    </row>
    <row r="1286" ht="15" spans="1:4">
      <c r="A1286" s="12" t="s">
        <v>159</v>
      </c>
      <c r="B1286" s="13">
        <v>2</v>
      </c>
      <c r="C1286" s="14">
        <v>44</v>
      </c>
      <c r="D1286" s="14">
        <f t="shared" si="19"/>
        <v>88</v>
      </c>
    </row>
    <row r="1287" ht="15" spans="1:4">
      <c r="A1287" s="12" t="s">
        <v>98</v>
      </c>
      <c r="B1287" s="13">
        <v>1</v>
      </c>
      <c r="C1287" s="14">
        <v>35</v>
      </c>
      <c r="D1287" s="14">
        <f t="shared" ref="D1287:D1350" si="20">C1287*B1287</f>
        <v>35</v>
      </c>
    </row>
    <row r="1288" ht="15" spans="1:4">
      <c r="A1288" s="15" t="s">
        <v>99</v>
      </c>
      <c r="B1288" s="13">
        <v>1</v>
      </c>
      <c r="C1288" s="14">
        <v>28</v>
      </c>
      <c r="D1288" s="14">
        <f t="shared" si="20"/>
        <v>28</v>
      </c>
    </row>
    <row r="1289" ht="15" spans="1:4">
      <c r="A1289" s="12" t="s">
        <v>100</v>
      </c>
      <c r="B1289" s="13">
        <v>1</v>
      </c>
      <c r="C1289" s="14">
        <v>28</v>
      </c>
      <c r="D1289" s="14">
        <f t="shared" si="20"/>
        <v>28</v>
      </c>
    </row>
    <row r="1290" ht="15" spans="1:4">
      <c r="A1290" s="12" t="s">
        <v>101</v>
      </c>
      <c r="B1290" s="13">
        <v>1</v>
      </c>
      <c r="C1290" s="14">
        <v>35</v>
      </c>
      <c r="D1290" s="14">
        <f t="shared" si="20"/>
        <v>35</v>
      </c>
    </row>
    <row r="1291" ht="15" spans="1:4">
      <c r="A1291" s="12" t="s">
        <v>11</v>
      </c>
      <c r="B1291" s="13">
        <v>1</v>
      </c>
      <c r="C1291" s="14">
        <v>159</v>
      </c>
      <c r="D1291" s="14">
        <f t="shared" si="20"/>
        <v>159</v>
      </c>
    </row>
    <row r="1292" ht="15" spans="1:4">
      <c r="A1292" s="12" t="s">
        <v>37</v>
      </c>
      <c r="B1292" s="13">
        <v>1</v>
      </c>
      <c r="C1292" s="14">
        <v>16.5</v>
      </c>
      <c r="D1292" s="14">
        <f t="shared" si="20"/>
        <v>16.5</v>
      </c>
    </row>
    <row r="1293" ht="15" spans="1:4">
      <c r="A1293" s="12" t="s">
        <v>271</v>
      </c>
      <c r="B1293" s="13">
        <v>2</v>
      </c>
      <c r="C1293" s="14">
        <v>17.2</v>
      </c>
      <c r="D1293" s="14">
        <f t="shared" si="20"/>
        <v>34.4</v>
      </c>
    </row>
    <row r="1294" ht="15" spans="1:4">
      <c r="A1294" s="12" t="s">
        <v>47</v>
      </c>
      <c r="B1294" s="13">
        <v>1</v>
      </c>
      <c r="C1294" s="14">
        <v>22</v>
      </c>
      <c r="D1294" s="14">
        <f t="shared" si="20"/>
        <v>22</v>
      </c>
    </row>
    <row r="1295" ht="15" spans="1:4">
      <c r="A1295" s="12" t="s">
        <v>55</v>
      </c>
      <c r="B1295" s="13">
        <v>1</v>
      </c>
      <c r="C1295" s="14">
        <v>197.5</v>
      </c>
      <c r="D1295" s="14">
        <f t="shared" si="20"/>
        <v>197.5</v>
      </c>
    </row>
    <row r="1296" ht="15" spans="1:4">
      <c r="A1296" s="12" t="s">
        <v>52</v>
      </c>
      <c r="B1296" s="13">
        <v>1</v>
      </c>
      <c r="C1296" s="14">
        <v>120.5</v>
      </c>
      <c r="D1296" s="14">
        <f t="shared" si="20"/>
        <v>120.5</v>
      </c>
    </row>
    <row r="1297" ht="15" spans="1:4">
      <c r="A1297" s="12" t="s">
        <v>60</v>
      </c>
      <c r="B1297" s="13">
        <v>1</v>
      </c>
      <c r="C1297" s="14">
        <v>131.5</v>
      </c>
      <c r="D1297" s="14">
        <f t="shared" si="20"/>
        <v>131.5</v>
      </c>
    </row>
    <row r="1298" ht="15" spans="1:4">
      <c r="A1298" s="12" t="s">
        <v>110</v>
      </c>
      <c r="B1298" s="13">
        <v>1</v>
      </c>
      <c r="C1298" s="14">
        <v>82</v>
      </c>
      <c r="D1298" s="14">
        <f t="shared" si="20"/>
        <v>82</v>
      </c>
    </row>
    <row r="1299" ht="15" spans="1:4">
      <c r="A1299" s="12" t="s">
        <v>196</v>
      </c>
      <c r="B1299" s="13">
        <v>1</v>
      </c>
      <c r="C1299" s="14">
        <v>126</v>
      </c>
      <c r="D1299" s="14">
        <f t="shared" si="20"/>
        <v>126</v>
      </c>
    </row>
    <row r="1300" ht="15" spans="1:4">
      <c r="A1300" s="12" t="s">
        <v>37</v>
      </c>
      <c r="B1300" s="13">
        <v>7</v>
      </c>
      <c r="C1300" s="14">
        <v>16.5</v>
      </c>
      <c r="D1300" s="14">
        <f t="shared" si="20"/>
        <v>115.5</v>
      </c>
    </row>
    <row r="1301" ht="15" spans="1:4">
      <c r="A1301" s="12" t="s">
        <v>264</v>
      </c>
      <c r="B1301" s="13">
        <v>1</v>
      </c>
      <c r="C1301" s="14">
        <v>14.7</v>
      </c>
      <c r="D1301" s="14">
        <f t="shared" si="20"/>
        <v>14.7</v>
      </c>
    </row>
    <row r="1302" ht="15" spans="1:4">
      <c r="A1302" s="12" t="s">
        <v>47</v>
      </c>
      <c r="B1302" s="13">
        <v>9</v>
      </c>
      <c r="C1302" s="14">
        <v>22</v>
      </c>
      <c r="D1302" s="14">
        <f t="shared" si="20"/>
        <v>198</v>
      </c>
    </row>
    <row r="1303" ht="15" spans="1:4">
      <c r="A1303" s="15" t="s">
        <v>214</v>
      </c>
      <c r="B1303" s="13">
        <v>1</v>
      </c>
      <c r="C1303" s="14">
        <v>236.5</v>
      </c>
      <c r="D1303" s="14">
        <f t="shared" si="20"/>
        <v>236.5</v>
      </c>
    </row>
    <row r="1304" ht="15" spans="1:4">
      <c r="A1304" s="12" t="s">
        <v>9</v>
      </c>
      <c r="B1304" s="13">
        <v>2</v>
      </c>
      <c r="C1304" s="14">
        <v>126.5</v>
      </c>
      <c r="D1304" s="14">
        <f t="shared" si="20"/>
        <v>253</v>
      </c>
    </row>
    <row r="1305" ht="15" spans="1:4">
      <c r="A1305" s="12" t="s">
        <v>55</v>
      </c>
      <c r="B1305" s="13">
        <v>2</v>
      </c>
      <c r="C1305" s="14">
        <v>197.5</v>
      </c>
      <c r="D1305" s="14">
        <f t="shared" si="20"/>
        <v>395</v>
      </c>
    </row>
    <row r="1306" ht="15" spans="1:4">
      <c r="A1306" s="12" t="s">
        <v>52</v>
      </c>
      <c r="B1306" s="13">
        <v>1</v>
      </c>
      <c r="C1306" s="14">
        <v>120.5</v>
      </c>
      <c r="D1306" s="14">
        <f t="shared" si="20"/>
        <v>120.5</v>
      </c>
    </row>
    <row r="1307" ht="15" spans="1:4">
      <c r="A1307" s="12" t="s">
        <v>10</v>
      </c>
      <c r="B1307" s="13">
        <v>1</v>
      </c>
      <c r="C1307" s="14">
        <v>159</v>
      </c>
      <c r="D1307" s="14">
        <f t="shared" si="20"/>
        <v>159</v>
      </c>
    </row>
    <row r="1308" ht="15" spans="1:4">
      <c r="A1308" s="12" t="s">
        <v>58</v>
      </c>
      <c r="B1308" s="13">
        <v>2</v>
      </c>
      <c r="C1308" s="14">
        <v>104</v>
      </c>
      <c r="D1308" s="14">
        <f t="shared" si="20"/>
        <v>208</v>
      </c>
    </row>
    <row r="1309" ht="15" spans="1:4">
      <c r="A1309" s="12" t="s">
        <v>11</v>
      </c>
      <c r="B1309" s="13">
        <v>2</v>
      </c>
      <c r="C1309" s="14">
        <v>159</v>
      </c>
      <c r="D1309" s="14">
        <f t="shared" si="20"/>
        <v>318</v>
      </c>
    </row>
    <row r="1310" ht="15" spans="1:4">
      <c r="A1310" s="12" t="s">
        <v>53</v>
      </c>
      <c r="B1310" s="13">
        <v>1</v>
      </c>
      <c r="C1310" s="14">
        <v>170</v>
      </c>
      <c r="D1310" s="14">
        <f t="shared" si="20"/>
        <v>170</v>
      </c>
    </row>
    <row r="1311" ht="15" spans="1:4">
      <c r="A1311" s="12" t="s">
        <v>272</v>
      </c>
      <c r="B1311" s="13">
        <v>1</v>
      </c>
      <c r="C1311" s="14">
        <v>165</v>
      </c>
      <c r="D1311" s="14">
        <f t="shared" si="20"/>
        <v>165</v>
      </c>
    </row>
    <row r="1312" ht="15" spans="1:4">
      <c r="A1312" s="12" t="s">
        <v>12</v>
      </c>
      <c r="B1312" s="13">
        <v>1</v>
      </c>
      <c r="C1312" s="14">
        <v>22.3</v>
      </c>
      <c r="D1312" s="14">
        <f t="shared" si="20"/>
        <v>22.3</v>
      </c>
    </row>
    <row r="1313" ht="15" spans="1:4">
      <c r="A1313" s="12" t="s">
        <v>74</v>
      </c>
      <c r="B1313" s="13">
        <v>1</v>
      </c>
      <c r="C1313" s="14">
        <v>22.3</v>
      </c>
      <c r="D1313" s="14">
        <f t="shared" si="20"/>
        <v>22.3</v>
      </c>
    </row>
    <row r="1314" ht="15" spans="1:4">
      <c r="A1314" s="12" t="s">
        <v>15</v>
      </c>
      <c r="B1314" s="13">
        <v>1</v>
      </c>
      <c r="C1314" s="14">
        <v>27.8</v>
      </c>
      <c r="D1314" s="14">
        <f t="shared" si="20"/>
        <v>27.8</v>
      </c>
    </row>
    <row r="1315" ht="15" spans="1:4">
      <c r="A1315" s="12" t="s">
        <v>18</v>
      </c>
      <c r="B1315" s="13">
        <v>1</v>
      </c>
      <c r="C1315" s="14">
        <v>33.3</v>
      </c>
      <c r="D1315" s="14">
        <f t="shared" si="20"/>
        <v>33.3</v>
      </c>
    </row>
    <row r="1316" ht="15" spans="1:4">
      <c r="A1316" s="12" t="s">
        <v>19</v>
      </c>
      <c r="B1316" s="13">
        <v>3</v>
      </c>
      <c r="C1316" s="14">
        <v>13.3</v>
      </c>
      <c r="D1316" s="14">
        <f t="shared" si="20"/>
        <v>39.9</v>
      </c>
    </row>
    <row r="1317" ht="15" spans="1:4">
      <c r="A1317" s="12" t="s">
        <v>26</v>
      </c>
      <c r="B1317" s="13">
        <v>1</v>
      </c>
      <c r="C1317" s="14">
        <v>13.8</v>
      </c>
      <c r="D1317" s="14">
        <f t="shared" si="20"/>
        <v>13.8</v>
      </c>
    </row>
    <row r="1318" ht="15" spans="1:4">
      <c r="A1318" s="12" t="s">
        <v>153</v>
      </c>
      <c r="B1318" s="13">
        <v>1</v>
      </c>
      <c r="C1318" s="14">
        <v>8.3</v>
      </c>
      <c r="D1318" s="14">
        <f t="shared" si="20"/>
        <v>8.3</v>
      </c>
    </row>
    <row r="1319" ht="15" spans="1:4">
      <c r="A1319" s="12" t="s">
        <v>28</v>
      </c>
      <c r="B1319" s="13">
        <v>5</v>
      </c>
      <c r="C1319" s="14">
        <v>0</v>
      </c>
      <c r="D1319" s="14">
        <f t="shared" si="20"/>
        <v>0</v>
      </c>
    </row>
    <row r="1320" ht="15" spans="1:4">
      <c r="A1320" s="12" t="s">
        <v>29</v>
      </c>
      <c r="B1320" s="13">
        <v>9</v>
      </c>
      <c r="C1320" s="14">
        <v>0</v>
      </c>
      <c r="D1320" s="14">
        <f t="shared" si="20"/>
        <v>0</v>
      </c>
    </row>
    <row r="1321" ht="15" spans="1:4">
      <c r="A1321" s="15" t="s">
        <v>30</v>
      </c>
      <c r="B1321" s="13">
        <v>1</v>
      </c>
      <c r="C1321" s="14">
        <v>50</v>
      </c>
      <c r="D1321" s="14">
        <f t="shared" si="20"/>
        <v>50</v>
      </c>
    </row>
    <row r="1322" ht="15" spans="1:4">
      <c r="A1322" s="12" t="s">
        <v>81</v>
      </c>
      <c r="B1322" s="13">
        <v>1</v>
      </c>
      <c r="C1322" s="14">
        <v>50</v>
      </c>
      <c r="D1322" s="14">
        <f t="shared" si="20"/>
        <v>50</v>
      </c>
    </row>
    <row r="1323" ht="15" spans="1:4">
      <c r="A1323" s="12" t="s">
        <v>192</v>
      </c>
      <c r="B1323" s="13">
        <v>1</v>
      </c>
      <c r="C1323" s="14">
        <v>50</v>
      </c>
      <c r="D1323" s="14">
        <f t="shared" si="20"/>
        <v>50</v>
      </c>
    </row>
    <row r="1324" ht="15" spans="1:4">
      <c r="A1324" s="12" t="s">
        <v>155</v>
      </c>
      <c r="B1324" s="13">
        <v>1</v>
      </c>
      <c r="C1324" s="14">
        <v>50</v>
      </c>
      <c r="D1324" s="14">
        <f t="shared" si="20"/>
        <v>50</v>
      </c>
    </row>
    <row r="1325" ht="15" spans="1:4">
      <c r="A1325" s="12" t="s">
        <v>273</v>
      </c>
      <c r="B1325" s="13">
        <v>1</v>
      </c>
      <c r="C1325" s="14">
        <v>72</v>
      </c>
      <c r="D1325" s="14">
        <f t="shared" si="20"/>
        <v>72</v>
      </c>
    </row>
    <row r="1326" ht="15" spans="1:4">
      <c r="A1326" s="12" t="s">
        <v>36</v>
      </c>
      <c r="B1326" s="13">
        <v>1</v>
      </c>
      <c r="C1326" s="14">
        <v>126.5</v>
      </c>
      <c r="D1326" s="14">
        <f t="shared" si="20"/>
        <v>126.5</v>
      </c>
    </row>
    <row r="1327" ht="15" spans="1:4">
      <c r="A1327" s="12" t="s">
        <v>147</v>
      </c>
      <c r="B1327" s="13">
        <v>2</v>
      </c>
      <c r="C1327" s="14">
        <v>9.2</v>
      </c>
      <c r="D1327" s="14">
        <f t="shared" si="20"/>
        <v>18.4</v>
      </c>
    </row>
    <row r="1328" ht="15" spans="1:4">
      <c r="A1328" s="12" t="s">
        <v>68</v>
      </c>
      <c r="B1328" s="13">
        <v>2</v>
      </c>
      <c r="C1328" s="14">
        <v>17.2</v>
      </c>
      <c r="D1328" s="14">
        <f t="shared" si="20"/>
        <v>34.4</v>
      </c>
    </row>
    <row r="1329" ht="15" spans="1:4">
      <c r="A1329" s="12" t="s">
        <v>37</v>
      </c>
      <c r="B1329" s="13">
        <v>2</v>
      </c>
      <c r="C1329" s="14">
        <v>16.5</v>
      </c>
      <c r="D1329" s="14">
        <f t="shared" si="20"/>
        <v>33</v>
      </c>
    </row>
    <row r="1330" ht="15" spans="1:4">
      <c r="A1330" s="12" t="s">
        <v>54</v>
      </c>
      <c r="B1330" s="13">
        <v>2</v>
      </c>
      <c r="C1330" s="14">
        <v>12.2</v>
      </c>
      <c r="D1330" s="14">
        <f t="shared" si="20"/>
        <v>24.4</v>
      </c>
    </row>
    <row r="1331" ht="15" spans="1:4">
      <c r="A1331" s="12" t="s">
        <v>128</v>
      </c>
      <c r="B1331" s="13">
        <v>1</v>
      </c>
      <c r="C1331" s="14">
        <v>17.2</v>
      </c>
      <c r="D1331" s="14">
        <f t="shared" si="20"/>
        <v>17.2</v>
      </c>
    </row>
    <row r="1332" ht="15" spans="1:4">
      <c r="A1332" s="12" t="s">
        <v>40</v>
      </c>
      <c r="B1332" s="13">
        <v>2</v>
      </c>
      <c r="C1332" s="14">
        <v>14.2</v>
      </c>
      <c r="D1332" s="14">
        <f t="shared" si="20"/>
        <v>28.4</v>
      </c>
    </row>
    <row r="1333" ht="15" spans="1:4">
      <c r="A1333" s="12" t="s">
        <v>41</v>
      </c>
      <c r="B1333" s="13">
        <v>1</v>
      </c>
      <c r="C1333" s="14">
        <v>27.5</v>
      </c>
      <c r="D1333" s="14">
        <f t="shared" si="20"/>
        <v>27.5</v>
      </c>
    </row>
    <row r="1334" ht="15" spans="1:4">
      <c r="A1334" s="12" t="s">
        <v>42</v>
      </c>
      <c r="B1334" s="13">
        <v>1</v>
      </c>
      <c r="C1334" s="14">
        <v>17.7</v>
      </c>
      <c r="D1334" s="14">
        <f t="shared" si="20"/>
        <v>17.7</v>
      </c>
    </row>
    <row r="1335" ht="15" spans="1:4">
      <c r="A1335" s="12" t="s">
        <v>43</v>
      </c>
      <c r="B1335" s="13">
        <v>5</v>
      </c>
      <c r="C1335" s="14">
        <v>16.5</v>
      </c>
      <c r="D1335" s="14">
        <f t="shared" si="20"/>
        <v>82.5</v>
      </c>
    </row>
    <row r="1336" ht="15" spans="1:4">
      <c r="A1336" s="12" t="s">
        <v>44</v>
      </c>
      <c r="B1336" s="13">
        <v>7</v>
      </c>
      <c r="C1336" s="14">
        <v>16.5</v>
      </c>
      <c r="D1336" s="14">
        <f t="shared" si="20"/>
        <v>115.5</v>
      </c>
    </row>
    <row r="1337" ht="15" spans="1:4">
      <c r="A1337" s="12" t="s">
        <v>47</v>
      </c>
      <c r="B1337" s="13">
        <v>6</v>
      </c>
      <c r="C1337" s="14">
        <v>22</v>
      </c>
      <c r="D1337" s="14">
        <f t="shared" si="20"/>
        <v>132</v>
      </c>
    </row>
    <row r="1338" ht="15" spans="1:4">
      <c r="A1338" s="12" t="s">
        <v>222</v>
      </c>
      <c r="B1338" s="13">
        <v>1</v>
      </c>
      <c r="C1338" s="14">
        <v>17.7</v>
      </c>
      <c r="D1338" s="14">
        <f t="shared" si="20"/>
        <v>17.7</v>
      </c>
    </row>
    <row r="1339" ht="15" spans="1:4">
      <c r="A1339" s="12" t="s">
        <v>143</v>
      </c>
      <c r="B1339" s="13">
        <v>1</v>
      </c>
      <c r="C1339" s="14">
        <v>16.5</v>
      </c>
      <c r="D1339" s="14">
        <f t="shared" si="20"/>
        <v>16.5</v>
      </c>
    </row>
    <row r="1340" ht="15" spans="1:4">
      <c r="A1340" s="12" t="s">
        <v>274</v>
      </c>
      <c r="B1340" s="13">
        <v>1</v>
      </c>
      <c r="C1340" s="14">
        <v>9.2</v>
      </c>
      <c r="D1340" s="14">
        <f t="shared" si="20"/>
        <v>9.2</v>
      </c>
    </row>
    <row r="1341" ht="15" spans="1:4">
      <c r="A1341" s="12" t="s">
        <v>59</v>
      </c>
      <c r="B1341" s="13">
        <v>3</v>
      </c>
      <c r="C1341" s="14">
        <v>71</v>
      </c>
      <c r="D1341" s="14">
        <f t="shared" si="20"/>
        <v>213</v>
      </c>
    </row>
    <row r="1342" ht="15" spans="1:4">
      <c r="A1342" s="12" t="s">
        <v>196</v>
      </c>
      <c r="B1342" s="13">
        <v>1</v>
      </c>
      <c r="C1342" s="14">
        <v>126</v>
      </c>
      <c r="D1342" s="14">
        <f t="shared" si="20"/>
        <v>126</v>
      </c>
    </row>
    <row r="1343" ht="15" spans="1:4">
      <c r="A1343" s="12" t="s">
        <v>11</v>
      </c>
      <c r="B1343" s="13">
        <v>1</v>
      </c>
      <c r="C1343" s="14">
        <v>159</v>
      </c>
      <c r="D1343" s="14">
        <f t="shared" si="20"/>
        <v>159</v>
      </c>
    </row>
    <row r="1344" ht="15" spans="1:4">
      <c r="A1344" s="15" t="s">
        <v>71</v>
      </c>
      <c r="B1344" s="13">
        <v>1</v>
      </c>
      <c r="C1344" s="14">
        <v>8.3</v>
      </c>
      <c r="D1344" s="14">
        <f t="shared" si="20"/>
        <v>8.3</v>
      </c>
    </row>
    <row r="1345" ht="15" spans="1:4">
      <c r="A1345" s="12" t="s">
        <v>141</v>
      </c>
      <c r="B1345" s="13">
        <v>1</v>
      </c>
      <c r="C1345" s="14">
        <v>8.3</v>
      </c>
      <c r="D1345" s="14">
        <f t="shared" si="20"/>
        <v>8.3</v>
      </c>
    </row>
    <row r="1346" ht="15" spans="1:4">
      <c r="A1346" s="12" t="s">
        <v>28</v>
      </c>
      <c r="B1346" s="13">
        <v>1</v>
      </c>
      <c r="C1346" s="14">
        <v>0</v>
      </c>
      <c r="D1346" s="14">
        <f t="shared" si="20"/>
        <v>0</v>
      </c>
    </row>
    <row r="1347" ht="15" spans="1:4">
      <c r="A1347" s="12" t="s">
        <v>29</v>
      </c>
      <c r="B1347" s="13">
        <v>2</v>
      </c>
      <c r="C1347" s="14">
        <v>0</v>
      </c>
      <c r="D1347" s="14">
        <f t="shared" si="20"/>
        <v>0</v>
      </c>
    </row>
    <row r="1348" ht="15" spans="1:4">
      <c r="A1348" s="12" t="s">
        <v>37</v>
      </c>
      <c r="B1348" s="13">
        <v>4</v>
      </c>
      <c r="C1348" s="14">
        <v>16.5</v>
      </c>
      <c r="D1348" s="14">
        <f t="shared" si="20"/>
        <v>66</v>
      </c>
    </row>
    <row r="1349" ht="15" spans="1:4">
      <c r="A1349" s="12" t="s">
        <v>43</v>
      </c>
      <c r="B1349" s="13">
        <v>2</v>
      </c>
      <c r="C1349" s="14">
        <v>16.5</v>
      </c>
      <c r="D1349" s="14">
        <f t="shared" si="20"/>
        <v>33</v>
      </c>
    </row>
    <row r="1350" ht="15" spans="1:4">
      <c r="A1350" s="12" t="s">
        <v>44</v>
      </c>
      <c r="B1350" s="13">
        <v>1</v>
      </c>
      <c r="C1350" s="14">
        <v>16.5</v>
      </c>
      <c r="D1350" s="14">
        <f t="shared" si="20"/>
        <v>16.5</v>
      </c>
    </row>
    <row r="1351" ht="15" spans="1:4">
      <c r="A1351" s="12" t="s">
        <v>47</v>
      </c>
      <c r="B1351" s="13">
        <v>6</v>
      </c>
      <c r="C1351" s="14">
        <v>22</v>
      </c>
      <c r="D1351" s="14">
        <f t="shared" ref="D1351:D1414" si="21">C1351*B1351</f>
        <v>132</v>
      </c>
    </row>
    <row r="1352" ht="15" spans="1:4">
      <c r="A1352" s="12" t="s">
        <v>59</v>
      </c>
      <c r="B1352" s="13">
        <v>1</v>
      </c>
      <c r="C1352" s="14">
        <v>71</v>
      </c>
      <c r="D1352" s="14">
        <f t="shared" si="21"/>
        <v>71</v>
      </c>
    </row>
    <row r="1353" ht="15" spans="1:4">
      <c r="A1353" s="12" t="s">
        <v>55</v>
      </c>
      <c r="B1353" s="13">
        <v>2</v>
      </c>
      <c r="C1353" s="14">
        <v>197.5</v>
      </c>
      <c r="D1353" s="14">
        <f t="shared" si="21"/>
        <v>395</v>
      </c>
    </row>
    <row r="1354" ht="15" spans="1:4">
      <c r="A1354" s="12" t="s">
        <v>60</v>
      </c>
      <c r="B1354" s="13">
        <v>1</v>
      </c>
      <c r="C1354" s="14">
        <v>131.5</v>
      </c>
      <c r="D1354" s="14">
        <f t="shared" si="21"/>
        <v>131.5</v>
      </c>
    </row>
    <row r="1355" ht="15" spans="1:4">
      <c r="A1355" s="12" t="s">
        <v>163</v>
      </c>
      <c r="B1355" s="13">
        <v>1</v>
      </c>
      <c r="C1355" s="14">
        <v>55</v>
      </c>
      <c r="D1355" s="14">
        <f t="shared" si="21"/>
        <v>55</v>
      </c>
    </row>
    <row r="1356" ht="15" spans="1:4">
      <c r="A1356" s="12" t="s">
        <v>53</v>
      </c>
      <c r="B1356" s="13">
        <v>1</v>
      </c>
      <c r="C1356" s="14">
        <v>170</v>
      </c>
      <c r="D1356" s="14">
        <f t="shared" si="21"/>
        <v>170</v>
      </c>
    </row>
    <row r="1357" ht="15" spans="1:4">
      <c r="A1357" s="12" t="s">
        <v>221</v>
      </c>
      <c r="B1357" s="13">
        <v>1</v>
      </c>
      <c r="C1357" s="14">
        <v>8.3</v>
      </c>
      <c r="D1357" s="14">
        <f t="shared" si="21"/>
        <v>8.3</v>
      </c>
    </row>
    <row r="1358" ht="15" spans="1:4">
      <c r="A1358" s="12" t="s">
        <v>19</v>
      </c>
      <c r="B1358" s="13">
        <v>1</v>
      </c>
      <c r="C1358" s="14">
        <v>13.3</v>
      </c>
      <c r="D1358" s="14">
        <f t="shared" si="21"/>
        <v>13.3</v>
      </c>
    </row>
    <row r="1359" ht="15" spans="1:4">
      <c r="A1359" s="12" t="s">
        <v>141</v>
      </c>
      <c r="B1359" s="13">
        <v>1</v>
      </c>
      <c r="C1359" s="14">
        <v>8.3</v>
      </c>
      <c r="D1359" s="14">
        <f t="shared" si="21"/>
        <v>8.3</v>
      </c>
    </row>
    <row r="1360" ht="15" spans="1:4">
      <c r="A1360" s="12" t="s">
        <v>28</v>
      </c>
      <c r="B1360" s="13">
        <v>1</v>
      </c>
      <c r="C1360" s="14">
        <v>0</v>
      </c>
      <c r="D1360" s="14">
        <f t="shared" si="21"/>
        <v>0</v>
      </c>
    </row>
    <row r="1361" ht="15" spans="1:4">
      <c r="A1361" s="12" t="s">
        <v>29</v>
      </c>
      <c r="B1361" s="13">
        <v>1</v>
      </c>
      <c r="C1361" s="14">
        <v>0</v>
      </c>
      <c r="D1361" s="14">
        <f t="shared" si="21"/>
        <v>0</v>
      </c>
    </row>
    <row r="1362" ht="15" spans="1:4">
      <c r="A1362" s="12" t="s">
        <v>275</v>
      </c>
      <c r="B1362" s="13">
        <v>1</v>
      </c>
      <c r="C1362" s="14">
        <v>324.5</v>
      </c>
      <c r="D1362" s="14">
        <f t="shared" si="21"/>
        <v>324.5</v>
      </c>
    </row>
    <row r="1363" ht="15" spans="1:4">
      <c r="A1363" s="12" t="s">
        <v>54</v>
      </c>
      <c r="B1363" s="13">
        <v>1</v>
      </c>
      <c r="C1363" s="14">
        <v>12.2</v>
      </c>
      <c r="D1363" s="14">
        <f t="shared" si="21"/>
        <v>12.2</v>
      </c>
    </row>
    <row r="1364" ht="15" spans="1:4">
      <c r="A1364" s="12" t="s">
        <v>88</v>
      </c>
      <c r="B1364" s="13">
        <v>1</v>
      </c>
      <c r="C1364" s="14">
        <v>16.5</v>
      </c>
      <c r="D1364" s="14">
        <f t="shared" si="21"/>
        <v>16.5</v>
      </c>
    </row>
    <row r="1365" ht="15" spans="1:4">
      <c r="A1365" s="12" t="s">
        <v>41</v>
      </c>
      <c r="B1365" s="13">
        <v>1</v>
      </c>
      <c r="C1365" s="14">
        <v>27.5</v>
      </c>
      <c r="D1365" s="14">
        <f t="shared" si="21"/>
        <v>27.5</v>
      </c>
    </row>
    <row r="1366" ht="15" spans="1:4">
      <c r="A1366" s="12" t="s">
        <v>47</v>
      </c>
      <c r="B1366" s="13">
        <v>6</v>
      </c>
      <c r="C1366" s="14">
        <v>22</v>
      </c>
      <c r="D1366" s="14">
        <f t="shared" si="21"/>
        <v>132</v>
      </c>
    </row>
    <row r="1367" ht="15" spans="1:4">
      <c r="A1367" s="12" t="s">
        <v>91</v>
      </c>
      <c r="B1367" s="13">
        <v>1</v>
      </c>
      <c r="C1367" s="14">
        <v>16.5</v>
      </c>
      <c r="D1367" s="14">
        <f t="shared" si="21"/>
        <v>16.5</v>
      </c>
    </row>
    <row r="1368" ht="15" spans="1:4">
      <c r="A1368" s="12" t="s">
        <v>9</v>
      </c>
      <c r="B1368" s="13">
        <v>1</v>
      </c>
      <c r="C1368" s="14">
        <v>126.5</v>
      </c>
      <c r="D1368" s="14">
        <f t="shared" si="21"/>
        <v>126.5</v>
      </c>
    </row>
    <row r="1369" ht="15" spans="1:4">
      <c r="A1369" s="12" t="s">
        <v>59</v>
      </c>
      <c r="B1369" s="13">
        <v>1</v>
      </c>
      <c r="C1369" s="14">
        <v>71</v>
      </c>
      <c r="D1369" s="14">
        <f t="shared" si="21"/>
        <v>71</v>
      </c>
    </row>
    <row r="1370" ht="15" spans="1:4">
      <c r="A1370" s="12" t="s">
        <v>55</v>
      </c>
      <c r="B1370" s="13">
        <v>1</v>
      </c>
      <c r="C1370" s="14">
        <v>197.5</v>
      </c>
      <c r="D1370" s="14">
        <f t="shared" si="21"/>
        <v>197.5</v>
      </c>
    </row>
    <row r="1371" ht="15" spans="1:4">
      <c r="A1371" s="12" t="s">
        <v>10</v>
      </c>
      <c r="B1371" s="13">
        <v>1</v>
      </c>
      <c r="C1371" s="14">
        <v>159</v>
      </c>
      <c r="D1371" s="14">
        <f t="shared" si="21"/>
        <v>159</v>
      </c>
    </row>
    <row r="1372" ht="15" spans="1:4">
      <c r="A1372" s="12" t="s">
        <v>276</v>
      </c>
      <c r="B1372" s="13">
        <v>1</v>
      </c>
      <c r="C1372" s="14">
        <v>220</v>
      </c>
      <c r="D1372" s="14">
        <f t="shared" si="21"/>
        <v>220</v>
      </c>
    </row>
    <row r="1373" ht="15" spans="1:4">
      <c r="A1373" s="12" t="s">
        <v>37</v>
      </c>
      <c r="B1373" s="13">
        <v>4</v>
      </c>
      <c r="C1373" s="14">
        <v>16.5</v>
      </c>
      <c r="D1373" s="14">
        <f t="shared" si="21"/>
        <v>66</v>
      </c>
    </row>
    <row r="1374" ht="15" spans="1:4">
      <c r="A1374" s="12" t="s">
        <v>54</v>
      </c>
      <c r="B1374" s="13">
        <v>2</v>
      </c>
      <c r="C1374" s="14">
        <v>12.2</v>
      </c>
      <c r="D1374" s="14">
        <f t="shared" si="21"/>
        <v>24.4</v>
      </c>
    </row>
    <row r="1375" ht="15" spans="1:4">
      <c r="A1375" s="12" t="s">
        <v>43</v>
      </c>
      <c r="B1375" s="13">
        <v>3</v>
      </c>
      <c r="C1375" s="14">
        <v>16.5</v>
      </c>
      <c r="D1375" s="14">
        <f t="shared" si="21"/>
        <v>49.5</v>
      </c>
    </row>
    <row r="1376" ht="15" spans="1:4">
      <c r="A1376" s="12" t="s">
        <v>47</v>
      </c>
      <c r="B1376" s="13">
        <v>3</v>
      </c>
      <c r="C1376" s="14">
        <v>22</v>
      </c>
      <c r="D1376" s="14">
        <f t="shared" si="21"/>
        <v>66</v>
      </c>
    </row>
    <row r="1377" ht="15" spans="1:4">
      <c r="A1377" s="12" t="s">
        <v>9</v>
      </c>
      <c r="B1377" s="13">
        <v>1</v>
      </c>
      <c r="C1377" s="14">
        <v>126.5</v>
      </c>
      <c r="D1377" s="14">
        <f t="shared" si="21"/>
        <v>126.5</v>
      </c>
    </row>
    <row r="1378" ht="15" spans="1:4">
      <c r="A1378" s="12" t="s">
        <v>52</v>
      </c>
      <c r="B1378" s="13">
        <v>3</v>
      </c>
      <c r="C1378" s="14">
        <v>120.5</v>
      </c>
      <c r="D1378" s="14">
        <f t="shared" si="21"/>
        <v>361.5</v>
      </c>
    </row>
    <row r="1379" ht="15" spans="1:4">
      <c r="A1379" s="12" t="s">
        <v>56</v>
      </c>
      <c r="B1379" s="13">
        <v>1</v>
      </c>
      <c r="C1379" s="14">
        <v>115</v>
      </c>
      <c r="D1379" s="14">
        <f t="shared" si="21"/>
        <v>115</v>
      </c>
    </row>
    <row r="1380" ht="15" spans="1:4">
      <c r="A1380" s="12" t="s">
        <v>11</v>
      </c>
      <c r="B1380" s="13">
        <v>1</v>
      </c>
      <c r="C1380" s="14">
        <v>159</v>
      </c>
      <c r="D1380" s="14">
        <f t="shared" si="21"/>
        <v>159</v>
      </c>
    </row>
    <row r="1381" ht="15" spans="1:4">
      <c r="A1381" s="12" t="s">
        <v>53</v>
      </c>
      <c r="B1381" s="13">
        <v>1</v>
      </c>
      <c r="C1381" s="14">
        <v>170</v>
      </c>
      <c r="D1381" s="14">
        <f t="shared" si="21"/>
        <v>170</v>
      </c>
    </row>
    <row r="1382" ht="15" spans="1:4">
      <c r="A1382" s="12" t="s">
        <v>277</v>
      </c>
      <c r="B1382" s="13">
        <v>1</v>
      </c>
      <c r="C1382" s="14">
        <v>16.8</v>
      </c>
      <c r="D1382" s="14">
        <f t="shared" si="21"/>
        <v>16.8</v>
      </c>
    </row>
    <row r="1383" ht="15" spans="1:4">
      <c r="A1383" s="12" t="s">
        <v>223</v>
      </c>
      <c r="B1383" s="13">
        <v>1</v>
      </c>
      <c r="C1383" s="14">
        <v>13.8</v>
      </c>
      <c r="D1383" s="14">
        <f t="shared" si="21"/>
        <v>13.8</v>
      </c>
    </row>
    <row r="1384" ht="15" spans="1:4">
      <c r="A1384" s="12" t="s">
        <v>73</v>
      </c>
      <c r="B1384" s="13">
        <v>1</v>
      </c>
      <c r="C1384" s="14">
        <v>16.8</v>
      </c>
      <c r="D1384" s="14">
        <f t="shared" si="21"/>
        <v>16.8</v>
      </c>
    </row>
    <row r="1385" ht="15" spans="1:4">
      <c r="A1385" s="12" t="s">
        <v>74</v>
      </c>
      <c r="B1385" s="13">
        <v>5</v>
      </c>
      <c r="C1385" s="14">
        <v>22.3</v>
      </c>
      <c r="D1385" s="14">
        <f t="shared" si="21"/>
        <v>111.5</v>
      </c>
    </row>
    <row r="1386" ht="15" spans="1:4">
      <c r="A1386" s="12" t="s">
        <v>15</v>
      </c>
      <c r="B1386" s="13">
        <v>3</v>
      </c>
      <c r="C1386" s="14">
        <v>27.8</v>
      </c>
      <c r="D1386" s="14">
        <f t="shared" si="21"/>
        <v>83.4</v>
      </c>
    </row>
    <row r="1387" ht="15" spans="1:4">
      <c r="A1387" s="12" t="s">
        <v>152</v>
      </c>
      <c r="B1387" s="13">
        <v>2</v>
      </c>
      <c r="C1387" s="14">
        <v>33.3</v>
      </c>
      <c r="D1387" s="14">
        <f t="shared" si="21"/>
        <v>66.6</v>
      </c>
    </row>
    <row r="1388" ht="15" spans="1:4">
      <c r="A1388" s="12" t="s">
        <v>19</v>
      </c>
      <c r="B1388" s="13">
        <v>2</v>
      </c>
      <c r="C1388" s="14">
        <v>13.3</v>
      </c>
      <c r="D1388" s="14">
        <f t="shared" si="21"/>
        <v>26.6</v>
      </c>
    </row>
    <row r="1389" ht="15" spans="1:4">
      <c r="A1389" s="12" t="s">
        <v>278</v>
      </c>
      <c r="B1389" s="13">
        <v>2</v>
      </c>
      <c r="C1389" s="14">
        <v>8.3</v>
      </c>
      <c r="D1389" s="14">
        <f t="shared" si="21"/>
        <v>16.6</v>
      </c>
    </row>
    <row r="1390" ht="15" spans="1:4">
      <c r="A1390" s="12" t="s">
        <v>29</v>
      </c>
      <c r="B1390" s="13">
        <v>4</v>
      </c>
      <c r="C1390" s="14">
        <v>0</v>
      </c>
      <c r="D1390" s="14">
        <f t="shared" si="21"/>
        <v>0</v>
      </c>
    </row>
    <row r="1391" ht="15" spans="1:4">
      <c r="A1391" s="12" t="s">
        <v>139</v>
      </c>
      <c r="B1391" s="13">
        <v>1</v>
      </c>
      <c r="C1391" s="14">
        <v>50</v>
      </c>
      <c r="D1391" s="14">
        <f t="shared" si="21"/>
        <v>50</v>
      </c>
    </row>
    <row r="1392" ht="15" spans="1:4">
      <c r="A1392" s="12" t="s">
        <v>155</v>
      </c>
      <c r="B1392" s="13">
        <v>1</v>
      </c>
      <c r="C1392" s="14">
        <v>50</v>
      </c>
      <c r="D1392" s="14">
        <f t="shared" si="21"/>
        <v>50</v>
      </c>
    </row>
    <row r="1393" ht="15" spans="1:4">
      <c r="A1393" s="12" t="s">
        <v>145</v>
      </c>
      <c r="B1393" s="13">
        <v>1</v>
      </c>
      <c r="C1393" s="14">
        <v>66.5</v>
      </c>
      <c r="D1393" s="14">
        <f t="shared" si="21"/>
        <v>66.5</v>
      </c>
    </row>
    <row r="1394" ht="15" spans="1:4">
      <c r="A1394" s="15" t="s">
        <v>249</v>
      </c>
      <c r="B1394" s="13">
        <v>1</v>
      </c>
      <c r="C1394" s="14">
        <v>148.5</v>
      </c>
      <c r="D1394" s="14">
        <f t="shared" si="21"/>
        <v>148.5</v>
      </c>
    </row>
    <row r="1395" ht="15" spans="1:4">
      <c r="A1395" s="12" t="s">
        <v>147</v>
      </c>
      <c r="B1395" s="13">
        <v>1</v>
      </c>
      <c r="C1395" s="14">
        <v>9.2</v>
      </c>
      <c r="D1395" s="14">
        <f t="shared" si="21"/>
        <v>9.2</v>
      </c>
    </row>
    <row r="1396" ht="15" spans="1:4">
      <c r="A1396" s="12" t="s">
        <v>37</v>
      </c>
      <c r="B1396" s="13">
        <v>3</v>
      </c>
      <c r="C1396" s="14">
        <v>16.5</v>
      </c>
      <c r="D1396" s="14">
        <f t="shared" si="21"/>
        <v>49.5</v>
      </c>
    </row>
    <row r="1397" ht="15" spans="1:4">
      <c r="A1397" s="12" t="s">
        <v>279</v>
      </c>
      <c r="B1397" s="13">
        <v>1</v>
      </c>
      <c r="C1397" s="14">
        <v>16.5</v>
      </c>
      <c r="D1397" s="14">
        <f t="shared" si="21"/>
        <v>16.5</v>
      </c>
    </row>
    <row r="1398" ht="15" spans="1:4">
      <c r="A1398" s="12" t="s">
        <v>280</v>
      </c>
      <c r="B1398" s="13">
        <v>2</v>
      </c>
      <c r="C1398" s="14">
        <v>16.5</v>
      </c>
      <c r="D1398" s="14">
        <f t="shared" si="21"/>
        <v>33</v>
      </c>
    </row>
    <row r="1399" ht="15" spans="1:4">
      <c r="A1399" s="12" t="s">
        <v>40</v>
      </c>
      <c r="B1399" s="13">
        <v>1</v>
      </c>
      <c r="C1399" s="14">
        <v>14.2</v>
      </c>
      <c r="D1399" s="14">
        <f t="shared" si="21"/>
        <v>14.2</v>
      </c>
    </row>
    <row r="1400" ht="15" spans="1:4">
      <c r="A1400" s="12" t="s">
        <v>281</v>
      </c>
      <c r="B1400" s="13">
        <v>1</v>
      </c>
      <c r="C1400" s="14">
        <v>17.7</v>
      </c>
      <c r="D1400" s="14">
        <f t="shared" si="21"/>
        <v>17.7</v>
      </c>
    </row>
    <row r="1401" ht="15" spans="1:4">
      <c r="A1401" s="12" t="s">
        <v>282</v>
      </c>
      <c r="B1401" s="13">
        <v>1</v>
      </c>
      <c r="C1401" s="14">
        <v>9.2</v>
      </c>
      <c r="D1401" s="14">
        <f t="shared" si="21"/>
        <v>9.2</v>
      </c>
    </row>
    <row r="1402" ht="15" spans="1:4">
      <c r="A1402" s="12" t="s">
        <v>88</v>
      </c>
      <c r="B1402" s="13">
        <v>1</v>
      </c>
      <c r="C1402" s="14">
        <v>16.5</v>
      </c>
      <c r="D1402" s="14">
        <f t="shared" si="21"/>
        <v>16.5</v>
      </c>
    </row>
    <row r="1403" ht="15" spans="1:4">
      <c r="A1403" s="12" t="s">
        <v>89</v>
      </c>
      <c r="B1403" s="13">
        <v>1</v>
      </c>
      <c r="C1403" s="14">
        <v>14.2</v>
      </c>
      <c r="D1403" s="14">
        <f t="shared" si="21"/>
        <v>14.2</v>
      </c>
    </row>
    <row r="1404" ht="15" spans="1:4">
      <c r="A1404" s="12" t="s">
        <v>42</v>
      </c>
      <c r="B1404" s="13">
        <v>1</v>
      </c>
      <c r="C1404" s="14">
        <v>17.7</v>
      </c>
      <c r="D1404" s="14">
        <f t="shared" si="21"/>
        <v>17.7</v>
      </c>
    </row>
    <row r="1405" ht="15" spans="1:4">
      <c r="A1405" s="12" t="s">
        <v>43</v>
      </c>
      <c r="B1405" s="13">
        <v>5</v>
      </c>
      <c r="C1405" s="14">
        <v>16.5</v>
      </c>
      <c r="D1405" s="14">
        <f t="shared" si="21"/>
        <v>82.5</v>
      </c>
    </row>
    <row r="1406" ht="15" spans="1:4">
      <c r="A1406" s="12" t="s">
        <v>44</v>
      </c>
      <c r="B1406" s="13">
        <v>2</v>
      </c>
      <c r="C1406" s="14">
        <v>16.5</v>
      </c>
      <c r="D1406" s="14">
        <f t="shared" si="21"/>
        <v>33</v>
      </c>
    </row>
    <row r="1407" ht="15" spans="1:4">
      <c r="A1407" s="12" t="s">
        <v>137</v>
      </c>
      <c r="B1407" s="13">
        <v>1</v>
      </c>
      <c r="C1407" s="14">
        <v>16.5</v>
      </c>
      <c r="D1407" s="14">
        <f t="shared" si="21"/>
        <v>16.5</v>
      </c>
    </row>
    <row r="1408" ht="15" spans="1:4">
      <c r="A1408" s="12" t="s">
        <v>125</v>
      </c>
      <c r="B1408" s="13">
        <v>1</v>
      </c>
      <c r="C1408" s="14">
        <v>17.2</v>
      </c>
      <c r="D1408" s="14">
        <f t="shared" si="21"/>
        <v>17.2</v>
      </c>
    </row>
    <row r="1409" ht="15" spans="1:4">
      <c r="A1409" s="12" t="s">
        <v>47</v>
      </c>
      <c r="B1409" s="13">
        <v>3</v>
      </c>
      <c r="C1409" s="14">
        <v>22</v>
      </c>
      <c r="D1409" s="14">
        <f t="shared" si="21"/>
        <v>66</v>
      </c>
    </row>
    <row r="1410" ht="15" spans="1:4">
      <c r="A1410" s="12" t="s">
        <v>251</v>
      </c>
      <c r="B1410" s="13">
        <v>1</v>
      </c>
      <c r="C1410" s="14">
        <v>110</v>
      </c>
      <c r="D1410" s="14">
        <f t="shared" si="21"/>
        <v>110</v>
      </c>
    </row>
    <row r="1411" ht="15" spans="1:4">
      <c r="A1411" s="12" t="s">
        <v>29</v>
      </c>
      <c r="B1411" s="13">
        <v>1</v>
      </c>
      <c r="C1411" s="14">
        <v>0</v>
      </c>
      <c r="D1411" s="14">
        <f t="shared" si="21"/>
        <v>0</v>
      </c>
    </row>
    <row r="1412" ht="15" spans="1:4">
      <c r="A1412" s="15" t="s">
        <v>255</v>
      </c>
      <c r="B1412" s="13">
        <v>1</v>
      </c>
      <c r="C1412" s="14">
        <v>28</v>
      </c>
      <c r="D1412" s="14">
        <f t="shared" si="21"/>
        <v>28</v>
      </c>
    </row>
    <row r="1413" ht="15" spans="1:4">
      <c r="A1413" s="12" t="s">
        <v>94</v>
      </c>
      <c r="B1413" s="13">
        <v>1</v>
      </c>
      <c r="C1413" s="14">
        <v>35</v>
      </c>
      <c r="D1413" s="14">
        <f t="shared" si="21"/>
        <v>35</v>
      </c>
    </row>
    <row r="1414" ht="15" spans="1:4">
      <c r="A1414" s="12" t="s">
        <v>95</v>
      </c>
      <c r="B1414" s="13">
        <v>2</v>
      </c>
      <c r="C1414" s="14">
        <v>35</v>
      </c>
      <c r="D1414" s="14">
        <f t="shared" si="21"/>
        <v>70</v>
      </c>
    </row>
    <row r="1415" ht="15" spans="1:4">
      <c r="A1415" s="12" t="s">
        <v>96</v>
      </c>
      <c r="B1415" s="13">
        <v>2</v>
      </c>
      <c r="C1415" s="14">
        <v>35</v>
      </c>
      <c r="D1415" s="14">
        <f t="shared" ref="D1415:D1478" si="22">C1415*B1415</f>
        <v>70</v>
      </c>
    </row>
    <row r="1416" ht="15" spans="1:4">
      <c r="A1416" s="12" t="s">
        <v>159</v>
      </c>
      <c r="B1416" s="13">
        <v>1</v>
      </c>
      <c r="C1416" s="14">
        <v>44</v>
      </c>
      <c r="D1416" s="14">
        <f t="shared" si="22"/>
        <v>44</v>
      </c>
    </row>
    <row r="1417" ht="15" spans="1:4">
      <c r="A1417" s="12" t="s">
        <v>98</v>
      </c>
      <c r="B1417" s="13">
        <v>1</v>
      </c>
      <c r="C1417" s="14">
        <v>35</v>
      </c>
      <c r="D1417" s="14">
        <f t="shared" si="22"/>
        <v>35</v>
      </c>
    </row>
    <row r="1418" ht="15" spans="1:4">
      <c r="A1418" s="15" t="s">
        <v>283</v>
      </c>
      <c r="B1418" s="13">
        <v>1</v>
      </c>
      <c r="C1418" s="14">
        <v>28</v>
      </c>
      <c r="D1418" s="14">
        <f t="shared" si="22"/>
        <v>28</v>
      </c>
    </row>
    <row r="1419" ht="15" spans="1:4">
      <c r="A1419" s="15" t="s">
        <v>99</v>
      </c>
      <c r="B1419" s="13">
        <v>1</v>
      </c>
      <c r="C1419" s="14">
        <v>28</v>
      </c>
      <c r="D1419" s="14">
        <f t="shared" si="22"/>
        <v>28</v>
      </c>
    </row>
    <row r="1420" ht="15" spans="1:4">
      <c r="A1420" s="15" t="s">
        <v>255</v>
      </c>
      <c r="B1420" s="13">
        <v>1</v>
      </c>
      <c r="C1420" s="14">
        <v>28</v>
      </c>
      <c r="D1420" s="14">
        <f t="shared" si="22"/>
        <v>28</v>
      </c>
    </row>
    <row r="1421" ht="15" spans="1:4">
      <c r="A1421" s="12" t="s">
        <v>95</v>
      </c>
      <c r="B1421" s="13">
        <v>1</v>
      </c>
      <c r="C1421" s="14">
        <v>35</v>
      </c>
      <c r="D1421" s="14">
        <f t="shared" si="22"/>
        <v>35</v>
      </c>
    </row>
    <row r="1422" ht="15" spans="1:4">
      <c r="A1422" s="12" t="s">
        <v>96</v>
      </c>
      <c r="B1422" s="13">
        <v>1</v>
      </c>
      <c r="C1422" s="14">
        <v>35</v>
      </c>
      <c r="D1422" s="14">
        <f t="shared" si="22"/>
        <v>35</v>
      </c>
    </row>
    <row r="1423" ht="15" spans="1:4">
      <c r="A1423" s="15" t="s">
        <v>99</v>
      </c>
      <c r="B1423" s="13">
        <v>1</v>
      </c>
      <c r="C1423" s="14">
        <v>28</v>
      </c>
      <c r="D1423" s="14">
        <f t="shared" si="22"/>
        <v>28</v>
      </c>
    </row>
    <row r="1424" ht="15" spans="1:4">
      <c r="A1424" s="12" t="s">
        <v>9</v>
      </c>
      <c r="B1424" s="13">
        <v>1</v>
      </c>
      <c r="C1424" s="14">
        <v>126.5</v>
      </c>
      <c r="D1424" s="14">
        <f t="shared" si="22"/>
        <v>126.5</v>
      </c>
    </row>
    <row r="1425" ht="15" spans="1:4">
      <c r="A1425" s="12" t="s">
        <v>52</v>
      </c>
      <c r="B1425" s="13">
        <v>1</v>
      </c>
      <c r="C1425" s="14">
        <v>120.5</v>
      </c>
      <c r="D1425" s="14">
        <f t="shared" si="22"/>
        <v>120.5</v>
      </c>
    </row>
    <row r="1426" ht="15" spans="1:4">
      <c r="A1426" s="12" t="s">
        <v>61</v>
      </c>
      <c r="B1426" s="13">
        <v>1</v>
      </c>
      <c r="C1426" s="14">
        <v>60.5</v>
      </c>
      <c r="D1426" s="14">
        <f t="shared" si="22"/>
        <v>60.5</v>
      </c>
    </row>
    <row r="1427" ht="15" spans="1:4">
      <c r="A1427" s="12" t="s">
        <v>138</v>
      </c>
      <c r="B1427" s="13">
        <v>1</v>
      </c>
      <c r="C1427" s="14">
        <v>49.5</v>
      </c>
      <c r="D1427" s="14">
        <f t="shared" si="22"/>
        <v>49.5</v>
      </c>
    </row>
    <row r="1428" ht="15" spans="1:4">
      <c r="A1428" s="12" t="s">
        <v>53</v>
      </c>
      <c r="B1428" s="13">
        <v>1</v>
      </c>
      <c r="C1428" s="14">
        <v>170</v>
      </c>
      <c r="D1428" s="14">
        <f t="shared" si="22"/>
        <v>170</v>
      </c>
    </row>
    <row r="1429" ht="15" spans="1:4">
      <c r="A1429" s="12" t="s">
        <v>141</v>
      </c>
      <c r="B1429" s="13">
        <v>1</v>
      </c>
      <c r="C1429" s="14">
        <v>8.3</v>
      </c>
      <c r="D1429" s="14">
        <f t="shared" si="22"/>
        <v>8.3</v>
      </c>
    </row>
    <row r="1430" ht="15" spans="1:4">
      <c r="A1430" s="12" t="s">
        <v>29</v>
      </c>
      <c r="B1430" s="13">
        <v>2</v>
      </c>
      <c r="C1430" s="14">
        <v>0</v>
      </c>
      <c r="D1430" s="14">
        <f t="shared" si="22"/>
        <v>0</v>
      </c>
    </row>
    <row r="1431" ht="15" spans="1:4">
      <c r="A1431" s="12" t="s">
        <v>139</v>
      </c>
      <c r="B1431" s="13">
        <v>1</v>
      </c>
      <c r="C1431" s="14">
        <v>50</v>
      </c>
      <c r="D1431" s="14">
        <f t="shared" si="22"/>
        <v>50</v>
      </c>
    </row>
    <row r="1432" ht="15" spans="1:4">
      <c r="A1432" s="15" t="s">
        <v>240</v>
      </c>
      <c r="B1432" s="13">
        <v>1</v>
      </c>
      <c r="C1432" s="14">
        <v>110</v>
      </c>
      <c r="D1432" s="14">
        <f t="shared" si="22"/>
        <v>110</v>
      </c>
    </row>
    <row r="1433" ht="15" spans="1:4">
      <c r="A1433" s="15" t="s">
        <v>241</v>
      </c>
      <c r="B1433" s="13">
        <v>1</v>
      </c>
      <c r="C1433" s="14">
        <v>148.5</v>
      </c>
      <c r="D1433" s="14">
        <f t="shared" si="22"/>
        <v>148.5</v>
      </c>
    </row>
    <row r="1434" ht="15" spans="1:4">
      <c r="A1434" s="12" t="s">
        <v>37</v>
      </c>
      <c r="B1434" s="13">
        <v>2</v>
      </c>
      <c r="C1434" s="14">
        <v>16.5</v>
      </c>
      <c r="D1434" s="14">
        <f t="shared" si="22"/>
        <v>33</v>
      </c>
    </row>
    <row r="1435" ht="15" spans="1:4">
      <c r="A1435" s="12" t="s">
        <v>40</v>
      </c>
      <c r="B1435" s="13">
        <v>1</v>
      </c>
      <c r="C1435" s="14">
        <v>14.2</v>
      </c>
      <c r="D1435" s="14">
        <f t="shared" si="22"/>
        <v>14.2</v>
      </c>
    </row>
    <row r="1436" ht="15" spans="1:4">
      <c r="A1436" s="12" t="s">
        <v>88</v>
      </c>
      <c r="B1436" s="13">
        <v>1</v>
      </c>
      <c r="C1436" s="14">
        <v>16.5</v>
      </c>
      <c r="D1436" s="14">
        <f t="shared" si="22"/>
        <v>16.5</v>
      </c>
    </row>
    <row r="1437" ht="15" spans="1:4">
      <c r="A1437" s="12" t="s">
        <v>42</v>
      </c>
      <c r="B1437" s="13">
        <v>1</v>
      </c>
      <c r="C1437" s="14">
        <v>17.7</v>
      </c>
      <c r="D1437" s="14">
        <f t="shared" si="22"/>
        <v>17.7</v>
      </c>
    </row>
    <row r="1438" ht="15" spans="1:4">
      <c r="A1438" s="12" t="s">
        <v>44</v>
      </c>
      <c r="B1438" s="13">
        <v>2</v>
      </c>
      <c r="C1438" s="14">
        <v>16.5</v>
      </c>
      <c r="D1438" s="14">
        <f t="shared" si="22"/>
        <v>33</v>
      </c>
    </row>
    <row r="1439" ht="15" spans="1:4">
      <c r="A1439" s="12" t="s">
        <v>47</v>
      </c>
      <c r="B1439" s="13">
        <v>2</v>
      </c>
      <c r="C1439" s="14">
        <v>22</v>
      </c>
      <c r="D1439" s="14">
        <f t="shared" si="22"/>
        <v>44</v>
      </c>
    </row>
    <row r="1440" ht="15" spans="1:4">
      <c r="A1440" s="12" t="s">
        <v>9</v>
      </c>
      <c r="B1440" s="13">
        <v>1</v>
      </c>
      <c r="C1440" s="14">
        <v>126.5</v>
      </c>
      <c r="D1440" s="14">
        <f t="shared" si="22"/>
        <v>126.5</v>
      </c>
    </row>
    <row r="1441" ht="15" spans="1:4">
      <c r="A1441" s="12" t="s">
        <v>55</v>
      </c>
      <c r="B1441" s="13">
        <v>4</v>
      </c>
      <c r="C1441" s="14">
        <v>197.5</v>
      </c>
      <c r="D1441" s="14">
        <f t="shared" si="22"/>
        <v>790</v>
      </c>
    </row>
    <row r="1442" ht="15" spans="1:4">
      <c r="A1442" s="12" t="s">
        <v>10</v>
      </c>
      <c r="B1442" s="13">
        <v>1</v>
      </c>
      <c r="C1442" s="14">
        <v>159</v>
      </c>
      <c r="D1442" s="14">
        <f t="shared" si="22"/>
        <v>159</v>
      </c>
    </row>
    <row r="1443" ht="15" spans="1:4">
      <c r="A1443" s="12" t="s">
        <v>60</v>
      </c>
      <c r="B1443" s="13">
        <v>4</v>
      </c>
      <c r="C1443" s="14">
        <v>131.5</v>
      </c>
      <c r="D1443" s="14">
        <f t="shared" si="22"/>
        <v>526</v>
      </c>
    </row>
    <row r="1444" ht="15" spans="1:4">
      <c r="A1444" s="12" t="s">
        <v>110</v>
      </c>
      <c r="B1444" s="13">
        <v>1</v>
      </c>
      <c r="C1444" s="14">
        <v>82</v>
      </c>
      <c r="D1444" s="14">
        <f t="shared" si="22"/>
        <v>82</v>
      </c>
    </row>
    <row r="1445" ht="15" spans="1:4">
      <c r="A1445" s="12" t="s">
        <v>58</v>
      </c>
      <c r="B1445" s="13">
        <v>3</v>
      </c>
      <c r="C1445" s="14">
        <v>104</v>
      </c>
      <c r="D1445" s="14">
        <f t="shared" si="22"/>
        <v>312</v>
      </c>
    </row>
    <row r="1446" ht="15" spans="1:4">
      <c r="A1446" s="12" t="s">
        <v>196</v>
      </c>
      <c r="B1446" s="13">
        <v>1</v>
      </c>
      <c r="C1446" s="14">
        <v>126</v>
      </c>
      <c r="D1446" s="14">
        <f t="shared" si="22"/>
        <v>126</v>
      </c>
    </row>
    <row r="1447" ht="15" spans="1:4">
      <c r="A1447" s="12" t="s">
        <v>11</v>
      </c>
      <c r="B1447" s="13">
        <v>3</v>
      </c>
      <c r="C1447" s="14">
        <v>159</v>
      </c>
      <c r="D1447" s="14">
        <f t="shared" si="22"/>
        <v>477</v>
      </c>
    </row>
    <row r="1448" ht="15" spans="1:4">
      <c r="A1448" s="12" t="s">
        <v>53</v>
      </c>
      <c r="B1448" s="13">
        <v>1</v>
      </c>
      <c r="C1448" s="14">
        <v>170</v>
      </c>
      <c r="D1448" s="14">
        <f t="shared" si="22"/>
        <v>170</v>
      </c>
    </row>
    <row r="1449" ht="15" spans="1:4">
      <c r="A1449" s="12" t="s">
        <v>14</v>
      </c>
      <c r="B1449" s="13">
        <v>1</v>
      </c>
      <c r="C1449" s="14">
        <v>8.3</v>
      </c>
      <c r="D1449" s="14">
        <f t="shared" si="22"/>
        <v>8.3</v>
      </c>
    </row>
    <row r="1450" ht="15" spans="1:4">
      <c r="A1450" s="12" t="s">
        <v>284</v>
      </c>
      <c r="B1450" s="13">
        <v>8</v>
      </c>
      <c r="C1450" s="14">
        <v>8.3</v>
      </c>
      <c r="D1450" s="14">
        <f t="shared" si="22"/>
        <v>66.4</v>
      </c>
    </row>
    <row r="1451" ht="15" spans="1:4">
      <c r="A1451" s="12" t="s">
        <v>19</v>
      </c>
      <c r="B1451" s="13">
        <v>1</v>
      </c>
      <c r="C1451" s="14">
        <v>13.3</v>
      </c>
      <c r="D1451" s="14">
        <f t="shared" si="22"/>
        <v>13.3</v>
      </c>
    </row>
    <row r="1452" ht="15" spans="1:4">
      <c r="A1452" s="12" t="s">
        <v>26</v>
      </c>
      <c r="B1452" s="13">
        <v>1</v>
      </c>
      <c r="C1452" s="14">
        <v>13.8</v>
      </c>
      <c r="D1452" s="14">
        <f t="shared" si="22"/>
        <v>13.8</v>
      </c>
    </row>
    <row r="1453" ht="15" spans="1:4">
      <c r="A1453" s="12" t="s">
        <v>28</v>
      </c>
      <c r="B1453" s="13">
        <v>1</v>
      </c>
      <c r="C1453" s="14">
        <v>0</v>
      </c>
      <c r="D1453" s="14">
        <f t="shared" si="22"/>
        <v>0</v>
      </c>
    </row>
    <row r="1454" ht="15" spans="1:4">
      <c r="A1454" s="12" t="s">
        <v>29</v>
      </c>
      <c r="B1454" s="13">
        <v>3</v>
      </c>
      <c r="C1454" s="14">
        <v>0</v>
      </c>
      <c r="D1454" s="14">
        <f t="shared" si="22"/>
        <v>0</v>
      </c>
    </row>
    <row r="1455" ht="15" spans="1:4">
      <c r="A1455" s="12" t="s">
        <v>158</v>
      </c>
      <c r="B1455" s="13">
        <v>1</v>
      </c>
      <c r="C1455" s="14">
        <v>16.5</v>
      </c>
      <c r="D1455" s="14">
        <f t="shared" si="22"/>
        <v>16.5</v>
      </c>
    </row>
    <row r="1456" ht="15" spans="1:4">
      <c r="A1456" s="12" t="s">
        <v>136</v>
      </c>
      <c r="B1456" s="13">
        <v>1</v>
      </c>
      <c r="C1456" s="14">
        <v>17.7</v>
      </c>
      <c r="D1456" s="14">
        <f t="shared" si="22"/>
        <v>17.7</v>
      </c>
    </row>
    <row r="1457" ht="15" spans="1:4">
      <c r="A1457" s="12" t="s">
        <v>68</v>
      </c>
      <c r="B1457" s="13">
        <v>1</v>
      </c>
      <c r="C1457" s="14">
        <v>17.2</v>
      </c>
      <c r="D1457" s="14">
        <f t="shared" si="22"/>
        <v>17.2</v>
      </c>
    </row>
    <row r="1458" ht="15" spans="1:4">
      <c r="A1458" s="12" t="s">
        <v>37</v>
      </c>
      <c r="B1458" s="13">
        <v>12</v>
      </c>
      <c r="C1458" s="14">
        <v>16.5</v>
      </c>
      <c r="D1458" s="14">
        <f t="shared" si="22"/>
        <v>198</v>
      </c>
    </row>
    <row r="1459" ht="15" spans="1:4">
      <c r="A1459" s="12" t="s">
        <v>40</v>
      </c>
      <c r="B1459" s="13">
        <v>3</v>
      </c>
      <c r="C1459" s="14">
        <v>14.2</v>
      </c>
      <c r="D1459" s="14">
        <f t="shared" si="22"/>
        <v>42.6</v>
      </c>
    </row>
    <row r="1460" ht="15" spans="1:4">
      <c r="A1460" s="12" t="s">
        <v>285</v>
      </c>
      <c r="B1460" s="13">
        <v>1</v>
      </c>
      <c r="C1460" s="14">
        <v>17.7</v>
      </c>
      <c r="D1460" s="14">
        <f t="shared" si="22"/>
        <v>17.7</v>
      </c>
    </row>
    <row r="1461" ht="15" spans="1:4">
      <c r="A1461" s="12" t="s">
        <v>41</v>
      </c>
      <c r="B1461" s="13">
        <v>2</v>
      </c>
      <c r="C1461" s="14">
        <v>27.5</v>
      </c>
      <c r="D1461" s="14">
        <f t="shared" si="22"/>
        <v>55</v>
      </c>
    </row>
    <row r="1462" ht="15" spans="1:4">
      <c r="A1462" s="12" t="s">
        <v>42</v>
      </c>
      <c r="B1462" s="13">
        <v>6</v>
      </c>
      <c r="C1462" s="14">
        <v>17.7</v>
      </c>
      <c r="D1462" s="14">
        <f t="shared" si="22"/>
        <v>106.2</v>
      </c>
    </row>
    <row r="1463" ht="15" spans="1:4">
      <c r="A1463" s="12" t="s">
        <v>43</v>
      </c>
      <c r="B1463" s="13">
        <v>6</v>
      </c>
      <c r="C1463" s="14">
        <v>16.5</v>
      </c>
      <c r="D1463" s="14">
        <f t="shared" si="22"/>
        <v>99</v>
      </c>
    </row>
    <row r="1464" ht="15" spans="1:4">
      <c r="A1464" s="12" t="s">
        <v>44</v>
      </c>
      <c r="B1464" s="13">
        <v>5</v>
      </c>
      <c r="C1464" s="14">
        <v>16.5</v>
      </c>
      <c r="D1464" s="14">
        <f t="shared" si="22"/>
        <v>82.5</v>
      </c>
    </row>
    <row r="1465" ht="15" spans="1:4">
      <c r="A1465" s="12" t="s">
        <v>286</v>
      </c>
      <c r="B1465" s="13">
        <v>1</v>
      </c>
      <c r="C1465" s="14">
        <v>38.5</v>
      </c>
      <c r="D1465" s="14">
        <f t="shared" si="22"/>
        <v>38.5</v>
      </c>
    </row>
    <row r="1466" ht="15" spans="1:4">
      <c r="A1466" s="12" t="s">
        <v>287</v>
      </c>
      <c r="B1466" s="13">
        <v>1</v>
      </c>
      <c r="C1466" s="14">
        <v>9.2</v>
      </c>
      <c r="D1466" s="14">
        <f t="shared" si="22"/>
        <v>9.2</v>
      </c>
    </row>
    <row r="1467" ht="15" spans="1:4">
      <c r="A1467" s="12" t="s">
        <v>47</v>
      </c>
      <c r="B1467" s="13">
        <v>20</v>
      </c>
      <c r="C1467" s="14">
        <v>22</v>
      </c>
      <c r="D1467" s="14">
        <f t="shared" si="22"/>
        <v>440</v>
      </c>
    </row>
    <row r="1468" ht="15" spans="1:4">
      <c r="A1468" s="12" t="s">
        <v>69</v>
      </c>
      <c r="B1468" s="13">
        <v>1</v>
      </c>
      <c r="C1468" s="14">
        <v>9.2</v>
      </c>
      <c r="D1468" s="14">
        <f t="shared" si="22"/>
        <v>9.2</v>
      </c>
    </row>
    <row r="1469" ht="15" spans="1:4">
      <c r="A1469" s="12" t="s">
        <v>108</v>
      </c>
      <c r="B1469" s="13">
        <v>1</v>
      </c>
      <c r="C1469" s="14">
        <v>12.2</v>
      </c>
      <c r="D1469" s="14">
        <f t="shared" si="22"/>
        <v>12.2</v>
      </c>
    </row>
    <row r="1470" ht="15" spans="1:4">
      <c r="A1470" s="12" t="s">
        <v>173</v>
      </c>
      <c r="B1470" s="13">
        <v>1</v>
      </c>
      <c r="C1470" s="14">
        <v>16.5</v>
      </c>
      <c r="D1470" s="14">
        <f t="shared" si="22"/>
        <v>16.5</v>
      </c>
    </row>
    <row r="1471" ht="15" spans="1:4">
      <c r="A1471" s="12" t="s">
        <v>55</v>
      </c>
      <c r="B1471" s="13">
        <v>1</v>
      </c>
      <c r="C1471" s="14">
        <v>197.5</v>
      </c>
      <c r="D1471" s="14">
        <f t="shared" si="22"/>
        <v>197.5</v>
      </c>
    </row>
    <row r="1472" ht="15" spans="1:4">
      <c r="A1472" s="12" t="s">
        <v>52</v>
      </c>
      <c r="B1472" s="13">
        <v>1</v>
      </c>
      <c r="C1472" s="14">
        <v>120.5</v>
      </c>
      <c r="D1472" s="14">
        <f t="shared" si="22"/>
        <v>120.5</v>
      </c>
    </row>
    <row r="1473" ht="15" spans="1:4">
      <c r="A1473" s="12" t="s">
        <v>53</v>
      </c>
      <c r="B1473" s="13">
        <v>1</v>
      </c>
      <c r="C1473" s="14">
        <v>170</v>
      </c>
      <c r="D1473" s="14">
        <f t="shared" si="22"/>
        <v>170</v>
      </c>
    </row>
    <row r="1474" ht="15" spans="1:4">
      <c r="A1474" s="12" t="s">
        <v>73</v>
      </c>
      <c r="B1474" s="13">
        <v>1</v>
      </c>
      <c r="C1474" s="14">
        <v>16.8</v>
      </c>
      <c r="D1474" s="14">
        <f t="shared" si="22"/>
        <v>16.8</v>
      </c>
    </row>
    <row r="1475" ht="15" spans="1:4">
      <c r="A1475" s="12" t="s">
        <v>74</v>
      </c>
      <c r="B1475" s="13">
        <v>1</v>
      </c>
      <c r="C1475" s="14">
        <v>22.3</v>
      </c>
      <c r="D1475" s="14">
        <f t="shared" si="22"/>
        <v>22.3</v>
      </c>
    </row>
    <row r="1476" ht="15" spans="1:4">
      <c r="A1476" s="12" t="s">
        <v>15</v>
      </c>
      <c r="B1476" s="13">
        <v>1</v>
      </c>
      <c r="C1476" s="14">
        <v>27.8</v>
      </c>
      <c r="D1476" s="14">
        <f t="shared" si="22"/>
        <v>27.8</v>
      </c>
    </row>
    <row r="1477" ht="15" spans="1:4">
      <c r="A1477" s="12" t="s">
        <v>284</v>
      </c>
      <c r="B1477" s="13">
        <v>4</v>
      </c>
      <c r="C1477" s="14">
        <v>8.3</v>
      </c>
      <c r="D1477" s="14">
        <f t="shared" si="22"/>
        <v>33.2</v>
      </c>
    </row>
    <row r="1478" ht="15" spans="1:4">
      <c r="A1478" s="12" t="s">
        <v>288</v>
      </c>
      <c r="B1478" s="13">
        <v>2</v>
      </c>
      <c r="C1478" s="14">
        <v>8.3</v>
      </c>
      <c r="D1478" s="14">
        <f t="shared" si="22"/>
        <v>16.6</v>
      </c>
    </row>
    <row r="1479" ht="15" spans="1:4">
      <c r="A1479" s="12" t="s">
        <v>289</v>
      </c>
      <c r="B1479" s="13">
        <v>1</v>
      </c>
      <c r="C1479" s="14">
        <v>13.8</v>
      </c>
      <c r="D1479" s="14">
        <f t="shared" ref="D1479:D1542" si="23">C1479*B1479</f>
        <v>13.8</v>
      </c>
    </row>
    <row r="1480" ht="15" spans="1:4">
      <c r="A1480" s="12" t="s">
        <v>290</v>
      </c>
      <c r="B1480" s="13">
        <v>1</v>
      </c>
      <c r="C1480" s="14">
        <v>16.8</v>
      </c>
      <c r="D1480" s="14">
        <f t="shared" si="23"/>
        <v>16.8</v>
      </c>
    </row>
    <row r="1481" ht="15" spans="1:4">
      <c r="A1481" s="12" t="s">
        <v>175</v>
      </c>
      <c r="B1481" s="13">
        <v>1</v>
      </c>
      <c r="C1481" s="14">
        <v>13.8</v>
      </c>
      <c r="D1481" s="14">
        <f t="shared" si="23"/>
        <v>13.8</v>
      </c>
    </row>
    <row r="1482" ht="15" spans="1:4">
      <c r="A1482" s="12" t="s">
        <v>291</v>
      </c>
      <c r="B1482" s="13">
        <v>1</v>
      </c>
      <c r="C1482" s="14">
        <v>27.8</v>
      </c>
      <c r="D1482" s="14">
        <f t="shared" si="23"/>
        <v>27.8</v>
      </c>
    </row>
    <row r="1483" ht="15" spans="1:4">
      <c r="A1483" s="12" t="s">
        <v>292</v>
      </c>
      <c r="B1483" s="13">
        <v>1</v>
      </c>
      <c r="C1483" s="14">
        <v>38.8</v>
      </c>
      <c r="D1483" s="14">
        <f t="shared" si="23"/>
        <v>38.8</v>
      </c>
    </row>
    <row r="1484" ht="15" spans="1:4">
      <c r="A1484" s="12" t="s">
        <v>19</v>
      </c>
      <c r="B1484" s="13">
        <v>5</v>
      </c>
      <c r="C1484" s="14">
        <v>13.3</v>
      </c>
      <c r="D1484" s="14">
        <f t="shared" si="23"/>
        <v>66.5</v>
      </c>
    </row>
    <row r="1485" ht="15" spans="1:4">
      <c r="A1485" s="12" t="s">
        <v>293</v>
      </c>
      <c r="B1485" s="13">
        <v>1</v>
      </c>
      <c r="C1485" s="14">
        <v>8.3</v>
      </c>
      <c r="D1485" s="14">
        <f t="shared" si="23"/>
        <v>8.3</v>
      </c>
    </row>
    <row r="1486" ht="15" spans="1:4">
      <c r="A1486" s="12" t="s">
        <v>294</v>
      </c>
      <c r="B1486" s="13">
        <v>1</v>
      </c>
      <c r="C1486" s="14">
        <v>16.8</v>
      </c>
      <c r="D1486" s="14">
        <f t="shared" si="23"/>
        <v>16.8</v>
      </c>
    </row>
    <row r="1487" ht="15" spans="1:4">
      <c r="A1487" s="12" t="s">
        <v>153</v>
      </c>
      <c r="B1487" s="13">
        <v>3</v>
      </c>
      <c r="C1487" s="14">
        <v>8.3</v>
      </c>
      <c r="D1487" s="14">
        <f t="shared" si="23"/>
        <v>24.9</v>
      </c>
    </row>
    <row r="1488" ht="15" spans="1:4">
      <c r="A1488" s="12" t="s">
        <v>28</v>
      </c>
      <c r="B1488" s="13">
        <v>2</v>
      </c>
      <c r="C1488" s="14">
        <v>0</v>
      </c>
      <c r="D1488" s="14">
        <f t="shared" si="23"/>
        <v>0</v>
      </c>
    </row>
    <row r="1489" ht="15" spans="1:4">
      <c r="A1489" s="12" t="s">
        <v>29</v>
      </c>
      <c r="B1489" s="13">
        <v>9</v>
      </c>
      <c r="C1489" s="14">
        <v>0</v>
      </c>
      <c r="D1489" s="14">
        <f t="shared" si="23"/>
        <v>0</v>
      </c>
    </row>
    <row r="1490" ht="15" spans="1:4">
      <c r="A1490" s="12" t="s">
        <v>139</v>
      </c>
      <c r="B1490" s="13">
        <v>1</v>
      </c>
      <c r="C1490" s="14">
        <v>50</v>
      </c>
      <c r="D1490" s="14">
        <f t="shared" si="23"/>
        <v>50</v>
      </c>
    </row>
    <row r="1491" ht="15" spans="1:4">
      <c r="A1491" s="12" t="s">
        <v>140</v>
      </c>
      <c r="B1491" s="13">
        <v>1</v>
      </c>
      <c r="C1491" s="14">
        <v>50</v>
      </c>
      <c r="D1491" s="14">
        <f t="shared" si="23"/>
        <v>50</v>
      </c>
    </row>
    <row r="1492" ht="15" spans="1:4">
      <c r="A1492" s="15" t="s">
        <v>240</v>
      </c>
      <c r="B1492" s="13">
        <v>1</v>
      </c>
      <c r="C1492" s="14">
        <v>110</v>
      </c>
      <c r="D1492" s="14">
        <f t="shared" si="23"/>
        <v>110</v>
      </c>
    </row>
    <row r="1493" ht="15" spans="1:4">
      <c r="A1493" s="15" t="s">
        <v>241</v>
      </c>
      <c r="B1493" s="13">
        <v>1</v>
      </c>
      <c r="C1493" s="14">
        <v>148.5</v>
      </c>
      <c r="D1493" s="14">
        <f t="shared" si="23"/>
        <v>148.5</v>
      </c>
    </row>
    <row r="1494" ht="15" spans="1:4">
      <c r="A1494" s="12" t="s">
        <v>36</v>
      </c>
      <c r="B1494" s="13">
        <v>1</v>
      </c>
      <c r="C1494" s="14">
        <v>126.5</v>
      </c>
      <c r="D1494" s="14">
        <f t="shared" si="23"/>
        <v>126.5</v>
      </c>
    </row>
    <row r="1495" ht="15" spans="1:4">
      <c r="A1495" s="12" t="s">
        <v>146</v>
      </c>
      <c r="B1495" s="13">
        <v>1</v>
      </c>
      <c r="C1495" s="14">
        <v>50</v>
      </c>
      <c r="D1495" s="14">
        <f t="shared" si="23"/>
        <v>50</v>
      </c>
    </row>
    <row r="1496" ht="15" spans="1:4">
      <c r="A1496" s="12" t="s">
        <v>37</v>
      </c>
      <c r="B1496" s="13">
        <v>2</v>
      </c>
      <c r="C1496" s="14">
        <v>16.5</v>
      </c>
      <c r="D1496" s="14">
        <f t="shared" si="23"/>
        <v>33</v>
      </c>
    </row>
    <row r="1497" ht="15" spans="1:4">
      <c r="A1497" s="12" t="s">
        <v>87</v>
      </c>
      <c r="B1497" s="13">
        <v>1</v>
      </c>
      <c r="C1497" s="14">
        <v>17.2</v>
      </c>
      <c r="D1497" s="14">
        <f t="shared" si="23"/>
        <v>17.2</v>
      </c>
    </row>
    <row r="1498" ht="15" spans="1:4">
      <c r="A1498" s="12" t="s">
        <v>217</v>
      </c>
      <c r="B1498" s="13">
        <v>1</v>
      </c>
      <c r="C1498" s="14">
        <v>12.2</v>
      </c>
      <c r="D1498" s="14">
        <f t="shared" si="23"/>
        <v>12.2</v>
      </c>
    </row>
    <row r="1499" ht="15" spans="1:4">
      <c r="A1499" s="12" t="s">
        <v>40</v>
      </c>
      <c r="B1499" s="13">
        <v>2</v>
      </c>
      <c r="C1499" s="14">
        <v>14.2</v>
      </c>
      <c r="D1499" s="14">
        <f t="shared" si="23"/>
        <v>28.4</v>
      </c>
    </row>
    <row r="1500" ht="15" spans="1:4">
      <c r="A1500" s="12" t="s">
        <v>88</v>
      </c>
      <c r="B1500" s="13">
        <v>1</v>
      </c>
      <c r="C1500" s="14">
        <v>16.5</v>
      </c>
      <c r="D1500" s="14">
        <f t="shared" si="23"/>
        <v>16.5</v>
      </c>
    </row>
    <row r="1501" ht="15" spans="1:4">
      <c r="A1501" s="12" t="s">
        <v>41</v>
      </c>
      <c r="B1501" s="13">
        <v>1</v>
      </c>
      <c r="C1501" s="14">
        <v>27.5</v>
      </c>
      <c r="D1501" s="14">
        <f t="shared" si="23"/>
        <v>27.5</v>
      </c>
    </row>
    <row r="1502" ht="15" spans="1:4">
      <c r="A1502" s="12" t="s">
        <v>42</v>
      </c>
      <c r="B1502" s="13">
        <v>2</v>
      </c>
      <c r="C1502" s="14">
        <v>17.7</v>
      </c>
      <c r="D1502" s="14">
        <f t="shared" si="23"/>
        <v>35.4</v>
      </c>
    </row>
    <row r="1503" ht="15" spans="1:4">
      <c r="A1503" s="12" t="s">
        <v>44</v>
      </c>
      <c r="B1503" s="13">
        <v>4</v>
      </c>
      <c r="C1503" s="14">
        <v>16.5</v>
      </c>
      <c r="D1503" s="14">
        <f t="shared" si="23"/>
        <v>66</v>
      </c>
    </row>
    <row r="1504" ht="15" spans="1:4">
      <c r="A1504" s="12" t="s">
        <v>47</v>
      </c>
      <c r="B1504" s="13">
        <v>2</v>
      </c>
      <c r="C1504" s="14">
        <v>22</v>
      </c>
      <c r="D1504" s="14">
        <f t="shared" si="23"/>
        <v>44</v>
      </c>
    </row>
    <row r="1505" ht="15" spans="1:4">
      <c r="A1505" s="12" t="s">
        <v>173</v>
      </c>
      <c r="B1505" s="13">
        <v>1</v>
      </c>
      <c r="C1505" s="14">
        <v>16.5</v>
      </c>
      <c r="D1505" s="14">
        <f t="shared" si="23"/>
        <v>16.5</v>
      </c>
    </row>
    <row r="1506" ht="15" spans="1:4">
      <c r="A1506" s="15" t="s">
        <v>255</v>
      </c>
      <c r="B1506" s="13">
        <v>1</v>
      </c>
      <c r="C1506" s="14">
        <v>28</v>
      </c>
      <c r="D1506" s="14">
        <f t="shared" si="23"/>
        <v>28</v>
      </c>
    </row>
    <row r="1507" ht="15" spans="1:4">
      <c r="A1507" s="12" t="s">
        <v>95</v>
      </c>
      <c r="B1507" s="13">
        <v>1</v>
      </c>
      <c r="C1507" s="14">
        <v>35</v>
      </c>
      <c r="D1507" s="14">
        <f t="shared" si="23"/>
        <v>35</v>
      </c>
    </row>
    <row r="1508" ht="15" spans="1:4">
      <c r="A1508" s="12" t="s">
        <v>96</v>
      </c>
      <c r="B1508" s="13">
        <v>1</v>
      </c>
      <c r="C1508" s="14">
        <v>35</v>
      </c>
      <c r="D1508" s="14">
        <f t="shared" si="23"/>
        <v>35</v>
      </c>
    </row>
    <row r="1509" ht="15" spans="1:4">
      <c r="A1509" s="12" t="s">
        <v>295</v>
      </c>
      <c r="B1509" s="13">
        <v>1</v>
      </c>
      <c r="C1509" s="14">
        <v>35</v>
      </c>
      <c r="D1509" s="14">
        <f t="shared" si="23"/>
        <v>35</v>
      </c>
    </row>
    <row r="1510" ht="15" spans="1:4">
      <c r="A1510" s="12" t="s">
        <v>296</v>
      </c>
      <c r="B1510" s="13">
        <v>1</v>
      </c>
      <c r="C1510" s="14">
        <v>66</v>
      </c>
      <c r="D1510" s="14">
        <f t="shared" si="23"/>
        <v>66</v>
      </c>
    </row>
    <row r="1511" ht="15" spans="1:4">
      <c r="A1511" s="15" t="s">
        <v>99</v>
      </c>
      <c r="B1511" s="13">
        <v>1</v>
      </c>
      <c r="C1511" s="14">
        <v>28</v>
      </c>
      <c r="D1511" s="14">
        <f t="shared" si="23"/>
        <v>28</v>
      </c>
    </row>
    <row r="1512" ht="15" spans="1:4">
      <c r="A1512" s="12" t="s">
        <v>11</v>
      </c>
      <c r="B1512" s="13">
        <v>1</v>
      </c>
      <c r="C1512" s="14">
        <v>159</v>
      </c>
      <c r="D1512" s="14">
        <f t="shared" si="23"/>
        <v>159</v>
      </c>
    </row>
    <row r="1513" ht="15" spans="1:4">
      <c r="A1513" s="12" t="s">
        <v>28</v>
      </c>
      <c r="B1513" s="13">
        <v>1</v>
      </c>
      <c r="C1513" s="14">
        <v>0</v>
      </c>
      <c r="D1513" s="14">
        <f t="shared" si="23"/>
        <v>0</v>
      </c>
    </row>
    <row r="1514" ht="15" spans="1:4">
      <c r="A1514" s="12" t="s">
        <v>37</v>
      </c>
      <c r="B1514" s="13">
        <v>1</v>
      </c>
      <c r="C1514" s="14">
        <v>16.5</v>
      </c>
      <c r="D1514" s="14">
        <f t="shared" si="23"/>
        <v>16.5</v>
      </c>
    </row>
    <row r="1515" ht="15" spans="1:4">
      <c r="A1515" s="12" t="s">
        <v>43</v>
      </c>
      <c r="B1515" s="13">
        <v>1</v>
      </c>
      <c r="C1515" s="14">
        <v>16.5</v>
      </c>
      <c r="D1515" s="14">
        <f t="shared" si="23"/>
        <v>16.5</v>
      </c>
    </row>
    <row r="1516" ht="15" spans="1:4">
      <c r="A1516" s="12" t="s">
        <v>47</v>
      </c>
      <c r="B1516" s="13">
        <v>1</v>
      </c>
      <c r="C1516" s="14">
        <v>22</v>
      </c>
      <c r="D1516" s="14">
        <f t="shared" si="23"/>
        <v>22</v>
      </c>
    </row>
    <row r="1517" ht="15" spans="1:4">
      <c r="A1517" s="12" t="s">
        <v>55</v>
      </c>
      <c r="B1517" s="13">
        <v>2</v>
      </c>
      <c r="C1517" s="14">
        <v>197.5</v>
      </c>
      <c r="D1517" s="14">
        <f t="shared" si="23"/>
        <v>395</v>
      </c>
    </row>
    <row r="1518" ht="15" spans="1:4">
      <c r="A1518" s="12" t="s">
        <v>10</v>
      </c>
      <c r="B1518" s="13">
        <v>1</v>
      </c>
      <c r="C1518" s="14">
        <v>159</v>
      </c>
      <c r="D1518" s="14">
        <f t="shared" si="23"/>
        <v>159</v>
      </c>
    </row>
    <row r="1519" ht="15" spans="1:4">
      <c r="A1519" s="12" t="s">
        <v>60</v>
      </c>
      <c r="B1519" s="13">
        <v>3</v>
      </c>
      <c r="C1519" s="14">
        <v>131.5</v>
      </c>
      <c r="D1519" s="14">
        <f t="shared" si="23"/>
        <v>394.5</v>
      </c>
    </row>
    <row r="1520" ht="15" spans="1:4">
      <c r="A1520" s="12" t="s">
        <v>56</v>
      </c>
      <c r="B1520" s="13">
        <v>1</v>
      </c>
      <c r="C1520" s="14">
        <v>115</v>
      </c>
      <c r="D1520" s="14">
        <f t="shared" si="23"/>
        <v>115</v>
      </c>
    </row>
    <row r="1521" ht="15" spans="1:4">
      <c r="A1521" s="12" t="s">
        <v>11</v>
      </c>
      <c r="B1521" s="13">
        <v>1</v>
      </c>
      <c r="C1521" s="14">
        <v>159</v>
      </c>
      <c r="D1521" s="14">
        <f t="shared" si="23"/>
        <v>159</v>
      </c>
    </row>
    <row r="1522" ht="15" spans="1:4">
      <c r="A1522" s="12" t="s">
        <v>62</v>
      </c>
      <c r="B1522" s="13">
        <v>1</v>
      </c>
      <c r="C1522" s="14">
        <v>88</v>
      </c>
      <c r="D1522" s="14">
        <f t="shared" si="23"/>
        <v>88</v>
      </c>
    </row>
    <row r="1523" ht="15" spans="1:4">
      <c r="A1523" s="12" t="s">
        <v>63</v>
      </c>
      <c r="B1523" s="13">
        <v>1</v>
      </c>
      <c r="C1523" s="14">
        <v>143</v>
      </c>
      <c r="D1523" s="14">
        <f t="shared" si="23"/>
        <v>143</v>
      </c>
    </row>
    <row r="1524" ht="15" spans="1:4">
      <c r="A1524" s="12" t="s">
        <v>157</v>
      </c>
      <c r="B1524" s="13">
        <v>1</v>
      </c>
      <c r="C1524" s="14">
        <v>253</v>
      </c>
      <c r="D1524" s="14">
        <f t="shared" si="23"/>
        <v>253</v>
      </c>
    </row>
    <row r="1525" ht="15" spans="1:4">
      <c r="A1525" s="12" t="s">
        <v>136</v>
      </c>
      <c r="B1525" s="13">
        <v>1</v>
      </c>
      <c r="C1525" s="14">
        <v>17.7</v>
      </c>
      <c r="D1525" s="14">
        <f t="shared" si="23"/>
        <v>17.7</v>
      </c>
    </row>
    <row r="1526" ht="15" spans="1:4">
      <c r="A1526" s="12" t="s">
        <v>37</v>
      </c>
      <c r="B1526" s="13">
        <v>5</v>
      </c>
      <c r="C1526" s="14">
        <v>16.5</v>
      </c>
      <c r="D1526" s="14">
        <f t="shared" si="23"/>
        <v>82.5</v>
      </c>
    </row>
    <row r="1527" ht="15" spans="1:4">
      <c r="A1527" s="12" t="s">
        <v>217</v>
      </c>
      <c r="B1527" s="13">
        <v>1</v>
      </c>
      <c r="C1527" s="14">
        <v>12.2</v>
      </c>
      <c r="D1527" s="14">
        <f t="shared" si="23"/>
        <v>12.2</v>
      </c>
    </row>
    <row r="1528" ht="15" spans="1:4">
      <c r="A1528" s="12" t="s">
        <v>88</v>
      </c>
      <c r="B1528" s="13">
        <v>2</v>
      </c>
      <c r="C1528" s="14">
        <v>16.5</v>
      </c>
      <c r="D1528" s="14">
        <f t="shared" si="23"/>
        <v>33</v>
      </c>
    </row>
    <row r="1529" ht="15" spans="1:4">
      <c r="A1529" s="12" t="s">
        <v>89</v>
      </c>
      <c r="B1529" s="13">
        <v>1</v>
      </c>
      <c r="C1529" s="14">
        <v>14.2</v>
      </c>
      <c r="D1529" s="14">
        <f t="shared" si="23"/>
        <v>14.2</v>
      </c>
    </row>
    <row r="1530" ht="15" spans="1:4">
      <c r="A1530" s="12" t="s">
        <v>297</v>
      </c>
      <c r="B1530" s="13">
        <v>1</v>
      </c>
      <c r="C1530" s="14">
        <v>38.5</v>
      </c>
      <c r="D1530" s="14">
        <f t="shared" si="23"/>
        <v>38.5</v>
      </c>
    </row>
    <row r="1531" ht="15" spans="1:4">
      <c r="A1531" s="12" t="s">
        <v>41</v>
      </c>
      <c r="B1531" s="13">
        <v>2</v>
      </c>
      <c r="C1531" s="14">
        <v>27.5</v>
      </c>
      <c r="D1531" s="14">
        <f t="shared" si="23"/>
        <v>55</v>
      </c>
    </row>
    <row r="1532" ht="15" spans="1:4">
      <c r="A1532" s="12" t="s">
        <v>42</v>
      </c>
      <c r="B1532" s="13">
        <v>1</v>
      </c>
      <c r="C1532" s="14">
        <v>17.7</v>
      </c>
      <c r="D1532" s="14">
        <f t="shared" si="23"/>
        <v>17.7</v>
      </c>
    </row>
    <row r="1533" ht="15" spans="1:4">
      <c r="A1533" s="12" t="s">
        <v>43</v>
      </c>
      <c r="B1533" s="13">
        <v>1</v>
      </c>
      <c r="C1533" s="14">
        <v>16.5</v>
      </c>
      <c r="D1533" s="14">
        <f t="shared" si="23"/>
        <v>16.5</v>
      </c>
    </row>
    <row r="1534" ht="15" spans="1:4">
      <c r="A1534" s="12" t="s">
        <v>47</v>
      </c>
      <c r="B1534" s="13">
        <v>7</v>
      </c>
      <c r="C1534" s="14">
        <v>22</v>
      </c>
      <c r="D1534" s="14">
        <f t="shared" si="23"/>
        <v>154</v>
      </c>
    </row>
    <row r="1535" ht="15" spans="1:4">
      <c r="A1535" s="12" t="s">
        <v>190</v>
      </c>
      <c r="B1535" s="13">
        <v>1</v>
      </c>
      <c r="C1535" s="14">
        <v>44</v>
      </c>
      <c r="D1535" s="14">
        <f t="shared" si="23"/>
        <v>44</v>
      </c>
    </row>
    <row r="1536" ht="15" spans="1:4">
      <c r="A1536" s="12" t="s">
        <v>298</v>
      </c>
      <c r="B1536" s="13">
        <v>1</v>
      </c>
      <c r="C1536" s="14">
        <v>9.2</v>
      </c>
      <c r="D1536" s="14">
        <f t="shared" si="23"/>
        <v>9.2</v>
      </c>
    </row>
    <row r="1537" ht="15" spans="1:4">
      <c r="A1537" s="12" t="s">
        <v>108</v>
      </c>
      <c r="B1537" s="13">
        <v>1</v>
      </c>
      <c r="C1537" s="14">
        <v>12.2</v>
      </c>
      <c r="D1537" s="14">
        <f t="shared" si="23"/>
        <v>12.2</v>
      </c>
    </row>
    <row r="1538" ht="15" spans="1:4">
      <c r="A1538" s="12" t="s">
        <v>299</v>
      </c>
      <c r="B1538" s="13">
        <v>1</v>
      </c>
      <c r="C1538" s="14">
        <v>16.5</v>
      </c>
      <c r="D1538" s="14">
        <f t="shared" si="23"/>
        <v>16.5</v>
      </c>
    </row>
    <row r="1539" ht="15" spans="1:4">
      <c r="A1539" s="12" t="s">
        <v>173</v>
      </c>
      <c r="B1539" s="13">
        <v>1</v>
      </c>
      <c r="C1539" s="14">
        <v>16.5</v>
      </c>
      <c r="D1539" s="14">
        <f t="shared" si="23"/>
        <v>16.5</v>
      </c>
    </row>
    <row r="1540" ht="15" spans="1:4">
      <c r="A1540" s="12" t="s">
        <v>43</v>
      </c>
      <c r="B1540" s="13">
        <v>1</v>
      </c>
      <c r="C1540" s="14">
        <v>16.5</v>
      </c>
      <c r="D1540" s="14">
        <f t="shared" si="23"/>
        <v>16.5</v>
      </c>
    </row>
    <row r="1541" ht="15" spans="1:4">
      <c r="A1541" s="12" t="s">
        <v>44</v>
      </c>
      <c r="B1541" s="13">
        <v>3</v>
      </c>
      <c r="C1541" s="14">
        <v>16.5</v>
      </c>
      <c r="D1541" s="14">
        <f t="shared" si="23"/>
        <v>49.5</v>
      </c>
    </row>
    <row r="1542" ht="15" spans="1:4">
      <c r="A1542" s="12" t="s">
        <v>58</v>
      </c>
      <c r="B1542" s="13">
        <v>1</v>
      </c>
      <c r="C1542" s="14">
        <v>104</v>
      </c>
      <c r="D1542" s="14">
        <f t="shared" si="23"/>
        <v>104</v>
      </c>
    </row>
    <row r="1543" ht="15" spans="1:4">
      <c r="A1543" s="12" t="s">
        <v>53</v>
      </c>
      <c r="B1543" s="13">
        <v>1</v>
      </c>
      <c r="C1543" s="14">
        <v>170</v>
      </c>
      <c r="D1543" s="14">
        <f t="shared" ref="D1543:D1606" si="24">C1543*B1543</f>
        <v>170</v>
      </c>
    </row>
    <row r="1544" ht="15" spans="1:4">
      <c r="A1544" s="12" t="s">
        <v>12</v>
      </c>
      <c r="B1544" s="13">
        <v>1</v>
      </c>
      <c r="C1544" s="14">
        <v>22.3</v>
      </c>
      <c r="D1544" s="14">
        <f t="shared" si="24"/>
        <v>22.3</v>
      </c>
    </row>
    <row r="1545" ht="15" spans="1:4">
      <c r="A1545" s="12" t="s">
        <v>73</v>
      </c>
      <c r="B1545" s="13">
        <v>1</v>
      </c>
      <c r="C1545" s="14">
        <v>16.8</v>
      </c>
      <c r="D1545" s="14">
        <f t="shared" si="24"/>
        <v>16.8</v>
      </c>
    </row>
    <row r="1546" ht="15" spans="1:4">
      <c r="A1546" s="12" t="s">
        <v>74</v>
      </c>
      <c r="B1546" s="13">
        <v>1</v>
      </c>
      <c r="C1546" s="14">
        <v>22.3</v>
      </c>
      <c r="D1546" s="14">
        <f t="shared" si="24"/>
        <v>22.3</v>
      </c>
    </row>
    <row r="1547" ht="15" spans="1:4">
      <c r="A1547" s="12" t="s">
        <v>19</v>
      </c>
      <c r="B1547" s="13">
        <v>1</v>
      </c>
      <c r="C1547" s="14">
        <v>13.3</v>
      </c>
      <c r="D1547" s="14">
        <f t="shared" si="24"/>
        <v>13.3</v>
      </c>
    </row>
    <row r="1548" ht="15" spans="1:4">
      <c r="A1548" s="12" t="s">
        <v>28</v>
      </c>
      <c r="B1548" s="13">
        <v>2</v>
      </c>
      <c r="C1548" s="14">
        <v>0</v>
      </c>
      <c r="D1548" s="14">
        <f t="shared" si="24"/>
        <v>0</v>
      </c>
    </row>
    <row r="1549" ht="15" spans="1:4">
      <c r="A1549" s="12" t="s">
        <v>29</v>
      </c>
      <c r="B1549" s="13">
        <v>3</v>
      </c>
      <c r="C1549" s="14">
        <v>0</v>
      </c>
      <c r="D1549" s="14">
        <f t="shared" si="24"/>
        <v>0</v>
      </c>
    </row>
    <row r="1550" ht="15" spans="1:4">
      <c r="A1550" s="12" t="s">
        <v>82</v>
      </c>
      <c r="B1550" s="13">
        <v>1</v>
      </c>
      <c r="C1550" s="14">
        <v>50</v>
      </c>
      <c r="D1550" s="14">
        <f t="shared" si="24"/>
        <v>50</v>
      </c>
    </row>
    <row r="1551" ht="15" spans="1:4">
      <c r="A1551" s="12" t="s">
        <v>118</v>
      </c>
      <c r="B1551" s="13">
        <v>1</v>
      </c>
      <c r="C1551" s="14">
        <v>77.5</v>
      </c>
      <c r="D1551" s="14">
        <f t="shared" si="24"/>
        <v>77.5</v>
      </c>
    </row>
    <row r="1552" ht="15" spans="1:4">
      <c r="A1552" s="12" t="s">
        <v>183</v>
      </c>
      <c r="B1552" s="13">
        <v>1</v>
      </c>
      <c r="C1552" s="14">
        <v>50</v>
      </c>
      <c r="D1552" s="14">
        <f t="shared" si="24"/>
        <v>50</v>
      </c>
    </row>
    <row r="1553" ht="15" spans="1:4">
      <c r="A1553" s="12" t="s">
        <v>300</v>
      </c>
      <c r="B1553" s="13">
        <v>1</v>
      </c>
      <c r="C1553" s="14">
        <v>82.5</v>
      </c>
      <c r="D1553" s="14">
        <f t="shared" si="24"/>
        <v>82.5</v>
      </c>
    </row>
    <row r="1554" ht="15" spans="1:4">
      <c r="A1554" s="15" t="s">
        <v>240</v>
      </c>
      <c r="B1554" s="13">
        <v>1</v>
      </c>
      <c r="C1554" s="14">
        <v>110</v>
      </c>
      <c r="D1554" s="14">
        <f t="shared" si="24"/>
        <v>110</v>
      </c>
    </row>
    <row r="1555" ht="15" spans="1:4">
      <c r="A1555" s="15" t="s">
        <v>241</v>
      </c>
      <c r="B1555" s="13">
        <v>1</v>
      </c>
      <c r="C1555" s="14">
        <v>148.5</v>
      </c>
      <c r="D1555" s="14">
        <f t="shared" si="24"/>
        <v>148.5</v>
      </c>
    </row>
    <row r="1556" ht="15" spans="1:4">
      <c r="A1556" s="12" t="s">
        <v>156</v>
      </c>
      <c r="B1556" s="13">
        <v>1</v>
      </c>
      <c r="C1556" s="14">
        <v>220</v>
      </c>
      <c r="D1556" s="14">
        <f t="shared" si="24"/>
        <v>220</v>
      </c>
    </row>
    <row r="1557" ht="15" spans="1:4">
      <c r="A1557" s="12" t="s">
        <v>37</v>
      </c>
      <c r="B1557" s="13">
        <v>2</v>
      </c>
      <c r="C1557" s="14">
        <v>16.5</v>
      </c>
      <c r="D1557" s="14">
        <f t="shared" si="24"/>
        <v>33</v>
      </c>
    </row>
    <row r="1558" ht="15" spans="1:4">
      <c r="A1558" s="12" t="s">
        <v>88</v>
      </c>
      <c r="B1558" s="13">
        <v>1</v>
      </c>
      <c r="C1558" s="14">
        <v>16.5</v>
      </c>
      <c r="D1558" s="14">
        <f t="shared" si="24"/>
        <v>16.5</v>
      </c>
    </row>
    <row r="1559" ht="15" spans="1:4">
      <c r="A1559" s="12" t="s">
        <v>43</v>
      </c>
      <c r="B1559" s="13">
        <v>2</v>
      </c>
      <c r="C1559" s="14">
        <v>16.5</v>
      </c>
      <c r="D1559" s="14">
        <f t="shared" si="24"/>
        <v>33</v>
      </c>
    </row>
    <row r="1560" ht="15" spans="1:4">
      <c r="A1560" s="12" t="s">
        <v>44</v>
      </c>
      <c r="B1560" s="13">
        <v>1</v>
      </c>
      <c r="C1560" s="14">
        <v>16.5</v>
      </c>
      <c r="D1560" s="14">
        <f t="shared" si="24"/>
        <v>16.5</v>
      </c>
    </row>
    <row r="1561" ht="15" spans="1:4">
      <c r="A1561" s="12" t="s">
        <v>47</v>
      </c>
      <c r="B1561" s="13">
        <v>2</v>
      </c>
      <c r="C1561" s="14">
        <v>22</v>
      </c>
      <c r="D1561" s="14">
        <f t="shared" si="24"/>
        <v>44</v>
      </c>
    </row>
    <row r="1562" ht="15" spans="1:4">
      <c r="A1562" s="12" t="s">
        <v>92</v>
      </c>
      <c r="B1562" s="13">
        <v>1</v>
      </c>
      <c r="C1562" s="14">
        <v>44</v>
      </c>
      <c r="D1562" s="14">
        <f t="shared" si="24"/>
        <v>44</v>
      </c>
    </row>
    <row r="1563" ht="15" spans="1:4">
      <c r="A1563" s="15" t="s">
        <v>255</v>
      </c>
      <c r="B1563" s="13">
        <v>1</v>
      </c>
      <c r="C1563" s="14">
        <v>28</v>
      </c>
      <c r="D1563" s="14">
        <f t="shared" si="24"/>
        <v>28</v>
      </c>
    </row>
    <row r="1564" ht="15" spans="1:4">
      <c r="A1564" s="12" t="s">
        <v>94</v>
      </c>
      <c r="B1564" s="13">
        <v>1</v>
      </c>
      <c r="C1564" s="14">
        <v>35</v>
      </c>
      <c r="D1564" s="14">
        <f t="shared" si="24"/>
        <v>35</v>
      </c>
    </row>
    <row r="1565" ht="15" spans="1:4">
      <c r="A1565" s="12" t="s">
        <v>95</v>
      </c>
      <c r="B1565" s="13">
        <v>2</v>
      </c>
      <c r="C1565" s="14">
        <v>35</v>
      </c>
      <c r="D1565" s="14">
        <f t="shared" si="24"/>
        <v>70</v>
      </c>
    </row>
    <row r="1566" ht="15" spans="1:4">
      <c r="A1566" s="12" t="s">
        <v>96</v>
      </c>
      <c r="B1566" s="13">
        <v>2</v>
      </c>
      <c r="C1566" s="14">
        <v>35</v>
      </c>
      <c r="D1566" s="14">
        <f t="shared" si="24"/>
        <v>70</v>
      </c>
    </row>
    <row r="1567" ht="15" spans="1:4">
      <c r="A1567" s="12" t="s">
        <v>159</v>
      </c>
      <c r="B1567" s="13">
        <v>1</v>
      </c>
      <c r="C1567" s="14">
        <v>44</v>
      </c>
      <c r="D1567" s="14">
        <f t="shared" si="24"/>
        <v>44</v>
      </c>
    </row>
    <row r="1568" ht="15" spans="1:4">
      <c r="A1568" s="12" t="s">
        <v>245</v>
      </c>
      <c r="B1568" s="13">
        <v>1</v>
      </c>
      <c r="C1568" s="14">
        <v>35</v>
      </c>
      <c r="D1568" s="14">
        <f t="shared" si="24"/>
        <v>35</v>
      </c>
    </row>
    <row r="1569" ht="15" spans="1:4">
      <c r="A1569" s="12" t="s">
        <v>98</v>
      </c>
      <c r="B1569" s="13">
        <v>1</v>
      </c>
      <c r="C1569" s="14">
        <v>35</v>
      </c>
      <c r="D1569" s="14">
        <f t="shared" si="24"/>
        <v>35</v>
      </c>
    </row>
    <row r="1570" ht="15" spans="1:4">
      <c r="A1570" s="15" t="s">
        <v>283</v>
      </c>
      <c r="B1570" s="13">
        <v>1</v>
      </c>
      <c r="C1570" s="14">
        <v>28</v>
      </c>
      <c r="D1570" s="14">
        <f t="shared" si="24"/>
        <v>28</v>
      </c>
    </row>
    <row r="1571" ht="15" spans="1:4">
      <c r="A1571" s="15" t="s">
        <v>99</v>
      </c>
      <c r="B1571" s="13">
        <v>1</v>
      </c>
      <c r="C1571" s="14">
        <v>28</v>
      </c>
      <c r="D1571" s="14">
        <f t="shared" si="24"/>
        <v>28</v>
      </c>
    </row>
    <row r="1572" ht="15" spans="1:4">
      <c r="A1572" s="12" t="s">
        <v>301</v>
      </c>
      <c r="B1572" s="13">
        <v>1</v>
      </c>
      <c r="C1572" s="14">
        <v>44</v>
      </c>
      <c r="D1572" s="14">
        <f t="shared" si="24"/>
        <v>44</v>
      </c>
    </row>
    <row r="1573" ht="15" spans="1:4">
      <c r="A1573" s="12" t="s">
        <v>59</v>
      </c>
      <c r="B1573" s="13">
        <v>1</v>
      </c>
      <c r="C1573" s="14">
        <v>71</v>
      </c>
      <c r="D1573" s="14">
        <f t="shared" si="24"/>
        <v>71</v>
      </c>
    </row>
    <row r="1574" ht="15" spans="1:4">
      <c r="A1574" s="12" t="s">
        <v>55</v>
      </c>
      <c r="B1574" s="13">
        <v>2</v>
      </c>
      <c r="C1574" s="14">
        <v>197.5</v>
      </c>
      <c r="D1574" s="14">
        <f t="shared" si="24"/>
        <v>395</v>
      </c>
    </row>
    <row r="1575" ht="15" spans="1:4">
      <c r="A1575" s="12" t="s">
        <v>52</v>
      </c>
      <c r="B1575" s="13">
        <v>1</v>
      </c>
      <c r="C1575" s="14">
        <v>120.5</v>
      </c>
      <c r="D1575" s="14">
        <f t="shared" si="24"/>
        <v>120.5</v>
      </c>
    </row>
    <row r="1576" ht="15" spans="1:4">
      <c r="A1576" s="12" t="s">
        <v>60</v>
      </c>
      <c r="B1576" s="13">
        <v>3</v>
      </c>
      <c r="C1576" s="14">
        <v>131.5</v>
      </c>
      <c r="D1576" s="14">
        <f t="shared" si="24"/>
        <v>394.5</v>
      </c>
    </row>
    <row r="1577" ht="15" spans="1:4">
      <c r="A1577" s="12" t="s">
        <v>56</v>
      </c>
      <c r="B1577" s="13">
        <v>1</v>
      </c>
      <c r="C1577" s="14">
        <v>115</v>
      </c>
      <c r="D1577" s="14">
        <f t="shared" si="24"/>
        <v>115</v>
      </c>
    </row>
    <row r="1578" ht="15" spans="1:4">
      <c r="A1578" s="12" t="s">
        <v>57</v>
      </c>
      <c r="B1578" s="13">
        <v>1</v>
      </c>
      <c r="C1578" s="14">
        <v>115</v>
      </c>
      <c r="D1578" s="14">
        <f t="shared" si="24"/>
        <v>115</v>
      </c>
    </row>
    <row r="1579" ht="15" spans="1:4">
      <c r="A1579" s="12" t="s">
        <v>61</v>
      </c>
      <c r="B1579" s="13">
        <v>1</v>
      </c>
      <c r="C1579" s="14">
        <v>60.5</v>
      </c>
      <c r="D1579" s="14">
        <f t="shared" si="24"/>
        <v>60.5</v>
      </c>
    </row>
    <row r="1580" ht="15" spans="1:4">
      <c r="A1580" s="12" t="s">
        <v>138</v>
      </c>
      <c r="B1580" s="13">
        <v>1</v>
      </c>
      <c r="C1580" s="14">
        <v>49.5</v>
      </c>
      <c r="D1580" s="14">
        <f t="shared" si="24"/>
        <v>49.5</v>
      </c>
    </row>
    <row r="1581" ht="15" spans="1:4">
      <c r="A1581" s="12" t="s">
        <v>11</v>
      </c>
      <c r="B1581" s="13">
        <v>2</v>
      </c>
      <c r="C1581" s="14">
        <v>159</v>
      </c>
      <c r="D1581" s="14">
        <f t="shared" si="24"/>
        <v>318</v>
      </c>
    </row>
    <row r="1582" ht="15" spans="1:4">
      <c r="A1582" s="12" t="s">
        <v>68</v>
      </c>
      <c r="B1582" s="13">
        <v>1</v>
      </c>
      <c r="C1582" s="14">
        <v>17.2</v>
      </c>
      <c r="D1582" s="14">
        <f t="shared" si="24"/>
        <v>17.2</v>
      </c>
    </row>
    <row r="1583" ht="15" spans="1:4">
      <c r="A1583" s="12" t="s">
        <v>37</v>
      </c>
      <c r="B1583" s="13">
        <v>6</v>
      </c>
      <c r="C1583" s="14">
        <v>16.5</v>
      </c>
      <c r="D1583" s="14">
        <f t="shared" si="24"/>
        <v>99</v>
      </c>
    </row>
    <row r="1584" ht="15" spans="1:4">
      <c r="A1584" s="12" t="s">
        <v>88</v>
      </c>
      <c r="B1584" s="13">
        <v>3</v>
      </c>
      <c r="C1584" s="14">
        <v>16.5</v>
      </c>
      <c r="D1584" s="14">
        <f t="shared" si="24"/>
        <v>49.5</v>
      </c>
    </row>
    <row r="1585" ht="15" spans="1:4">
      <c r="A1585" s="12" t="s">
        <v>89</v>
      </c>
      <c r="B1585" s="13">
        <v>2</v>
      </c>
      <c r="C1585" s="14">
        <v>14.2</v>
      </c>
      <c r="D1585" s="14">
        <f t="shared" si="24"/>
        <v>28.4</v>
      </c>
    </row>
    <row r="1586" ht="15" spans="1:4">
      <c r="A1586" s="12" t="s">
        <v>41</v>
      </c>
      <c r="B1586" s="13">
        <v>2</v>
      </c>
      <c r="C1586" s="14">
        <v>27.5</v>
      </c>
      <c r="D1586" s="14">
        <f t="shared" si="24"/>
        <v>55</v>
      </c>
    </row>
    <row r="1587" ht="15" spans="1:4">
      <c r="A1587" s="12" t="s">
        <v>42</v>
      </c>
      <c r="B1587" s="13">
        <v>3</v>
      </c>
      <c r="C1587" s="14">
        <v>17.7</v>
      </c>
      <c r="D1587" s="14">
        <f t="shared" si="24"/>
        <v>53.1</v>
      </c>
    </row>
    <row r="1588" ht="15" spans="1:4">
      <c r="A1588" s="12" t="s">
        <v>43</v>
      </c>
      <c r="B1588" s="13">
        <v>5</v>
      </c>
      <c r="C1588" s="14">
        <v>16.5</v>
      </c>
      <c r="D1588" s="14">
        <f t="shared" si="24"/>
        <v>82.5</v>
      </c>
    </row>
    <row r="1589" ht="15" spans="1:4">
      <c r="A1589" s="12" t="s">
        <v>47</v>
      </c>
      <c r="B1589" s="13">
        <v>10</v>
      </c>
      <c r="C1589" s="14">
        <v>22</v>
      </c>
      <c r="D1589" s="14">
        <f t="shared" si="24"/>
        <v>220</v>
      </c>
    </row>
    <row r="1590" ht="15" spans="1:4">
      <c r="A1590" s="12" t="s">
        <v>265</v>
      </c>
      <c r="B1590" s="13">
        <v>1</v>
      </c>
      <c r="C1590" s="14">
        <v>17.7</v>
      </c>
      <c r="D1590" s="14">
        <f t="shared" si="24"/>
        <v>17.7</v>
      </c>
    </row>
    <row r="1591" ht="15" spans="1:4">
      <c r="A1591" s="12" t="s">
        <v>9</v>
      </c>
      <c r="B1591" s="13">
        <v>1</v>
      </c>
      <c r="C1591" s="14">
        <v>126.5</v>
      </c>
      <c r="D1591" s="14">
        <f t="shared" si="24"/>
        <v>126.5</v>
      </c>
    </row>
    <row r="1592" ht="15" spans="1:4">
      <c r="A1592" s="12" t="s">
        <v>52</v>
      </c>
      <c r="B1592" s="13">
        <v>1</v>
      </c>
      <c r="C1592" s="14">
        <v>120.5</v>
      </c>
      <c r="D1592" s="14">
        <f t="shared" si="24"/>
        <v>120.5</v>
      </c>
    </row>
    <row r="1593" ht="15" spans="1:4">
      <c r="A1593" s="12" t="s">
        <v>10</v>
      </c>
      <c r="B1593" s="13">
        <v>1</v>
      </c>
      <c r="C1593" s="14">
        <v>159</v>
      </c>
      <c r="D1593" s="14">
        <f t="shared" si="24"/>
        <v>159</v>
      </c>
    </row>
    <row r="1594" ht="15" spans="1:4">
      <c r="A1594" s="12" t="s">
        <v>58</v>
      </c>
      <c r="B1594" s="13">
        <v>1</v>
      </c>
      <c r="C1594" s="14">
        <v>104</v>
      </c>
      <c r="D1594" s="14">
        <f t="shared" si="24"/>
        <v>104</v>
      </c>
    </row>
    <row r="1595" ht="15" spans="1:4">
      <c r="A1595" s="12" t="s">
        <v>19</v>
      </c>
      <c r="B1595" s="13">
        <v>5</v>
      </c>
      <c r="C1595" s="14">
        <v>13.3</v>
      </c>
      <c r="D1595" s="14">
        <f t="shared" si="24"/>
        <v>66.5</v>
      </c>
    </row>
    <row r="1596" ht="15" spans="1:4">
      <c r="A1596" s="12" t="s">
        <v>141</v>
      </c>
      <c r="B1596" s="13">
        <v>1</v>
      </c>
      <c r="C1596" s="14">
        <v>8.3</v>
      </c>
      <c r="D1596" s="14">
        <f t="shared" si="24"/>
        <v>8.3</v>
      </c>
    </row>
    <row r="1597" ht="15" spans="1:4">
      <c r="A1597" s="12" t="s">
        <v>302</v>
      </c>
      <c r="B1597" s="13">
        <v>1</v>
      </c>
      <c r="C1597" s="14">
        <v>8.3</v>
      </c>
      <c r="D1597" s="14">
        <f t="shared" si="24"/>
        <v>8.3</v>
      </c>
    </row>
    <row r="1598" ht="15" spans="1:4">
      <c r="A1598" s="12" t="s">
        <v>77</v>
      </c>
      <c r="B1598" s="13">
        <v>1</v>
      </c>
      <c r="C1598" s="14">
        <v>13.8</v>
      </c>
      <c r="D1598" s="14">
        <f t="shared" si="24"/>
        <v>13.8</v>
      </c>
    </row>
    <row r="1599" ht="15" spans="1:4">
      <c r="A1599" s="12" t="s">
        <v>21</v>
      </c>
      <c r="B1599" s="13">
        <v>1</v>
      </c>
      <c r="C1599" s="14">
        <v>13.8</v>
      </c>
      <c r="D1599" s="14">
        <f t="shared" si="24"/>
        <v>13.8</v>
      </c>
    </row>
    <row r="1600" ht="15" spans="1:4">
      <c r="A1600" s="12" t="s">
        <v>79</v>
      </c>
      <c r="B1600" s="13">
        <v>1</v>
      </c>
      <c r="C1600" s="14">
        <v>8.3</v>
      </c>
      <c r="D1600" s="14">
        <f t="shared" si="24"/>
        <v>8.3</v>
      </c>
    </row>
    <row r="1601" ht="15" spans="1:4">
      <c r="A1601" s="12" t="s">
        <v>28</v>
      </c>
      <c r="B1601" s="13">
        <v>6</v>
      </c>
      <c r="C1601" s="14">
        <v>0</v>
      </c>
      <c r="D1601" s="14">
        <f t="shared" si="24"/>
        <v>0</v>
      </c>
    </row>
    <row r="1602" ht="15" spans="1:4">
      <c r="A1602" s="12" t="s">
        <v>29</v>
      </c>
      <c r="B1602" s="13">
        <v>1</v>
      </c>
      <c r="C1602" s="14">
        <v>0</v>
      </c>
      <c r="D1602" s="14">
        <f t="shared" si="24"/>
        <v>0</v>
      </c>
    </row>
    <row r="1603" ht="15" spans="1:4">
      <c r="A1603" s="12" t="s">
        <v>139</v>
      </c>
      <c r="B1603" s="13">
        <v>1</v>
      </c>
      <c r="C1603" s="14">
        <v>50</v>
      </c>
      <c r="D1603" s="14">
        <f t="shared" si="24"/>
        <v>50</v>
      </c>
    </row>
    <row r="1604" ht="15" spans="1:4">
      <c r="A1604" s="12" t="s">
        <v>243</v>
      </c>
      <c r="B1604" s="13">
        <v>1</v>
      </c>
      <c r="C1604" s="14">
        <v>50</v>
      </c>
      <c r="D1604" s="14">
        <f t="shared" si="24"/>
        <v>50</v>
      </c>
    </row>
    <row r="1605" ht="15" spans="1:4">
      <c r="A1605" s="12" t="s">
        <v>132</v>
      </c>
      <c r="B1605" s="13">
        <v>1</v>
      </c>
      <c r="C1605" s="14">
        <v>50</v>
      </c>
      <c r="D1605" s="14">
        <f t="shared" si="24"/>
        <v>50</v>
      </c>
    </row>
    <row r="1606" ht="15" spans="1:4">
      <c r="A1606" s="12" t="s">
        <v>303</v>
      </c>
      <c r="B1606" s="13">
        <v>1</v>
      </c>
      <c r="C1606" s="14">
        <v>50</v>
      </c>
      <c r="D1606" s="14">
        <f t="shared" si="24"/>
        <v>50</v>
      </c>
    </row>
    <row r="1607" ht="15" spans="1:4">
      <c r="A1607" s="12" t="s">
        <v>304</v>
      </c>
      <c r="B1607" s="13">
        <v>1</v>
      </c>
      <c r="C1607" s="14">
        <v>66</v>
      </c>
      <c r="D1607" s="14">
        <f t="shared" ref="D1607:D1670" si="25">C1607*B1607</f>
        <v>66</v>
      </c>
    </row>
    <row r="1608" ht="15" spans="1:4">
      <c r="A1608" s="12" t="s">
        <v>305</v>
      </c>
      <c r="B1608" s="13">
        <v>1</v>
      </c>
      <c r="C1608" s="14">
        <v>82.5</v>
      </c>
      <c r="D1608" s="14">
        <f t="shared" si="25"/>
        <v>82.5</v>
      </c>
    </row>
    <row r="1609" ht="15" spans="1:4">
      <c r="A1609" s="12" t="s">
        <v>306</v>
      </c>
      <c r="B1609" s="13">
        <v>1</v>
      </c>
      <c r="C1609" s="14">
        <v>126.5</v>
      </c>
      <c r="D1609" s="14">
        <f t="shared" si="25"/>
        <v>126.5</v>
      </c>
    </row>
    <row r="1610" ht="15" spans="1:4">
      <c r="A1610" s="12" t="s">
        <v>306</v>
      </c>
      <c r="B1610" s="13">
        <v>1</v>
      </c>
      <c r="C1610" s="14">
        <v>126.5</v>
      </c>
      <c r="D1610" s="14">
        <f t="shared" si="25"/>
        <v>126.5</v>
      </c>
    </row>
    <row r="1611" ht="15" spans="1:4">
      <c r="A1611" s="12" t="s">
        <v>307</v>
      </c>
      <c r="B1611" s="13">
        <v>1</v>
      </c>
      <c r="C1611" s="14">
        <v>159.5</v>
      </c>
      <c r="D1611" s="14">
        <f t="shared" si="25"/>
        <v>159.5</v>
      </c>
    </row>
    <row r="1612" ht="15" spans="1:4">
      <c r="A1612" s="12" t="s">
        <v>37</v>
      </c>
      <c r="B1612" s="13">
        <v>2</v>
      </c>
      <c r="C1612" s="14">
        <v>16.5</v>
      </c>
      <c r="D1612" s="14">
        <f t="shared" si="25"/>
        <v>33</v>
      </c>
    </row>
    <row r="1613" ht="15" spans="1:4">
      <c r="A1613" s="12" t="s">
        <v>54</v>
      </c>
      <c r="B1613" s="13">
        <v>1</v>
      </c>
      <c r="C1613" s="14">
        <v>12.2</v>
      </c>
      <c r="D1613" s="14">
        <f t="shared" si="25"/>
        <v>12.2</v>
      </c>
    </row>
    <row r="1614" ht="15" spans="1:4">
      <c r="A1614" s="12" t="s">
        <v>43</v>
      </c>
      <c r="B1614" s="13">
        <v>2</v>
      </c>
      <c r="C1614" s="14">
        <v>16.5</v>
      </c>
      <c r="D1614" s="14">
        <f t="shared" si="25"/>
        <v>33</v>
      </c>
    </row>
    <row r="1615" ht="15" spans="1:4">
      <c r="A1615" s="12" t="s">
        <v>44</v>
      </c>
      <c r="B1615" s="13">
        <v>1</v>
      </c>
      <c r="C1615" s="14">
        <v>16.5</v>
      </c>
      <c r="D1615" s="14">
        <f t="shared" si="25"/>
        <v>16.5</v>
      </c>
    </row>
    <row r="1616" ht="15" spans="1:4">
      <c r="A1616" s="12" t="s">
        <v>47</v>
      </c>
      <c r="B1616" s="13">
        <v>4</v>
      </c>
      <c r="C1616" s="14">
        <v>22</v>
      </c>
      <c r="D1616" s="14">
        <f t="shared" si="25"/>
        <v>88</v>
      </c>
    </row>
    <row r="1617" ht="15" spans="1:4">
      <c r="A1617" s="12" t="s">
        <v>69</v>
      </c>
      <c r="B1617" s="13">
        <v>1</v>
      </c>
      <c r="C1617" s="14">
        <v>9.2</v>
      </c>
      <c r="D1617" s="14">
        <f t="shared" si="25"/>
        <v>9.2</v>
      </c>
    </row>
    <row r="1618" ht="15" spans="1:4">
      <c r="A1618" s="12" t="s">
        <v>94</v>
      </c>
      <c r="B1618" s="13">
        <v>2</v>
      </c>
      <c r="C1618" s="14">
        <v>35</v>
      </c>
      <c r="D1618" s="14">
        <f t="shared" si="25"/>
        <v>70</v>
      </c>
    </row>
    <row r="1619" ht="15" spans="1:4">
      <c r="A1619" s="12" t="s">
        <v>95</v>
      </c>
      <c r="B1619" s="13">
        <v>3</v>
      </c>
      <c r="C1619" s="14">
        <v>35</v>
      </c>
      <c r="D1619" s="14">
        <f t="shared" si="25"/>
        <v>105</v>
      </c>
    </row>
    <row r="1620" ht="15" spans="1:4">
      <c r="A1620" s="12" t="s">
        <v>96</v>
      </c>
      <c r="B1620" s="13">
        <v>2</v>
      </c>
      <c r="C1620" s="14">
        <v>35</v>
      </c>
      <c r="D1620" s="14">
        <f t="shared" si="25"/>
        <v>70</v>
      </c>
    </row>
    <row r="1621" ht="15" spans="1:4">
      <c r="A1621" s="12" t="s">
        <v>159</v>
      </c>
      <c r="B1621" s="13">
        <v>2</v>
      </c>
      <c r="C1621" s="14">
        <v>44</v>
      </c>
      <c r="D1621" s="14">
        <f t="shared" si="25"/>
        <v>88</v>
      </c>
    </row>
    <row r="1622" ht="15" spans="1:4">
      <c r="A1622" s="12" t="s">
        <v>308</v>
      </c>
      <c r="B1622" s="13">
        <v>1</v>
      </c>
      <c r="C1622" s="14">
        <v>66</v>
      </c>
      <c r="D1622" s="14">
        <f t="shared" si="25"/>
        <v>66</v>
      </c>
    </row>
    <row r="1623" ht="15" spans="1:4">
      <c r="A1623" s="12" t="s">
        <v>98</v>
      </c>
      <c r="B1623" s="13">
        <v>1</v>
      </c>
      <c r="C1623" s="14">
        <v>35</v>
      </c>
      <c r="D1623" s="14">
        <f t="shared" si="25"/>
        <v>35</v>
      </c>
    </row>
    <row r="1624" ht="15" spans="1:4">
      <c r="A1624" s="15" t="s">
        <v>283</v>
      </c>
      <c r="B1624" s="13">
        <v>1</v>
      </c>
      <c r="C1624" s="14">
        <v>28</v>
      </c>
      <c r="D1624" s="14">
        <f t="shared" si="25"/>
        <v>28</v>
      </c>
    </row>
    <row r="1625" ht="15" spans="1:4">
      <c r="A1625" s="15" t="s">
        <v>99</v>
      </c>
      <c r="B1625" s="13">
        <v>1</v>
      </c>
      <c r="C1625" s="14">
        <v>28</v>
      </c>
      <c r="D1625" s="14">
        <f t="shared" si="25"/>
        <v>28</v>
      </c>
    </row>
    <row r="1626" ht="15" spans="1:4">
      <c r="A1626" s="12" t="s">
        <v>101</v>
      </c>
      <c r="B1626" s="13">
        <v>1</v>
      </c>
      <c r="C1626" s="14">
        <v>35</v>
      </c>
      <c r="D1626" s="14">
        <f t="shared" si="25"/>
        <v>35</v>
      </c>
    </row>
    <row r="1627" ht="15" spans="1:4">
      <c r="A1627" s="12" t="s">
        <v>9</v>
      </c>
      <c r="B1627" s="13">
        <v>1</v>
      </c>
      <c r="C1627" s="14">
        <v>126.5</v>
      </c>
      <c r="D1627" s="14">
        <f t="shared" si="25"/>
        <v>126.5</v>
      </c>
    </row>
    <row r="1628" ht="15" spans="1:4">
      <c r="A1628" s="12" t="s">
        <v>59</v>
      </c>
      <c r="B1628" s="13">
        <v>1</v>
      </c>
      <c r="C1628" s="14">
        <v>71</v>
      </c>
      <c r="D1628" s="14">
        <f t="shared" si="25"/>
        <v>71</v>
      </c>
    </row>
    <row r="1629" ht="15" spans="1:4">
      <c r="A1629" s="12" t="s">
        <v>55</v>
      </c>
      <c r="B1629" s="13">
        <v>1</v>
      </c>
      <c r="C1629" s="14">
        <v>197.5</v>
      </c>
      <c r="D1629" s="14">
        <f t="shared" si="25"/>
        <v>197.5</v>
      </c>
    </row>
    <row r="1630" ht="15" spans="1:4">
      <c r="A1630" s="12" t="s">
        <v>60</v>
      </c>
      <c r="B1630" s="13">
        <v>2</v>
      </c>
      <c r="C1630" s="14">
        <v>131.5</v>
      </c>
      <c r="D1630" s="14">
        <f t="shared" si="25"/>
        <v>263</v>
      </c>
    </row>
    <row r="1631" ht="15" spans="1:4">
      <c r="A1631" s="12" t="s">
        <v>196</v>
      </c>
      <c r="B1631" s="13">
        <v>1</v>
      </c>
      <c r="C1631" s="14">
        <v>126</v>
      </c>
      <c r="D1631" s="14">
        <f t="shared" si="25"/>
        <v>126</v>
      </c>
    </row>
    <row r="1632" ht="15" spans="1:4">
      <c r="A1632" s="12" t="s">
        <v>11</v>
      </c>
      <c r="B1632" s="13">
        <v>2</v>
      </c>
      <c r="C1632" s="14">
        <v>159</v>
      </c>
      <c r="D1632" s="14">
        <f t="shared" si="25"/>
        <v>318</v>
      </c>
    </row>
    <row r="1633" ht="15" spans="1:4">
      <c r="A1633" s="12" t="s">
        <v>53</v>
      </c>
      <c r="B1633" s="13">
        <v>1</v>
      </c>
      <c r="C1633" s="14">
        <v>170</v>
      </c>
      <c r="D1633" s="14">
        <f t="shared" si="25"/>
        <v>170</v>
      </c>
    </row>
    <row r="1634" ht="15" spans="1:4">
      <c r="A1634" s="12" t="s">
        <v>19</v>
      </c>
      <c r="B1634" s="13">
        <v>1</v>
      </c>
      <c r="C1634" s="14">
        <v>13.3</v>
      </c>
      <c r="D1634" s="14">
        <f t="shared" si="25"/>
        <v>13.3</v>
      </c>
    </row>
    <row r="1635" ht="15" spans="1:4">
      <c r="A1635" s="12" t="s">
        <v>29</v>
      </c>
      <c r="B1635" s="13">
        <v>5</v>
      </c>
      <c r="C1635" s="14">
        <v>0</v>
      </c>
      <c r="D1635" s="14">
        <f t="shared" si="25"/>
        <v>0</v>
      </c>
    </row>
    <row r="1636" ht="15" spans="1:4">
      <c r="A1636" s="12" t="s">
        <v>80</v>
      </c>
      <c r="B1636" s="13">
        <v>1</v>
      </c>
      <c r="C1636" s="14">
        <v>50</v>
      </c>
      <c r="D1636" s="14">
        <f t="shared" si="25"/>
        <v>50</v>
      </c>
    </row>
    <row r="1637" ht="15" spans="1:4">
      <c r="A1637" s="12" t="s">
        <v>140</v>
      </c>
      <c r="B1637" s="13">
        <v>1</v>
      </c>
      <c r="C1637" s="14">
        <v>50</v>
      </c>
      <c r="D1637" s="14">
        <f t="shared" si="25"/>
        <v>50</v>
      </c>
    </row>
    <row r="1638" ht="15" spans="1:4">
      <c r="A1638" s="12" t="s">
        <v>36</v>
      </c>
      <c r="B1638" s="13">
        <v>1</v>
      </c>
      <c r="C1638" s="14">
        <v>126.5</v>
      </c>
      <c r="D1638" s="14">
        <f t="shared" si="25"/>
        <v>126.5</v>
      </c>
    </row>
    <row r="1639" ht="15" spans="1:4">
      <c r="A1639" s="12" t="s">
        <v>68</v>
      </c>
      <c r="B1639" s="13">
        <v>1</v>
      </c>
      <c r="C1639" s="14">
        <v>17.2</v>
      </c>
      <c r="D1639" s="14">
        <f t="shared" si="25"/>
        <v>17.2</v>
      </c>
    </row>
    <row r="1640" ht="15" spans="1:4">
      <c r="A1640" s="12" t="s">
        <v>37</v>
      </c>
      <c r="B1640" s="13">
        <v>6</v>
      </c>
      <c r="C1640" s="14">
        <v>16.5</v>
      </c>
      <c r="D1640" s="14">
        <f t="shared" si="25"/>
        <v>99</v>
      </c>
    </row>
    <row r="1641" ht="15" spans="1:4">
      <c r="A1641" s="12" t="s">
        <v>54</v>
      </c>
      <c r="B1641" s="13">
        <v>1</v>
      </c>
      <c r="C1641" s="14">
        <v>12.2</v>
      </c>
      <c r="D1641" s="14">
        <f t="shared" si="25"/>
        <v>12.2</v>
      </c>
    </row>
    <row r="1642" ht="15" spans="1:4">
      <c r="A1642" s="12" t="s">
        <v>40</v>
      </c>
      <c r="B1642" s="13">
        <v>1</v>
      </c>
      <c r="C1642" s="14">
        <v>14.2</v>
      </c>
      <c r="D1642" s="14">
        <f t="shared" si="25"/>
        <v>14.2</v>
      </c>
    </row>
    <row r="1643" ht="15" spans="1:4">
      <c r="A1643" s="12" t="s">
        <v>115</v>
      </c>
      <c r="B1643" s="13">
        <v>1</v>
      </c>
      <c r="C1643" s="14">
        <v>14.7</v>
      </c>
      <c r="D1643" s="14">
        <f t="shared" si="25"/>
        <v>14.7</v>
      </c>
    </row>
    <row r="1644" ht="15" spans="1:4">
      <c r="A1644" s="12" t="s">
        <v>41</v>
      </c>
      <c r="B1644" s="13">
        <v>1</v>
      </c>
      <c r="C1644" s="14">
        <v>27.5</v>
      </c>
      <c r="D1644" s="14">
        <f t="shared" si="25"/>
        <v>27.5</v>
      </c>
    </row>
    <row r="1645" ht="15" spans="1:4">
      <c r="A1645" s="12" t="s">
        <v>42</v>
      </c>
      <c r="B1645" s="13">
        <v>2</v>
      </c>
      <c r="C1645" s="14">
        <v>17.7</v>
      </c>
      <c r="D1645" s="14">
        <f t="shared" si="25"/>
        <v>35.4</v>
      </c>
    </row>
    <row r="1646" ht="15" spans="1:4">
      <c r="A1646" s="12" t="s">
        <v>43</v>
      </c>
      <c r="B1646" s="13">
        <v>1</v>
      </c>
      <c r="C1646" s="14">
        <v>16.5</v>
      </c>
      <c r="D1646" s="14">
        <f t="shared" si="25"/>
        <v>16.5</v>
      </c>
    </row>
    <row r="1647" ht="15" spans="1:4">
      <c r="A1647" s="12" t="s">
        <v>44</v>
      </c>
      <c r="B1647" s="13">
        <v>4</v>
      </c>
      <c r="C1647" s="14">
        <v>16.5</v>
      </c>
      <c r="D1647" s="14">
        <f t="shared" si="25"/>
        <v>66</v>
      </c>
    </row>
    <row r="1648" ht="15" spans="1:4">
      <c r="A1648" s="12" t="s">
        <v>47</v>
      </c>
      <c r="B1648" s="13">
        <v>8</v>
      </c>
      <c r="C1648" s="14">
        <v>22</v>
      </c>
      <c r="D1648" s="14">
        <f t="shared" si="25"/>
        <v>176</v>
      </c>
    </row>
    <row r="1649" ht="15" spans="1:4">
      <c r="A1649" s="12" t="s">
        <v>173</v>
      </c>
      <c r="B1649" s="13">
        <v>1</v>
      </c>
      <c r="C1649" s="14">
        <v>16.5</v>
      </c>
      <c r="D1649" s="14">
        <f t="shared" si="25"/>
        <v>16.5</v>
      </c>
    </row>
    <row r="1650" ht="15" spans="1:4">
      <c r="A1650" s="12" t="s">
        <v>49</v>
      </c>
      <c r="B1650" s="13">
        <v>1</v>
      </c>
      <c r="C1650" s="14">
        <v>16.5</v>
      </c>
      <c r="D1650" s="14">
        <f t="shared" si="25"/>
        <v>16.5</v>
      </c>
    </row>
    <row r="1651" ht="15" spans="1:4">
      <c r="A1651" s="12" t="s">
        <v>55</v>
      </c>
      <c r="B1651" s="13">
        <v>1</v>
      </c>
      <c r="C1651" s="14">
        <v>197.5</v>
      </c>
      <c r="D1651" s="14">
        <f t="shared" si="25"/>
        <v>197.5</v>
      </c>
    </row>
    <row r="1652" ht="15" spans="1:4">
      <c r="A1652" s="12" t="s">
        <v>52</v>
      </c>
      <c r="B1652" s="13">
        <v>2</v>
      </c>
      <c r="C1652" s="14">
        <v>120.5</v>
      </c>
      <c r="D1652" s="14">
        <f t="shared" si="25"/>
        <v>241</v>
      </c>
    </row>
    <row r="1653" ht="15" spans="1:4">
      <c r="A1653" s="12" t="s">
        <v>10</v>
      </c>
      <c r="B1653" s="13">
        <v>2</v>
      </c>
      <c r="C1653" s="14">
        <v>159</v>
      </c>
      <c r="D1653" s="14">
        <f t="shared" si="25"/>
        <v>318</v>
      </c>
    </row>
    <row r="1654" ht="15" spans="1:4">
      <c r="A1654" s="12" t="s">
        <v>57</v>
      </c>
      <c r="B1654" s="13">
        <v>1</v>
      </c>
      <c r="C1654" s="14">
        <v>115</v>
      </c>
      <c r="D1654" s="14">
        <f t="shared" si="25"/>
        <v>115</v>
      </c>
    </row>
    <row r="1655" ht="15" spans="1:4">
      <c r="A1655" s="12" t="s">
        <v>110</v>
      </c>
      <c r="B1655" s="13">
        <v>1</v>
      </c>
      <c r="C1655" s="14">
        <v>82</v>
      </c>
      <c r="D1655" s="14">
        <f t="shared" si="25"/>
        <v>82</v>
      </c>
    </row>
    <row r="1656" ht="15" spans="1:4">
      <c r="A1656" s="12" t="s">
        <v>61</v>
      </c>
      <c r="B1656" s="13">
        <v>1</v>
      </c>
      <c r="C1656" s="14">
        <v>60.5</v>
      </c>
      <c r="D1656" s="14">
        <f t="shared" si="25"/>
        <v>60.5</v>
      </c>
    </row>
    <row r="1657" ht="15" spans="1:4">
      <c r="A1657" s="12" t="s">
        <v>163</v>
      </c>
      <c r="B1657" s="13">
        <v>1</v>
      </c>
      <c r="C1657" s="14">
        <v>55</v>
      </c>
      <c r="D1657" s="14">
        <f t="shared" si="25"/>
        <v>55</v>
      </c>
    </row>
    <row r="1658" ht="15" spans="1:4">
      <c r="A1658" s="12" t="s">
        <v>11</v>
      </c>
      <c r="B1658" s="13">
        <v>2</v>
      </c>
      <c r="C1658" s="14">
        <v>159</v>
      </c>
      <c r="D1658" s="14">
        <f t="shared" si="25"/>
        <v>318</v>
      </c>
    </row>
    <row r="1659" ht="15" spans="1:4">
      <c r="A1659" s="12" t="s">
        <v>53</v>
      </c>
      <c r="B1659" s="13">
        <v>1</v>
      </c>
      <c r="C1659" s="14">
        <v>170</v>
      </c>
      <c r="D1659" s="14">
        <f t="shared" si="25"/>
        <v>170</v>
      </c>
    </row>
    <row r="1660" ht="15" spans="1:4">
      <c r="A1660" s="12" t="s">
        <v>233</v>
      </c>
      <c r="B1660" s="13">
        <v>1</v>
      </c>
      <c r="C1660" s="14">
        <v>77</v>
      </c>
      <c r="D1660" s="14">
        <f t="shared" si="25"/>
        <v>77</v>
      </c>
    </row>
    <row r="1661" ht="15" spans="1:4">
      <c r="A1661" s="12" t="s">
        <v>43</v>
      </c>
      <c r="B1661" s="13">
        <v>3</v>
      </c>
      <c r="C1661" s="14">
        <v>16.5</v>
      </c>
      <c r="D1661" s="14">
        <f t="shared" si="25"/>
        <v>49.5</v>
      </c>
    </row>
    <row r="1662" ht="15" spans="1:4">
      <c r="A1662" s="12" t="s">
        <v>44</v>
      </c>
      <c r="B1662" s="13">
        <v>3</v>
      </c>
      <c r="C1662" s="14">
        <v>16.5</v>
      </c>
      <c r="D1662" s="14">
        <f t="shared" si="25"/>
        <v>49.5</v>
      </c>
    </row>
    <row r="1663" ht="15" spans="1:4">
      <c r="A1663" s="12" t="s">
        <v>234</v>
      </c>
      <c r="B1663" s="13">
        <v>1</v>
      </c>
      <c r="C1663" s="14">
        <v>17.2</v>
      </c>
      <c r="D1663" s="14">
        <f t="shared" si="25"/>
        <v>17.2</v>
      </c>
    </row>
    <row r="1664" ht="15" spans="1:4">
      <c r="A1664" s="12" t="s">
        <v>235</v>
      </c>
      <c r="B1664" s="13">
        <v>1</v>
      </c>
      <c r="C1664" s="14">
        <v>17.2</v>
      </c>
      <c r="D1664" s="14">
        <f t="shared" si="25"/>
        <v>17.2</v>
      </c>
    </row>
    <row r="1665" ht="15" spans="1:4">
      <c r="A1665" s="12" t="s">
        <v>220</v>
      </c>
      <c r="B1665" s="13">
        <v>1</v>
      </c>
      <c r="C1665" s="14">
        <v>66</v>
      </c>
      <c r="D1665" s="14">
        <f t="shared" si="25"/>
        <v>66</v>
      </c>
    </row>
    <row r="1666" ht="15" spans="1:4">
      <c r="A1666" s="12" t="s">
        <v>9</v>
      </c>
      <c r="B1666" s="13">
        <v>1</v>
      </c>
      <c r="C1666" s="14">
        <v>126.5</v>
      </c>
      <c r="D1666" s="14">
        <f t="shared" si="25"/>
        <v>126.5</v>
      </c>
    </row>
    <row r="1667" ht="15" spans="1:4">
      <c r="A1667" s="12" t="s">
        <v>10</v>
      </c>
      <c r="B1667" s="13">
        <v>1</v>
      </c>
      <c r="C1667" s="14">
        <v>159</v>
      </c>
      <c r="D1667" s="14">
        <f t="shared" si="25"/>
        <v>159</v>
      </c>
    </row>
    <row r="1668" ht="15" spans="1:4">
      <c r="A1668" s="12" t="s">
        <v>309</v>
      </c>
      <c r="B1668" s="13">
        <v>2</v>
      </c>
      <c r="C1668" s="14">
        <v>8.3</v>
      </c>
      <c r="D1668" s="14">
        <f t="shared" si="25"/>
        <v>16.6</v>
      </c>
    </row>
    <row r="1669" ht="15" spans="1:4">
      <c r="A1669" s="12" t="s">
        <v>176</v>
      </c>
      <c r="B1669" s="13">
        <v>2</v>
      </c>
      <c r="C1669" s="14">
        <v>8.3</v>
      </c>
      <c r="D1669" s="14">
        <f t="shared" si="25"/>
        <v>16.6</v>
      </c>
    </row>
    <row r="1670" ht="15" spans="1:4">
      <c r="A1670" s="12" t="s">
        <v>19</v>
      </c>
      <c r="B1670" s="13">
        <v>3</v>
      </c>
      <c r="C1670" s="14">
        <v>13.3</v>
      </c>
      <c r="D1670" s="14">
        <f t="shared" si="25"/>
        <v>39.9</v>
      </c>
    </row>
    <row r="1671" ht="15" spans="1:4">
      <c r="A1671" s="12" t="s">
        <v>310</v>
      </c>
      <c r="B1671" s="13">
        <v>1</v>
      </c>
      <c r="C1671" s="14">
        <v>10.5</v>
      </c>
      <c r="D1671" s="14">
        <f t="shared" ref="D1671:D1726" si="26">C1671*B1671</f>
        <v>10.5</v>
      </c>
    </row>
    <row r="1672" ht="15" spans="1:4">
      <c r="A1672" s="12" t="s">
        <v>28</v>
      </c>
      <c r="B1672" s="13">
        <v>6</v>
      </c>
      <c r="C1672" s="14">
        <v>0</v>
      </c>
      <c r="D1672" s="14">
        <f t="shared" si="26"/>
        <v>0</v>
      </c>
    </row>
    <row r="1673" ht="15" spans="1:4">
      <c r="A1673" s="12" t="s">
        <v>29</v>
      </c>
      <c r="B1673" s="13">
        <v>4</v>
      </c>
      <c r="C1673" s="14">
        <v>0</v>
      </c>
      <c r="D1673" s="14">
        <f t="shared" si="26"/>
        <v>0</v>
      </c>
    </row>
    <row r="1674" ht="15" spans="1:4">
      <c r="A1674" s="12" t="s">
        <v>311</v>
      </c>
      <c r="B1674" s="13">
        <v>14</v>
      </c>
      <c r="C1674" s="14">
        <v>15</v>
      </c>
      <c r="D1674" s="14">
        <f t="shared" si="26"/>
        <v>210</v>
      </c>
    </row>
    <row r="1675" ht="15" spans="1:4">
      <c r="A1675" s="12" t="s">
        <v>36</v>
      </c>
      <c r="B1675" s="13">
        <v>1</v>
      </c>
      <c r="C1675" s="14">
        <v>126.5</v>
      </c>
      <c r="D1675" s="14">
        <f t="shared" si="26"/>
        <v>126.5</v>
      </c>
    </row>
    <row r="1676" ht="15" spans="1:4">
      <c r="A1676" s="12" t="s">
        <v>312</v>
      </c>
      <c r="B1676" s="13">
        <v>1</v>
      </c>
      <c r="C1676" s="14">
        <v>60.5</v>
      </c>
      <c r="D1676" s="14">
        <f t="shared" si="26"/>
        <v>60.5</v>
      </c>
    </row>
    <row r="1677" ht="15" spans="1:4">
      <c r="A1677" s="12" t="s">
        <v>68</v>
      </c>
      <c r="B1677" s="13">
        <v>1</v>
      </c>
      <c r="C1677" s="14">
        <v>17.2</v>
      </c>
      <c r="D1677" s="14">
        <f t="shared" si="26"/>
        <v>17.2</v>
      </c>
    </row>
    <row r="1678" ht="15" spans="1:4">
      <c r="A1678" s="12" t="s">
        <v>37</v>
      </c>
      <c r="B1678" s="13">
        <v>5</v>
      </c>
      <c r="C1678" s="14">
        <v>16.5</v>
      </c>
      <c r="D1678" s="14">
        <f t="shared" si="26"/>
        <v>82.5</v>
      </c>
    </row>
    <row r="1679" ht="15" spans="1:4">
      <c r="A1679" s="12" t="s">
        <v>54</v>
      </c>
      <c r="B1679" s="13">
        <v>1</v>
      </c>
      <c r="C1679" s="14">
        <v>12.2</v>
      </c>
      <c r="D1679" s="14">
        <f t="shared" si="26"/>
        <v>12.2</v>
      </c>
    </row>
    <row r="1680" ht="15" spans="1:4">
      <c r="A1680" s="12" t="s">
        <v>217</v>
      </c>
      <c r="B1680" s="13">
        <v>1</v>
      </c>
      <c r="C1680" s="14">
        <v>12.2</v>
      </c>
      <c r="D1680" s="14">
        <f t="shared" si="26"/>
        <v>12.2</v>
      </c>
    </row>
    <row r="1681" ht="15" spans="1:4">
      <c r="A1681" s="12" t="s">
        <v>282</v>
      </c>
      <c r="B1681" s="13">
        <v>1</v>
      </c>
      <c r="C1681" s="14">
        <v>9.2</v>
      </c>
      <c r="D1681" s="14">
        <f t="shared" si="26"/>
        <v>9.2</v>
      </c>
    </row>
    <row r="1682" ht="15" spans="1:4">
      <c r="A1682" s="12" t="s">
        <v>88</v>
      </c>
      <c r="B1682" s="13">
        <v>1</v>
      </c>
      <c r="C1682" s="14">
        <v>16.5</v>
      </c>
      <c r="D1682" s="14">
        <f t="shared" si="26"/>
        <v>16.5</v>
      </c>
    </row>
    <row r="1683" ht="15" spans="1:4">
      <c r="A1683" s="12" t="s">
        <v>89</v>
      </c>
      <c r="B1683" s="13">
        <v>1</v>
      </c>
      <c r="C1683" s="14">
        <v>14.2</v>
      </c>
      <c r="D1683" s="14">
        <f t="shared" si="26"/>
        <v>14.2</v>
      </c>
    </row>
    <row r="1684" ht="15" spans="1:4">
      <c r="A1684" s="12" t="s">
        <v>115</v>
      </c>
      <c r="B1684" s="13">
        <v>1</v>
      </c>
      <c r="C1684" s="14">
        <v>14.7</v>
      </c>
      <c r="D1684" s="14">
        <f t="shared" si="26"/>
        <v>14.7</v>
      </c>
    </row>
    <row r="1685" ht="15" spans="1:4">
      <c r="A1685" s="12" t="s">
        <v>313</v>
      </c>
      <c r="B1685" s="13">
        <v>1</v>
      </c>
      <c r="C1685" s="14">
        <v>14.7</v>
      </c>
      <c r="D1685" s="14">
        <f t="shared" si="26"/>
        <v>14.7</v>
      </c>
    </row>
    <row r="1686" ht="15" spans="1:4">
      <c r="A1686" s="12" t="s">
        <v>43</v>
      </c>
      <c r="B1686" s="13">
        <v>2</v>
      </c>
      <c r="C1686" s="14">
        <v>16.5</v>
      </c>
      <c r="D1686" s="14">
        <f t="shared" si="26"/>
        <v>33</v>
      </c>
    </row>
    <row r="1687" ht="15" spans="1:4">
      <c r="A1687" s="12" t="s">
        <v>47</v>
      </c>
      <c r="B1687" s="13">
        <v>11</v>
      </c>
      <c r="C1687" s="14">
        <v>22</v>
      </c>
      <c r="D1687" s="14">
        <f t="shared" si="26"/>
        <v>242</v>
      </c>
    </row>
    <row r="1688" ht="15" spans="1:4">
      <c r="A1688" s="12" t="s">
        <v>173</v>
      </c>
      <c r="B1688" s="13">
        <v>2</v>
      </c>
      <c r="C1688" s="14">
        <v>16.5</v>
      </c>
      <c r="D1688" s="14">
        <f t="shared" si="26"/>
        <v>33</v>
      </c>
    </row>
    <row r="1689" ht="15" spans="1:4">
      <c r="A1689" s="12" t="s">
        <v>49</v>
      </c>
      <c r="B1689" s="13">
        <v>2</v>
      </c>
      <c r="C1689" s="14">
        <v>16.5</v>
      </c>
      <c r="D1689" s="14">
        <f t="shared" si="26"/>
        <v>33</v>
      </c>
    </row>
    <row r="1690" ht="15" spans="1:4">
      <c r="A1690" s="12" t="s">
        <v>219</v>
      </c>
      <c r="B1690" s="13">
        <v>1</v>
      </c>
      <c r="C1690" s="14">
        <v>16.5</v>
      </c>
      <c r="D1690" s="14">
        <f t="shared" si="26"/>
        <v>16.5</v>
      </c>
    </row>
    <row r="1691" ht="15" spans="1:4">
      <c r="A1691" s="12" t="s">
        <v>314</v>
      </c>
      <c r="B1691" s="13">
        <v>1</v>
      </c>
      <c r="C1691" s="14">
        <v>231</v>
      </c>
      <c r="D1691" s="14">
        <f t="shared" si="26"/>
        <v>231</v>
      </c>
    </row>
    <row r="1692" ht="15" spans="1:4">
      <c r="A1692" s="12" t="s">
        <v>94</v>
      </c>
      <c r="B1692" s="13">
        <v>1</v>
      </c>
      <c r="C1692" s="14">
        <v>35</v>
      </c>
      <c r="D1692" s="14">
        <f t="shared" si="26"/>
        <v>35</v>
      </c>
    </row>
    <row r="1693" ht="15" spans="1:4">
      <c r="A1693" s="12" t="s">
        <v>95</v>
      </c>
      <c r="B1693" s="13">
        <v>1</v>
      </c>
      <c r="C1693" s="14">
        <v>35</v>
      </c>
      <c r="D1693" s="14">
        <f t="shared" si="26"/>
        <v>35</v>
      </c>
    </row>
    <row r="1694" ht="15" spans="1:4">
      <c r="A1694" s="12" t="s">
        <v>96</v>
      </c>
      <c r="B1694" s="13">
        <v>1</v>
      </c>
      <c r="C1694" s="14">
        <v>35</v>
      </c>
      <c r="D1694" s="14">
        <f t="shared" si="26"/>
        <v>35</v>
      </c>
    </row>
    <row r="1695" ht="15" spans="1:4">
      <c r="A1695" s="12" t="s">
        <v>159</v>
      </c>
      <c r="B1695" s="13">
        <v>1</v>
      </c>
      <c r="C1695" s="14">
        <v>44</v>
      </c>
      <c r="D1695" s="14">
        <f t="shared" si="26"/>
        <v>44</v>
      </c>
    </row>
    <row r="1696" ht="15" spans="1:4">
      <c r="A1696" s="12" t="s">
        <v>315</v>
      </c>
      <c r="B1696" s="13">
        <v>1</v>
      </c>
      <c r="C1696" s="14">
        <v>22</v>
      </c>
      <c r="D1696" s="14">
        <f t="shared" si="26"/>
        <v>22</v>
      </c>
    </row>
    <row r="1697" ht="15" spans="1:4">
      <c r="A1697" s="12" t="s">
        <v>98</v>
      </c>
      <c r="B1697" s="13">
        <v>1</v>
      </c>
      <c r="C1697" s="14">
        <v>35</v>
      </c>
      <c r="D1697" s="14">
        <f t="shared" si="26"/>
        <v>35</v>
      </c>
    </row>
    <row r="1698" ht="15" spans="1:4">
      <c r="A1698" s="15" t="s">
        <v>283</v>
      </c>
      <c r="B1698" s="13">
        <v>1</v>
      </c>
      <c r="C1698" s="14">
        <v>28</v>
      </c>
      <c r="D1698" s="14">
        <f t="shared" si="26"/>
        <v>28</v>
      </c>
    </row>
    <row r="1699" ht="15" spans="1:4">
      <c r="A1699" s="12" t="s">
        <v>9</v>
      </c>
      <c r="B1699" s="13">
        <v>1</v>
      </c>
      <c r="C1699" s="14">
        <v>126.5</v>
      </c>
      <c r="D1699" s="14">
        <f t="shared" si="26"/>
        <v>126.5</v>
      </c>
    </row>
    <row r="1700" ht="15" spans="1:4">
      <c r="A1700" s="12" t="s">
        <v>55</v>
      </c>
      <c r="B1700" s="13">
        <v>3</v>
      </c>
      <c r="C1700" s="14">
        <v>197.5</v>
      </c>
      <c r="D1700" s="14">
        <f t="shared" si="26"/>
        <v>592.5</v>
      </c>
    </row>
    <row r="1701" ht="15" spans="1:4">
      <c r="A1701" s="12" t="s">
        <v>52</v>
      </c>
      <c r="B1701" s="13">
        <v>1</v>
      </c>
      <c r="C1701" s="14">
        <v>120.5</v>
      </c>
      <c r="D1701" s="14">
        <f t="shared" si="26"/>
        <v>120.5</v>
      </c>
    </row>
    <row r="1702" ht="15" spans="1:4">
      <c r="A1702" s="12" t="s">
        <v>53</v>
      </c>
      <c r="B1702" s="13">
        <v>2</v>
      </c>
      <c r="C1702" s="14">
        <v>170</v>
      </c>
      <c r="D1702" s="14">
        <f t="shared" si="26"/>
        <v>340</v>
      </c>
    </row>
    <row r="1703" ht="15" spans="1:4">
      <c r="A1703" s="12" t="s">
        <v>73</v>
      </c>
      <c r="B1703" s="13">
        <v>1</v>
      </c>
      <c r="C1703" s="14">
        <v>16.8</v>
      </c>
      <c r="D1703" s="14">
        <f t="shared" si="26"/>
        <v>16.8</v>
      </c>
    </row>
    <row r="1704" ht="15" spans="1:4">
      <c r="A1704" s="12" t="s">
        <v>74</v>
      </c>
      <c r="B1704" s="13">
        <v>1</v>
      </c>
      <c r="C1704" s="14">
        <v>22.3</v>
      </c>
      <c r="D1704" s="14">
        <f t="shared" si="26"/>
        <v>22.3</v>
      </c>
    </row>
    <row r="1705" ht="15" spans="1:4">
      <c r="A1705" s="12" t="s">
        <v>15</v>
      </c>
      <c r="B1705" s="13">
        <v>2</v>
      </c>
      <c r="C1705" s="14">
        <v>27.8</v>
      </c>
      <c r="D1705" s="14">
        <f t="shared" si="26"/>
        <v>55.6</v>
      </c>
    </row>
    <row r="1706" ht="15" spans="1:4">
      <c r="A1706" s="12" t="s">
        <v>141</v>
      </c>
      <c r="B1706" s="13">
        <v>1</v>
      </c>
      <c r="C1706" s="14">
        <v>8.3</v>
      </c>
      <c r="D1706" s="14">
        <f t="shared" si="26"/>
        <v>8.3</v>
      </c>
    </row>
    <row r="1707" ht="15" spans="1:4">
      <c r="A1707" s="12" t="s">
        <v>28</v>
      </c>
      <c r="B1707" s="13">
        <v>2</v>
      </c>
      <c r="C1707" s="14">
        <v>0</v>
      </c>
      <c r="D1707" s="14">
        <f t="shared" si="26"/>
        <v>0</v>
      </c>
    </row>
    <row r="1708" ht="15" spans="1:4">
      <c r="A1708" s="12" t="s">
        <v>29</v>
      </c>
      <c r="B1708" s="13">
        <v>8</v>
      </c>
      <c r="C1708" s="14">
        <v>0</v>
      </c>
      <c r="D1708" s="14">
        <f t="shared" si="26"/>
        <v>0</v>
      </c>
    </row>
    <row r="1709" ht="15" spans="1:4">
      <c r="A1709" s="12" t="s">
        <v>31</v>
      </c>
      <c r="B1709" s="13">
        <v>1</v>
      </c>
      <c r="C1709" s="14">
        <v>50</v>
      </c>
      <c r="D1709" s="14">
        <f t="shared" si="26"/>
        <v>50</v>
      </c>
    </row>
    <row r="1710" ht="15" spans="1:4">
      <c r="A1710" s="12" t="s">
        <v>32</v>
      </c>
      <c r="B1710" s="13">
        <v>1</v>
      </c>
      <c r="C1710" s="14">
        <v>50</v>
      </c>
      <c r="D1710" s="14">
        <f t="shared" si="26"/>
        <v>50</v>
      </c>
    </row>
    <row r="1711" ht="15" spans="1:4">
      <c r="A1711" s="12" t="s">
        <v>81</v>
      </c>
      <c r="B1711" s="13">
        <v>1</v>
      </c>
      <c r="C1711" s="14">
        <v>50</v>
      </c>
      <c r="D1711" s="14">
        <f t="shared" si="26"/>
        <v>50</v>
      </c>
    </row>
    <row r="1712" ht="15" spans="1:4">
      <c r="A1712" s="12" t="s">
        <v>139</v>
      </c>
      <c r="B1712" s="13">
        <v>1</v>
      </c>
      <c r="C1712" s="14">
        <v>50</v>
      </c>
      <c r="D1712" s="14">
        <f t="shared" si="26"/>
        <v>50</v>
      </c>
    </row>
    <row r="1713" ht="15" spans="1:4">
      <c r="A1713" s="12" t="s">
        <v>140</v>
      </c>
      <c r="B1713" s="13">
        <v>1</v>
      </c>
      <c r="C1713" s="14">
        <v>50</v>
      </c>
      <c r="D1713" s="14">
        <f t="shared" si="26"/>
        <v>50</v>
      </c>
    </row>
    <row r="1714" ht="15" spans="1:4">
      <c r="A1714" s="12" t="s">
        <v>155</v>
      </c>
      <c r="B1714" s="13">
        <v>1</v>
      </c>
      <c r="C1714" s="14">
        <v>50</v>
      </c>
      <c r="D1714" s="14">
        <f t="shared" si="26"/>
        <v>50</v>
      </c>
    </row>
    <row r="1715" ht="15" spans="1:4">
      <c r="A1715" s="12" t="s">
        <v>273</v>
      </c>
      <c r="B1715" s="13">
        <v>1</v>
      </c>
      <c r="C1715" s="14">
        <v>72</v>
      </c>
      <c r="D1715" s="14">
        <f t="shared" si="26"/>
        <v>72</v>
      </c>
    </row>
    <row r="1716" ht="15" spans="1:4">
      <c r="A1716" s="12" t="s">
        <v>145</v>
      </c>
      <c r="B1716" s="13">
        <v>1</v>
      </c>
      <c r="C1716" s="14">
        <v>66.5</v>
      </c>
      <c r="D1716" s="14">
        <f t="shared" si="26"/>
        <v>66.5</v>
      </c>
    </row>
    <row r="1717" ht="15" spans="1:4">
      <c r="A1717" s="12" t="s">
        <v>36</v>
      </c>
      <c r="B1717" s="13">
        <v>1</v>
      </c>
      <c r="C1717" s="14">
        <v>126.5</v>
      </c>
      <c r="D1717" s="14">
        <f t="shared" si="26"/>
        <v>126.5</v>
      </c>
    </row>
    <row r="1718" ht="15" spans="1:4">
      <c r="A1718" s="12" t="s">
        <v>68</v>
      </c>
      <c r="B1718" s="13">
        <v>1</v>
      </c>
      <c r="C1718" s="14">
        <v>17.2</v>
      </c>
      <c r="D1718" s="14">
        <f t="shared" si="26"/>
        <v>17.2</v>
      </c>
    </row>
    <row r="1719" ht="15" spans="1:4">
      <c r="A1719" s="12" t="s">
        <v>37</v>
      </c>
      <c r="B1719" s="13">
        <v>5</v>
      </c>
      <c r="C1719" s="14">
        <v>16.5</v>
      </c>
      <c r="D1719" s="14">
        <f t="shared" si="26"/>
        <v>82.5</v>
      </c>
    </row>
    <row r="1720" ht="15" spans="1:4">
      <c r="A1720" s="12" t="s">
        <v>54</v>
      </c>
      <c r="B1720" s="13">
        <v>1</v>
      </c>
      <c r="C1720" s="14">
        <v>12.2</v>
      </c>
      <c r="D1720" s="14">
        <f t="shared" si="26"/>
        <v>12.2</v>
      </c>
    </row>
    <row r="1721" ht="15" spans="1:4">
      <c r="A1721" s="12" t="s">
        <v>282</v>
      </c>
      <c r="B1721" s="13">
        <v>1</v>
      </c>
      <c r="C1721" s="14">
        <v>9.2</v>
      </c>
      <c r="D1721" s="14">
        <f t="shared" si="26"/>
        <v>9.2</v>
      </c>
    </row>
    <row r="1722" ht="15" spans="1:4">
      <c r="A1722" s="12" t="s">
        <v>195</v>
      </c>
      <c r="B1722" s="13">
        <v>1</v>
      </c>
      <c r="C1722" s="14">
        <v>9.2</v>
      </c>
      <c r="D1722" s="14">
        <f t="shared" si="26"/>
        <v>9.2</v>
      </c>
    </row>
    <row r="1723" ht="15" spans="1:4">
      <c r="A1723" s="12" t="s">
        <v>42</v>
      </c>
      <c r="B1723" s="13">
        <v>1</v>
      </c>
      <c r="C1723" s="14">
        <v>17.7</v>
      </c>
      <c r="D1723" s="14">
        <f t="shared" si="26"/>
        <v>17.7</v>
      </c>
    </row>
    <row r="1724" ht="15" spans="1:4">
      <c r="A1724" s="12" t="s">
        <v>43</v>
      </c>
      <c r="B1724" s="13">
        <v>4</v>
      </c>
      <c r="C1724" s="14">
        <v>16.5</v>
      </c>
      <c r="D1724" s="14">
        <f t="shared" si="26"/>
        <v>66</v>
      </c>
    </row>
    <row r="1725" ht="15" spans="1:4">
      <c r="A1725" s="12" t="s">
        <v>44</v>
      </c>
      <c r="B1725" s="13">
        <v>7</v>
      </c>
      <c r="C1725" s="14">
        <v>16.5</v>
      </c>
      <c r="D1725" s="14">
        <f t="shared" si="26"/>
        <v>115.5</v>
      </c>
    </row>
    <row r="1726" ht="15" spans="1:4">
      <c r="A1726" s="12" t="s">
        <v>47</v>
      </c>
      <c r="B1726" s="13">
        <v>7</v>
      </c>
      <c r="C1726" s="14">
        <v>22</v>
      </c>
      <c r="D1726" s="14">
        <f t="shared" si="26"/>
        <v>154</v>
      </c>
    </row>
    <row r="1727" spans="1:4">
      <c r="A1727" s="16" t="s">
        <v>4</v>
      </c>
      <c r="B1727" s="17"/>
      <c r="C1727" s="18"/>
      <c r="D1727" s="19">
        <f>SUM(D3:D1726)</f>
        <v>137664.3</v>
      </c>
    </row>
    <row r="1731" ht="45" customHeight="1" spans="1:4">
      <c r="A1731" s="20" t="s">
        <v>316</v>
      </c>
      <c r="B1731" s="21"/>
      <c r="C1731" s="21"/>
      <c r="D1731" s="21"/>
    </row>
    <row r="1732" spans="1:4">
      <c r="A1732" s="22"/>
    </row>
    <row r="1733" spans="1:4">
      <c r="A1733" s="7" t="s">
        <v>1</v>
      </c>
      <c r="B1733" s="19" t="s">
        <v>2</v>
      </c>
      <c r="C1733" s="19" t="s">
        <v>3</v>
      </c>
      <c r="D1733" s="19" t="s">
        <v>4</v>
      </c>
    </row>
    <row r="1734" spans="1:4">
      <c r="A1734" s="23" t="s">
        <v>317</v>
      </c>
      <c r="B1734" s="24">
        <v>1</v>
      </c>
      <c r="C1734" s="25">
        <v>44</v>
      </c>
      <c r="D1734" s="25">
        <f t="shared" ref="D1734:D1797" si="27">C1734*B1734</f>
        <v>44</v>
      </c>
    </row>
    <row r="1735" ht="27" spans="1:4">
      <c r="A1735" s="23" t="s">
        <v>318</v>
      </c>
      <c r="B1735" s="24">
        <v>1</v>
      </c>
      <c r="C1735" s="25">
        <v>132</v>
      </c>
      <c r="D1735" s="25">
        <f t="shared" si="27"/>
        <v>132</v>
      </c>
    </row>
    <row r="1736" ht="27" spans="1:4">
      <c r="A1736" s="23" t="s">
        <v>319</v>
      </c>
      <c r="B1736" s="24">
        <v>1</v>
      </c>
      <c r="C1736" s="25">
        <v>66</v>
      </c>
      <c r="D1736" s="25">
        <f t="shared" si="27"/>
        <v>66</v>
      </c>
    </row>
    <row r="1737" ht="27" spans="1:4">
      <c r="A1737" s="23" t="s">
        <v>320</v>
      </c>
      <c r="B1737" s="24">
        <v>1</v>
      </c>
      <c r="C1737" s="25">
        <v>181.5</v>
      </c>
      <c r="D1737" s="25">
        <f t="shared" si="27"/>
        <v>181.5</v>
      </c>
    </row>
    <row r="1738" ht="27" spans="1:4">
      <c r="A1738" s="23" t="s">
        <v>321</v>
      </c>
      <c r="B1738" s="24">
        <v>1</v>
      </c>
      <c r="C1738" s="25">
        <v>49.5</v>
      </c>
      <c r="D1738" s="25">
        <f t="shared" si="27"/>
        <v>49.5</v>
      </c>
    </row>
    <row r="1739" ht="27" spans="1:4">
      <c r="A1739" s="23" t="s">
        <v>322</v>
      </c>
      <c r="B1739" s="24">
        <v>1</v>
      </c>
      <c r="C1739" s="25">
        <v>193</v>
      </c>
      <c r="D1739" s="25">
        <f t="shared" si="27"/>
        <v>193</v>
      </c>
    </row>
    <row r="1740" spans="1:4">
      <c r="A1740" s="23" t="s">
        <v>323</v>
      </c>
      <c r="B1740" s="24">
        <v>1</v>
      </c>
      <c r="C1740" s="25">
        <v>182</v>
      </c>
      <c r="D1740" s="25">
        <f t="shared" si="27"/>
        <v>182</v>
      </c>
    </row>
    <row r="1741" spans="1:4">
      <c r="A1741" s="23" t="s">
        <v>324</v>
      </c>
      <c r="B1741" s="24">
        <v>1</v>
      </c>
      <c r="C1741" s="25">
        <v>82.5</v>
      </c>
      <c r="D1741" s="25">
        <f t="shared" si="27"/>
        <v>82.5</v>
      </c>
    </row>
    <row r="1742" spans="1:4">
      <c r="A1742" s="23" t="s">
        <v>325</v>
      </c>
      <c r="B1742" s="24">
        <v>1</v>
      </c>
      <c r="C1742" s="25">
        <v>209</v>
      </c>
      <c r="D1742" s="25">
        <f t="shared" si="27"/>
        <v>209</v>
      </c>
    </row>
    <row r="1743" spans="1:4">
      <c r="A1743" s="23" t="s">
        <v>326</v>
      </c>
      <c r="B1743" s="24">
        <v>1</v>
      </c>
      <c r="C1743" s="25">
        <v>143</v>
      </c>
      <c r="D1743" s="25">
        <f t="shared" si="27"/>
        <v>143</v>
      </c>
    </row>
    <row r="1744" spans="1:4">
      <c r="A1744" s="23" t="s">
        <v>327</v>
      </c>
      <c r="B1744" s="24">
        <v>1</v>
      </c>
      <c r="C1744" s="25">
        <v>148.5</v>
      </c>
      <c r="D1744" s="25">
        <f t="shared" si="27"/>
        <v>148.5</v>
      </c>
    </row>
    <row r="1745" spans="1:4">
      <c r="A1745" s="23" t="s">
        <v>328</v>
      </c>
      <c r="B1745" s="24">
        <v>1</v>
      </c>
      <c r="C1745" s="25">
        <v>143</v>
      </c>
      <c r="D1745" s="25">
        <f t="shared" si="27"/>
        <v>143</v>
      </c>
    </row>
    <row r="1746" spans="1:4">
      <c r="A1746" s="23" t="s">
        <v>329</v>
      </c>
      <c r="B1746" s="24">
        <v>1</v>
      </c>
      <c r="C1746" s="25">
        <v>148.5</v>
      </c>
      <c r="D1746" s="25">
        <f t="shared" si="27"/>
        <v>148.5</v>
      </c>
    </row>
    <row r="1747" spans="1:4">
      <c r="A1747" s="23" t="s">
        <v>330</v>
      </c>
      <c r="B1747" s="24">
        <v>1</v>
      </c>
      <c r="C1747" s="25">
        <v>49.5</v>
      </c>
      <c r="D1747" s="25">
        <f t="shared" si="27"/>
        <v>49.5</v>
      </c>
    </row>
    <row r="1748" spans="1:4">
      <c r="A1748" s="23" t="s">
        <v>331</v>
      </c>
      <c r="B1748" s="24">
        <v>1</v>
      </c>
      <c r="C1748" s="25">
        <v>143</v>
      </c>
      <c r="D1748" s="25">
        <f t="shared" si="27"/>
        <v>143</v>
      </c>
    </row>
    <row r="1749" spans="1:4">
      <c r="A1749" s="23" t="s">
        <v>332</v>
      </c>
      <c r="B1749" s="24">
        <v>1</v>
      </c>
      <c r="C1749" s="25">
        <v>137.5</v>
      </c>
      <c r="D1749" s="25">
        <f t="shared" si="27"/>
        <v>137.5</v>
      </c>
    </row>
    <row r="1750" spans="1:4">
      <c r="A1750" s="23" t="s">
        <v>333</v>
      </c>
      <c r="B1750" s="24">
        <v>1</v>
      </c>
      <c r="C1750" s="25">
        <v>88</v>
      </c>
      <c r="D1750" s="25">
        <f t="shared" si="27"/>
        <v>88</v>
      </c>
    </row>
    <row r="1751" spans="1:4">
      <c r="A1751" s="23" t="s">
        <v>334</v>
      </c>
      <c r="B1751" s="24">
        <v>1</v>
      </c>
      <c r="C1751" s="25">
        <v>192.5</v>
      </c>
      <c r="D1751" s="25">
        <f t="shared" si="27"/>
        <v>192.5</v>
      </c>
    </row>
    <row r="1752" spans="1:4">
      <c r="A1752" s="23" t="s">
        <v>335</v>
      </c>
      <c r="B1752" s="24">
        <v>1</v>
      </c>
      <c r="C1752" s="25">
        <v>50</v>
      </c>
      <c r="D1752" s="25">
        <f t="shared" si="27"/>
        <v>50</v>
      </c>
    </row>
    <row r="1753" spans="1:4">
      <c r="A1753" s="23" t="s">
        <v>336</v>
      </c>
      <c r="B1753" s="24">
        <v>1</v>
      </c>
      <c r="C1753" s="25">
        <v>171</v>
      </c>
      <c r="D1753" s="25">
        <f t="shared" si="27"/>
        <v>171</v>
      </c>
    </row>
    <row r="1754" ht="27" spans="1:4">
      <c r="A1754" s="23" t="s">
        <v>337</v>
      </c>
      <c r="B1754" s="24">
        <v>1</v>
      </c>
      <c r="C1754" s="25">
        <v>105</v>
      </c>
      <c r="D1754" s="25">
        <f t="shared" si="27"/>
        <v>105</v>
      </c>
    </row>
    <row r="1755" spans="1:4">
      <c r="A1755" s="23" t="s">
        <v>338</v>
      </c>
      <c r="B1755" s="24">
        <v>1</v>
      </c>
      <c r="C1755" s="25">
        <v>49.5</v>
      </c>
      <c r="D1755" s="25">
        <f t="shared" si="27"/>
        <v>49.5</v>
      </c>
    </row>
    <row r="1756" spans="1:4">
      <c r="A1756" s="23" t="s">
        <v>339</v>
      </c>
      <c r="B1756" s="24">
        <v>1</v>
      </c>
      <c r="C1756" s="25">
        <v>143</v>
      </c>
      <c r="D1756" s="25">
        <f t="shared" si="27"/>
        <v>143</v>
      </c>
    </row>
    <row r="1757" spans="1:4">
      <c r="A1757" s="23" t="s">
        <v>340</v>
      </c>
      <c r="B1757" s="24">
        <v>1</v>
      </c>
      <c r="C1757" s="25">
        <v>148.5</v>
      </c>
      <c r="D1757" s="25">
        <f t="shared" si="27"/>
        <v>148.5</v>
      </c>
    </row>
    <row r="1758" spans="1:4">
      <c r="A1758" s="23" t="s">
        <v>341</v>
      </c>
      <c r="B1758" s="24">
        <v>1</v>
      </c>
      <c r="C1758" s="25">
        <v>181.5</v>
      </c>
      <c r="D1758" s="25">
        <f t="shared" si="27"/>
        <v>181.5</v>
      </c>
    </row>
    <row r="1759" spans="1:4">
      <c r="A1759" s="23" t="s">
        <v>342</v>
      </c>
      <c r="B1759" s="24">
        <v>1</v>
      </c>
      <c r="C1759" s="25">
        <v>341.5</v>
      </c>
      <c r="D1759" s="25">
        <f t="shared" si="27"/>
        <v>341.5</v>
      </c>
    </row>
    <row r="1760" spans="1:4">
      <c r="A1760" s="23" t="s">
        <v>343</v>
      </c>
      <c r="B1760" s="24">
        <v>1</v>
      </c>
      <c r="C1760" s="25">
        <v>66</v>
      </c>
      <c r="D1760" s="25">
        <f t="shared" si="27"/>
        <v>66</v>
      </c>
    </row>
    <row r="1761" spans="1:4">
      <c r="A1761" s="23" t="s">
        <v>344</v>
      </c>
      <c r="B1761" s="24">
        <v>1</v>
      </c>
      <c r="C1761" s="25">
        <v>132</v>
      </c>
      <c r="D1761" s="25">
        <f t="shared" si="27"/>
        <v>132</v>
      </c>
    </row>
    <row r="1762" spans="1:4">
      <c r="A1762" s="23" t="s">
        <v>345</v>
      </c>
      <c r="B1762" s="24">
        <v>1</v>
      </c>
      <c r="C1762" s="25">
        <v>77</v>
      </c>
      <c r="D1762" s="25">
        <f t="shared" si="27"/>
        <v>77</v>
      </c>
    </row>
    <row r="1763" spans="1:4">
      <c r="A1763" s="23" t="s">
        <v>346</v>
      </c>
      <c r="B1763" s="24">
        <v>1</v>
      </c>
      <c r="C1763" s="25">
        <v>126.5</v>
      </c>
      <c r="D1763" s="25">
        <f t="shared" si="27"/>
        <v>126.5</v>
      </c>
    </row>
    <row r="1764" spans="1:4">
      <c r="A1764" s="23" t="s">
        <v>347</v>
      </c>
      <c r="B1764" s="24">
        <v>1</v>
      </c>
      <c r="C1764" s="25">
        <v>121.5</v>
      </c>
      <c r="D1764" s="25">
        <f t="shared" si="27"/>
        <v>121.5</v>
      </c>
    </row>
    <row r="1765" spans="1:4">
      <c r="A1765" s="23" t="s">
        <v>348</v>
      </c>
      <c r="B1765" s="24">
        <v>1</v>
      </c>
      <c r="C1765" s="25">
        <v>50</v>
      </c>
      <c r="D1765" s="25">
        <f t="shared" si="27"/>
        <v>50</v>
      </c>
    </row>
    <row r="1766" spans="1:4">
      <c r="A1766" s="23" t="s">
        <v>349</v>
      </c>
      <c r="B1766" s="24">
        <v>1</v>
      </c>
      <c r="C1766" s="25">
        <v>220</v>
      </c>
      <c r="D1766" s="25">
        <f t="shared" si="27"/>
        <v>220</v>
      </c>
    </row>
    <row r="1767" spans="1:4">
      <c r="A1767" s="23" t="s">
        <v>350</v>
      </c>
      <c r="B1767" s="24">
        <v>1</v>
      </c>
      <c r="C1767" s="25">
        <v>220</v>
      </c>
      <c r="D1767" s="25">
        <f t="shared" si="27"/>
        <v>220</v>
      </c>
    </row>
    <row r="1768" spans="1:4">
      <c r="A1768" s="23" t="s">
        <v>351</v>
      </c>
      <c r="B1768" s="24">
        <v>1</v>
      </c>
      <c r="C1768" s="25">
        <v>126.5</v>
      </c>
      <c r="D1768" s="25">
        <f t="shared" si="27"/>
        <v>126.5</v>
      </c>
    </row>
    <row r="1769" spans="1:4">
      <c r="A1769" s="23" t="s">
        <v>352</v>
      </c>
      <c r="B1769" s="24">
        <v>1</v>
      </c>
      <c r="C1769" s="25">
        <v>126.5</v>
      </c>
      <c r="D1769" s="25">
        <f t="shared" si="27"/>
        <v>126.5</v>
      </c>
    </row>
    <row r="1770" spans="1:4">
      <c r="A1770" s="23" t="s">
        <v>353</v>
      </c>
      <c r="B1770" s="24">
        <v>1</v>
      </c>
      <c r="C1770" s="25">
        <v>66</v>
      </c>
      <c r="D1770" s="25">
        <f t="shared" si="27"/>
        <v>66</v>
      </c>
    </row>
    <row r="1771" spans="1:4">
      <c r="A1771" s="23" t="s">
        <v>354</v>
      </c>
      <c r="B1771" s="24">
        <v>1</v>
      </c>
      <c r="C1771" s="25">
        <v>143</v>
      </c>
      <c r="D1771" s="25">
        <f t="shared" si="27"/>
        <v>143</v>
      </c>
    </row>
    <row r="1772" spans="1:4">
      <c r="A1772" s="23" t="s">
        <v>355</v>
      </c>
      <c r="B1772" s="24">
        <v>1</v>
      </c>
      <c r="C1772" s="25">
        <v>148.5</v>
      </c>
      <c r="D1772" s="25">
        <f t="shared" si="27"/>
        <v>148.5</v>
      </c>
    </row>
    <row r="1773" ht="27" spans="1:4">
      <c r="A1773" s="23" t="s">
        <v>356</v>
      </c>
      <c r="B1773" s="24">
        <v>1</v>
      </c>
      <c r="C1773" s="25">
        <v>137.5</v>
      </c>
      <c r="D1773" s="25">
        <f t="shared" si="27"/>
        <v>137.5</v>
      </c>
    </row>
    <row r="1774" ht="27" spans="1:4">
      <c r="A1774" s="23" t="s">
        <v>357</v>
      </c>
      <c r="B1774" s="24">
        <v>1</v>
      </c>
      <c r="C1774" s="25">
        <v>126.5</v>
      </c>
      <c r="D1774" s="25">
        <f t="shared" si="27"/>
        <v>126.5</v>
      </c>
    </row>
    <row r="1775" ht="27" spans="1:4">
      <c r="A1775" s="23" t="s">
        <v>358</v>
      </c>
      <c r="B1775" s="24">
        <v>1</v>
      </c>
      <c r="C1775" s="25">
        <v>374.5</v>
      </c>
      <c r="D1775" s="25">
        <f t="shared" si="27"/>
        <v>374.5</v>
      </c>
    </row>
    <row r="1776" ht="27" spans="1:4">
      <c r="A1776" s="23" t="s">
        <v>359</v>
      </c>
      <c r="B1776" s="24">
        <v>1</v>
      </c>
      <c r="C1776" s="25">
        <v>225.5</v>
      </c>
      <c r="D1776" s="25">
        <f t="shared" si="27"/>
        <v>225.5</v>
      </c>
    </row>
    <row r="1777" ht="27" spans="1:4">
      <c r="A1777" s="23" t="s">
        <v>360</v>
      </c>
      <c r="B1777" s="24">
        <v>1</v>
      </c>
      <c r="C1777" s="25">
        <v>165</v>
      </c>
      <c r="D1777" s="25">
        <f t="shared" si="27"/>
        <v>165</v>
      </c>
    </row>
    <row r="1778" ht="27" spans="1:4">
      <c r="A1778" s="23" t="s">
        <v>361</v>
      </c>
      <c r="B1778" s="24">
        <v>1</v>
      </c>
      <c r="C1778" s="25">
        <v>198</v>
      </c>
      <c r="D1778" s="25">
        <f t="shared" si="27"/>
        <v>198</v>
      </c>
    </row>
    <row r="1779" ht="27" spans="1:4">
      <c r="A1779" s="23" t="s">
        <v>362</v>
      </c>
      <c r="B1779" s="24">
        <v>1</v>
      </c>
      <c r="C1779" s="25">
        <v>220.5</v>
      </c>
      <c r="D1779" s="25">
        <f t="shared" si="27"/>
        <v>220.5</v>
      </c>
    </row>
    <row r="1780" spans="1:4">
      <c r="A1780" s="23" t="s">
        <v>363</v>
      </c>
      <c r="B1780" s="24">
        <v>1</v>
      </c>
      <c r="C1780" s="25">
        <v>66</v>
      </c>
      <c r="D1780" s="25">
        <f t="shared" si="27"/>
        <v>66</v>
      </c>
    </row>
    <row r="1781" spans="1:4">
      <c r="A1781" s="23" t="s">
        <v>364</v>
      </c>
      <c r="B1781" s="24">
        <v>1</v>
      </c>
      <c r="C1781" s="25">
        <v>121</v>
      </c>
      <c r="D1781" s="25">
        <f t="shared" si="27"/>
        <v>121</v>
      </c>
    </row>
    <row r="1782" spans="1:4">
      <c r="A1782" s="23" t="s">
        <v>365</v>
      </c>
      <c r="B1782" s="24">
        <v>1</v>
      </c>
      <c r="C1782" s="25">
        <v>82.5</v>
      </c>
      <c r="D1782" s="25">
        <f t="shared" si="27"/>
        <v>82.5</v>
      </c>
    </row>
    <row r="1783" spans="1:4">
      <c r="A1783" s="23" t="s">
        <v>366</v>
      </c>
      <c r="B1783" s="24">
        <v>1</v>
      </c>
      <c r="C1783" s="25">
        <v>247.5</v>
      </c>
      <c r="D1783" s="25">
        <f t="shared" si="27"/>
        <v>247.5</v>
      </c>
    </row>
    <row r="1784" spans="1:4">
      <c r="A1784" s="23" t="s">
        <v>367</v>
      </c>
      <c r="B1784" s="24">
        <v>1</v>
      </c>
      <c r="C1784" s="25">
        <v>429</v>
      </c>
      <c r="D1784" s="25">
        <f t="shared" si="27"/>
        <v>429</v>
      </c>
    </row>
    <row r="1785" spans="1:4">
      <c r="A1785" s="23" t="s">
        <v>368</v>
      </c>
      <c r="B1785" s="24">
        <v>1</v>
      </c>
      <c r="C1785" s="25">
        <v>16.5</v>
      </c>
      <c r="D1785" s="25">
        <f t="shared" si="27"/>
        <v>16.5</v>
      </c>
    </row>
    <row r="1786" spans="1:4">
      <c r="A1786" s="23" t="s">
        <v>369</v>
      </c>
      <c r="B1786" s="24">
        <v>1</v>
      </c>
      <c r="C1786" s="25">
        <v>165</v>
      </c>
      <c r="D1786" s="25">
        <f t="shared" si="27"/>
        <v>165</v>
      </c>
    </row>
    <row r="1787" spans="1:4">
      <c r="A1787" s="23" t="s">
        <v>370</v>
      </c>
      <c r="B1787" s="24">
        <v>1</v>
      </c>
      <c r="C1787" s="25">
        <v>165</v>
      </c>
      <c r="D1787" s="25">
        <f t="shared" si="27"/>
        <v>165</v>
      </c>
    </row>
    <row r="1788" spans="1:4">
      <c r="A1788" s="23" t="s">
        <v>371</v>
      </c>
      <c r="B1788" s="24">
        <v>1</v>
      </c>
      <c r="C1788" s="25">
        <v>253</v>
      </c>
      <c r="D1788" s="25">
        <f t="shared" si="27"/>
        <v>253</v>
      </c>
    </row>
    <row r="1789" spans="1:4">
      <c r="A1789" s="23" t="s">
        <v>372</v>
      </c>
      <c r="B1789" s="24">
        <v>1</v>
      </c>
      <c r="C1789" s="25">
        <v>11</v>
      </c>
      <c r="D1789" s="25">
        <f t="shared" si="27"/>
        <v>11</v>
      </c>
    </row>
    <row r="1790" spans="1:4">
      <c r="A1790" s="23" t="s">
        <v>373</v>
      </c>
      <c r="B1790" s="24">
        <v>1</v>
      </c>
      <c r="C1790" s="25">
        <v>110</v>
      </c>
      <c r="D1790" s="25">
        <f t="shared" si="27"/>
        <v>110</v>
      </c>
    </row>
    <row r="1791" spans="1:4">
      <c r="A1791" s="23" t="s">
        <v>374</v>
      </c>
      <c r="B1791" s="24">
        <v>1</v>
      </c>
      <c r="C1791" s="25">
        <v>148.5</v>
      </c>
      <c r="D1791" s="25">
        <f t="shared" si="27"/>
        <v>148.5</v>
      </c>
    </row>
    <row r="1792" spans="1:4">
      <c r="A1792" s="23" t="s">
        <v>375</v>
      </c>
      <c r="B1792" s="24">
        <v>1</v>
      </c>
      <c r="C1792" s="25">
        <v>35</v>
      </c>
      <c r="D1792" s="25">
        <f t="shared" si="27"/>
        <v>35</v>
      </c>
    </row>
    <row r="1793" spans="1:4">
      <c r="A1793" s="23" t="s">
        <v>376</v>
      </c>
      <c r="B1793" s="24">
        <v>1</v>
      </c>
      <c r="C1793" s="25">
        <v>110</v>
      </c>
      <c r="D1793" s="25">
        <f t="shared" si="27"/>
        <v>110</v>
      </c>
    </row>
    <row r="1794" spans="1:4">
      <c r="A1794" s="23" t="s">
        <v>377</v>
      </c>
      <c r="B1794" s="24">
        <v>1</v>
      </c>
      <c r="C1794" s="25">
        <v>148.5</v>
      </c>
      <c r="D1794" s="25">
        <f t="shared" si="27"/>
        <v>148.5</v>
      </c>
    </row>
    <row r="1795" spans="1:4">
      <c r="A1795" s="23" t="s">
        <v>378</v>
      </c>
      <c r="B1795" s="24">
        <v>1</v>
      </c>
      <c r="C1795" s="25">
        <v>27.5</v>
      </c>
      <c r="D1795" s="25">
        <f t="shared" si="27"/>
        <v>27.5</v>
      </c>
    </row>
    <row r="1796" spans="1:4">
      <c r="A1796" s="23" t="s">
        <v>379</v>
      </c>
      <c r="B1796" s="24">
        <v>1</v>
      </c>
      <c r="C1796" s="25">
        <v>27.5</v>
      </c>
      <c r="D1796" s="25">
        <f t="shared" si="27"/>
        <v>27.5</v>
      </c>
    </row>
    <row r="1797" spans="1:4">
      <c r="A1797" s="23" t="s">
        <v>380</v>
      </c>
      <c r="B1797" s="24">
        <v>1</v>
      </c>
      <c r="C1797" s="25">
        <v>22</v>
      </c>
      <c r="D1797" s="25">
        <f t="shared" si="27"/>
        <v>22</v>
      </c>
    </row>
    <row r="1798" spans="1:4">
      <c r="A1798" s="23" t="s">
        <v>381</v>
      </c>
      <c r="B1798" s="24">
        <v>1</v>
      </c>
      <c r="C1798" s="25">
        <v>38.5</v>
      </c>
      <c r="D1798" s="25">
        <f t="shared" ref="D1798:D1810" si="28">C1798*B1798</f>
        <v>38.5</v>
      </c>
    </row>
    <row r="1799" ht="27" spans="1:4">
      <c r="A1799" s="23" t="s">
        <v>382</v>
      </c>
      <c r="B1799" s="24">
        <v>1</v>
      </c>
      <c r="C1799" s="25">
        <v>27.5</v>
      </c>
      <c r="D1799" s="25">
        <f t="shared" si="28"/>
        <v>27.5</v>
      </c>
    </row>
    <row r="1800" ht="27" spans="1:4">
      <c r="A1800" s="23" t="s">
        <v>383</v>
      </c>
      <c r="B1800" s="24">
        <v>1</v>
      </c>
      <c r="C1800" s="25">
        <v>11</v>
      </c>
      <c r="D1800" s="25">
        <f t="shared" si="28"/>
        <v>11</v>
      </c>
    </row>
    <row r="1801" spans="1:4">
      <c r="A1801" s="23" t="s">
        <v>384</v>
      </c>
      <c r="B1801" s="24">
        <v>1</v>
      </c>
      <c r="C1801" s="25">
        <v>5.5</v>
      </c>
      <c r="D1801" s="25">
        <f t="shared" si="28"/>
        <v>5.5</v>
      </c>
    </row>
    <row r="1802" spans="1:4">
      <c r="A1802" s="23" t="s">
        <v>385</v>
      </c>
      <c r="B1802" s="24">
        <v>1</v>
      </c>
      <c r="C1802" s="25">
        <v>33</v>
      </c>
      <c r="D1802" s="25">
        <f t="shared" si="28"/>
        <v>33</v>
      </c>
    </row>
    <row r="1803" spans="1:4">
      <c r="A1803" s="23" t="s">
        <v>386</v>
      </c>
      <c r="B1803" s="24">
        <v>1</v>
      </c>
      <c r="C1803" s="25">
        <v>33</v>
      </c>
      <c r="D1803" s="25">
        <f t="shared" si="28"/>
        <v>33</v>
      </c>
    </row>
    <row r="1804" spans="1:4">
      <c r="A1804" s="23" t="s">
        <v>387</v>
      </c>
      <c r="B1804" s="24">
        <v>1</v>
      </c>
      <c r="C1804" s="25">
        <v>33</v>
      </c>
      <c r="D1804" s="25">
        <f t="shared" si="28"/>
        <v>33</v>
      </c>
    </row>
    <row r="1805" spans="1:4">
      <c r="A1805" s="23" t="s">
        <v>388</v>
      </c>
      <c r="B1805" s="24">
        <v>1</v>
      </c>
      <c r="C1805" s="25">
        <v>44</v>
      </c>
      <c r="D1805" s="25">
        <f t="shared" si="28"/>
        <v>44</v>
      </c>
    </row>
    <row r="1806" spans="1:4">
      <c r="A1806" s="23" t="s">
        <v>389</v>
      </c>
      <c r="B1806" s="24">
        <v>1</v>
      </c>
      <c r="C1806" s="25">
        <v>22</v>
      </c>
      <c r="D1806" s="25">
        <f t="shared" si="28"/>
        <v>22</v>
      </c>
    </row>
    <row r="1807" spans="1:4">
      <c r="A1807" s="23" t="s">
        <v>390</v>
      </c>
      <c r="B1807" s="24">
        <v>1</v>
      </c>
      <c r="C1807" s="25">
        <v>77</v>
      </c>
      <c r="D1807" s="25">
        <f t="shared" si="28"/>
        <v>77</v>
      </c>
    </row>
    <row r="1808" spans="1:4">
      <c r="A1808" s="23" t="s">
        <v>391</v>
      </c>
      <c r="B1808" s="24">
        <v>1</v>
      </c>
      <c r="C1808" s="25">
        <v>27.5</v>
      </c>
      <c r="D1808" s="25">
        <f t="shared" si="28"/>
        <v>27.5</v>
      </c>
    </row>
    <row r="1809" spans="1:4 16373:16384">
      <c r="A1809" s="23" t="s">
        <v>392</v>
      </c>
      <c r="B1809" s="24">
        <v>1</v>
      </c>
      <c r="C1809" s="25">
        <v>33</v>
      </c>
      <c r="D1809" s="25">
        <f t="shared" si="28"/>
        <v>33</v>
      </c>
    </row>
    <row r="1810" spans="1:4 16373:16384">
      <c r="A1810" s="23" t="s">
        <v>393</v>
      </c>
      <c r="B1810" s="24">
        <v>1</v>
      </c>
      <c r="C1810" s="25">
        <v>33</v>
      </c>
      <c r="D1810" s="25">
        <f t="shared" si="28"/>
        <v>33</v>
      </c>
    </row>
    <row r="1811" spans="1:4 16373:16384">
      <c r="A1811" s="26" t="s">
        <v>4</v>
      </c>
      <c r="B1811" s="27"/>
      <c r="C1811" s="28"/>
      <c r="D1811" s="19">
        <f>SUM(D1734:D1810)</f>
        <v>9197.5</v>
      </c>
    </row>
    <row r="1815" s="1" customFormat="1" ht="45" customHeight="1" spans="1:4 16373:16384">
      <c r="A1815" s="20" t="s">
        <v>394</v>
      </c>
      <c r="B1815" s="20"/>
      <c r="C1815" s="20"/>
      <c r="D1815" s="20"/>
      <c r="XES1815"/>
      <c r="XET1815"/>
      <c r="XEU1815"/>
      <c r="XEV1815"/>
      <c r="XEW1815"/>
      <c r="XEX1815"/>
      <c r="XEY1815"/>
      <c r="XEZ1815"/>
      <c r="XFA1815"/>
      <c r="XFB1815"/>
      <c r="XFC1815"/>
      <c r="XFD1815"/>
    </row>
    <row r="1816" s="1" customFormat="1" spans="1:4 16373:16384">
      <c r="A1816" s="7" t="s">
        <v>395</v>
      </c>
      <c r="B1816" s="29"/>
      <c r="C1816" s="29"/>
      <c r="D1816" s="30">
        <f>D1727</f>
        <v>137664.3</v>
      </c>
      <c r="XES1816"/>
      <c r="XET1816"/>
      <c r="XEU1816"/>
      <c r="XEV1816"/>
      <c r="XEW1816"/>
      <c r="XEX1816"/>
      <c r="XEY1816"/>
      <c r="XEZ1816"/>
      <c r="XFA1816"/>
      <c r="XFB1816"/>
      <c r="XFC1816"/>
      <c r="XFD1816"/>
    </row>
    <row r="1817" s="1" customFormat="1" spans="1:4 16373:16384">
      <c r="A1817" s="7" t="s">
        <v>396</v>
      </c>
      <c r="B1817" s="29"/>
      <c r="C1817" s="29"/>
      <c r="D1817" s="31">
        <f>D1811</f>
        <v>9197.5</v>
      </c>
      <c r="XES1817"/>
      <c r="XET1817"/>
      <c r="XEU1817"/>
      <c r="XEV1817"/>
      <c r="XEW1817"/>
      <c r="XEX1817"/>
      <c r="XEY1817"/>
      <c r="XEZ1817"/>
      <c r="XFA1817"/>
      <c r="XFB1817"/>
      <c r="XFC1817"/>
      <c r="XFD1817"/>
    </row>
    <row r="1818" s="1" customFormat="1" spans="1:4 16373:16384">
      <c r="A1818" s="32" t="s">
        <v>397</v>
      </c>
      <c r="B1818" s="33"/>
      <c r="C1818" s="34"/>
      <c r="D1818" s="31">
        <f>[1]费用调整!$G$7</f>
        <v>-669.2</v>
      </c>
      <c r="XES1818"/>
      <c r="XET1818"/>
      <c r="XEU1818"/>
      <c r="XEV1818"/>
      <c r="XEW1818"/>
      <c r="XEX1818"/>
      <c r="XEY1818"/>
      <c r="XEZ1818"/>
      <c r="XFA1818"/>
      <c r="XFB1818"/>
      <c r="XFC1818"/>
      <c r="XFD1818"/>
    </row>
    <row r="1819" s="1" customFormat="1" spans="1:4 16373:16384">
      <c r="A1819" s="7" t="s">
        <v>398</v>
      </c>
      <c r="B1819" s="29"/>
      <c r="C1819" s="29"/>
      <c r="D1819" s="31">
        <f>50*30</f>
        <v>1500</v>
      </c>
      <c r="XES1819"/>
      <c r="XET1819"/>
      <c r="XEU1819"/>
      <c r="XEV1819"/>
      <c r="XEW1819"/>
      <c r="XEX1819"/>
      <c r="XEY1819"/>
      <c r="XEZ1819"/>
      <c r="XFA1819"/>
      <c r="XFB1819"/>
      <c r="XFC1819"/>
      <c r="XFD1819"/>
    </row>
    <row r="1820" s="1" customFormat="1" spans="1:4 16373:16384">
      <c r="A1820" s="7" t="s">
        <v>399</v>
      </c>
      <c r="B1820" s="35">
        <f>D1820</f>
        <v>147692.6</v>
      </c>
      <c r="C1820" s="35"/>
      <c r="D1820" s="30">
        <f>D1816+D1817+D1818+D1819</f>
        <v>147692.6</v>
      </c>
      <c r="XES1820"/>
      <c r="XET1820"/>
      <c r="XEU1820"/>
      <c r="XEV1820"/>
      <c r="XEW1820"/>
      <c r="XEX1820"/>
      <c r="XEY1820"/>
      <c r="XEZ1820"/>
      <c r="XFA1820"/>
      <c r="XFB1820"/>
      <c r="XFC1820"/>
      <c r="XFD1820"/>
    </row>
  </sheetData>
  <mergeCells count="10">
    <mergeCell ref="A1:D1"/>
    <mergeCell ref="A1727:C1727"/>
    <mergeCell ref="A1731:D1731"/>
    <mergeCell ref="A1811:C1811"/>
    <mergeCell ref="A1815:D1815"/>
    <mergeCell ref="A1816:C1816"/>
    <mergeCell ref="A1817:C1817"/>
    <mergeCell ref="A1818:C1818"/>
    <mergeCell ref="A1819:C1819"/>
    <mergeCell ref="B1820:C1820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2024-07-29T04:07:00Z</dcterms:created>
  <dcterms:modified xsi:type="dcterms:W3CDTF">2026-05-06T02:22:44Z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5304B8D1CEC6437E84951316A24367F9_13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