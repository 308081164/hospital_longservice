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黑龙江省中医药大学附属第三医院（电力）" sheetId="1" r:id="rId1"/>
  </sheets>
  <definedNames>
    <definedName name="_xlnm.Print_Titles" localSheetId="0">'黑龙江省中医药大学附属第三医院（电力）'!$1:$4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<sst xmlns="http://schemas.openxmlformats.org/spreadsheetml/2006/main" count="41" uniqueCount="18">
  <si>
    <t/>
  </si>
  <si>
    <t>黑龙江中医药大学附属第三医院　结款通知函</t>
  </si>
  <si>
    <r>
      <rPr>
        <b/>
        <sz val="14"/>
        <color rgb="FF000000"/>
        <rFont val="宋体"/>
        <charset val="134"/>
      </rPr>
      <t>致：</t>
    </r>
    <r>
      <rPr>
        <b/>
        <sz val="14"/>
        <color rgb="FF000000"/>
        <rFont val="宋体"/>
        <charset val="134"/>
      </rPr>
      <t>黑龙江中医药大学附属第三医院</t>
    </r>
  </si>
  <si>
    <t>从:2026年3月1日  至: 2026年3月31日 灭菌费用总清单如下：</t>
  </si>
  <si>
    <t>序号</t>
  </si>
  <si>
    <t>条目</t>
  </si>
  <si>
    <t>费用</t>
  </si>
  <si>
    <t>备注</t>
  </si>
  <si>
    <t>灭菌费用</t>
  </si>
  <si>
    <t>7折优惠</t>
  </si>
  <si>
    <t>外来器械</t>
  </si>
  <si>
    <t>物流费用</t>
  </si>
  <si>
    <t>50元/次</t>
  </si>
  <si>
    <t>合　　计</t>
  </si>
  <si>
    <t>合计大写</t>
  </si>
  <si>
    <r>
      <rPr>
        <sz val="14"/>
        <color rgb="FF000000"/>
        <rFont val="宋体"/>
        <charset val="134"/>
      </rPr>
      <t xml:space="preserve">贵医院各个科室消毒灭菌的器械详情见附件，请您仔细核对。
我们将在您核对内容之后开具正规发票，请您在收到发票之后的3个工作日之内予以付款。
我们的付款信息如下：
</t>
    </r>
    <r>
      <rPr>
        <b/>
        <sz val="14"/>
        <color rgb="FF000000"/>
        <rFont val="宋体"/>
        <charset val="134"/>
      </rPr>
      <t xml:space="preserve">公司名称： 黑龙江省铂康医疗灭菌有限公司    
账号：168995238437      
开户银行：中国银行哈尔滨道里支行
感谢您的支持！
＊截止本月末最后一天前不将反馈信息反馈到我公司，视同默认金额，并以此账单为结算依据。
 </t>
    </r>
    <r>
      <rPr>
        <sz val="14"/>
        <color rgb="FF000000"/>
        <rFont val="宋体"/>
        <charset val="134"/>
      </rPr>
      <t xml:space="preserve"> 此致
</t>
    </r>
  </si>
  <si>
    <t xml:space="preserve"> 敬礼</t>
  </si>
  <si>
    <t>黑龙江省铂康医疗灭菌有限公司
2026年3月31日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</si>
</sst>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DBNum2][$RMB]General;[Red][DBNum2][$RMB]General"/>
  </numFmts>
  <fonts count="28">
    <font>
      <sz val="11"/>
      <name val="宋体"/>
      <charset val="134"/>
      <scheme val="minor"/>
    </font>
    <font>
      <b/>
      <sz val="14"/>
      <color rgb="FF000000"/>
      <name val="宋体"/>
      <charset val="134"/>
    </font>
    <font>
      <sz val="12"/>
      <color rgb="FF000000"/>
      <name val="Droid Sans Fallback"/>
      <charset val="134"/>
    </font>
    <font>
      <sz val="14"/>
      <color rgb="FF000000"/>
      <name val="宋体"/>
      <charset val="134"/>
    </font>
    <font>
      <sz val="14"/>
      <color rgb="FF000000"/>
      <name val="Droid Sans Fallback"/>
      <charset val="134"/>
    </font>
    <font>
      <sz val="14"/>
      <color rgb="FF000000"/>
      <name val="宋体"/>
      <charset val="134"/>
      <scheme val="major"/>
    </font>
    <font>
      <sz val="14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2" borderId="8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11" applyNumberFormat="0" applyAlignment="0" applyProtection="0">
      <alignment vertical="center"/>
    </xf>
    <xf numFmtId="0" fontId="17" fillId="4" borderId="12" applyNumberFormat="0" applyAlignment="0" applyProtection="0">
      <alignment vertical="center"/>
    </xf>
    <xf numFmtId="0" fontId="18" fillId="4" borderId="11" applyNumberFormat="0" applyAlignment="0" applyProtection="0">
      <alignment vertical="center"/>
    </xf>
    <xf numFmtId="0" fontId="19" fillId="5" borderId="13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0" borderId="15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7" fillId="0" borderId="0"/>
  </cellStyleXfs>
  <cellXfs count="24">
    <xf numFmtId="0" fontId="0" fillId="0" borderId="0" xfId="0" applyFont="1" applyFill="1" applyBorder="1" applyAlignment="1"/>
    <xf numFmtId="0" fontId="0" fillId="0" borderId="1" xfId="0" applyNumberFormat="1" applyFont="1" applyFill="1" applyBorder="1" applyAlignment="1">
      <alignment vertical="top" wrapText="1"/>
    </xf>
    <xf numFmtId="0" fontId="1" fillId="0" borderId="0" xfId="0" applyNumberFormat="1" applyFont="1" applyFill="1" applyBorder="1" applyAlignment="1">
      <alignment horizontal="center" vertical="top" wrapText="1" readingOrder="1"/>
    </xf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horizontal="left" vertical="top" wrapText="1" readingOrder="1"/>
    </xf>
    <xf numFmtId="0" fontId="3" fillId="0" borderId="0" xfId="0" applyNumberFormat="1" applyFont="1" applyFill="1" applyBorder="1" applyAlignment="1">
      <alignment horizontal="left" vertical="top" wrapText="1" readingOrder="1"/>
    </xf>
    <xf numFmtId="0" fontId="4" fillId="0" borderId="2" xfId="0" applyNumberFormat="1" applyFont="1" applyFill="1" applyBorder="1" applyAlignment="1">
      <alignment horizontal="center" vertical="center" wrapText="1" readingOrder="1"/>
    </xf>
    <xf numFmtId="0" fontId="0" fillId="0" borderId="3" xfId="0" applyNumberFormat="1" applyFont="1" applyFill="1" applyBorder="1" applyAlignment="1">
      <alignment vertical="center" wrapText="1"/>
    </xf>
    <xf numFmtId="0" fontId="3" fillId="0" borderId="4" xfId="0" applyNumberFormat="1" applyFont="1" applyFill="1" applyBorder="1" applyAlignment="1">
      <alignment horizontal="center" vertical="center" wrapText="1" readingOrder="1"/>
    </xf>
    <xf numFmtId="0" fontId="4" fillId="0" borderId="4" xfId="0" applyNumberFormat="1" applyFont="1" applyFill="1" applyBorder="1" applyAlignment="1">
      <alignment horizontal="center" vertical="center" wrapText="1" readingOrder="1"/>
    </xf>
    <xf numFmtId="176" fontId="4" fillId="0" borderId="4" xfId="0" applyNumberFormat="1" applyFont="1" applyFill="1" applyBorder="1" applyAlignment="1">
      <alignment horizontal="center" vertical="center" wrapText="1" readingOrder="1"/>
    </xf>
    <xf numFmtId="0" fontId="0" fillId="0" borderId="4" xfId="0" applyNumberFormat="1" applyFont="1" applyFill="1" applyBorder="1" applyAlignment="1">
      <alignment vertical="center" wrapText="1"/>
    </xf>
    <xf numFmtId="0" fontId="5" fillId="0" borderId="4" xfId="0" applyNumberFormat="1" applyFont="1" applyFill="1" applyBorder="1" applyAlignment="1">
      <alignment horizontal="center" vertical="center" wrapText="1" readingOrder="1"/>
    </xf>
    <xf numFmtId="0" fontId="6" fillId="0" borderId="5" xfId="0" applyNumberFormat="1" applyFont="1" applyFill="1" applyBorder="1" applyAlignment="1">
      <alignment horizontal="center" vertical="center" wrapText="1"/>
    </xf>
    <xf numFmtId="176" fontId="4" fillId="0" borderId="5" xfId="0" applyNumberFormat="1" applyFont="1" applyFill="1" applyBorder="1" applyAlignment="1">
      <alignment horizontal="center" vertical="center" wrapText="1" readingOrder="1"/>
    </xf>
    <xf numFmtId="0" fontId="4" fillId="0" borderId="5" xfId="0" applyNumberFormat="1" applyFont="1" applyFill="1" applyBorder="1" applyAlignment="1">
      <alignment horizontal="center" vertical="center" wrapText="1" readingOrder="1"/>
    </xf>
    <xf numFmtId="176" fontId="4" fillId="0" borderId="6" xfId="0" applyNumberFormat="1" applyFont="1" applyFill="1" applyBorder="1" applyAlignment="1">
      <alignment horizontal="center" vertical="center" wrapText="1" readingOrder="1"/>
    </xf>
    <xf numFmtId="176" fontId="4" fillId="0" borderId="7" xfId="0" applyNumberFormat="1" applyFont="1" applyFill="1" applyBorder="1" applyAlignment="1">
      <alignment horizontal="center" vertical="center" wrapText="1" readingOrder="1"/>
    </xf>
    <xf numFmtId="0" fontId="0" fillId="0" borderId="5" xfId="0" applyNumberFormat="1" applyFont="1" applyFill="1" applyBorder="1" applyAlignment="1">
      <alignment vertical="center" wrapText="1"/>
    </xf>
    <xf numFmtId="177" fontId="3" fillId="0" borderId="5" xfId="0" applyNumberFormat="1" applyFont="1" applyFill="1" applyBorder="1" applyAlignment="1">
      <alignment horizontal="center" vertical="center" wrapText="1" readingOrder="1"/>
    </xf>
    <xf numFmtId="177" fontId="0" fillId="0" borderId="5" xfId="0" applyNumberFormat="1" applyFont="1" applyFill="1" applyBorder="1" applyAlignment="1">
      <alignment vertical="center" wrapText="1"/>
    </xf>
    <xf numFmtId="0" fontId="4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right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</xdr:row>
      <xdr:rowOff>0</xdr:rowOff>
    </xdr:from>
    <xdr:to>
      <xdr:col>5</xdr:col>
      <xdr:colOff>977900</xdr:colOff>
      <xdr:row>1</xdr:row>
      <xdr:rowOff>340649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7145" y="0"/>
          <a:ext cx="3088005" cy="3403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H21"/>
  <sheetViews>
    <sheetView showGridLines="0" tabSelected="1" workbookViewId="0">
      <pane ySplit="4" topLeftCell="A5" activePane="bottomLeft" state="frozen"/>
      <selection/>
      <selection pane="bottomLeft" activeCell="P16" sqref="O16:P16"/>
    </sheetView>
  </sheetViews>
  <sheetFormatPr defaultColWidth="9" defaultRowHeight="13.5" outlineLevelCol="7"/>
  <cols>
    <col min="1" max="1" width="0.225" customWidth="1"/>
    <col min="2" max="2" width="0.433333333333333" customWidth="1"/>
    <col min="3" max="3" width="2.28333333333333" customWidth="1"/>
    <col min="4" max="4" width="7.55833333333333" customWidth="1"/>
    <col min="5" max="5" width="17.4166666666667" customWidth="1"/>
    <col min="6" max="6" width="14.725" customWidth="1"/>
    <col min="7" max="7" width="22" customWidth="1"/>
    <col min="8" max="8" width="24.975" customWidth="1"/>
  </cols>
  <sheetData>
    <row r="1" ht="0.1" customHeight="1"/>
    <row r="2" ht="32.45" customHeight="1"/>
    <row r="3" ht="6.8" customHeight="1"/>
    <row r="4" ht="1.2" customHeight="1" spans="3:8"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</row>
    <row r="5" ht="9" customHeight="1"/>
    <row r="6" ht="18" customHeight="1" spans="3:8">
      <c r="D6" s="2" t="s">
        <v>1</v>
      </c>
    </row>
    <row r="7" ht="18" customHeight="1" spans="3:8">
      <c r="D7" s="3" t="s">
        <v>2</v>
      </c>
    </row>
    <row r="8" ht="15" spans="3:8">
      <c r="D8" s="4" t="s">
        <v>0</v>
      </c>
      <c r="E8" s="4" t="s">
        <v>0</v>
      </c>
      <c r="F8" s="4" t="s">
        <v>0</v>
      </c>
      <c r="H8" s="4" t="s">
        <v>0</v>
      </c>
    </row>
    <row r="9" ht="18" customHeight="1" spans="3:8">
      <c r="D9" s="5" t="s">
        <v>3</v>
      </c>
    </row>
    <row r="10" ht="15" spans="3:8">
      <c r="D10" s="4" t="s">
        <v>0</v>
      </c>
      <c r="E10" s="4" t="s">
        <v>0</v>
      </c>
      <c r="F10" s="4" t="s">
        <v>0</v>
      </c>
      <c r="H10" s="4" t="s">
        <v>0</v>
      </c>
    </row>
    <row r="11" ht="30" customHeight="1" spans="3:8">
      <c r="D11" s="6" t="s">
        <v>4</v>
      </c>
      <c r="E11" s="6" t="s">
        <v>5</v>
      </c>
      <c r="F11" s="6" t="s">
        <v>6</v>
      </c>
      <c r="G11" s="7" t="s">
        <v>0</v>
      </c>
      <c r="H11" s="6" t="s">
        <v>7</v>
      </c>
    </row>
    <row r="12" ht="36" customHeight="1" spans="3:8">
      <c r="D12" s="8">
        <v>1</v>
      </c>
      <c r="E12" s="9" t="s">
        <v>8</v>
      </c>
      <c r="F12" s="10">
        <f>27059*0.7</f>
        <v>18941.3</v>
      </c>
      <c r="G12" s="11"/>
      <c r="H12" s="12" t="s">
        <v>9</v>
      </c>
    </row>
    <row r="13" ht="30" customHeight="1" spans="3:8">
      <c r="D13" s="8">
        <v>2</v>
      </c>
      <c r="E13" s="13" t="s">
        <v>10</v>
      </c>
      <c r="F13" s="14">
        <f>1203*0.7</f>
        <v>842.1</v>
      </c>
      <c r="G13" s="14"/>
      <c r="H13" s="12" t="s">
        <v>9</v>
      </c>
    </row>
    <row r="14" ht="30" customHeight="1" spans="3:8">
      <c r="D14" s="8">
        <v>3</v>
      </c>
      <c r="E14" s="15" t="s">
        <v>11</v>
      </c>
      <c r="F14" s="16">
        <f>21*50</f>
        <v>1050</v>
      </c>
      <c r="G14" s="17"/>
      <c r="H14" s="13" t="s">
        <v>12</v>
      </c>
    </row>
    <row r="15" ht="30" customHeight="1" spans="3:8">
      <c r="D15" s="15" t="s">
        <v>13</v>
      </c>
      <c r="E15" s="18" t="s">
        <v>0</v>
      </c>
      <c r="F15" s="14">
        <f>F12+F13+F14</f>
        <v>20833.4</v>
      </c>
      <c r="G15" s="18"/>
      <c r="H15" s="15" t="s">
        <v>0</v>
      </c>
    </row>
    <row r="16" ht="30" customHeight="1" spans="3:8">
      <c r="D16" s="15" t="s">
        <v>14</v>
      </c>
      <c r="E16" s="18" t="s">
        <v>0</v>
      </c>
      <c r="F16" s="19">
        <f>F15</f>
        <v>20833.4</v>
      </c>
      <c r="G16" s="20"/>
      <c r="H16" s="15" t="s">
        <v>0</v>
      </c>
    </row>
    <row r="17" ht="12" customHeight="1" spans="4:8">
      <c r="D17" s="4" t="s">
        <v>0</v>
      </c>
    </row>
    <row r="18" ht="188.7" customHeight="1" spans="4:8">
      <c r="D18" s="5" t="s">
        <v>15</v>
      </c>
    </row>
    <row r="19" ht="18.75" spans="4:8">
      <c r="D19" s="21" t="s">
        <v>0</v>
      </c>
      <c r="E19" s="21" t="s">
        <v>0</v>
      </c>
      <c r="F19" s="22" t="s">
        <v>16</v>
      </c>
      <c r="H19" s="21" t="s">
        <v>0</v>
      </c>
    </row>
    <row r="20" ht="36" customHeight="1" spans="4:8">
      <c r="D20" s="23" t="s">
        <v>17</v>
      </c>
    </row>
    <row r="21" ht="67.5" customHeight="1"/>
  </sheetData>
  <mergeCells count="18">
    <mergeCell ref="B2:F2"/>
    <mergeCell ref="D6:H6"/>
    <mergeCell ref="D7:H7"/>
    <mergeCell ref="F8:G8"/>
    <mergeCell ref="D9:H9"/>
    <mergeCell ref="F10:G10"/>
    <mergeCell ref="F11:G11"/>
    <mergeCell ref="F12:G12"/>
    <mergeCell ref="F13:G13"/>
    <mergeCell ref="F14:G14"/>
    <mergeCell ref="D15:E15"/>
    <mergeCell ref="F15:G15"/>
    <mergeCell ref="D16:E16"/>
    <mergeCell ref="F16:G16"/>
    <mergeCell ref="D17:H17"/>
    <mergeCell ref="D18:H18"/>
    <mergeCell ref="F19:G19"/>
    <mergeCell ref="D20:H20"/>
  </mergeCells>
  <pageMargins left="0.25" right="0.25" top="0.75" bottom="0.75" header="0.298611111111111" footer="0.298611111111111"/>
  <pageSetup paperSize="9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黑龙江省中医药大学附属第三医院（电力）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2024-07-02T06:29:00Z</dcterms:created>
  <dcterms:modified xsi:type="dcterms:W3CDTF">2026-04-23T03:03:43Z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390004539E0841A3B0D1AC460F8CFEC6_13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