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93" firstSheet="27" activeTab="27"/>
  </bookViews>
  <sheets>
    <sheet name="产科门诊236" sheetId="1" r:id="rId1"/>
    <sheet name="超声" sheetId="2" r:id="rId2"/>
    <sheet name="耳鼻喉病房" sheetId="3" r:id="rId3"/>
    <sheet name="耳鼻喉门诊" sheetId="4" r:id="rId4"/>
    <sheet name="风湿科" sheetId="5" r:id="rId5"/>
    <sheet name="妇二" sheetId="6" r:id="rId6"/>
    <sheet name="妇二门诊561" sheetId="7" r:id="rId7"/>
    <sheet name="妇科门诊" sheetId="8" r:id="rId8"/>
    <sheet name="妇三" sheetId="9" r:id="rId9"/>
    <sheet name="妇一" sheetId="10" r:id="rId10"/>
    <sheet name="肛肠科" sheetId="11" r:id="rId11"/>
    <sheet name="肛肠门诊" sheetId="12" r:id="rId12"/>
    <sheet name="宫腔镜" sheetId="13" r:id="rId13"/>
    <sheet name="骨三" sheetId="14" r:id="rId14"/>
    <sheet name="急诊" sheetId="15" r:id="rId15"/>
    <sheet name="计划生育手术室" sheetId="16" r:id="rId16"/>
    <sheet name="介入科" sheetId="17" r:id="rId17"/>
    <sheet name="静配中心" sheetId="18" r:id="rId18"/>
    <sheet name="康复一" sheetId="19" r:id="rId19"/>
    <sheet name="口腔科" sheetId="20" r:id="rId20"/>
    <sheet name="门诊手术室" sheetId="21" r:id="rId21"/>
    <sheet name="内镜诊疗室" sheetId="22" r:id="rId22"/>
    <sheet name="皮肤科" sheetId="23" r:id="rId23"/>
    <sheet name="清洁区（手术室）" sheetId="24" r:id="rId24"/>
    <sheet name="肾病二科" sheetId="25" r:id="rId25"/>
    <sheet name="肾病一科" sheetId="26" r:id="rId26"/>
    <sheet name="手术室(二区)" sheetId="27" r:id="rId27"/>
    <sheet name="手术室(一区)" sheetId="28" r:id="rId28"/>
    <sheet name="外来器械" sheetId="47" r:id="rId29"/>
    <sheet name="透析" sheetId="29" r:id="rId30"/>
    <sheet name="外二" sheetId="30" r:id="rId31"/>
    <sheet name="外三" sheetId="31" r:id="rId32"/>
    <sheet name="外一" sheetId="32" r:id="rId33"/>
    <sheet name="消化二科" sheetId="33" r:id="rId34"/>
    <sheet name="消化一" sheetId="34" r:id="rId35"/>
    <sheet name="心内五" sheetId="35" r:id="rId36"/>
    <sheet name="血液" sheetId="36" r:id="rId37"/>
    <sheet name="眼科病房" sheetId="37" r:id="rId38"/>
    <sheet name="眼科门诊322" sheetId="38" r:id="rId39"/>
    <sheet name="眼科门诊357" sheetId="39" r:id="rId40"/>
    <sheet name="眼科门诊手术室（二）" sheetId="40" r:id="rId41"/>
    <sheet name="眼科门诊手术室（一）" sheetId="41" r:id="rId42"/>
    <sheet name="针灸四" sheetId="42" r:id="rId43"/>
    <sheet name="针灸五" sheetId="43" r:id="rId44"/>
    <sheet name="重症医学科" sheetId="44" r:id="rId45"/>
    <sheet name="周围血管二" sheetId="45" r:id="rId46"/>
    <sheet name="周围血管一" sheetId="46" r:id="rId47"/>
  </sheets>
  <definedNames>
    <definedName name="_xlnm._FilterDatabase" localSheetId="1" hidden="1">超声!$A$7:$N$25</definedName>
    <definedName name="_xlnm._FilterDatabase" localSheetId="2" hidden="1">耳鼻喉病房!$A$7:$N$126</definedName>
    <definedName name="_xlnm._FilterDatabase" localSheetId="3" hidden="1">耳鼻喉门诊!$A$7:$N$166</definedName>
    <definedName name="_xlnm._FilterDatabase" localSheetId="5" hidden="1">妇二!$A$7:$N$106</definedName>
    <definedName name="_xlnm._FilterDatabase" localSheetId="7" hidden="1">妇科门诊!$A$7:$N$30</definedName>
    <definedName name="_xlnm._FilterDatabase" localSheetId="8" hidden="1">妇三!$A$7:$N$52</definedName>
    <definedName name="_xlnm._FilterDatabase" localSheetId="10" hidden="1">肛肠科!$A$7:$N$109</definedName>
    <definedName name="_xlnm._FilterDatabase" localSheetId="11" hidden="1">肛肠门诊!$A$7:$N$27</definedName>
    <definedName name="_xlnm._FilterDatabase" localSheetId="12" hidden="1">宫腔镜!$A$7:$N$138</definedName>
    <definedName name="_xlnm._FilterDatabase" localSheetId="13" hidden="1">骨三!$A$7:$N$30</definedName>
    <definedName name="_xlnm._FilterDatabase" localSheetId="14" hidden="1">急诊!$A$7:$N$37</definedName>
    <definedName name="_xlnm._FilterDatabase" localSheetId="15" hidden="1">计划生育手术室!$A$7:$N$30</definedName>
    <definedName name="_xlnm._FilterDatabase" localSheetId="19" hidden="1">口腔科!$A$7:$N$155</definedName>
    <definedName name="_xlnm._FilterDatabase" localSheetId="23" hidden="1">'清洁区（手术室）'!$A$7:$N$46</definedName>
    <definedName name="_xlnm._FilterDatabase" localSheetId="25" hidden="1">肾病一科!$A$7:$N$26</definedName>
    <definedName name="_xlnm._FilterDatabase" localSheetId="26" hidden="1">'手术室(二区)'!$A$7:$N$163</definedName>
    <definedName name="_xlnm._FilterDatabase" localSheetId="27" hidden="1">'手术室(一区)'!$A$7:$N$696</definedName>
    <definedName name="_xlnm._FilterDatabase" localSheetId="28" hidden="1">外来器械!$A$3:$Q$70</definedName>
    <definedName name="_xlnm._FilterDatabase" localSheetId="29" hidden="1">透析!$A$7:$N$64</definedName>
    <definedName name="_xlnm._FilterDatabase" localSheetId="30" hidden="1">外二!$A$7:$N$70</definedName>
    <definedName name="_xlnm._FilterDatabase" localSheetId="31" hidden="1">外三!$A$7:$N$23</definedName>
    <definedName name="_xlnm._FilterDatabase" localSheetId="32" hidden="1">外一!$A$7:$N$26</definedName>
    <definedName name="_xlnm._FilterDatabase" localSheetId="37" hidden="1">眼科病房!$A$7:$N$40</definedName>
    <definedName name="_xlnm._FilterDatabase" localSheetId="38" hidden="1">眼科门诊322!$A$7:$N$23</definedName>
    <definedName name="_xlnm._FilterDatabase" localSheetId="39" hidden="1">眼科门诊357!$A$7:$N$32</definedName>
    <definedName name="_xlnm._FilterDatabase" localSheetId="40" hidden="1">'眼科门诊手术室（二）'!$A$7:$N$27</definedName>
    <definedName name="_xlnm._FilterDatabase" localSheetId="44" hidden="1">重症医学科!$A$7:$N$27</definedName>
    <definedName name="_xlnm._FilterDatabase" localSheetId="45" hidden="1">周围血管二!$A$7:$N$30</definedName>
    <definedName name="_xlnm._FilterDatabase" localSheetId="46" hidden="1">周围血管一!$A$7:$N$62</definedName>
    <definedName name="_xlnm.Print_Titles" localSheetId="0">产科门诊236!$1:$6</definedName>
    <definedName name="_xlnm.Print_Titles" localSheetId="1">超声!$1:$6</definedName>
    <definedName name="_xlnm.Print_Titles" localSheetId="2">耳鼻喉病房!$1:$6</definedName>
    <definedName name="_xlnm.Print_Titles" localSheetId="3">耳鼻喉门诊!$1:$6</definedName>
    <definedName name="_xlnm.Print_Titles" localSheetId="4">风湿科!$1:$6</definedName>
    <definedName name="_xlnm.Print_Titles" localSheetId="5">妇二!$1:$6</definedName>
    <definedName name="_xlnm.Print_Titles" localSheetId="6">妇二门诊561!$1:$6</definedName>
    <definedName name="_xlnm.Print_Titles" localSheetId="7">妇科门诊!$1:$6</definedName>
    <definedName name="_xlnm.Print_Titles" localSheetId="8">妇三!$1:$6</definedName>
    <definedName name="_xlnm.Print_Titles" localSheetId="9">妇一!$1:$6</definedName>
    <definedName name="_xlnm.Print_Titles" localSheetId="10">肛肠科!$1:$6</definedName>
    <definedName name="_xlnm.Print_Titles" localSheetId="11">肛肠门诊!$1:$6</definedName>
    <definedName name="_xlnm.Print_Titles" localSheetId="12">宫腔镜!$1:$6</definedName>
    <definedName name="_xlnm.Print_Titles" localSheetId="13">骨三!$1:$6</definedName>
    <definedName name="_xlnm.Print_Titles" localSheetId="14">急诊!$1:$6</definedName>
    <definedName name="_xlnm.Print_Titles" localSheetId="15">计划生育手术室!$1:$6</definedName>
    <definedName name="_xlnm.Print_Titles" localSheetId="16">介入科!$1:$6</definedName>
    <definedName name="_xlnm.Print_Titles" localSheetId="17">静配中心!$1:$6</definedName>
    <definedName name="_xlnm.Print_Titles" localSheetId="18">康复一!$1:$6</definedName>
    <definedName name="_xlnm.Print_Titles" localSheetId="19">口腔科!$1:$6</definedName>
    <definedName name="_xlnm.Print_Titles" localSheetId="20">门诊手术室!$1:$6</definedName>
    <definedName name="_xlnm.Print_Titles" localSheetId="21">内镜诊疗室!$1:$6</definedName>
    <definedName name="_xlnm.Print_Titles" localSheetId="22">皮肤科!$1:$6</definedName>
    <definedName name="_xlnm.Print_Titles" localSheetId="23">'清洁区（手术室）'!$1:$6</definedName>
    <definedName name="_xlnm.Print_Titles" localSheetId="24">肾病二科!$1:$6</definedName>
    <definedName name="_xlnm.Print_Titles" localSheetId="25">肾病一科!$1:$6</definedName>
    <definedName name="_xlnm.Print_Titles" localSheetId="26">'手术室(二区)'!$1:$6</definedName>
    <definedName name="_xlnm.Print_Titles" localSheetId="27">'手术室(一区)'!$1:$6</definedName>
    <definedName name="_xlnm.Print_Titles" localSheetId="29">透析!$1:$6</definedName>
    <definedName name="_xlnm.Print_Titles" localSheetId="30">外二!$1:$6</definedName>
    <definedName name="_xlnm.Print_Titles" localSheetId="31">外三!$1:$6</definedName>
    <definedName name="_xlnm.Print_Titles" localSheetId="32">外一!$1:$6</definedName>
    <definedName name="_xlnm.Print_Titles" localSheetId="33">消化二科!$1:$6</definedName>
    <definedName name="_xlnm.Print_Titles" localSheetId="34">消化一!$1:$6</definedName>
    <definedName name="_xlnm.Print_Titles" localSheetId="35">心内五!$1:$6</definedName>
    <definedName name="_xlnm.Print_Titles" localSheetId="36">血液!$1:$6</definedName>
    <definedName name="_xlnm.Print_Titles" localSheetId="37">眼科病房!$1:$6</definedName>
    <definedName name="_xlnm.Print_Titles" localSheetId="38">眼科门诊322!$1:$6</definedName>
    <definedName name="_xlnm.Print_Titles" localSheetId="39">眼科门诊357!$1:$6</definedName>
    <definedName name="_xlnm.Print_Titles" localSheetId="40">'眼科门诊手术室（二）'!$1:$6</definedName>
    <definedName name="_xlnm.Print_Titles" localSheetId="41">'眼科门诊手术室（一）'!$1:$6</definedName>
    <definedName name="_xlnm.Print_Titles" localSheetId="42">针灸四!$1:$6</definedName>
    <definedName name="_xlnm.Print_Titles" localSheetId="43">针灸五!$1:$6</definedName>
    <definedName name="_xlnm.Print_Titles" localSheetId="44">重症医学科!$1:$6</definedName>
    <definedName name="_xlnm.Print_Titles" localSheetId="45">周围血管二!$1:$6</definedName>
    <definedName name="_xlnm.Print_Titles" localSheetId="46">周围血管一!$1:$6</definedName>
    <definedName name="_xlnm.Print_Area" localSheetId="46">周围血管一!$A$1:$N$62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<sst xmlns="http://schemas.openxmlformats.org/spreadsheetml/2006/main" count="7963" uniqueCount="614">
  <si>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</si>
  <si>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</si>
  <si>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</si>
  <si>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黑龙江中医药大学附属第一医院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</si>
  <si>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</si>
  <si>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</si>
  <si>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</si>
  <si>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</si>
  <si>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</si>
  <si>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</si>
  <si>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</si>
  <si>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</si>
  <si>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</si>
  <si>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</si>
  <si>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</si>
  <si>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产科门诊236</t>
  </si>
  <si>
    <t>器械包</t>
  </si>
  <si>
    <t>上取环包</t>
  </si>
  <si>
    <t>无纺布</t>
  </si>
  <si>
    <t>超声</t>
  </si>
  <si>
    <t>额外包</t>
  </si>
  <si>
    <t>穿刺架-1/z1029</t>
  </si>
  <si>
    <r>
      <rPr>
        <sz val="10"/>
        <color rgb="FF000000"/>
        <rFont val="宋体"/>
        <charset val="134"/>
      </rPr>
      <t>纸塑袋</t>
    </r>
    <r>
      <rPr>
        <sz val="10"/>
        <color rgb="FF000000"/>
        <rFont val="Droid Sans Fallback"/>
        <charset val="134"/>
      </rPr>
      <t xml:space="preserve"> 10cm  (</t>
    </r>
    <r>
      <rPr>
        <sz val="10"/>
        <color rgb="FF000000"/>
        <rFont val="宋体"/>
        <charset val="134"/>
      </rPr>
      <t>小）</t>
    </r>
  </si>
  <si>
    <t>剪刀-1/Z1029</t>
  </si>
  <si>
    <t>窥器-1/Z1526</t>
  </si>
  <si>
    <t>纸塑袋 15cm  (中）</t>
  </si>
  <si>
    <t>卵圆钳-1/Z1535</t>
  </si>
  <si>
    <t>穿刺架-1/Z1030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</si>
  <si>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10cm</t>
    </r>
  </si>
  <si>
    <t>耳鼻喉病房</t>
  </si>
  <si>
    <t>单包装包</t>
  </si>
  <si>
    <t>鼻镜20 方盘1/W9050</t>
  </si>
  <si>
    <t>耳镜-1/Z1020</t>
  </si>
  <si>
    <t>烙治头-1/Z7534</t>
  </si>
  <si>
    <t>枪状镊-26盘1/w9050</t>
  </si>
  <si>
    <t>枪状镊42喉镜17吸管39弯针10盘1/w9050</t>
  </si>
  <si>
    <t>橄榄头-84/z2030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</si>
  <si>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10</t>
    </r>
    <r>
      <rPr>
        <sz val="10"/>
        <color rgb="FF000000"/>
        <rFont val="宋体"/>
        <charset val="134"/>
      </rPr>
      <t>件</t>
    </r>
  </si>
  <si>
    <t>1 （套）</t>
  </si>
  <si>
    <r>
      <rPr>
        <sz val="10"/>
        <color rgb="FF000000"/>
        <rFont val="宋体"/>
        <charset val="134"/>
      </rPr>
      <t>低温灭菌（套）</t>
    </r>
    <r>
      <rPr>
        <sz val="10"/>
        <color rgb="FF000000"/>
        <rFont val="Droid Sans Fallback"/>
        <charset val="134"/>
      </rPr>
      <t>5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</si>
  <si>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 xml:space="preserve">1 </t>
    </r>
    <r>
      <rPr>
        <sz val="10"/>
        <color rgb="FF000000"/>
        <rFont val="宋体"/>
        <charset val="134"/>
      </rPr>
      <t>（套）</t>
    </r>
  </si>
  <si>
    <t>组织钳-1/Z1026</t>
  </si>
  <si>
    <t>枪状镊24吸管18喉镜16弯针12盘1/w9050</t>
  </si>
  <si>
    <t>持针器-1/Z1029</t>
  </si>
  <si>
    <t>穿刺针-1/Z7526</t>
  </si>
  <si>
    <t>枪状镊12喉镜10吸管9弯针8盘1/w9050</t>
  </si>
  <si>
    <t>橄榄头-65/z2030</t>
  </si>
  <si>
    <t>枪状镊20吸管13喉镜12弯针8盘1/w9050</t>
  </si>
  <si>
    <t>枪状镊31吸管26喉镜17弯针16盘1/w9050</t>
  </si>
  <si>
    <t>枪状镊33吸管20弯针13喉镜17盘1/w9050</t>
  </si>
  <si>
    <t>橄榄头-106/z2030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</si>
  <si>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20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</si>
  <si>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（套）</t>
    </r>
  </si>
  <si>
    <t>枪状镊24喉镜14吸管17弯针11盘1/w9050</t>
  </si>
  <si>
    <t>弯针11吸引管10喉镜19枪状镊19盘1/w9050</t>
  </si>
  <si>
    <t>敷料包</t>
  </si>
  <si>
    <t>纱布/Z3032</t>
  </si>
  <si>
    <t>20cm*20cm</t>
  </si>
  <si>
    <t>粗吸引管-1/Z1029</t>
  </si>
  <si>
    <t>枪状镊23吸管15弯针11喉镜12盘1/w9050</t>
  </si>
  <si>
    <t>橄榄头-96/z2030</t>
  </si>
  <si>
    <t>棉球缸-1/z2530</t>
  </si>
  <si>
    <r>
      <rPr>
        <sz val="10"/>
        <color rgb="FF000000"/>
        <rFont val="WenQuanYiZenHeiSharp"/>
        <charset val="134"/>
      </rPr>
      <t xml:space="preserve">纸塑袋 </t>
    </r>
    <r>
      <rPr>
        <sz val="10"/>
        <color rgb="FF000000"/>
        <rFont val="LiberationSerif"/>
        <charset val="134"/>
      </rPr>
      <t>25cm</t>
    </r>
    <r>
      <rPr>
        <sz val="10"/>
        <color rgb="FF000000"/>
        <rFont val="WenQuanYiZenHeiSharp"/>
        <charset val="134"/>
      </rPr>
      <t>（特大）</t>
    </r>
  </si>
  <si>
    <t>枪状镊32弯针10喉镜11吸引管23盘1/w9050</t>
  </si>
  <si>
    <t>枪状镊10弯针10喉镜12吸引管5盘1/w9050</t>
  </si>
  <si>
    <t>38</t>
  </si>
  <si>
    <t>枪状镊44吸管28喉镜26弯针24盘1/w9050</t>
  </si>
  <si>
    <t>橄榄头-99/z2030</t>
  </si>
  <si>
    <t>吸管16枪状镊27弯针16喉镜18盘1/W9050</t>
  </si>
  <si>
    <t>枪状镊33吸管16喉镜17弯针13盘1/w9050</t>
  </si>
  <si>
    <t>枪状镊32吸管17喉镜15弯针12盘1/w9050</t>
  </si>
  <si>
    <t>鼻镜25 方盘1/W9050</t>
  </si>
  <si>
    <t>枪状镊31喉镜22弯针20吸引管17盘1/w9050</t>
  </si>
  <si>
    <t>橄榄头-83/z2030</t>
  </si>
  <si>
    <t>枪状镊29喉镜25吸引管27弯针25盘1/W9050</t>
  </si>
  <si>
    <t>枪状镊38喉镜13弯针9吸引管7盘1/w9050</t>
  </si>
  <si>
    <t>枪状镊17喉镜20弯针12吸引管11盘1/w9050</t>
  </si>
  <si>
    <t>纱条/Z1029</t>
  </si>
  <si>
    <r>
      <rPr>
        <sz val="10"/>
        <color rgb="FF000000"/>
        <rFont val="宋体"/>
        <charset val="134"/>
      </rPr>
      <t>大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20cm*20cm*15cm</t>
    </r>
    <r>
      <rPr>
        <sz val="10"/>
        <color rgb="FF000000"/>
        <rFont val="宋体"/>
        <charset val="134"/>
      </rPr>
      <t>）</t>
    </r>
  </si>
  <si>
    <t>枪状镊25吸管13喉镜16弯针16盘1/w9050</t>
  </si>
  <si>
    <t>鼻中隔剥离子-1/Z7530</t>
  </si>
  <si>
    <t>扁桃剥离子-1/Z1029</t>
  </si>
  <si>
    <t>刀柄-1/Z7526</t>
  </si>
  <si>
    <t>耵聍钩-1/Z7530</t>
  </si>
  <si>
    <t>镊子-1/Z7534</t>
  </si>
  <si>
    <t>压舌板-1/Z1526</t>
  </si>
  <si>
    <t>异物钳-1/Z1535</t>
  </si>
  <si>
    <t>异物取出器-1/Z1029</t>
  </si>
  <si>
    <t>枪状镊19喉镜14吸管9弯针11盘1/w9050</t>
  </si>
  <si>
    <t>橄榄头-105/z2030</t>
  </si>
  <si>
    <t>枪状镊22喉镜23吸管12弯针18盘1/w9050</t>
  </si>
  <si>
    <t>止血钳-1/Z1029</t>
  </si>
  <si>
    <t>枪状镊32吸管10喉镜34弯针25盘1/w9050</t>
  </si>
  <si>
    <t>枪状镊24喉镜12弯针14吸引管14盘1/w9050</t>
  </si>
  <si>
    <t>耳鼻喉门诊</t>
  </si>
  <si>
    <t>刮勺-1/Z7526</t>
  </si>
  <si>
    <t>镊子39弯针4吸管27喉镜4盘1/w9050</t>
  </si>
  <si>
    <t>鼻中隔钳-1/Z1029</t>
  </si>
  <si>
    <t>剥离子-1/Z1029</t>
  </si>
  <si>
    <t>镊子33喉镜2吸管27弯针1盘1/w9050</t>
  </si>
  <si>
    <t>橄榄头-20/Z2030</t>
  </si>
  <si>
    <t>镊子38弯针3吸引管33喉镜3盘1/w9050</t>
  </si>
  <si>
    <t>镊子48弯针5吸管49喉镜4盘1/w9050</t>
  </si>
  <si>
    <t>镊子36喉镜2吸管33弯针2盘1/w9050</t>
  </si>
  <si>
    <t>镊子38弯针6吸管35喉镜6盘1/w9050</t>
  </si>
  <si>
    <t>镊子69弯针10吸管65喉镜8盘1/w9050</t>
  </si>
  <si>
    <t>吸管27镊子30弯针4喉镜4盘1/w9050</t>
  </si>
  <si>
    <t>镊子46弯针4吸管42喉镜4盘1/w9050</t>
  </si>
  <si>
    <t>镊子62喉镜4吸管39弯针5盘1/w9050</t>
  </si>
  <si>
    <t>纱条/z2032</t>
  </si>
  <si>
    <t>镊子27弯针6吸引管27喉镜5盘1/w9050</t>
  </si>
  <si>
    <t>镊子66弯针6吸管44喉镜6盘1/w9050</t>
  </si>
  <si>
    <t>镊子52弯针5吸管46喉镜5盘1/w9050</t>
  </si>
  <si>
    <t>镊子45弯针3吸管44喉镜3盘1/w9050</t>
  </si>
  <si>
    <t>直压板-1/Z1029</t>
  </si>
  <si>
    <t>镊子59喉镜5吸管41弯针5盘1/w9050</t>
  </si>
  <si>
    <t>活检钳-1/Z2530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</si>
  <si>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25cm</t>
    </r>
  </si>
  <si>
    <t>镊子56弯针10吸管33喉镜8盘1/w9050</t>
  </si>
  <si>
    <t>直角压舌板-1  /Z1026</t>
  </si>
  <si>
    <t>镊子83盘1/w9050</t>
  </si>
  <si>
    <t>弯针12吸引管72喉镜13盘1/w9050</t>
  </si>
  <si>
    <t>镊子46喉镜7吸管42弯针7盘1/w9050</t>
  </si>
  <si>
    <t>镊子58喉镜7吸管38弯针6盘1/w9050</t>
  </si>
  <si>
    <t>镊子29弯针11吸管63喉镜11盘1/w9050</t>
  </si>
  <si>
    <t>镊子60盘1/w9050</t>
  </si>
  <si>
    <t>61</t>
  </si>
  <si>
    <t>镊子37弯针4吸管36喉镜4盘1/w9050</t>
  </si>
  <si>
    <t>镊子55吸引管35弯针6喉镜5盘1/w9050</t>
  </si>
  <si>
    <t>镊子53吸管40喉镜10弯针11盘1/W6050</t>
  </si>
  <si>
    <t>115</t>
  </si>
  <si>
    <t>镊子36喉镜7吸管29弯针7盘1/w9050</t>
  </si>
  <si>
    <t>镊子40喉镜5吸管25弯针5盘1/w9050</t>
  </si>
  <si>
    <t>镊子34喉镜6吸管29弯针6盘1/w9050</t>
  </si>
  <si>
    <t>镊子38弯针2吸管35喉镜2盘1/w9050</t>
  </si>
  <si>
    <t>镊子36喉镜2吸管25弯针2盘1/w9050</t>
  </si>
  <si>
    <t>风湿科</t>
  </si>
  <si>
    <t>开口器-1/Z1026</t>
  </si>
  <si>
    <t>舌钳子-1/Z1526</t>
  </si>
  <si>
    <t>妇二</t>
  </si>
  <si>
    <t>大镊子-1/Z7534</t>
  </si>
  <si>
    <t>妇科刮勺-1/z7537</t>
  </si>
  <si>
    <t>扩棒-1/Z7530</t>
  </si>
  <si>
    <t>卵圆钳(小头！！！)-1/Z1535</t>
  </si>
  <si>
    <t>腔内单极-3件/z1530</t>
  </si>
  <si>
    <t>按最低单把单价收取</t>
  </si>
  <si>
    <t>探针-1/保/Z7530</t>
  </si>
  <si>
    <t>特殊取环器-1/Z1535</t>
  </si>
  <si>
    <t>取环包</t>
  </si>
  <si>
    <t>人流包</t>
  </si>
  <si>
    <t>通水包（妇二）</t>
  </si>
  <si>
    <t>持物钳罐-2/w6050</t>
  </si>
  <si>
    <t>举宫器-1/Z1535</t>
  </si>
  <si>
    <t>取环钩-1/Z7537</t>
  </si>
  <si>
    <t>吸头-1/Z7534</t>
  </si>
  <si>
    <t>止血钳-1/Z1530</t>
  </si>
  <si>
    <t>切开包</t>
  </si>
  <si>
    <t>开口器-1 舌钳子1/Z1526</t>
  </si>
  <si>
    <t>宫颈钳-1/Z1535</t>
  </si>
  <si>
    <t>电极刀-1/Z1029</t>
  </si>
  <si>
    <t>电刀头-1/Z7526</t>
  </si>
  <si>
    <t>腔内电极-4/z1530</t>
  </si>
  <si>
    <t>腔内单极-2/z1530</t>
  </si>
  <si>
    <t>妇二门诊561</t>
  </si>
  <si>
    <t>腔内电极-6/w6050</t>
  </si>
  <si>
    <t>腔内电极-5/w6050</t>
  </si>
  <si>
    <t>妇科门诊</t>
  </si>
  <si>
    <t>息肉包-4/w6050</t>
  </si>
  <si>
    <t>阴道镜-4/w6050</t>
  </si>
  <si>
    <t>镊子缸-2/w6050</t>
  </si>
  <si>
    <t>带线棉球/Z1020</t>
  </si>
  <si>
    <t>妇三</t>
  </si>
  <si>
    <t>通水包-8/w6050</t>
  </si>
  <si>
    <t>取环器-1/Z1535</t>
  </si>
  <si>
    <t>活检钳-1/Z2032</t>
  </si>
  <si>
    <t>纸塑袋20cm (大）</t>
  </si>
  <si>
    <t>宫颈治疗包</t>
  </si>
  <si>
    <t>钩镊-1/z7526</t>
  </si>
  <si>
    <t>棉球/z1020</t>
  </si>
  <si>
    <t>宫腔镜包</t>
  </si>
  <si>
    <t>妇一</t>
  </si>
  <si>
    <t>通水包（妇一）</t>
  </si>
  <si>
    <t>肛肠科</t>
  </si>
  <si>
    <t>镊子45盒1/w9050</t>
  </si>
  <si>
    <t>镊子50盘1/w9050</t>
  </si>
  <si>
    <t>换药碗(肛肠包配套)-1/Z2530</t>
  </si>
  <si>
    <t>肛肠包（肛肠科）</t>
  </si>
  <si>
    <t>带槽探针-1/Z7526</t>
  </si>
  <si>
    <t>拉钩-1/Z7526</t>
  </si>
  <si>
    <t>镊子43盘1/w9050</t>
  </si>
  <si>
    <t>镊子46盒1/w9050</t>
  </si>
  <si>
    <t>肛门自动拉钩-1/Z2530</t>
  </si>
  <si>
    <t>肛肠门诊</t>
  </si>
  <si>
    <t>镊子16盘1/W9050</t>
  </si>
  <si>
    <t>镊子15盒1/w9050</t>
  </si>
  <si>
    <t>镊子21盒1/w9050</t>
  </si>
  <si>
    <t>镊子14盒1/w9050</t>
  </si>
  <si>
    <t>镊子26盒1/w9050</t>
  </si>
  <si>
    <t>缝合包</t>
  </si>
  <si>
    <t>镊子17盘1/W9050</t>
  </si>
  <si>
    <t>镊子18盒1/w9050</t>
  </si>
  <si>
    <t>镊子26盘1/W9050</t>
  </si>
  <si>
    <t>宫腔镜</t>
  </si>
  <si>
    <t>宫腔镜-2/双/z2044</t>
  </si>
  <si>
    <t>水管-1件(检查密封胶圈)/z3040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</si>
  <si>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30cm</t>
    </r>
  </si>
  <si>
    <t>人流包（90布）</t>
  </si>
  <si>
    <t>镜头-3件(盒1)/Z2060</t>
  </si>
  <si>
    <t>止血钳直-1/Z1029</t>
  </si>
  <si>
    <t>抓钳-1/z2060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</si>
  <si>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20cm</t>
    </r>
  </si>
  <si>
    <r>
      <rPr>
        <sz val="10"/>
        <rFont val="宋体"/>
        <charset val="134"/>
      </rPr>
      <t>人流包（</t>
    </r>
    <r>
      <rPr>
        <sz val="10"/>
        <rFont val="Droid Sans Fallback"/>
        <charset val="134"/>
      </rPr>
      <t>90</t>
    </r>
    <r>
      <rPr>
        <sz val="10"/>
        <rFont val="宋体"/>
        <charset val="134"/>
      </rPr>
      <t>布）</t>
    </r>
  </si>
  <si>
    <t>通水包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</si>
  <si>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</si>
  <si>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2026/4/2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</si>
  <si>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</si>
  <si>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</si>
  <si>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</si>
  <si>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</si>
  <si>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</si>
  <si>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</si>
  <si>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</si>
  <si>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骨三</t>
  </si>
  <si>
    <t>牵引针-1/Z7530</t>
  </si>
  <si>
    <t>锤子-1/W6050</t>
  </si>
  <si>
    <t>试管架-1/w6050</t>
  </si>
  <si>
    <t>刀柄-1/Z7520</t>
  </si>
  <si>
    <t>长针头-1/Z7530</t>
  </si>
  <si>
    <t>急诊</t>
  </si>
  <si>
    <t>拆线包（钩镊，小剪刀）-2/Z1026</t>
  </si>
  <si>
    <t>咬骨钳-1/Z1526</t>
  </si>
  <si>
    <t>简易呼吸器-1/z3044</t>
  </si>
  <si>
    <t>剪刀1钩镊1/Z1029</t>
  </si>
  <si>
    <t>计划生育手术室</t>
  </si>
  <si>
    <t>介入科</t>
  </si>
  <si>
    <t>静配中心</t>
  </si>
  <si>
    <t>毛巾/z3032</t>
  </si>
  <si>
    <t>康复一</t>
  </si>
  <si>
    <t>口腔科</t>
  </si>
  <si>
    <t>拔牙钳-1/Z1029</t>
  </si>
  <si>
    <t>拔牙挺-1/Z7526</t>
  </si>
  <si>
    <t>碧兰麻注射器-1/Z1029</t>
  </si>
  <si>
    <t>车针盒-1/Z1526</t>
  </si>
  <si>
    <t>成型夹-1/Z7520</t>
  </si>
  <si>
    <t>充填器-1/Z7530</t>
  </si>
  <si>
    <t>调刀-1/Z7530</t>
  </si>
  <si>
    <t>手机-1/Z7526</t>
  </si>
  <si>
    <t>挖匙-1/Z7530</t>
  </si>
  <si>
    <t>洁牙机-1/z7526</t>
  </si>
  <si>
    <t>牙周治疗盒-1/Z2032</t>
  </si>
  <si>
    <t>垂直加压器-1/保Z7526</t>
  </si>
  <si>
    <t>洁牙机钥匙-1/Z1020</t>
  </si>
  <si>
    <t>刮治器-1/Z7534</t>
  </si>
  <si>
    <t>牙周探针-1/Z7530</t>
  </si>
  <si>
    <t>钥匙-1/Z1020</t>
  </si>
  <si>
    <t>口镜-1/Z7530</t>
  </si>
  <si>
    <t>T字挺-1/Z1526</t>
  </si>
  <si>
    <t>去冠器-1/Z7534</t>
  </si>
  <si>
    <t>门诊手术室</t>
  </si>
  <si>
    <t>小切开包</t>
  </si>
  <si>
    <t>中切开包</t>
  </si>
  <si>
    <t>内镜诊疗室</t>
  </si>
  <si>
    <t>电凝器（低温）-1/Z2530</t>
  </si>
  <si>
    <t>皮肤科</t>
  </si>
  <si>
    <t>清洁区（手术室）</t>
  </si>
  <si>
    <t>洗手服（XL号）/W15050</t>
  </si>
  <si>
    <r>
      <rPr>
        <sz val="10"/>
        <color rgb="FF000000"/>
        <rFont val="宋体"/>
        <charset val="134"/>
      </rPr>
      <t>敷料大（</t>
    </r>
    <r>
      <rPr>
        <sz val="10"/>
        <color rgb="FF000000"/>
        <rFont val="Droid Sans Fallback"/>
        <charset val="134"/>
      </rPr>
      <t>30cm*30cm*50cm</t>
    </r>
    <r>
      <rPr>
        <sz val="10"/>
        <color rgb="FF000000"/>
        <rFont val="宋体"/>
        <charset val="134"/>
      </rPr>
      <t>）</t>
    </r>
  </si>
  <si>
    <t>洗手服（XXL号）/W15050</t>
  </si>
  <si>
    <t>洗手服（XXXL号）/W15050</t>
  </si>
  <si>
    <t>洗手服（L号）/W15050</t>
  </si>
  <si>
    <t>洗手服（M号）/W15050</t>
  </si>
  <si>
    <t>敷料包/W15050</t>
  </si>
  <si>
    <t>孔巾包/W12050</t>
  </si>
  <si>
    <t>眼科包敷料/W15050</t>
  </si>
  <si>
    <t>洗手服（L号）/W12050</t>
  </si>
  <si>
    <t>肾病二科</t>
  </si>
  <si>
    <t>肾病一科</t>
  </si>
  <si>
    <t>持针器1剪刀1止血钳（直）1/Z1530</t>
  </si>
  <si>
    <t>显微镊-2/Z1029</t>
  </si>
  <si>
    <t>造瘘包</t>
  </si>
  <si>
    <t>手术室(二区)</t>
  </si>
  <si>
    <t>小小切开包</t>
  </si>
  <si>
    <t>大弯钳-8件/w6050</t>
  </si>
  <si>
    <t>碗1 盘2 杯2 /w6050</t>
  </si>
  <si>
    <t>膨宫管-1/z3040</t>
  </si>
  <si>
    <t>手术衣裤/w12050</t>
  </si>
  <si>
    <t>毛巾/Z2530</t>
  </si>
  <si>
    <t>小切开</t>
  </si>
  <si>
    <t>直角小勾-2/z1535</t>
  </si>
  <si>
    <t>腹腔镜包</t>
  </si>
  <si>
    <t>保温杯(高温)-1Z2044</t>
  </si>
  <si>
    <t>超声刀线-1/z3040</t>
  </si>
  <si>
    <t>持针器-1/z2060</t>
  </si>
  <si>
    <t>可拆剪刀-1/z2060</t>
  </si>
  <si>
    <t>可拆吸引器-1件/z1560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</si>
  <si>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15cm</t>
    </r>
  </si>
  <si>
    <t>刨刀戳卡1转换器1/z1026</t>
  </si>
  <si>
    <t>刨刀特器-1/z3040</t>
  </si>
  <si>
    <t>刨刀特器-7件/w12050</t>
  </si>
  <si>
    <t>气腹管-1（布）/w7050</t>
  </si>
  <si>
    <t>生物夹钳-1/双层z2060</t>
  </si>
  <si>
    <t>手件-2件/z2035</t>
  </si>
  <si>
    <t>双极钳-1/z2060</t>
  </si>
  <si>
    <t>双极线-1（需保护）/z3040</t>
  </si>
  <si>
    <t>弯钳-1/z2060</t>
  </si>
  <si>
    <t>无损伤钳-1/z2060</t>
  </si>
  <si>
    <t>30°腹腔镜-1/z2060</t>
  </si>
  <si>
    <t>低温灭菌 20cm</t>
  </si>
  <si>
    <t>1</t>
  </si>
  <si>
    <t>低温器械保护盒</t>
  </si>
  <si>
    <t>宫腔镜-1/z2060</t>
  </si>
  <si>
    <t>镜头1 手件4盒1/W12050</t>
  </si>
  <si>
    <t>妇科包（二区）</t>
  </si>
  <si>
    <t>咬骨钳1 咬骨剪1/w6050</t>
  </si>
  <si>
    <t>肌钩-2/Z7526</t>
  </si>
  <si>
    <t>尖刀柄-1/Z7530</t>
  </si>
  <si>
    <t>大巾钳-2/Z1526</t>
  </si>
  <si>
    <t>宫颈钳1窥器1扩棒1  /Z2032</t>
  </si>
  <si>
    <t>举宫杯-10/w9050</t>
  </si>
  <si>
    <t>阴道拉钩-2/w6050</t>
  </si>
  <si>
    <t>单极钩-1/z7550</t>
  </si>
  <si>
    <t>单极线-1/z3040</t>
  </si>
  <si>
    <t>锥切特器-13/w6050</t>
  </si>
  <si>
    <t>膨宫管无铁头-1/Z3040</t>
  </si>
  <si>
    <t>大镊子-2/Z7537</t>
  </si>
  <si>
    <t>锐勺-1/Z1029</t>
  </si>
  <si>
    <t>手件-4件/z2035</t>
  </si>
  <si>
    <t>圆刀柄-1/Z7526</t>
  </si>
  <si>
    <r>
      <rPr>
        <sz val="10"/>
        <color rgb="FF000000"/>
        <rFont val="宋体"/>
        <charset val="134"/>
      </rPr>
      <t>直角小勾</t>
    </r>
    <r>
      <rPr>
        <sz val="10"/>
        <color rgb="FF000000"/>
        <rFont val="Droid Sans Fallback"/>
        <charset val="134"/>
      </rPr>
      <t>-2/z1535</t>
    </r>
  </si>
  <si>
    <t>气腹针(高温)-1/Z1029</t>
  </si>
  <si>
    <t>镜头-1/z2060</t>
  </si>
  <si>
    <t>消融电极-1/z7526</t>
  </si>
  <si>
    <t>手件-3/z2060</t>
  </si>
  <si>
    <t>附件拉钩-2/z1535</t>
  </si>
  <si>
    <t>宫腔镜镜头-1（低温）/z2060</t>
  </si>
  <si>
    <t>骨膜剥离质-1/Z7530</t>
  </si>
  <si>
    <t>截肢特器-6/w9050</t>
  </si>
  <si>
    <t>手术室(一区)</t>
  </si>
  <si>
    <t>肛肠包</t>
  </si>
  <si>
    <t>咬钉器-1/w9050</t>
  </si>
  <si>
    <t>间盘镜特器（高温）-17件</t>
  </si>
  <si>
    <t>电钻-带盒5件/w9050</t>
  </si>
  <si>
    <t>王树人特器-16件（加筐17）</t>
  </si>
  <si>
    <t>保温瓶-1/z2044</t>
  </si>
  <si>
    <t>胆道镜-6(筐1)/w12050</t>
  </si>
  <si>
    <t>间盘镜镜头-1件（盒1）/w12050</t>
  </si>
  <si>
    <t>剪刀-1/Z2060</t>
  </si>
  <si>
    <t>气腹管-1/z3044</t>
  </si>
  <si>
    <t>气腹针-1/z1029</t>
  </si>
  <si>
    <t>王树人特器-1件/z2060</t>
  </si>
  <si>
    <t>吸引器-1/z1560</t>
  </si>
  <si>
    <t>人流包-25件</t>
  </si>
  <si>
    <t>清创包-10框1/w9050</t>
  </si>
  <si>
    <t>保温杯-1件/z2045</t>
  </si>
  <si>
    <t>超声刀线（低温）-1/z3040</t>
  </si>
  <si>
    <t>单极铲-1/z7560</t>
  </si>
  <si>
    <t>单极线-1件/z3040</t>
  </si>
  <si>
    <t>剪刀-1（低温）/z2060</t>
  </si>
  <si>
    <t>气腹管-1件/z3040</t>
  </si>
  <si>
    <t>生物夹钳-1件（低温）/z2060</t>
  </si>
  <si>
    <t>弯钳-1（低温）/z2060</t>
  </si>
  <si>
    <t>无损伤钳（低温）-1/z2060</t>
  </si>
  <si>
    <t>电铲-1/z7550</t>
  </si>
  <si>
    <t>分离钳-1/z2060</t>
  </si>
  <si>
    <t>杯1 碗1 盘1/Z3032</t>
  </si>
  <si>
    <t>超乳特器-4/Z2535</t>
  </si>
  <si>
    <t>剪刀1 持针器1/Z1526</t>
  </si>
  <si>
    <t>注吸器-1/z7526</t>
  </si>
  <si>
    <t>眼科白内障-13件（盒1）</t>
  </si>
  <si>
    <t>灯把手-8/w6050</t>
  </si>
  <si>
    <t>膀胱检查镜镜头-1/z2060</t>
  </si>
  <si>
    <t>光纤-1/z3044</t>
  </si>
  <si>
    <t>光源线-1/z3044</t>
  </si>
  <si>
    <t>取石钳-1/Z2060</t>
  </si>
  <si>
    <t>肾镜-1/z2060</t>
  </si>
  <si>
    <t>输尿管镜7°-2件（盒1）/双/z3095</t>
  </si>
  <si>
    <t>王树人光源-1/z3044</t>
  </si>
  <si>
    <t>间盘镜特器-3件 盒1/z2060</t>
  </si>
  <si>
    <t>可拆抓钳-1/z2060</t>
  </si>
  <si>
    <t>气腹针（低温）-1/z1030</t>
  </si>
  <si>
    <t>双极钳（过氧化氢）-1/z2060</t>
  </si>
  <si>
    <t>双极线（过氧化氢）-1/z3040</t>
  </si>
  <si>
    <t>吸引器(低)-1/Z1560</t>
  </si>
  <si>
    <t>巾钳子-4/Z1526</t>
  </si>
  <si>
    <t>间盘镜特器（高温）-18件</t>
  </si>
  <si>
    <t>开腹包</t>
  </si>
  <si>
    <t>骨科包</t>
  </si>
  <si>
    <t>取板特器</t>
  </si>
  <si>
    <t>卵圆钳1 镊子1/Z1535</t>
  </si>
  <si>
    <t>手科特器-14/w6050</t>
  </si>
  <si>
    <t>手科特器-9/w6050</t>
  </si>
  <si>
    <t>小弯-6/w6050</t>
  </si>
  <si>
    <t>STORZ 3D镜头 光源-2/w12050</t>
  </si>
  <si>
    <t>单极铲-1/Z1035</t>
  </si>
  <si>
    <t>特殊钳-1/Z2044</t>
  </si>
  <si>
    <t>王树人镜头-1/Z2060</t>
  </si>
  <si>
    <t>肛门拉钩-2/Z1526</t>
  </si>
  <si>
    <t>高温组件-2/z1026</t>
  </si>
  <si>
    <t>青光眼-14件（加盒15件）</t>
  </si>
  <si>
    <t>外眼包</t>
  </si>
  <si>
    <t>杯1 碗1 盘1（白内障）/w6050</t>
  </si>
  <si>
    <t>特器-1/z1526</t>
  </si>
  <si>
    <t>阑尾包</t>
  </si>
  <si>
    <t>泌尿包</t>
  </si>
  <si>
    <t>脑科包</t>
  </si>
  <si>
    <t>大弯-4/w6050</t>
  </si>
  <si>
    <t>虎头夹-2件/z7520</t>
  </si>
  <si>
    <t>机器人戳卡密封组件-3件/z1026</t>
  </si>
  <si>
    <t>组件-1/Z1550</t>
  </si>
  <si>
    <t>妇科特器-6/w7050</t>
  </si>
  <si>
    <t>脑科特器-20/w9050</t>
  </si>
  <si>
    <t>脑科特器-8/w6050</t>
  </si>
  <si>
    <t>头钉-6件/保/z7520</t>
  </si>
  <si>
    <t>小弯-4/w6050</t>
  </si>
  <si>
    <t>机器人双极线-1/Z3044</t>
  </si>
  <si>
    <t>脑科动力系统-8件（筐1）/w12050</t>
  </si>
  <si>
    <t>虎头夹钳-1/z2060</t>
  </si>
  <si>
    <t>机器人持针器-1/Z2060</t>
  </si>
  <si>
    <t>机器人单极大号电钩-1/Z2060</t>
  </si>
  <si>
    <t>机器人单极弯剪刀-1/Z2060</t>
  </si>
  <si>
    <t>机器人双极马里兰-1/Z2060</t>
  </si>
  <si>
    <t>机器人特器-1/z2060</t>
  </si>
  <si>
    <t>平头窗式双极钳-1/Z2060</t>
  </si>
  <si>
    <t>膀胱电切镜手件-4/z2060</t>
  </si>
  <si>
    <t>膀胱电切镜头-1/双Z1550</t>
  </si>
  <si>
    <t>膀胱镜手件-3/双/z2060</t>
  </si>
  <si>
    <t>冲洗管-1/z3040</t>
  </si>
  <si>
    <t>冲洗瓶-1/z1530</t>
  </si>
  <si>
    <t>动脉夹-1/Z7520</t>
  </si>
  <si>
    <t>工字帽-4/Z1026</t>
  </si>
  <si>
    <t>经皮肾镜-1/z2060</t>
  </si>
  <si>
    <t>输尿管镜软镜-1件/双/z3095</t>
  </si>
  <si>
    <t>中弯-6/w6050</t>
  </si>
  <si>
    <t>缝合包-4/Z1526</t>
  </si>
  <si>
    <t>克氏钳1改锥1/w6050</t>
  </si>
  <si>
    <t>电钻-5件（盒1）/w9050</t>
  </si>
  <si>
    <t>中弯-4/Z1526</t>
  </si>
  <si>
    <t>膀胱镜手件-4/z2060</t>
  </si>
  <si>
    <t>输尿管镜-2/双/z3060</t>
  </si>
  <si>
    <t>间盘包</t>
  </si>
  <si>
    <t>静脉切开包</t>
  </si>
  <si>
    <t>电钻-4件（盒1）/w9050</t>
  </si>
  <si>
    <t>S钩-2/w6050</t>
  </si>
  <si>
    <t>摆锯-6（盒1）/w9050</t>
  </si>
  <si>
    <t>手科蚊式-7/w6050</t>
  </si>
  <si>
    <t>囊膜剪刀-1/Z1029</t>
  </si>
  <si>
    <t>姜益常特器</t>
  </si>
  <si>
    <t>肛肠特器-10/w6050</t>
  </si>
  <si>
    <t>上肢外架产品-46件/W9050</t>
  </si>
  <si>
    <t>上肢外架工具-9/w6050</t>
  </si>
  <si>
    <t>绷带/Z1029</t>
  </si>
  <si>
    <t>张景欣特器-10盒1/w12050</t>
  </si>
  <si>
    <t>持针器-1件/z2060</t>
  </si>
  <si>
    <t>左弯钳-1/Z2060</t>
  </si>
  <si>
    <t>荷包钳-1/Z1535</t>
  </si>
  <si>
    <t>蚊式-6/w6050</t>
  </si>
  <si>
    <t>间盘镜特器（高温）-16件</t>
  </si>
  <si>
    <t>皮钩-2/Z1029</t>
  </si>
  <si>
    <t>膀胱碎石镜手件-4/z2060</t>
  </si>
  <si>
    <t>冲洗瓶-3/z2544</t>
  </si>
  <si>
    <t>息肉抓钳-1/z2060</t>
  </si>
  <si>
    <t>检查镜镜头-1/Z1550</t>
  </si>
  <si>
    <t>输尿管镜7。-2件（盒1）/双/z3060</t>
  </si>
  <si>
    <t>注射器-1/Z7526</t>
  </si>
  <si>
    <t>间盘镜磨钻-6件（盒1）/w9050</t>
  </si>
  <si>
    <t>磨钻手柄-1件（盒1）/w9050</t>
  </si>
  <si>
    <t>内六角-3/w6050</t>
  </si>
  <si>
    <t>黑龙江中医药大学附属第一医院手术室（一区）2026年3月9日加急灭菌费1072.8+1072.8*25%=1341元，加急物流费120元，金额合计1461元.</t>
  </si>
  <si>
    <r>
      <rPr>
        <sz val="10"/>
        <color theme="1"/>
        <rFont val="宋体"/>
        <charset val="134"/>
      </rPr>
      <t>单包内器械数量</t>
    </r>
    <r>
      <rPr>
        <sz val="10"/>
        <color theme="1"/>
        <rFont val="Droid Sans Fallback"/>
        <charset val="134"/>
      </rPr>
      <t>/</t>
    </r>
    <r>
      <rPr>
        <sz val="10"/>
        <color theme="1"/>
        <rFont val="宋体"/>
        <charset val="134"/>
      </rPr>
      <t>把</t>
    </r>
  </si>
  <si>
    <t>30°腹腔镜 -1/z2060</t>
  </si>
  <si>
    <t>膀胱镜手件（过氧化氢）-4/z2060</t>
  </si>
  <si>
    <t>单极钩（低温）-1/Z7550</t>
  </si>
  <si>
    <t>输尿管镜-1件（盒1）/双/z3060</t>
  </si>
  <si>
    <t>孙晓龙特器-8/w6050</t>
  </si>
  <si>
    <r>
      <rPr>
        <sz val="10"/>
        <color rgb="FF000000"/>
        <rFont val="宋体"/>
        <charset val="134"/>
      </rPr>
      <t>碗</t>
    </r>
    <r>
      <rPr>
        <sz val="10"/>
        <color rgb="FF000000"/>
        <rFont val="Droid Sans Fallback"/>
        <charset val="134"/>
      </rPr>
      <t xml:space="preserve">1 </t>
    </r>
    <r>
      <rPr>
        <sz val="10"/>
        <color rgb="FF000000"/>
        <rFont val="宋体"/>
        <charset val="134"/>
      </rPr>
      <t>盘</t>
    </r>
    <r>
      <rPr>
        <sz val="10"/>
        <color rgb="FF000000"/>
        <rFont val="Droid Sans Fallback"/>
        <charset val="134"/>
      </rPr>
      <t xml:space="preserve">2 </t>
    </r>
    <r>
      <rPr>
        <sz val="10"/>
        <color rgb="FF000000"/>
        <rFont val="宋体"/>
        <charset val="134"/>
      </rPr>
      <t>杯</t>
    </r>
    <r>
      <rPr>
        <sz val="10"/>
        <color rgb="FF000000"/>
        <rFont val="Droid Sans Fallback"/>
        <charset val="134"/>
      </rPr>
      <t>2 /w6050</t>
    </r>
  </si>
  <si>
    <t>合计</t>
  </si>
  <si>
    <t>黑龙江中医药大学附属第一医院手术室（一区）2026年3月26日加急灭菌费457.6+457.6*25%=572元，加急物流费120元，金额合计692元.</t>
  </si>
  <si>
    <t>取石钳（EO）-1/Z2060</t>
  </si>
  <si>
    <t>黑龙江中医药大学附属第一医院2026年3月1日-2026年3月31日外来器械灭菌费总计金额3760.8元。</t>
  </si>
  <si>
    <t>黑龙江中医药大学附属第一医院哈尔滨奕顺医疗科技2026年3月1日-2026年3月31日外来器械灭菌费总计金额3132元。</t>
  </si>
  <si>
    <t>客户名称</t>
  </si>
  <si>
    <t>包号</t>
  </si>
  <si>
    <t>组件类型</t>
  </si>
  <si>
    <t>组件名</t>
  </si>
  <si>
    <t>组件数量</t>
  </si>
  <si>
    <t>器械数量</t>
  </si>
  <si>
    <t>器械单价</t>
  </si>
  <si>
    <t>器械金额</t>
  </si>
  <si>
    <t>钉盒数量</t>
  </si>
  <si>
    <t>钉盒单价</t>
  </si>
  <si>
    <t>钉盒金额</t>
  </si>
  <si>
    <t>生物监测数量</t>
  </si>
  <si>
    <t>生物监测单价</t>
  </si>
  <si>
    <t>生物监测金额</t>
  </si>
  <si>
    <t>合计金额</t>
  </si>
  <si>
    <t>哈尔滨奕顺医疗科技</t>
  </si>
  <si>
    <t>1/8- - -于桂荣-右膝关节置换</t>
  </si>
  <si>
    <t>器械</t>
  </si>
  <si>
    <t>外来器械组件</t>
  </si>
  <si>
    <t>器械-器皿</t>
  </si>
  <si>
    <t xml:space="preserve">外来器械篮筐 </t>
  </si>
  <si>
    <t>6/8- - -于桂荣-右膝关节置换</t>
  </si>
  <si>
    <t>2/8- - -于桂荣-右膝关节置换</t>
  </si>
  <si>
    <t>7/8- - -于桂荣-右膝关节置换</t>
  </si>
  <si>
    <t>3/8- - -于桂荣-右膝关节置换</t>
  </si>
  <si>
    <t>8/8- - -于桂荣-右膝关节置换</t>
  </si>
  <si>
    <t>4/8- - -于桂荣-右膝关节置换</t>
  </si>
  <si>
    <t>5/8- - -于桂荣-右膝关节置换</t>
  </si>
  <si>
    <t>纪权-髋关节置换   6/7</t>
  </si>
  <si>
    <t>纪权-髋关节置换   1/7</t>
  </si>
  <si>
    <t>自带篮筐</t>
  </si>
  <si>
    <t>纪权-髋关节置换   7/7</t>
  </si>
  <si>
    <t>公司篮筐</t>
  </si>
  <si>
    <t>纪权-髋关节置换   2/7</t>
  </si>
  <si>
    <t>纪权-髋关节置换   3/7</t>
  </si>
  <si>
    <t>纪权-髋关节置换   4/7</t>
  </si>
  <si>
    <t>纪权-髋关节置换   5/7</t>
  </si>
  <si>
    <t>薜亚芳-PFNA固定术1/4</t>
  </si>
  <si>
    <t xml:space="preserve">植入物 </t>
  </si>
  <si>
    <t>薜亚芳-PFNA固定术3/4</t>
  </si>
  <si>
    <t xml:space="preserve">组件-1 </t>
  </si>
  <si>
    <t>薜亚芳-PFNA固定术4/4</t>
  </si>
  <si>
    <t>薜亚芳-PFNA固定术2/4</t>
  </si>
  <si>
    <t>金帅-髋关节置换术6/6</t>
  </si>
  <si>
    <t>金帅-髋关节置换术1/6</t>
  </si>
  <si>
    <t>金帅-髋关节置换术2/6</t>
  </si>
  <si>
    <t>金帅-髋关节置换术3/6</t>
  </si>
  <si>
    <t>金帅-髋关节置换术4/6</t>
  </si>
  <si>
    <t>金帅-髋关节置换术5/6</t>
  </si>
  <si>
    <t>李树杰-髋关节置换术6/6</t>
  </si>
  <si>
    <t>组件X1</t>
  </si>
  <si>
    <t>李树杰-髋关节置换术1/6</t>
  </si>
  <si>
    <t xml:space="preserve">植入物-钉 </t>
  </si>
  <si>
    <t>李树杰-髋关节置换术2/6</t>
  </si>
  <si>
    <t>李树杰-髋关节置换术3/6</t>
  </si>
  <si>
    <t>李树杰-髋关节置换术4/6</t>
  </si>
  <si>
    <t>李树杰-髋关节置换术5/6</t>
  </si>
  <si>
    <t>司纪红-双踝骨折  1/3</t>
  </si>
  <si>
    <t xml:space="preserve">植入物-板 </t>
  </si>
  <si>
    <t>司纪红-双踝骨折  2/3</t>
  </si>
  <si>
    <t>司纪红-双踝骨折  3/3</t>
  </si>
  <si>
    <t>黑龙江中医药大学附属第一医院黑龙江钇嵩医疗器械有限公司2026年3月1日-2026年3月31日外来器械灭菌费总计金额393.2元。</t>
  </si>
  <si>
    <t>黑龙江钇嵩医疗器械有限公司</t>
  </si>
  <si>
    <t>任婷婷-桡骨头骨折1/1</t>
  </si>
  <si>
    <t>吴立新-内固定钢板取出  1/1</t>
  </si>
  <si>
    <t>樊成国-掌骨取出1/1</t>
  </si>
  <si>
    <t>黑龙江中医药大学附属第一医院铮基医疗器械有限公司2026年3月1日-2026年3月31日外来器械灭菌费总计金额235.6元。</t>
  </si>
  <si>
    <t>铮基医疗</t>
  </si>
  <si>
    <t>王金芳-颈椎间盘突出  2/3</t>
  </si>
  <si>
    <t>王金芳-颈椎间盘突出  3/3</t>
  </si>
  <si>
    <t>王金芳-颈椎间盘突出  1/3-低温</t>
  </si>
  <si>
    <t>透析</t>
  </si>
  <si>
    <t>血透切开包</t>
  </si>
  <si>
    <t>造瘘手术器械包</t>
  </si>
  <si>
    <t>剪刀1止血钳1/Z1526</t>
  </si>
  <si>
    <t>外二</t>
  </si>
  <si>
    <t>换药包(120布)</t>
  </si>
  <si>
    <t>纸塑袋 15cm (中）</t>
  </si>
  <si>
    <t>换药碗-3/w6050</t>
  </si>
  <si>
    <t>外三</t>
  </si>
  <si>
    <t>气管套管-2/Z1526</t>
  </si>
  <si>
    <t>气管套管-3件（一套）/Z1029</t>
  </si>
  <si>
    <t>气管套管-1/Z1026</t>
  </si>
  <si>
    <t>外一</t>
  </si>
  <si>
    <t>尿道探子-1/Z7534</t>
  </si>
  <si>
    <t>大引流纱布-2/Z1526</t>
  </si>
  <si>
    <t>小块纱布/Z1020</t>
  </si>
  <si>
    <t>消化二科</t>
  </si>
  <si>
    <t>消化一</t>
  </si>
  <si>
    <t>心内五</t>
  </si>
  <si>
    <t>血液</t>
  </si>
  <si>
    <t>棉球/Z1526</t>
  </si>
  <si>
    <t>眼科病房</t>
  </si>
  <si>
    <t>带盖托盘-1/Z3044</t>
  </si>
  <si>
    <t>睑板腺夹-1/Z7520</t>
  </si>
  <si>
    <t>眼病治疗盒</t>
  </si>
  <si>
    <t>棉球缸-2/W6050</t>
  </si>
  <si>
    <t>显微镊-1/Z7520</t>
  </si>
  <si>
    <t>方盘-1/W9050</t>
  </si>
  <si>
    <t>眼科门诊322</t>
  </si>
  <si>
    <t>角板20治疗盒1/w6050</t>
  </si>
  <si>
    <t>泪点扩张器-1/Z1026</t>
  </si>
  <si>
    <t>眼科门诊357</t>
  </si>
  <si>
    <t>显微镊-1/Z7530</t>
  </si>
  <si>
    <t>角板10（盒1）/w6050</t>
  </si>
  <si>
    <t>角板9（盒1）/w6050</t>
  </si>
  <si>
    <t>眼科门诊手术室（二）</t>
  </si>
  <si>
    <t>开睑器-1/Z1020</t>
  </si>
  <si>
    <t>手柄套-1/Z1029</t>
  </si>
  <si>
    <t>霰粒肿包</t>
  </si>
  <si>
    <t>翼状胬肉包-9</t>
  </si>
  <si>
    <t>镊子缸-3/w6050</t>
  </si>
  <si>
    <t>球内注药-3件/W6050</t>
  </si>
  <si>
    <t>睑内翻包</t>
  </si>
  <si>
    <t>显微剪刀-1/z7526</t>
  </si>
  <si>
    <t>眼科门诊手术室（一）</t>
  </si>
  <si>
    <t>针灸四</t>
  </si>
  <si>
    <t>开口器1舌钳子1压舌板1/Z1526</t>
  </si>
  <si>
    <t>针灸五</t>
  </si>
  <si>
    <t>重症医学科</t>
  </si>
  <si>
    <t>气切包-3/w6050</t>
  </si>
  <si>
    <t>简易呼吸球囊-1/z3044</t>
  </si>
  <si>
    <t>剪口纱布/Z1526</t>
  </si>
  <si>
    <t>周围血管二</t>
  </si>
  <si>
    <t>清创包</t>
  </si>
  <si>
    <t>清创机超声手柄(高温)-1/Z1029</t>
  </si>
  <si>
    <t>切开包-15件</t>
  </si>
  <si>
    <t>切开包（周围二）</t>
  </si>
  <si>
    <t>周围血管一</t>
  </si>
  <si>
    <t>剪刀1止血钳1镊子1/Z1526</t>
  </si>
  <si>
    <t>蚊式-1/Z1026</t>
  </si>
  <si>
    <t>鹰嘴钳-1/Z1526</t>
  </si>
  <si>
    <t>线刀-1/Z1029</t>
  </si>
  <si>
    <t>跟腱钳-1/Z7526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</si>
</sst>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$-10804]0.00;\(0.00\)"/>
    <numFmt numFmtId="178" formatCode="[$-10804]yyyy/m/d"/>
    <numFmt numFmtId="179" formatCode="yyyy/m/d;@"/>
    <numFmt numFmtId="180" formatCode="#,##0_ "/>
    <numFmt numFmtId="181" formatCode="[$-10804]0.00"/>
    <numFmt numFmtId="182" formatCode="[$-10804]yyyy/m/d\ h:mm:ss"/>
  </numFmts>
  <fonts count="4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WenQuanYiZenHeiSharp"/>
      <charset val="134"/>
    </font>
    <font>
      <b/>
      <sz val="16"/>
      <name val="Microsoft YaHei"/>
      <charset val="134"/>
    </font>
    <font>
      <b/>
      <sz val="11"/>
      <color rgb="FFFFFFFF"/>
      <name val="Microsoft YaHei"/>
      <charset val="134"/>
    </font>
    <font>
      <b/>
      <sz val="11"/>
      <name val="Microsoft YaHei"/>
      <charset val="134"/>
    </font>
    <font>
      <sz val="10"/>
      <color rgb="FF4D4D4D"/>
      <name val="Microsoft YaHei"/>
      <charset val="134"/>
    </font>
    <font>
      <sz val="10"/>
      <name val="Microsoft YaHei"/>
      <charset val="134"/>
    </font>
    <font>
      <sz val="12"/>
      <name val="宋体"/>
      <charset val="134"/>
      <scheme val="minor"/>
    </font>
    <font>
      <sz val="10"/>
      <color theme="1"/>
      <name val="宋体"/>
      <charset val="134"/>
    </font>
    <font>
      <b/>
      <sz val="12"/>
      <color rgb="FFFFFFFF"/>
      <name val="Droid Sans Fallback"/>
      <charset val="134"/>
    </font>
    <font>
      <sz val="10"/>
      <name val="Droid Sans Fallback"/>
      <charset val="134"/>
    </font>
    <font>
      <sz val="10"/>
      <name val="宋体"/>
      <charset val="134"/>
    </font>
    <font>
      <sz val="12"/>
      <color rgb="FFFFFFFF"/>
      <name val="Droid Sans Fallback"/>
      <charset val="134"/>
    </font>
    <font>
      <strike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color theme="1"/>
      <name val="Droid Sans Fallback"/>
      <charset val="134"/>
    </font>
    <font>
      <sz val="10"/>
      <color rgb="FF000000"/>
      <name val="LiberationSerif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4C68A2"/>
        <bgColor rgb="FF4C68A2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6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19" applyNumberFormat="0" applyAlignment="0" applyProtection="0">
      <alignment vertical="center"/>
    </xf>
    <xf numFmtId="0" fontId="29" fillId="8" borderId="20" applyNumberFormat="0" applyAlignment="0" applyProtection="0">
      <alignment vertical="center"/>
    </xf>
    <xf numFmtId="0" fontId="30" fillId="8" borderId="19" applyNumberFormat="0" applyAlignment="0" applyProtection="0">
      <alignment vertical="center"/>
    </xf>
    <xf numFmtId="0" fontId="31" fillId="9" borderId="21" applyNumberFormat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9" fillId="0" borderId="0"/>
  </cellStyleXfs>
  <cellXfs count="142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left" vertical="center" wrapText="1" readingOrder="1"/>
    </xf>
    <xf numFmtId="0" fontId="3" fillId="0" borderId="2" xfId="0" applyNumberFormat="1" applyFont="1" applyFill="1" applyBorder="1" applyAlignment="1">
      <alignment horizontal="left" vertical="center" wrapText="1" readingOrder="1"/>
    </xf>
    <xf numFmtId="176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49" applyNumberFormat="1" applyFont="1" applyFill="1" applyBorder="1" applyAlignment="1">
      <alignment horizontal="center" vertical="center" wrapText="1" readingOrder="1"/>
    </xf>
    <xf numFmtId="0" fontId="4" fillId="2" borderId="3" xfId="49" applyNumberFormat="1" applyFont="1" applyFill="1" applyBorder="1" applyAlignment="1">
      <alignment horizontal="left" vertical="center" wrapText="1" readingOrder="1"/>
    </xf>
    <xf numFmtId="0" fontId="0" fillId="0" borderId="4" xfId="49" applyNumberFormat="1" applyFont="1" applyFill="1" applyBorder="1" applyAlignment="1">
      <alignment horizontal="left" vertical="center" wrapText="1"/>
    </xf>
    <xf numFmtId="177" fontId="4" fillId="2" borderId="3" xfId="49" applyNumberFormat="1" applyFont="1" applyFill="1" applyBorder="1" applyAlignment="1">
      <alignment horizontal="left" vertical="center" wrapText="1" readingOrder="1"/>
    </xf>
    <xf numFmtId="177" fontId="4" fillId="2" borderId="3" xfId="49" applyNumberFormat="1" applyFont="1" applyFill="1" applyBorder="1" applyAlignment="1">
      <alignment horizontal="center" vertical="center" wrapText="1" readingOrder="1"/>
    </xf>
    <xf numFmtId="178" fontId="3" fillId="0" borderId="5" xfId="49" applyNumberFormat="1" applyFont="1" applyFill="1" applyBorder="1" applyAlignment="1">
      <alignment horizontal="left" vertical="center" wrapText="1" readingOrder="1"/>
    </xf>
    <xf numFmtId="0" fontId="3" fillId="0" borderId="5" xfId="49" applyNumberFormat="1" applyFont="1" applyFill="1" applyBorder="1" applyAlignment="1">
      <alignment horizontal="left" vertical="center" wrapText="1" readingOrder="1"/>
    </xf>
    <xf numFmtId="0" fontId="5" fillId="0" borderId="5" xfId="0" applyNumberFormat="1" applyFont="1" applyFill="1" applyBorder="1" applyAlignment="1">
      <alignment horizontal="left" vertical="center" wrapText="1" readingOrder="1"/>
    </xf>
    <xf numFmtId="49" fontId="3" fillId="0" borderId="5" xfId="0" applyNumberFormat="1" applyFont="1" applyFill="1" applyBorder="1" applyAlignment="1">
      <alignment horizontal="center" vertical="center" wrapText="1" readingOrder="1"/>
    </xf>
    <xf numFmtId="177" fontId="3" fillId="0" borderId="5" xfId="0" applyNumberFormat="1" applyFont="1" applyFill="1" applyBorder="1" applyAlignment="1">
      <alignment horizontal="center" vertical="center" wrapText="1" readingOrder="1"/>
    </xf>
    <xf numFmtId="177" fontId="3" fillId="0" borderId="5" xfId="49" applyNumberFormat="1" applyFont="1" applyFill="1" applyBorder="1" applyAlignment="1">
      <alignment horizontal="center" vertical="center" wrapText="1" readingOrder="1"/>
    </xf>
    <xf numFmtId="178" fontId="3" fillId="0" borderId="6" xfId="49" applyNumberFormat="1" applyFont="1" applyFill="1" applyBorder="1" applyAlignment="1">
      <alignment horizontal="left" vertical="center" wrapText="1" readingOrder="1"/>
    </xf>
    <xf numFmtId="0" fontId="3" fillId="0" borderId="6" xfId="49" applyNumberFormat="1" applyFont="1" applyFill="1" applyBorder="1" applyAlignment="1">
      <alignment horizontal="left" vertical="center" wrapText="1" readingOrder="1"/>
    </xf>
    <xf numFmtId="0" fontId="5" fillId="0" borderId="6" xfId="0" applyNumberFormat="1" applyFont="1" applyFill="1" applyBorder="1" applyAlignment="1">
      <alignment horizontal="left" vertical="center" wrapText="1" readingOrder="1"/>
    </xf>
    <xf numFmtId="49" fontId="3" fillId="0" borderId="6" xfId="0" applyNumberFormat="1" applyFont="1" applyFill="1" applyBorder="1" applyAlignment="1">
      <alignment horizontal="center" vertical="center" wrapText="1" readingOrder="1"/>
    </xf>
    <xf numFmtId="177" fontId="3" fillId="0" borderId="6" xfId="0" applyNumberFormat="1" applyFont="1" applyFill="1" applyBorder="1" applyAlignment="1">
      <alignment horizontal="center" vertical="center" wrapText="1" readingOrder="1"/>
    </xf>
    <xf numFmtId="177" fontId="3" fillId="0" borderId="6" xfId="49" applyNumberFormat="1" applyFont="1" applyFill="1" applyBorder="1" applyAlignment="1">
      <alignment horizontal="center" vertical="center" wrapText="1" readingOrder="1"/>
    </xf>
    <xf numFmtId="0" fontId="3" fillId="0" borderId="6" xfId="0" applyNumberFormat="1" applyFont="1" applyFill="1" applyBorder="1" applyAlignment="1">
      <alignment horizontal="left" vertical="center" wrapText="1" readingOrder="1"/>
    </xf>
    <xf numFmtId="177" fontId="5" fillId="0" borderId="6" xfId="0" applyNumberFormat="1" applyFont="1" applyFill="1" applyBorder="1" applyAlignment="1">
      <alignment horizontal="left" vertical="center" wrapText="1" readingOrder="1"/>
    </xf>
    <xf numFmtId="0" fontId="5" fillId="0" borderId="6" xfId="49" applyNumberFormat="1" applyFont="1" applyFill="1" applyBorder="1" applyAlignment="1">
      <alignment horizontal="left" vertical="center" wrapText="1" readingOrder="1"/>
    </xf>
    <xf numFmtId="177" fontId="3" fillId="0" borderId="6" xfId="0" applyNumberFormat="1" applyFont="1" applyFill="1" applyBorder="1" applyAlignment="1">
      <alignment horizontal="left" vertical="center" wrapText="1" readingOrder="1"/>
    </xf>
    <xf numFmtId="0" fontId="3" fillId="0" borderId="5" xfId="0" applyNumberFormat="1" applyFont="1" applyFill="1" applyBorder="1" applyAlignment="1">
      <alignment horizontal="left" vertical="center" wrapText="1" readingOrder="1"/>
    </xf>
    <xf numFmtId="177" fontId="5" fillId="0" borderId="5" xfId="0" applyNumberFormat="1" applyFont="1" applyFill="1" applyBorder="1" applyAlignment="1">
      <alignment horizontal="left" vertical="center" wrapText="1" readingOrder="1"/>
    </xf>
    <xf numFmtId="178" fontId="3" fillId="0" borderId="6" xfId="49" applyNumberFormat="1" applyFont="1" applyFill="1" applyBorder="1" applyAlignment="1">
      <alignment horizontal="left" vertical="top" wrapText="1" readingOrder="1"/>
    </xf>
    <xf numFmtId="0" fontId="3" fillId="0" borderId="6" xfId="49" applyNumberFormat="1" applyFont="1" applyFill="1" applyBorder="1" applyAlignment="1">
      <alignment horizontal="left" vertical="top" wrapText="1" readingOrder="1"/>
    </xf>
    <xf numFmtId="176" fontId="3" fillId="0" borderId="6" xfId="0" applyNumberFormat="1" applyFont="1" applyFill="1" applyBorder="1" applyAlignment="1">
      <alignment horizontal="center" vertical="center" wrapText="1" readingOrder="1"/>
    </xf>
    <xf numFmtId="0" fontId="3" fillId="0" borderId="6" xfId="0" applyNumberFormat="1" applyFont="1" applyFill="1" applyBorder="1" applyAlignment="1">
      <alignment horizontal="center" vertical="center" wrapText="1" readingOrder="1"/>
    </xf>
    <xf numFmtId="0" fontId="3" fillId="0" borderId="6" xfId="49" applyNumberFormat="1" applyFont="1" applyFill="1" applyBorder="1" applyAlignment="1">
      <alignment horizontal="center" vertical="center" wrapText="1" readingOrder="1"/>
    </xf>
    <xf numFmtId="0" fontId="4" fillId="2" borderId="6" xfId="49" applyNumberFormat="1" applyFont="1" applyFill="1" applyBorder="1" applyAlignment="1">
      <alignment horizontal="left" vertical="top" wrapText="1" readingOrder="1"/>
    </xf>
    <xf numFmtId="0" fontId="0" fillId="0" borderId="6" xfId="49" applyNumberFormat="1" applyFont="1" applyFill="1" applyBorder="1" applyAlignment="1">
      <alignment horizontal="left" vertical="top" wrapText="1"/>
    </xf>
    <xf numFmtId="177" fontId="4" fillId="2" borderId="6" xfId="49" applyNumberFormat="1" applyFont="1" applyFill="1" applyBorder="1" applyAlignment="1">
      <alignment horizontal="left" vertical="top" wrapText="1" readingOrder="1"/>
    </xf>
    <xf numFmtId="177" fontId="4" fillId="2" borderId="6" xfId="49" applyNumberFormat="1" applyFont="1" applyFill="1" applyBorder="1" applyAlignment="1">
      <alignment horizontal="center" vertical="center" wrapText="1" readingOrder="1"/>
    </xf>
    <xf numFmtId="178" fontId="3" fillId="0" borderId="6" xfId="49" applyNumberFormat="1" applyFont="1" applyFill="1" applyBorder="1" applyAlignment="1">
      <alignment vertical="top" wrapText="1" readingOrder="1"/>
    </xf>
    <xf numFmtId="0" fontId="3" fillId="0" borderId="6" xfId="49" applyNumberFormat="1" applyFont="1" applyFill="1" applyBorder="1" applyAlignment="1">
      <alignment vertical="top" wrapText="1" readingOrder="1"/>
    </xf>
    <xf numFmtId="0" fontId="3" fillId="0" borderId="6" xfId="49" applyNumberFormat="1" applyFont="1" applyFill="1" applyBorder="1" applyAlignment="1">
      <alignment horizontal="center" vertical="top" wrapText="1" readingOrder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3" fillId="0" borderId="7" xfId="49" applyNumberFormat="1" applyFont="1" applyFill="1" applyBorder="1" applyAlignment="1">
      <alignment horizontal="left" vertical="top" wrapText="1" readingOrder="1"/>
    </xf>
    <xf numFmtId="0" fontId="3" fillId="0" borderId="7" xfId="49" applyNumberFormat="1" applyFont="1" applyFill="1" applyBorder="1" applyAlignment="1">
      <alignment horizontal="center" vertical="center" wrapText="1" readingOrder="1"/>
    </xf>
    <xf numFmtId="0" fontId="4" fillId="2" borderId="3" xfId="49" applyNumberFormat="1" applyFont="1" applyFill="1" applyBorder="1" applyAlignment="1">
      <alignment horizontal="left" vertical="top" wrapText="1" readingOrder="1"/>
    </xf>
    <xf numFmtId="0" fontId="0" fillId="0" borderId="4" xfId="49" applyNumberFormat="1" applyFont="1" applyFill="1" applyBorder="1" applyAlignment="1">
      <alignment horizontal="left" vertical="top" wrapText="1"/>
    </xf>
    <xf numFmtId="177" fontId="4" fillId="2" borderId="3" xfId="49" applyNumberFormat="1" applyFont="1" applyFill="1" applyBorder="1" applyAlignment="1">
      <alignment horizontal="left" vertical="top" wrapText="1" readingOrder="1"/>
    </xf>
    <xf numFmtId="178" fontId="3" fillId="0" borderId="5" xfId="49" applyNumberFormat="1" applyFont="1" applyFill="1" applyBorder="1" applyAlignment="1">
      <alignment horizontal="left" vertical="top" wrapText="1" readingOrder="1"/>
    </xf>
    <xf numFmtId="0" fontId="3" fillId="0" borderId="5" xfId="49" applyNumberFormat="1" applyFont="1" applyFill="1" applyBorder="1" applyAlignment="1">
      <alignment horizontal="left" vertical="top" wrapText="1" readingOrder="1"/>
    </xf>
    <xf numFmtId="0" fontId="0" fillId="0" borderId="0" xfId="0" applyFont="1" applyFill="1" applyBorder="1" applyAlignment="1"/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8" fillId="3" borderId="6" xfId="0" applyNumberFormat="1" applyFont="1" applyFill="1" applyBorder="1" applyAlignment="1">
      <alignment horizontal="center" vertical="center" wrapText="1" readingOrder="1"/>
    </xf>
    <xf numFmtId="0" fontId="9" fillId="0" borderId="6" xfId="0" applyNumberFormat="1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10" fillId="0" borderId="6" xfId="0" applyNumberFormat="1" applyFont="1" applyFill="1" applyBorder="1" applyAlignment="1">
      <alignment horizontal="center" vertical="center" wrapText="1" readingOrder="1"/>
    </xf>
    <xf numFmtId="179" fontId="10" fillId="0" borderId="6" xfId="0" applyNumberFormat="1" applyFont="1" applyFill="1" applyBorder="1" applyAlignment="1">
      <alignment horizontal="center" vertical="center" wrapText="1" readingOrder="1"/>
    </xf>
    <xf numFmtId="180" fontId="10" fillId="0" borderId="6" xfId="0" applyNumberFormat="1" applyFont="1" applyFill="1" applyBorder="1" applyAlignment="1">
      <alignment horizontal="center" vertical="center" wrapText="1" readingOrder="1"/>
    </xf>
    <xf numFmtId="0" fontId="11" fillId="0" borderId="6" xfId="0" applyFont="1" applyFill="1" applyBorder="1" applyAlignment="1">
      <alignment horizontal="center" vertical="center" wrapText="1"/>
    </xf>
    <xf numFmtId="178" fontId="10" fillId="0" borderId="6" xfId="0" applyNumberFormat="1" applyFont="1" applyFill="1" applyBorder="1" applyAlignment="1">
      <alignment horizontal="center" vertical="center" wrapText="1" readingOrder="1"/>
    </xf>
    <xf numFmtId="0" fontId="4" fillId="2" borderId="3" xfId="49" applyNumberFormat="1" applyFont="1" applyFill="1" applyBorder="1" applyAlignment="1">
      <alignment horizontal="center" vertical="center" wrapText="1" readingOrder="1"/>
    </xf>
    <xf numFmtId="178" fontId="3" fillId="0" borderId="11" xfId="49" applyNumberFormat="1" applyFont="1" applyFill="1" applyBorder="1" applyAlignment="1">
      <alignment horizontal="left" vertical="center" wrapText="1" readingOrder="1"/>
    </xf>
    <xf numFmtId="0" fontId="3" fillId="0" borderId="11" xfId="49" applyNumberFormat="1" applyFont="1" applyFill="1" applyBorder="1" applyAlignment="1">
      <alignment horizontal="left" vertical="center" wrapText="1" readingOrder="1"/>
    </xf>
    <xf numFmtId="0" fontId="3" fillId="0" borderId="11" xfId="49" applyNumberFormat="1" applyFont="1" applyFill="1" applyBorder="1" applyAlignment="1">
      <alignment horizontal="left" vertical="top" wrapText="1" readingOrder="1"/>
    </xf>
    <xf numFmtId="177" fontId="3" fillId="0" borderId="6" xfId="0" applyNumberFormat="1" applyFont="1" applyFill="1" applyBorder="1" applyAlignment="1">
      <alignment horizontal="left" vertical="top" wrapText="1" readingOrder="1"/>
    </xf>
    <xf numFmtId="178" fontId="3" fillId="0" borderId="12" xfId="49" applyNumberFormat="1" applyFont="1" applyFill="1" applyBorder="1" applyAlignment="1">
      <alignment horizontal="left" vertical="center" wrapText="1" readingOrder="1"/>
    </xf>
    <xf numFmtId="0" fontId="3" fillId="0" borderId="12" xfId="49" applyNumberFormat="1" applyFont="1" applyFill="1" applyBorder="1" applyAlignment="1">
      <alignment horizontal="left" vertical="center" wrapText="1" readingOrder="1"/>
    </xf>
    <xf numFmtId="0" fontId="3" fillId="0" borderId="12" xfId="49" applyNumberFormat="1" applyFont="1" applyFill="1" applyBorder="1" applyAlignment="1">
      <alignment horizontal="left" vertical="top" wrapText="1" readingOrder="1"/>
    </xf>
    <xf numFmtId="0" fontId="3" fillId="0" borderId="6" xfId="0" applyNumberFormat="1" applyFont="1" applyFill="1" applyBorder="1" applyAlignment="1">
      <alignment horizontal="left" vertical="top" wrapText="1" readingOrder="1"/>
    </xf>
    <xf numFmtId="0" fontId="12" fillId="0" borderId="0" xfId="0" applyFont="1" applyFill="1" applyAlignment="1">
      <alignment horizontal="center" vertical="center"/>
    </xf>
    <xf numFmtId="0" fontId="13" fillId="0" borderId="2" xfId="0" applyNumberFormat="1" applyFont="1" applyFill="1" applyBorder="1" applyAlignment="1">
      <alignment horizontal="left" vertical="center" wrapText="1" readingOrder="1"/>
    </xf>
    <xf numFmtId="176" fontId="13" fillId="0" borderId="2" xfId="0" applyNumberFormat="1" applyFont="1" applyFill="1" applyBorder="1" applyAlignment="1">
      <alignment horizontal="center" vertical="center" wrapText="1" readingOrder="1"/>
    </xf>
    <xf numFmtId="0" fontId="13" fillId="0" borderId="2" xfId="0" applyNumberFormat="1" applyFont="1" applyFill="1" applyBorder="1" applyAlignment="1">
      <alignment horizontal="center" vertical="center" wrapText="1" readingOrder="1"/>
    </xf>
    <xf numFmtId="178" fontId="3" fillId="0" borderId="11" xfId="49" applyNumberFormat="1" applyFont="1" applyFill="1" applyBorder="1" applyAlignment="1">
      <alignment horizontal="left" vertical="top" wrapText="1" readingOrder="1"/>
    </xf>
    <xf numFmtId="178" fontId="3" fillId="0" borderId="12" xfId="49" applyNumberFormat="1" applyFont="1" applyFill="1" applyBorder="1" applyAlignment="1">
      <alignment horizontal="left" vertical="top" wrapText="1" readingOrder="1"/>
    </xf>
    <xf numFmtId="0" fontId="0" fillId="0" borderId="8" xfId="49" applyFont="1" applyFill="1" applyBorder="1"/>
    <xf numFmtId="0" fontId="0" fillId="0" borderId="9" xfId="49" applyFont="1" applyFill="1" applyBorder="1"/>
    <xf numFmtId="0" fontId="0" fillId="0" borderId="10" xfId="49" applyFont="1" applyFill="1" applyBorder="1"/>
    <xf numFmtId="0" fontId="0" fillId="0" borderId="0" xfId="0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14" fillId="4" borderId="13" xfId="0" applyNumberFormat="1" applyFont="1" applyFill="1" applyBorder="1" applyAlignment="1">
      <alignment vertical="top" wrapText="1" readingOrder="1"/>
    </xf>
    <xf numFmtId="0" fontId="0" fillId="0" borderId="13" xfId="0" applyNumberFormat="1" applyFont="1" applyFill="1" applyBorder="1" applyAlignment="1">
      <alignment vertical="top" wrapText="1"/>
    </xf>
    <xf numFmtId="0" fontId="3" fillId="4" borderId="13" xfId="0" applyNumberFormat="1" applyFont="1" applyFill="1" applyBorder="1" applyAlignment="1">
      <alignment vertical="top" wrapText="1" readingOrder="1"/>
    </xf>
    <xf numFmtId="181" fontId="3" fillId="4" borderId="13" xfId="0" applyNumberFormat="1" applyFont="1" applyFill="1" applyBorder="1" applyAlignment="1">
      <alignment vertical="top" wrapText="1" readingOrder="1"/>
    </xf>
    <xf numFmtId="0" fontId="4" fillId="2" borderId="13" xfId="0" applyNumberFormat="1" applyFont="1" applyFill="1" applyBorder="1" applyAlignment="1">
      <alignment vertical="top" wrapText="1" readingOrder="1"/>
    </xf>
    <xf numFmtId="0" fontId="3" fillId="2" borderId="13" xfId="0" applyNumberFormat="1" applyFont="1" applyFill="1" applyBorder="1" applyAlignment="1">
      <alignment vertical="top" wrapText="1" readingOrder="1"/>
    </xf>
    <xf numFmtId="181" fontId="3" fillId="2" borderId="13" xfId="0" applyNumberFormat="1" applyFont="1" applyFill="1" applyBorder="1" applyAlignment="1">
      <alignment vertical="top" wrapText="1" readingOrder="1"/>
    </xf>
    <xf numFmtId="0" fontId="3" fillId="5" borderId="13" xfId="0" applyNumberFormat="1" applyFont="1" applyFill="1" applyBorder="1" applyAlignment="1">
      <alignment horizontal="left" vertical="top" wrapText="1" readingOrder="1"/>
    </xf>
    <xf numFmtId="0" fontId="3" fillId="5" borderId="13" xfId="0" applyNumberFormat="1" applyFont="1" applyFill="1" applyBorder="1" applyAlignment="1">
      <alignment vertical="top" wrapText="1" readingOrder="1"/>
    </xf>
    <xf numFmtId="181" fontId="3" fillId="5" borderId="1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82" fontId="3" fillId="0" borderId="3" xfId="0" applyNumberFormat="1" applyFont="1" applyFill="1" applyBorder="1" applyAlignment="1">
      <alignment horizontal="left" vertical="top" wrapText="1" readingOrder="1"/>
    </xf>
    <xf numFmtId="0" fontId="0" fillId="0" borderId="14" xfId="0" applyNumberFormat="1" applyFont="1" applyFill="1" applyBorder="1" applyAlignment="1">
      <alignment vertical="top" wrapText="1"/>
    </xf>
    <xf numFmtId="0" fontId="5" fillId="0" borderId="3" xfId="0" applyNumberFormat="1" applyFont="1" applyFill="1" applyBorder="1" applyAlignment="1">
      <alignment vertical="top" wrapText="1" readingOrder="1"/>
    </xf>
    <xf numFmtId="182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81" fontId="3" fillId="0" borderId="3" xfId="0" applyNumberFormat="1" applyFont="1" applyFill="1" applyBorder="1" applyAlignment="1">
      <alignment vertical="top" wrapText="1" readingOrder="1"/>
    </xf>
    <xf numFmtId="178" fontId="3" fillId="0" borderId="11" xfId="49" applyNumberFormat="1" applyFont="1" applyFill="1" applyBorder="1" applyAlignment="1">
      <alignment horizontal="center" vertical="center" wrapText="1" readingOrder="1"/>
    </xf>
    <xf numFmtId="178" fontId="3" fillId="0" borderId="12" xfId="49" applyNumberFormat="1" applyFont="1" applyFill="1" applyBorder="1" applyAlignment="1">
      <alignment horizontal="center" vertical="center" wrapText="1" readingOrder="1"/>
    </xf>
    <xf numFmtId="0" fontId="3" fillId="0" borderId="2" xfId="49" applyNumberFormat="1" applyFont="1" applyFill="1" applyBorder="1" applyAlignment="1">
      <alignment horizontal="left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177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5" xfId="49" applyNumberFormat="1" applyFont="1" applyFill="1" applyBorder="1" applyAlignment="1">
      <alignment horizontal="center" vertical="top" wrapText="1" readingOrder="1"/>
    </xf>
    <xf numFmtId="177" fontId="3" fillId="0" borderId="6" xfId="49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horizontal="left" vertical="center" wrapText="1" readingOrder="1"/>
    </xf>
    <xf numFmtId="0" fontId="0" fillId="0" borderId="6" xfId="49" applyFont="1" applyFill="1" applyBorder="1" applyAlignment="1">
      <alignment horizontal="left"/>
    </xf>
    <xf numFmtId="0" fontId="0" fillId="0" borderId="6" xfId="49" applyFont="1" applyFill="1" applyBorder="1"/>
    <xf numFmtId="0" fontId="3" fillId="0" borderId="2" xfId="0" applyNumberFormat="1" applyFont="1" applyFill="1" applyBorder="1" applyAlignment="1">
      <alignment horizontal="left" vertical="top" wrapText="1" readingOrder="1"/>
    </xf>
    <xf numFmtId="0" fontId="5" fillId="0" borderId="5" xfId="0" applyNumberFormat="1" applyFont="1" applyFill="1" applyBorder="1" applyAlignment="1">
      <alignment horizontal="left" vertical="top" wrapText="1" readingOrder="1"/>
    </xf>
    <xf numFmtId="177" fontId="5" fillId="0" borderId="6" xfId="0" applyNumberFormat="1" applyFont="1" applyFill="1" applyBorder="1" applyAlignment="1">
      <alignment horizontal="left" vertical="top" wrapText="1" readingOrder="1"/>
    </xf>
    <xf numFmtId="0" fontId="5" fillId="0" borderId="6" xfId="0" applyNumberFormat="1" applyFont="1" applyFill="1" applyBorder="1" applyAlignment="1">
      <alignment horizontal="left" vertical="top" wrapText="1" readingOrder="1"/>
    </xf>
    <xf numFmtId="178" fontId="15" fillId="0" borderId="6" xfId="49" applyNumberFormat="1" applyFont="1" applyFill="1" applyBorder="1" applyAlignment="1">
      <alignment horizontal="left" vertical="center" wrapText="1" readingOrder="1"/>
    </xf>
    <xf numFmtId="0" fontId="15" fillId="0" borderId="6" xfId="49" applyNumberFormat="1" applyFont="1" applyFill="1" applyBorder="1" applyAlignment="1">
      <alignment horizontal="left" vertical="center" wrapText="1" readingOrder="1"/>
    </xf>
    <xf numFmtId="0" fontId="16" fillId="0" borderId="6" xfId="49" applyNumberFormat="1" applyFont="1" applyFill="1" applyBorder="1" applyAlignment="1">
      <alignment horizontal="left" vertical="center" wrapText="1" readingOrder="1"/>
    </xf>
    <xf numFmtId="177" fontId="16" fillId="0" borderId="6" xfId="0" applyNumberFormat="1" applyFont="1" applyFill="1" applyBorder="1" applyAlignment="1">
      <alignment horizontal="left" vertical="center" wrapText="1" readingOrder="1"/>
    </xf>
    <xf numFmtId="49" fontId="15" fillId="0" borderId="6" xfId="0" applyNumberFormat="1" applyFont="1" applyFill="1" applyBorder="1" applyAlignment="1">
      <alignment horizontal="center" vertical="center" wrapText="1" readingOrder="1"/>
    </xf>
    <xf numFmtId="177" fontId="15" fillId="0" borderId="6" xfId="0" applyNumberFormat="1" applyFont="1" applyFill="1" applyBorder="1" applyAlignment="1">
      <alignment horizontal="center" vertical="center" wrapText="1" readingOrder="1"/>
    </xf>
    <xf numFmtId="177" fontId="15" fillId="0" borderId="6" xfId="49" applyNumberFormat="1" applyFont="1" applyFill="1" applyBorder="1" applyAlignment="1">
      <alignment horizontal="center" vertical="center" wrapText="1" readingOrder="1"/>
    </xf>
    <xf numFmtId="0" fontId="17" fillId="4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17" fillId="4" borderId="3" xfId="49" applyNumberFormat="1" applyFont="1" applyFill="1" applyBorder="1" applyAlignment="1">
      <alignment horizontal="center" vertical="top" wrapText="1" readingOrder="1"/>
    </xf>
    <xf numFmtId="177" fontId="17" fillId="4" borderId="3" xfId="49" applyNumberFormat="1" applyFont="1" applyFill="1" applyBorder="1" applyAlignment="1">
      <alignment horizontal="center" vertical="top" wrapText="1" readingOrder="1"/>
    </xf>
    <xf numFmtId="0" fontId="3" fillId="0" borderId="15" xfId="49" applyNumberFormat="1" applyFont="1" applyFill="1" applyBorder="1" applyAlignment="1">
      <alignment horizontal="left" vertical="center" wrapText="1" readingOrder="1"/>
    </xf>
    <xf numFmtId="0" fontId="3" fillId="0" borderId="15" xfId="0" applyNumberFormat="1" applyFont="1" applyFill="1" applyBorder="1" applyAlignment="1">
      <alignment horizontal="left" vertical="center" wrapText="1" readingOrder="1"/>
    </xf>
    <xf numFmtId="176" fontId="3" fillId="0" borderId="15" xfId="0" applyNumberFormat="1" applyFont="1" applyFill="1" applyBorder="1" applyAlignment="1">
      <alignment horizontal="center" wrapText="1" readingOrder="1"/>
    </xf>
    <xf numFmtId="0" fontId="3" fillId="0" borderId="15" xfId="0" applyNumberFormat="1" applyFont="1" applyFill="1" applyBorder="1" applyAlignment="1">
      <alignment horizontal="center" wrapText="1" readingOrder="1"/>
    </xf>
    <xf numFmtId="0" fontId="3" fillId="0" borderId="15" xfId="49" applyNumberFormat="1" applyFont="1" applyFill="1" applyBorder="1" applyAlignment="1">
      <alignment horizontal="center" wrapText="1" readingOrder="1"/>
    </xf>
    <xf numFmtId="177" fontId="4" fillId="2" borderId="3" xfId="49" applyNumberFormat="1" applyFont="1" applyFill="1" applyBorder="1" applyAlignment="1">
      <alignment horizontal="center" wrapText="1" readingOrder="1"/>
    </xf>
    <xf numFmtId="0" fontId="5" fillId="0" borderId="5" xfId="49" applyNumberFormat="1" applyFont="1" applyFill="1" applyBorder="1" applyAlignment="1">
      <alignment horizontal="left" vertical="center" wrapText="1" readingOrder="1"/>
    </xf>
    <xf numFmtId="49" fontId="3" fillId="0" borderId="5" xfId="0" applyNumberFormat="1" applyFont="1" applyFill="1" applyBorder="1" applyAlignment="1">
      <alignment horizontal="center" wrapText="1" readingOrder="1"/>
    </xf>
    <xf numFmtId="177" fontId="3" fillId="0" borderId="5" xfId="0" applyNumberFormat="1" applyFont="1" applyFill="1" applyBorder="1" applyAlignment="1">
      <alignment horizontal="center" wrapText="1" readingOrder="1"/>
    </xf>
    <xf numFmtId="177" fontId="3" fillId="0" borderId="5" xfId="49" applyNumberFormat="1" applyFont="1" applyFill="1" applyBorder="1" applyAlignment="1">
      <alignment horizontal="center" wrapText="1" readingOrder="1"/>
    </xf>
    <xf numFmtId="0" fontId="18" fillId="0" borderId="0" xfId="49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0" Type="http://schemas.openxmlformats.org/officeDocument/2006/relationships/styles" Target="styles.xml"/><Relationship Id="rId5" Type="http://schemas.openxmlformats.org/officeDocument/2006/relationships/worksheet" Target="worksheets/sheet5.xml"/><Relationship Id="rId49" Type="http://schemas.openxmlformats.org/officeDocument/2006/relationships/sharedStrings" Target="sharedStrings.xml"/><Relationship Id="rId48" Type="http://schemas.openxmlformats.org/officeDocument/2006/relationships/theme" Target="theme/theme1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770890</xdr:colOff>
      <xdr:row>0</xdr:row>
      <xdr:rowOff>142875</xdr:rowOff>
    </xdr:from>
    <xdr:to>
      <xdr:col>13</xdr:col>
      <xdr:colOff>304165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280015" y="142875"/>
          <a:ext cx="463550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2</xdr:row>
      <xdr:rowOff>0</xdr:rowOff>
    </xdr:from>
    <xdr:to>
      <xdr:col>13</xdr:col>
      <xdr:colOff>463550</xdr:colOff>
      <xdr:row>4</xdr:row>
      <xdr:rowOff>165735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60050" y="342900"/>
          <a:ext cx="463550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9188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568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378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1758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378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568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283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521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521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521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12145" y="171450"/>
          <a:ext cx="463550" cy="5143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521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521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521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521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521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521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187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473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473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473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1188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473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473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24585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9914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140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140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2</xdr:row>
      <xdr:rowOff>0</xdr:rowOff>
    </xdr:from>
    <xdr:to>
      <xdr:col>13</xdr:col>
      <xdr:colOff>463550</xdr:colOff>
      <xdr:row>6</xdr:row>
      <xdr:rowOff>81280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14000" y="464185"/>
          <a:ext cx="463550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902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140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140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2520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6902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244475</xdr:colOff>
      <xdr:row>0</xdr:row>
      <xdr:rowOff>120650</xdr:rowOff>
    </xdr:from>
    <xdr:to>
      <xdr:col>13</xdr:col>
      <xdr:colOff>708025</xdr:colOff>
      <xdr:row>3</xdr:row>
      <xdr:rowOff>139700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96550" y="120650"/>
          <a:ext cx="463550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2520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2520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2520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25207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664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664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1023600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66425" y="171450"/>
          <a:ext cx="463550" cy="50863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463550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66425" y="171450"/>
          <a:ext cx="463550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showGridLines="0" view="pageBreakPreview" zoomScaleNormal="100" workbookViewId="0">
      <pane ySplit="6" topLeftCell="A7" activePane="bottomLeft" state="frozen"/>
      <selection/>
      <selection pane="bottomLeft" activeCell="N14" sqref="N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9.625" customWidth="1"/>
    <col min="11" max="11" width="18.25" customWidth="1"/>
    <col min="12" max="13" width="12.2083333333333" customWidth="1"/>
    <col min="14" max="14" width="11.75" customWidth="1"/>
  </cols>
  <sheetData>
    <row r="1" spans="2:14">
      <c r="C1" s="1" t="s">
        <v>0</v>
      </c>
    </row>
    <row r="2" ht="23.05" customHeight="1"/>
    <row r="3" ht="2" customHeight="1"/>
    <row r="4" ht="15.2" customHeight="1" spans="2:14">
      <c r="B4" s="2" t="s">
        <v>1</v>
      </c>
    </row>
    <row r="6" ht="2.95" customHeight="1"/>
    <row r="7" ht="3.95" customHeight="1" spans="2:14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/>
      <c r="K7" s="4"/>
      <c r="L7" s="4"/>
      <c r="M7" s="4" t="s">
        <v>2</v>
      </c>
      <c r="N7" s="4" t="s">
        <v>2</v>
      </c>
    </row>
    <row r="8" ht="15" spans="2:14">
      <c r="C8" s="3" t="s">
        <v>2</v>
      </c>
      <c r="D8" s="127" t="s">
        <v>3</v>
      </c>
      <c r="E8" s="128" t="s">
        <v>2</v>
      </c>
      <c r="F8" s="128" t="s">
        <v>2</v>
      </c>
      <c r="G8" s="128" t="s">
        <v>2</v>
      </c>
      <c r="H8" s="128" t="s">
        <v>2</v>
      </c>
      <c r="I8" s="129"/>
      <c r="J8" s="130"/>
      <c r="K8" s="130"/>
      <c r="L8" s="130"/>
      <c r="M8" s="130"/>
      <c r="N8" s="130"/>
    </row>
    <row r="9" spans="2:14">
      <c r="C9" s="3" t="s">
        <v>2</v>
      </c>
      <c r="D9" s="131" t="s">
        <v>4</v>
      </c>
      <c r="E9" s="131" t="s">
        <v>5</v>
      </c>
      <c r="F9" s="131" t="s">
        <v>6</v>
      </c>
      <c r="G9" s="131" t="s">
        <v>7</v>
      </c>
      <c r="H9" s="131" t="s">
        <v>8</v>
      </c>
      <c r="I9" s="131" t="s">
        <v>9</v>
      </c>
      <c r="J9" s="132" t="s">
        <v>10</v>
      </c>
      <c r="K9" s="133" t="s">
        <v>11</v>
      </c>
      <c r="L9" s="134" t="s">
        <v>12</v>
      </c>
      <c r="M9" s="135" t="s">
        <v>13</v>
      </c>
      <c r="N9" s="135" t="s">
        <v>14</v>
      </c>
    </row>
    <row r="10" ht="14.25" spans="2:14">
      <c r="D10" s="11" t="s">
        <v>15</v>
      </c>
      <c r="E10" s="12" t="s">
        <v>2</v>
      </c>
      <c r="F10" s="12" t="s">
        <v>2</v>
      </c>
      <c r="G10" s="12" t="s">
        <v>2</v>
      </c>
      <c r="H10" s="12" t="s">
        <v>2</v>
      </c>
      <c r="I10" s="11">
        <v>3</v>
      </c>
      <c r="J10" s="13"/>
      <c r="K10" s="136"/>
      <c r="L10" s="136"/>
      <c r="M10" s="136"/>
      <c r="N10" s="136">
        <v>145.2</v>
      </c>
    </row>
    <row r="11" spans="2:14">
      <c r="D11" s="15">
        <v>46097</v>
      </c>
      <c r="E11" s="16">
        <v>1586436</v>
      </c>
      <c r="F11" s="137" t="s">
        <v>16</v>
      </c>
      <c r="G11" s="16">
        <v>20324662</v>
      </c>
      <c r="H11" s="137" t="s">
        <v>17</v>
      </c>
      <c r="I11" s="16">
        <v>3</v>
      </c>
      <c r="J11" s="32" t="s">
        <v>18</v>
      </c>
      <c r="K11" s="138">
        <f>M11/L11</f>
        <v>11</v>
      </c>
      <c r="L11" s="139">
        <v>4.4</v>
      </c>
      <c r="M11" s="140">
        <v>48.4</v>
      </c>
      <c r="N11" s="140">
        <v>145.2</v>
      </c>
    </row>
    <row r="12" ht="0.05" customHeight="1"/>
    <row r="24" spans="7:7">
      <c r="G24" s="141"/>
    </row>
    <row r="25" spans="7:7">
      <c r="G25" s="141"/>
    </row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125" customWidth="1"/>
    <col min="11" max="11" width="20.75" customWidth="1"/>
    <col min="12" max="12" width="13.75" customWidth="1"/>
    <col min="13" max="13" width="11.25" customWidth="1"/>
    <col min="14" max="14" width="11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19</v>
      </c>
      <c r="J8" s="13"/>
      <c r="K8" s="14"/>
      <c r="L8" s="14"/>
      <c r="M8" s="14"/>
      <c r="N8" s="14">
        <v>174.4</v>
      </c>
    </row>
    <row r="9" spans="1:14">
      <c r="D9" s="15">
        <v>46087</v>
      </c>
      <c r="E9" s="16">
        <v>1582859</v>
      </c>
      <c r="F9" s="16" t="s">
        <v>20</v>
      </c>
      <c r="G9" s="16">
        <v>20396682</v>
      </c>
      <c r="H9" s="16" t="s">
        <v>21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46087</v>
      </c>
      <c r="E10" s="22">
        <v>1582859</v>
      </c>
      <c r="F10" s="22" t="s">
        <v>20</v>
      </c>
      <c r="G10" s="22">
        <v>20324364</v>
      </c>
      <c r="H10" s="22" t="s">
        <v>23</v>
      </c>
      <c r="I10" s="22">
        <v>2</v>
      </c>
      <c r="J10" s="23" t="s">
        <v>22</v>
      </c>
      <c r="K10" s="24">
        <v>1</v>
      </c>
      <c r="L10" s="25">
        <v>6.4</v>
      </c>
      <c r="M10" s="26">
        <v>6.4</v>
      </c>
      <c r="N10" s="26">
        <v>12.8</v>
      </c>
    </row>
    <row r="11" spans="1:14">
      <c r="D11" s="21">
        <v>46087</v>
      </c>
      <c r="E11" s="22">
        <v>1582859</v>
      </c>
      <c r="F11" s="22" t="s">
        <v>20</v>
      </c>
      <c r="G11" s="22">
        <v>20324691</v>
      </c>
      <c r="H11" s="22" t="s">
        <v>24</v>
      </c>
      <c r="I11" s="22">
        <v>1</v>
      </c>
      <c r="J11" s="27" t="s">
        <v>25</v>
      </c>
      <c r="K11" s="24">
        <v>1</v>
      </c>
      <c r="L11" s="25">
        <v>8.8</v>
      </c>
      <c r="M11" s="26">
        <v>8.8</v>
      </c>
      <c r="N11" s="26">
        <v>8.8</v>
      </c>
    </row>
    <row r="12" spans="1:14">
      <c r="D12" s="21">
        <v>46087</v>
      </c>
      <c r="E12" s="22">
        <v>1582859</v>
      </c>
      <c r="F12" s="22" t="s">
        <v>20</v>
      </c>
      <c r="G12" s="22">
        <v>20324405</v>
      </c>
      <c r="H12" s="22" t="s">
        <v>26</v>
      </c>
      <c r="I12" s="22">
        <v>2</v>
      </c>
      <c r="J12" s="27" t="s">
        <v>25</v>
      </c>
      <c r="K12" s="24">
        <v>1</v>
      </c>
      <c r="L12" s="25">
        <v>8.8</v>
      </c>
      <c r="M12" s="26">
        <v>8.8</v>
      </c>
      <c r="N12" s="26">
        <v>17.6</v>
      </c>
    </row>
    <row r="13" spans="1:14">
      <c r="D13" s="21">
        <v>46088</v>
      </c>
      <c r="E13" s="22">
        <v>1582940</v>
      </c>
      <c r="F13" s="22" t="s">
        <v>20</v>
      </c>
      <c r="G13" s="22">
        <v>20324690</v>
      </c>
      <c r="H13" s="22" t="s">
        <v>27</v>
      </c>
      <c r="I13" s="22">
        <v>1</v>
      </c>
      <c r="J13" s="28" t="s">
        <v>28</v>
      </c>
      <c r="K13" s="24">
        <v>1</v>
      </c>
      <c r="L13" s="25">
        <v>17.6</v>
      </c>
      <c r="M13" s="26">
        <v>17.6</v>
      </c>
      <c r="N13" s="26">
        <v>17.6</v>
      </c>
    </row>
    <row r="14" spans="1:14">
      <c r="D14" s="21">
        <v>46092</v>
      </c>
      <c r="E14" s="22">
        <v>1585129</v>
      </c>
      <c r="F14" s="22" t="s">
        <v>20</v>
      </c>
      <c r="G14" s="22">
        <v>20396682</v>
      </c>
      <c r="H14" s="22" t="s">
        <v>21</v>
      </c>
      <c r="I14" s="22">
        <v>1</v>
      </c>
      <c r="J14" s="23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46092</v>
      </c>
      <c r="E15" s="22">
        <v>1585129</v>
      </c>
      <c r="F15" s="22" t="s">
        <v>20</v>
      </c>
      <c r="G15" s="22">
        <v>20324364</v>
      </c>
      <c r="H15" s="22" t="s">
        <v>23</v>
      </c>
      <c r="I15" s="22">
        <v>1</v>
      </c>
      <c r="J15" s="23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21">
        <v>46092</v>
      </c>
      <c r="E16" s="22">
        <v>1585129</v>
      </c>
      <c r="F16" s="22" t="s">
        <v>20</v>
      </c>
      <c r="G16" s="22">
        <v>20324691</v>
      </c>
      <c r="H16" s="22" t="s">
        <v>24</v>
      </c>
      <c r="I16" s="22">
        <v>1</v>
      </c>
      <c r="J16" s="27" t="s">
        <v>25</v>
      </c>
      <c r="K16" s="24">
        <v>1</v>
      </c>
      <c r="L16" s="25">
        <v>8.8</v>
      </c>
      <c r="M16" s="26">
        <v>8.8</v>
      </c>
      <c r="N16" s="26">
        <v>8.8</v>
      </c>
    </row>
    <row r="17" spans="4:14">
      <c r="D17" s="21">
        <v>46092</v>
      </c>
      <c r="E17" s="22">
        <v>1585129</v>
      </c>
      <c r="F17" s="22" t="s">
        <v>20</v>
      </c>
      <c r="G17" s="22">
        <v>20324405</v>
      </c>
      <c r="H17" s="22" t="s">
        <v>26</v>
      </c>
      <c r="I17" s="22">
        <v>1</v>
      </c>
      <c r="J17" s="27" t="s">
        <v>25</v>
      </c>
      <c r="K17" s="24">
        <v>1</v>
      </c>
      <c r="L17" s="25">
        <v>8.8</v>
      </c>
      <c r="M17" s="26">
        <v>8.8</v>
      </c>
      <c r="N17" s="26">
        <v>8.8</v>
      </c>
    </row>
    <row r="18" spans="4:14">
      <c r="D18" s="21">
        <v>46094</v>
      </c>
      <c r="E18" s="22">
        <v>1585553</v>
      </c>
      <c r="F18" s="22" t="s">
        <v>20</v>
      </c>
      <c r="G18" s="22">
        <v>20324364</v>
      </c>
      <c r="H18" s="22" t="s">
        <v>23</v>
      </c>
      <c r="I18" s="22">
        <v>1</v>
      </c>
      <c r="J18" s="23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46094</v>
      </c>
      <c r="E19" s="22">
        <v>1585553</v>
      </c>
      <c r="F19" s="22" t="s">
        <v>20</v>
      </c>
      <c r="G19" s="22">
        <v>20324405</v>
      </c>
      <c r="H19" s="22" t="s">
        <v>26</v>
      </c>
      <c r="I19" s="22">
        <v>1</v>
      </c>
      <c r="J19" s="27" t="s">
        <v>25</v>
      </c>
      <c r="K19" s="24">
        <v>1</v>
      </c>
      <c r="L19" s="25">
        <v>8.8</v>
      </c>
      <c r="M19" s="26">
        <v>8.8</v>
      </c>
      <c r="N19" s="26">
        <v>8.8</v>
      </c>
    </row>
    <row r="20" spans="4:14">
      <c r="D20" s="21">
        <v>46098</v>
      </c>
      <c r="E20" s="22">
        <v>1586870</v>
      </c>
      <c r="F20" s="22" t="s">
        <v>20</v>
      </c>
      <c r="G20" s="22">
        <v>20396682</v>
      </c>
      <c r="H20" s="22" t="s">
        <v>21</v>
      </c>
      <c r="I20" s="22">
        <v>1</v>
      </c>
      <c r="J20" s="23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46098</v>
      </c>
      <c r="E21" s="22">
        <v>1586870</v>
      </c>
      <c r="F21" s="22" t="s">
        <v>20</v>
      </c>
      <c r="G21" s="22">
        <v>20324364</v>
      </c>
      <c r="H21" s="22" t="s">
        <v>23</v>
      </c>
      <c r="I21" s="22">
        <v>1</v>
      </c>
      <c r="J21" s="23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46098</v>
      </c>
      <c r="E22" s="22">
        <v>1586870</v>
      </c>
      <c r="F22" s="22" t="s">
        <v>20</v>
      </c>
      <c r="G22" s="22">
        <v>20324691</v>
      </c>
      <c r="H22" s="22" t="s">
        <v>24</v>
      </c>
      <c r="I22" s="22">
        <v>1</v>
      </c>
      <c r="J22" s="27" t="s">
        <v>25</v>
      </c>
      <c r="K22" s="24">
        <v>1</v>
      </c>
      <c r="L22" s="25">
        <v>8.8</v>
      </c>
      <c r="M22" s="26">
        <v>8.8</v>
      </c>
      <c r="N22" s="26">
        <v>8.8</v>
      </c>
    </row>
    <row r="23" spans="4:14">
      <c r="D23" s="21">
        <v>46098</v>
      </c>
      <c r="E23" s="22">
        <v>1586870</v>
      </c>
      <c r="F23" s="22" t="s">
        <v>20</v>
      </c>
      <c r="G23" s="22">
        <v>20324405</v>
      </c>
      <c r="H23" s="22" t="s">
        <v>26</v>
      </c>
      <c r="I23" s="22">
        <v>1</v>
      </c>
      <c r="J23" s="27" t="s">
        <v>25</v>
      </c>
      <c r="K23" s="24">
        <v>1</v>
      </c>
      <c r="L23" s="25">
        <v>8.8</v>
      </c>
      <c r="M23" s="26">
        <v>8.8</v>
      </c>
      <c r="N23" s="26">
        <v>8.8</v>
      </c>
    </row>
    <row r="24" spans="4:14">
      <c r="D24" s="21">
        <v>46099</v>
      </c>
      <c r="E24" s="22">
        <v>1586910</v>
      </c>
      <c r="F24" s="22" t="s">
        <v>20</v>
      </c>
      <c r="G24" s="22">
        <v>20324690</v>
      </c>
      <c r="H24" s="22" t="s">
        <v>27</v>
      </c>
      <c r="I24" s="22">
        <v>1</v>
      </c>
      <c r="J24" s="28" t="s">
        <v>28</v>
      </c>
      <c r="K24" s="24">
        <v>1</v>
      </c>
      <c r="L24" s="25">
        <v>17.6</v>
      </c>
      <c r="M24" s="26">
        <v>17.6</v>
      </c>
      <c r="N24" s="26">
        <v>17.6</v>
      </c>
    </row>
    <row r="25" spans="4:14">
      <c r="D25" s="21">
        <v>46112</v>
      </c>
      <c r="E25" s="22">
        <v>1590835</v>
      </c>
      <c r="F25" s="22" t="s">
        <v>20</v>
      </c>
      <c r="G25" s="22">
        <v>20324690</v>
      </c>
      <c r="H25" s="22" t="s">
        <v>27</v>
      </c>
      <c r="I25" s="22">
        <v>1</v>
      </c>
      <c r="J25" s="28" t="s">
        <v>28</v>
      </c>
      <c r="K25" s="24">
        <v>1</v>
      </c>
      <c r="L25" s="25">
        <v>17.6</v>
      </c>
      <c r="M25" s="26">
        <v>17.6</v>
      </c>
      <c r="N25" s="26">
        <v>17.6</v>
      </c>
    </row>
  </sheetData>
  <autoFilter xmlns:etc="http://www.wps.cn/officeDocument/2017/etCustomData" ref="A7:N25" etc:filterBottomFollowUsedRange="0">
    <extLst/>
  </autoFilter>
  <mergeCells count="5">
    <mergeCell ref="D8:H8"/>
    <mergeCell ref="C7:C25"/>
    <mergeCell ref="B4:H5"/>
    <mergeCell ref="A7:B25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6"/>
  <sheetViews>
    <sheetView showGridLines="0" view="pageBreakPreview" zoomScaleNormal="100" workbookViewId="0">
      <pane ySplit="6" topLeftCell="A122" activePane="bottomLeft" state="frozen"/>
      <selection/>
      <selection pane="bottomLeft" activeCell="N9" sqref="N9:N15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125" customWidth="1"/>
    <col min="11" max="12" width="17.125" customWidth="1"/>
    <col min="13" max="13" width="12.2083333333333" customWidth="1"/>
    <col min="14" max="14" width="10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233</v>
      </c>
      <c r="J8" s="11"/>
      <c r="K8" s="67"/>
      <c r="L8" s="67"/>
      <c r="M8" s="14"/>
      <c r="N8" s="14">
        <f>SUBTOTAL(9,N9:N126)</f>
        <v>18210.4</v>
      </c>
    </row>
    <row r="9" spans="1:14">
      <c r="D9" s="15">
        <v>46083</v>
      </c>
      <c r="E9" s="16">
        <v>1581562</v>
      </c>
      <c r="F9" s="16" t="s">
        <v>30</v>
      </c>
      <c r="G9" s="16">
        <v>20330731</v>
      </c>
      <c r="H9" s="16" t="s">
        <v>31</v>
      </c>
      <c r="I9" s="16">
        <v>4</v>
      </c>
      <c r="J9" s="32" t="s">
        <v>18</v>
      </c>
      <c r="K9" s="18">
        <f t="shared" ref="K9:K13" si="0">M9/L9</f>
        <v>20</v>
      </c>
      <c r="L9" s="19">
        <v>4.4</v>
      </c>
      <c r="M9" s="20">
        <v>88</v>
      </c>
      <c r="N9" s="20">
        <v>352</v>
      </c>
    </row>
    <row r="10" spans="1:14">
      <c r="D10" s="21">
        <v>46083</v>
      </c>
      <c r="E10" s="22">
        <v>1581562</v>
      </c>
      <c r="F10" s="22" t="s">
        <v>20</v>
      </c>
      <c r="G10" s="22">
        <v>20324445</v>
      </c>
      <c r="H10" s="22" t="s">
        <v>32</v>
      </c>
      <c r="I10" s="22">
        <v>9</v>
      </c>
      <c r="J10" s="23" t="s">
        <v>22</v>
      </c>
      <c r="K10" s="24">
        <v>1</v>
      </c>
      <c r="L10" s="25">
        <v>6.4</v>
      </c>
      <c r="M10" s="26">
        <v>6.4</v>
      </c>
      <c r="N10" s="26">
        <v>57.6</v>
      </c>
    </row>
    <row r="11" spans="1:14">
      <c r="D11" s="21">
        <v>46083</v>
      </c>
      <c r="E11" s="22">
        <v>1581562</v>
      </c>
      <c r="F11" s="22" t="s">
        <v>20</v>
      </c>
      <c r="G11" s="22">
        <v>20324855</v>
      </c>
      <c r="H11" s="22" t="s">
        <v>33</v>
      </c>
      <c r="I11" s="22">
        <v>1</v>
      </c>
      <c r="J11" s="23" t="s">
        <v>22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46083</v>
      </c>
      <c r="E12" s="22">
        <v>1581562</v>
      </c>
      <c r="F12" s="22" t="s">
        <v>20</v>
      </c>
      <c r="G12" s="22">
        <v>20331276</v>
      </c>
      <c r="H12" s="22" t="s">
        <v>34</v>
      </c>
      <c r="I12" s="22">
        <v>1</v>
      </c>
      <c r="J12" s="28" t="s">
        <v>18</v>
      </c>
      <c r="K12" s="24">
        <f t="shared" si="0"/>
        <v>27</v>
      </c>
      <c r="L12" s="25">
        <v>4.4</v>
      </c>
      <c r="M12" s="26">
        <v>118.8</v>
      </c>
      <c r="N12" s="26">
        <v>118.8</v>
      </c>
    </row>
    <row r="13" ht="25.5" spans="1:14">
      <c r="D13" s="21">
        <v>46083</v>
      </c>
      <c r="E13" s="22">
        <v>1581562</v>
      </c>
      <c r="F13" s="22" t="s">
        <v>20</v>
      </c>
      <c r="G13" s="22">
        <v>20326302</v>
      </c>
      <c r="H13" s="22" t="s">
        <v>35</v>
      </c>
      <c r="I13" s="22">
        <v>1</v>
      </c>
      <c r="J13" s="28" t="s">
        <v>18</v>
      </c>
      <c r="K13" s="24">
        <f t="shared" si="0"/>
        <v>109</v>
      </c>
      <c r="L13" s="25">
        <v>4.4</v>
      </c>
      <c r="M13" s="26">
        <v>479.6</v>
      </c>
      <c r="N13" s="26">
        <v>479.6</v>
      </c>
    </row>
    <row r="14" spans="1:14">
      <c r="D14" s="21">
        <v>46083</v>
      </c>
      <c r="E14" s="22">
        <v>1581607</v>
      </c>
      <c r="F14" s="22" t="s">
        <v>20</v>
      </c>
      <c r="G14" s="22">
        <v>20331130</v>
      </c>
      <c r="H14" s="22" t="s">
        <v>36</v>
      </c>
      <c r="I14" s="22">
        <v>1</v>
      </c>
      <c r="J14" s="28" t="s">
        <v>37</v>
      </c>
      <c r="K14" s="24" t="s">
        <v>38</v>
      </c>
      <c r="L14" s="25">
        <v>132</v>
      </c>
      <c r="M14" s="26">
        <v>237.6</v>
      </c>
      <c r="N14" s="26">
        <v>237.6</v>
      </c>
    </row>
    <row r="15" spans="1:14">
      <c r="D15" s="21"/>
      <c r="E15" s="22"/>
      <c r="F15" s="22"/>
      <c r="G15" s="22"/>
      <c r="H15" s="22"/>
      <c r="I15" s="22"/>
      <c r="J15" s="30" t="s">
        <v>39</v>
      </c>
      <c r="K15" s="24" t="s">
        <v>40</v>
      </c>
      <c r="L15" s="25">
        <v>70.4</v>
      </c>
      <c r="M15" s="26"/>
      <c r="N15" s="26"/>
    </row>
    <row r="16" spans="1:14">
      <c r="D16" s="21"/>
      <c r="E16" s="22"/>
      <c r="F16" s="22"/>
      <c r="G16" s="22"/>
      <c r="H16" s="22"/>
      <c r="I16" s="22"/>
      <c r="J16" s="28" t="s">
        <v>28</v>
      </c>
      <c r="K16" s="24">
        <v>1</v>
      </c>
      <c r="L16" s="25">
        <v>17.6</v>
      </c>
      <c r="M16" s="26"/>
      <c r="N16" s="26"/>
    </row>
    <row r="17" spans="4:14">
      <c r="D17" s="21"/>
      <c r="E17" s="22"/>
      <c r="F17" s="22"/>
      <c r="G17" s="22"/>
      <c r="H17" s="22"/>
      <c r="I17" s="22"/>
      <c r="J17" s="28" t="s">
        <v>28</v>
      </c>
      <c r="K17" s="24">
        <v>1</v>
      </c>
      <c r="L17" s="25">
        <v>17.6</v>
      </c>
      <c r="M17" s="26"/>
      <c r="N17" s="26"/>
    </row>
    <row r="18" spans="4:14">
      <c r="D18" s="21">
        <v>46084</v>
      </c>
      <c r="E18" s="22">
        <v>1581860</v>
      </c>
      <c r="F18" s="22" t="s">
        <v>30</v>
      </c>
      <c r="G18" s="22">
        <v>20330731</v>
      </c>
      <c r="H18" s="22" t="s">
        <v>31</v>
      </c>
      <c r="I18" s="22">
        <v>3</v>
      </c>
      <c r="J18" s="28" t="s">
        <v>18</v>
      </c>
      <c r="K18" s="24">
        <f t="shared" ref="K18:K21" si="1">M18/L18</f>
        <v>20</v>
      </c>
      <c r="L18" s="25">
        <v>4.4</v>
      </c>
      <c r="M18" s="26">
        <v>88</v>
      </c>
      <c r="N18" s="26">
        <v>264</v>
      </c>
    </row>
    <row r="19" spans="4:14">
      <c r="D19" s="21">
        <v>46085</v>
      </c>
      <c r="E19" s="22">
        <v>1582170</v>
      </c>
      <c r="F19" s="22" t="s">
        <v>30</v>
      </c>
      <c r="G19" s="22">
        <v>20330731</v>
      </c>
      <c r="H19" s="22" t="s">
        <v>31</v>
      </c>
      <c r="I19" s="22">
        <v>4</v>
      </c>
      <c r="J19" s="28" t="s">
        <v>18</v>
      </c>
      <c r="K19" s="24">
        <f t="shared" si="1"/>
        <v>20</v>
      </c>
      <c r="L19" s="25">
        <v>4.4</v>
      </c>
      <c r="M19" s="26">
        <v>88</v>
      </c>
      <c r="N19" s="26">
        <v>352</v>
      </c>
    </row>
    <row r="20" spans="4:14">
      <c r="D20" s="21">
        <v>46085</v>
      </c>
      <c r="E20" s="22">
        <v>1582170</v>
      </c>
      <c r="F20" s="22" t="s">
        <v>20</v>
      </c>
      <c r="G20" s="22">
        <v>20324485</v>
      </c>
      <c r="H20" s="22" t="s">
        <v>41</v>
      </c>
      <c r="I20" s="22">
        <v>1</v>
      </c>
      <c r="J20" s="23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ht="25.5" spans="4:14">
      <c r="D21" s="21">
        <v>46085</v>
      </c>
      <c r="E21" s="22">
        <v>1582170</v>
      </c>
      <c r="F21" s="22" t="s">
        <v>20</v>
      </c>
      <c r="G21" s="22">
        <v>20325852</v>
      </c>
      <c r="H21" s="22" t="s">
        <v>42</v>
      </c>
      <c r="I21" s="22">
        <v>1</v>
      </c>
      <c r="J21" s="28" t="s">
        <v>18</v>
      </c>
      <c r="K21" s="24">
        <f t="shared" si="1"/>
        <v>71</v>
      </c>
      <c r="L21" s="25">
        <v>4.4</v>
      </c>
      <c r="M21" s="26">
        <v>312.4</v>
      </c>
      <c r="N21" s="26">
        <v>312.4</v>
      </c>
    </row>
    <row r="22" spans="4:14">
      <c r="D22" s="21">
        <v>46086</v>
      </c>
      <c r="E22" s="22">
        <v>1582541</v>
      </c>
      <c r="F22" s="22" t="s">
        <v>20</v>
      </c>
      <c r="G22" s="22">
        <v>20324413</v>
      </c>
      <c r="H22" s="22" t="s">
        <v>43</v>
      </c>
      <c r="I22" s="22">
        <v>1</v>
      </c>
      <c r="J22" s="23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46086</v>
      </c>
      <c r="E23" s="22">
        <v>1582541</v>
      </c>
      <c r="F23" s="22" t="s">
        <v>20</v>
      </c>
      <c r="G23" s="22">
        <v>20324428</v>
      </c>
      <c r="H23" s="22" t="s">
        <v>44</v>
      </c>
      <c r="I23" s="22">
        <v>2</v>
      </c>
      <c r="J23" s="23" t="s">
        <v>22</v>
      </c>
      <c r="K23" s="24">
        <v>1</v>
      </c>
      <c r="L23" s="25">
        <v>6.4</v>
      </c>
      <c r="M23" s="26">
        <v>6.4</v>
      </c>
      <c r="N23" s="26">
        <v>12.8</v>
      </c>
    </row>
    <row r="24" ht="25.5" spans="4:14">
      <c r="D24" s="21">
        <v>46086</v>
      </c>
      <c r="E24" s="22">
        <v>1582541</v>
      </c>
      <c r="F24" s="22" t="s">
        <v>20</v>
      </c>
      <c r="G24" s="22">
        <v>20326302</v>
      </c>
      <c r="H24" s="22" t="s">
        <v>45</v>
      </c>
      <c r="I24" s="22">
        <v>1</v>
      </c>
      <c r="J24" s="28" t="s">
        <v>18</v>
      </c>
      <c r="K24" s="24">
        <f>M24/L24</f>
        <v>40</v>
      </c>
      <c r="L24" s="25">
        <v>4.4</v>
      </c>
      <c r="M24" s="26">
        <v>176</v>
      </c>
      <c r="N24" s="26">
        <v>176</v>
      </c>
    </row>
    <row r="25" spans="4:14">
      <c r="D25" s="21">
        <v>46086</v>
      </c>
      <c r="E25" s="22">
        <v>1582575</v>
      </c>
      <c r="F25" s="22" t="s">
        <v>30</v>
      </c>
      <c r="G25" s="22">
        <v>20330731</v>
      </c>
      <c r="H25" s="22" t="s">
        <v>31</v>
      </c>
      <c r="I25" s="22">
        <v>3</v>
      </c>
      <c r="J25" s="28" t="s">
        <v>18</v>
      </c>
      <c r="K25" s="24">
        <f>M25/L25</f>
        <v>20</v>
      </c>
      <c r="L25" s="25">
        <v>4.4</v>
      </c>
      <c r="M25" s="26">
        <v>88</v>
      </c>
      <c r="N25" s="26">
        <v>264</v>
      </c>
    </row>
    <row r="26" spans="4:14">
      <c r="D26" s="21">
        <v>46087</v>
      </c>
      <c r="E26" s="22">
        <v>1582591</v>
      </c>
      <c r="F26" s="22" t="s">
        <v>20</v>
      </c>
      <c r="G26" s="22">
        <v>20381126</v>
      </c>
      <c r="H26" s="22" t="s">
        <v>46</v>
      </c>
      <c r="I26" s="22">
        <v>1</v>
      </c>
      <c r="J26" s="28" t="s">
        <v>37</v>
      </c>
      <c r="K26" s="24" t="s">
        <v>38</v>
      </c>
      <c r="L26" s="25">
        <v>132</v>
      </c>
      <c r="M26" s="26">
        <v>184.8</v>
      </c>
      <c r="N26" s="26">
        <v>184.8</v>
      </c>
    </row>
    <row r="27" spans="4:14">
      <c r="D27" s="21"/>
      <c r="E27" s="22"/>
      <c r="F27" s="22"/>
      <c r="G27" s="22"/>
      <c r="H27" s="22"/>
      <c r="I27" s="22"/>
      <c r="J27" s="28" t="s">
        <v>28</v>
      </c>
      <c r="K27" s="24">
        <v>1</v>
      </c>
      <c r="L27" s="25">
        <v>17.6</v>
      </c>
      <c r="M27" s="26"/>
      <c r="N27" s="26"/>
    </row>
    <row r="28" spans="4:14">
      <c r="D28" s="21"/>
      <c r="E28" s="22"/>
      <c r="F28" s="22"/>
      <c r="G28" s="22"/>
      <c r="H28" s="22"/>
      <c r="I28" s="22"/>
      <c r="J28" s="28" t="s">
        <v>28</v>
      </c>
      <c r="K28" s="24">
        <v>1</v>
      </c>
      <c r="L28" s="25">
        <v>17.6</v>
      </c>
      <c r="M28" s="26"/>
      <c r="N28" s="26"/>
    </row>
    <row r="29" spans="4:14">
      <c r="D29" s="21"/>
      <c r="E29" s="22"/>
      <c r="F29" s="22"/>
      <c r="G29" s="22"/>
      <c r="H29" s="22"/>
      <c r="I29" s="22"/>
      <c r="J29" s="28" t="s">
        <v>28</v>
      </c>
      <c r="K29" s="24">
        <v>1</v>
      </c>
      <c r="L29" s="25">
        <v>17.6</v>
      </c>
      <c r="M29" s="26"/>
      <c r="N29" s="26"/>
    </row>
    <row r="30" spans="4:14">
      <c r="D30" s="21">
        <v>46087</v>
      </c>
      <c r="E30" s="22">
        <v>1582872</v>
      </c>
      <c r="F30" s="22" t="s">
        <v>30</v>
      </c>
      <c r="G30" s="22">
        <v>20330731</v>
      </c>
      <c r="H30" s="22" t="s">
        <v>31</v>
      </c>
      <c r="I30" s="22">
        <v>3</v>
      </c>
      <c r="J30" s="28" t="s">
        <v>18</v>
      </c>
      <c r="K30" s="24">
        <f>M30/L30</f>
        <v>20</v>
      </c>
      <c r="L30" s="25">
        <v>4.4</v>
      </c>
      <c r="M30" s="26">
        <v>88</v>
      </c>
      <c r="N30" s="26">
        <v>264</v>
      </c>
    </row>
    <row r="31" spans="4:14">
      <c r="D31" s="21">
        <v>46087</v>
      </c>
      <c r="E31" s="22">
        <v>1582872</v>
      </c>
      <c r="F31" s="22" t="s">
        <v>20</v>
      </c>
      <c r="G31" s="22">
        <v>20324485</v>
      </c>
      <c r="H31" s="22" t="s">
        <v>41</v>
      </c>
      <c r="I31" s="22">
        <v>1</v>
      </c>
      <c r="J31" s="23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ht="25.5" spans="4:14">
      <c r="D32" s="21">
        <v>46087</v>
      </c>
      <c r="E32" s="22">
        <v>1582872</v>
      </c>
      <c r="F32" s="22" t="s">
        <v>20</v>
      </c>
      <c r="G32" s="22">
        <v>20325852</v>
      </c>
      <c r="H32" s="22" t="s">
        <v>47</v>
      </c>
      <c r="I32" s="22">
        <v>1</v>
      </c>
      <c r="J32" s="28" t="s">
        <v>18</v>
      </c>
      <c r="K32" s="24">
        <f t="shared" ref="K32:K37" si="2">M32/L32</f>
        <v>54</v>
      </c>
      <c r="L32" s="25">
        <v>4.4</v>
      </c>
      <c r="M32" s="26">
        <v>237.6</v>
      </c>
      <c r="N32" s="26">
        <v>237.6</v>
      </c>
    </row>
    <row r="33" spans="4:14">
      <c r="D33" s="21">
        <v>46090</v>
      </c>
      <c r="E33" s="22">
        <v>1583376</v>
      </c>
      <c r="F33" s="22" t="s">
        <v>30</v>
      </c>
      <c r="G33" s="22">
        <v>20330731</v>
      </c>
      <c r="H33" s="22" t="s">
        <v>31</v>
      </c>
      <c r="I33" s="22">
        <v>4</v>
      </c>
      <c r="J33" s="28" t="s">
        <v>18</v>
      </c>
      <c r="K33" s="24">
        <f t="shared" si="2"/>
        <v>20</v>
      </c>
      <c r="L33" s="25">
        <v>4.4</v>
      </c>
      <c r="M33" s="26">
        <v>88</v>
      </c>
      <c r="N33" s="26">
        <v>352</v>
      </c>
    </row>
    <row r="34" spans="4:14">
      <c r="D34" s="21">
        <v>46090</v>
      </c>
      <c r="E34" s="22">
        <v>1583376</v>
      </c>
      <c r="F34" s="22" t="s">
        <v>20</v>
      </c>
      <c r="G34" s="22">
        <v>20324428</v>
      </c>
      <c r="H34" s="22" t="s">
        <v>44</v>
      </c>
      <c r="I34" s="22">
        <v>1</v>
      </c>
      <c r="J34" s="23" t="s">
        <v>22</v>
      </c>
      <c r="K34" s="24">
        <v>1</v>
      </c>
      <c r="L34" s="25">
        <v>6.4</v>
      </c>
      <c r="M34" s="26">
        <v>6.4</v>
      </c>
      <c r="N34" s="26">
        <v>6.4</v>
      </c>
    </row>
    <row r="35" spans="4:14">
      <c r="D35" s="21">
        <v>46090</v>
      </c>
      <c r="E35" s="22">
        <v>1583376</v>
      </c>
      <c r="F35" s="22" t="s">
        <v>20</v>
      </c>
      <c r="G35" s="22">
        <v>20324485</v>
      </c>
      <c r="H35" s="22" t="s">
        <v>41</v>
      </c>
      <c r="I35" s="22">
        <v>5</v>
      </c>
      <c r="J35" s="23" t="s">
        <v>22</v>
      </c>
      <c r="K35" s="24">
        <v>1</v>
      </c>
      <c r="L35" s="25">
        <v>6.4</v>
      </c>
      <c r="M35" s="26">
        <v>6.4</v>
      </c>
      <c r="N35" s="26">
        <v>32</v>
      </c>
    </row>
    <row r="36" ht="25.5" spans="4:14">
      <c r="D36" s="21">
        <v>46090</v>
      </c>
      <c r="E36" s="22">
        <v>1583376</v>
      </c>
      <c r="F36" s="22" t="s">
        <v>20</v>
      </c>
      <c r="G36" s="22">
        <v>20325852</v>
      </c>
      <c r="H36" s="22" t="s">
        <v>48</v>
      </c>
      <c r="I36" s="22">
        <v>1</v>
      </c>
      <c r="J36" s="28" t="s">
        <v>18</v>
      </c>
      <c r="K36" s="24">
        <f>M36/L36</f>
        <v>91</v>
      </c>
      <c r="L36" s="25">
        <v>4.4</v>
      </c>
      <c r="M36" s="26">
        <v>400.4</v>
      </c>
      <c r="N36" s="26">
        <v>400.4</v>
      </c>
    </row>
    <row r="37" ht="25.5" spans="4:14">
      <c r="D37" s="21">
        <v>46090</v>
      </c>
      <c r="E37" s="22">
        <v>1583376</v>
      </c>
      <c r="F37" s="22" t="s">
        <v>20</v>
      </c>
      <c r="G37" s="22">
        <v>20331277</v>
      </c>
      <c r="H37" s="22" t="s">
        <v>49</v>
      </c>
      <c r="I37" s="22">
        <v>1</v>
      </c>
      <c r="J37" s="28" t="s">
        <v>18</v>
      </c>
      <c r="K37" s="24">
        <f t="shared" si="2"/>
        <v>84</v>
      </c>
      <c r="L37" s="25">
        <v>4.4</v>
      </c>
      <c r="M37" s="26">
        <v>369.6</v>
      </c>
      <c r="N37" s="26">
        <v>369.6</v>
      </c>
    </row>
    <row r="38" spans="4:14">
      <c r="D38" s="21">
        <v>46091</v>
      </c>
      <c r="E38" s="22">
        <v>1583442</v>
      </c>
      <c r="F38" s="22" t="s">
        <v>20</v>
      </c>
      <c r="G38" s="22">
        <v>20327039</v>
      </c>
      <c r="H38" s="22" t="s">
        <v>50</v>
      </c>
      <c r="I38" s="22">
        <v>1</v>
      </c>
      <c r="J38" s="30" t="s">
        <v>51</v>
      </c>
      <c r="K38" s="24" t="s">
        <v>52</v>
      </c>
      <c r="L38" s="25">
        <v>240</v>
      </c>
      <c r="M38" s="26">
        <v>275.2</v>
      </c>
      <c r="N38" s="26">
        <v>275.2</v>
      </c>
    </row>
    <row r="39" spans="4:14">
      <c r="D39" s="21"/>
      <c r="E39" s="22"/>
      <c r="F39" s="22"/>
      <c r="G39" s="22"/>
      <c r="H39" s="22"/>
      <c r="I39" s="22"/>
      <c r="J39" s="28" t="s">
        <v>28</v>
      </c>
      <c r="K39" s="24">
        <v>1</v>
      </c>
      <c r="L39" s="25">
        <v>17.6</v>
      </c>
      <c r="M39" s="26"/>
      <c r="N39" s="26"/>
    </row>
    <row r="40" spans="4:14">
      <c r="D40" s="21"/>
      <c r="E40" s="22"/>
      <c r="F40" s="22"/>
      <c r="G40" s="22"/>
      <c r="H40" s="22"/>
      <c r="I40" s="22"/>
      <c r="J40" s="28" t="s">
        <v>28</v>
      </c>
      <c r="K40" s="24">
        <v>1</v>
      </c>
      <c r="L40" s="25">
        <v>17.6</v>
      </c>
      <c r="M40" s="26"/>
      <c r="N40" s="26"/>
    </row>
    <row r="41" spans="4:14">
      <c r="D41" s="21">
        <v>46092</v>
      </c>
      <c r="E41" s="22">
        <v>1584749</v>
      </c>
      <c r="F41" s="22" t="s">
        <v>30</v>
      </c>
      <c r="G41" s="22">
        <v>20330731</v>
      </c>
      <c r="H41" s="22" t="s">
        <v>31</v>
      </c>
      <c r="I41" s="22">
        <v>4</v>
      </c>
      <c r="J41" s="28" t="s">
        <v>18</v>
      </c>
      <c r="K41" s="24">
        <f t="shared" ref="K41:K46" si="3">M41/L41</f>
        <v>20</v>
      </c>
      <c r="L41" s="25">
        <v>4.4</v>
      </c>
      <c r="M41" s="26">
        <v>88</v>
      </c>
      <c r="N41" s="26">
        <v>352</v>
      </c>
    </row>
    <row r="42" spans="4:14">
      <c r="D42" s="21">
        <v>46092</v>
      </c>
      <c r="E42" s="22">
        <v>1584749</v>
      </c>
      <c r="F42" s="22" t="s">
        <v>20</v>
      </c>
      <c r="G42" s="22">
        <v>20324485</v>
      </c>
      <c r="H42" s="22" t="s">
        <v>41</v>
      </c>
      <c r="I42" s="22">
        <v>1</v>
      </c>
      <c r="J42" s="23" t="s">
        <v>22</v>
      </c>
      <c r="K42" s="24">
        <v>1</v>
      </c>
      <c r="L42" s="25">
        <v>6.4</v>
      </c>
      <c r="M42" s="26">
        <v>6.4</v>
      </c>
      <c r="N42" s="26">
        <v>6.4</v>
      </c>
    </row>
    <row r="43" ht="25.5" spans="4:14">
      <c r="D43" s="21">
        <v>46092</v>
      </c>
      <c r="E43" s="22">
        <v>1584749</v>
      </c>
      <c r="F43" s="22" t="s">
        <v>20</v>
      </c>
      <c r="G43" s="22">
        <v>20326302</v>
      </c>
      <c r="H43" s="22" t="s">
        <v>53</v>
      </c>
      <c r="I43" s="22">
        <v>1</v>
      </c>
      <c r="J43" s="28" t="s">
        <v>18</v>
      </c>
      <c r="K43" s="24">
        <f>M43/L43</f>
        <v>67</v>
      </c>
      <c r="L43" s="25">
        <v>4.4</v>
      </c>
      <c r="M43" s="26">
        <v>294.8</v>
      </c>
      <c r="N43" s="26">
        <v>294.8</v>
      </c>
    </row>
    <row r="44" spans="4:14">
      <c r="D44" s="21">
        <v>46092</v>
      </c>
      <c r="E44" s="22">
        <v>1585130</v>
      </c>
      <c r="F44" s="22" t="s">
        <v>30</v>
      </c>
      <c r="G44" s="22">
        <v>20330731</v>
      </c>
      <c r="H44" s="22" t="s">
        <v>31</v>
      </c>
      <c r="I44" s="22">
        <v>3</v>
      </c>
      <c r="J44" s="28" t="s">
        <v>18</v>
      </c>
      <c r="K44" s="24">
        <f t="shared" si="3"/>
        <v>20</v>
      </c>
      <c r="L44" s="25">
        <v>4.4</v>
      </c>
      <c r="M44" s="26">
        <v>88</v>
      </c>
      <c r="N44" s="26">
        <v>264</v>
      </c>
    </row>
    <row r="45" spans="4:14">
      <c r="D45" s="21">
        <v>46092</v>
      </c>
      <c r="E45" s="22">
        <v>1585130</v>
      </c>
      <c r="F45" s="22" t="s">
        <v>20</v>
      </c>
      <c r="G45" s="22">
        <v>20324485</v>
      </c>
      <c r="H45" s="22" t="s">
        <v>41</v>
      </c>
      <c r="I45" s="22">
        <v>1</v>
      </c>
      <c r="J45" s="23" t="s">
        <v>22</v>
      </c>
      <c r="K45" s="24">
        <v>1</v>
      </c>
      <c r="L45" s="25">
        <v>6.4</v>
      </c>
      <c r="M45" s="26">
        <v>6.4</v>
      </c>
      <c r="N45" s="26">
        <v>6.4</v>
      </c>
    </row>
    <row r="46" ht="25.5" spans="4:14">
      <c r="D46" s="21">
        <v>46092</v>
      </c>
      <c r="E46" s="22">
        <v>1585130</v>
      </c>
      <c r="F46" s="22" t="s">
        <v>20</v>
      </c>
      <c r="G46" s="22">
        <v>20333198</v>
      </c>
      <c r="H46" s="22" t="s">
        <v>54</v>
      </c>
      <c r="I46" s="22">
        <v>1</v>
      </c>
      <c r="J46" s="28" t="s">
        <v>18</v>
      </c>
      <c r="K46" s="24">
        <f t="shared" si="3"/>
        <v>60</v>
      </c>
      <c r="L46" s="25">
        <v>4.4</v>
      </c>
      <c r="M46" s="26">
        <v>264</v>
      </c>
      <c r="N46" s="26">
        <v>264</v>
      </c>
    </row>
    <row r="47" spans="4:14">
      <c r="D47" s="21">
        <v>46092</v>
      </c>
      <c r="E47" s="22">
        <v>1585130</v>
      </c>
      <c r="F47" s="22" t="s">
        <v>55</v>
      </c>
      <c r="G47" s="22">
        <v>20324518</v>
      </c>
      <c r="H47" s="22" t="s">
        <v>56</v>
      </c>
      <c r="I47" s="22">
        <v>1</v>
      </c>
      <c r="J47" s="30" t="s">
        <v>57</v>
      </c>
      <c r="K47" s="24">
        <v>1</v>
      </c>
      <c r="L47" s="25">
        <v>3.2</v>
      </c>
      <c r="M47" s="26">
        <v>3.2</v>
      </c>
      <c r="N47" s="26">
        <v>3.2</v>
      </c>
    </row>
    <row r="48" spans="4:14">
      <c r="D48" s="21">
        <v>46094</v>
      </c>
      <c r="E48" s="22">
        <v>1585554</v>
      </c>
      <c r="F48" s="22" t="s">
        <v>30</v>
      </c>
      <c r="G48" s="22">
        <v>20330731</v>
      </c>
      <c r="H48" s="22" t="s">
        <v>31</v>
      </c>
      <c r="I48" s="22">
        <v>4</v>
      </c>
      <c r="J48" s="28" t="s">
        <v>18</v>
      </c>
      <c r="K48" s="24">
        <f>M48/L48</f>
        <v>20</v>
      </c>
      <c r="L48" s="25">
        <v>4.4</v>
      </c>
      <c r="M48" s="26">
        <v>88</v>
      </c>
      <c r="N48" s="26">
        <v>352</v>
      </c>
    </row>
    <row r="49" spans="4:14">
      <c r="D49" s="21">
        <v>46094</v>
      </c>
      <c r="E49" s="22">
        <v>1585554</v>
      </c>
      <c r="F49" s="22" t="s">
        <v>20</v>
      </c>
      <c r="G49" s="22">
        <v>20324428</v>
      </c>
      <c r="H49" s="22" t="s">
        <v>44</v>
      </c>
      <c r="I49" s="22">
        <v>1</v>
      </c>
      <c r="J49" s="23" t="s">
        <v>22</v>
      </c>
      <c r="K49" s="24">
        <v>1</v>
      </c>
      <c r="L49" s="25">
        <v>6.4</v>
      </c>
      <c r="M49" s="26">
        <v>6.4</v>
      </c>
      <c r="N49" s="26">
        <v>6.4</v>
      </c>
    </row>
    <row r="50" spans="4:14">
      <c r="D50" s="21">
        <v>46094</v>
      </c>
      <c r="E50" s="22">
        <v>1585554</v>
      </c>
      <c r="F50" s="22" t="s">
        <v>20</v>
      </c>
      <c r="G50" s="22">
        <v>20342182</v>
      </c>
      <c r="H50" s="22" t="s">
        <v>58</v>
      </c>
      <c r="I50" s="22">
        <v>1</v>
      </c>
      <c r="J50" s="23" t="s">
        <v>22</v>
      </c>
      <c r="K50" s="24">
        <v>1</v>
      </c>
      <c r="L50" s="25">
        <v>6.4</v>
      </c>
      <c r="M50" s="26">
        <v>6.4</v>
      </c>
      <c r="N50" s="26">
        <v>6.4</v>
      </c>
    </row>
    <row r="51" ht="25.5" spans="4:14">
      <c r="D51" s="21">
        <v>46094</v>
      </c>
      <c r="E51" s="22">
        <v>1585554</v>
      </c>
      <c r="F51" s="22" t="s">
        <v>20</v>
      </c>
      <c r="G51" s="22">
        <v>20331277</v>
      </c>
      <c r="H51" s="22" t="s">
        <v>59</v>
      </c>
      <c r="I51" s="22">
        <v>1</v>
      </c>
      <c r="J51" s="28" t="s">
        <v>18</v>
      </c>
      <c r="K51" s="24">
        <f t="shared" ref="K51:K56" si="4">M51/L51</f>
        <v>62</v>
      </c>
      <c r="L51" s="25">
        <v>4.4</v>
      </c>
      <c r="M51" s="26">
        <v>272.8</v>
      </c>
      <c r="N51" s="26">
        <v>272.8</v>
      </c>
    </row>
    <row r="52" spans="4:14">
      <c r="D52" s="21">
        <v>46094</v>
      </c>
      <c r="E52" s="22">
        <v>1585624</v>
      </c>
      <c r="F52" s="22" t="s">
        <v>20</v>
      </c>
      <c r="G52" s="22">
        <v>20338569</v>
      </c>
      <c r="H52" s="22" t="s">
        <v>60</v>
      </c>
      <c r="I52" s="22">
        <v>1</v>
      </c>
      <c r="J52" s="30" t="s">
        <v>51</v>
      </c>
      <c r="K52" s="24" t="s">
        <v>52</v>
      </c>
      <c r="L52" s="25">
        <v>240</v>
      </c>
      <c r="M52" s="26">
        <v>240</v>
      </c>
      <c r="N52" s="26">
        <v>240</v>
      </c>
    </row>
    <row r="53" spans="4:14">
      <c r="D53" s="21">
        <v>46095</v>
      </c>
      <c r="E53" s="22">
        <v>1585917</v>
      </c>
      <c r="F53" s="22" t="s">
        <v>30</v>
      </c>
      <c r="G53" s="22">
        <v>20330731</v>
      </c>
      <c r="H53" s="22" t="s">
        <v>31</v>
      </c>
      <c r="I53" s="22">
        <v>4</v>
      </c>
      <c r="J53" s="28" t="s">
        <v>18</v>
      </c>
      <c r="K53" s="24">
        <f t="shared" si="4"/>
        <v>20</v>
      </c>
      <c r="L53" s="25">
        <v>4.4</v>
      </c>
      <c r="M53" s="26">
        <v>88</v>
      </c>
      <c r="N53" s="26">
        <v>352</v>
      </c>
    </row>
    <row r="54" spans="4:14">
      <c r="D54" s="21">
        <v>46095</v>
      </c>
      <c r="E54" s="22">
        <v>1585917</v>
      </c>
      <c r="F54" s="22" t="s">
        <v>20</v>
      </c>
      <c r="G54" s="22">
        <v>20324401</v>
      </c>
      <c r="H54" s="22" t="s">
        <v>61</v>
      </c>
      <c r="I54" s="22">
        <v>2</v>
      </c>
      <c r="J54" s="46" t="s">
        <v>62</v>
      </c>
      <c r="K54" s="24">
        <v>1</v>
      </c>
      <c r="L54" s="25">
        <v>12.8</v>
      </c>
      <c r="M54" s="26">
        <v>12.8</v>
      </c>
      <c r="N54" s="26">
        <v>25.6</v>
      </c>
    </row>
    <row r="55" ht="25.5" spans="4:14">
      <c r="D55" s="21">
        <v>46095</v>
      </c>
      <c r="E55" s="22">
        <v>1585917</v>
      </c>
      <c r="F55" s="22" t="s">
        <v>20</v>
      </c>
      <c r="G55" s="22">
        <v>20331277</v>
      </c>
      <c r="H55" s="22" t="s">
        <v>63</v>
      </c>
      <c r="I55" s="22">
        <v>1</v>
      </c>
      <c r="J55" s="28" t="s">
        <v>18</v>
      </c>
      <c r="K55" s="24">
        <f t="shared" si="4"/>
        <v>77</v>
      </c>
      <c r="L55" s="25">
        <v>4.4</v>
      </c>
      <c r="M55" s="26">
        <v>338.8</v>
      </c>
      <c r="N55" s="26">
        <v>338.8</v>
      </c>
    </row>
    <row r="56" spans="4:14">
      <c r="D56" s="21">
        <v>46098</v>
      </c>
      <c r="E56" s="22">
        <v>1586471</v>
      </c>
      <c r="F56" s="22" t="s">
        <v>30</v>
      </c>
      <c r="G56" s="22">
        <v>20330731</v>
      </c>
      <c r="H56" s="22" t="s">
        <v>31</v>
      </c>
      <c r="I56" s="22">
        <v>4</v>
      </c>
      <c r="J56" s="28" t="s">
        <v>18</v>
      </c>
      <c r="K56" s="24">
        <f t="shared" si="4"/>
        <v>20</v>
      </c>
      <c r="L56" s="25">
        <v>4.4</v>
      </c>
      <c r="M56" s="26">
        <v>88</v>
      </c>
      <c r="N56" s="26">
        <v>352</v>
      </c>
    </row>
    <row r="57" spans="4:14">
      <c r="D57" s="21">
        <v>46098</v>
      </c>
      <c r="E57" s="22">
        <v>1586471</v>
      </c>
      <c r="F57" s="22" t="s">
        <v>20</v>
      </c>
      <c r="G57" s="22">
        <v>20324428</v>
      </c>
      <c r="H57" s="22" t="s">
        <v>44</v>
      </c>
      <c r="I57" s="22">
        <v>1</v>
      </c>
      <c r="J57" s="23" t="s">
        <v>22</v>
      </c>
      <c r="K57" s="24">
        <v>1</v>
      </c>
      <c r="L57" s="25">
        <v>6.4</v>
      </c>
      <c r="M57" s="26">
        <v>6.4</v>
      </c>
      <c r="N57" s="26">
        <v>6.4</v>
      </c>
    </row>
    <row r="58" ht="25.5" spans="4:14">
      <c r="D58" s="21">
        <v>46098</v>
      </c>
      <c r="E58" s="22">
        <v>1586471</v>
      </c>
      <c r="F58" s="22" t="s">
        <v>20</v>
      </c>
      <c r="G58" s="22">
        <v>20331277</v>
      </c>
      <c r="H58" s="22" t="s">
        <v>64</v>
      </c>
      <c r="I58" s="22">
        <v>1</v>
      </c>
      <c r="J58" s="28" t="s">
        <v>18</v>
      </c>
      <c r="K58" s="24" t="s">
        <v>65</v>
      </c>
      <c r="L58" s="25">
        <v>4.4</v>
      </c>
      <c r="M58" s="26">
        <f>L58*K58</f>
        <v>167.2</v>
      </c>
      <c r="N58" s="26">
        <v>167.2</v>
      </c>
    </row>
    <row r="59" ht="25.5" spans="4:14">
      <c r="D59" s="21">
        <v>46098</v>
      </c>
      <c r="E59" s="22">
        <v>1586471</v>
      </c>
      <c r="F59" s="22" t="s">
        <v>20</v>
      </c>
      <c r="G59" s="22">
        <v>20325852</v>
      </c>
      <c r="H59" s="22" t="s">
        <v>66</v>
      </c>
      <c r="I59" s="22">
        <v>1</v>
      </c>
      <c r="J59" s="28" t="s">
        <v>18</v>
      </c>
      <c r="K59" s="24">
        <f>M59/L59</f>
        <v>123</v>
      </c>
      <c r="L59" s="25">
        <v>4.4</v>
      </c>
      <c r="M59" s="26">
        <v>541.2</v>
      </c>
      <c r="N59" s="26">
        <v>541.2</v>
      </c>
    </row>
    <row r="60" spans="4:14">
      <c r="D60" s="21">
        <v>46098</v>
      </c>
      <c r="E60" s="22">
        <v>1586530</v>
      </c>
      <c r="F60" s="22" t="s">
        <v>20</v>
      </c>
      <c r="G60" s="22">
        <v>20338569</v>
      </c>
      <c r="H60" s="22" t="s">
        <v>67</v>
      </c>
      <c r="I60" s="22">
        <v>1</v>
      </c>
      <c r="J60" s="30" t="s">
        <v>51</v>
      </c>
      <c r="K60" s="24" t="s">
        <v>52</v>
      </c>
      <c r="L60" s="25">
        <v>240</v>
      </c>
      <c r="M60" s="26">
        <v>240</v>
      </c>
      <c r="N60" s="26">
        <v>240</v>
      </c>
    </row>
    <row r="61" spans="4:14">
      <c r="D61" s="21">
        <v>46098</v>
      </c>
      <c r="E61" s="22">
        <v>1586871</v>
      </c>
      <c r="F61" s="22" t="s">
        <v>30</v>
      </c>
      <c r="G61" s="22">
        <v>20330731</v>
      </c>
      <c r="H61" s="22" t="s">
        <v>31</v>
      </c>
      <c r="I61" s="22">
        <v>4</v>
      </c>
      <c r="J61" s="28" t="s">
        <v>18</v>
      </c>
      <c r="K61" s="24">
        <f>M61/L61</f>
        <v>20</v>
      </c>
      <c r="L61" s="25">
        <v>4.4</v>
      </c>
      <c r="M61" s="26">
        <v>88</v>
      </c>
      <c r="N61" s="26">
        <v>352</v>
      </c>
    </row>
    <row r="62" spans="4:14">
      <c r="D62" s="21">
        <v>46098</v>
      </c>
      <c r="E62" s="22">
        <v>1586871</v>
      </c>
      <c r="F62" s="22" t="s">
        <v>20</v>
      </c>
      <c r="G62" s="22">
        <v>20324428</v>
      </c>
      <c r="H62" s="22" t="s">
        <v>44</v>
      </c>
      <c r="I62" s="22">
        <v>2</v>
      </c>
      <c r="J62" s="23" t="s">
        <v>22</v>
      </c>
      <c r="K62" s="24">
        <v>1</v>
      </c>
      <c r="L62" s="25">
        <v>6.4</v>
      </c>
      <c r="M62" s="26">
        <v>6.4</v>
      </c>
      <c r="N62" s="26">
        <v>12.8</v>
      </c>
    </row>
    <row r="63" ht="25.5" spans="4:14">
      <c r="D63" s="21">
        <v>46098</v>
      </c>
      <c r="E63" s="22">
        <v>1586871</v>
      </c>
      <c r="F63" s="22" t="s">
        <v>20</v>
      </c>
      <c r="G63" s="22">
        <v>20328488</v>
      </c>
      <c r="H63" s="22" t="s">
        <v>68</v>
      </c>
      <c r="I63" s="22">
        <v>1</v>
      </c>
      <c r="J63" s="28" t="s">
        <v>18</v>
      </c>
      <c r="K63" s="24">
        <f t="shared" ref="K63:K68" si="5">M63/L63</f>
        <v>78</v>
      </c>
      <c r="L63" s="25">
        <v>4.4</v>
      </c>
      <c r="M63" s="26">
        <v>343.2</v>
      </c>
      <c r="N63" s="26">
        <v>343.2</v>
      </c>
    </row>
    <row r="64" spans="4:14">
      <c r="D64" s="21">
        <v>46099</v>
      </c>
      <c r="E64" s="22">
        <v>1587177</v>
      </c>
      <c r="F64" s="22" t="s">
        <v>30</v>
      </c>
      <c r="G64" s="22">
        <v>20330731</v>
      </c>
      <c r="H64" s="22" t="s">
        <v>31</v>
      </c>
      <c r="I64" s="22">
        <v>4</v>
      </c>
      <c r="J64" s="28" t="s">
        <v>18</v>
      </c>
      <c r="K64" s="24">
        <f t="shared" si="5"/>
        <v>20</v>
      </c>
      <c r="L64" s="25">
        <v>4.4</v>
      </c>
      <c r="M64" s="26">
        <v>88</v>
      </c>
      <c r="N64" s="26">
        <v>352</v>
      </c>
    </row>
    <row r="65" spans="4:14">
      <c r="D65" s="21">
        <v>46099</v>
      </c>
      <c r="E65" s="22">
        <v>1587177</v>
      </c>
      <c r="F65" s="22" t="s">
        <v>20</v>
      </c>
      <c r="G65" s="22">
        <v>20324428</v>
      </c>
      <c r="H65" s="22" t="s">
        <v>44</v>
      </c>
      <c r="I65" s="22">
        <v>3</v>
      </c>
      <c r="J65" s="23" t="s">
        <v>22</v>
      </c>
      <c r="K65" s="24">
        <v>1</v>
      </c>
      <c r="L65" s="25">
        <v>6.4</v>
      </c>
      <c r="M65" s="26">
        <v>6.4</v>
      </c>
      <c r="N65" s="26">
        <v>19.2</v>
      </c>
    </row>
    <row r="66" spans="4:14">
      <c r="D66" s="21">
        <v>46099</v>
      </c>
      <c r="E66" s="22">
        <v>1587177</v>
      </c>
      <c r="F66" s="22" t="s">
        <v>20</v>
      </c>
      <c r="G66" s="22">
        <v>20324855</v>
      </c>
      <c r="H66" s="22" t="s">
        <v>33</v>
      </c>
      <c r="I66" s="22">
        <v>14</v>
      </c>
      <c r="J66" s="23" t="s">
        <v>22</v>
      </c>
      <c r="K66" s="24">
        <v>1</v>
      </c>
      <c r="L66" s="25">
        <v>6.4</v>
      </c>
      <c r="M66" s="26">
        <v>6.4</v>
      </c>
      <c r="N66" s="26">
        <v>89.6</v>
      </c>
    </row>
    <row r="67" spans="4:14">
      <c r="D67" s="21">
        <v>46099</v>
      </c>
      <c r="E67" s="22">
        <v>1587177</v>
      </c>
      <c r="F67" s="22" t="s">
        <v>20</v>
      </c>
      <c r="G67" s="22">
        <v>20324485</v>
      </c>
      <c r="H67" s="22" t="s">
        <v>41</v>
      </c>
      <c r="I67" s="22">
        <v>2</v>
      </c>
      <c r="J67" s="23" t="s">
        <v>22</v>
      </c>
      <c r="K67" s="24">
        <v>1</v>
      </c>
      <c r="L67" s="25">
        <v>6.4</v>
      </c>
      <c r="M67" s="26">
        <v>6.4</v>
      </c>
      <c r="N67" s="26">
        <v>12.8</v>
      </c>
    </row>
    <row r="68" ht="25.5" spans="4:14">
      <c r="D68" s="21">
        <v>46099</v>
      </c>
      <c r="E68" s="22">
        <v>1587177</v>
      </c>
      <c r="F68" s="22" t="s">
        <v>20</v>
      </c>
      <c r="G68" s="22">
        <v>20325852</v>
      </c>
      <c r="H68" s="22" t="s">
        <v>69</v>
      </c>
      <c r="I68" s="22">
        <v>1</v>
      </c>
      <c r="J68" s="28" t="s">
        <v>18</v>
      </c>
      <c r="K68" s="24">
        <f t="shared" si="5"/>
        <v>80</v>
      </c>
      <c r="L68" s="25">
        <v>4.4</v>
      </c>
      <c r="M68" s="26">
        <v>352</v>
      </c>
      <c r="N68" s="26">
        <v>352</v>
      </c>
    </row>
    <row r="69" spans="4:14">
      <c r="D69" s="21">
        <v>46100</v>
      </c>
      <c r="E69" s="22">
        <v>1587565</v>
      </c>
      <c r="F69" s="22" t="s">
        <v>30</v>
      </c>
      <c r="G69" s="22">
        <v>20330731</v>
      </c>
      <c r="H69" s="22" t="s">
        <v>31</v>
      </c>
      <c r="I69" s="22">
        <v>4</v>
      </c>
      <c r="J69" s="28" t="s">
        <v>18</v>
      </c>
      <c r="K69" s="24">
        <f t="shared" ref="K69:K74" si="6">M69/L69</f>
        <v>20</v>
      </c>
      <c r="L69" s="25">
        <v>4.4</v>
      </c>
      <c r="M69" s="26">
        <v>88</v>
      </c>
      <c r="N69" s="26">
        <v>352</v>
      </c>
    </row>
    <row r="70" spans="4:14">
      <c r="D70" s="21">
        <v>46100</v>
      </c>
      <c r="E70" s="22">
        <v>1587565</v>
      </c>
      <c r="F70" s="22" t="s">
        <v>20</v>
      </c>
      <c r="G70" s="22">
        <v>20324428</v>
      </c>
      <c r="H70" s="22" t="s">
        <v>44</v>
      </c>
      <c r="I70" s="22">
        <v>2</v>
      </c>
      <c r="J70" s="23" t="s">
        <v>22</v>
      </c>
      <c r="K70" s="24">
        <v>1</v>
      </c>
      <c r="L70" s="25">
        <v>6.4</v>
      </c>
      <c r="M70" s="26">
        <v>6.4</v>
      </c>
      <c r="N70" s="26">
        <v>12.8</v>
      </c>
    </row>
    <row r="71" ht="25.5" spans="4:14">
      <c r="D71" s="21">
        <v>46100</v>
      </c>
      <c r="E71" s="22">
        <v>1587565</v>
      </c>
      <c r="F71" s="22" t="s">
        <v>20</v>
      </c>
      <c r="G71" s="22">
        <v>20325852</v>
      </c>
      <c r="H71" s="22" t="s">
        <v>70</v>
      </c>
      <c r="I71" s="22">
        <v>1</v>
      </c>
      <c r="J71" s="28" t="s">
        <v>18</v>
      </c>
      <c r="K71" s="24">
        <f t="shared" si="6"/>
        <v>77</v>
      </c>
      <c r="L71" s="25">
        <v>4.4</v>
      </c>
      <c r="M71" s="26">
        <v>338.8</v>
      </c>
      <c r="N71" s="26">
        <v>338.8</v>
      </c>
    </row>
    <row r="72" spans="4:14">
      <c r="D72" s="21">
        <v>46101</v>
      </c>
      <c r="E72" s="22">
        <v>1587926</v>
      </c>
      <c r="F72" s="22" t="s">
        <v>30</v>
      </c>
      <c r="G72" s="22">
        <v>20391366</v>
      </c>
      <c r="H72" s="22" t="s">
        <v>71</v>
      </c>
      <c r="I72" s="22">
        <v>3</v>
      </c>
      <c r="J72" s="28" t="s">
        <v>18</v>
      </c>
      <c r="K72" s="24">
        <f t="shared" si="6"/>
        <v>26</v>
      </c>
      <c r="L72" s="25">
        <v>4.4</v>
      </c>
      <c r="M72" s="26">
        <v>114.4</v>
      </c>
      <c r="N72" s="26">
        <v>343.2</v>
      </c>
    </row>
    <row r="73" spans="4:14">
      <c r="D73" s="21">
        <v>46101</v>
      </c>
      <c r="E73" s="22">
        <v>1587926</v>
      </c>
      <c r="F73" s="22" t="s">
        <v>20</v>
      </c>
      <c r="G73" s="22">
        <v>20324428</v>
      </c>
      <c r="H73" s="22" t="s">
        <v>44</v>
      </c>
      <c r="I73" s="22">
        <v>3</v>
      </c>
      <c r="J73" s="23" t="s">
        <v>22</v>
      </c>
      <c r="K73" s="24">
        <v>1</v>
      </c>
      <c r="L73" s="25">
        <v>6.4</v>
      </c>
      <c r="M73" s="26">
        <v>6.4</v>
      </c>
      <c r="N73" s="26">
        <v>19.2</v>
      </c>
    </row>
    <row r="74" ht="25.5" spans="4:14">
      <c r="D74" s="21">
        <v>46101</v>
      </c>
      <c r="E74" s="22">
        <v>1587926</v>
      </c>
      <c r="F74" s="22" t="s">
        <v>20</v>
      </c>
      <c r="G74" s="22">
        <v>20336649</v>
      </c>
      <c r="H74" s="22" t="s">
        <v>72</v>
      </c>
      <c r="I74" s="22">
        <v>1</v>
      </c>
      <c r="J74" s="28" t="s">
        <v>18</v>
      </c>
      <c r="K74" s="24">
        <f t="shared" si="6"/>
        <v>91</v>
      </c>
      <c r="L74" s="25">
        <v>4.4</v>
      </c>
      <c r="M74" s="26">
        <v>400.4</v>
      </c>
      <c r="N74" s="26">
        <v>400.4</v>
      </c>
    </row>
    <row r="75" spans="4:14">
      <c r="D75" s="21">
        <v>46102</v>
      </c>
      <c r="E75" s="22">
        <v>1587969</v>
      </c>
      <c r="F75" s="22" t="s">
        <v>20</v>
      </c>
      <c r="G75" s="22">
        <v>20331130</v>
      </c>
      <c r="H75" s="22" t="s">
        <v>73</v>
      </c>
      <c r="I75" s="22">
        <v>1</v>
      </c>
      <c r="J75" s="28" t="s">
        <v>37</v>
      </c>
      <c r="K75" s="24" t="s">
        <v>38</v>
      </c>
      <c r="L75" s="25">
        <v>132</v>
      </c>
      <c r="M75" s="26">
        <v>237.6</v>
      </c>
      <c r="N75" s="26">
        <v>237.6</v>
      </c>
    </row>
    <row r="76" spans="4:14">
      <c r="D76" s="21"/>
      <c r="E76" s="22"/>
      <c r="F76" s="22"/>
      <c r="G76" s="22"/>
      <c r="H76" s="22"/>
      <c r="I76" s="22"/>
      <c r="J76" s="30" t="s">
        <v>39</v>
      </c>
      <c r="K76" s="24" t="s">
        <v>40</v>
      </c>
      <c r="L76" s="25">
        <v>70.4</v>
      </c>
      <c r="M76" s="26"/>
      <c r="N76" s="26"/>
    </row>
    <row r="77" spans="4:14">
      <c r="D77" s="21"/>
      <c r="E77" s="22"/>
      <c r="F77" s="22"/>
      <c r="G77" s="22"/>
      <c r="H77" s="22"/>
      <c r="I77" s="22"/>
      <c r="J77" s="28" t="s">
        <v>28</v>
      </c>
      <c r="K77" s="24">
        <v>1</v>
      </c>
      <c r="L77" s="25">
        <v>17.6</v>
      </c>
      <c r="M77" s="26"/>
      <c r="N77" s="26"/>
    </row>
    <row r="78" spans="4:14">
      <c r="D78" s="21"/>
      <c r="E78" s="22"/>
      <c r="F78" s="22"/>
      <c r="G78" s="22"/>
      <c r="H78" s="22"/>
      <c r="I78" s="22"/>
      <c r="J78" s="28" t="s">
        <v>28</v>
      </c>
      <c r="K78" s="24">
        <v>1</v>
      </c>
      <c r="L78" s="25">
        <v>17.6</v>
      </c>
      <c r="M78" s="26"/>
      <c r="N78" s="26"/>
    </row>
    <row r="79" spans="4:14">
      <c r="D79" s="21">
        <v>46104</v>
      </c>
      <c r="E79" s="22">
        <v>1588469</v>
      </c>
      <c r="F79" s="22" t="s">
        <v>30</v>
      </c>
      <c r="G79" s="22">
        <v>20391366</v>
      </c>
      <c r="H79" s="22" t="s">
        <v>71</v>
      </c>
      <c r="I79" s="22">
        <v>4</v>
      </c>
      <c r="J79" s="28" t="s">
        <v>18</v>
      </c>
      <c r="K79" s="24">
        <f>M79/L79</f>
        <v>26</v>
      </c>
      <c r="L79" s="25">
        <v>4.4</v>
      </c>
      <c r="M79" s="26">
        <v>114.4</v>
      </c>
      <c r="N79" s="26">
        <v>457.6</v>
      </c>
    </row>
    <row r="80" spans="4:14">
      <c r="D80" s="21">
        <v>46104</v>
      </c>
      <c r="E80" s="22">
        <v>1588469</v>
      </c>
      <c r="F80" s="22" t="s">
        <v>20</v>
      </c>
      <c r="G80" s="22">
        <v>20324428</v>
      </c>
      <c r="H80" s="22" t="s">
        <v>44</v>
      </c>
      <c r="I80" s="22">
        <v>2</v>
      </c>
      <c r="J80" s="23" t="s">
        <v>22</v>
      </c>
      <c r="K80" s="24">
        <v>1</v>
      </c>
      <c r="L80" s="25">
        <v>6.4</v>
      </c>
      <c r="M80" s="26">
        <v>6.4</v>
      </c>
      <c r="N80" s="26">
        <v>12.8</v>
      </c>
    </row>
    <row r="81" spans="4:14">
      <c r="D81" s="21">
        <v>46104</v>
      </c>
      <c r="E81" s="22">
        <v>1588469</v>
      </c>
      <c r="F81" s="22" t="s">
        <v>20</v>
      </c>
      <c r="G81" s="22">
        <v>20342182</v>
      </c>
      <c r="H81" s="22" t="s">
        <v>58</v>
      </c>
      <c r="I81" s="22">
        <v>1</v>
      </c>
      <c r="J81" s="23" t="s">
        <v>22</v>
      </c>
      <c r="K81" s="24">
        <v>1</v>
      </c>
      <c r="L81" s="25">
        <v>6.4</v>
      </c>
      <c r="M81" s="26">
        <v>6.4</v>
      </c>
      <c r="N81" s="26">
        <v>6.4</v>
      </c>
    </row>
    <row r="82" spans="4:14">
      <c r="D82" s="21">
        <v>46104</v>
      </c>
      <c r="E82" s="22">
        <v>1588469</v>
      </c>
      <c r="F82" s="22" t="s">
        <v>20</v>
      </c>
      <c r="G82" s="22">
        <v>20324445</v>
      </c>
      <c r="H82" s="22" t="s">
        <v>32</v>
      </c>
      <c r="I82" s="22">
        <v>1</v>
      </c>
      <c r="J82" s="23" t="s">
        <v>22</v>
      </c>
      <c r="K82" s="24">
        <v>1</v>
      </c>
      <c r="L82" s="25">
        <v>6.4</v>
      </c>
      <c r="M82" s="26">
        <v>6.4</v>
      </c>
      <c r="N82" s="26">
        <v>6.4</v>
      </c>
    </row>
    <row r="83" spans="4:14">
      <c r="D83" s="21">
        <v>46104</v>
      </c>
      <c r="E83" s="22">
        <v>1588469</v>
      </c>
      <c r="F83" s="22" t="s">
        <v>20</v>
      </c>
      <c r="G83" s="22">
        <v>20324855</v>
      </c>
      <c r="H83" s="22" t="s">
        <v>33</v>
      </c>
      <c r="I83" s="22">
        <v>1</v>
      </c>
      <c r="J83" s="23" t="s">
        <v>22</v>
      </c>
      <c r="K83" s="24">
        <v>1</v>
      </c>
      <c r="L83" s="25">
        <v>6.4</v>
      </c>
      <c r="M83" s="26">
        <v>6.4</v>
      </c>
      <c r="N83" s="26">
        <v>6.4</v>
      </c>
    </row>
    <row r="84" ht="25.5" spans="4:14">
      <c r="D84" s="21">
        <v>46104</v>
      </c>
      <c r="E84" s="22">
        <v>1588469</v>
      </c>
      <c r="F84" s="22" t="s">
        <v>20</v>
      </c>
      <c r="G84" s="22">
        <v>20332066</v>
      </c>
      <c r="H84" s="22" t="s">
        <v>74</v>
      </c>
      <c r="I84" s="22">
        <v>1</v>
      </c>
      <c r="J84" s="28" t="s">
        <v>18</v>
      </c>
      <c r="K84" s="24">
        <f>M84/L84</f>
        <v>107</v>
      </c>
      <c r="L84" s="25">
        <v>4.4</v>
      </c>
      <c r="M84" s="26">
        <v>470.8</v>
      </c>
      <c r="N84" s="26">
        <v>470.8</v>
      </c>
    </row>
    <row r="85" ht="25.5" spans="4:14">
      <c r="D85" s="21">
        <v>46104</v>
      </c>
      <c r="E85" s="22">
        <v>1588469</v>
      </c>
      <c r="F85" s="22" t="s">
        <v>20</v>
      </c>
      <c r="G85" s="22">
        <v>20336649</v>
      </c>
      <c r="H85" s="22" t="s">
        <v>75</v>
      </c>
      <c r="I85" s="22">
        <v>1</v>
      </c>
      <c r="J85" s="28" t="s">
        <v>18</v>
      </c>
      <c r="K85" s="24">
        <f>M85/L85</f>
        <v>68</v>
      </c>
      <c r="L85" s="25">
        <v>4.4</v>
      </c>
      <c r="M85" s="26">
        <v>299.2</v>
      </c>
      <c r="N85" s="26">
        <v>299.2</v>
      </c>
    </row>
    <row r="86" spans="4:14">
      <c r="D86" s="21">
        <v>46106</v>
      </c>
      <c r="E86" s="22">
        <v>1588810</v>
      </c>
      <c r="F86" s="22" t="s">
        <v>30</v>
      </c>
      <c r="G86" s="22">
        <v>20391366</v>
      </c>
      <c r="H86" s="22" t="s">
        <v>71</v>
      </c>
      <c r="I86" s="22">
        <v>3</v>
      </c>
      <c r="J86" s="28" t="s">
        <v>18</v>
      </c>
      <c r="K86" s="24">
        <f t="shared" ref="K86:K91" si="7">M86/L86</f>
        <v>26</v>
      </c>
      <c r="L86" s="25">
        <v>4.4</v>
      </c>
      <c r="M86" s="26">
        <v>114.4</v>
      </c>
      <c r="N86" s="26">
        <v>343.2</v>
      </c>
    </row>
    <row r="87" spans="4:14">
      <c r="D87" s="21">
        <v>46106</v>
      </c>
      <c r="E87" s="22">
        <v>1588810</v>
      </c>
      <c r="F87" s="22" t="s">
        <v>20</v>
      </c>
      <c r="G87" s="22">
        <v>20324445</v>
      </c>
      <c r="H87" s="22" t="s">
        <v>32</v>
      </c>
      <c r="I87" s="22">
        <v>2</v>
      </c>
      <c r="J87" s="23" t="s">
        <v>22</v>
      </c>
      <c r="K87" s="24">
        <v>1</v>
      </c>
      <c r="L87" s="25">
        <v>6.4</v>
      </c>
      <c r="M87" s="26">
        <v>6.4</v>
      </c>
      <c r="N87" s="26">
        <v>12.8</v>
      </c>
    </row>
    <row r="88" ht="25.5" spans="4:14">
      <c r="D88" s="21">
        <v>46106</v>
      </c>
      <c r="E88" s="22">
        <v>1588810</v>
      </c>
      <c r="F88" s="22" t="s">
        <v>20</v>
      </c>
      <c r="G88" s="22">
        <v>20331277</v>
      </c>
      <c r="H88" s="22" t="s">
        <v>76</v>
      </c>
      <c r="I88" s="22">
        <v>1</v>
      </c>
      <c r="J88" s="28" t="s">
        <v>18</v>
      </c>
      <c r="K88" s="24">
        <f t="shared" si="7"/>
        <v>61</v>
      </c>
      <c r="L88" s="25">
        <v>4.4</v>
      </c>
      <c r="M88" s="26">
        <v>268.4</v>
      </c>
      <c r="N88" s="26">
        <v>268.4</v>
      </c>
    </row>
    <row r="89" spans="4:14">
      <c r="D89" s="21">
        <v>46106</v>
      </c>
      <c r="E89" s="22">
        <v>1588810</v>
      </c>
      <c r="F89" s="22" t="s">
        <v>55</v>
      </c>
      <c r="G89" s="22">
        <v>20324955</v>
      </c>
      <c r="H89" s="22" t="s">
        <v>77</v>
      </c>
      <c r="I89" s="22">
        <v>1</v>
      </c>
      <c r="J89" s="28" t="s">
        <v>78</v>
      </c>
      <c r="K89" s="24">
        <v>1</v>
      </c>
      <c r="L89" s="25">
        <v>2</v>
      </c>
      <c r="M89" s="26">
        <v>2</v>
      </c>
      <c r="N89" s="26">
        <v>2</v>
      </c>
    </row>
    <row r="90" spans="4:14">
      <c r="D90" s="21">
        <v>46106</v>
      </c>
      <c r="E90" s="22">
        <v>1589157</v>
      </c>
      <c r="F90" s="22" t="s">
        <v>30</v>
      </c>
      <c r="G90" s="22">
        <v>20391366</v>
      </c>
      <c r="H90" s="22" t="s">
        <v>71</v>
      </c>
      <c r="I90" s="22">
        <v>3</v>
      </c>
      <c r="J90" s="28" t="s">
        <v>18</v>
      </c>
      <c r="K90" s="24">
        <f t="shared" si="7"/>
        <v>26</v>
      </c>
      <c r="L90" s="25">
        <v>4.4</v>
      </c>
      <c r="M90" s="26">
        <v>114.4</v>
      </c>
      <c r="N90" s="26">
        <v>343.2</v>
      </c>
    </row>
    <row r="91" ht="25.5" spans="4:14">
      <c r="D91" s="21">
        <v>46106</v>
      </c>
      <c r="E91" s="22">
        <v>1589157</v>
      </c>
      <c r="F91" s="22" t="s">
        <v>20</v>
      </c>
      <c r="G91" s="22">
        <v>20325852</v>
      </c>
      <c r="H91" s="22" t="s">
        <v>79</v>
      </c>
      <c r="I91" s="22">
        <v>1</v>
      </c>
      <c r="J91" s="28" t="s">
        <v>18</v>
      </c>
      <c r="K91" s="24">
        <f t="shared" si="7"/>
        <v>71</v>
      </c>
      <c r="L91" s="25">
        <v>4.4</v>
      </c>
      <c r="M91" s="26">
        <v>312.4</v>
      </c>
      <c r="N91" s="26">
        <v>312.4</v>
      </c>
    </row>
    <row r="92" spans="4:14">
      <c r="D92" s="21">
        <v>46107</v>
      </c>
      <c r="E92" s="22">
        <v>1589212</v>
      </c>
      <c r="F92" s="22" t="s">
        <v>20</v>
      </c>
      <c r="G92" s="22">
        <v>20324428</v>
      </c>
      <c r="H92" s="22" t="s">
        <v>44</v>
      </c>
      <c r="I92" s="22">
        <v>1</v>
      </c>
      <c r="J92" s="23" t="s">
        <v>22</v>
      </c>
      <c r="K92" s="24">
        <v>1</v>
      </c>
      <c r="L92" s="25">
        <v>6.4</v>
      </c>
      <c r="M92" s="26">
        <v>6.4</v>
      </c>
      <c r="N92" s="26">
        <v>6.4</v>
      </c>
    </row>
    <row r="93" spans="4:14">
      <c r="D93" s="21">
        <v>46107</v>
      </c>
      <c r="E93" s="22">
        <v>1589212</v>
      </c>
      <c r="F93" s="22" t="s">
        <v>20</v>
      </c>
      <c r="G93" s="22">
        <v>20324485</v>
      </c>
      <c r="H93" s="22" t="s">
        <v>41</v>
      </c>
      <c r="I93" s="22">
        <v>1</v>
      </c>
      <c r="J93" s="23" t="s">
        <v>22</v>
      </c>
      <c r="K93" s="24">
        <v>1</v>
      </c>
      <c r="L93" s="25">
        <v>6.4</v>
      </c>
      <c r="M93" s="26">
        <v>6.4</v>
      </c>
      <c r="N93" s="26">
        <v>6.4</v>
      </c>
    </row>
    <row r="94" spans="4:14">
      <c r="D94" s="21">
        <v>46108</v>
      </c>
      <c r="E94" s="22">
        <v>1589541</v>
      </c>
      <c r="F94" s="22" t="s">
        <v>30</v>
      </c>
      <c r="G94" s="22">
        <v>20391366</v>
      </c>
      <c r="H94" s="22" t="s">
        <v>71</v>
      </c>
      <c r="I94" s="22">
        <v>4</v>
      </c>
      <c r="J94" s="28" t="s">
        <v>18</v>
      </c>
      <c r="K94" s="24">
        <f>M94/L94</f>
        <v>26</v>
      </c>
      <c r="L94" s="25">
        <v>4.4</v>
      </c>
      <c r="M94" s="26">
        <v>114.4</v>
      </c>
      <c r="N94" s="26">
        <v>457.6</v>
      </c>
    </row>
    <row r="95" spans="4:14">
      <c r="D95" s="21">
        <v>46108</v>
      </c>
      <c r="E95" s="22">
        <v>1589541</v>
      </c>
      <c r="F95" s="22" t="s">
        <v>20</v>
      </c>
      <c r="G95" s="22">
        <v>20342184</v>
      </c>
      <c r="H95" s="22" t="s">
        <v>80</v>
      </c>
      <c r="I95" s="22">
        <v>1</v>
      </c>
      <c r="J95" s="23" t="s">
        <v>22</v>
      </c>
      <c r="K95" s="24">
        <v>1</v>
      </c>
      <c r="L95" s="25">
        <v>6.4</v>
      </c>
      <c r="M95" s="26">
        <v>6.4</v>
      </c>
      <c r="N95" s="26">
        <v>6.4</v>
      </c>
    </row>
    <row r="96" spans="4:14">
      <c r="D96" s="21">
        <v>46108</v>
      </c>
      <c r="E96" s="22">
        <v>1589541</v>
      </c>
      <c r="F96" s="22" t="s">
        <v>20</v>
      </c>
      <c r="G96" s="22">
        <v>20342183</v>
      </c>
      <c r="H96" s="22" t="s">
        <v>81</v>
      </c>
      <c r="I96" s="22">
        <v>2</v>
      </c>
      <c r="J96" s="23" t="s">
        <v>22</v>
      </c>
      <c r="K96" s="24">
        <v>1</v>
      </c>
      <c r="L96" s="25">
        <v>6.4</v>
      </c>
      <c r="M96" s="26">
        <v>6.4</v>
      </c>
      <c r="N96" s="26">
        <v>12.8</v>
      </c>
    </row>
    <row r="97" spans="4:14">
      <c r="D97" s="21">
        <v>46108</v>
      </c>
      <c r="E97" s="22">
        <v>1589541</v>
      </c>
      <c r="F97" s="22" t="s">
        <v>20</v>
      </c>
      <c r="G97" s="22">
        <v>20324428</v>
      </c>
      <c r="H97" s="22" t="s">
        <v>44</v>
      </c>
      <c r="I97" s="22">
        <v>11</v>
      </c>
      <c r="J97" s="23" t="s">
        <v>22</v>
      </c>
      <c r="K97" s="24">
        <v>1</v>
      </c>
      <c r="L97" s="25">
        <v>6.4</v>
      </c>
      <c r="M97" s="26">
        <v>6.4</v>
      </c>
      <c r="N97" s="26">
        <v>70.4</v>
      </c>
    </row>
    <row r="98" spans="4:14">
      <c r="D98" s="21">
        <v>46108</v>
      </c>
      <c r="E98" s="22">
        <v>1589541</v>
      </c>
      <c r="F98" s="22" t="s">
        <v>20</v>
      </c>
      <c r="G98" s="22">
        <v>20342182</v>
      </c>
      <c r="H98" s="22" t="s">
        <v>58</v>
      </c>
      <c r="I98" s="22">
        <v>1</v>
      </c>
      <c r="J98" s="23" t="s">
        <v>22</v>
      </c>
      <c r="K98" s="24">
        <v>1</v>
      </c>
      <c r="L98" s="25">
        <v>6.4</v>
      </c>
      <c r="M98" s="26">
        <v>6.4</v>
      </c>
      <c r="N98" s="26">
        <v>6.4</v>
      </c>
    </row>
    <row r="99" spans="4:14">
      <c r="D99" s="21">
        <v>46108</v>
      </c>
      <c r="E99" s="22">
        <v>1589541</v>
      </c>
      <c r="F99" s="22" t="s">
        <v>20</v>
      </c>
      <c r="G99" s="22">
        <v>20324419</v>
      </c>
      <c r="H99" s="22" t="s">
        <v>82</v>
      </c>
      <c r="I99" s="22">
        <v>1</v>
      </c>
      <c r="J99" s="23" t="s">
        <v>22</v>
      </c>
      <c r="K99" s="24">
        <v>1</v>
      </c>
      <c r="L99" s="25">
        <v>6.4</v>
      </c>
      <c r="M99" s="26">
        <v>6.4</v>
      </c>
      <c r="N99" s="26">
        <v>6.4</v>
      </c>
    </row>
    <row r="100" spans="4:14">
      <c r="D100" s="21">
        <v>46108</v>
      </c>
      <c r="E100" s="22">
        <v>1589541</v>
      </c>
      <c r="F100" s="22" t="s">
        <v>20</v>
      </c>
      <c r="G100" s="22">
        <v>20324447</v>
      </c>
      <c r="H100" s="22" t="s">
        <v>83</v>
      </c>
      <c r="I100" s="22">
        <v>1</v>
      </c>
      <c r="J100" s="23" t="s">
        <v>22</v>
      </c>
      <c r="K100" s="24">
        <v>1</v>
      </c>
      <c r="L100" s="25">
        <v>6.4</v>
      </c>
      <c r="M100" s="26">
        <v>6.4</v>
      </c>
      <c r="N100" s="26">
        <v>6.4</v>
      </c>
    </row>
    <row r="101" spans="4:14">
      <c r="D101" s="21">
        <v>46108</v>
      </c>
      <c r="E101" s="22">
        <v>1589541</v>
      </c>
      <c r="F101" s="22" t="s">
        <v>20</v>
      </c>
      <c r="G101" s="22">
        <v>20324364</v>
      </c>
      <c r="H101" s="22" t="s">
        <v>23</v>
      </c>
      <c r="I101" s="22">
        <v>1</v>
      </c>
      <c r="J101" s="23" t="s">
        <v>22</v>
      </c>
      <c r="K101" s="24">
        <v>1</v>
      </c>
      <c r="L101" s="25">
        <v>6.4</v>
      </c>
      <c r="M101" s="26">
        <v>6.4</v>
      </c>
      <c r="N101" s="26">
        <v>6.4</v>
      </c>
    </row>
    <row r="102" spans="4:14">
      <c r="D102" s="21">
        <v>46108</v>
      </c>
      <c r="E102" s="22">
        <v>1589541</v>
      </c>
      <c r="F102" s="22" t="s">
        <v>20</v>
      </c>
      <c r="G102" s="22">
        <v>20324855</v>
      </c>
      <c r="H102" s="22" t="s">
        <v>33</v>
      </c>
      <c r="I102" s="22">
        <v>8</v>
      </c>
      <c r="J102" s="23" t="s">
        <v>22</v>
      </c>
      <c r="K102" s="24">
        <v>1</v>
      </c>
      <c r="L102" s="25">
        <v>6.4</v>
      </c>
      <c r="M102" s="26">
        <v>6.4</v>
      </c>
      <c r="N102" s="26">
        <v>51.2</v>
      </c>
    </row>
    <row r="103" spans="4:14">
      <c r="D103" s="21">
        <v>46108</v>
      </c>
      <c r="E103" s="22">
        <v>1589541</v>
      </c>
      <c r="F103" s="22" t="s">
        <v>20</v>
      </c>
      <c r="G103" s="22">
        <v>20324405</v>
      </c>
      <c r="H103" s="22" t="s">
        <v>26</v>
      </c>
      <c r="I103" s="22">
        <v>5</v>
      </c>
      <c r="J103" s="27" t="s">
        <v>25</v>
      </c>
      <c r="K103" s="24">
        <v>1</v>
      </c>
      <c r="L103" s="25">
        <v>8.8</v>
      </c>
      <c r="M103" s="26">
        <v>8.8</v>
      </c>
      <c r="N103" s="26">
        <v>44</v>
      </c>
    </row>
    <row r="104" spans="4:14">
      <c r="D104" s="21">
        <v>46108</v>
      </c>
      <c r="E104" s="22">
        <v>1589541</v>
      </c>
      <c r="F104" s="22" t="s">
        <v>20</v>
      </c>
      <c r="G104" s="22">
        <v>20324533</v>
      </c>
      <c r="H104" s="22" t="s">
        <v>84</v>
      </c>
      <c r="I104" s="22">
        <v>1</v>
      </c>
      <c r="J104" s="23" t="s">
        <v>22</v>
      </c>
      <c r="K104" s="24">
        <v>1</v>
      </c>
      <c r="L104" s="25">
        <v>6.4</v>
      </c>
      <c r="M104" s="26">
        <v>6.4</v>
      </c>
      <c r="N104" s="26">
        <v>6.4</v>
      </c>
    </row>
    <row r="105" spans="4:14">
      <c r="D105" s="21">
        <v>46108</v>
      </c>
      <c r="E105" s="22">
        <v>1589541</v>
      </c>
      <c r="F105" s="22" t="s">
        <v>20</v>
      </c>
      <c r="G105" s="22">
        <v>20324938</v>
      </c>
      <c r="H105" s="22" t="s">
        <v>85</v>
      </c>
      <c r="I105" s="22">
        <v>1</v>
      </c>
      <c r="J105" s="27" t="s">
        <v>25</v>
      </c>
      <c r="K105" s="24">
        <v>1</v>
      </c>
      <c r="L105" s="25">
        <v>8.8</v>
      </c>
      <c r="M105" s="26">
        <v>8.8</v>
      </c>
      <c r="N105" s="26">
        <v>8.8</v>
      </c>
    </row>
    <row r="106" spans="4:14">
      <c r="D106" s="21">
        <v>46108</v>
      </c>
      <c r="E106" s="22">
        <v>1589541</v>
      </c>
      <c r="F106" s="22" t="s">
        <v>20</v>
      </c>
      <c r="G106" s="22">
        <v>20324950</v>
      </c>
      <c r="H106" s="22" t="s">
        <v>86</v>
      </c>
      <c r="I106" s="22">
        <v>3</v>
      </c>
      <c r="J106" s="27" t="s">
        <v>25</v>
      </c>
      <c r="K106" s="24">
        <v>1</v>
      </c>
      <c r="L106" s="25">
        <v>8.8</v>
      </c>
      <c r="M106" s="26">
        <v>8.8</v>
      </c>
      <c r="N106" s="26">
        <v>26.4</v>
      </c>
    </row>
    <row r="107" spans="4:14">
      <c r="D107" s="21">
        <v>46108</v>
      </c>
      <c r="E107" s="22">
        <v>1589541</v>
      </c>
      <c r="F107" s="22" t="s">
        <v>20</v>
      </c>
      <c r="G107" s="22">
        <v>20328401</v>
      </c>
      <c r="H107" s="22" t="s">
        <v>87</v>
      </c>
      <c r="I107" s="22">
        <v>1</v>
      </c>
      <c r="J107" s="23" t="s">
        <v>22</v>
      </c>
      <c r="K107" s="24">
        <v>1</v>
      </c>
      <c r="L107" s="25">
        <v>6.4</v>
      </c>
      <c r="M107" s="26">
        <v>6.4</v>
      </c>
      <c r="N107" s="26">
        <v>6.4</v>
      </c>
    </row>
    <row r="108" spans="4:14">
      <c r="D108" s="21">
        <v>46108</v>
      </c>
      <c r="E108" s="22">
        <v>1589541</v>
      </c>
      <c r="F108" s="22" t="s">
        <v>20</v>
      </c>
      <c r="G108" s="22">
        <v>20324485</v>
      </c>
      <c r="H108" s="22" t="s">
        <v>41</v>
      </c>
      <c r="I108" s="22">
        <v>1</v>
      </c>
      <c r="J108" s="23" t="s">
        <v>22</v>
      </c>
      <c r="K108" s="24">
        <v>1</v>
      </c>
      <c r="L108" s="25">
        <v>6.4</v>
      </c>
      <c r="M108" s="26">
        <v>6.4</v>
      </c>
      <c r="N108" s="26">
        <v>6.4</v>
      </c>
    </row>
    <row r="109" ht="25.5" spans="4:14">
      <c r="D109" s="21">
        <v>46108</v>
      </c>
      <c r="E109" s="22">
        <v>1589541</v>
      </c>
      <c r="F109" s="22" t="s">
        <v>20</v>
      </c>
      <c r="G109" s="22">
        <v>20326302</v>
      </c>
      <c r="H109" s="22" t="s">
        <v>88</v>
      </c>
      <c r="I109" s="22">
        <v>1</v>
      </c>
      <c r="J109" s="28" t="s">
        <v>18</v>
      </c>
      <c r="K109" s="24">
        <f>M109/L109</f>
        <v>54</v>
      </c>
      <c r="L109" s="25">
        <v>4.4</v>
      </c>
      <c r="M109" s="26">
        <v>237.6</v>
      </c>
      <c r="N109" s="26">
        <v>237.6</v>
      </c>
    </row>
    <row r="110" spans="4:14">
      <c r="D110" s="21">
        <v>46108</v>
      </c>
      <c r="E110" s="22">
        <v>1589622</v>
      </c>
      <c r="F110" s="22" t="s">
        <v>20</v>
      </c>
      <c r="G110" s="22">
        <v>20327039</v>
      </c>
      <c r="H110" s="22" t="s">
        <v>89</v>
      </c>
      <c r="I110" s="22">
        <v>1</v>
      </c>
      <c r="J110" s="30" t="s">
        <v>51</v>
      </c>
      <c r="K110" s="24" t="s">
        <v>52</v>
      </c>
      <c r="L110" s="25">
        <v>240</v>
      </c>
      <c r="M110" s="26">
        <v>257.6</v>
      </c>
      <c r="N110" s="26">
        <v>257.6</v>
      </c>
    </row>
    <row r="111" spans="4:14">
      <c r="D111" s="21"/>
      <c r="E111" s="22"/>
      <c r="F111" s="22"/>
      <c r="G111" s="22"/>
      <c r="H111" s="22"/>
      <c r="I111" s="22"/>
      <c r="J111" s="28" t="s">
        <v>28</v>
      </c>
      <c r="K111" s="24">
        <v>1</v>
      </c>
      <c r="L111" s="25">
        <v>17.6</v>
      </c>
      <c r="M111" s="26"/>
      <c r="N111" s="26"/>
    </row>
    <row r="112" spans="4:14">
      <c r="D112" s="21">
        <v>46108</v>
      </c>
      <c r="E112" s="22">
        <v>1589943</v>
      </c>
      <c r="F112" s="22" t="s">
        <v>30</v>
      </c>
      <c r="G112" s="22">
        <v>20391366</v>
      </c>
      <c r="H112" s="22" t="s">
        <v>71</v>
      </c>
      <c r="I112" s="22">
        <v>3</v>
      </c>
      <c r="J112" s="28" t="s">
        <v>18</v>
      </c>
      <c r="K112" s="24">
        <f>M112/L112</f>
        <v>26</v>
      </c>
      <c r="L112" s="25">
        <v>4.4</v>
      </c>
      <c r="M112" s="26">
        <v>114.4</v>
      </c>
      <c r="N112" s="26">
        <v>343.2</v>
      </c>
    </row>
    <row r="113" spans="4:14">
      <c r="D113" s="21">
        <v>46108</v>
      </c>
      <c r="E113" s="22">
        <v>1589943</v>
      </c>
      <c r="F113" s="22" t="s">
        <v>20</v>
      </c>
      <c r="G113" s="22">
        <v>20324428</v>
      </c>
      <c r="H113" s="22" t="s">
        <v>44</v>
      </c>
      <c r="I113" s="22">
        <v>4</v>
      </c>
      <c r="J113" s="23" t="s">
        <v>22</v>
      </c>
      <c r="K113" s="24">
        <v>1</v>
      </c>
      <c r="L113" s="25">
        <v>6.4</v>
      </c>
      <c r="M113" s="26">
        <v>6.4</v>
      </c>
      <c r="N113" s="26">
        <v>25.6</v>
      </c>
    </row>
    <row r="114" spans="4:14">
      <c r="D114" s="21">
        <v>46108</v>
      </c>
      <c r="E114" s="22">
        <v>1589943</v>
      </c>
      <c r="F114" s="22" t="s">
        <v>20</v>
      </c>
      <c r="G114" s="22">
        <v>20342182</v>
      </c>
      <c r="H114" s="22" t="s">
        <v>58</v>
      </c>
      <c r="I114" s="22">
        <v>1</v>
      </c>
      <c r="J114" s="23" t="s">
        <v>22</v>
      </c>
      <c r="K114" s="24">
        <v>1</v>
      </c>
      <c r="L114" s="25">
        <v>6.4</v>
      </c>
      <c r="M114" s="26">
        <v>6.4</v>
      </c>
      <c r="N114" s="26">
        <v>6.4</v>
      </c>
    </row>
    <row r="115" spans="4:14">
      <c r="D115" s="21">
        <v>46108</v>
      </c>
      <c r="E115" s="22">
        <v>1589943</v>
      </c>
      <c r="F115" s="22" t="s">
        <v>20</v>
      </c>
      <c r="G115" s="22">
        <v>20324364</v>
      </c>
      <c r="H115" s="22" t="s">
        <v>23</v>
      </c>
      <c r="I115" s="22">
        <v>1</v>
      </c>
      <c r="J115" s="23" t="s">
        <v>22</v>
      </c>
      <c r="K115" s="24">
        <v>1</v>
      </c>
      <c r="L115" s="25">
        <v>6.4</v>
      </c>
      <c r="M115" s="26">
        <v>6.4</v>
      </c>
      <c r="N115" s="26">
        <v>6.4</v>
      </c>
    </row>
    <row r="116" spans="4:14">
      <c r="D116" s="21">
        <v>46108</v>
      </c>
      <c r="E116" s="22">
        <v>1589943</v>
      </c>
      <c r="F116" s="22" t="s">
        <v>20</v>
      </c>
      <c r="G116" s="22">
        <v>20324485</v>
      </c>
      <c r="H116" s="22" t="s">
        <v>41</v>
      </c>
      <c r="I116" s="22">
        <v>1</v>
      </c>
      <c r="J116" s="23" t="s">
        <v>22</v>
      </c>
      <c r="K116" s="24">
        <v>1</v>
      </c>
      <c r="L116" s="25">
        <v>6.4</v>
      </c>
      <c r="M116" s="26">
        <v>6.4</v>
      </c>
      <c r="N116" s="26">
        <v>6.4</v>
      </c>
    </row>
    <row r="117" ht="25.5" spans="4:14">
      <c r="D117" s="21">
        <v>46108</v>
      </c>
      <c r="E117" s="22">
        <v>1589953</v>
      </c>
      <c r="F117" s="22" t="s">
        <v>20</v>
      </c>
      <c r="G117" s="22">
        <v>20326302</v>
      </c>
      <c r="H117" s="22" t="s">
        <v>90</v>
      </c>
      <c r="I117" s="22">
        <v>1</v>
      </c>
      <c r="J117" s="28" t="s">
        <v>18</v>
      </c>
      <c r="K117" s="24">
        <f t="shared" ref="K117:K123" si="8">M117/L117</f>
        <v>76</v>
      </c>
      <c r="L117" s="25">
        <v>4.4</v>
      </c>
      <c r="M117" s="26">
        <v>334.4</v>
      </c>
      <c r="N117" s="26">
        <v>334.4</v>
      </c>
    </row>
    <row r="118" spans="4:14">
      <c r="D118" s="21">
        <v>46111</v>
      </c>
      <c r="E118" s="22">
        <v>1590443</v>
      </c>
      <c r="F118" s="22" t="s">
        <v>30</v>
      </c>
      <c r="G118" s="22">
        <v>20391366</v>
      </c>
      <c r="H118" s="22" t="s">
        <v>71</v>
      </c>
      <c r="I118" s="22">
        <v>3</v>
      </c>
      <c r="J118" s="28" t="s">
        <v>18</v>
      </c>
      <c r="K118" s="24">
        <f t="shared" si="8"/>
        <v>26</v>
      </c>
      <c r="L118" s="25">
        <v>4.4</v>
      </c>
      <c r="M118" s="26">
        <v>114.4</v>
      </c>
      <c r="N118" s="26">
        <v>343.2</v>
      </c>
    </row>
    <row r="119" spans="4:14">
      <c r="D119" s="21">
        <v>46111</v>
      </c>
      <c r="E119" s="22">
        <v>1590443</v>
      </c>
      <c r="F119" s="22" t="s">
        <v>20</v>
      </c>
      <c r="G119" s="22">
        <v>20324428</v>
      </c>
      <c r="H119" s="22" t="s">
        <v>44</v>
      </c>
      <c r="I119" s="22">
        <v>3</v>
      </c>
      <c r="J119" s="23" t="s">
        <v>22</v>
      </c>
      <c r="K119" s="24">
        <v>1</v>
      </c>
      <c r="L119" s="25">
        <v>6.4</v>
      </c>
      <c r="M119" s="26">
        <v>6.4</v>
      </c>
      <c r="N119" s="26">
        <v>19.2</v>
      </c>
    </row>
    <row r="120" spans="4:14">
      <c r="D120" s="21">
        <v>46111</v>
      </c>
      <c r="E120" s="22">
        <v>1590443</v>
      </c>
      <c r="F120" s="22" t="s">
        <v>20</v>
      </c>
      <c r="G120" s="22">
        <v>20324363</v>
      </c>
      <c r="H120" s="22" t="s">
        <v>91</v>
      </c>
      <c r="I120" s="22">
        <v>1</v>
      </c>
      <c r="J120" s="23" t="s">
        <v>22</v>
      </c>
      <c r="K120" s="24">
        <v>1</v>
      </c>
      <c r="L120" s="25">
        <v>6.4</v>
      </c>
      <c r="M120" s="26">
        <v>6.4</v>
      </c>
      <c r="N120" s="26">
        <v>6.4</v>
      </c>
    </row>
    <row r="121" spans="4:14">
      <c r="D121" s="21">
        <v>46111</v>
      </c>
      <c r="E121" s="22">
        <v>1590443</v>
      </c>
      <c r="F121" s="22" t="s">
        <v>20</v>
      </c>
      <c r="G121" s="22">
        <v>20324485</v>
      </c>
      <c r="H121" s="22" t="s">
        <v>41</v>
      </c>
      <c r="I121" s="22">
        <v>2</v>
      </c>
      <c r="J121" s="23" t="s">
        <v>22</v>
      </c>
      <c r="K121" s="24">
        <v>1</v>
      </c>
      <c r="L121" s="25">
        <v>6.4</v>
      </c>
      <c r="M121" s="26">
        <v>6.4</v>
      </c>
      <c r="N121" s="26">
        <v>12.8</v>
      </c>
    </row>
    <row r="122" ht="25.5" spans="4:14">
      <c r="D122" s="21">
        <v>46111</v>
      </c>
      <c r="E122" s="22">
        <v>1590455</v>
      </c>
      <c r="F122" s="22" t="s">
        <v>20</v>
      </c>
      <c r="G122" s="22">
        <v>20325852</v>
      </c>
      <c r="H122" s="22" t="s">
        <v>92</v>
      </c>
      <c r="I122" s="22">
        <v>1</v>
      </c>
      <c r="J122" s="28" t="s">
        <v>18</v>
      </c>
      <c r="K122" s="24">
        <f t="shared" si="8"/>
        <v>102</v>
      </c>
      <c r="L122" s="25">
        <v>4.4</v>
      </c>
      <c r="M122" s="26">
        <v>448.8</v>
      </c>
      <c r="N122" s="26">
        <v>448.8</v>
      </c>
    </row>
    <row r="123" spans="4:14">
      <c r="D123" s="21">
        <v>46112</v>
      </c>
      <c r="E123" s="22">
        <v>1590878</v>
      </c>
      <c r="F123" s="22" t="s">
        <v>30</v>
      </c>
      <c r="G123" s="22">
        <v>20391366</v>
      </c>
      <c r="H123" s="22" t="s">
        <v>71</v>
      </c>
      <c r="I123" s="22">
        <v>4</v>
      </c>
      <c r="J123" s="28" t="s">
        <v>18</v>
      </c>
      <c r="K123" s="24">
        <f t="shared" si="8"/>
        <v>26</v>
      </c>
      <c r="L123" s="25">
        <v>4.4</v>
      </c>
      <c r="M123" s="26">
        <v>114.4</v>
      </c>
      <c r="N123" s="26">
        <v>457.6</v>
      </c>
    </row>
    <row r="124" spans="4:14">
      <c r="D124" s="21">
        <v>46112</v>
      </c>
      <c r="E124" s="22">
        <v>1590878</v>
      </c>
      <c r="F124" s="22" t="s">
        <v>20</v>
      </c>
      <c r="G124" s="22">
        <v>20324428</v>
      </c>
      <c r="H124" s="22" t="s">
        <v>44</v>
      </c>
      <c r="I124" s="22">
        <v>5</v>
      </c>
      <c r="J124" s="23" t="s">
        <v>22</v>
      </c>
      <c r="K124" s="24">
        <v>1</v>
      </c>
      <c r="L124" s="25">
        <v>6.4</v>
      </c>
      <c r="M124" s="26">
        <v>6.4</v>
      </c>
      <c r="N124" s="26">
        <v>32</v>
      </c>
    </row>
    <row r="125" spans="4:14">
      <c r="D125" s="21">
        <v>46112</v>
      </c>
      <c r="E125" s="22">
        <v>1590878</v>
      </c>
      <c r="F125" s="22" t="s">
        <v>20</v>
      </c>
      <c r="G125" s="22">
        <v>20324485</v>
      </c>
      <c r="H125" s="22" t="s">
        <v>41</v>
      </c>
      <c r="I125" s="22">
        <v>1</v>
      </c>
      <c r="J125" s="23" t="s">
        <v>22</v>
      </c>
      <c r="K125" s="24">
        <v>1</v>
      </c>
      <c r="L125" s="25">
        <v>6.4</v>
      </c>
      <c r="M125" s="26">
        <v>6.4</v>
      </c>
      <c r="N125" s="26">
        <v>6.4</v>
      </c>
    </row>
    <row r="126" ht="25.5" spans="4:14">
      <c r="D126" s="21">
        <v>46112</v>
      </c>
      <c r="E126" s="22">
        <v>1590878</v>
      </c>
      <c r="F126" s="22" t="s">
        <v>20</v>
      </c>
      <c r="G126" s="22">
        <v>20331277</v>
      </c>
      <c r="H126" s="22" t="s">
        <v>93</v>
      </c>
      <c r="I126" s="22">
        <v>1</v>
      </c>
      <c r="J126" s="28" t="s">
        <v>18</v>
      </c>
      <c r="K126" s="24">
        <f>M126/L126</f>
        <v>65</v>
      </c>
      <c r="L126" s="25">
        <v>4.4</v>
      </c>
      <c r="M126" s="26">
        <v>286</v>
      </c>
      <c r="N126" s="26">
        <v>286</v>
      </c>
    </row>
  </sheetData>
  <autoFilter xmlns:etc="http://www.wps.cn/officeDocument/2017/etCustomData" ref="A7:N126" etc:filterBottomFollowUsedRange="0">
    <extLst/>
  </autoFilter>
  <mergeCells count="45">
    <mergeCell ref="D8:H8"/>
    <mergeCell ref="C7:C126"/>
    <mergeCell ref="D14:D17"/>
    <mergeCell ref="D26:D29"/>
    <mergeCell ref="D38:D40"/>
    <mergeCell ref="D75:D78"/>
    <mergeCell ref="D110:D111"/>
    <mergeCell ref="E14:E17"/>
    <mergeCell ref="E26:E29"/>
    <mergeCell ref="E38:E40"/>
    <mergeCell ref="E75:E78"/>
    <mergeCell ref="E110:E111"/>
    <mergeCell ref="F14:F17"/>
    <mergeCell ref="F26:F29"/>
    <mergeCell ref="F38:F40"/>
    <mergeCell ref="F75:F78"/>
    <mergeCell ref="F110:F111"/>
    <mergeCell ref="G14:G17"/>
    <mergeCell ref="G26:G29"/>
    <mergeCell ref="G38:G40"/>
    <mergeCell ref="G75:G78"/>
    <mergeCell ref="G110:G111"/>
    <mergeCell ref="H14:H17"/>
    <mergeCell ref="H26:H29"/>
    <mergeCell ref="H38:H40"/>
    <mergeCell ref="H75:H78"/>
    <mergeCell ref="H110:H111"/>
    <mergeCell ref="I14:I17"/>
    <mergeCell ref="I26:I29"/>
    <mergeCell ref="I38:I40"/>
    <mergeCell ref="I75:I78"/>
    <mergeCell ref="I110:I111"/>
    <mergeCell ref="M14:M17"/>
    <mergeCell ref="M26:M29"/>
    <mergeCell ref="M38:M40"/>
    <mergeCell ref="M75:M78"/>
    <mergeCell ref="M110:M111"/>
    <mergeCell ref="N14:N17"/>
    <mergeCell ref="N26:N29"/>
    <mergeCell ref="N38:N40"/>
    <mergeCell ref="N75:N78"/>
    <mergeCell ref="N110:N111"/>
    <mergeCell ref="B4:H5"/>
    <mergeCell ref="C1:H2"/>
    <mergeCell ref="A7:B126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6"/>
  <sheetViews>
    <sheetView showGridLines="0" view="pageBreakPreview" zoomScaleNormal="100" workbookViewId="0">
      <pane ySplit="6" topLeftCell="A106" activePane="bottomLeft" state="frozen"/>
      <selection/>
      <selection pane="bottomLeft" activeCell="N9" sqref="N9:N19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" customWidth="1"/>
    <col min="11" max="11" width="17.125" customWidth="1"/>
    <col min="12" max="12" width="13.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94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433</v>
      </c>
      <c r="J8" s="11"/>
      <c r="K8" s="67"/>
      <c r="L8" s="67"/>
      <c r="M8" s="14"/>
      <c r="N8" s="14">
        <f>SUM(N9:N166)</f>
        <v>35044.8</v>
      </c>
    </row>
    <row r="9" spans="1:14">
      <c r="D9" s="15">
        <v>46083</v>
      </c>
      <c r="E9" s="16">
        <v>1581347</v>
      </c>
      <c r="F9" s="16" t="s">
        <v>30</v>
      </c>
      <c r="G9" s="16">
        <v>20330731</v>
      </c>
      <c r="H9" s="16" t="s">
        <v>31</v>
      </c>
      <c r="I9" s="16">
        <v>1</v>
      </c>
      <c r="J9" s="32" t="s">
        <v>18</v>
      </c>
      <c r="K9" s="18">
        <f t="shared" ref="K9:K15" si="0">M9/L9</f>
        <v>20</v>
      </c>
      <c r="L9" s="19">
        <v>4.4</v>
      </c>
      <c r="M9" s="20">
        <v>88</v>
      </c>
      <c r="N9" s="20">
        <v>88</v>
      </c>
    </row>
    <row r="10" spans="1:14">
      <c r="D10" s="21">
        <v>46083</v>
      </c>
      <c r="E10" s="22">
        <v>1581347</v>
      </c>
      <c r="F10" s="22" t="s">
        <v>30</v>
      </c>
      <c r="G10" s="22">
        <v>20391366</v>
      </c>
      <c r="H10" s="22" t="s">
        <v>71</v>
      </c>
      <c r="I10" s="22">
        <v>1</v>
      </c>
      <c r="J10" s="28" t="s">
        <v>18</v>
      </c>
      <c r="K10" s="24">
        <f t="shared" si="0"/>
        <v>26</v>
      </c>
      <c r="L10" s="25">
        <v>4.4</v>
      </c>
      <c r="M10" s="26">
        <v>114.4</v>
      </c>
      <c r="N10" s="26">
        <v>114.4</v>
      </c>
    </row>
    <row r="11" spans="1:14">
      <c r="D11" s="21">
        <v>46083</v>
      </c>
      <c r="E11" s="22">
        <v>1581347</v>
      </c>
      <c r="F11" s="22" t="s">
        <v>20</v>
      </c>
      <c r="G11" s="22">
        <v>20324370</v>
      </c>
      <c r="H11" s="22" t="s">
        <v>95</v>
      </c>
      <c r="I11" s="22">
        <v>2</v>
      </c>
      <c r="J11" s="23" t="s">
        <v>22</v>
      </c>
      <c r="K11" s="24">
        <v>1</v>
      </c>
      <c r="L11" s="25">
        <v>6.4</v>
      </c>
      <c r="M11" s="26">
        <v>6.4</v>
      </c>
      <c r="N11" s="26">
        <v>12.8</v>
      </c>
    </row>
    <row r="12" spans="1:14">
      <c r="D12" s="21">
        <v>46083</v>
      </c>
      <c r="E12" s="22">
        <v>1581347</v>
      </c>
      <c r="F12" s="22" t="s">
        <v>20</v>
      </c>
      <c r="G12" s="22">
        <v>20324855</v>
      </c>
      <c r="H12" s="22" t="s">
        <v>33</v>
      </c>
      <c r="I12" s="22">
        <v>1</v>
      </c>
      <c r="J12" s="23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21">
        <v>46083</v>
      </c>
      <c r="E13" s="22">
        <v>1581347</v>
      </c>
      <c r="F13" s="22" t="s">
        <v>20</v>
      </c>
      <c r="G13" s="22">
        <v>20324485</v>
      </c>
      <c r="H13" s="22" t="s">
        <v>41</v>
      </c>
      <c r="I13" s="22">
        <v>2</v>
      </c>
      <c r="J13" s="23" t="s">
        <v>22</v>
      </c>
      <c r="K13" s="24">
        <v>1</v>
      </c>
      <c r="L13" s="25">
        <v>6.4</v>
      </c>
      <c r="M13" s="26">
        <v>6.4</v>
      </c>
      <c r="N13" s="26">
        <v>12.8</v>
      </c>
    </row>
    <row r="14" ht="25.5" spans="1:14">
      <c r="D14" s="21">
        <v>46083</v>
      </c>
      <c r="E14" s="22">
        <v>1581347</v>
      </c>
      <c r="F14" s="22" t="s">
        <v>20</v>
      </c>
      <c r="G14" s="22">
        <v>20335080</v>
      </c>
      <c r="H14" s="22" t="s">
        <v>96</v>
      </c>
      <c r="I14" s="22">
        <v>1</v>
      </c>
      <c r="J14" s="28" t="s">
        <v>18</v>
      </c>
      <c r="K14" s="24">
        <f t="shared" si="0"/>
        <v>75</v>
      </c>
      <c r="L14" s="25">
        <v>4.4</v>
      </c>
      <c r="M14" s="26">
        <v>330</v>
      </c>
      <c r="N14" s="26">
        <v>330</v>
      </c>
    </row>
    <row r="15" spans="1:14">
      <c r="D15" s="21">
        <v>46083</v>
      </c>
      <c r="E15" s="22">
        <v>1581552</v>
      </c>
      <c r="F15" s="22" t="s">
        <v>30</v>
      </c>
      <c r="G15" s="22">
        <v>20391366</v>
      </c>
      <c r="H15" s="22" t="s">
        <v>71</v>
      </c>
      <c r="I15" s="22">
        <v>3</v>
      </c>
      <c r="J15" s="28" t="s">
        <v>18</v>
      </c>
      <c r="K15" s="24">
        <f t="shared" si="0"/>
        <v>26</v>
      </c>
      <c r="L15" s="25">
        <v>4.4</v>
      </c>
      <c r="M15" s="26">
        <v>114.4</v>
      </c>
      <c r="N15" s="26">
        <v>343.2</v>
      </c>
    </row>
    <row r="16" spans="1:14">
      <c r="D16" s="21">
        <v>46083</v>
      </c>
      <c r="E16" s="22">
        <v>1581552</v>
      </c>
      <c r="F16" s="22" t="s">
        <v>20</v>
      </c>
      <c r="G16" s="22">
        <v>20350861</v>
      </c>
      <c r="H16" s="22" t="s">
        <v>97</v>
      </c>
      <c r="I16" s="22">
        <v>1</v>
      </c>
      <c r="J16" s="23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46083</v>
      </c>
      <c r="E17" s="22">
        <v>1581552</v>
      </c>
      <c r="F17" s="22" t="s">
        <v>20</v>
      </c>
      <c r="G17" s="22">
        <v>20327890</v>
      </c>
      <c r="H17" s="22" t="s">
        <v>98</v>
      </c>
      <c r="I17" s="22">
        <v>1</v>
      </c>
      <c r="J17" s="23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46083</v>
      </c>
      <c r="E18" s="22">
        <v>1581552</v>
      </c>
      <c r="F18" s="22" t="s">
        <v>20</v>
      </c>
      <c r="G18" s="22">
        <v>20324428</v>
      </c>
      <c r="H18" s="22" t="s">
        <v>44</v>
      </c>
      <c r="I18" s="22">
        <v>2</v>
      </c>
      <c r="J18" s="23" t="s">
        <v>22</v>
      </c>
      <c r="K18" s="24">
        <v>1</v>
      </c>
      <c r="L18" s="25">
        <v>6.4</v>
      </c>
      <c r="M18" s="26">
        <v>6.4</v>
      </c>
      <c r="N18" s="26">
        <v>12.8</v>
      </c>
    </row>
    <row r="19" spans="4:14">
      <c r="D19" s="21">
        <v>46083</v>
      </c>
      <c r="E19" s="22">
        <v>1581552</v>
      </c>
      <c r="F19" s="22" t="s">
        <v>20</v>
      </c>
      <c r="G19" s="22">
        <v>20324855</v>
      </c>
      <c r="H19" s="22" t="s">
        <v>33</v>
      </c>
      <c r="I19" s="22">
        <v>4</v>
      </c>
      <c r="J19" s="23" t="s">
        <v>22</v>
      </c>
      <c r="K19" s="24">
        <v>1</v>
      </c>
      <c r="L19" s="25">
        <v>6.4</v>
      </c>
      <c r="M19" s="26">
        <v>6.4</v>
      </c>
      <c r="N19" s="26">
        <v>25.6</v>
      </c>
    </row>
    <row r="20" spans="4:14">
      <c r="D20" s="21">
        <v>46083</v>
      </c>
      <c r="E20" s="22">
        <v>1581552</v>
      </c>
      <c r="F20" s="22" t="s">
        <v>20</v>
      </c>
      <c r="G20" s="22">
        <v>20324405</v>
      </c>
      <c r="H20" s="22" t="s">
        <v>26</v>
      </c>
      <c r="I20" s="22">
        <v>1</v>
      </c>
      <c r="J20" s="27" t="s">
        <v>25</v>
      </c>
      <c r="K20" s="24">
        <v>1</v>
      </c>
      <c r="L20" s="25">
        <v>8.8</v>
      </c>
      <c r="M20" s="26">
        <v>8.8</v>
      </c>
      <c r="N20" s="26">
        <v>8.8</v>
      </c>
    </row>
    <row r="21" spans="4:14">
      <c r="D21" s="21">
        <v>46083</v>
      </c>
      <c r="E21" s="22">
        <v>1581552</v>
      </c>
      <c r="F21" s="22" t="s">
        <v>20</v>
      </c>
      <c r="G21" s="22">
        <v>20324950</v>
      </c>
      <c r="H21" s="22" t="s">
        <v>86</v>
      </c>
      <c r="I21" s="22">
        <v>1</v>
      </c>
      <c r="J21" s="27" t="s">
        <v>25</v>
      </c>
      <c r="K21" s="24">
        <v>1</v>
      </c>
      <c r="L21" s="25">
        <v>8.8</v>
      </c>
      <c r="M21" s="26">
        <v>8.8</v>
      </c>
      <c r="N21" s="26">
        <v>8.8</v>
      </c>
    </row>
    <row r="22" spans="4:14">
      <c r="D22" s="21">
        <v>46083</v>
      </c>
      <c r="E22" s="22">
        <v>1581552</v>
      </c>
      <c r="F22" s="22" t="s">
        <v>20</v>
      </c>
      <c r="G22" s="22">
        <v>20324485</v>
      </c>
      <c r="H22" s="22" t="s">
        <v>41</v>
      </c>
      <c r="I22" s="22">
        <v>1</v>
      </c>
      <c r="J22" s="23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ht="25.5" spans="4:14">
      <c r="D23" s="21">
        <v>46083</v>
      </c>
      <c r="E23" s="22">
        <v>1581552</v>
      </c>
      <c r="F23" s="22" t="s">
        <v>20</v>
      </c>
      <c r="G23" s="22">
        <v>20327669</v>
      </c>
      <c r="H23" s="22" t="s">
        <v>99</v>
      </c>
      <c r="I23" s="22">
        <v>1</v>
      </c>
      <c r="J23" s="28" t="s">
        <v>18</v>
      </c>
      <c r="K23" s="24">
        <f t="shared" ref="K23:K29" si="1">M23/L23</f>
        <v>64</v>
      </c>
      <c r="L23" s="25">
        <v>4.4</v>
      </c>
      <c r="M23" s="26">
        <v>281.6</v>
      </c>
      <c r="N23" s="26">
        <v>281.6</v>
      </c>
    </row>
    <row r="24" spans="4:14">
      <c r="D24" s="21">
        <v>46083</v>
      </c>
      <c r="E24" s="22">
        <v>1581608</v>
      </c>
      <c r="F24" s="22" t="s">
        <v>20</v>
      </c>
      <c r="G24" s="22">
        <v>20332826</v>
      </c>
      <c r="H24" s="22" t="s">
        <v>100</v>
      </c>
      <c r="I24" s="22">
        <v>3</v>
      </c>
      <c r="J24" s="30" t="s">
        <v>39</v>
      </c>
      <c r="K24" s="24" t="s">
        <v>40</v>
      </c>
      <c r="L24" s="25">
        <v>70.4</v>
      </c>
      <c r="M24" s="26">
        <v>70.4</v>
      </c>
      <c r="N24" s="26">
        <v>211.2</v>
      </c>
    </row>
    <row r="25" spans="4:14">
      <c r="D25" s="21">
        <v>46084</v>
      </c>
      <c r="E25" s="22">
        <v>1581861</v>
      </c>
      <c r="F25" s="22" t="s">
        <v>30</v>
      </c>
      <c r="G25" s="22">
        <v>20391366</v>
      </c>
      <c r="H25" s="22" t="s">
        <v>71</v>
      </c>
      <c r="I25" s="22">
        <v>4</v>
      </c>
      <c r="J25" s="28" t="s">
        <v>18</v>
      </c>
      <c r="K25" s="24">
        <f t="shared" si="1"/>
        <v>26</v>
      </c>
      <c r="L25" s="25">
        <v>4.4</v>
      </c>
      <c r="M25" s="26">
        <v>114.4</v>
      </c>
      <c r="N25" s="26">
        <v>457.6</v>
      </c>
    </row>
    <row r="26" spans="4:14">
      <c r="D26" s="21">
        <v>46084</v>
      </c>
      <c r="E26" s="22">
        <v>1581861</v>
      </c>
      <c r="F26" s="22" t="s">
        <v>20</v>
      </c>
      <c r="G26" s="22">
        <v>20324428</v>
      </c>
      <c r="H26" s="22" t="s">
        <v>44</v>
      </c>
      <c r="I26" s="22">
        <v>1</v>
      </c>
      <c r="J26" s="23" t="s">
        <v>22</v>
      </c>
      <c r="K26" s="24">
        <v>1</v>
      </c>
      <c r="L26" s="25">
        <v>6.4</v>
      </c>
      <c r="M26" s="26">
        <v>6.4</v>
      </c>
      <c r="N26" s="26">
        <v>6.4</v>
      </c>
    </row>
    <row r="27" spans="4:14">
      <c r="D27" s="21">
        <v>46084</v>
      </c>
      <c r="E27" s="22">
        <v>1581861</v>
      </c>
      <c r="F27" s="22" t="s">
        <v>20</v>
      </c>
      <c r="G27" s="22">
        <v>20324855</v>
      </c>
      <c r="H27" s="22" t="s">
        <v>33</v>
      </c>
      <c r="I27" s="22">
        <v>7</v>
      </c>
      <c r="J27" s="23" t="s">
        <v>22</v>
      </c>
      <c r="K27" s="24">
        <v>1</v>
      </c>
      <c r="L27" s="25">
        <v>6.4</v>
      </c>
      <c r="M27" s="26">
        <v>6.4</v>
      </c>
      <c r="N27" s="26">
        <v>44.8</v>
      </c>
    </row>
    <row r="28" ht="25.5" spans="4:14">
      <c r="D28" s="21">
        <v>46084</v>
      </c>
      <c r="E28" s="22">
        <v>1581861</v>
      </c>
      <c r="F28" s="22" t="s">
        <v>20</v>
      </c>
      <c r="G28" s="22">
        <v>20335251</v>
      </c>
      <c r="H28" s="22" t="s">
        <v>101</v>
      </c>
      <c r="I28" s="22">
        <v>1</v>
      </c>
      <c r="J28" s="28" t="s">
        <v>18</v>
      </c>
      <c r="K28" s="24">
        <f t="shared" si="1"/>
        <v>78</v>
      </c>
      <c r="L28" s="25">
        <v>4.4</v>
      </c>
      <c r="M28" s="26">
        <v>343.2</v>
      </c>
      <c r="N28" s="26">
        <v>343.2</v>
      </c>
    </row>
    <row r="29" spans="4:14">
      <c r="D29" s="21">
        <v>46085</v>
      </c>
      <c r="E29" s="22">
        <v>1582171</v>
      </c>
      <c r="F29" s="22" t="s">
        <v>30</v>
      </c>
      <c r="G29" s="22">
        <v>20391366</v>
      </c>
      <c r="H29" s="22" t="s">
        <v>71</v>
      </c>
      <c r="I29" s="22">
        <v>4</v>
      </c>
      <c r="J29" s="28" t="s">
        <v>18</v>
      </c>
      <c r="K29" s="24">
        <f t="shared" si="1"/>
        <v>26</v>
      </c>
      <c r="L29" s="25">
        <v>4.4</v>
      </c>
      <c r="M29" s="26">
        <v>114.4</v>
      </c>
      <c r="N29" s="26">
        <v>457.6</v>
      </c>
    </row>
    <row r="30" spans="4:14">
      <c r="D30" s="21">
        <v>46085</v>
      </c>
      <c r="E30" s="22">
        <v>1582171</v>
      </c>
      <c r="F30" s="22" t="s">
        <v>20</v>
      </c>
      <c r="G30" s="22">
        <v>20324855</v>
      </c>
      <c r="H30" s="22" t="s">
        <v>33</v>
      </c>
      <c r="I30" s="22">
        <v>7</v>
      </c>
      <c r="J30" s="23" t="s">
        <v>22</v>
      </c>
      <c r="K30" s="24">
        <v>1</v>
      </c>
      <c r="L30" s="25">
        <v>6.4</v>
      </c>
      <c r="M30" s="26">
        <v>6.4</v>
      </c>
      <c r="N30" s="26">
        <v>44.8</v>
      </c>
    </row>
    <row r="31" ht="25.5" spans="4:14">
      <c r="D31" s="21">
        <v>46085</v>
      </c>
      <c r="E31" s="22">
        <v>1582171</v>
      </c>
      <c r="F31" s="22" t="s">
        <v>20</v>
      </c>
      <c r="G31" s="22">
        <v>20332831</v>
      </c>
      <c r="H31" s="22" t="s">
        <v>102</v>
      </c>
      <c r="I31" s="22">
        <v>1</v>
      </c>
      <c r="J31" s="28" t="s">
        <v>18</v>
      </c>
      <c r="K31" s="24">
        <f>M31/L31</f>
        <v>107</v>
      </c>
      <c r="L31" s="25">
        <v>4.4</v>
      </c>
      <c r="M31" s="26">
        <v>470.8</v>
      </c>
      <c r="N31" s="26">
        <v>470.8</v>
      </c>
    </row>
    <row r="32" spans="4:14">
      <c r="D32" s="21">
        <v>46085</v>
      </c>
      <c r="E32" s="22">
        <v>1582225</v>
      </c>
      <c r="F32" s="22" t="s">
        <v>20</v>
      </c>
      <c r="G32" s="22">
        <v>20332826</v>
      </c>
      <c r="H32" s="22" t="s">
        <v>100</v>
      </c>
      <c r="I32" s="22">
        <v>3</v>
      </c>
      <c r="J32" s="30" t="s">
        <v>39</v>
      </c>
      <c r="K32" s="24" t="s">
        <v>40</v>
      </c>
      <c r="L32" s="25">
        <v>70.4</v>
      </c>
      <c r="M32" s="26">
        <v>70.4</v>
      </c>
      <c r="N32" s="26">
        <v>211.2</v>
      </c>
    </row>
    <row r="33" spans="4:14">
      <c r="D33" s="21">
        <v>46086</v>
      </c>
      <c r="E33" s="22">
        <v>1582542</v>
      </c>
      <c r="F33" s="22" t="s">
        <v>30</v>
      </c>
      <c r="G33" s="22">
        <v>20391366</v>
      </c>
      <c r="H33" s="22" t="s">
        <v>71</v>
      </c>
      <c r="I33" s="22">
        <v>4</v>
      </c>
      <c r="J33" s="28" t="s">
        <v>18</v>
      </c>
      <c r="K33" s="24">
        <f>M33/L33</f>
        <v>26</v>
      </c>
      <c r="L33" s="25">
        <v>4.4</v>
      </c>
      <c r="M33" s="26">
        <v>114.4</v>
      </c>
      <c r="N33" s="26">
        <v>457.6</v>
      </c>
    </row>
    <row r="34" spans="4:14">
      <c r="D34" s="21">
        <v>46086</v>
      </c>
      <c r="E34" s="22">
        <v>1582542</v>
      </c>
      <c r="F34" s="22" t="s">
        <v>20</v>
      </c>
      <c r="G34" s="22">
        <v>20324370</v>
      </c>
      <c r="H34" s="22" t="s">
        <v>95</v>
      </c>
      <c r="I34" s="22">
        <v>1</v>
      </c>
      <c r="J34" s="23" t="s">
        <v>22</v>
      </c>
      <c r="K34" s="24">
        <v>1</v>
      </c>
      <c r="L34" s="25">
        <v>6.4</v>
      </c>
      <c r="M34" s="26">
        <v>6.4</v>
      </c>
      <c r="N34" s="26">
        <v>6.4</v>
      </c>
    </row>
    <row r="35" spans="4:14">
      <c r="D35" s="21">
        <v>46086</v>
      </c>
      <c r="E35" s="22">
        <v>1582542</v>
      </c>
      <c r="F35" s="22" t="s">
        <v>20</v>
      </c>
      <c r="G35" s="22">
        <v>20324855</v>
      </c>
      <c r="H35" s="22" t="s">
        <v>33</v>
      </c>
      <c r="I35" s="22">
        <v>4</v>
      </c>
      <c r="J35" s="23" t="s">
        <v>22</v>
      </c>
      <c r="K35" s="24">
        <v>1</v>
      </c>
      <c r="L35" s="25">
        <v>6.4</v>
      </c>
      <c r="M35" s="26">
        <v>6.4</v>
      </c>
      <c r="N35" s="26">
        <v>25.6</v>
      </c>
    </row>
    <row r="36" spans="4:14">
      <c r="D36" s="21">
        <v>46086</v>
      </c>
      <c r="E36" s="22">
        <v>1582542</v>
      </c>
      <c r="F36" s="22" t="s">
        <v>20</v>
      </c>
      <c r="G36" s="22">
        <v>20324950</v>
      </c>
      <c r="H36" s="22" t="s">
        <v>86</v>
      </c>
      <c r="I36" s="22">
        <v>1</v>
      </c>
      <c r="J36" s="27" t="s">
        <v>25</v>
      </c>
      <c r="K36" s="24">
        <v>1</v>
      </c>
      <c r="L36" s="25">
        <v>8.8</v>
      </c>
      <c r="M36" s="26">
        <v>8.8</v>
      </c>
      <c r="N36" s="26">
        <v>8.8</v>
      </c>
    </row>
    <row r="37" spans="4:14">
      <c r="D37" s="21">
        <v>46086</v>
      </c>
      <c r="E37" s="22">
        <v>1582542</v>
      </c>
      <c r="F37" s="22" t="s">
        <v>20</v>
      </c>
      <c r="G37" s="22">
        <v>20324485</v>
      </c>
      <c r="H37" s="22" t="s">
        <v>41</v>
      </c>
      <c r="I37" s="22">
        <v>1</v>
      </c>
      <c r="J37" s="23" t="s">
        <v>22</v>
      </c>
      <c r="K37" s="24">
        <v>1</v>
      </c>
      <c r="L37" s="25">
        <v>6.4</v>
      </c>
      <c r="M37" s="26">
        <v>6.4</v>
      </c>
      <c r="N37" s="26">
        <v>6.4</v>
      </c>
    </row>
    <row r="38" ht="25.5" spans="4:14">
      <c r="D38" s="21">
        <v>46086</v>
      </c>
      <c r="E38" s="22">
        <v>1582542</v>
      </c>
      <c r="F38" s="22" t="s">
        <v>20</v>
      </c>
      <c r="G38" s="22">
        <v>20327669</v>
      </c>
      <c r="H38" s="22" t="s">
        <v>103</v>
      </c>
      <c r="I38" s="22">
        <v>1</v>
      </c>
      <c r="J38" s="28" t="s">
        <v>18</v>
      </c>
      <c r="K38" s="24">
        <f t="shared" ref="K38:K40" si="2">M38/L38</f>
        <v>74</v>
      </c>
      <c r="L38" s="25">
        <v>4.4</v>
      </c>
      <c r="M38" s="26">
        <v>325.6</v>
      </c>
      <c r="N38" s="26">
        <v>325.6</v>
      </c>
    </row>
    <row r="39" spans="4:14">
      <c r="D39" s="21">
        <v>46087</v>
      </c>
      <c r="E39" s="22">
        <v>1582873</v>
      </c>
      <c r="F39" s="22" t="s">
        <v>30</v>
      </c>
      <c r="G39" s="22">
        <v>20391366</v>
      </c>
      <c r="H39" s="22" t="s">
        <v>71</v>
      </c>
      <c r="I39" s="22">
        <v>5</v>
      </c>
      <c r="J39" s="28" t="s">
        <v>18</v>
      </c>
      <c r="K39" s="24">
        <f t="shared" si="2"/>
        <v>26</v>
      </c>
      <c r="L39" s="25">
        <v>4.4</v>
      </c>
      <c r="M39" s="26">
        <v>114.4</v>
      </c>
      <c r="N39" s="26">
        <v>572</v>
      </c>
    </row>
    <row r="40" ht="25.5" spans="4:14">
      <c r="D40" s="21">
        <v>46087</v>
      </c>
      <c r="E40" s="22">
        <v>1582873</v>
      </c>
      <c r="F40" s="22" t="s">
        <v>20</v>
      </c>
      <c r="G40" s="22">
        <v>20332831</v>
      </c>
      <c r="H40" s="22" t="s">
        <v>104</v>
      </c>
      <c r="I40" s="22">
        <v>1</v>
      </c>
      <c r="J40" s="28" t="s">
        <v>18</v>
      </c>
      <c r="K40" s="24">
        <f t="shared" si="2"/>
        <v>86</v>
      </c>
      <c r="L40" s="25">
        <v>4.4</v>
      </c>
      <c r="M40" s="26">
        <v>378.4</v>
      </c>
      <c r="N40" s="26">
        <v>378.4</v>
      </c>
    </row>
    <row r="41" spans="4:14">
      <c r="D41" s="21">
        <v>46087</v>
      </c>
      <c r="E41" s="22">
        <v>1582884</v>
      </c>
      <c r="F41" s="22" t="s">
        <v>20</v>
      </c>
      <c r="G41" s="22">
        <v>20324428</v>
      </c>
      <c r="H41" s="22" t="s">
        <v>44</v>
      </c>
      <c r="I41" s="22">
        <v>1</v>
      </c>
      <c r="J41" s="23" t="s">
        <v>22</v>
      </c>
      <c r="K41" s="24">
        <v>1</v>
      </c>
      <c r="L41" s="25">
        <v>6.4</v>
      </c>
      <c r="M41" s="26">
        <v>6.4</v>
      </c>
      <c r="N41" s="26">
        <v>6.4</v>
      </c>
    </row>
    <row r="42" spans="4:14">
      <c r="D42" s="21">
        <v>46088</v>
      </c>
      <c r="E42" s="22">
        <v>1582941</v>
      </c>
      <c r="F42" s="22" t="s">
        <v>20</v>
      </c>
      <c r="G42" s="22">
        <v>20332826</v>
      </c>
      <c r="H42" s="22" t="s">
        <v>100</v>
      </c>
      <c r="I42" s="22">
        <v>4</v>
      </c>
      <c r="J42" s="30" t="s">
        <v>39</v>
      </c>
      <c r="K42" s="24" t="s">
        <v>40</v>
      </c>
      <c r="L42" s="25">
        <v>70.4</v>
      </c>
      <c r="M42" s="26">
        <v>70.4</v>
      </c>
      <c r="N42" s="26">
        <v>281.6</v>
      </c>
    </row>
    <row r="43" spans="4:14">
      <c r="D43" s="21">
        <v>46089</v>
      </c>
      <c r="E43" s="22">
        <v>1583095</v>
      </c>
      <c r="F43" s="22" t="s">
        <v>30</v>
      </c>
      <c r="G43" s="22">
        <v>20391366</v>
      </c>
      <c r="H43" s="22" t="s">
        <v>71</v>
      </c>
      <c r="I43" s="22">
        <v>3</v>
      </c>
      <c r="J43" s="28" t="s">
        <v>18</v>
      </c>
      <c r="K43" s="24">
        <f t="shared" ref="K43:K48" si="3">M43/L43</f>
        <v>26</v>
      </c>
      <c r="L43" s="25">
        <v>4.4</v>
      </c>
      <c r="M43" s="26">
        <v>114.4</v>
      </c>
      <c r="N43" s="26">
        <v>343.2</v>
      </c>
    </row>
    <row r="44" spans="4:14">
      <c r="D44" s="21">
        <v>46089</v>
      </c>
      <c r="E44" s="22">
        <v>1583095</v>
      </c>
      <c r="F44" s="22" t="s">
        <v>20</v>
      </c>
      <c r="G44" s="22">
        <v>20324855</v>
      </c>
      <c r="H44" s="22" t="s">
        <v>33</v>
      </c>
      <c r="I44" s="22">
        <v>5</v>
      </c>
      <c r="J44" s="23" t="s">
        <v>22</v>
      </c>
      <c r="K44" s="24">
        <v>1</v>
      </c>
      <c r="L44" s="25">
        <v>6.4</v>
      </c>
      <c r="M44" s="26">
        <v>6.4</v>
      </c>
      <c r="N44" s="26">
        <v>32</v>
      </c>
    </row>
    <row r="45" spans="4:14">
      <c r="D45" s="21">
        <v>46090</v>
      </c>
      <c r="E45" s="22">
        <v>1583183</v>
      </c>
      <c r="F45" s="22" t="s">
        <v>30</v>
      </c>
      <c r="G45" s="22">
        <v>20391366</v>
      </c>
      <c r="H45" s="22" t="s">
        <v>71</v>
      </c>
      <c r="I45" s="22">
        <v>5</v>
      </c>
      <c r="J45" s="28" t="s">
        <v>18</v>
      </c>
      <c r="K45" s="24">
        <f t="shared" si="3"/>
        <v>26</v>
      </c>
      <c r="L45" s="25">
        <v>4.4</v>
      </c>
      <c r="M45" s="26">
        <v>114.4</v>
      </c>
      <c r="N45" s="26">
        <v>572</v>
      </c>
    </row>
    <row r="46" spans="4:14">
      <c r="D46" s="21">
        <v>46090</v>
      </c>
      <c r="E46" s="22">
        <v>1583183</v>
      </c>
      <c r="F46" s="22" t="s">
        <v>20</v>
      </c>
      <c r="G46" s="22">
        <v>20324855</v>
      </c>
      <c r="H46" s="22" t="s">
        <v>33</v>
      </c>
      <c r="I46" s="22">
        <v>6</v>
      </c>
      <c r="J46" s="23" t="s">
        <v>22</v>
      </c>
      <c r="K46" s="24">
        <v>1</v>
      </c>
      <c r="L46" s="25">
        <v>6.4</v>
      </c>
      <c r="M46" s="26">
        <v>6.4</v>
      </c>
      <c r="N46" s="26">
        <v>38.4</v>
      </c>
    </row>
    <row r="47" spans="4:14">
      <c r="D47" s="21">
        <v>46090</v>
      </c>
      <c r="E47" s="22">
        <v>1583183</v>
      </c>
      <c r="F47" s="22" t="s">
        <v>20</v>
      </c>
      <c r="G47" s="22">
        <v>20332826</v>
      </c>
      <c r="H47" s="22" t="s">
        <v>100</v>
      </c>
      <c r="I47" s="22">
        <v>4</v>
      </c>
      <c r="J47" s="30" t="s">
        <v>39</v>
      </c>
      <c r="K47" s="24" t="s">
        <v>40</v>
      </c>
      <c r="L47" s="25">
        <v>70.4</v>
      </c>
      <c r="M47" s="26">
        <v>70.4</v>
      </c>
      <c r="N47" s="26">
        <v>281.6</v>
      </c>
    </row>
    <row r="48" ht="25.5" spans="4:14">
      <c r="D48" s="21">
        <v>46090</v>
      </c>
      <c r="E48" s="22">
        <v>1583183</v>
      </c>
      <c r="F48" s="22" t="s">
        <v>20</v>
      </c>
      <c r="G48" s="22">
        <v>20332831</v>
      </c>
      <c r="H48" s="22" t="s">
        <v>105</v>
      </c>
      <c r="I48" s="22">
        <v>1</v>
      </c>
      <c r="J48" s="28" t="s">
        <v>18</v>
      </c>
      <c r="K48" s="24">
        <f t="shared" si="3"/>
        <v>153</v>
      </c>
      <c r="L48" s="25">
        <v>4.4</v>
      </c>
      <c r="M48" s="26">
        <v>673.2</v>
      </c>
      <c r="N48" s="26">
        <v>673.2</v>
      </c>
    </row>
    <row r="49" spans="4:14">
      <c r="D49" s="21">
        <v>46090</v>
      </c>
      <c r="E49" s="22">
        <v>1583377</v>
      </c>
      <c r="F49" s="22" t="s">
        <v>30</v>
      </c>
      <c r="G49" s="22">
        <v>20391366</v>
      </c>
      <c r="H49" s="22" t="s">
        <v>71</v>
      </c>
      <c r="I49" s="22">
        <v>3</v>
      </c>
      <c r="J49" s="28" t="s">
        <v>18</v>
      </c>
      <c r="K49" s="24">
        <f t="shared" ref="K49:K54" si="4">M49/L49</f>
        <v>26</v>
      </c>
      <c r="L49" s="25">
        <v>4.4</v>
      </c>
      <c r="M49" s="26">
        <v>114.4</v>
      </c>
      <c r="N49" s="26">
        <v>343.2</v>
      </c>
    </row>
    <row r="50" spans="4:14">
      <c r="D50" s="21">
        <v>46090</v>
      </c>
      <c r="E50" s="22">
        <v>1583377</v>
      </c>
      <c r="F50" s="22" t="s">
        <v>20</v>
      </c>
      <c r="G50" s="22">
        <v>20324855</v>
      </c>
      <c r="H50" s="22" t="s">
        <v>33</v>
      </c>
      <c r="I50" s="22">
        <v>1</v>
      </c>
      <c r="J50" s="23" t="s">
        <v>22</v>
      </c>
      <c r="K50" s="24">
        <v>1</v>
      </c>
      <c r="L50" s="25">
        <v>6.4</v>
      </c>
      <c r="M50" s="26">
        <v>6.4</v>
      </c>
      <c r="N50" s="26">
        <v>6.4</v>
      </c>
    </row>
    <row r="51" ht="25.5" spans="4:14">
      <c r="D51" s="21">
        <v>46090</v>
      </c>
      <c r="E51" s="22">
        <v>1583377</v>
      </c>
      <c r="F51" s="22" t="s">
        <v>20</v>
      </c>
      <c r="G51" s="22">
        <v>20339166</v>
      </c>
      <c r="H51" s="22" t="s">
        <v>106</v>
      </c>
      <c r="I51" s="22">
        <v>1</v>
      </c>
      <c r="J51" s="28" t="s">
        <v>18</v>
      </c>
      <c r="K51" s="24">
        <f t="shared" si="4"/>
        <v>66</v>
      </c>
      <c r="L51" s="25">
        <v>4.4</v>
      </c>
      <c r="M51" s="26">
        <v>290.4</v>
      </c>
      <c r="N51" s="26">
        <v>290.4</v>
      </c>
    </row>
    <row r="52" spans="4:14">
      <c r="D52" s="21">
        <v>46092</v>
      </c>
      <c r="E52" s="22">
        <v>1584750</v>
      </c>
      <c r="F52" s="22" t="s">
        <v>30</v>
      </c>
      <c r="G52" s="22">
        <v>20391366</v>
      </c>
      <c r="H52" s="22" t="s">
        <v>71</v>
      </c>
      <c r="I52" s="22">
        <v>7</v>
      </c>
      <c r="J52" s="28" t="s">
        <v>18</v>
      </c>
      <c r="K52" s="24">
        <f t="shared" si="4"/>
        <v>26</v>
      </c>
      <c r="L52" s="25">
        <v>4.4</v>
      </c>
      <c r="M52" s="26">
        <v>114.4</v>
      </c>
      <c r="N52" s="26">
        <v>800.8</v>
      </c>
    </row>
    <row r="53" spans="4:14">
      <c r="D53" s="21">
        <v>46092</v>
      </c>
      <c r="E53" s="22">
        <v>1584750</v>
      </c>
      <c r="F53" s="22" t="s">
        <v>20</v>
      </c>
      <c r="G53" s="22">
        <v>20324855</v>
      </c>
      <c r="H53" s="22" t="s">
        <v>33</v>
      </c>
      <c r="I53" s="22">
        <v>6</v>
      </c>
      <c r="J53" s="23" t="s">
        <v>22</v>
      </c>
      <c r="K53" s="24">
        <v>1</v>
      </c>
      <c r="L53" s="25">
        <v>6.4</v>
      </c>
      <c r="M53" s="26">
        <v>6.4</v>
      </c>
      <c r="N53" s="26">
        <v>38.4</v>
      </c>
    </row>
    <row r="54" ht="25.5" spans="4:14">
      <c r="D54" s="21">
        <v>46092</v>
      </c>
      <c r="E54" s="22">
        <v>1584750</v>
      </c>
      <c r="F54" s="22" t="s">
        <v>20</v>
      </c>
      <c r="G54" s="22">
        <v>20335080</v>
      </c>
      <c r="H54" s="22" t="s">
        <v>107</v>
      </c>
      <c r="I54" s="22">
        <v>1</v>
      </c>
      <c r="J54" s="28" t="s">
        <v>18</v>
      </c>
      <c r="K54" s="24">
        <f t="shared" si="4"/>
        <v>97</v>
      </c>
      <c r="L54" s="25">
        <v>4.4</v>
      </c>
      <c r="M54" s="26">
        <v>426.8</v>
      </c>
      <c r="N54" s="26">
        <v>426.8</v>
      </c>
    </row>
    <row r="55" spans="4:14">
      <c r="D55" s="21">
        <v>46092</v>
      </c>
      <c r="E55" s="22">
        <v>1584750</v>
      </c>
      <c r="F55" s="22" t="s">
        <v>55</v>
      </c>
      <c r="G55" s="22">
        <v>20324955</v>
      </c>
      <c r="H55" s="22" t="s">
        <v>77</v>
      </c>
      <c r="I55" s="22">
        <v>1</v>
      </c>
      <c r="J55" s="28" t="s">
        <v>78</v>
      </c>
      <c r="K55" s="24">
        <v>1</v>
      </c>
      <c r="L55" s="25">
        <v>2</v>
      </c>
      <c r="M55" s="26">
        <v>2</v>
      </c>
      <c r="N55" s="26">
        <v>2</v>
      </c>
    </row>
    <row r="56" spans="4:14">
      <c r="D56" s="21">
        <v>46092</v>
      </c>
      <c r="E56" s="22">
        <v>1584823</v>
      </c>
      <c r="F56" s="22" t="s">
        <v>20</v>
      </c>
      <c r="G56" s="22">
        <v>20332826</v>
      </c>
      <c r="H56" s="22" t="s">
        <v>100</v>
      </c>
      <c r="I56" s="22">
        <v>4</v>
      </c>
      <c r="J56" s="30" t="s">
        <v>39</v>
      </c>
      <c r="K56" s="24" t="s">
        <v>40</v>
      </c>
      <c r="L56" s="25">
        <v>70.4</v>
      </c>
      <c r="M56" s="26">
        <v>70.4</v>
      </c>
      <c r="N56" s="26">
        <v>281.6</v>
      </c>
    </row>
    <row r="57" spans="4:14">
      <c r="D57" s="21">
        <v>46092</v>
      </c>
      <c r="E57" s="22">
        <v>1585131</v>
      </c>
      <c r="F57" s="22" t="s">
        <v>30</v>
      </c>
      <c r="G57" s="22">
        <v>20391366</v>
      </c>
      <c r="H57" s="22" t="s">
        <v>71</v>
      </c>
      <c r="I57" s="22">
        <v>6</v>
      </c>
      <c r="J57" s="28" t="s">
        <v>18</v>
      </c>
      <c r="K57" s="24">
        <f>M57/L57</f>
        <v>26</v>
      </c>
      <c r="L57" s="25">
        <v>4.4</v>
      </c>
      <c r="M57" s="26">
        <v>114.4</v>
      </c>
      <c r="N57" s="26">
        <v>686.4</v>
      </c>
    </row>
    <row r="58" spans="4:14">
      <c r="D58" s="21">
        <v>46092</v>
      </c>
      <c r="E58" s="22">
        <v>1585131</v>
      </c>
      <c r="F58" s="22" t="s">
        <v>20</v>
      </c>
      <c r="G58" s="22">
        <v>20324855</v>
      </c>
      <c r="H58" s="22" t="s">
        <v>33</v>
      </c>
      <c r="I58" s="22">
        <v>10</v>
      </c>
      <c r="J58" s="23" t="s">
        <v>22</v>
      </c>
      <c r="K58" s="24">
        <v>1</v>
      </c>
      <c r="L58" s="25">
        <v>6.4</v>
      </c>
      <c r="M58" s="26">
        <v>6.4</v>
      </c>
      <c r="N58" s="26">
        <v>64</v>
      </c>
    </row>
    <row r="59" spans="4:14">
      <c r="D59" s="21">
        <v>46092</v>
      </c>
      <c r="E59" s="22">
        <v>1585131</v>
      </c>
      <c r="F59" s="22" t="s">
        <v>20</v>
      </c>
      <c r="G59" s="22">
        <v>20324485</v>
      </c>
      <c r="H59" s="22" t="s">
        <v>41</v>
      </c>
      <c r="I59" s="22">
        <v>2</v>
      </c>
      <c r="J59" s="23" t="s">
        <v>22</v>
      </c>
      <c r="K59" s="24">
        <v>1</v>
      </c>
      <c r="L59" s="25">
        <v>6.4</v>
      </c>
      <c r="M59" s="26">
        <v>6.4</v>
      </c>
      <c r="N59" s="26">
        <v>12.8</v>
      </c>
    </row>
    <row r="60" ht="25.5" spans="4:14">
      <c r="D60" s="21">
        <v>46092</v>
      </c>
      <c r="E60" s="22">
        <v>1585131</v>
      </c>
      <c r="F60" s="22" t="s">
        <v>20</v>
      </c>
      <c r="G60" s="22">
        <v>20327669</v>
      </c>
      <c r="H60" s="22" t="s">
        <v>108</v>
      </c>
      <c r="I60" s="22">
        <v>1</v>
      </c>
      <c r="J60" s="28" t="s">
        <v>18</v>
      </c>
      <c r="K60" s="24">
        <f>M60/L60</f>
        <v>111</v>
      </c>
      <c r="L60" s="25">
        <v>4.4</v>
      </c>
      <c r="M60" s="26">
        <v>488.4</v>
      </c>
      <c r="N60" s="26">
        <v>488.4</v>
      </c>
    </row>
    <row r="61" spans="4:14">
      <c r="D61" s="21">
        <v>46093</v>
      </c>
      <c r="E61" s="22">
        <v>1585511</v>
      </c>
      <c r="F61" s="22" t="s">
        <v>55</v>
      </c>
      <c r="G61" s="22">
        <v>20353549</v>
      </c>
      <c r="H61" s="22" t="s">
        <v>109</v>
      </c>
      <c r="I61" s="22">
        <v>1</v>
      </c>
      <c r="J61" s="30" t="s">
        <v>57</v>
      </c>
      <c r="K61" s="24">
        <v>1</v>
      </c>
      <c r="L61" s="25">
        <v>3.2</v>
      </c>
      <c r="M61" s="26">
        <v>3.2</v>
      </c>
      <c r="N61" s="26">
        <v>3.2</v>
      </c>
    </row>
    <row r="62" spans="4:14">
      <c r="D62" s="21">
        <v>46094</v>
      </c>
      <c r="E62" s="22">
        <v>1585555</v>
      </c>
      <c r="F62" s="22" t="s">
        <v>30</v>
      </c>
      <c r="G62" s="22">
        <v>20391366</v>
      </c>
      <c r="H62" s="22" t="s">
        <v>71</v>
      </c>
      <c r="I62" s="22">
        <v>4</v>
      </c>
      <c r="J62" s="28" t="s">
        <v>18</v>
      </c>
      <c r="K62" s="24">
        <f>M62/L62</f>
        <v>26</v>
      </c>
      <c r="L62" s="25">
        <v>4.4</v>
      </c>
      <c r="M62" s="26">
        <v>114.4</v>
      </c>
      <c r="N62" s="26">
        <v>457.6</v>
      </c>
    </row>
    <row r="63" spans="4:14">
      <c r="D63" s="21">
        <v>46094</v>
      </c>
      <c r="E63" s="22">
        <v>1585555</v>
      </c>
      <c r="F63" s="22" t="s">
        <v>20</v>
      </c>
      <c r="G63" s="22">
        <v>20324428</v>
      </c>
      <c r="H63" s="22" t="s">
        <v>44</v>
      </c>
      <c r="I63" s="22">
        <v>1</v>
      </c>
      <c r="J63" s="23" t="s">
        <v>22</v>
      </c>
      <c r="K63" s="24">
        <v>1</v>
      </c>
      <c r="L63" s="25">
        <v>6.4</v>
      </c>
      <c r="M63" s="26">
        <v>6.4</v>
      </c>
      <c r="N63" s="26">
        <v>6.4</v>
      </c>
    </row>
    <row r="64" spans="4:14">
      <c r="D64" s="21">
        <v>46094</v>
      </c>
      <c r="E64" s="22">
        <v>1585555</v>
      </c>
      <c r="F64" s="22" t="s">
        <v>20</v>
      </c>
      <c r="G64" s="22">
        <v>20324445</v>
      </c>
      <c r="H64" s="22" t="s">
        <v>32</v>
      </c>
      <c r="I64" s="22">
        <v>1</v>
      </c>
      <c r="J64" s="23" t="s">
        <v>22</v>
      </c>
      <c r="K64" s="24">
        <v>1</v>
      </c>
      <c r="L64" s="25">
        <v>6.4</v>
      </c>
      <c r="M64" s="26">
        <v>6.4</v>
      </c>
      <c r="N64" s="26">
        <v>6.4</v>
      </c>
    </row>
    <row r="65" spans="4:14">
      <c r="D65" s="21">
        <v>46094</v>
      </c>
      <c r="E65" s="22">
        <v>1585555</v>
      </c>
      <c r="F65" s="22" t="s">
        <v>20</v>
      </c>
      <c r="G65" s="22">
        <v>20324855</v>
      </c>
      <c r="H65" s="22" t="s">
        <v>33</v>
      </c>
      <c r="I65" s="22">
        <v>2</v>
      </c>
      <c r="J65" s="23" t="s">
        <v>22</v>
      </c>
      <c r="K65" s="24">
        <v>1</v>
      </c>
      <c r="L65" s="25">
        <v>6.4</v>
      </c>
      <c r="M65" s="26">
        <v>6.4</v>
      </c>
      <c r="N65" s="26">
        <v>12.8</v>
      </c>
    </row>
    <row r="66" spans="4:14">
      <c r="D66" s="21">
        <v>46094</v>
      </c>
      <c r="E66" s="22">
        <v>1585555</v>
      </c>
      <c r="F66" s="22" t="s">
        <v>20</v>
      </c>
      <c r="G66" s="22">
        <v>20324485</v>
      </c>
      <c r="H66" s="22" t="s">
        <v>41</v>
      </c>
      <c r="I66" s="22">
        <v>1</v>
      </c>
      <c r="J66" s="23" t="s">
        <v>22</v>
      </c>
      <c r="K66" s="24">
        <v>1</v>
      </c>
      <c r="L66" s="25">
        <v>6.4</v>
      </c>
      <c r="M66" s="26">
        <v>6.4</v>
      </c>
      <c r="N66" s="26">
        <v>6.4</v>
      </c>
    </row>
    <row r="67" ht="25.5" spans="4:14">
      <c r="D67" s="21">
        <v>46094</v>
      </c>
      <c r="E67" s="22">
        <v>1585555</v>
      </c>
      <c r="F67" s="22" t="s">
        <v>20</v>
      </c>
      <c r="G67" s="22">
        <v>20335251</v>
      </c>
      <c r="H67" s="22" t="s">
        <v>110</v>
      </c>
      <c r="I67" s="22">
        <v>1</v>
      </c>
      <c r="J67" s="28" t="s">
        <v>18</v>
      </c>
      <c r="K67" s="24">
        <f>M67/L67</f>
        <v>66</v>
      </c>
      <c r="L67" s="25">
        <v>4.4</v>
      </c>
      <c r="M67" s="26">
        <v>290.4</v>
      </c>
      <c r="N67" s="26">
        <v>290.4</v>
      </c>
    </row>
    <row r="68" spans="4:14">
      <c r="D68" s="21">
        <v>46095</v>
      </c>
      <c r="E68" s="22">
        <v>1585918</v>
      </c>
      <c r="F68" s="22" t="s">
        <v>30</v>
      </c>
      <c r="G68" s="22">
        <v>20391366</v>
      </c>
      <c r="H68" s="22" t="s">
        <v>71</v>
      </c>
      <c r="I68" s="22">
        <v>7</v>
      </c>
      <c r="J68" s="28" t="s">
        <v>18</v>
      </c>
      <c r="K68" s="24">
        <f>M68/L68</f>
        <v>26</v>
      </c>
      <c r="L68" s="25">
        <v>4.4</v>
      </c>
      <c r="M68" s="26">
        <v>114.4</v>
      </c>
      <c r="N68" s="26">
        <v>800.8</v>
      </c>
    </row>
    <row r="69" spans="4:14">
      <c r="D69" s="21">
        <v>46095</v>
      </c>
      <c r="E69" s="22">
        <v>1585918</v>
      </c>
      <c r="F69" s="22" t="s">
        <v>20</v>
      </c>
      <c r="G69" s="22">
        <v>20324428</v>
      </c>
      <c r="H69" s="22" t="s">
        <v>44</v>
      </c>
      <c r="I69" s="22">
        <v>1</v>
      </c>
      <c r="J69" s="23" t="s">
        <v>22</v>
      </c>
      <c r="K69" s="24">
        <v>1</v>
      </c>
      <c r="L69" s="25">
        <v>6.4</v>
      </c>
      <c r="M69" s="26">
        <v>6.4</v>
      </c>
      <c r="N69" s="26">
        <v>6.4</v>
      </c>
    </row>
    <row r="70" spans="4:14">
      <c r="D70" s="21">
        <v>46095</v>
      </c>
      <c r="E70" s="22">
        <v>1585918</v>
      </c>
      <c r="F70" s="22" t="s">
        <v>20</v>
      </c>
      <c r="G70" s="22">
        <v>20324370</v>
      </c>
      <c r="H70" s="22" t="s">
        <v>95</v>
      </c>
      <c r="I70" s="22">
        <v>1</v>
      </c>
      <c r="J70" s="23" t="s">
        <v>22</v>
      </c>
      <c r="K70" s="24">
        <v>1</v>
      </c>
      <c r="L70" s="25">
        <v>6.4</v>
      </c>
      <c r="M70" s="26">
        <v>6.4</v>
      </c>
      <c r="N70" s="26">
        <v>6.4</v>
      </c>
    </row>
    <row r="71" spans="4:14">
      <c r="D71" s="21">
        <v>46095</v>
      </c>
      <c r="E71" s="22">
        <v>1585918</v>
      </c>
      <c r="F71" s="22" t="s">
        <v>20</v>
      </c>
      <c r="G71" s="22">
        <v>20324855</v>
      </c>
      <c r="H71" s="22" t="s">
        <v>33</v>
      </c>
      <c r="I71" s="22">
        <v>5</v>
      </c>
      <c r="J71" s="23" t="s">
        <v>22</v>
      </c>
      <c r="K71" s="24">
        <v>1</v>
      </c>
      <c r="L71" s="25">
        <v>6.4</v>
      </c>
      <c r="M71" s="26">
        <v>6.4</v>
      </c>
      <c r="N71" s="26">
        <v>32</v>
      </c>
    </row>
    <row r="72" spans="4:14">
      <c r="D72" s="21">
        <v>46095</v>
      </c>
      <c r="E72" s="22">
        <v>1585918</v>
      </c>
      <c r="F72" s="22" t="s">
        <v>20</v>
      </c>
      <c r="G72" s="22">
        <v>20324950</v>
      </c>
      <c r="H72" s="22" t="s">
        <v>86</v>
      </c>
      <c r="I72" s="22">
        <v>1</v>
      </c>
      <c r="J72" s="27" t="s">
        <v>25</v>
      </c>
      <c r="K72" s="24">
        <v>1</v>
      </c>
      <c r="L72" s="25">
        <v>8.8</v>
      </c>
      <c r="M72" s="26">
        <v>8.8</v>
      </c>
      <c r="N72" s="26">
        <v>8.8</v>
      </c>
    </row>
    <row r="73" spans="4:14">
      <c r="D73" s="21">
        <v>46095</v>
      </c>
      <c r="E73" s="22">
        <v>1585918</v>
      </c>
      <c r="F73" s="22" t="s">
        <v>20</v>
      </c>
      <c r="G73" s="22">
        <v>20324485</v>
      </c>
      <c r="H73" s="22" t="s">
        <v>41</v>
      </c>
      <c r="I73" s="22">
        <v>1</v>
      </c>
      <c r="J73" s="23" t="s">
        <v>22</v>
      </c>
      <c r="K73" s="24">
        <v>1</v>
      </c>
      <c r="L73" s="25">
        <v>6.4</v>
      </c>
      <c r="M73" s="26">
        <v>6.4</v>
      </c>
      <c r="N73" s="26">
        <v>6.4</v>
      </c>
    </row>
    <row r="74" ht="25.5" spans="4:14">
      <c r="D74" s="21">
        <v>46095</v>
      </c>
      <c r="E74" s="22">
        <v>1585918</v>
      </c>
      <c r="F74" s="22" t="s">
        <v>20</v>
      </c>
      <c r="G74" s="22">
        <v>20332831</v>
      </c>
      <c r="H74" s="22" t="s">
        <v>111</v>
      </c>
      <c r="I74" s="22">
        <v>1</v>
      </c>
      <c r="J74" s="28" t="s">
        <v>18</v>
      </c>
      <c r="K74" s="24">
        <f>M74/L74</f>
        <v>123</v>
      </c>
      <c r="L74" s="25">
        <v>4.4</v>
      </c>
      <c r="M74" s="26">
        <v>541.2</v>
      </c>
      <c r="N74" s="26">
        <v>541.2</v>
      </c>
    </row>
    <row r="75" spans="4:14">
      <c r="D75" s="21">
        <v>46095</v>
      </c>
      <c r="E75" s="22">
        <v>1585991</v>
      </c>
      <c r="F75" s="22" t="s">
        <v>20</v>
      </c>
      <c r="G75" s="22">
        <v>20332826</v>
      </c>
      <c r="H75" s="22" t="s">
        <v>100</v>
      </c>
      <c r="I75" s="22">
        <v>6</v>
      </c>
      <c r="J75" s="30" t="s">
        <v>39</v>
      </c>
      <c r="K75" s="24" t="s">
        <v>40</v>
      </c>
      <c r="L75" s="25">
        <v>70.4</v>
      </c>
      <c r="M75" s="26">
        <v>70.4</v>
      </c>
      <c r="N75" s="26">
        <v>422.4</v>
      </c>
    </row>
    <row r="76" spans="4:14">
      <c r="D76" s="21">
        <v>46096</v>
      </c>
      <c r="E76" s="22">
        <v>1586134</v>
      </c>
      <c r="F76" s="22" t="s">
        <v>30</v>
      </c>
      <c r="G76" s="22">
        <v>20391366</v>
      </c>
      <c r="H76" s="22" t="s">
        <v>71</v>
      </c>
      <c r="I76" s="22">
        <v>4</v>
      </c>
      <c r="J76" s="28" t="s">
        <v>18</v>
      </c>
      <c r="K76" s="24">
        <f>M76/L76</f>
        <v>26</v>
      </c>
      <c r="L76" s="25">
        <v>4.4</v>
      </c>
      <c r="M76" s="26">
        <v>114.4</v>
      </c>
      <c r="N76" s="26">
        <v>457.6</v>
      </c>
    </row>
    <row r="77" spans="4:14">
      <c r="D77" s="21">
        <v>46096</v>
      </c>
      <c r="E77" s="22">
        <v>1586134</v>
      </c>
      <c r="F77" s="22" t="s">
        <v>20</v>
      </c>
      <c r="G77" s="22">
        <v>20324428</v>
      </c>
      <c r="H77" s="22" t="s">
        <v>44</v>
      </c>
      <c r="I77" s="22">
        <v>1</v>
      </c>
      <c r="J77" s="23" t="s">
        <v>22</v>
      </c>
      <c r="K77" s="24">
        <v>1</v>
      </c>
      <c r="L77" s="25">
        <v>6.4</v>
      </c>
      <c r="M77" s="26">
        <v>6.4</v>
      </c>
      <c r="N77" s="26">
        <v>6.4</v>
      </c>
    </row>
    <row r="78" spans="4:14">
      <c r="D78" s="21">
        <v>46096</v>
      </c>
      <c r="E78" s="22">
        <v>1586134</v>
      </c>
      <c r="F78" s="22" t="s">
        <v>20</v>
      </c>
      <c r="G78" s="22">
        <v>20324445</v>
      </c>
      <c r="H78" s="22" t="s">
        <v>32</v>
      </c>
      <c r="I78" s="22">
        <v>1</v>
      </c>
      <c r="J78" s="23" t="s">
        <v>22</v>
      </c>
      <c r="K78" s="24">
        <v>1</v>
      </c>
      <c r="L78" s="25">
        <v>6.4</v>
      </c>
      <c r="M78" s="26">
        <v>6.4</v>
      </c>
      <c r="N78" s="26">
        <v>6.4</v>
      </c>
    </row>
    <row r="79" spans="4:14">
      <c r="D79" s="21">
        <v>46096</v>
      </c>
      <c r="E79" s="22">
        <v>1586134</v>
      </c>
      <c r="F79" s="22" t="s">
        <v>20</v>
      </c>
      <c r="G79" s="22">
        <v>20324855</v>
      </c>
      <c r="H79" s="22" t="s">
        <v>33</v>
      </c>
      <c r="I79" s="22">
        <v>7</v>
      </c>
      <c r="J79" s="23" t="s">
        <v>22</v>
      </c>
      <c r="K79" s="24">
        <v>1</v>
      </c>
      <c r="L79" s="25">
        <v>6.4</v>
      </c>
      <c r="M79" s="26">
        <v>6.4</v>
      </c>
      <c r="N79" s="26">
        <v>44.8</v>
      </c>
    </row>
    <row r="80" spans="4:14">
      <c r="D80" s="21">
        <v>46096</v>
      </c>
      <c r="E80" s="22">
        <v>1586134</v>
      </c>
      <c r="F80" s="22" t="s">
        <v>20</v>
      </c>
      <c r="G80" s="22">
        <v>20324485</v>
      </c>
      <c r="H80" s="22" t="s">
        <v>41</v>
      </c>
      <c r="I80" s="22">
        <v>1</v>
      </c>
      <c r="J80" s="23" t="s">
        <v>22</v>
      </c>
      <c r="K80" s="24">
        <v>1</v>
      </c>
      <c r="L80" s="25">
        <v>6.4</v>
      </c>
      <c r="M80" s="26">
        <v>6.4</v>
      </c>
      <c r="N80" s="26">
        <v>6.4</v>
      </c>
    </row>
    <row r="81" ht="25.5" spans="4:14">
      <c r="D81" s="21">
        <v>46096</v>
      </c>
      <c r="E81" s="22">
        <v>1586134</v>
      </c>
      <c r="F81" s="22" t="s">
        <v>20</v>
      </c>
      <c r="G81" s="22">
        <v>20332831</v>
      </c>
      <c r="H81" s="22" t="s">
        <v>112</v>
      </c>
      <c r="I81" s="22">
        <v>1</v>
      </c>
      <c r="J81" s="28" t="s">
        <v>18</v>
      </c>
      <c r="K81" s="24">
        <f>M81/L81</f>
        <v>109</v>
      </c>
      <c r="L81" s="25">
        <v>4.4</v>
      </c>
      <c r="M81" s="26">
        <v>479.6</v>
      </c>
      <c r="N81" s="26">
        <v>479.6</v>
      </c>
    </row>
    <row r="82" spans="4:14">
      <c r="D82" s="21">
        <v>46097</v>
      </c>
      <c r="E82" s="22">
        <v>1586226</v>
      </c>
      <c r="F82" s="22" t="s">
        <v>30</v>
      </c>
      <c r="G82" s="22">
        <v>20391366</v>
      </c>
      <c r="H82" s="22" t="s">
        <v>71</v>
      </c>
      <c r="I82" s="22">
        <v>4</v>
      </c>
      <c r="J82" s="28" t="s">
        <v>18</v>
      </c>
      <c r="K82" s="24">
        <f>M82/L82</f>
        <v>26</v>
      </c>
      <c r="L82" s="25">
        <v>4.4</v>
      </c>
      <c r="M82" s="26">
        <v>114.4</v>
      </c>
      <c r="N82" s="26">
        <v>457.6</v>
      </c>
    </row>
    <row r="83" spans="4:14">
      <c r="D83" s="21">
        <v>46097</v>
      </c>
      <c r="E83" s="22">
        <v>1586226</v>
      </c>
      <c r="F83" s="22" t="s">
        <v>20</v>
      </c>
      <c r="G83" s="22">
        <v>20324855</v>
      </c>
      <c r="H83" s="22" t="s">
        <v>33</v>
      </c>
      <c r="I83" s="22">
        <v>2</v>
      </c>
      <c r="J83" s="23" t="s">
        <v>22</v>
      </c>
      <c r="K83" s="24">
        <v>1</v>
      </c>
      <c r="L83" s="25">
        <v>6.4</v>
      </c>
      <c r="M83" s="26">
        <v>6.4</v>
      </c>
      <c r="N83" s="26">
        <v>12.8</v>
      </c>
    </row>
    <row r="84" spans="4:14">
      <c r="D84" s="21">
        <v>46097</v>
      </c>
      <c r="E84" s="22">
        <v>1586226</v>
      </c>
      <c r="F84" s="22" t="s">
        <v>20</v>
      </c>
      <c r="G84" s="22">
        <v>20324950</v>
      </c>
      <c r="H84" s="22" t="s">
        <v>86</v>
      </c>
      <c r="I84" s="22">
        <v>1</v>
      </c>
      <c r="J84" s="27" t="s">
        <v>25</v>
      </c>
      <c r="K84" s="24">
        <v>1</v>
      </c>
      <c r="L84" s="25">
        <v>8.8</v>
      </c>
      <c r="M84" s="26">
        <v>8.8</v>
      </c>
      <c r="N84" s="26">
        <v>8.8</v>
      </c>
    </row>
    <row r="85" spans="4:14">
      <c r="D85" s="21">
        <v>46097</v>
      </c>
      <c r="E85" s="22">
        <v>1586226</v>
      </c>
      <c r="F85" s="22" t="s">
        <v>20</v>
      </c>
      <c r="G85" s="22">
        <v>20324485</v>
      </c>
      <c r="H85" s="22" t="s">
        <v>41</v>
      </c>
      <c r="I85" s="22">
        <v>1</v>
      </c>
      <c r="J85" s="23" t="s">
        <v>22</v>
      </c>
      <c r="K85" s="24">
        <v>1</v>
      </c>
      <c r="L85" s="25">
        <v>6.4</v>
      </c>
      <c r="M85" s="26">
        <v>6.4</v>
      </c>
      <c r="N85" s="26">
        <v>6.4</v>
      </c>
    </row>
    <row r="86" spans="4:14">
      <c r="D86" s="21">
        <v>46097</v>
      </c>
      <c r="E86" s="22">
        <v>1586226</v>
      </c>
      <c r="F86" s="22" t="s">
        <v>20</v>
      </c>
      <c r="G86" s="22">
        <v>20332826</v>
      </c>
      <c r="H86" s="22" t="s">
        <v>100</v>
      </c>
      <c r="I86" s="22">
        <v>6</v>
      </c>
      <c r="J86" s="30" t="s">
        <v>39</v>
      </c>
      <c r="K86" s="24" t="s">
        <v>40</v>
      </c>
      <c r="L86" s="25">
        <v>70.4</v>
      </c>
      <c r="M86" s="26">
        <v>70.4</v>
      </c>
      <c r="N86" s="26">
        <v>422.4</v>
      </c>
    </row>
    <row r="87" ht="25.5" spans="4:14">
      <c r="D87" s="21">
        <v>46097</v>
      </c>
      <c r="E87" s="22">
        <v>1586226</v>
      </c>
      <c r="F87" s="22" t="s">
        <v>20</v>
      </c>
      <c r="G87" s="22">
        <v>20335080</v>
      </c>
      <c r="H87" s="22" t="s">
        <v>113</v>
      </c>
      <c r="I87" s="22">
        <v>1</v>
      </c>
      <c r="J87" s="28" t="s">
        <v>18</v>
      </c>
      <c r="K87" s="24">
        <f t="shared" ref="K87:K92" si="5">M87/L87</f>
        <v>96</v>
      </c>
      <c r="L87" s="25">
        <v>4.4</v>
      </c>
      <c r="M87" s="26">
        <v>422.4</v>
      </c>
      <c r="N87" s="26">
        <v>422.4</v>
      </c>
    </row>
    <row r="88" spans="4:14">
      <c r="D88" s="21">
        <v>46097</v>
      </c>
      <c r="E88" s="22">
        <v>1586437</v>
      </c>
      <c r="F88" s="22" t="s">
        <v>30</v>
      </c>
      <c r="G88" s="22">
        <v>20391366</v>
      </c>
      <c r="H88" s="22" t="s">
        <v>71</v>
      </c>
      <c r="I88" s="22">
        <v>4</v>
      </c>
      <c r="J88" s="28" t="s">
        <v>18</v>
      </c>
      <c r="K88" s="24">
        <f t="shared" si="5"/>
        <v>26</v>
      </c>
      <c r="L88" s="25">
        <v>4.4</v>
      </c>
      <c r="M88" s="26">
        <v>114.4</v>
      </c>
      <c r="N88" s="26">
        <v>457.6</v>
      </c>
    </row>
    <row r="89" spans="4:14">
      <c r="D89" s="21">
        <v>46097</v>
      </c>
      <c r="E89" s="22">
        <v>1586437</v>
      </c>
      <c r="F89" s="22" t="s">
        <v>20</v>
      </c>
      <c r="G89" s="22">
        <v>20324855</v>
      </c>
      <c r="H89" s="22" t="s">
        <v>33</v>
      </c>
      <c r="I89" s="22">
        <v>4</v>
      </c>
      <c r="J89" s="23" t="s">
        <v>22</v>
      </c>
      <c r="K89" s="24">
        <v>1</v>
      </c>
      <c r="L89" s="25">
        <v>6.4</v>
      </c>
      <c r="M89" s="26">
        <v>6.4</v>
      </c>
      <c r="N89" s="26">
        <v>25.6</v>
      </c>
    </row>
    <row r="90" spans="4:14">
      <c r="D90" s="21">
        <v>46097</v>
      </c>
      <c r="E90" s="22">
        <v>1586437</v>
      </c>
      <c r="F90" s="22" t="s">
        <v>20</v>
      </c>
      <c r="G90" s="22">
        <v>20347448</v>
      </c>
      <c r="H90" s="22" t="s">
        <v>114</v>
      </c>
      <c r="I90" s="22">
        <v>1</v>
      </c>
      <c r="J90" s="23" t="s">
        <v>22</v>
      </c>
      <c r="K90" s="24">
        <v>1</v>
      </c>
      <c r="L90" s="25">
        <v>6.4</v>
      </c>
      <c r="M90" s="26">
        <v>6.4</v>
      </c>
      <c r="N90" s="26">
        <v>6.4</v>
      </c>
    </row>
    <row r="91" spans="4:14">
      <c r="D91" s="21">
        <v>46097</v>
      </c>
      <c r="E91" s="22">
        <v>1586437</v>
      </c>
      <c r="F91" s="22" t="s">
        <v>20</v>
      </c>
      <c r="G91" s="22">
        <v>20324485</v>
      </c>
      <c r="H91" s="22" t="s">
        <v>41</v>
      </c>
      <c r="I91" s="22">
        <v>2</v>
      </c>
      <c r="J91" s="23" t="s">
        <v>22</v>
      </c>
      <c r="K91" s="24">
        <v>1</v>
      </c>
      <c r="L91" s="25">
        <v>6.4</v>
      </c>
      <c r="M91" s="26">
        <v>6.4</v>
      </c>
      <c r="N91" s="26">
        <v>12.8</v>
      </c>
    </row>
    <row r="92" ht="25.5" spans="4:14">
      <c r="D92" s="21">
        <v>46097</v>
      </c>
      <c r="E92" s="22">
        <v>1586437</v>
      </c>
      <c r="F92" s="22" t="s">
        <v>20</v>
      </c>
      <c r="G92" s="22">
        <v>20327669</v>
      </c>
      <c r="H92" s="22" t="s">
        <v>115</v>
      </c>
      <c r="I92" s="22">
        <v>1</v>
      </c>
      <c r="J92" s="28" t="s">
        <v>18</v>
      </c>
      <c r="K92" s="24">
        <f t="shared" si="5"/>
        <v>111</v>
      </c>
      <c r="L92" s="25">
        <v>4.4</v>
      </c>
      <c r="M92" s="26">
        <v>488.4</v>
      </c>
      <c r="N92" s="26">
        <v>488.4</v>
      </c>
    </row>
    <row r="93" spans="4:14">
      <c r="D93" s="21">
        <v>46098</v>
      </c>
      <c r="E93" s="22">
        <v>1586531</v>
      </c>
      <c r="F93" s="22" t="s">
        <v>20</v>
      </c>
      <c r="G93" s="22">
        <v>20325056</v>
      </c>
      <c r="H93" s="22" t="s">
        <v>116</v>
      </c>
      <c r="I93" s="22">
        <v>1</v>
      </c>
      <c r="J93" s="28" t="s">
        <v>117</v>
      </c>
      <c r="K93" s="24">
        <v>1</v>
      </c>
      <c r="L93" s="25">
        <f>30*0.8</f>
        <v>24</v>
      </c>
      <c r="M93" s="26">
        <v>24</v>
      </c>
      <c r="N93" s="26">
        <v>24</v>
      </c>
    </row>
    <row r="94" spans="4:14">
      <c r="D94" s="21">
        <v>46098</v>
      </c>
      <c r="E94" s="22">
        <v>1586872</v>
      </c>
      <c r="F94" s="22" t="s">
        <v>30</v>
      </c>
      <c r="G94" s="22">
        <v>20391366</v>
      </c>
      <c r="H94" s="22" t="s">
        <v>71</v>
      </c>
      <c r="I94" s="22">
        <v>5</v>
      </c>
      <c r="J94" s="28" t="s">
        <v>18</v>
      </c>
      <c r="K94" s="24">
        <f>M94/L94</f>
        <v>26</v>
      </c>
      <c r="L94" s="25">
        <v>4.4</v>
      </c>
      <c r="M94" s="26">
        <v>114.4</v>
      </c>
      <c r="N94" s="26">
        <v>572</v>
      </c>
    </row>
    <row r="95" spans="4:14">
      <c r="D95" s="21">
        <v>46098</v>
      </c>
      <c r="E95" s="22">
        <v>1586872</v>
      </c>
      <c r="F95" s="22" t="s">
        <v>20</v>
      </c>
      <c r="G95" s="22">
        <v>20324370</v>
      </c>
      <c r="H95" s="22" t="s">
        <v>95</v>
      </c>
      <c r="I95" s="22">
        <v>3</v>
      </c>
      <c r="J95" s="23" t="s">
        <v>22</v>
      </c>
      <c r="K95" s="24">
        <v>1</v>
      </c>
      <c r="L95" s="25">
        <v>6.4</v>
      </c>
      <c r="M95" s="26">
        <v>6.4</v>
      </c>
      <c r="N95" s="26">
        <v>19.2</v>
      </c>
    </row>
    <row r="96" spans="4:14">
      <c r="D96" s="21">
        <v>46098</v>
      </c>
      <c r="E96" s="22">
        <v>1586872</v>
      </c>
      <c r="F96" s="22" t="s">
        <v>20</v>
      </c>
      <c r="G96" s="22">
        <v>20324364</v>
      </c>
      <c r="H96" s="22" t="s">
        <v>23</v>
      </c>
      <c r="I96" s="22">
        <v>1</v>
      </c>
      <c r="J96" s="23" t="s">
        <v>22</v>
      </c>
      <c r="K96" s="24">
        <v>1</v>
      </c>
      <c r="L96" s="25">
        <v>6.4</v>
      </c>
      <c r="M96" s="26">
        <v>6.4</v>
      </c>
      <c r="N96" s="26">
        <v>6.4</v>
      </c>
    </row>
    <row r="97" spans="4:14">
      <c r="D97" s="21">
        <v>46098</v>
      </c>
      <c r="E97" s="22">
        <v>1586872</v>
      </c>
      <c r="F97" s="22" t="s">
        <v>20</v>
      </c>
      <c r="G97" s="22">
        <v>20324855</v>
      </c>
      <c r="H97" s="22" t="s">
        <v>33</v>
      </c>
      <c r="I97" s="22">
        <v>8</v>
      </c>
      <c r="J97" s="23" t="s">
        <v>22</v>
      </c>
      <c r="K97" s="24">
        <v>1</v>
      </c>
      <c r="L97" s="25">
        <v>6.4</v>
      </c>
      <c r="M97" s="26">
        <v>6.4</v>
      </c>
      <c r="N97" s="26">
        <v>51.2</v>
      </c>
    </row>
    <row r="98" ht="25.5" spans="4:14">
      <c r="D98" s="21">
        <v>46098</v>
      </c>
      <c r="E98" s="22">
        <v>1586872</v>
      </c>
      <c r="F98" s="22" t="s">
        <v>20</v>
      </c>
      <c r="G98" s="22">
        <v>20335080</v>
      </c>
      <c r="H98" s="22" t="s">
        <v>118</v>
      </c>
      <c r="I98" s="22">
        <v>1</v>
      </c>
      <c r="J98" s="28" t="s">
        <v>18</v>
      </c>
      <c r="K98" s="24">
        <f t="shared" ref="K98:K102" si="6">M98/L98</f>
        <v>108</v>
      </c>
      <c r="L98" s="25">
        <v>4.4</v>
      </c>
      <c r="M98" s="26">
        <v>475.2</v>
      </c>
      <c r="N98" s="26">
        <v>475.2</v>
      </c>
    </row>
    <row r="99" spans="4:14">
      <c r="D99" s="21">
        <v>46099</v>
      </c>
      <c r="E99" s="22">
        <v>1587178</v>
      </c>
      <c r="F99" s="22" t="s">
        <v>30</v>
      </c>
      <c r="G99" s="22">
        <v>20391366</v>
      </c>
      <c r="H99" s="22" t="s">
        <v>71</v>
      </c>
      <c r="I99" s="22">
        <v>10</v>
      </c>
      <c r="J99" s="28" t="s">
        <v>18</v>
      </c>
      <c r="K99" s="24">
        <f t="shared" si="6"/>
        <v>26</v>
      </c>
      <c r="L99" s="25">
        <v>4.4</v>
      </c>
      <c r="M99" s="26">
        <v>114.4</v>
      </c>
      <c r="N99" s="26">
        <v>1144</v>
      </c>
    </row>
    <row r="100" spans="4:14">
      <c r="D100" s="21">
        <v>46099</v>
      </c>
      <c r="E100" s="22">
        <v>1587178</v>
      </c>
      <c r="F100" s="22" t="s">
        <v>20</v>
      </c>
      <c r="G100" s="22">
        <v>20350636</v>
      </c>
      <c r="H100" s="22" t="s">
        <v>119</v>
      </c>
      <c r="I100" s="22">
        <v>1</v>
      </c>
      <c r="J100" s="23" t="s">
        <v>22</v>
      </c>
      <c r="K100" s="24">
        <v>1</v>
      </c>
      <c r="L100" s="25">
        <v>6.4</v>
      </c>
      <c r="M100" s="26">
        <v>6.4</v>
      </c>
      <c r="N100" s="26">
        <v>6.4</v>
      </c>
    </row>
    <row r="101" spans="4:14">
      <c r="D101" s="21">
        <v>46099</v>
      </c>
      <c r="E101" s="22">
        <v>1587178</v>
      </c>
      <c r="F101" s="22" t="s">
        <v>20</v>
      </c>
      <c r="G101" s="22">
        <v>20334946</v>
      </c>
      <c r="H101" s="22" t="s">
        <v>120</v>
      </c>
      <c r="I101" s="22">
        <v>1</v>
      </c>
      <c r="J101" s="28" t="s">
        <v>18</v>
      </c>
      <c r="K101" s="24">
        <f t="shared" si="6"/>
        <v>83</v>
      </c>
      <c r="L101" s="25">
        <v>4.4</v>
      </c>
      <c r="M101" s="26">
        <v>365.2</v>
      </c>
      <c r="N101" s="26">
        <v>365.2</v>
      </c>
    </row>
    <row r="102" ht="25.5" spans="4:14">
      <c r="D102" s="21">
        <v>46099</v>
      </c>
      <c r="E102" s="22">
        <v>1587178</v>
      </c>
      <c r="F102" s="22" t="s">
        <v>20</v>
      </c>
      <c r="G102" s="22">
        <v>20335251</v>
      </c>
      <c r="H102" s="22" t="s">
        <v>121</v>
      </c>
      <c r="I102" s="22">
        <v>1</v>
      </c>
      <c r="J102" s="28" t="s">
        <v>18</v>
      </c>
      <c r="K102" s="24">
        <f t="shared" si="6"/>
        <v>98</v>
      </c>
      <c r="L102" s="25">
        <v>4.4</v>
      </c>
      <c r="M102" s="26">
        <v>431.2</v>
      </c>
      <c r="N102" s="26">
        <v>431.2</v>
      </c>
    </row>
    <row r="103" spans="4:14">
      <c r="D103" s="21">
        <v>46100</v>
      </c>
      <c r="E103" s="22">
        <v>1587213</v>
      </c>
      <c r="F103" s="22" t="s">
        <v>20</v>
      </c>
      <c r="G103" s="22">
        <v>20332826</v>
      </c>
      <c r="H103" s="22" t="s">
        <v>100</v>
      </c>
      <c r="I103" s="22">
        <v>8</v>
      </c>
      <c r="J103" s="30" t="s">
        <v>39</v>
      </c>
      <c r="K103" s="24" t="s">
        <v>40</v>
      </c>
      <c r="L103" s="25">
        <v>70.4</v>
      </c>
      <c r="M103" s="26">
        <v>70.4</v>
      </c>
      <c r="N103" s="26">
        <v>563.2</v>
      </c>
    </row>
    <row r="104" spans="4:14">
      <c r="D104" s="21">
        <v>46100</v>
      </c>
      <c r="E104" s="22">
        <v>1587567</v>
      </c>
      <c r="F104" s="22" t="s">
        <v>30</v>
      </c>
      <c r="G104" s="22">
        <v>20391366</v>
      </c>
      <c r="H104" s="22" t="s">
        <v>71</v>
      </c>
      <c r="I104" s="22">
        <v>5</v>
      </c>
      <c r="J104" s="28" t="s">
        <v>18</v>
      </c>
      <c r="K104" s="24">
        <f>M104/L104</f>
        <v>26</v>
      </c>
      <c r="L104" s="25">
        <v>4.4</v>
      </c>
      <c r="M104" s="26">
        <v>114.4</v>
      </c>
      <c r="N104" s="26">
        <v>572</v>
      </c>
    </row>
    <row r="105" spans="4:14">
      <c r="D105" s="21">
        <v>46100</v>
      </c>
      <c r="E105" s="22">
        <v>1587567</v>
      </c>
      <c r="F105" s="22" t="s">
        <v>20</v>
      </c>
      <c r="G105" s="22">
        <v>20324855</v>
      </c>
      <c r="H105" s="22" t="s">
        <v>33</v>
      </c>
      <c r="I105" s="22">
        <v>1</v>
      </c>
      <c r="J105" s="23" t="s">
        <v>22</v>
      </c>
      <c r="K105" s="24">
        <v>1</v>
      </c>
      <c r="L105" s="25">
        <v>6.4</v>
      </c>
      <c r="M105" s="26">
        <v>6.4</v>
      </c>
      <c r="N105" s="26">
        <v>6.4</v>
      </c>
    </row>
    <row r="106" ht="25.5" spans="4:14">
      <c r="D106" s="21">
        <v>46100</v>
      </c>
      <c r="E106" s="22">
        <v>1587567</v>
      </c>
      <c r="F106" s="22" t="s">
        <v>20</v>
      </c>
      <c r="G106" s="22">
        <v>20327669</v>
      </c>
      <c r="H106" s="22" t="s">
        <v>122</v>
      </c>
      <c r="I106" s="22">
        <v>1</v>
      </c>
      <c r="J106" s="28" t="s">
        <v>18</v>
      </c>
      <c r="K106" s="24">
        <f>M106/L106</f>
        <v>103</v>
      </c>
      <c r="L106" s="25">
        <v>4.4</v>
      </c>
      <c r="M106" s="26">
        <v>453.2</v>
      </c>
      <c r="N106" s="26">
        <v>453.2</v>
      </c>
    </row>
    <row r="107" spans="4:14">
      <c r="D107" s="21">
        <v>46100</v>
      </c>
      <c r="E107" s="22">
        <v>1587567</v>
      </c>
      <c r="F107" s="22" t="s">
        <v>55</v>
      </c>
      <c r="G107" s="22">
        <v>20353549</v>
      </c>
      <c r="H107" s="22" t="s">
        <v>109</v>
      </c>
      <c r="I107" s="22">
        <v>1</v>
      </c>
      <c r="J107" s="30" t="s">
        <v>57</v>
      </c>
      <c r="K107" s="24">
        <v>1</v>
      </c>
      <c r="L107" s="25">
        <v>3.2</v>
      </c>
      <c r="M107" s="26">
        <v>3.2</v>
      </c>
      <c r="N107" s="26">
        <v>3.2</v>
      </c>
    </row>
    <row r="108" spans="4:14">
      <c r="D108" s="21">
        <v>46101</v>
      </c>
      <c r="E108" s="22">
        <v>1587927</v>
      </c>
      <c r="F108" s="22" t="s">
        <v>30</v>
      </c>
      <c r="G108" s="22">
        <v>20391366</v>
      </c>
      <c r="H108" s="22" t="s">
        <v>71</v>
      </c>
      <c r="I108" s="22">
        <v>6</v>
      </c>
      <c r="J108" s="28" t="s">
        <v>18</v>
      </c>
      <c r="K108" s="24">
        <f>M108/L108</f>
        <v>26</v>
      </c>
      <c r="L108" s="25">
        <v>4.4</v>
      </c>
      <c r="M108" s="26">
        <v>114.4</v>
      </c>
      <c r="N108" s="26">
        <v>686.4</v>
      </c>
    </row>
    <row r="109" spans="4:14">
      <c r="D109" s="21">
        <v>46101</v>
      </c>
      <c r="E109" s="22">
        <v>1587927</v>
      </c>
      <c r="F109" s="22" t="s">
        <v>20</v>
      </c>
      <c r="G109" s="22">
        <v>20324428</v>
      </c>
      <c r="H109" s="22" t="s">
        <v>44</v>
      </c>
      <c r="I109" s="22">
        <v>2</v>
      </c>
      <c r="J109" s="23" t="s">
        <v>22</v>
      </c>
      <c r="K109" s="24">
        <v>1</v>
      </c>
      <c r="L109" s="25">
        <v>6.4</v>
      </c>
      <c r="M109" s="26">
        <v>6.4</v>
      </c>
      <c r="N109" s="26">
        <v>12.8</v>
      </c>
    </row>
    <row r="110" spans="4:14">
      <c r="D110" s="21">
        <v>46101</v>
      </c>
      <c r="E110" s="22">
        <v>1587927</v>
      </c>
      <c r="F110" s="22" t="s">
        <v>20</v>
      </c>
      <c r="G110" s="22">
        <v>20324445</v>
      </c>
      <c r="H110" s="22" t="s">
        <v>32</v>
      </c>
      <c r="I110" s="22">
        <v>1</v>
      </c>
      <c r="J110" s="23" t="s">
        <v>22</v>
      </c>
      <c r="K110" s="24">
        <v>1</v>
      </c>
      <c r="L110" s="25">
        <v>6.4</v>
      </c>
      <c r="M110" s="26">
        <v>6.4</v>
      </c>
      <c r="N110" s="26">
        <v>6.4</v>
      </c>
    </row>
    <row r="111" spans="4:14">
      <c r="D111" s="21">
        <v>46101</v>
      </c>
      <c r="E111" s="22">
        <v>1587927</v>
      </c>
      <c r="F111" s="22" t="s">
        <v>20</v>
      </c>
      <c r="G111" s="22">
        <v>20324855</v>
      </c>
      <c r="H111" s="22" t="s">
        <v>33</v>
      </c>
      <c r="I111" s="22">
        <v>4</v>
      </c>
      <c r="J111" s="23" t="s">
        <v>22</v>
      </c>
      <c r="K111" s="24">
        <v>1</v>
      </c>
      <c r="L111" s="25">
        <v>6.4</v>
      </c>
      <c r="M111" s="26">
        <v>6.4</v>
      </c>
      <c r="N111" s="26">
        <v>25.6</v>
      </c>
    </row>
    <row r="112" spans="4:14">
      <c r="D112" s="21">
        <v>46101</v>
      </c>
      <c r="E112" s="22">
        <v>1587927</v>
      </c>
      <c r="F112" s="22" t="s">
        <v>20</v>
      </c>
      <c r="G112" s="22">
        <v>20324485</v>
      </c>
      <c r="H112" s="22" t="s">
        <v>41</v>
      </c>
      <c r="I112" s="22">
        <v>1</v>
      </c>
      <c r="J112" s="23" t="s">
        <v>22</v>
      </c>
      <c r="K112" s="24">
        <v>1</v>
      </c>
      <c r="L112" s="25">
        <v>6.4</v>
      </c>
      <c r="M112" s="26">
        <v>6.4</v>
      </c>
      <c r="N112" s="26">
        <v>6.4</v>
      </c>
    </row>
    <row r="113" ht="25.5" spans="4:14">
      <c r="D113" s="21">
        <v>46101</v>
      </c>
      <c r="E113" s="22">
        <v>1587927</v>
      </c>
      <c r="F113" s="22" t="s">
        <v>20</v>
      </c>
      <c r="G113" s="22">
        <v>20327669</v>
      </c>
      <c r="H113" s="22" t="s">
        <v>123</v>
      </c>
      <c r="I113" s="22">
        <v>1</v>
      </c>
      <c r="J113" s="28" t="s">
        <v>18</v>
      </c>
      <c r="K113" s="24">
        <f>M113/L113</f>
        <v>110</v>
      </c>
      <c r="L113" s="25">
        <v>4.4</v>
      </c>
      <c r="M113" s="26">
        <v>484</v>
      </c>
      <c r="N113" s="26">
        <v>484</v>
      </c>
    </row>
    <row r="114" spans="4:14">
      <c r="D114" s="21">
        <v>46102</v>
      </c>
      <c r="E114" s="22">
        <v>1587970</v>
      </c>
      <c r="F114" s="22" t="s">
        <v>20</v>
      </c>
      <c r="G114" s="22">
        <v>20332826</v>
      </c>
      <c r="H114" s="22" t="s">
        <v>100</v>
      </c>
      <c r="I114" s="22">
        <v>6</v>
      </c>
      <c r="J114" s="30" t="s">
        <v>39</v>
      </c>
      <c r="K114" s="24" t="s">
        <v>40</v>
      </c>
      <c r="L114" s="25">
        <v>70.4</v>
      </c>
      <c r="M114" s="26">
        <v>70.4</v>
      </c>
      <c r="N114" s="26">
        <v>422.4</v>
      </c>
    </row>
    <row r="115" spans="4:14">
      <c r="D115" s="21">
        <v>46103</v>
      </c>
      <c r="E115" s="22">
        <v>1588150</v>
      </c>
      <c r="F115" s="22" t="s">
        <v>30</v>
      </c>
      <c r="G115" s="22">
        <v>20391366</v>
      </c>
      <c r="H115" s="22" t="s">
        <v>71</v>
      </c>
      <c r="I115" s="22">
        <v>4</v>
      </c>
      <c r="J115" s="28" t="s">
        <v>18</v>
      </c>
      <c r="K115" s="24">
        <f t="shared" ref="K115:K119" si="7">M115/L115</f>
        <v>26</v>
      </c>
      <c r="L115" s="25">
        <v>4.4</v>
      </c>
      <c r="M115" s="26">
        <v>114.4</v>
      </c>
      <c r="N115" s="26">
        <v>457.6</v>
      </c>
    </row>
    <row r="116" spans="4:14">
      <c r="D116" s="21">
        <v>46104</v>
      </c>
      <c r="E116" s="22">
        <v>1588206</v>
      </c>
      <c r="F116" s="22" t="s">
        <v>30</v>
      </c>
      <c r="G116" s="22">
        <v>20391366</v>
      </c>
      <c r="H116" s="22" t="s">
        <v>71</v>
      </c>
      <c r="I116" s="22">
        <v>4</v>
      </c>
      <c r="J116" s="28" t="s">
        <v>18</v>
      </c>
      <c r="K116" s="24">
        <f t="shared" si="7"/>
        <v>26</v>
      </c>
      <c r="L116" s="25">
        <v>4.4</v>
      </c>
      <c r="M116" s="26">
        <v>114.4</v>
      </c>
      <c r="N116" s="26">
        <v>457.6</v>
      </c>
    </row>
    <row r="117" spans="4:14">
      <c r="D117" s="21">
        <v>46104</v>
      </c>
      <c r="E117" s="22">
        <v>1588206</v>
      </c>
      <c r="F117" s="22" t="s">
        <v>20</v>
      </c>
      <c r="G117" s="22">
        <v>20324855</v>
      </c>
      <c r="H117" s="22" t="s">
        <v>33</v>
      </c>
      <c r="I117" s="22">
        <v>6</v>
      </c>
      <c r="J117" s="23" t="s">
        <v>22</v>
      </c>
      <c r="K117" s="24">
        <v>1</v>
      </c>
      <c r="L117" s="25">
        <v>6.4</v>
      </c>
      <c r="M117" s="26">
        <v>6.4</v>
      </c>
      <c r="N117" s="26">
        <v>38.4</v>
      </c>
    </row>
    <row r="118" spans="4:14">
      <c r="D118" s="21">
        <v>46104</v>
      </c>
      <c r="E118" s="22">
        <v>1588206</v>
      </c>
      <c r="F118" s="22" t="s">
        <v>20</v>
      </c>
      <c r="G118" s="22">
        <v>20332826</v>
      </c>
      <c r="H118" s="22" t="s">
        <v>100</v>
      </c>
      <c r="I118" s="22">
        <v>4</v>
      </c>
      <c r="J118" s="30" t="s">
        <v>39</v>
      </c>
      <c r="K118" s="24" t="s">
        <v>40</v>
      </c>
      <c r="L118" s="25">
        <v>70.4</v>
      </c>
      <c r="M118" s="26">
        <v>70.4</v>
      </c>
      <c r="N118" s="26">
        <v>281.6</v>
      </c>
    </row>
    <row r="119" ht="25.5" spans="4:14">
      <c r="D119" s="21">
        <v>46104</v>
      </c>
      <c r="E119" s="22">
        <v>1588206</v>
      </c>
      <c r="F119" s="22" t="s">
        <v>20</v>
      </c>
      <c r="G119" s="22">
        <v>20335080</v>
      </c>
      <c r="H119" s="22" t="s">
        <v>124</v>
      </c>
      <c r="I119" s="22">
        <v>1</v>
      </c>
      <c r="J119" s="28" t="s">
        <v>18</v>
      </c>
      <c r="K119" s="24">
        <f t="shared" si="7"/>
        <v>115</v>
      </c>
      <c r="L119" s="25">
        <v>4.4</v>
      </c>
      <c r="M119" s="26">
        <v>506</v>
      </c>
      <c r="N119" s="26">
        <v>506</v>
      </c>
    </row>
    <row r="120" spans="4:14">
      <c r="D120" s="21">
        <v>46104</v>
      </c>
      <c r="E120" s="22">
        <v>1588206</v>
      </c>
      <c r="F120" s="22" t="s">
        <v>20</v>
      </c>
      <c r="G120" s="22">
        <v>20336788</v>
      </c>
      <c r="H120" s="22" t="s">
        <v>125</v>
      </c>
      <c r="I120" s="22">
        <v>1</v>
      </c>
      <c r="J120" s="28" t="s">
        <v>18</v>
      </c>
      <c r="K120" s="24" t="s">
        <v>126</v>
      </c>
      <c r="L120" s="25">
        <v>4.4</v>
      </c>
      <c r="M120" s="26">
        <f>K120*L120</f>
        <v>268.4</v>
      </c>
      <c r="N120" s="26">
        <v>268.4</v>
      </c>
    </row>
    <row r="121" spans="4:14">
      <c r="D121" s="21">
        <v>46104</v>
      </c>
      <c r="E121" s="22">
        <v>1588470</v>
      </c>
      <c r="F121" s="22" t="s">
        <v>30</v>
      </c>
      <c r="G121" s="22">
        <v>20391366</v>
      </c>
      <c r="H121" s="22" t="s">
        <v>71</v>
      </c>
      <c r="I121" s="22">
        <v>4</v>
      </c>
      <c r="J121" s="28" t="s">
        <v>18</v>
      </c>
      <c r="K121" s="24">
        <f>M121/L121</f>
        <v>26</v>
      </c>
      <c r="L121" s="25">
        <v>4.4</v>
      </c>
      <c r="M121" s="26">
        <v>114.4</v>
      </c>
      <c r="N121" s="26">
        <v>457.6</v>
      </c>
    </row>
    <row r="122" spans="4:14">
      <c r="D122" s="21">
        <v>46104</v>
      </c>
      <c r="E122" s="22">
        <v>1588470</v>
      </c>
      <c r="F122" s="22" t="s">
        <v>20</v>
      </c>
      <c r="G122" s="22">
        <v>20324855</v>
      </c>
      <c r="H122" s="22" t="s">
        <v>33</v>
      </c>
      <c r="I122" s="22">
        <v>5</v>
      </c>
      <c r="J122" s="23" t="s">
        <v>22</v>
      </c>
      <c r="K122" s="24">
        <v>1</v>
      </c>
      <c r="L122" s="25">
        <v>6.4</v>
      </c>
      <c r="M122" s="26">
        <v>6.4</v>
      </c>
      <c r="N122" s="26">
        <v>32</v>
      </c>
    </row>
    <row r="123" ht="25.5" spans="4:14">
      <c r="D123" s="21">
        <v>46104</v>
      </c>
      <c r="E123" s="22">
        <v>1588470</v>
      </c>
      <c r="F123" s="22" t="s">
        <v>20</v>
      </c>
      <c r="G123" s="22">
        <v>20332831</v>
      </c>
      <c r="H123" s="22" t="s">
        <v>127</v>
      </c>
      <c r="I123" s="22">
        <v>1</v>
      </c>
      <c r="J123" s="28" t="s">
        <v>18</v>
      </c>
      <c r="K123" s="24">
        <f>M123/L123</f>
        <v>82</v>
      </c>
      <c r="L123" s="25">
        <v>4.4</v>
      </c>
      <c r="M123" s="26">
        <v>360.8</v>
      </c>
      <c r="N123" s="26">
        <v>360.8</v>
      </c>
    </row>
    <row r="124" spans="4:14">
      <c r="D124" s="21">
        <v>46106</v>
      </c>
      <c r="E124" s="22">
        <v>1588788</v>
      </c>
      <c r="F124" s="22" t="s">
        <v>30</v>
      </c>
      <c r="G124" s="22">
        <v>20391366</v>
      </c>
      <c r="H124" s="22" t="s">
        <v>71</v>
      </c>
      <c r="I124" s="22">
        <v>4</v>
      </c>
      <c r="J124" s="28" t="s">
        <v>18</v>
      </c>
      <c r="K124" s="24">
        <f>M124/L124</f>
        <v>26</v>
      </c>
      <c r="L124" s="25">
        <v>4.4</v>
      </c>
      <c r="M124" s="26">
        <v>114.4</v>
      </c>
      <c r="N124" s="26">
        <v>457.6</v>
      </c>
    </row>
    <row r="125" spans="4:14">
      <c r="D125" s="21">
        <v>46106</v>
      </c>
      <c r="E125" s="22">
        <v>1588788</v>
      </c>
      <c r="F125" s="22" t="s">
        <v>20</v>
      </c>
      <c r="G125" s="22">
        <v>20324428</v>
      </c>
      <c r="H125" s="22" t="s">
        <v>44</v>
      </c>
      <c r="I125" s="22">
        <v>2</v>
      </c>
      <c r="J125" s="23" t="s">
        <v>22</v>
      </c>
      <c r="K125" s="24">
        <v>1</v>
      </c>
      <c r="L125" s="25">
        <v>6.4</v>
      </c>
      <c r="M125" s="26">
        <v>6.4</v>
      </c>
      <c r="N125" s="26">
        <v>12.8</v>
      </c>
    </row>
    <row r="126" spans="4:14">
      <c r="D126" s="21">
        <v>46106</v>
      </c>
      <c r="E126" s="22">
        <v>1588788</v>
      </c>
      <c r="F126" s="22" t="s">
        <v>20</v>
      </c>
      <c r="G126" s="22">
        <v>20324445</v>
      </c>
      <c r="H126" s="22" t="s">
        <v>32</v>
      </c>
      <c r="I126" s="22">
        <v>1</v>
      </c>
      <c r="J126" s="23" t="s">
        <v>22</v>
      </c>
      <c r="K126" s="24">
        <v>1</v>
      </c>
      <c r="L126" s="25">
        <v>6.4</v>
      </c>
      <c r="M126" s="26">
        <v>6.4</v>
      </c>
      <c r="N126" s="26">
        <v>6.4</v>
      </c>
    </row>
    <row r="127" spans="4:14">
      <c r="D127" s="21">
        <v>46106</v>
      </c>
      <c r="E127" s="22">
        <v>1588788</v>
      </c>
      <c r="F127" s="22" t="s">
        <v>20</v>
      </c>
      <c r="G127" s="22">
        <v>20324855</v>
      </c>
      <c r="H127" s="22" t="s">
        <v>33</v>
      </c>
      <c r="I127" s="22">
        <v>3</v>
      </c>
      <c r="J127" s="23" t="s">
        <v>22</v>
      </c>
      <c r="K127" s="24">
        <v>1</v>
      </c>
      <c r="L127" s="25">
        <v>6.4</v>
      </c>
      <c r="M127" s="26">
        <v>6.4</v>
      </c>
      <c r="N127" s="26">
        <v>19.2</v>
      </c>
    </row>
    <row r="128" spans="4:14">
      <c r="D128" s="21">
        <v>46106</v>
      </c>
      <c r="E128" s="22">
        <v>1588788</v>
      </c>
      <c r="F128" s="22" t="s">
        <v>20</v>
      </c>
      <c r="G128" s="22">
        <v>20324485</v>
      </c>
      <c r="H128" s="22" t="s">
        <v>41</v>
      </c>
      <c r="I128" s="22">
        <v>1</v>
      </c>
      <c r="J128" s="23" t="s">
        <v>22</v>
      </c>
      <c r="K128" s="24">
        <v>1</v>
      </c>
      <c r="L128" s="25">
        <v>6.4</v>
      </c>
      <c r="M128" s="26">
        <v>6.4</v>
      </c>
      <c r="N128" s="26">
        <v>6.4</v>
      </c>
    </row>
    <row r="129" ht="25.5" spans="4:14">
      <c r="D129" s="21">
        <v>46106</v>
      </c>
      <c r="E129" s="22">
        <v>1588788</v>
      </c>
      <c r="F129" s="22" t="s">
        <v>20</v>
      </c>
      <c r="G129" s="22">
        <v>20332831</v>
      </c>
      <c r="H129" s="22" t="s">
        <v>128</v>
      </c>
      <c r="I129" s="22">
        <v>1</v>
      </c>
      <c r="J129" s="28" t="s">
        <v>18</v>
      </c>
      <c r="K129" s="24">
        <f>M129/L129</f>
        <v>102</v>
      </c>
      <c r="L129" s="25">
        <v>4.4</v>
      </c>
      <c r="M129" s="26">
        <v>448.8</v>
      </c>
      <c r="N129" s="26">
        <v>448.8</v>
      </c>
    </row>
    <row r="130" spans="4:14">
      <c r="D130" s="21">
        <v>46106</v>
      </c>
      <c r="E130" s="22">
        <v>1588880</v>
      </c>
      <c r="F130" s="22" t="s">
        <v>20</v>
      </c>
      <c r="G130" s="22">
        <v>20332826</v>
      </c>
      <c r="H130" s="22" t="s">
        <v>100</v>
      </c>
      <c r="I130" s="22">
        <v>4</v>
      </c>
      <c r="J130" s="30" t="s">
        <v>39</v>
      </c>
      <c r="K130" s="24" t="s">
        <v>40</v>
      </c>
      <c r="L130" s="25">
        <v>70.4</v>
      </c>
      <c r="M130" s="26">
        <v>70.4</v>
      </c>
      <c r="N130" s="26">
        <v>281.6</v>
      </c>
    </row>
    <row r="131" spans="4:14">
      <c r="D131" s="21">
        <v>46106</v>
      </c>
      <c r="E131" s="22">
        <v>1588880</v>
      </c>
      <c r="F131" s="22" t="s">
        <v>20</v>
      </c>
      <c r="G131" s="22">
        <v>20325056</v>
      </c>
      <c r="H131" s="22" t="s">
        <v>116</v>
      </c>
      <c r="I131" s="22">
        <v>1</v>
      </c>
      <c r="J131" s="28" t="s">
        <v>117</v>
      </c>
      <c r="K131" s="24">
        <v>1</v>
      </c>
      <c r="L131" s="25">
        <f>30*0.8</f>
        <v>24</v>
      </c>
      <c r="M131" s="26">
        <v>24</v>
      </c>
      <c r="N131" s="26">
        <v>24</v>
      </c>
    </row>
    <row r="132" spans="4:14">
      <c r="D132" s="21">
        <v>46107</v>
      </c>
      <c r="E132" s="22">
        <v>1589213</v>
      </c>
      <c r="F132" s="22" t="s">
        <v>30</v>
      </c>
      <c r="G132" s="22">
        <v>20391366</v>
      </c>
      <c r="H132" s="22" t="s">
        <v>71</v>
      </c>
      <c r="I132" s="22">
        <v>7</v>
      </c>
      <c r="J132" s="28" t="s">
        <v>18</v>
      </c>
      <c r="K132" s="24">
        <f>M132/L132</f>
        <v>26</v>
      </c>
      <c r="L132" s="25">
        <v>4.4</v>
      </c>
      <c r="M132" s="26">
        <v>114.4</v>
      </c>
      <c r="N132" s="26">
        <v>800.8</v>
      </c>
    </row>
    <row r="133" spans="4:14">
      <c r="D133" s="21">
        <v>46107</v>
      </c>
      <c r="E133" s="22">
        <v>1589213</v>
      </c>
      <c r="F133" s="22" t="s">
        <v>20</v>
      </c>
      <c r="G133" s="22">
        <v>20324428</v>
      </c>
      <c r="H133" s="22" t="s">
        <v>44</v>
      </c>
      <c r="I133" s="22">
        <v>1</v>
      </c>
      <c r="J133" s="23" t="s">
        <v>22</v>
      </c>
      <c r="K133" s="24">
        <v>1</v>
      </c>
      <c r="L133" s="25">
        <v>6.4</v>
      </c>
      <c r="M133" s="26">
        <v>6.4</v>
      </c>
      <c r="N133" s="26">
        <v>6.4</v>
      </c>
    </row>
    <row r="134" spans="4:14">
      <c r="D134" s="21">
        <v>46107</v>
      </c>
      <c r="E134" s="22">
        <v>1589213</v>
      </c>
      <c r="F134" s="22" t="s">
        <v>20</v>
      </c>
      <c r="G134" s="22">
        <v>20324855</v>
      </c>
      <c r="H134" s="22" t="s">
        <v>33</v>
      </c>
      <c r="I134" s="22">
        <v>10</v>
      </c>
      <c r="J134" s="23" t="s">
        <v>22</v>
      </c>
      <c r="K134" s="24">
        <v>1</v>
      </c>
      <c r="L134" s="25">
        <v>6.4</v>
      </c>
      <c r="M134" s="26">
        <v>6.4</v>
      </c>
      <c r="N134" s="26">
        <v>64</v>
      </c>
    </row>
    <row r="135" ht="25.5" spans="4:14">
      <c r="D135" s="21">
        <v>46107</v>
      </c>
      <c r="E135" s="22">
        <v>1589213</v>
      </c>
      <c r="F135" s="22" t="s">
        <v>20</v>
      </c>
      <c r="G135" s="22">
        <v>20384192</v>
      </c>
      <c r="H135" s="22" t="s">
        <v>129</v>
      </c>
      <c r="I135" s="22">
        <v>1</v>
      </c>
      <c r="J135" s="28" t="s">
        <v>18</v>
      </c>
      <c r="K135" s="24" t="s">
        <v>130</v>
      </c>
      <c r="L135" s="25">
        <v>4.4</v>
      </c>
      <c r="M135" s="26">
        <f>L135*K135</f>
        <v>506</v>
      </c>
      <c r="N135" s="26">
        <v>506</v>
      </c>
    </row>
    <row r="136" spans="4:14">
      <c r="D136" s="21">
        <v>46107</v>
      </c>
      <c r="E136" s="22">
        <v>1589529</v>
      </c>
      <c r="F136" s="22" t="s">
        <v>30</v>
      </c>
      <c r="G136" s="22">
        <v>20391366</v>
      </c>
      <c r="H136" s="22" t="s">
        <v>71</v>
      </c>
      <c r="I136" s="22">
        <v>6</v>
      </c>
      <c r="J136" s="28" t="s">
        <v>18</v>
      </c>
      <c r="K136" s="24">
        <f>M136/L136</f>
        <v>26</v>
      </c>
      <c r="L136" s="25">
        <v>4.4</v>
      </c>
      <c r="M136" s="26">
        <v>114.4</v>
      </c>
      <c r="N136" s="26">
        <v>686.4</v>
      </c>
    </row>
    <row r="137" spans="4:14">
      <c r="D137" s="21">
        <v>46107</v>
      </c>
      <c r="E137" s="22">
        <v>1589529</v>
      </c>
      <c r="F137" s="22" t="s">
        <v>20</v>
      </c>
      <c r="G137" s="22">
        <v>20324428</v>
      </c>
      <c r="H137" s="22" t="s">
        <v>44</v>
      </c>
      <c r="I137" s="22">
        <v>1</v>
      </c>
      <c r="J137" s="23" t="s">
        <v>22</v>
      </c>
      <c r="K137" s="24">
        <v>1</v>
      </c>
      <c r="L137" s="25">
        <v>6.4</v>
      </c>
      <c r="M137" s="26">
        <v>6.4</v>
      </c>
      <c r="N137" s="26">
        <v>6.4</v>
      </c>
    </row>
    <row r="138" spans="4:14">
      <c r="D138" s="21">
        <v>46107</v>
      </c>
      <c r="E138" s="22">
        <v>1589529</v>
      </c>
      <c r="F138" s="22" t="s">
        <v>20</v>
      </c>
      <c r="G138" s="22">
        <v>20324445</v>
      </c>
      <c r="H138" s="22" t="s">
        <v>32</v>
      </c>
      <c r="I138" s="22">
        <v>2</v>
      </c>
      <c r="J138" s="23" t="s">
        <v>22</v>
      </c>
      <c r="K138" s="24">
        <v>1</v>
      </c>
      <c r="L138" s="25">
        <v>6.4</v>
      </c>
      <c r="M138" s="26">
        <v>6.4</v>
      </c>
      <c r="N138" s="26">
        <v>12.8</v>
      </c>
    </row>
    <row r="139" spans="4:14">
      <c r="D139" s="21">
        <v>46107</v>
      </c>
      <c r="E139" s="22">
        <v>1589529</v>
      </c>
      <c r="F139" s="22" t="s">
        <v>20</v>
      </c>
      <c r="G139" s="22">
        <v>20324370</v>
      </c>
      <c r="H139" s="22" t="s">
        <v>95</v>
      </c>
      <c r="I139" s="22">
        <v>1</v>
      </c>
      <c r="J139" s="23" t="s">
        <v>22</v>
      </c>
      <c r="K139" s="24">
        <v>1</v>
      </c>
      <c r="L139" s="25">
        <v>6.4</v>
      </c>
      <c r="M139" s="26">
        <v>6.4</v>
      </c>
      <c r="N139" s="26">
        <v>6.4</v>
      </c>
    </row>
    <row r="140" spans="4:14">
      <c r="D140" s="21">
        <v>46107</v>
      </c>
      <c r="E140" s="22">
        <v>1589529</v>
      </c>
      <c r="F140" s="22" t="s">
        <v>20</v>
      </c>
      <c r="G140" s="22">
        <v>20324855</v>
      </c>
      <c r="H140" s="22" t="s">
        <v>33</v>
      </c>
      <c r="I140" s="22">
        <v>3</v>
      </c>
      <c r="J140" s="23" t="s">
        <v>22</v>
      </c>
      <c r="K140" s="24">
        <v>1</v>
      </c>
      <c r="L140" s="25">
        <v>6.4</v>
      </c>
      <c r="M140" s="26">
        <v>6.4</v>
      </c>
      <c r="N140" s="26">
        <v>19.2</v>
      </c>
    </row>
    <row r="141" ht="25.5" spans="4:14">
      <c r="D141" s="21">
        <v>46107</v>
      </c>
      <c r="E141" s="22">
        <v>1589529</v>
      </c>
      <c r="F141" s="22" t="s">
        <v>20</v>
      </c>
      <c r="G141" s="22">
        <v>20327669</v>
      </c>
      <c r="H141" s="22" t="s">
        <v>131</v>
      </c>
      <c r="I141" s="22">
        <v>1</v>
      </c>
      <c r="J141" s="28" t="s">
        <v>18</v>
      </c>
      <c r="K141" s="24">
        <f>M141/L141</f>
        <v>80</v>
      </c>
      <c r="L141" s="25">
        <v>4.4</v>
      </c>
      <c r="M141" s="26">
        <v>352</v>
      </c>
      <c r="N141" s="26">
        <v>352</v>
      </c>
    </row>
    <row r="142" spans="4:14">
      <c r="D142" s="21">
        <v>46108</v>
      </c>
      <c r="E142" s="22">
        <v>1589623</v>
      </c>
      <c r="F142" s="22" t="s">
        <v>20</v>
      </c>
      <c r="G142" s="22">
        <v>20332826</v>
      </c>
      <c r="H142" s="22" t="s">
        <v>100</v>
      </c>
      <c r="I142" s="22">
        <v>6</v>
      </c>
      <c r="J142" s="30" t="s">
        <v>39</v>
      </c>
      <c r="K142" s="24" t="s">
        <v>40</v>
      </c>
      <c r="L142" s="25">
        <v>70.4</v>
      </c>
      <c r="M142" s="26">
        <v>70.4</v>
      </c>
      <c r="N142" s="26">
        <v>422.4</v>
      </c>
    </row>
    <row r="143" spans="4:14">
      <c r="D143" s="21">
        <v>46108</v>
      </c>
      <c r="E143" s="22">
        <v>1589944</v>
      </c>
      <c r="F143" s="22" t="s">
        <v>30</v>
      </c>
      <c r="G143" s="22">
        <v>20391366</v>
      </c>
      <c r="H143" s="22" t="s">
        <v>71</v>
      </c>
      <c r="I143" s="22">
        <v>6</v>
      </c>
      <c r="J143" s="28" t="s">
        <v>18</v>
      </c>
      <c r="K143" s="24">
        <f>M143/L143</f>
        <v>26</v>
      </c>
      <c r="L143" s="25">
        <v>4.4</v>
      </c>
      <c r="M143" s="26">
        <v>114.4</v>
      </c>
      <c r="N143" s="26">
        <v>686.4</v>
      </c>
    </row>
    <row r="144" spans="4:14">
      <c r="D144" s="21">
        <v>46108</v>
      </c>
      <c r="E144" s="22">
        <v>1589944</v>
      </c>
      <c r="F144" s="22" t="s">
        <v>20</v>
      </c>
      <c r="G144" s="22">
        <v>20324428</v>
      </c>
      <c r="H144" s="22" t="s">
        <v>44</v>
      </c>
      <c r="I144" s="22">
        <v>2</v>
      </c>
      <c r="J144" s="23" t="s">
        <v>22</v>
      </c>
      <c r="K144" s="24">
        <v>1</v>
      </c>
      <c r="L144" s="25">
        <v>6.4</v>
      </c>
      <c r="M144" s="26">
        <v>6.4</v>
      </c>
      <c r="N144" s="26">
        <v>12.8</v>
      </c>
    </row>
    <row r="145" spans="4:14">
      <c r="D145" s="21">
        <v>46108</v>
      </c>
      <c r="E145" s="22">
        <v>1589944</v>
      </c>
      <c r="F145" s="22" t="s">
        <v>20</v>
      </c>
      <c r="G145" s="22">
        <v>20324445</v>
      </c>
      <c r="H145" s="22" t="s">
        <v>32</v>
      </c>
      <c r="I145" s="22">
        <v>1</v>
      </c>
      <c r="J145" s="23" t="s">
        <v>22</v>
      </c>
      <c r="K145" s="24">
        <v>1</v>
      </c>
      <c r="L145" s="25">
        <v>6.4</v>
      </c>
      <c r="M145" s="26">
        <v>6.4</v>
      </c>
      <c r="N145" s="26">
        <v>6.4</v>
      </c>
    </row>
    <row r="146" spans="4:14">
      <c r="D146" s="21">
        <v>46108</v>
      </c>
      <c r="E146" s="22">
        <v>1589944</v>
      </c>
      <c r="F146" s="22" t="s">
        <v>20</v>
      </c>
      <c r="G146" s="22">
        <v>20324855</v>
      </c>
      <c r="H146" s="22" t="s">
        <v>33</v>
      </c>
      <c r="I146" s="22">
        <v>5</v>
      </c>
      <c r="J146" s="23" t="s">
        <v>22</v>
      </c>
      <c r="K146" s="24">
        <v>1</v>
      </c>
      <c r="L146" s="25">
        <v>6.4</v>
      </c>
      <c r="M146" s="26">
        <v>6.4</v>
      </c>
      <c r="N146" s="26">
        <v>32</v>
      </c>
    </row>
    <row r="147" ht="25.5" spans="4:14">
      <c r="D147" s="21">
        <v>46108</v>
      </c>
      <c r="E147" s="22">
        <v>1589944</v>
      </c>
      <c r="F147" s="22" t="s">
        <v>20</v>
      </c>
      <c r="G147" s="22">
        <v>20327669</v>
      </c>
      <c r="H147" s="22" t="s">
        <v>132</v>
      </c>
      <c r="I147" s="22">
        <v>1</v>
      </c>
      <c r="J147" s="28" t="s">
        <v>18</v>
      </c>
      <c r="K147" s="24">
        <f t="shared" ref="K147:K153" si="8">M147/L147</f>
        <v>76</v>
      </c>
      <c r="L147" s="25">
        <v>4.4</v>
      </c>
      <c r="M147" s="26">
        <v>334.4</v>
      </c>
      <c r="N147" s="26">
        <v>334.4</v>
      </c>
    </row>
    <row r="148" spans="4:14">
      <c r="D148" s="21">
        <v>46110</v>
      </c>
      <c r="E148" s="22">
        <v>1590154</v>
      </c>
      <c r="F148" s="22" t="s">
        <v>20</v>
      </c>
      <c r="G148" s="22">
        <v>20332826</v>
      </c>
      <c r="H148" s="22" t="s">
        <v>100</v>
      </c>
      <c r="I148" s="22">
        <v>5</v>
      </c>
      <c r="J148" s="30" t="s">
        <v>39</v>
      </c>
      <c r="K148" s="24" t="s">
        <v>40</v>
      </c>
      <c r="L148" s="25">
        <v>70.4</v>
      </c>
      <c r="M148" s="26">
        <v>70.4</v>
      </c>
      <c r="N148" s="26">
        <v>352</v>
      </c>
    </row>
    <row r="149" spans="4:14">
      <c r="D149" s="21">
        <v>46110</v>
      </c>
      <c r="E149" s="22">
        <v>1590185</v>
      </c>
      <c r="F149" s="22" t="s">
        <v>30</v>
      </c>
      <c r="G149" s="22">
        <v>20391366</v>
      </c>
      <c r="H149" s="22" t="s">
        <v>71</v>
      </c>
      <c r="I149" s="22">
        <v>4</v>
      </c>
      <c r="J149" s="28" t="s">
        <v>18</v>
      </c>
      <c r="K149" s="24">
        <f t="shared" si="8"/>
        <v>26</v>
      </c>
      <c r="L149" s="25">
        <v>4.4</v>
      </c>
      <c r="M149" s="26">
        <v>114.4</v>
      </c>
      <c r="N149" s="26">
        <v>457.6</v>
      </c>
    </row>
    <row r="150" spans="4:14">
      <c r="D150" s="21">
        <v>46110</v>
      </c>
      <c r="E150" s="22">
        <v>1590185</v>
      </c>
      <c r="F150" s="22" t="s">
        <v>20</v>
      </c>
      <c r="G150" s="22">
        <v>20324855</v>
      </c>
      <c r="H150" s="22" t="s">
        <v>33</v>
      </c>
      <c r="I150" s="22">
        <v>1</v>
      </c>
      <c r="J150" s="23" t="s">
        <v>22</v>
      </c>
      <c r="K150" s="24">
        <v>1</v>
      </c>
      <c r="L150" s="25">
        <v>6.4</v>
      </c>
      <c r="M150" s="26">
        <v>6.4</v>
      </c>
      <c r="N150" s="26">
        <v>6.4</v>
      </c>
    </row>
    <row r="151" spans="4:14">
      <c r="D151" s="21">
        <v>46110</v>
      </c>
      <c r="E151" s="22">
        <v>1590185</v>
      </c>
      <c r="F151" s="22" t="s">
        <v>20</v>
      </c>
      <c r="G151" s="22">
        <v>20324485</v>
      </c>
      <c r="H151" s="22" t="s">
        <v>41</v>
      </c>
      <c r="I151" s="22">
        <v>1</v>
      </c>
      <c r="J151" s="23" t="s">
        <v>22</v>
      </c>
      <c r="K151" s="24">
        <v>1</v>
      </c>
      <c r="L151" s="25">
        <v>6.4</v>
      </c>
      <c r="M151" s="26">
        <v>6.4</v>
      </c>
      <c r="N151" s="26">
        <v>6.4</v>
      </c>
    </row>
    <row r="152" ht="25.5" spans="4:14">
      <c r="D152" s="21">
        <v>46110</v>
      </c>
      <c r="E152" s="22">
        <v>1590185</v>
      </c>
      <c r="F152" s="22" t="s">
        <v>20</v>
      </c>
      <c r="G152" s="22">
        <v>20327669</v>
      </c>
      <c r="H152" s="22" t="s">
        <v>133</v>
      </c>
      <c r="I152" s="22">
        <v>1</v>
      </c>
      <c r="J152" s="28" t="s">
        <v>18</v>
      </c>
      <c r="K152" s="24">
        <f t="shared" si="8"/>
        <v>76</v>
      </c>
      <c r="L152" s="25">
        <v>4.4</v>
      </c>
      <c r="M152" s="26">
        <v>334.4</v>
      </c>
      <c r="N152" s="26">
        <v>334.4</v>
      </c>
    </row>
    <row r="153" spans="4:14">
      <c r="D153" s="21">
        <v>46111</v>
      </c>
      <c r="E153" s="22">
        <v>1590256</v>
      </c>
      <c r="F153" s="22" t="s">
        <v>30</v>
      </c>
      <c r="G153" s="22">
        <v>20391366</v>
      </c>
      <c r="H153" s="22" t="s">
        <v>71</v>
      </c>
      <c r="I153" s="22">
        <v>4</v>
      </c>
      <c r="J153" s="28" t="s">
        <v>18</v>
      </c>
      <c r="K153" s="24">
        <f t="shared" si="8"/>
        <v>26</v>
      </c>
      <c r="L153" s="25">
        <v>4.4</v>
      </c>
      <c r="M153" s="26">
        <v>114.4</v>
      </c>
      <c r="N153" s="26">
        <v>457.6</v>
      </c>
    </row>
    <row r="154" spans="4:14">
      <c r="D154" s="21">
        <v>46111</v>
      </c>
      <c r="E154" s="22">
        <v>1590256</v>
      </c>
      <c r="F154" s="22" t="s">
        <v>20</v>
      </c>
      <c r="G154" s="22">
        <v>20324428</v>
      </c>
      <c r="H154" s="22" t="s">
        <v>44</v>
      </c>
      <c r="I154" s="22">
        <v>1</v>
      </c>
      <c r="J154" s="23" t="s">
        <v>22</v>
      </c>
      <c r="K154" s="24">
        <v>1</v>
      </c>
      <c r="L154" s="25">
        <v>6.4</v>
      </c>
      <c r="M154" s="26">
        <v>6.4</v>
      </c>
      <c r="N154" s="26">
        <v>6.4</v>
      </c>
    </row>
    <row r="155" spans="4:14">
      <c r="D155" s="21">
        <v>46111</v>
      </c>
      <c r="E155" s="22">
        <v>1590256</v>
      </c>
      <c r="F155" s="22" t="s">
        <v>20</v>
      </c>
      <c r="G155" s="22">
        <v>20324445</v>
      </c>
      <c r="H155" s="22" t="s">
        <v>32</v>
      </c>
      <c r="I155" s="22">
        <v>1</v>
      </c>
      <c r="J155" s="23" t="s">
        <v>22</v>
      </c>
      <c r="K155" s="24">
        <v>1</v>
      </c>
      <c r="L155" s="25">
        <v>6.4</v>
      </c>
      <c r="M155" s="26">
        <v>6.4</v>
      </c>
      <c r="N155" s="26">
        <v>6.4</v>
      </c>
    </row>
    <row r="156" spans="4:14">
      <c r="D156" s="21">
        <v>46111</v>
      </c>
      <c r="E156" s="22">
        <v>1590256</v>
      </c>
      <c r="F156" s="22" t="s">
        <v>20</v>
      </c>
      <c r="G156" s="22">
        <v>20324855</v>
      </c>
      <c r="H156" s="22" t="s">
        <v>33</v>
      </c>
      <c r="I156" s="22">
        <v>2</v>
      </c>
      <c r="J156" s="23" t="s">
        <v>22</v>
      </c>
      <c r="K156" s="24">
        <v>1</v>
      </c>
      <c r="L156" s="25">
        <v>6.4</v>
      </c>
      <c r="M156" s="26">
        <v>6.4</v>
      </c>
      <c r="N156" s="26">
        <v>12.8</v>
      </c>
    </row>
    <row r="157" ht="25.5" spans="4:14">
      <c r="D157" s="21">
        <v>46111</v>
      </c>
      <c r="E157" s="22">
        <v>1590256</v>
      </c>
      <c r="F157" s="22" t="s">
        <v>20</v>
      </c>
      <c r="G157" s="22">
        <v>20335080</v>
      </c>
      <c r="H157" s="22" t="s">
        <v>134</v>
      </c>
      <c r="I157" s="22">
        <v>1</v>
      </c>
      <c r="J157" s="28" t="s">
        <v>18</v>
      </c>
      <c r="K157" s="24">
        <f>M157/L157</f>
        <v>78</v>
      </c>
      <c r="L157" s="25">
        <v>4.4</v>
      </c>
      <c r="M157" s="26">
        <v>343.2</v>
      </c>
      <c r="N157" s="26">
        <v>343.2</v>
      </c>
    </row>
    <row r="158" spans="4:14">
      <c r="D158" s="21">
        <v>46111</v>
      </c>
      <c r="E158" s="22">
        <v>1590444</v>
      </c>
      <c r="F158" s="22" t="s">
        <v>30</v>
      </c>
      <c r="G158" s="22">
        <v>20391366</v>
      </c>
      <c r="H158" s="22" t="s">
        <v>71</v>
      </c>
      <c r="I158" s="22">
        <v>4</v>
      </c>
      <c r="J158" s="28" t="s">
        <v>18</v>
      </c>
      <c r="K158" s="24">
        <f>M158/L158</f>
        <v>26</v>
      </c>
      <c r="L158" s="25">
        <v>4.4</v>
      </c>
      <c r="M158" s="26">
        <v>114.4</v>
      </c>
      <c r="N158" s="26">
        <v>457.6</v>
      </c>
    </row>
    <row r="159" spans="4:14">
      <c r="D159" s="21">
        <v>46111</v>
      </c>
      <c r="E159" s="22">
        <v>1590444</v>
      </c>
      <c r="F159" s="22" t="s">
        <v>20</v>
      </c>
      <c r="G159" s="22">
        <v>20324855</v>
      </c>
      <c r="H159" s="22" t="s">
        <v>33</v>
      </c>
      <c r="I159" s="22">
        <v>2</v>
      </c>
      <c r="J159" s="23" t="s">
        <v>22</v>
      </c>
      <c r="K159" s="24">
        <v>1</v>
      </c>
      <c r="L159" s="25">
        <v>6.4</v>
      </c>
      <c r="M159" s="26">
        <v>6.4</v>
      </c>
      <c r="N159" s="26">
        <v>12.8</v>
      </c>
    </row>
    <row r="160" ht="25.5" spans="4:14">
      <c r="D160" s="21">
        <v>46111</v>
      </c>
      <c r="E160" s="22">
        <v>1590456</v>
      </c>
      <c r="F160" s="22" t="s">
        <v>20</v>
      </c>
      <c r="G160" s="22">
        <v>20327669</v>
      </c>
      <c r="H160" s="22" t="s">
        <v>135</v>
      </c>
      <c r="I160" s="22">
        <v>1</v>
      </c>
      <c r="J160" s="28" t="s">
        <v>18</v>
      </c>
      <c r="K160" s="24">
        <f>M160/L160</f>
        <v>66</v>
      </c>
      <c r="L160" s="25">
        <v>4.4</v>
      </c>
      <c r="M160" s="26">
        <v>290.4</v>
      </c>
      <c r="N160" s="26">
        <v>290.4</v>
      </c>
    </row>
    <row r="161" spans="4:14">
      <c r="D161" s="21">
        <v>46112</v>
      </c>
      <c r="E161" s="22">
        <v>1590557</v>
      </c>
      <c r="F161" s="22" t="s">
        <v>20</v>
      </c>
      <c r="G161" s="22">
        <v>20332826</v>
      </c>
      <c r="H161" s="22" t="s">
        <v>100</v>
      </c>
      <c r="I161" s="22">
        <v>4</v>
      </c>
      <c r="J161" s="30" t="s">
        <v>39</v>
      </c>
      <c r="K161" s="24" t="s">
        <v>40</v>
      </c>
      <c r="L161" s="25">
        <v>70.4</v>
      </c>
      <c r="M161" s="26">
        <v>70.4</v>
      </c>
      <c r="N161" s="26">
        <v>281.6</v>
      </c>
    </row>
    <row r="162" spans="4:14">
      <c r="D162" s="21">
        <v>46112</v>
      </c>
      <c r="E162" s="22">
        <v>1590879</v>
      </c>
      <c r="F162" s="22" t="s">
        <v>30</v>
      </c>
      <c r="G162" s="22">
        <v>20391366</v>
      </c>
      <c r="H162" s="22" t="s">
        <v>71</v>
      </c>
      <c r="I162" s="22">
        <v>6</v>
      </c>
      <c r="J162" s="28" t="s">
        <v>18</v>
      </c>
      <c r="K162" s="24">
        <f>M162/L162</f>
        <v>26</v>
      </c>
      <c r="L162" s="25">
        <v>4.4</v>
      </c>
      <c r="M162" s="26">
        <v>114.4</v>
      </c>
      <c r="N162" s="26">
        <v>686.4</v>
      </c>
    </row>
    <row r="163" spans="4:14">
      <c r="D163" s="21">
        <v>46112</v>
      </c>
      <c r="E163" s="22">
        <v>1590879</v>
      </c>
      <c r="F163" s="22" t="s">
        <v>20</v>
      </c>
      <c r="G163" s="22">
        <v>20324428</v>
      </c>
      <c r="H163" s="22" t="s">
        <v>44</v>
      </c>
      <c r="I163" s="22">
        <v>1</v>
      </c>
      <c r="J163" s="23" t="s">
        <v>22</v>
      </c>
      <c r="K163" s="24">
        <v>1</v>
      </c>
      <c r="L163" s="25">
        <v>6.4</v>
      </c>
      <c r="M163" s="26">
        <v>6.4</v>
      </c>
      <c r="N163" s="26">
        <v>6.4</v>
      </c>
    </row>
    <row r="164" spans="4:14">
      <c r="D164" s="21">
        <v>46112</v>
      </c>
      <c r="E164" s="22">
        <v>1590879</v>
      </c>
      <c r="F164" s="22" t="s">
        <v>20</v>
      </c>
      <c r="G164" s="22">
        <v>20324445</v>
      </c>
      <c r="H164" s="22" t="s">
        <v>32</v>
      </c>
      <c r="I164" s="22">
        <v>1</v>
      </c>
      <c r="J164" s="23" t="s">
        <v>22</v>
      </c>
      <c r="K164" s="24">
        <v>1</v>
      </c>
      <c r="L164" s="25">
        <v>6.4</v>
      </c>
      <c r="M164" s="26">
        <v>6.4</v>
      </c>
      <c r="N164" s="26">
        <v>6.4</v>
      </c>
    </row>
    <row r="165" spans="4:14">
      <c r="D165" s="21">
        <v>46112</v>
      </c>
      <c r="E165" s="22">
        <v>1590879</v>
      </c>
      <c r="F165" s="22" t="s">
        <v>20</v>
      </c>
      <c r="G165" s="22">
        <v>20324855</v>
      </c>
      <c r="H165" s="22" t="s">
        <v>33</v>
      </c>
      <c r="I165" s="22">
        <v>2</v>
      </c>
      <c r="J165" s="23" t="s">
        <v>22</v>
      </c>
      <c r="K165" s="24">
        <v>1</v>
      </c>
      <c r="L165" s="25">
        <v>6.4</v>
      </c>
      <c r="M165" s="26">
        <v>6.4</v>
      </c>
      <c r="N165" s="26">
        <v>12.8</v>
      </c>
    </row>
    <row r="166" spans="4:14">
      <c r="D166" s="21">
        <v>46112</v>
      </c>
      <c r="E166" s="22">
        <v>1590879</v>
      </c>
      <c r="F166" s="22" t="s">
        <v>20</v>
      </c>
      <c r="G166" s="22">
        <v>20324485</v>
      </c>
      <c r="H166" s="22" t="s">
        <v>41</v>
      </c>
      <c r="I166" s="22">
        <v>1</v>
      </c>
      <c r="J166" s="23" t="s">
        <v>22</v>
      </c>
      <c r="K166" s="24">
        <v>1</v>
      </c>
      <c r="L166" s="25">
        <v>6.4</v>
      </c>
      <c r="M166" s="26">
        <v>6.4</v>
      </c>
      <c r="N166" s="26">
        <v>6.4</v>
      </c>
    </row>
  </sheetData>
  <autoFilter xmlns:etc="http://www.wps.cn/officeDocument/2017/etCustomData" ref="A7:N166" etc:filterBottomFollowUsedRange="0">
    <extLst/>
  </autoFilter>
  <mergeCells count="5">
    <mergeCell ref="D8:H8"/>
    <mergeCell ref="C7:C166"/>
    <mergeCell ref="B4:H5"/>
    <mergeCell ref="A7:B166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H27" sqref="H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2" width="17.12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136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</v>
      </c>
      <c r="J8" s="11"/>
      <c r="K8" s="67"/>
      <c r="L8" s="67"/>
      <c r="M8" s="14"/>
      <c r="N8" s="14">
        <v>15.2</v>
      </c>
    </row>
    <row r="9" spans="1:14">
      <c r="D9" s="15">
        <v>46090</v>
      </c>
      <c r="E9" s="16">
        <v>1583378</v>
      </c>
      <c r="F9" s="16" t="s">
        <v>20</v>
      </c>
      <c r="G9" s="16">
        <v>20324557</v>
      </c>
      <c r="H9" s="16" t="s">
        <v>137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46090</v>
      </c>
      <c r="E10" s="22">
        <v>1583378</v>
      </c>
      <c r="F10" s="22" t="s">
        <v>20</v>
      </c>
      <c r="G10" s="22">
        <v>20324559</v>
      </c>
      <c r="H10" s="22" t="s">
        <v>138</v>
      </c>
      <c r="I10" s="22">
        <v>1</v>
      </c>
      <c r="J10" s="27" t="s">
        <v>25</v>
      </c>
      <c r="K10" s="24">
        <v>1</v>
      </c>
      <c r="L10" s="25">
        <v>8.8</v>
      </c>
      <c r="M10" s="26">
        <v>8.8</v>
      </c>
      <c r="N10" s="26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6"/>
  <sheetViews>
    <sheetView showGridLines="0" view="pageBreakPreview" zoomScaleNormal="100" topLeftCell="E1" workbookViewId="0">
      <pane ySplit="6" topLeftCell="A97" activePane="bottomLeft" state="frozen"/>
      <selection/>
      <selection pane="bottomLeft" activeCell="N9" sqref="N9:N1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125" customWidth="1"/>
    <col min="12" max="12" width="12.37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139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151</v>
      </c>
      <c r="J8" s="11"/>
      <c r="K8" s="67"/>
      <c r="L8" s="67"/>
      <c r="M8" s="14"/>
      <c r="N8" s="14">
        <v>4148</v>
      </c>
    </row>
    <row r="9" spans="1:14">
      <c r="D9" s="15">
        <v>46083</v>
      </c>
      <c r="E9" s="16">
        <v>1581563</v>
      </c>
      <c r="F9" s="16" t="s">
        <v>20</v>
      </c>
      <c r="G9" s="16">
        <v>20324382</v>
      </c>
      <c r="H9" s="16" t="s">
        <v>140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46083</v>
      </c>
      <c r="E10" s="22">
        <v>1581563</v>
      </c>
      <c r="F10" s="22" t="s">
        <v>20</v>
      </c>
      <c r="G10" s="22">
        <v>20330459</v>
      </c>
      <c r="H10" s="22" t="s">
        <v>141</v>
      </c>
      <c r="I10" s="22">
        <v>1</v>
      </c>
      <c r="J10" s="23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46083</v>
      </c>
      <c r="E11" s="22">
        <v>1581563</v>
      </c>
      <c r="F11" s="22" t="s">
        <v>20</v>
      </c>
      <c r="G11" s="22">
        <v>20324364</v>
      </c>
      <c r="H11" s="22" t="s">
        <v>23</v>
      </c>
      <c r="I11" s="22">
        <v>2</v>
      </c>
      <c r="J11" s="23" t="s">
        <v>22</v>
      </c>
      <c r="K11" s="24">
        <v>1</v>
      </c>
      <c r="L11" s="25">
        <v>6.4</v>
      </c>
      <c r="M11" s="26">
        <v>6.4</v>
      </c>
      <c r="N11" s="26">
        <v>12.8</v>
      </c>
    </row>
    <row r="12" spans="1:14">
      <c r="D12" s="21">
        <v>46083</v>
      </c>
      <c r="E12" s="22">
        <v>1581563</v>
      </c>
      <c r="F12" s="22" t="s">
        <v>20</v>
      </c>
      <c r="G12" s="22">
        <v>20324691</v>
      </c>
      <c r="H12" s="22" t="s">
        <v>24</v>
      </c>
      <c r="I12" s="22">
        <v>1</v>
      </c>
      <c r="J12" s="27" t="s">
        <v>25</v>
      </c>
      <c r="K12" s="24">
        <v>1</v>
      </c>
      <c r="L12" s="25">
        <v>8.8</v>
      </c>
      <c r="M12" s="26">
        <v>8.8</v>
      </c>
      <c r="N12" s="26">
        <v>8.8</v>
      </c>
    </row>
    <row r="13" spans="1:14">
      <c r="D13" s="21">
        <v>46083</v>
      </c>
      <c r="E13" s="22">
        <v>1581563</v>
      </c>
      <c r="F13" s="22" t="s">
        <v>20</v>
      </c>
      <c r="G13" s="22">
        <v>20324403</v>
      </c>
      <c r="H13" s="22" t="s">
        <v>142</v>
      </c>
      <c r="I13" s="22">
        <v>3</v>
      </c>
      <c r="J13" s="23" t="s">
        <v>22</v>
      </c>
      <c r="K13" s="24">
        <v>1</v>
      </c>
      <c r="L13" s="25">
        <v>6.4</v>
      </c>
      <c r="M13" s="26">
        <v>6.4</v>
      </c>
      <c r="N13" s="26">
        <v>19.2</v>
      </c>
    </row>
    <row r="14" spans="1:14">
      <c r="D14" s="21">
        <v>46083</v>
      </c>
      <c r="E14" s="22">
        <v>1581563</v>
      </c>
      <c r="F14" s="22" t="s">
        <v>20</v>
      </c>
      <c r="G14" s="22">
        <v>20366999</v>
      </c>
      <c r="H14" s="22" t="s">
        <v>143</v>
      </c>
      <c r="I14" s="22">
        <v>1</v>
      </c>
      <c r="J14" s="27" t="s">
        <v>25</v>
      </c>
      <c r="K14" s="24">
        <v>1</v>
      </c>
      <c r="L14" s="25">
        <v>8.8</v>
      </c>
      <c r="M14" s="26">
        <v>8.8</v>
      </c>
      <c r="N14" s="26">
        <v>8.8</v>
      </c>
    </row>
    <row r="15" spans="1:14">
      <c r="D15" s="21">
        <v>46083</v>
      </c>
      <c r="E15" s="22">
        <v>1581563</v>
      </c>
      <c r="F15" s="22" t="s">
        <v>20</v>
      </c>
      <c r="G15" s="22">
        <v>20367695</v>
      </c>
      <c r="H15" s="22" t="s">
        <v>144</v>
      </c>
      <c r="I15" s="22">
        <v>1</v>
      </c>
      <c r="J15" s="27" t="s">
        <v>145</v>
      </c>
      <c r="K15" s="24">
        <f t="shared" ref="K15:K21" si="0">M15/L15</f>
        <v>3</v>
      </c>
      <c r="L15" s="25">
        <v>4.4</v>
      </c>
      <c r="M15" s="26">
        <v>13.2</v>
      </c>
      <c r="N15" s="26">
        <v>13.2</v>
      </c>
    </row>
    <row r="16" spans="1:14">
      <c r="D16" s="21">
        <v>46083</v>
      </c>
      <c r="E16" s="22">
        <v>1581563</v>
      </c>
      <c r="F16" s="22" t="s">
        <v>20</v>
      </c>
      <c r="G16" s="22">
        <v>20324367</v>
      </c>
      <c r="H16" s="22" t="s">
        <v>146</v>
      </c>
      <c r="I16" s="22">
        <v>1</v>
      </c>
      <c r="J16" s="23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46083</v>
      </c>
      <c r="E17" s="22">
        <v>1581563</v>
      </c>
      <c r="F17" s="22" t="s">
        <v>20</v>
      </c>
      <c r="G17" s="22">
        <v>20324402</v>
      </c>
      <c r="H17" s="22" t="s">
        <v>147</v>
      </c>
      <c r="I17" s="22">
        <v>1</v>
      </c>
      <c r="J17" s="27" t="s">
        <v>25</v>
      </c>
      <c r="K17" s="24">
        <v>1</v>
      </c>
      <c r="L17" s="25">
        <v>8.8</v>
      </c>
      <c r="M17" s="26">
        <v>8.8</v>
      </c>
      <c r="N17" s="26">
        <v>8.8</v>
      </c>
    </row>
    <row r="18" spans="4:14">
      <c r="D18" s="21">
        <v>46083</v>
      </c>
      <c r="E18" s="22">
        <v>1581563</v>
      </c>
      <c r="F18" s="22" t="s">
        <v>16</v>
      </c>
      <c r="G18" s="22">
        <v>20324494</v>
      </c>
      <c r="H18" s="22" t="s">
        <v>148</v>
      </c>
      <c r="I18" s="22">
        <v>6</v>
      </c>
      <c r="J18" s="28" t="s">
        <v>18</v>
      </c>
      <c r="K18" s="24">
        <f t="shared" si="0"/>
        <v>11</v>
      </c>
      <c r="L18" s="25">
        <v>4.4</v>
      </c>
      <c r="M18" s="26">
        <v>48.4</v>
      </c>
      <c r="N18" s="26">
        <v>290.4</v>
      </c>
    </row>
    <row r="19" spans="4:14">
      <c r="D19" s="21">
        <v>46083</v>
      </c>
      <c r="E19" s="22">
        <v>1581563</v>
      </c>
      <c r="F19" s="22" t="s">
        <v>16</v>
      </c>
      <c r="G19" s="22">
        <v>20324493</v>
      </c>
      <c r="H19" s="22" t="s">
        <v>149</v>
      </c>
      <c r="I19" s="22">
        <v>2</v>
      </c>
      <c r="J19" s="28" t="s">
        <v>18</v>
      </c>
      <c r="K19" s="24">
        <f t="shared" si="0"/>
        <v>15</v>
      </c>
      <c r="L19" s="25">
        <v>4.4</v>
      </c>
      <c r="M19" s="26">
        <v>66</v>
      </c>
      <c r="N19" s="26">
        <v>132</v>
      </c>
    </row>
    <row r="20" spans="4:14">
      <c r="D20" s="21">
        <v>46083</v>
      </c>
      <c r="E20" s="22">
        <v>1581563</v>
      </c>
      <c r="F20" s="22" t="s">
        <v>16</v>
      </c>
      <c r="G20" s="22">
        <v>20324492</v>
      </c>
      <c r="H20" s="22" t="s">
        <v>150</v>
      </c>
      <c r="I20" s="22">
        <v>1</v>
      </c>
      <c r="J20" s="28" t="s">
        <v>18</v>
      </c>
      <c r="K20" s="24">
        <f t="shared" si="0"/>
        <v>3</v>
      </c>
      <c r="L20" s="25">
        <v>4.4</v>
      </c>
      <c r="M20" s="26">
        <v>13.2</v>
      </c>
      <c r="N20" s="26">
        <v>13.2</v>
      </c>
    </row>
    <row r="21" spans="4:14">
      <c r="D21" s="21">
        <v>46083</v>
      </c>
      <c r="E21" s="22">
        <v>1581563</v>
      </c>
      <c r="F21" s="22" t="s">
        <v>20</v>
      </c>
      <c r="G21" s="22">
        <v>20324717</v>
      </c>
      <c r="H21" s="22" t="s">
        <v>151</v>
      </c>
      <c r="I21" s="22">
        <v>1</v>
      </c>
      <c r="J21" s="28" t="s">
        <v>18</v>
      </c>
      <c r="K21" s="24">
        <f t="shared" si="0"/>
        <v>3</v>
      </c>
      <c r="L21" s="25">
        <v>4.4</v>
      </c>
      <c r="M21" s="26">
        <v>13.2</v>
      </c>
      <c r="N21" s="26">
        <v>13.2</v>
      </c>
    </row>
    <row r="22" spans="4:14">
      <c r="D22" s="21">
        <v>46087</v>
      </c>
      <c r="E22" s="22">
        <v>1582850</v>
      </c>
      <c r="F22" s="22" t="s">
        <v>20</v>
      </c>
      <c r="G22" s="22">
        <v>20324364</v>
      </c>
      <c r="H22" s="22" t="s">
        <v>23</v>
      </c>
      <c r="I22" s="22">
        <v>1</v>
      </c>
      <c r="J22" s="23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46087</v>
      </c>
      <c r="E23" s="22">
        <v>1582850</v>
      </c>
      <c r="F23" s="22" t="s">
        <v>20</v>
      </c>
      <c r="G23" s="22">
        <v>20324426</v>
      </c>
      <c r="H23" s="22" t="s">
        <v>152</v>
      </c>
      <c r="I23" s="22">
        <v>1</v>
      </c>
      <c r="J23" s="27" t="s">
        <v>25</v>
      </c>
      <c r="K23" s="24">
        <v>1</v>
      </c>
      <c r="L23" s="25">
        <v>8.8</v>
      </c>
      <c r="M23" s="26">
        <v>8.8</v>
      </c>
      <c r="N23" s="26">
        <v>8.8</v>
      </c>
    </row>
    <row r="24" spans="4:14">
      <c r="D24" s="21">
        <v>46087</v>
      </c>
      <c r="E24" s="22">
        <v>1582850</v>
      </c>
      <c r="F24" s="22" t="s">
        <v>20</v>
      </c>
      <c r="G24" s="22">
        <v>20324403</v>
      </c>
      <c r="H24" s="22" t="s">
        <v>142</v>
      </c>
      <c r="I24" s="22">
        <v>2</v>
      </c>
      <c r="J24" s="23" t="s">
        <v>22</v>
      </c>
      <c r="K24" s="24">
        <v>1</v>
      </c>
      <c r="L24" s="25">
        <v>6.4</v>
      </c>
      <c r="M24" s="26">
        <v>6.4</v>
      </c>
      <c r="N24" s="26">
        <v>12.8</v>
      </c>
    </row>
    <row r="25" spans="4:14">
      <c r="D25" s="21">
        <v>46087</v>
      </c>
      <c r="E25" s="22">
        <v>1582850</v>
      </c>
      <c r="F25" s="22" t="s">
        <v>20</v>
      </c>
      <c r="G25" s="22">
        <v>20366999</v>
      </c>
      <c r="H25" s="22" t="s">
        <v>143</v>
      </c>
      <c r="I25" s="22">
        <v>1</v>
      </c>
      <c r="J25" s="27" t="s">
        <v>25</v>
      </c>
      <c r="K25" s="24">
        <v>1</v>
      </c>
      <c r="L25" s="25">
        <v>8.8</v>
      </c>
      <c r="M25" s="26">
        <v>8.8</v>
      </c>
      <c r="N25" s="26">
        <v>8.8</v>
      </c>
    </row>
    <row r="26" spans="4:14">
      <c r="D26" s="21">
        <v>46087</v>
      </c>
      <c r="E26" s="22">
        <v>1582850</v>
      </c>
      <c r="F26" s="22" t="s">
        <v>20</v>
      </c>
      <c r="G26" s="22">
        <v>20324586</v>
      </c>
      <c r="H26" s="22" t="s">
        <v>153</v>
      </c>
      <c r="I26" s="22">
        <v>1</v>
      </c>
      <c r="J26" s="23" t="s">
        <v>22</v>
      </c>
      <c r="K26" s="24">
        <v>1</v>
      </c>
      <c r="L26" s="25">
        <v>6.4</v>
      </c>
      <c r="M26" s="26">
        <v>6.4</v>
      </c>
      <c r="N26" s="26">
        <v>6.4</v>
      </c>
    </row>
    <row r="27" spans="4:14">
      <c r="D27" s="21">
        <v>46087</v>
      </c>
      <c r="E27" s="22">
        <v>1582850</v>
      </c>
      <c r="F27" s="22" t="s">
        <v>20</v>
      </c>
      <c r="G27" s="22">
        <v>20324402</v>
      </c>
      <c r="H27" s="22" t="s">
        <v>147</v>
      </c>
      <c r="I27" s="22">
        <v>1</v>
      </c>
      <c r="J27" s="27" t="s">
        <v>25</v>
      </c>
      <c r="K27" s="24">
        <v>1</v>
      </c>
      <c r="L27" s="25">
        <v>8.8</v>
      </c>
      <c r="M27" s="26">
        <v>8.8</v>
      </c>
      <c r="N27" s="26">
        <v>8.8</v>
      </c>
    </row>
    <row r="28" spans="4:14">
      <c r="D28" s="21">
        <v>46087</v>
      </c>
      <c r="E28" s="22">
        <v>1582850</v>
      </c>
      <c r="F28" s="22" t="s">
        <v>20</v>
      </c>
      <c r="G28" s="22">
        <v>20324947</v>
      </c>
      <c r="H28" s="22" t="s">
        <v>154</v>
      </c>
      <c r="I28" s="22">
        <v>1</v>
      </c>
      <c r="J28" s="23" t="s">
        <v>22</v>
      </c>
      <c r="K28" s="24">
        <v>1</v>
      </c>
      <c r="L28" s="25">
        <v>6.4</v>
      </c>
      <c r="M28" s="26">
        <v>6.4</v>
      </c>
      <c r="N28" s="26">
        <v>6.4</v>
      </c>
    </row>
    <row r="29" spans="4:14">
      <c r="D29" s="21">
        <v>46087</v>
      </c>
      <c r="E29" s="22">
        <v>1582850</v>
      </c>
      <c r="F29" s="22" t="s">
        <v>20</v>
      </c>
      <c r="G29" s="22">
        <v>20348523</v>
      </c>
      <c r="H29" s="22" t="s">
        <v>155</v>
      </c>
      <c r="I29" s="22">
        <v>1</v>
      </c>
      <c r="J29" s="27" t="s">
        <v>25</v>
      </c>
      <c r="K29" s="24">
        <v>1</v>
      </c>
      <c r="L29" s="25">
        <v>8.8</v>
      </c>
      <c r="M29" s="26">
        <v>8.8</v>
      </c>
      <c r="N29" s="26">
        <v>8.8</v>
      </c>
    </row>
    <row r="30" spans="4:14">
      <c r="D30" s="21">
        <v>46087</v>
      </c>
      <c r="E30" s="22">
        <v>1582850</v>
      </c>
      <c r="F30" s="22" t="s">
        <v>16</v>
      </c>
      <c r="G30" s="22">
        <v>20324495</v>
      </c>
      <c r="H30" s="22" t="s">
        <v>156</v>
      </c>
      <c r="I30" s="22">
        <v>1</v>
      </c>
      <c r="J30" s="28" t="s">
        <v>18</v>
      </c>
      <c r="K30" s="24">
        <f t="shared" ref="K30:K33" si="1">M30/L30</f>
        <v>13</v>
      </c>
      <c r="L30" s="25">
        <v>4.4</v>
      </c>
      <c r="M30" s="26">
        <v>57.2</v>
      </c>
      <c r="N30" s="26">
        <v>57.2</v>
      </c>
    </row>
    <row r="31" spans="4:14">
      <c r="D31" s="21">
        <v>46087</v>
      </c>
      <c r="E31" s="22">
        <v>1582850</v>
      </c>
      <c r="F31" s="22" t="s">
        <v>16</v>
      </c>
      <c r="G31" s="22">
        <v>20324494</v>
      </c>
      <c r="H31" s="22" t="s">
        <v>148</v>
      </c>
      <c r="I31" s="22">
        <v>4</v>
      </c>
      <c r="J31" s="28" t="s">
        <v>18</v>
      </c>
      <c r="K31" s="24">
        <f t="shared" si="1"/>
        <v>11</v>
      </c>
      <c r="L31" s="25">
        <v>4.4</v>
      </c>
      <c r="M31" s="26">
        <v>48.4</v>
      </c>
      <c r="N31" s="26">
        <v>193.6</v>
      </c>
    </row>
    <row r="32" spans="4:14">
      <c r="D32" s="21">
        <v>46087</v>
      </c>
      <c r="E32" s="22">
        <v>1582850</v>
      </c>
      <c r="F32" s="22" t="s">
        <v>16</v>
      </c>
      <c r="G32" s="22">
        <v>20324493</v>
      </c>
      <c r="H32" s="22" t="s">
        <v>149</v>
      </c>
      <c r="I32" s="22">
        <v>4</v>
      </c>
      <c r="J32" s="28" t="s">
        <v>18</v>
      </c>
      <c r="K32" s="24">
        <f t="shared" si="1"/>
        <v>15</v>
      </c>
      <c r="L32" s="25">
        <v>4.4</v>
      </c>
      <c r="M32" s="26">
        <v>66</v>
      </c>
      <c r="N32" s="26">
        <v>264</v>
      </c>
    </row>
    <row r="33" spans="4:14">
      <c r="D33" s="21">
        <v>46087</v>
      </c>
      <c r="E33" s="22">
        <v>1582850</v>
      </c>
      <c r="F33" s="22" t="s">
        <v>20</v>
      </c>
      <c r="G33" s="22">
        <v>20324717</v>
      </c>
      <c r="H33" s="22" t="s">
        <v>151</v>
      </c>
      <c r="I33" s="22">
        <v>1</v>
      </c>
      <c r="J33" s="28" t="s">
        <v>18</v>
      </c>
      <c r="K33" s="24">
        <f t="shared" si="1"/>
        <v>3</v>
      </c>
      <c r="L33" s="25">
        <v>4.4</v>
      </c>
      <c r="M33" s="26">
        <v>13.2</v>
      </c>
      <c r="N33" s="26">
        <v>13.2</v>
      </c>
    </row>
    <row r="34" spans="4:14">
      <c r="D34" s="21">
        <v>46087</v>
      </c>
      <c r="E34" s="22">
        <v>1582885</v>
      </c>
      <c r="F34" s="22" t="s">
        <v>20</v>
      </c>
      <c r="G34" s="22">
        <v>20324376</v>
      </c>
      <c r="H34" s="22" t="s">
        <v>157</v>
      </c>
      <c r="I34" s="22">
        <v>1</v>
      </c>
      <c r="J34" s="27" t="s">
        <v>25</v>
      </c>
      <c r="K34" s="24">
        <v>1</v>
      </c>
      <c r="L34" s="25">
        <v>8.8</v>
      </c>
      <c r="M34" s="25">
        <v>13.2</v>
      </c>
      <c r="N34" s="25">
        <v>13.2</v>
      </c>
    </row>
    <row r="35" spans="4:14">
      <c r="D35" s="21"/>
      <c r="E35" s="22"/>
      <c r="F35" s="22"/>
      <c r="G35" s="22"/>
      <c r="H35" s="22"/>
      <c r="I35" s="22"/>
      <c r="J35" s="27" t="s">
        <v>145</v>
      </c>
      <c r="K35" s="24">
        <v>1</v>
      </c>
      <c r="L35" s="25">
        <v>4.4</v>
      </c>
      <c r="M35" s="25"/>
      <c r="N35" s="25"/>
    </row>
    <row r="36" spans="4:14">
      <c r="D36" s="21">
        <v>46092</v>
      </c>
      <c r="E36" s="22">
        <v>1584751</v>
      </c>
      <c r="F36" s="22" t="s">
        <v>20</v>
      </c>
      <c r="G36" s="22">
        <v>20367695</v>
      </c>
      <c r="H36" s="22" t="s">
        <v>144</v>
      </c>
      <c r="I36" s="22">
        <v>1</v>
      </c>
      <c r="J36" s="27" t="s">
        <v>145</v>
      </c>
      <c r="K36" s="24">
        <f t="shared" ref="K36:K43" si="2">M36/L36</f>
        <v>3</v>
      </c>
      <c r="L36" s="25">
        <v>4.4</v>
      </c>
      <c r="M36" s="26">
        <v>13.2</v>
      </c>
      <c r="N36" s="26">
        <v>13.2</v>
      </c>
    </row>
    <row r="37" spans="4:14">
      <c r="D37" s="21">
        <v>46092</v>
      </c>
      <c r="E37" s="22">
        <v>1584751</v>
      </c>
      <c r="F37" s="22" t="s">
        <v>20</v>
      </c>
      <c r="G37" s="22">
        <v>20324402</v>
      </c>
      <c r="H37" s="22" t="s">
        <v>147</v>
      </c>
      <c r="I37" s="22">
        <v>2</v>
      </c>
      <c r="J37" s="27" t="s">
        <v>25</v>
      </c>
      <c r="K37" s="24">
        <v>1</v>
      </c>
      <c r="L37" s="25">
        <v>8.8</v>
      </c>
      <c r="M37" s="26">
        <v>8.8</v>
      </c>
      <c r="N37" s="26">
        <v>17.6</v>
      </c>
    </row>
    <row r="38" spans="4:14">
      <c r="D38" s="21">
        <v>46092</v>
      </c>
      <c r="E38" s="22">
        <v>1584751</v>
      </c>
      <c r="F38" s="22" t="s">
        <v>20</v>
      </c>
      <c r="G38" s="22">
        <v>20348523</v>
      </c>
      <c r="H38" s="22" t="s">
        <v>155</v>
      </c>
      <c r="I38" s="22">
        <v>1</v>
      </c>
      <c r="J38" s="27" t="s">
        <v>25</v>
      </c>
      <c r="K38" s="24">
        <v>1</v>
      </c>
      <c r="L38" s="25">
        <v>8.8</v>
      </c>
      <c r="M38" s="26">
        <v>8.8</v>
      </c>
      <c r="N38" s="26">
        <v>8.8</v>
      </c>
    </row>
    <row r="39" spans="4:14">
      <c r="D39" s="21">
        <v>46092</v>
      </c>
      <c r="E39" s="22">
        <v>1584751</v>
      </c>
      <c r="F39" s="22" t="s">
        <v>16</v>
      </c>
      <c r="G39" s="22">
        <v>20324495</v>
      </c>
      <c r="H39" s="22" t="s">
        <v>156</v>
      </c>
      <c r="I39" s="22">
        <v>1</v>
      </c>
      <c r="J39" s="28" t="s">
        <v>18</v>
      </c>
      <c r="K39" s="24">
        <f t="shared" si="2"/>
        <v>13</v>
      </c>
      <c r="L39" s="25">
        <v>4.4</v>
      </c>
      <c r="M39" s="26">
        <v>57.2</v>
      </c>
      <c r="N39" s="26">
        <v>57.2</v>
      </c>
    </row>
    <row r="40" spans="4:14">
      <c r="D40" s="21">
        <v>46092</v>
      </c>
      <c r="E40" s="22">
        <v>1584751</v>
      </c>
      <c r="F40" s="22" t="s">
        <v>16</v>
      </c>
      <c r="G40" s="22">
        <v>20324494</v>
      </c>
      <c r="H40" s="22" t="s">
        <v>148</v>
      </c>
      <c r="I40" s="22">
        <v>3</v>
      </c>
      <c r="J40" s="28" t="s">
        <v>18</v>
      </c>
      <c r="K40" s="24">
        <f t="shared" si="2"/>
        <v>11</v>
      </c>
      <c r="L40" s="25">
        <v>4.4</v>
      </c>
      <c r="M40" s="26">
        <v>48.4</v>
      </c>
      <c r="N40" s="26">
        <v>145.2</v>
      </c>
    </row>
    <row r="41" spans="4:14">
      <c r="D41" s="21">
        <v>46092</v>
      </c>
      <c r="E41" s="22">
        <v>1584751</v>
      </c>
      <c r="F41" s="22" t="s">
        <v>16</v>
      </c>
      <c r="G41" s="22">
        <v>20324493</v>
      </c>
      <c r="H41" s="22" t="s">
        <v>149</v>
      </c>
      <c r="I41" s="22">
        <v>1</v>
      </c>
      <c r="J41" s="28" t="s">
        <v>18</v>
      </c>
      <c r="K41" s="24">
        <f t="shared" si="2"/>
        <v>15</v>
      </c>
      <c r="L41" s="25">
        <v>4.4</v>
      </c>
      <c r="M41" s="26">
        <v>66</v>
      </c>
      <c r="N41" s="26">
        <v>66</v>
      </c>
    </row>
    <row r="42" spans="4:14">
      <c r="D42" s="21">
        <v>46092</v>
      </c>
      <c r="E42" s="22">
        <v>1584751</v>
      </c>
      <c r="F42" s="22" t="s">
        <v>16</v>
      </c>
      <c r="G42" s="22">
        <v>20324492</v>
      </c>
      <c r="H42" s="22" t="s">
        <v>150</v>
      </c>
      <c r="I42" s="22">
        <v>1</v>
      </c>
      <c r="J42" s="28" t="s">
        <v>18</v>
      </c>
      <c r="K42" s="24">
        <f t="shared" si="2"/>
        <v>3</v>
      </c>
      <c r="L42" s="25">
        <v>4.4</v>
      </c>
      <c r="M42" s="26">
        <v>13.2</v>
      </c>
      <c r="N42" s="26">
        <v>13.2</v>
      </c>
    </row>
    <row r="43" spans="4:14">
      <c r="D43" s="21">
        <v>46092</v>
      </c>
      <c r="E43" s="22">
        <v>1584751</v>
      </c>
      <c r="F43" s="22" t="s">
        <v>20</v>
      </c>
      <c r="G43" s="22">
        <v>20324717</v>
      </c>
      <c r="H43" s="22" t="s">
        <v>151</v>
      </c>
      <c r="I43" s="22">
        <v>1</v>
      </c>
      <c r="J43" s="28" t="s">
        <v>18</v>
      </c>
      <c r="K43" s="24">
        <f t="shared" si="2"/>
        <v>3</v>
      </c>
      <c r="L43" s="25">
        <v>4.4</v>
      </c>
      <c r="M43" s="26">
        <v>13.2</v>
      </c>
      <c r="N43" s="26">
        <v>13.2</v>
      </c>
    </row>
    <row r="44" spans="4:14">
      <c r="D44" s="21">
        <v>46092</v>
      </c>
      <c r="E44" s="22">
        <v>1585132</v>
      </c>
      <c r="F44" s="22" t="s">
        <v>20</v>
      </c>
      <c r="G44" s="22">
        <v>20324382</v>
      </c>
      <c r="H44" s="22" t="s">
        <v>140</v>
      </c>
      <c r="I44" s="22">
        <v>2</v>
      </c>
      <c r="J44" s="23" t="s">
        <v>22</v>
      </c>
      <c r="K44" s="24">
        <v>1</v>
      </c>
      <c r="L44" s="25">
        <v>6.4</v>
      </c>
      <c r="M44" s="26">
        <v>6.4</v>
      </c>
      <c r="N44" s="26">
        <v>12.8</v>
      </c>
    </row>
    <row r="45" spans="4:14">
      <c r="D45" s="21">
        <v>46092</v>
      </c>
      <c r="E45" s="22">
        <v>1585132</v>
      </c>
      <c r="F45" s="22" t="s">
        <v>20</v>
      </c>
      <c r="G45" s="22">
        <v>20324427</v>
      </c>
      <c r="H45" s="22" t="s">
        <v>158</v>
      </c>
      <c r="I45" s="22">
        <v>1</v>
      </c>
      <c r="J45" s="27" t="s">
        <v>25</v>
      </c>
      <c r="K45" s="24">
        <v>1</v>
      </c>
      <c r="L45" s="25">
        <v>8.8</v>
      </c>
      <c r="M45" s="26">
        <v>8.8</v>
      </c>
      <c r="N45" s="26">
        <v>8.8</v>
      </c>
    </row>
    <row r="46" spans="4:14">
      <c r="D46" s="21">
        <v>46092</v>
      </c>
      <c r="E46" s="22">
        <v>1585132</v>
      </c>
      <c r="F46" s="22" t="s">
        <v>20</v>
      </c>
      <c r="G46" s="22">
        <v>20324364</v>
      </c>
      <c r="H46" s="22" t="s">
        <v>23</v>
      </c>
      <c r="I46" s="22">
        <v>1</v>
      </c>
      <c r="J46" s="23" t="s">
        <v>22</v>
      </c>
      <c r="K46" s="24">
        <v>1</v>
      </c>
      <c r="L46" s="25">
        <v>6.4</v>
      </c>
      <c r="M46" s="26">
        <v>6.4</v>
      </c>
      <c r="N46" s="26">
        <v>6.4</v>
      </c>
    </row>
    <row r="47" spans="4:14">
      <c r="D47" s="21">
        <v>46092</v>
      </c>
      <c r="E47" s="22">
        <v>1585132</v>
      </c>
      <c r="F47" s="22" t="s">
        <v>20</v>
      </c>
      <c r="G47" s="22">
        <v>20324403</v>
      </c>
      <c r="H47" s="22" t="s">
        <v>142</v>
      </c>
      <c r="I47" s="22">
        <v>1</v>
      </c>
      <c r="J47" s="23" t="s">
        <v>22</v>
      </c>
      <c r="K47" s="24">
        <v>1</v>
      </c>
      <c r="L47" s="25">
        <v>6.4</v>
      </c>
      <c r="M47" s="26">
        <v>6.4</v>
      </c>
      <c r="N47" s="26">
        <v>6.4</v>
      </c>
    </row>
    <row r="48" spans="4:14">
      <c r="D48" s="21">
        <v>46092</v>
      </c>
      <c r="E48" s="22">
        <v>1585132</v>
      </c>
      <c r="F48" s="22" t="s">
        <v>20</v>
      </c>
      <c r="G48" s="22">
        <v>20324533</v>
      </c>
      <c r="H48" s="22" t="s">
        <v>84</v>
      </c>
      <c r="I48" s="22">
        <v>1</v>
      </c>
      <c r="J48" s="23" t="s">
        <v>22</v>
      </c>
      <c r="K48" s="24">
        <v>1</v>
      </c>
      <c r="L48" s="25">
        <v>6.4</v>
      </c>
      <c r="M48" s="26">
        <v>6.4</v>
      </c>
      <c r="N48" s="26">
        <v>6.4</v>
      </c>
    </row>
    <row r="49" spans="4:14">
      <c r="D49" s="21">
        <v>46092</v>
      </c>
      <c r="E49" s="22">
        <v>1585132</v>
      </c>
      <c r="F49" s="22" t="s">
        <v>16</v>
      </c>
      <c r="G49" s="22">
        <v>20324492</v>
      </c>
      <c r="H49" s="22" t="s">
        <v>150</v>
      </c>
      <c r="I49" s="22">
        <v>1</v>
      </c>
      <c r="J49" s="28" t="s">
        <v>18</v>
      </c>
      <c r="K49" s="24">
        <f>M49/L49</f>
        <v>3</v>
      </c>
      <c r="L49" s="25">
        <v>4.4</v>
      </c>
      <c r="M49" s="26">
        <v>13.2</v>
      </c>
      <c r="N49" s="26">
        <v>13.2</v>
      </c>
    </row>
    <row r="50" spans="4:14">
      <c r="D50" s="21">
        <v>46093</v>
      </c>
      <c r="E50" s="22">
        <v>1585217</v>
      </c>
      <c r="F50" s="29" t="s">
        <v>20</v>
      </c>
      <c r="G50" s="22">
        <v>20326628</v>
      </c>
      <c r="H50" s="22" t="s">
        <v>159</v>
      </c>
      <c r="I50" s="22">
        <v>1</v>
      </c>
      <c r="J50" s="28" t="s">
        <v>28</v>
      </c>
      <c r="K50" s="24">
        <v>1</v>
      </c>
      <c r="L50" s="25">
        <v>17.6</v>
      </c>
      <c r="M50" s="26">
        <v>17.6</v>
      </c>
      <c r="N50" s="26">
        <v>17.6</v>
      </c>
    </row>
    <row r="51" spans="4:14">
      <c r="D51" s="21">
        <v>46097</v>
      </c>
      <c r="E51" s="22">
        <v>1586438</v>
      </c>
      <c r="F51" s="22" t="s">
        <v>20</v>
      </c>
      <c r="G51" s="22">
        <v>20324533</v>
      </c>
      <c r="H51" s="22" t="s">
        <v>84</v>
      </c>
      <c r="I51" s="22">
        <v>1</v>
      </c>
      <c r="J51" s="23" t="s">
        <v>22</v>
      </c>
      <c r="K51" s="24">
        <v>1</v>
      </c>
      <c r="L51" s="25">
        <v>6.4</v>
      </c>
      <c r="M51" s="26">
        <v>6.4</v>
      </c>
      <c r="N51" s="26">
        <v>6.4</v>
      </c>
    </row>
    <row r="52" spans="4:14">
      <c r="D52" s="21">
        <v>46097</v>
      </c>
      <c r="E52" s="22">
        <v>1586438</v>
      </c>
      <c r="F52" s="22" t="s">
        <v>20</v>
      </c>
      <c r="G52" s="22">
        <v>20367695</v>
      </c>
      <c r="H52" s="22" t="s">
        <v>144</v>
      </c>
      <c r="I52" s="22">
        <v>3</v>
      </c>
      <c r="J52" s="27" t="s">
        <v>145</v>
      </c>
      <c r="K52" s="24">
        <f t="shared" ref="K52:K58" si="3">M52/L52</f>
        <v>3</v>
      </c>
      <c r="L52" s="25">
        <v>4.4</v>
      </c>
      <c r="M52" s="26">
        <v>13.2</v>
      </c>
      <c r="N52" s="26">
        <v>39.6</v>
      </c>
    </row>
    <row r="53" spans="4:14">
      <c r="D53" s="21">
        <v>46097</v>
      </c>
      <c r="E53" s="22">
        <v>1586438</v>
      </c>
      <c r="F53" s="22" t="s">
        <v>20</v>
      </c>
      <c r="G53" s="22">
        <v>20324402</v>
      </c>
      <c r="H53" s="22" t="s">
        <v>147</v>
      </c>
      <c r="I53" s="22">
        <v>1</v>
      </c>
      <c r="J53" s="27" t="s">
        <v>25</v>
      </c>
      <c r="K53" s="24">
        <v>1</v>
      </c>
      <c r="L53" s="25">
        <v>8.8</v>
      </c>
      <c r="M53" s="26">
        <v>8.8</v>
      </c>
      <c r="N53" s="26">
        <v>8.8</v>
      </c>
    </row>
    <row r="54" spans="4:14">
      <c r="D54" s="21">
        <v>46097</v>
      </c>
      <c r="E54" s="22">
        <v>1586438</v>
      </c>
      <c r="F54" s="22" t="s">
        <v>20</v>
      </c>
      <c r="G54" s="22">
        <v>20324947</v>
      </c>
      <c r="H54" s="22" t="s">
        <v>154</v>
      </c>
      <c r="I54" s="22">
        <v>1</v>
      </c>
      <c r="J54" s="23" t="s">
        <v>22</v>
      </c>
      <c r="K54" s="24">
        <v>1</v>
      </c>
      <c r="L54" s="25">
        <v>6.4</v>
      </c>
      <c r="M54" s="26">
        <v>6.4</v>
      </c>
      <c r="N54" s="26">
        <v>6.4</v>
      </c>
    </row>
    <row r="55" spans="4:14">
      <c r="D55" s="21">
        <v>46097</v>
      </c>
      <c r="E55" s="22">
        <v>1586438</v>
      </c>
      <c r="F55" s="22" t="s">
        <v>16</v>
      </c>
      <c r="G55" s="22">
        <v>20324494</v>
      </c>
      <c r="H55" s="22" t="s">
        <v>148</v>
      </c>
      <c r="I55" s="22">
        <v>1</v>
      </c>
      <c r="J55" s="28" t="s">
        <v>18</v>
      </c>
      <c r="K55" s="24">
        <f t="shared" si="3"/>
        <v>11</v>
      </c>
      <c r="L55" s="25">
        <v>4.4</v>
      </c>
      <c r="M55" s="26">
        <v>48.4</v>
      </c>
      <c r="N55" s="26">
        <v>48.4</v>
      </c>
    </row>
    <row r="56" spans="4:14">
      <c r="D56" s="21">
        <v>46097</v>
      </c>
      <c r="E56" s="22">
        <v>1586438</v>
      </c>
      <c r="F56" s="22" t="s">
        <v>16</v>
      </c>
      <c r="G56" s="22">
        <v>20324493</v>
      </c>
      <c r="H56" s="22" t="s">
        <v>149</v>
      </c>
      <c r="I56" s="22">
        <v>4</v>
      </c>
      <c r="J56" s="28" t="s">
        <v>18</v>
      </c>
      <c r="K56" s="24">
        <f t="shared" si="3"/>
        <v>15</v>
      </c>
      <c r="L56" s="25">
        <v>4.4</v>
      </c>
      <c r="M56" s="26">
        <v>66</v>
      </c>
      <c r="N56" s="26">
        <v>264</v>
      </c>
    </row>
    <row r="57" spans="4:14">
      <c r="D57" s="21">
        <v>46097</v>
      </c>
      <c r="E57" s="22">
        <v>1586438</v>
      </c>
      <c r="F57" s="22" t="s">
        <v>16</v>
      </c>
      <c r="G57" s="22">
        <v>20324492</v>
      </c>
      <c r="H57" s="22" t="s">
        <v>150</v>
      </c>
      <c r="I57" s="22">
        <v>1</v>
      </c>
      <c r="J57" s="28" t="s">
        <v>18</v>
      </c>
      <c r="K57" s="24">
        <f t="shared" si="3"/>
        <v>3</v>
      </c>
      <c r="L57" s="25">
        <v>4.4</v>
      </c>
      <c r="M57" s="26">
        <v>13.2</v>
      </c>
      <c r="N57" s="26">
        <v>13.2</v>
      </c>
    </row>
    <row r="58" spans="4:14">
      <c r="D58" s="21">
        <v>46097</v>
      </c>
      <c r="E58" s="22">
        <v>1586438</v>
      </c>
      <c r="F58" s="22" t="s">
        <v>20</v>
      </c>
      <c r="G58" s="22">
        <v>20324717</v>
      </c>
      <c r="H58" s="22" t="s">
        <v>151</v>
      </c>
      <c r="I58" s="22">
        <v>1</v>
      </c>
      <c r="J58" s="28" t="s">
        <v>18</v>
      </c>
      <c r="K58" s="24">
        <f t="shared" si="3"/>
        <v>3</v>
      </c>
      <c r="L58" s="25">
        <v>4.4</v>
      </c>
      <c r="M58" s="26">
        <v>13.2</v>
      </c>
      <c r="N58" s="26">
        <v>13.2</v>
      </c>
    </row>
    <row r="59" spans="4:14">
      <c r="D59" s="21">
        <v>46101</v>
      </c>
      <c r="E59" s="22">
        <v>1587928</v>
      </c>
      <c r="F59" s="22" t="s">
        <v>20</v>
      </c>
      <c r="G59" s="22">
        <v>20330459</v>
      </c>
      <c r="H59" s="22" t="s">
        <v>141</v>
      </c>
      <c r="I59" s="22">
        <v>1</v>
      </c>
      <c r="J59" s="23" t="s">
        <v>22</v>
      </c>
      <c r="K59" s="24">
        <v>1</v>
      </c>
      <c r="L59" s="25">
        <v>6.4</v>
      </c>
      <c r="M59" s="26">
        <v>6.4</v>
      </c>
      <c r="N59" s="26">
        <v>6.4</v>
      </c>
    </row>
    <row r="60" spans="4:14">
      <c r="D60" s="21">
        <v>46101</v>
      </c>
      <c r="E60" s="22">
        <v>1587928</v>
      </c>
      <c r="F60" s="22" t="s">
        <v>20</v>
      </c>
      <c r="G60" s="22">
        <v>20324364</v>
      </c>
      <c r="H60" s="22" t="s">
        <v>23</v>
      </c>
      <c r="I60" s="22">
        <v>1</v>
      </c>
      <c r="J60" s="23" t="s">
        <v>22</v>
      </c>
      <c r="K60" s="24">
        <v>1</v>
      </c>
      <c r="L60" s="25">
        <v>6.4</v>
      </c>
      <c r="M60" s="26">
        <v>6.4</v>
      </c>
      <c r="N60" s="26">
        <v>6.4</v>
      </c>
    </row>
    <row r="61" spans="4:14">
      <c r="D61" s="21">
        <v>46101</v>
      </c>
      <c r="E61" s="22">
        <v>1587928</v>
      </c>
      <c r="F61" s="22" t="s">
        <v>20</v>
      </c>
      <c r="G61" s="22">
        <v>20324691</v>
      </c>
      <c r="H61" s="22" t="s">
        <v>24</v>
      </c>
      <c r="I61" s="22">
        <v>4</v>
      </c>
      <c r="J61" s="27" t="s">
        <v>25</v>
      </c>
      <c r="K61" s="24">
        <v>1</v>
      </c>
      <c r="L61" s="25">
        <v>8.8</v>
      </c>
      <c r="M61" s="26">
        <v>8.8</v>
      </c>
      <c r="N61" s="26">
        <v>35.2</v>
      </c>
    </row>
    <row r="62" spans="4:14">
      <c r="D62" s="21">
        <v>46101</v>
      </c>
      <c r="E62" s="22">
        <v>1587928</v>
      </c>
      <c r="F62" s="22" t="s">
        <v>20</v>
      </c>
      <c r="G62" s="22">
        <v>20324403</v>
      </c>
      <c r="H62" s="22" t="s">
        <v>142</v>
      </c>
      <c r="I62" s="22">
        <v>1</v>
      </c>
      <c r="J62" s="23" t="s">
        <v>22</v>
      </c>
      <c r="K62" s="24">
        <v>1</v>
      </c>
      <c r="L62" s="25">
        <v>6.4</v>
      </c>
      <c r="M62" s="26">
        <v>6.4</v>
      </c>
      <c r="N62" s="26">
        <v>6.4</v>
      </c>
    </row>
    <row r="63" spans="4:14">
      <c r="D63" s="21">
        <v>46101</v>
      </c>
      <c r="E63" s="22">
        <v>1587928</v>
      </c>
      <c r="F63" s="22" t="s">
        <v>20</v>
      </c>
      <c r="G63" s="22">
        <v>20366999</v>
      </c>
      <c r="H63" s="22" t="s">
        <v>143</v>
      </c>
      <c r="I63" s="22">
        <v>1</v>
      </c>
      <c r="J63" s="27" t="s">
        <v>25</v>
      </c>
      <c r="K63" s="24">
        <v>1</v>
      </c>
      <c r="L63" s="25">
        <v>8.8</v>
      </c>
      <c r="M63" s="26">
        <v>8.8</v>
      </c>
      <c r="N63" s="26">
        <v>8.8</v>
      </c>
    </row>
    <row r="64" spans="4:14">
      <c r="D64" s="21">
        <v>46101</v>
      </c>
      <c r="E64" s="22">
        <v>1587928</v>
      </c>
      <c r="F64" s="22" t="s">
        <v>20</v>
      </c>
      <c r="G64" s="22">
        <v>20324402</v>
      </c>
      <c r="H64" s="22" t="s">
        <v>147</v>
      </c>
      <c r="I64" s="22">
        <v>2</v>
      </c>
      <c r="J64" s="27" t="s">
        <v>25</v>
      </c>
      <c r="K64" s="24">
        <v>1</v>
      </c>
      <c r="L64" s="25">
        <v>8.8</v>
      </c>
      <c r="M64" s="26">
        <v>8.8</v>
      </c>
      <c r="N64" s="26">
        <v>17.6</v>
      </c>
    </row>
    <row r="65" spans="4:14">
      <c r="D65" s="21">
        <v>46101</v>
      </c>
      <c r="E65" s="22">
        <v>1587928</v>
      </c>
      <c r="F65" s="22" t="s">
        <v>20</v>
      </c>
      <c r="G65" s="22">
        <v>20348523</v>
      </c>
      <c r="H65" s="22" t="s">
        <v>155</v>
      </c>
      <c r="I65" s="22">
        <v>1</v>
      </c>
      <c r="J65" s="27" t="s">
        <v>25</v>
      </c>
      <c r="K65" s="24">
        <v>1</v>
      </c>
      <c r="L65" s="25">
        <v>8.8</v>
      </c>
      <c r="M65" s="26">
        <v>8.8</v>
      </c>
      <c r="N65" s="26">
        <v>8.8</v>
      </c>
    </row>
    <row r="66" spans="4:14">
      <c r="D66" s="21">
        <v>46101</v>
      </c>
      <c r="E66" s="22">
        <v>1587928</v>
      </c>
      <c r="F66" s="22" t="s">
        <v>16</v>
      </c>
      <c r="G66" s="22">
        <v>20324495</v>
      </c>
      <c r="H66" s="22" t="s">
        <v>156</v>
      </c>
      <c r="I66" s="22">
        <v>1</v>
      </c>
      <c r="J66" s="28" t="s">
        <v>18</v>
      </c>
      <c r="K66" s="24">
        <f t="shared" ref="K66:K70" si="4">M66/L66</f>
        <v>13</v>
      </c>
      <c r="L66" s="25">
        <v>4.4</v>
      </c>
      <c r="M66" s="26">
        <v>57.2</v>
      </c>
      <c r="N66" s="26">
        <v>57.2</v>
      </c>
    </row>
    <row r="67" spans="4:14">
      <c r="D67" s="21">
        <v>46101</v>
      </c>
      <c r="E67" s="22">
        <v>1587928</v>
      </c>
      <c r="F67" s="22" t="s">
        <v>16</v>
      </c>
      <c r="G67" s="22">
        <v>20324494</v>
      </c>
      <c r="H67" s="22" t="s">
        <v>148</v>
      </c>
      <c r="I67" s="22">
        <v>3</v>
      </c>
      <c r="J67" s="28" t="s">
        <v>18</v>
      </c>
      <c r="K67" s="24">
        <f t="shared" si="4"/>
        <v>11</v>
      </c>
      <c r="L67" s="25">
        <v>4.4</v>
      </c>
      <c r="M67" s="26">
        <v>48.4</v>
      </c>
      <c r="N67" s="26">
        <v>145.2</v>
      </c>
    </row>
    <row r="68" spans="4:14">
      <c r="D68" s="21">
        <v>46101</v>
      </c>
      <c r="E68" s="22">
        <v>1587928</v>
      </c>
      <c r="F68" s="22" t="s">
        <v>16</v>
      </c>
      <c r="G68" s="22">
        <v>20324493</v>
      </c>
      <c r="H68" s="22" t="s">
        <v>149</v>
      </c>
      <c r="I68" s="22">
        <v>4</v>
      </c>
      <c r="J68" s="28" t="s">
        <v>18</v>
      </c>
      <c r="K68" s="24">
        <f t="shared" si="4"/>
        <v>15</v>
      </c>
      <c r="L68" s="25">
        <v>4.4</v>
      </c>
      <c r="M68" s="26">
        <v>66</v>
      </c>
      <c r="N68" s="26">
        <v>264</v>
      </c>
    </row>
    <row r="69" spans="4:14">
      <c r="D69" s="21">
        <v>46101</v>
      </c>
      <c r="E69" s="22">
        <v>1587928</v>
      </c>
      <c r="F69" s="22" t="s">
        <v>16</v>
      </c>
      <c r="G69" s="22">
        <v>20324492</v>
      </c>
      <c r="H69" s="22" t="s">
        <v>150</v>
      </c>
      <c r="I69" s="22">
        <v>2</v>
      </c>
      <c r="J69" s="28" t="s">
        <v>18</v>
      </c>
      <c r="K69" s="24">
        <f t="shared" si="4"/>
        <v>3</v>
      </c>
      <c r="L69" s="25">
        <v>4.4</v>
      </c>
      <c r="M69" s="26">
        <v>13.2</v>
      </c>
      <c r="N69" s="26">
        <v>26.4</v>
      </c>
    </row>
    <row r="70" spans="4:14">
      <c r="D70" s="21">
        <v>46101</v>
      </c>
      <c r="E70" s="22">
        <v>1587928</v>
      </c>
      <c r="F70" s="22" t="s">
        <v>20</v>
      </c>
      <c r="G70" s="22">
        <v>20324717</v>
      </c>
      <c r="H70" s="22" t="s">
        <v>151</v>
      </c>
      <c r="I70" s="22">
        <v>1</v>
      </c>
      <c r="J70" s="28" t="s">
        <v>18</v>
      </c>
      <c r="K70" s="24">
        <f t="shared" si="4"/>
        <v>3</v>
      </c>
      <c r="L70" s="25">
        <v>4.4</v>
      </c>
      <c r="M70" s="26">
        <v>13.2</v>
      </c>
      <c r="N70" s="26">
        <v>13.2</v>
      </c>
    </row>
    <row r="71" spans="4:14">
      <c r="D71" s="21">
        <v>46102</v>
      </c>
      <c r="E71" s="22">
        <v>1588007</v>
      </c>
      <c r="F71" s="29" t="s">
        <v>20</v>
      </c>
      <c r="G71" s="22">
        <v>20326777</v>
      </c>
      <c r="H71" s="22" t="s">
        <v>160</v>
      </c>
      <c r="I71" s="22">
        <v>2</v>
      </c>
      <c r="J71" s="28" t="s">
        <v>28</v>
      </c>
      <c r="K71" s="24">
        <v>1</v>
      </c>
      <c r="L71" s="25">
        <v>17.6</v>
      </c>
      <c r="M71" s="26">
        <v>17.6</v>
      </c>
      <c r="N71" s="26">
        <v>35.2</v>
      </c>
    </row>
    <row r="72" spans="4:14">
      <c r="D72" s="21">
        <v>46104</v>
      </c>
      <c r="E72" s="22">
        <v>1588471</v>
      </c>
      <c r="F72" s="22" t="s">
        <v>20</v>
      </c>
      <c r="G72" s="22">
        <v>20330459</v>
      </c>
      <c r="H72" s="22" t="s">
        <v>141</v>
      </c>
      <c r="I72" s="22">
        <v>1</v>
      </c>
      <c r="J72" s="23" t="s">
        <v>22</v>
      </c>
      <c r="K72" s="24">
        <v>1</v>
      </c>
      <c r="L72" s="25">
        <v>6.4</v>
      </c>
      <c r="M72" s="26">
        <v>6.4</v>
      </c>
      <c r="N72" s="26">
        <v>6.4</v>
      </c>
    </row>
    <row r="73" spans="4:14">
      <c r="D73" s="21">
        <v>46104</v>
      </c>
      <c r="E73" s="22">
        <v>1588471</v>
      </c>
      <c r="F73" s="22" t="s">
        <v>20</v>
      </c>
      <c r="G73" s="22">
        <v>20324691</v>
      </c>
      <c r="H73" s="22" t="s">
        <v>24</v>
      </c>
      <c r="I73" s="22">
        <v>1</v>
      </c>
      <c r="J73" s="27" t="s">
        <v>25</v>
      </c>
      <c r="K73" s="24">
        <v>1</v>
      </c>
      <c r="L73" s="25">
        <v>8.8</v>
      </c>
      <c r="M73" s="26">
        <v>8.8</v>
      </c>
      <c r="N73" s="26">
        <v>8.8</v>
      </c>
    </row>
    <row r="74" spans="4:14">
      <c r="D74" s="21">
        <v>46104</v>
      </c>
      <c r="E74" s="22">
        <v>1588471</v>
      </c>
      <c r="F74" s="22" t="s">
        <v>20</v>
      </c>
      <c r="G74" s="22">
        <v>20366999</v>
      </c>
      <c r="H74" s="22" t="s">
        <v>143</v>
      </c>
      <c r="I74" s="22">
        <v>1</v>
      </c>
      <c r="J74" s="27" t="s">
        <v>25</v>
      </c>
      <c r="K74" s="24">
        <v>1</v>
      </c>
      <c r="L74" s="25">
        <v>8.8</v>
      </c>
      <c r="M74" s="26">
        <v>8.8</v>
      </c>
      <c r="N74" s="26">
        <v>8.8</v>
      </c>
    </row>
    <row r="75" spans="4:14">
      <c r="D75" s="21">
        <v>46104</v>
      </c>
      <c r="E75" s="22">
        <v>1588471</v>
      </c>
      <c r="F75" s="22" t="s">
        <v>20</v>
      </c>
      <c r="G75" s="22">
        <v>20367695</v>
      </c>
      <c r="H75" s="22" t="s">
        <v>144</v>
      </c>
      <c r="I75" s="22">
        <v>1</v>
      </c>
      <c r="J75" s="27" t="s">
        <v>145</v>
      </c>
      <c r="K75" s="24">
        <f t="shared" ref="K75:K78" si="5">M75/L75</f>
        <v>3</v>
      </c>
      <c r="L75" s="25">
        <v>4.4</v>
      </c>
      <c r="M75" s="26">
        <v>13.2</v>
      </c>
      <c r="N75" s="26">
        <v>13.2</v>
      </c>
    </row>
    <row r="76" spans="4:14">
      <c r="D76" s="21">
        <v>46104</v>
      </c>
      <c r="E76" s="22">
        <v>1588471</v>
      </c>
      <c r="F76" s="22" t="s">
        <v>20</v>
      </c>
      <c r="G76" s="22">
        <v>20373787</v>
      </c>
      <c r="H76" s="22" t="s">
        <v>161</v>
      </c>
      <c r="I76" s="22">
        <v>1</v>
      </c>
      <c r="J76" s="27" t="s">
        <v>145</v>
      </c>
      <c r="K76" s="24">
        <f t="shared" si="5"/>
        <v>4</v>
      </c>
      <c r="L76" s="25">
        <v>4.4</v>
      </c>
      <c r="M76" s="26">
        <v>17.6</v>
      </c>
      <c r="N76" s="26">
        <v>17.6</v>
      </c>
    </row>
    <row r="77" spans="4:14">
      <c r="D77" s="21">
        <v>46104</v>
      </c>
      <c r="E77" s="22">
        <v>1588471</v>
      </c>
      <c r="F77" s="22" t="s">
        <v>20</v>
      </c>
      <c r="G77" s="22">
        <v>20324947</v>
      </c>
      <c r="H77" s="22" t="s">
        <v>154</v>
      </c>
      <c r="I77" s="22">
        <v>1</v>
      </c>
      <c r="J77" s="23" t="s">
        <v>22</v>
      </c>
      <c r="K77" s="24">
        <v>1</v>
      </c>
      <c r="L77" s="25">
        <v>6.4</v>
      </c>
      <c r="M77" s="26">
        <v>6.4</v>
      </c>
      <c r="N77" s="26">
        <v>6.4</v>
      </c>
    </row>
    <row r="78" spans="4:14">
      <c r="D78" s="21">
        <v>46104</v>
      </c>
      <c r="E78" s="22">
        <v>1588471</v>
      </c>
      <c r="F78" s="22" t="s">
        <v>16</v>
      </c>
      <c r="G78" s="22">
        <v>20324493</v>
      </c>
      <c r="H78" s="22" t="s">
        <v>149</v>
      </c>
      <c r="I78" s="22">
        <v>4</v>
      </c>
      <c r="J78" s="28" t="s">
        <v>18</v>
      </c>
      <c r="K78" s="24">
        <f t="shared" si="5"/>
        <v>15</v>
      </c>
      <c r="L78" s="25">
        <v>4.4</v>
      </c>
      <c r="M78" s="26">
        <v>66</v>
      </c>
      <c r="N78" s="26">
        <v>264</v>
      </c>
    </row>
    <row r="79" spans="4:14">
      <c r="D79" s="21">
        <v>46104</v>
      </c>
      <c r="E79" s="22">
        <v>1588471</v>
      </c>
      <c r="F79" s="22" t="s">
        <v>16</v>
      </c>
      <c r="G79" s="22">
        <v>20324492</v>
      </c>
      <c r="H79" s="22" t="s">
        <v>150</v>
      </c>
      <c r="I79" s="22">
        <v>1</v>
      </c>
      <c r="J79" s="28" t="s">
        <v>18</v>
      </c>
      <c r="K79" s="24">
        <f t="shared" ref="K79:K87" si="6">M79/L79</f>
        <v>3</v>
      </c>
      <c r="L79" s="25">
        <v>4.4</v>
      </c>
      <c r="M79" s="26">
        <v>13.2</v>
      </c>
      <c r="N79" s="26">
        <v>13.2</v>
      </c>
    </row>
    <row r="80" spans="4:14">
      <c r="D80" s="21">
        <v>46104</v>
      </c>
      <c r="E80" s="22">
        <v>1588471</v>
      </c>
      <c r="F80" s="22" t="s">
        <v>20</v>
      </c>
      <c r="G80" s="22">
        <v>20324717</v>
      </c>
      <c r="H80" s="22" t="s">
        <v>151</v>
      </c>
      <c r="I80" s="22">
        <v>1</v>
      </c>
      <c r="J80" s="28" t="s">
        <v>18</v>
      </c>
      <c r="K80" s="24">
        <f t="shared" si="6"/>
        <v>3</v>
      </c>
      <c r="L80" s="25">
        <v>4.4</v>
      </c>
      <c r="M80" s="26">
        <v>13.2</v>
      </c>
      <c r="N80" s="26">
        <v>13.2</v>
      </c>
    </row>
    <row r="81" spans="4:14">
      <c r="D81" s="21">
        <v>46108</v>
      </c>
      <c r="E81" s="22">
        <v>1589542</v>
      </c>
      <c r="F81" s="22" t="s">
        <v>20</v>
      </c>
      <c r="G81" s="22">
        <v>20324376</v>
      </c>
      <c r="H81" s="22" t="s">
        <v>157</v>
      </c>
      <c r="I81" s="22">
        <v>1</v>
      </c>
      <c r="J81" s="27" t="s">
        <v>25</v>
      </c>
      <c r="K81" s="24">
        <v>1</v>
      </c>
      <c r="L81" s="25">
        <v>8.8</v>
      </c>
      <c r="M81" s="25">
        <v>13.2</v>
      </c>
      <c r="N81" s="25">
        <v>13.2</v>
      </c>
    </row>
    <row r="82" spans="4:14">
      <c r="D82" s="21"/>
      <c r="E82" s="22"/>
      <c r="F82" s="22"/>
      <c r="G82" s="22"/>
      <c r="H82" s="22"/>
      <c r="I82" s="22"/>
      <c r="J82" s="27" t="s">
        <v>145</v>
      </c>
      <c r="K82" s="24">
        <v>1</v>
      </c>
      <c r="L82" s="25">
        <v>4.4</v>
      </c>
      <c r="M82" s="25"/>
      <c r="N82" s="25"/>
    </row>
    <row r="83" spans="4:14">
      <c r="D83" s="21">
        <v>46108</v>
      </c>
      <c r="E83" s="22">
        <v>1589542</v>
      </c>
      <c r="F83" s="22" t="s">
        <v>20</v>
      </c>
      <c r="G83" s="22">
        <v>20348523</v>
      </c>
      <c r="H83" s="22" t="s">
        <v>155</v>
      </c>
      <c r="I83" s="22">
        <v>1</v>
      </c>
      <c r="J83" s="27" t="s">
        <v>25</v>
      </c>
      <c r="K83" s="24">
        <v>1</v>
      </c>
      <c r="L83" s="25">
        <v>8.8</v>
      </c>
      <c r="M83" s="26">
        <v>8.8</v>
      </c>
      <c r="N83" s="26">
        <v>8.8</v>
      </c>
    </row>
    <row r="84" spans="4:14">
      <c r="D84" s="21">
        <v>46108</v>
      </c>
      <c r="E84" s="22">
        <v>1589542</v>
      </c>
      <c r="F84" s="22" t="s">
        <v>16</v>
      </c>
      <c r="G84" s="22">
        <v>20324494</v>
      </c>
      <c r="H84" s="22" t="s">
        <v>148</v>
      </c>
      <c r="I84" s="22">
        <v>4</v>
      </c>
      <c r="J84" s="28" t="s">
        <v>18</v>
      </c>
      <c r="K84" s="24">
        <f t="shared" si="6"/>
        <v>11</v>
      </c>
      <c r="L84" s="25">
        <v>4.4</v>
      </c>
      <c r="M84" s="26">
        <v>48.4</v>
      </c>
      <c r="N84" s="26">
        <v>193.6</v>
      </c>
    </row>
    <row r="85" spans="4:14">
      <c r="D85" s="21">
        <v>46108</v>
      </c>
      <c r="E85" s="22">
        <v>1589542</v>
      </c>
      <c r="F85" s="22" t="s">
        <v>16</v>
      </c>
      <c r="G85" s="22">
        <v>20324493</v>
      </c>
      <c r="H85" s="22" t="s">
        <v>149</v>
      </c>
      <c r="I85" s="22">
        <v>1</v>
      </c>
      <c r="J85" s="28" t="s">
        <v>18</v>
      </c>
      <c r="K85" s="24">
        <f t="shared" si="6"/>
        <v>15</v>
      </c>
      <c r="L85" s="25">
        <v>4.4</v>
      </c>
      <c r="M85" s="26">
        <v>66</v>
      </c>
      <c r="N85" s="26">
        <v>66</v>
      </c>
    </row>
    <row r="86" spans="4:14">
      <c r="D86" s="21">
        <v>46108</v>
      </c>
      <c r="E86" s="22">
        <v>1589542</v>
      </c>
      <c r="F86" s="22" t="s">
        <v>16</v>
      </c>
      <c r="G86" s="22">
        <v>20324492</v>
      </c>
      <c r="H86" s="22" t="s">
        <v>150</v>
      </c>
      <c r="I86" s="22">
        <v>1</v>
      </c>
      <c r="J86" s="28" t="s">
        <v>18</v>
      </c>
      <c r="K86" s="24">
        <f t="shared" si="6"/>
        <v>3</v>
      </c>
      <c r="L86" s="25">
        <v>4.4</v>
      </c>
      <c r="M86" s="26">
        <v>13.2</v>
      </c>
      <c r="N86" s="26">
        <v>13.2</v>
      </c>
    </row>
    <row r="87" spans="4:14">
      <c r="D87" s="21">
        <v>46108</v>
      </c>
      <c r="E87" s="22">
        <v>1589542</v>
      </c>
      <c r="F87" s="22" t="s">
        <v>20</v>
      </c>
      <c r="G87" s="22">
        <v>20324717</v>
      </c>
      <c r="H87" s="22" t="s">
        <v>151</v>
      </c>
      <c r="I87" s="22">
        <v>1</v>
      </c>
      <c r="J87" s="28" t="s">
        <v>18</v>
      </c>
      <c r="K87" s="24">
        <f t="shared" si="6"/>
        <v>3</v>
      </c>
      <c r="L87" s="25">
        <v>4.4</v>
      </c>
      <c r="M87" s="26">
        <v>13.2</v>
      </c>
      <c r="N87" s="26">
        <v>13.2</v>
      </c>
    </row>
    <row r="88" spans="4:14">
      <c r="D88" s="21">
        <v>46108</v>
      </c>
      <c r="E88" s="22">
        <v>1589545</v>
      </c>
      <c r="F88" s="22" t="s">
        <v>20</v>
      </c>
      <c r="G88" s="22">
        <v>20324691</v>
      </c>
      <c r="H88" s="22" t="s">
        <v>24</v>
      </c>
      <c r="I88" s="22">
        <v>1</v>
      </c>
      <c r="J88" s="27" t="s">
        <v>25</v>
      </c>
      <c r="K88" s="24">
        <v>1</v>
      </c>
      <c r="L88" s="25">
        <v>8.8</v>
      </c>
      <c r="M88" s="26">
        <v>8.8</v>
      </c>
      <c r="N88" s="26">
        <v>8.8</v>
      </c>
    </row>
    <row r="89" spans="4:14">
      <c r="D89" s="21">
        <v>46108</v>
      </c>
      <c r="E89" s="22">
        <v>1589945</v>
      </c>
      <c r="F89" s="22" t="s">
        <v>20</v>
      </c>
      <c r="G89" s="22">
        <v>20324691</v>
      </c>
      <c r="H89" s="22" t="s">
        <v>24</v>
      </c>
      <c r="I89" s="22">
        <v>2</v>
      </c>
      <c r="J89" s="27" t="s">
        <v>25</v>
      </c>
      <c r="K89" s="24">
        <v>1</v>
      </c>
      <c r="L89" s="25">
        <v>8.8</v>
      </c>
      <c r="M89" s="26">
        <v>8.8</v>
      </c>
      <c r="N89" s="26">
        <v>17.6</v>
      </c>
    </row>
    <row r="90" spans="4:14">
      <c r="D90" s="21">
        <v>46108</v>
      </c>
      <c r="E90" s="22">
        <v>1589945</v>
      </c>
      <c r="F90" s="22" t="s">
        <v>20</v>
      </c>
      <c r="G90" s="22">
        <v>20324533</v>
      </c>
      <c r="H90" s="22" t="s">
        <v>84</v>
      </c>
      <c r="I90" s="22">
        <v>1</v>
      </c>
      <c r="J90" s="23" t="s">
        <v>22</v>
      </c>
      <c r="K90" s="24">
        <v>1</v>
      </c>
      <c r="L90" s="25">
        <v>6.4</v>
      </c>
      <c r="M90" s="26">
        <v>6.4</v>
      </c>
      <c r="N90" s="26">
        <v>6.4</v>
      </c>
    </row>
    <row r="91" spans="4:14">
      <c r="D91" s="21">
        <v>46108</v>
      </c>
      <c r="E91" s="22">
        <v>1589945</v>
      </c>
      <c r="F91" s="22" t="s">
        <v>20</v>
      </c>
      <c r="G91" s="22">
        <v>20324402</v>
      </c>
      <c r="H91" s="22" t="s">
        <v>147</v>
      </c>
      <c r="I91" s="22">
        <v>1</v>
      </c>
      <c r="J91" s="27" t="s">
        <v>25</v>
      </c>
      <c r="K91" s="24">
        <v>1</v>
      </c>
      <c r="L91" s="25">
        <v>8.8</v>
      </c>
      <c r="M91" s="26">
        <v>8.8</v>
      </c>
      <c r="N91" s="26">
        <v>8.8</v>
      </c>
    </row>
    <row r="92" spans="4:14">
      <c r="D92" s="21">
        <v>46108</v>
      </c>
      <c r="E92" s="22">
        <v>1589945</v>
      </c>
      <c r="F92" s="22" t="s">
        <v>20</v>
      </c>
      <c r="G92" s="22">
        <v>20348523</v>
      </c>
      <c r="H92" s="22" t="s">
        <v>155</v>
      </c>
      <c r="I92" s="22">
        <v>2</v>
      </c>
      <c r="J92" s="27" t="s">
        <v>25</v>
      </c>
      <c r="K92" s="24">
        <v>1</v>
      </c>
      <c r="L92" s="25">
        <v>8.8</v>
      </c>
      <c r="M92" s="26">
        <v>8.8</v>
      </c>
      <c r="N92" s="26">
        <v>17.6</v>
      </c>
    </row>
    <row r="93" spans="4:14">
      <c r="D93" s="21">
        <v>46108</v>
      </c>
      <c r="E93" s="22">
        <v>1589945</v>
      </c>
      <c r="F93" s="22" t="s">
        <v>16</v>
      </c>
      <c r="G93" s="22">
        <v>20324494</v>
      </c>
      <c r="H93" s="22" t="s">
        <v>148</v>
      </c>
      <c r="I93" s="22">
        <v>2</v>
      </c>
      <c r="J93" s="28" t="s">
        <v>18</v>
      </c>
      <c r="K93" s="24">
        <f>M93/L93</f>
        <v>11</v>
      </c>
      <c r="L93" s="25">
        <v>4.4</v>
      </c>
      <c r="M93" s="26">
        <v>48.4</v>
      </c>
      <c r="N93" s="26">
        <v>96.8</v>
      </c>
    </row>
    <row r="94" spans="4:14">
      <c r="D94" s="21">
        <v>46108</v>
      </c>
      <c r="E94" s="22">
        <v>1589945</v>
      </c>
      <c r="F94" s="22" t="s">
        <v>16</v>
      </c>
      <c r="G94" s="22">
        <v>20324493</v>
      </c>
      <c r="H94" s="22" t="s">
        <v>149</v>
      </c>
      <c r="I94" s="22">
        <v>2</v>
      </c>
      <c r="J94" s="28" t="s">
        <v>18</v>
      </c>
      <c r="K94" s="24">
        <f>M94/L94</f>
        <v>15</v>
      </c>
      <c r="L94" s="25">
        <v>4.4</v>
      </c>
      <c r="M94" s="26">
        <v>66</v>
      </c>
      <c r="N94" s="26">
        <v>132</v>
      </c>
    </row>
    <row r="95" spans="4:14">
      <c r="D95" s="21">
        <v>46108</v>
      </c>
      <c r="E95" s="22">
        <v>1589945</v>
      </c>
      <c r="F95" s="22" t="s">
        <v>16</v>
      </c>
      <c r="G95" s="22">
        <v>20324492</v>
      </c>
      <c r="H95" s="22" t="s">
        <v>150</v>
      </c>
      <c r="I95" s="22">
        <v>2</v>
      </c>
      <c r="J95" s="28" t="s">
        <v>18</v>
      </c>
      <c r="K95" s="24">
        <f>M95/L95</f>
        <v>3</v>
      </c>
      <c r="L95" s="25">
        <v>4.4</v>
      </c>
      <c r="M95" s="26">
        <v>13.2</v>
      </c>
      <c r="N95" s="26">
        <v>26.4</v>
      </c>
    </row>
    <row r="96" spans="4:14">
      <c r="D96" s="21">
        <v>46108</v>
      </c>
      <c r="E96" s="22">
        <v>1589945</v>
      </c>
      <c r="F96" s="22" t="s">
        <v>20</v>
      </c>
      <c r="G96" s="22">
        <v>20324717</v>
      </c>
      <c r="H96" s="22" t="s">
        <v>151</v>
      </c>
      <c r="I96" s="22">
        <v>1</v>
      </c>
      <c r="J96" s="28" t="s">
        <v>18</v>
      </c>
      <c r="K96" s="24">
        <f>M96/L96</f>
        <v>3</v>
      </c>
      <c r="L96" s="25">
        <v>4.4</v>
      </c>
      <c r="M96" s="26">
        <v>13.2</v>
      </c>
      <c r="N96" s="26">
        <v>13.2</v>
      </c>
    </row>
    <row r="97" spans="4:14">
      <c r="D97" s="21">
        <v>46112</v>
      </c>
      <c r="E97" s="22">
        <v>1590880</v>
      </c>
      <c r="F97" s="22" t="s">
        <v>20</v>
      </c>
      <c r="G97" s="22">
        <v>20324364</v>
      </c>
      <c r="H97" s="22" t="s">
        <v>23</v>
      </c>
      <c r="I97" s="22">
        <v>2</v>
      </c>
      <c r="J97" s="23" t="s">
        <v>22</v>
      </c>
      <c r="K97" s="24">
        <v>1</v>
      </c>
      <c r="L97" s="25">
        <v>6.4</v>
      </c>
      <c r="M97" s="26">
        <v>6.4</v>
      </c>
      <c r="N97" s="26">
        <v>12.8</v>
      </c>
    </row>
    <row r="98" spans="4:14">
      <c r="D98" s="21">
        <v>46112</v>
      </c>
      <c r="E98" s="22">
        <v>1590880</v>
      </c>
      <c r="F98" s="22" t="s">
        <v>20</v>
      </c>
      <c r="G98" s="22">
        <v>20324691</v>
      </c>
      <c r="H98" s="22" t="s">
        <v>24</v>
      </c>
      <c r="I98" s="22">
        <v>1</v>
      </c>
      <c r="J98" s="27" t="s">
        <v>25</v>
      </c>
      <c r="K98" s="24">
        <v>1</v>
      </c>
      <c r="L98" s="25">
        <v>8.8</v>
      </c>
      <c r="M98" s="26">
        <v>8.8</v>
      </c>
      <c r="N98" s="26">
        <v>8.8</v>
      </c>
    </row>
    <row r="99" spans="4:14">
      <c r="D99" s="21">
        <v>46112</v>
      </c>
      <c r="E99" s="22">
        <v>1590880</v>
      </c>
      <c r="F99" s="22" t="s">
        <v>20</v>
      </c>
      <c r="G99" s="22">
        <v>20366999</v>
      </c>
      <c r="H99" s="22" t="s">
        <v>143</v>
      </c>
      <c r="I99" s="22">
        <v>1</v>
      </c>
      <c r="J99" s="27" t="s">
        <v>25</v>
      </c>
      <c r="K99" s="24">
        <v>1</v>
      </c>
      <c r="L99" s="25">
        <v>8.8</v>
      </c>
      <c r="M99" s="26">
        <v>8.8</v>
      </c>
      <c r="N99" s="26">
        <v>8.8</v>
      </c>
    </row>
    <row r="100" spans="4:14">
      <c r="D100" s="21">
        <v>46112</v>
      </c>
      <c r="E100" s="22">
        <v>1590880</v>
      </c>
      <c r="F100" s="22" t="s">
        <v>20</v>
      </c>
      <c r="G100" s="22">
        <v>20367557</v>
      </c>
      <c r="H100" s="22" t="s">
        <v>162</v>
      </c>
      <c r="I100" s="22">
        <v>2</v>
      </c>
      <c r="J100" s="27" t="s">
        <v>25</v>
      </c>
      <c r="K100" s="24">
        <v>1</v>
      </c>
      <c r="L100" s="25">
        <v>8.8</v>
      </c>
      <c r="M100" s="25">
        <v>13.2</v>
      </c>
      <c r="N100" s="26">
        <v>26.4</v>
      </c>
    </row>
    <row r="101" spans="4:14">
      <c r="D101" s="21"/>
      <c r="E101" s="22"/>
      <c r="F101" s="22"/>
      <c r="G101" s="22"/>
      <c r="H101" s="22"/>
      <c r="I101" s="22"/>
      <c r="J101" s="27" t="s">
        <v>145</v>
      </c>
      <c r="K101" s="24">
        <v>1</v>
      </c>
      <c r="L101" s="25">
        <v>4.4</v>
      </c>
      <c r="M101" s="25"/>
      <c r="N101" s="26"/>
    </row>
    <row r="102" spans="4:14">
      <c r="D102" s="21">
        <v>46112</v>
      </c>
      <c r="E102" s="22">
        <v>1590880</v>
      </c>
      <c r="F102" s="22" t="s">
        <v>20</v>
      </c>
      <c r="G102" s="22">
        <v>20324402</v>
      </c>
      <c r="H102" s="22" t="s">
        <v>147</v>
      </c>
      <c r="I102" s="22">
        <v>2</v>
      </c>
      <c r="J102" s="27" t="s">
        <v>25</v>
      </c>
      <c r="K102" s="24">
        <v>1</v>
      </c>
      <c r="L102" s="25">
        <v>8.8</v>
      </c>
      <c r="M102" s="26">
        <v>8.8</v>
      </c>
      <c r="N102" s="26">
        <v>17.6</v>
      </c>
    </row>
    <row r="103" spans="4:14">
      <c r="D103" s="21">
        <v>46112</v>
      </c>
      <c r="E103" s="22">
        <v>1590880</v>
      </c>
      <c r="F103" s="22" t="s">
        <v>16</v>
      </c>
      <c r="G103" s="22">
        <v>20324494</v>
      </c>
      <c r="H103" s="22" t="s">
        <v>148</v>
      </c>
      <c r="I103" s="22">
        <v>3</v>
      </c>
      <c r="J103" s="28" t="s">
        <v>18</v>
      </c>
      <c r="K103" s="24">
        <f>M103/L103</f>
        <v>11</v>
      </c>
      <c r="L103" s="25">
        <v>4.4</v>
      </c>
      <c r="M103" s="26">
        <v>48.4</v>
      </c>
      <c r="N103" s="26">
        <v>145.2</v>
      </c>
    </row>
    <row r="104" spans="4:14">
      <c r="D104" s="21">
        <v>46112</v>
      </c>
      <c r="E104" s="22">
        <v>1590880</v>
      </c>
      <c r="F104" s="22" t="s">
        <v>16</v>
      </c>
      <c r="G104" s="22">
        <v>20324493</v>
      </c>
      <c r="H104" s="22" t="s">
        <v>149</v>
      </c>
      <c r="I104" s="22">
        <v>5</v>
      </c>
      <c r="J104" s="28" t="s">
        <v>18</v>
      </c>
      <c r="K104" s="24">
        <f>M104/L104</f>
        <v>15</v>
      </c>
      <c r="L104" s="25">
        <v>4.4</v>
      </c>
      <c r="M104" s="26">
        <v>66</v>
      </c>
      <c r="N104" s="26">
        <v>330</v>
      </c>
    </row>
    <row r="105" spans="4:14">
      <c r="D105" s="21">
        <v>46112</v>
      </c>
      <c r="E105" s="22">
        <v>1590880</v>
      </c>
      <c r="F105" s="22" t="s">
        <v>16</v>
      </c>
      <c r="G105" s="22">
        <v>20324492</v>
      </c>
      <c r="H105" s="22" t="s">
        <v>150</v>
      </c>
      <c r="I105" s="22">
        <v>1</v>
      </c>
      <c r="J105" s="28" t="s">
        <v>18</v>
      </c>
      <c r="K105" s="24">
        <f>M105/L105</f>
        <v>3</v>
      </c>
      <c r="L105" s="25">
        <v>4.4</v>
      </c>
      <c r="M105" s="26">
        <v>13.2</v>
      </c>
      <c r="N105" s="26">
        <v>13.2</v>
      </c>
    </row>
    <row r="106" spans="4:14">
      <c r="D106" s="21">
        <v>46112</v>
      </c>
      <c r="E106" s="22">
        <v>1590880</v>
      </c>
      <c r="F106" s="22" t="s">
        <v>20</v>
      </c>
      <c r="G106" s="22">
        <v>20324717</v>
      </c>
      <c r="H106" s="22" t="s">
        <v>151</v>
      </c>
      <c r="I106" s="22">
        <v>1</v>
      </c>
      <c r="J106" s="28" t="s">
        <v>18</v>
      </c>
      <c r="K106" s="24">
        <f>M106/L106</f>
        <v>3</v>
      </c>
      <c r="L106" s="25">
        <v>4.4</v>
      </c>
      <c r="M106" s="26">
        <v>13.2</v>
      </c>
      <c r="N106" s="26">
        <v>13.2</v>
      </c>
    </row>
  </sheetData>
  <autoFilter xmlns:etc="http://www.wps.cn/officeDocument/2017/etCustomData" ref="A7:N106" etc:filterBottomFollowUsedRange="0">
    <extLst/>
  </autoFilter>
  <mergeCells count="29">
    <mergeCell ref="D8:H8"/>
    <mergeCell ref="C7:C106"/>
    <mergeCell ref="D34:D35"/>
    <mergeCell ref="D81:D82"/>
    <mergeCell ref="D100:D101"/>
    <mergeCell ref="E34:E35"/>
    <mergeCell ref="E81:E82"/>
    <mergeCell ref="E100:E101"/>
    <mergeCell ref="F34:F35"/>
    <mergeCell ref="F81:F82"/>
    <mergeCell ref="F100:F101"/>
    <mergeCell ref="G34:G35"/>
    <mergeCell ref="G81:G82"/>
    <mergeCell ref="G100:G101"/>
    <mergeCell ref="H34:H35"/>
    <mergeCell ref="H81:H82"/>
    <mergeCell ref="H100:H101"/>
    <mergeCell ref="I34:I35"/>
    <mergeCell ref="I81:I82"/>
    <mergeCell ref="I100:I101"/>
    <mergeCell ref="M34:M35"/>
    <mergeCell ref="M81:M82"/>
    <mergeCell ref="M100:M101"/>
    <mergeCell ref="N34:N35"/>
    <mergeCell ref="N81:N82"/>
    <mergeCell ref="N100:N101"/>
    <mergeCell ref="B4:H5"/>
    <mergeCell ref="C1:H2"/>
    <mergeCell ref="A7:B106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2" width="17.12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163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18</v>
      </c>
      <c r="J8" s="11"/>
      <c r="K8" s="67"/>
      <c r="L8" s="67"/>
      <c r="M8" s="14"/>
      <c r="N8" s="14">
        <v>442</v>
      </c>
    </row>
    <row r="9" spans="1:14">
      <c r="D9" s="15">
        <v>46086</v>
      </c>
      <c r="E9" s="16">
        <v>1582543</v>
      </c>
      <c r="F9" s="16" t="s">
        <v>20</v>
      </c>
      <c r="G9" s="16">
        <v>20324533</v>
      </c>
      <c r="H9" s="16" t="s">
        <v>84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46086</v>
      </c>
      <c r="E10" s="22">
        <v>1582543</v>
      </c>
      <c r="F10" s="22" t="s">
        <v>20</v>
      </c>
      <c r="G10" s="22">
        <v>20374357</v>
      </c>
      <c r="H10" s="22" t="s">
        <v>164</v>
      </c>
      <c r="I10" s="22">
        <v>3</v>
      </c>
      <c r="J10" s="28" t="s">
        <v>18</v>
      </c>
      <c r="K10" s="24">
        <f t="shared" ref="K10:K16" si="0">M10/L10</f>
        <v>6</v>
      </c>
      <c r="L10" s="25">
        <v>4.4</v>
      </c>
      <c r="M10" s="26">
        <v>26.4</v>
      </c>
      <c r="N10" s="26">
        <v>79.2</v>
      </c>
    </row>
    <row r="11" spans="1:14">
      <c r="D11" s="21">
        <v>46092</v>
      </c>
      <c r="E11" s="22">
        <v>1585133</v>
      </c>
      <c r="F11" s="22" t="s">
        <v>20</v>
      </c>
      <c r="G11" s="22">
        <v>20386348</v>
      </c>
      <c r="H11" s="22" t="s">
        <v>165</v>
      </c>
      <c r="I11" s="22">
        <v>1</v>
      </c>
      <c r="J11" s="28" t="s">
        <v>18</v>
      </c>
      <c r="K11" s="24">
        <f t="shared" si="0"/>
        <v>5</v>
      </c>
      <c r="L11" s="25">
        <v>4.4</v>
      </c>
      <c r="M11" s="26">
        <v>22</v>
      </c>
      <c r="N11" s="26">
        <v>22</v>
      </c>
    </row>
    <row r="12" spans="1:14">
      <c r="D12" s="21">
        <v>46092</v>
      </c>
      <c r="E12" s="22">
        <v>1585133</v>
      </c>
      <c r="F12" s="22" t="s">
        <v>20</v>
      </c>
      <c r="G12" s="22">
        <v>20374357</v>
      </c>
      <c r="H12" s="22" t="s">
        <v>164</v>
      </c>
      <c r="I12" s="22">
        <v>3</v>
      </c>
      <c r="J12" s="28" t="s">
        <v>18</v>
      </c>
      <c r="K12" s="24">
        <f t="shared" si="0"/>
        <v>6</v>
      </c>
      <c r="L12" s="25">
        <v>4.4</v>
      </c>
      <c r="M12" s="26">
        <v>26.4</v>
      </c>
      <c r="N12" s="26">
        <v>79.2</v>
      </c>
    </row>
    <row r="13" spans="1:14">
      <c r="D13" s="21">
        <v>46097</v>
      </c>
      <c r="E13" s="22">
        <v>1586439</v>
      </c>
      <c r="F13" s="22" t="s">
        <v>20</v>
      </c>
      <c r="G13" s="22">
        <v>20374357</v>
      </c>
      <c r="H13" s="22" t="s">
        <v>164</v>
      </c>
      <c r="I13" s="22">
        <v>3</v>
      </c>
      <c r="J13" s="28" t="s">
        <v>18</v>
      </c>
      <c r="K13" s="24">
        <f t="shared" si="0"/>
        <v>6</v>
      </c>
      <c r="L13" s="25">
        <v>4.4</v>
      </c>
      <c r="M13" s="26">
        <v>26.4</v>
      </c>
      <c r="N13" s="26">
        <v>79.2</v>
      </c>
    </row>
    <row r="14" spans="1:14">
      <c r="D14" s="21">
        <v>46100</v>
      </c>
      <c r="E14" s="22">
        <v>1587568</v>
      </c>
      <c r="F14" s="22" t="s">
        <v>20</v>
      </c>
      <c r="G14" s="22">
        <v>20374357</v>
      </c>
      <c r="H14" s="22" t="s">
        <v>164</v>
      </c>
      <c r="I14" s="22">
        <v>4</v>
      </c>
      <c r="J14" s="28" t="s">
        <v>18</v>
      </c>
      <c r="K14" s="24">
        <f t="shared" si="0"/>
        <v>6</v>
      </c>
      <c r="L14" s="25">
        <v>4.4</v>
      </c>
      <c r="M14" s="26">
        <v>26.4</v>
      </c>
      <c r="N14" s="26">
        <v>105.6</v>
      </c>
    </row>
    <row r="15" spans="1:14">
      <c r="D15" s="21">
        <v>46106</v>
      </c>
      <c r="E15" s="22">
        <v>1588789</v>
      </c>
      <c r="F15" s="22" t="s">
        <v>20</v>
      </c>
      <c r="G15" s="22">
        <v>20386348</v>
      </c>
      <c r="H15" s="22" t="s">
        <v>165</v>
      </c>
      <c r="I15" s="22">
        <v>2</v>
      </c>
      <c r="J15" s="28" t="s">
        <v>18</v>
      </c>
      <c r="K15" s="24">
        <f t="shared" si="0"/>
        <v>5</v>
      </c>
      <c r="L15" s="25">
        <v>4.4</v>
      </c>
      <c r="M15" s="26">
        <v>22</v>
      </c>
      <c r="N15" s="26">
        <v>44</v>
      </c>
    </row>
    <row r="16" spans="1:14">
      <c r="D16" s="21">
        <v>46106</v>
      </c>
      <c r="E16" s="22">
        <v>1588789</v>
      </c>
      <c r="F16" s="22" t="s">
        <v>20</v>
      </c>
      <c r="G16" s="22">
        <v>20374357</v>
      </c>
      <c r="H16" s="22" t="s">
        <v>164</v>
      </c>
      <c r="I16" s="22">
        <v>1</v>
      </c>
      <c r="J16" s="28" t="s">
        <v>18</v>
      </c>
      <c r="K16" s="24">
        <f t="shared" si="0"/>
        <v>6</v>
      </c>
      <c r="L16" s="25">
        <v>4.4</v>
      </c>
      <c r="M16" s="26">
        <v>26.4</v>
      </c>
      <c r="N16" s="26">
        <v>26.4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75" customWidth="1"/>
    <col min="11" max="11" width="17.125" customWidth="1"/>
    <col min="12" max="12" width="12.7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108" t="s">
        <v>4</v>
      </c>
      <c r="E7" s="108" t="s">
        <v>5</v>
      </c>
      <c r="F7" s="108" t="s">
        <v>6</v>
      </c>
      <c r="G7" s="108" t="s">
        <v>7</v>
      </c>
      <c r="H7" s="108" t="s">
        <v>8</v>
      </c>
      <c r="I7" s="108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49" t="s">
        <v>166</v>
      </c>
      <c r="E8" s="50" t="s">
        <v>2</v>
      </c>
      <c r="F8" s="50" t="s">
        <v>2</v>
      </c>
      <c r="G8" s="50" t="s">
        <v>2</v>
      </c>
      <c r="H8" s="50" t="s">
        <v>2</v>
      </c>
      <c r="I8" s="49">
        <v>52</v>
      </c>
      <c r="J8" s="49"/>
      <c r="K8" s="67"/>
      <c r="L8" s="67"/>
      <c r="M8" s="14"/>
      <c r="N8" s="14">
        <v>669.2</v>
      </c>
    </row>
    <row r="9" spans="1:14">
      <c r="D9" s="52">
        <v>46083</v>
      </c>
      <c r="E9" s="53">
        <v>1581553</v>
      </c>
      <c r="F9" s="53" t="s">
        <v>20</v>
      </c>
      <c r="G9" s="53">
        <v>20330459</v>
      </c>
      <c r="H9" s="53" t="s">
        <v>141</v>
      </c>
      <c r="I9" s="53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33">
        <v>46083</v>
      </c>
      <c r="E10" s="34">
        <v>1581553</v>
      </c>
      <c r="F10" s="34" t="s">
        <v>20</v>
      </c>
      <c r="G10" s="34">
        <v>20324363</v>
      </c>
      <c r="H10" s="34" t="s">
        <v>91</v>
      </c>
      <c r="I10" s="34">
        <v>1</v>
      </c>
      <c r="J10" s="23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33">
        <v>46083</v>
      </c>
      <c r="E11" s="34">
        <v>1581553</v>
      </c>
      <c r="F11" s="34" t="s">
        <v>20</v>
      </c>
      <c r="G11" s="34">
        <v>20325315</v>
      </c>
      <c r="H11" s="34" t="s">
        <v>167</v>
      </c>
      <c r="I11" s="34">
        <v>1</v>
      </c>
      <c r="J11" s="28" t="s">
        <v>18</v>
      </c>
      <c r="K11" s="24">
        <f t="shared" ref="K11:K14" si="0">M11/L11</f>
        <v>4</v>
      </c>
      <c r="L11" s="25">
        <v>4.4</v>
      </c>
      <c r="M11" s="26">
        <v>17.6</v>
      </c>
      <c r="N11" s="26">
        <v>17.6</v>
      </c>
    </row>
    <row r="12" spans="1:14">
      <c r="D12" s="33">
        <v>46083</v>
      </c>
      <c r="E12" s="34">
        <v>1581553</v>
      </c>
      <c r="F12" s="34" t="s">
        <v>20</v>
      </c>
      <c r="G12" s="34">
        <v>20324626</v>
      </c>
      <c r="H12" s="34" t="s">
        <v>168</v>
      </c>
      <c r="I12" s="34">
        <v>3</v>
      </c>
      <c r="J12" s="28" t="s">
        <v>18</v>
      </c>
      <c r="K12" s="24">
        <f t="shared" si="0"/>
        <v>4</v>
      </c>
      <c r="L12" s="25">
        <v>4.4</v>
      </c>
      <c r="M12" s="26">
        <v>17.6</v>
      </c>
      <c r="N12" s="26">
        <v>52.8</v>
      </c>
    </row>
    <row r="13" spans="1:14">
      <c r="D13" s="33">
        <v>46092</v>
      </c>
      <c r="E13" s="34">
        <v>1584752</v>
      </c>
      <c r="F13" s="34" t="s">
        <v>20</v>
      </c>
      <c r="G13" s="34">
        <v>20330459</v>
      </c>
      <c r="H13" s="34" t="s">
        <v>141</v>
      </c>
      <c r="I13" s="34">
        <v>2</v>
      </c>
      <c r="J13" s="23" t="s">
        <v>22</v>
      </c>
      <c r="K13" s="24">
        <v>1</v>
      </c>
      <c r="L13" s="25">
        <v>6.4</v>
      </c>
      <c r="M13" s="26">
        <v>6.4</v>
      </c>
      <c r="N13" s="26">
        <v>12.8</v>
      </c>
    </row>
    <row r="14" spans="1:14">
      <c r="D14" s="33">
        <v>46092</v>
      </c>
      <c r="E14" s="34">
        <v>1584752</v>
      </c>
      <c r="F14" s="34" t="s">
        <v>20</v>
      </c>
      <c r="G14" s="34">
        <v>20324626</v>
      </c>
      <c r="H14" s="34" t="s">
        <v>168</v>
      </c>
      <c r="I14" s="34">
        <v>4</v>
      </c>
      <c r="J14" s="28" t="s">
        <v>18</v>
      </c>
      <c r="K14" s="24">
        <f t="shared" si="0"/>
        <v>4</v>
      </c>
      <c r="L14" s="25">
        <v>4.4</v>
      </c>
      <c r="M14" s="26">
        <v>17.6</v>
      </c>
      <c r="N14" s="26">
        <v>70.4</v>
      </c>
    </row>
    <row r="15" spans="1:14">
      <c r="D15" s="33">
        <v>46097</v>
      </c>
      <c r="E15" s="34">
        <v>1586440</v>
      </c>
      <c r="F15" s="34" t="s">
        <v>20</v>
      </c>
      <c r="G15" s="34">
        <v>20330459</v>
      </c>
      <c r="H15" s="34" t="s">
        <v>141</v>
      </c>
      <c r="I15" s="34">
        <v>1</v>
      </c>
      <c r="J15" s="23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33">
        <v>46097</v>
      </c>
      <c r="E16" s="34">
        <v>1586440</v>
      </c>
      <c r="F16" s="34" t="s">
        <v>20</v>
      </c>
      <c r="G16" s="34">
        <v>20324364</v>
      </c>
      <c r="H16" s="34" t="s">
        <v>23</v>
      </c>
      <c r="I16" s="34">
        <v>2</v>
      </c>
      <c r="J16" s="23" t="s">
        <v>22</v>
      </c>
      <c r="K16" s="24">
        <v>1</v>
      </c>
      <c r="L16" s="25">
        <v>6.4</v>
      </c>
      <c r="M16" s="26">
        <v>6.4</v>
      </c>
      <c r="N16" s="26">
        <v>12.8</v>
      </c>
    </row>
    <row r="17" spans="4:14">
      <c r="D17" s="33">
        <v>46097</v>
      </c>
      <c r="E17" s="34">
        <v>1586440</v>
      </c>
      <c r="F17" s="34" t="s">
        <v>20</v>
      </c>
      <c r="G17" s="34">
        <v>20324626</v>
      </c>
      <c r="H17" s="34" t="s">
        <v>168</v>
      </c>
      <c r="I17" s="34">
        <v>6</v>
      </c>
      <c r="J17" s="28" t="s">
        <v>18</v>
      </c>
      <c r="K17" s="24">
        <f t="shared" ref="K17:K20" si="1">M17/L17</f>
        <v>4</v>
      </c>
      <c r="L17" s="25">
        <v>4.4</v>
      </c>
      <c r="M17" s="26">
        <v>17.6</v>
      </c>
      <c r="N17" s="26">
        <v>105.6</v>
      </c>
    </row>
    <row r="18" spans="4:14">
      <c r="D18" s="33">
        <v>46099</v>
      </c>
      <c r="E18" s="34">
        <v>1587133</v>
      </c>
      <c r="F18" s="34" t="s">
        <v>20</v>
      </c>
      <c r="G18" s="34">
        <v>20330459</v>
      </c>
      <c r="H18" s="34" t="s">
        <v>141</v>
      </c>
      <c r="I18" s="34">
        <v>1</v>
      </c>
      <c r="J18" s="23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33">
        <v>46099</v>
      </c>
      <c r="E19" s="34">
        <v>1587133</v>
      </c>
      <c r="F19" s="34" t="s">
        <v>20</v>
      </c>
      <c r="G19" s="34">
        <v>20324369</v>
      </c>
      <c r="H19" s="34" t="s">
        <v>169</v>
      </c>
      <c r="I19" s="34">
        <v>1</v>
      </c>
      <c r="J19" s="28" t="s">
        <v>18</v>
      </c>
      <c r="K19" s="24">
        <f t="shared" si="1"/>
        <v>3</v>
      </c>
      <c r="L19" s="25">
        <v>4.4</v>
      </c>
      <c r="M19" s="26">
        <v>13.2</v>
      </c>
      <c r="N19" s="26">
        <v>13.2</v>
      </c>
    </row>
    <row r="20" spans="4:14">
      <c r="D20" s="33">
        <v>46099</v>
      </c>
      <c r="E20" s="34">
        <v>1587133</v>
      </c>
      <c r="F20" s="34" t="s">
        <v>20</v>
      </c>
      <c r="G20" s="34">
        <v>20324626</v>
      </c>
      <c r="H20" s="34" t="s">
        <v>168</v>
      </c>
      <c r="I20" s="34">
        <v>5</v>
      </c>
      <c r="J20" s="28" t="s">
        <v>18</v>
      </c>
      <c r="K20" s="24">
        <f t="shared" si="1"/>
        <v>4</v>
      </c>
      <c r="L20" s="25">
        <v>4.4</v>
      </c>
      <c r="M20" s="26">
        <v>17.6</v>
      </c>
      <c r="N20" s="26">
        <v>88</v>
      </c>
    </row>
    <row r="21" spans="4:14">
      <c r="D21" s="33">
        <v>46099</v>
      </c>
      <c r="E21" s="34">
        <v>1587133</v>
      </c>
      <c r="F21" s="34" t="s">
        <v>55</v>
      </c>
      <c r="G21" s="34">
        <v>20324429</v>
      </c>
      <c r="H21" s="34" t="s">
        <v>170</v>
      </c>
      <c r="I21" s="34">
        <v>6</v>
      </c>
      <c r="J21" s="28" t="s">
        <v>78</v>
      </c>
      <c r="K21" s="24">
        <v>1</v>
      </c>
      <c r="L21" s="25">
        <v>2</v>
      </c>
      <c r="M21" s="26">
        <v>2</v>
      </c>
      <c r="N21" s="26">
        <v>12</v>
      </c>
    </row>
    <row r="22" spans="4:14">
      <c r="D22" s="33">
        <v>46100</v>
      </c>
      <c r="E22" s="34">
        <v>1587569</v>
      </c>
      <c r="F22" s="34" t="s">
        <v>20</v>
      </c>
      <c r="G22" s="34">
        <v>20330459</v>
      </c>
      <c r="H22" s="34" t="s">
        <v>141</v>
      </c>
      <c r="I22" s="34">
        <v>1</v>
      </c>
      <c r="J22" s="23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33">
        <v>46100</v>
      </c>
      <c r="E23" s="34">
        <v>1587569</v>
      </c>
      <c r="F23" s="34" t="s">
        <v>20</v>
      </c>
      <c r="G23" s="34">
        <v>20325315</v>
      </c>
      <c r="H23" s="34" t="s">
        <v>167</v>
      </c>
      <c r="I23" s="34">
        <v>1</v>
      </c>
      <c r="J23" s="28" t="s">
        <v>18</v>
      </c>
      <c r="K23" s="24">
        <f t="shared" ref="K23:K26" si="2">M23/L23</f>
        <v>4</v>
      </c>
      <c r="L23" s="25">
        <v>4.4</v>
      </c>
      <c r="M23" s="26">
        <v>17.6</v>
      </c>
      <c r="N23" s="26">
        <v>17.6</v>
      </c>
    </row>
    <row r="24" spans="4:14">
      <c r="D24" s="33">
        <v>46100</v>
      </c>
      <c r="E24" s="34">
        <v>1587569</v>
      </c>
      <c r="F24" s="34" t="s">
        <v>20</v>
      </c>
      <c r="G24" s="34">
        <v>20324626</v>
      </c>
      <c r="H24" s="34" t="s">
        <v>168</v>
      </c>
      <c r="I24" s="34">
        <v>3</v>
      </c>
      <c r="J24" s="28" t="s">
        <v>18</v>
      </c>
      <c r="K24" s="24">
        <f t="shared" si="2"/>
        <v>4</v>
      </c>
      <c r="L24" s="25">
        <v>4.4</v>
      </c>
      <c r="M24" s="26">
        <v>17.6</v>
      </c>
      <c r="N24" s="26">
        <v>52.8</v>
      </c>
    </row>
    <row r="25" spans="4:14">
      <c r="D25" s="33">
        <v>46106</v>
      </c>
      <c r="E25" s="34">
        <v>1588790</v>
      </c>
      <c r="F25" s="34" t="s">
        <v>20</v>
      </c>
      <c r="G25" s="34">
        <v>20330459</v>
      </c>
      <c r="H25" s="34" t="s">
        <v>141</v>
      </c>
      <c r="I25" s="34">
        <v>1</v>
      </c>
      <c r="J25" s="23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33">
        <v>46106</v>
      </c>
      <c r="E26" s="34">
        <v>1588790</v>
      </c>
      <c r="F26" s="34" t="s">
        <v>20</v>
      </c>
      <c r="G26" s="34">
        <v>20324626</v>
      </c>
      <c r="H26" s="34" t="s">
        <v>168</v>
      </c>
      <c r="I26" s="34">
        <v>4</v>
      </c>
      <c r="J26" s="28" t="s">
        <v>18</v>
      </c>
      <c r="K26" s="24">
        <f t="shared" si="2"/>
        <v>4</v>
      </c>
      <c r="L26" s="25">
        <v>4.4</v>
      </c>
      <c r="M26" s="26">
        <v>17.6</v>
      </c>
      <c r="N26" s="26">
        <v>70.4</v>
      </c>
    </row>
    <row r="27" spans="4:14">
      <c r="D27" s="33">
        <v>46108</v>
      </c>
      <c r="E27" s="34">
        <v>1589946</v>
      </c>
      <c r="F27" s="34" t="s">
        <v>20</v>
      </c>
      <c r="G27" s="34">
        <v>20330459</v>
      </c>
      <c r="H27" s="34" t="s">
        <v>141</v>
      </c>
      <c r="I27" s="34">
        <v>1</v>
      </c>
      <c r="J27" s="23" t="s">
        <v>22</v>
      </c>
      <c r="K27" s="24">
        <v>1</v>
      </c>
      <c r="L27" s="25">
        <v>6.4</v>
      </c>
      <c r="M27" s="26">
        <v>6.4</v>
      </c>
      <c r="N27" s="26">
        <v>6.4</v>
      </c>
    </row>
    <row r="28" spans="4:14">
      <c r="D28" s="33">
        <v>46108</v>
      </c>
      <c r="E28" s="34">
        <v>1589946</v>
      </c>
      <c r="F28" s="34" t="s">
        <v>20</v>
      </c>
      <c r="G28" s="34">
        <v>20324427</v>
      </c>
      <c r="H28" s="34" t="s">
        <v>158</v>
      </c>
      <c r="I28" s="34">
        <v>1</v>
      </c>
      <c r="J28" s="27" t="s">
        <v>25</v>
      </c>
      <c r="K28" s="24">
        <v>1</v>
      </c>
      <c r="L28" s="25">
        <v>8.8</v>
      </c>
      <c r="M28" s="26">
        <v>8.8</v>
      </c>
      <c r="N28" s="26">
        <v>8.8</v>
      </c>
    </row>
    <row r="29" spans="4:14">
      <c r="D29" s="33">
        <v>46108</v>
      </c>
      <c r="E29" s="34">
        <v>1589946</v>
      </c>
      <c r="F29" s="34" t="s">
        <v>20</v>
      </c>
      <c r="G29" s="34">
        <v>20324401</v>
      </c>
      <c r="H29" s="34" t="s">
        <v>61</v>
      </c>
      <c r="I29" s="34">
        <v>1</v>
      </c>
      <c r="J29" s="46" t="s">
        <v>62</v>
      </c>
      <c r="K29" s="24">
        <v>1</v>
      </c>
      <c r="L29" s="25">
        <v>12.8</v>
      </c>
      <c r="M29" s="26">
        <v>12.8</v>
      </c>
      <c r="N29" s="26">
        <v>12.8</v>
      </c>
    </row>
    <row r="30" spans="4:14">
      <c r="D30" s="33">
        <v>46108</v>
      </c>
      <c r="E30" s="34">
        <v>1589946</v>
      </c>
      <c r="F30" s="34" t="s">
        <v>20</v>
      </c>
      <c r="G30" s="34">
        <v>20324626</v>
      </c>
      <c r="H30" s="34" t="s">
        <v>168</v>
      </c>
      <c r="I30" s="34">
        <v>4</v>
      </c>
      <c r="J30" s="28" t="s">
        <v>18</v>
      </c>
      <c r="K30" s="24">
        <f>M30/L30</f>
        <v>4</v>
      </c>
      <c r="L30" s="25">
        <v>4.4</v>
      </c>
      <c r="M30" s="26">
        <v>17.6</v>
      </c>
      <c r="N30" s="26">
        <v>70.4</v>
      </c>
    </row>
  </sheetData>
  <autoFilter xmlns:etc="http://www.wps.cn/officeDocument/2017/etCustomData" ref="A7:N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showGridLines="0" view="pageBreakPreview" zoomScaleNormal="100" workbookViewId="0">
      <pane ySplit="6" topLeftCell="A25" activePane="bottomLeft" state="frozen"/>
      <selection/>
      <selection pane="bottomLeft" activeCell="N9" sqref="N9:N6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875" customWidth="1"/>
    <col min="11" max="11" width="17.125" customWidth="1"/>
    <col min="12" max="12" width="12.2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171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155</v>
      </c>
      <c r="J8" s="11"/>
      <c r="K8" s="67"/>
      <c r="L8" s="67"/>
      <c r="M8" s="14"/>
      <c r="N8" s="14">
        <v>3618.8</v>
      </c>
    </row>
    <row r="9" spans="1:14">
      <c r="D9" s="15">
        <v>46084</v>
      </c>
      <c r="E9" s="16">
        <v>1581862</v>
      </c>
      <c r="F9" s="16" t="s">
        <v>20</v>
      </c>
      <c r="G9" s="16">
        <v>20324533</v>
      </c>
      <c r="H9" s="16" t="s">
        <v>84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46084</v>
      </c>
      <c r="E10" s="22">
        <v>1581862</v>
      </c>
      <c r="F10" s="22" t="s">
        <v>16</v>
      </c>
      <c r="G10" s="22">
        <v>20324431</v>
      </c>
      <c r="H10" s="22" t="s">
        <v>149</v>
      </c>
      <c r="I10" s="22">
        <v>1</v>
      </c>
      <c r="J10" s="28" t="s">
        <v>18</v>
      </c>
      <c r="K10" s="24">
        <f t="shared" ref="K10:K15" si="0">M10/L10</f>
        <v>24</v>
      </c>
      <c r="L10" s="25">
        <v>4.4</v>
      </c>
      <c r="M10" s="26">
        <v>105.6</v>
      </c>
      <c r="N10" s="26">
        <v>105.6</v>
      </c>
    </row>
    <row r="11" spans="1:14">
      <c r="D11" s="21">
        <v>46084</v>
      </c>
      <c r="E11" s="22">
        <v>1581862</v>
      </c>
      <c r="F11" s="22" t="s">
        <v>20</v>
      </c>
      <c r="G11" s="22">
        <v>20330052</v>
      </c>
      <c r="H11" s="22" t="s">
        <v>172</v>
      </c>
      <c r="I11" s="22">
        <v>1</v>
      </c>
      <c r="J11" s="28" t="s">
        <v>18</v>
      </c>
      <c r="K11" s="24">
        <f t="shared" si="0"/>
        <v>8</v>
      </c>
      <c r="L11" s="25">
        <v>4.4</v>
      </c>
      <c r="M11" s="26">
        <v>35.2</v>
      </c>
      <c r="N11" s="26">
        <v>35.2</v>
      </c>
    </row>
    <row r="12" spans="1:14">
      <c r="D12" s="21">
        <v>46087</v>
      </c>
      <c r="E12" s="22">
        <v>1582886</v>
      </c>
      <c r="F12" s="22" t="s">
        <v>20</v>
      </c>
      <c r="G12" s="22">
        <v>20324364</v>
      </c>
      <c r="H12" s="22" t="s">
        <v>23</v>
      </c>
      <c r="I12" s="22">
        <v>3</v>
      </c>
      <c r="J12" s="23" t="s">
        <v>22</v>
      </c>
      <c r="K12" s="24">
        <v>1</v>
      </c>
      <c r="L12" s="25">
        <v>6.4</v>
      </c>
      <c r="M12" s="26">
        <v>6.4</v>
      </c>
      <c r="N12" s="26">
        <v>19.2</v>
      </c>
    </row>
    <row r="13" spans="1:14">
      <c r="D13" s="21">
        <v>46087</v>
      </c>
      <c r="E13" s="22">
        <v>1582886</v>
      </c>
      <c r="F13" s="22" t="s">
        <v>20</v>
      </c>
      <c r="G13" s="22">
        <v>20324425</v>
      </c>
      <c r="H13" s="22" t="s">
        <v>173</v>
      </c>
      <c r="I13" s="22">
        <v>1</v>
      </c>
      <c r="J13" s="27" t="s">
        <v>25</v>
      </c>
      <c r="K13" s="24">
        <v>1</v>
      </c>
      <c r="L13" s="25">
        <v>8.8</v>
      </c>
      <c r="M13" s="26">
        <v>8.8</v>
      </c>
      <c r="N13" s="26">
        <v>8.8</v>
      </c>
    </row>
    <row r="14" spans="1:14">
      <c r="D14" s="21">
        <v>46087</v>
      </c>
      <c r="E14" s="22">
        <v>1582886</v>
      </c>
      <c r="F14" s="22" t="s">
        <v>20</v>
      </c>
      <c r="G14" s="22">
        <v>20324363</v>
      </c>
      <c r="H14" s="22" t="s">
        <v>91</v>
      </c>
      <c r="I14" s="22">
        <v>1</v>
      </c>
      <c r="J14" s="23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46087</v>
      </c>
      <c r="E15" s="22">
        <v>1582886</v>
      </c>
      <c r="F15" s="22" t="s">
        <v>16</v>
      </c>
      <c r="G15" s="22">
        <v>20324431</v>
      </c>
      <c r="H15" s="22" t="s">
        <v>149</v>
      </c>
      <c r="I15" s="22">
        <v>6</v>
      </c>
      <c r="J15" s="28" t="s">
        <v>18</v>
      </c>
      <c r="K15" s="24">
        <f t="shared" si="0"/>
        <v>24</v>
      </c>
      <c r="L15" s="25">
        <v>4.4</v>
      </c>
      <c r="M15" s="26">
        <v>105.6</v>
      </c>
      <c r="N15" s="26">
        <v>633.6</v>
      </c>
    </row>
    <row r="16" spans="1:14">
      <c r="D16" s="21">
        <v>46094</v>
      </c>
      <c r="E16" s="22">
        <v>1585556</v>
      </c>
      <c r="F16" s="22" t="s">
        <v>20</v>
      </c>
      <c r="G16" s="22">
        <v>20324364</v>
      </c>
      <c r="H16" s="22" t="s">
        <v>23</v>
      </c>
      <c r="I16" s="22">
        <v>2</v>
      </c>
      <c r="J16" s="23" t="s">
        <v>22</v>
      </c>
      <c r="K16" s="24">
        <v>1</v>
      </c>
      <c r="L16" s="25">
        <v>6.4</v>
      </c>
      <c r="M16" s="26">
        <v>6.4</v>
      </c>
      <c r="N16" s="26">
        <v>12.8</v>
      </c>
    </row>
    <row r="17" spans="4:14">
      <c r="D17" s="21">
        <v>46094</v>
      </c>
      <c r="E17" s="22">
        <v>1585556</v>
      </c>
      <c r="F17" s="22" t="s">
        <v>20</v>
      </c>
      <c r="G17" s="22">
        <v>20324533</v>
      </c>
      <c r="H17" s="22" t="s">
        <v>84</v>
      </c>
      <c r="I17" s="22">
        <v>5</v>
      </c>
      <c r="J17" s="23" t="s">
        <v>22</v>
      </c>
      <c r="K17" s="24">
        <v>1</v>
      </c>
      <c r="L17" s="25">
        <v>6.4</v>
      </c>
      <c r="M17" s="26">
        <v>6.4</v>
      </c>
      <c r="N17" s="26">
        <v>32</v>
      </c>
    </row>
    <row r="18" spans="4:14">
      <c r="D18" s="21">
        <v>46094</v>
      </c>
      <c r="E18" s="22">
        <v>1585556</v>
      </c>
      <c r="F18" s="22" t="s">
        <v>20</v>
      </c>
      <c r="G18" s="22">
        <v>20324425</v>
      </c>
      <c r="H18" s="22" t="s">
        <v>173</v>
      </c>
      <c r="I18" s="22">
        <v>2</v>
      </c>
      <c r="J18" s="27" t="s">
        <v>25</v>
      </c>
      <c r="K18" s="24">
        <v>1</v>
      </c>
      <c r="L18" s="25">
        <v>8.8</v>
      </c>
      <c r="M18" s="26">
        <v>8.8</v>
      </c>
      <c r="N18" s="26">
        <v>17.6</v>
      </c>
    </row>
    <row r="19" spans="4:14">
      <c r="D19" s="21">
        <v>46094</v>
      </c>
      <c r="E19" s="22">
        <v>1585556</v>
      </c>
      <c r="F19" s="22" t="s">
        <v>20</v>
      </c>
      <c r="G19" s="22">
        <v>20324363</v>
      </c>
      <c r="H19" s="22" t="s">
        <v>91</v>
      </c>
      <c r="I19" s="22">
        <v>1</v>
      </c>
      <c r="J19" s="23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46094</v>
      </c>
      <c r="E20" s="22">
        <v>1585556</v>
      </c>
      <c r="F20" s="22" t="s">
        <v>16</v>
      </c>
      <c r="G20" s="22">
        <v>20324431</v>
      </c>
      <c r="H20" s="22" t="s">
        <v>149</v>
      </c>
      <c r="I20" s="22">
        <v>2</v>
      </c>
      <c r="J20" s="28" t="s">
        <v>18</v>
      </c>
      <c r="K20" s="24">
        <f>M20/L20</f>
        <v>24</v>
      </c>
      <c r="L20" s="25">
        <v>4.4</v>
      </c>
      <c r="M20" s="26">
        <v>105.6</v>
      </c>
      <c r="N20" s="26">
        <v>211.2</v>
      </c>
    </row>
    <row r="21" spans="4:14">
      <c r="D21" s="21">
        <v>46095</v>
      </c>
      <c r="E21" s="22">
        <v>1585919</v>
      </c>
      <c r="F21" s="22" t="s">
        <v>20</v>
      </c>
      <c r="G21" s="22">
        <v>20324428</v>
      </c>
      <c r="H21" s="22" t="s">
        <v>44</v>
      </c>
      <c r="I21" s="22">
        <v>1</v>
      </c>
      <c r="J21" s="23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46095</v>
      </c>
      <c r="E22" s="22">
        <v>1585919</v>
      </c>
      <c r="F22" s="22" t="s">
        <v>20</v>
      </c>
      <c r="G22" s="22">
        <v>20324425</v>
      </c>
      <c r="H22" s="22" t="s">
        <v>173</v>
      </c>
      <c r="I22" s="22">
        <v>1</v>
      </c>
      <c r="J22" s="27" t="s">
        <v>25</v>
      </c>
      <c r="K22" s="24">
        <v>1</v>
      </c>
      <c r="L22" s="25">
        <v>8.8</v>
      </c>
      <c r="M22" s="26">
        <v>8.8</v>
      </c>
      <c r="N22" s="26">
        <v>8.8</v>
      </c>
    </row>
    <row r="23" spans="4:14">
      <c r="D23" s="21">
        <v>46095</v>
      </c>
      <c r="E23" s="22">
        <v>1585919</v>
      </c>
      <c r="F23" s="22" t="s">
        <v>16</v>
      </c>
      <c r="G23" s="22">
        <v>20324431</v>
      </c>
      <c r="H23" s="22" t="s">
        <v>149</v>
      </c>
      <c r="I23" s="22">
        <v>1</v>
      </c>
      <c r="J23" s="28" t="s">
        <v>18</v>
      </c>
      <c r="K23" s="24">
        <f>M23/L23</f>
        <v>24</v>
      </c>
      <c r="L23" s="25">
        <v>4.4</v>
      </c>
      <c r="M23" s="26">
        <v>105.6</v>
      </c>
      <c r="N23" s="26">
        <v>105.6</v>
      </c>
    </row>
    <row r="24" spans="4:14">
      <c r="D24" s="21">
        <v>46100</v>
      </c>
      <c r="E24" s="22">
        <v>1587570</v>
      </c>
      <c r="F24" s="22" t="s">
        <v>20</v>
      </c>
      <c r="G24" s="22">
        <v>20324430</v>
      </c>
      <c r="H24" s="22" t="s">
        <v>174</v>
      </c>
      <c r="I24" s="22">
        <v>1</v>
      </c>
      <c r="J24" s="27" t="s">
        <v>175</v>
      </c>
      <c r="K24" s="24">
        <v>1</v>
      </c>
      <c r="L24" s="36">
        <v>10.4</v>
      </c>
      <c r="M24" s="26">
        <v>10.4</v>
      </c>
      <c r="N24" s="26">
        <v>10.4</v>
      </c>
    </row>
    <row r="25" spans="4:14">
      <c r="D25" s="21">
        <v>46100</v>
      </c>
      <c r="E25" s="22">
        <v>1587570</v>
      </c>
      <c r="F25" s="22" t="s">
        <v>20</v>
      </c>
      <c r="G25" s="22">
        <v>20324364</v>
      </c>
      <c r="H25" s="22" t="s">
        <v>23</v>
      </c>
      <c r="I25" s="22">
        <v>2</v>
      </c>
      <c r="J25" s="23" t="s">
        <v>22</v>
      </c>
      <c r="K25" s="24">
        <v>1</v>
      </c>
      <c r="L25" s="25">
        <v>6.4</v>
      </c>
      <c r="M25" s="26">
        <v>6.4</v>
      </c>
      <c r="N25" s="26">
        <v>12.8</v>
      </c>
    </row>
    <row r="26" spans="4:14">
      <c r="D26" s="21">
        <v>46100</v>
      </c>
      <c r="E26" s="22">
        <v>1587570</v>
      </c>
      <c r="F26" s="22" t="s">
        <v>20</v>
      </c>
      <c r="G26" s="22">
        <v>20324533</v>
      </c>
      <c r="H26" s="22" t="s">
        <v>84</v>
      </c>
      <c r="I26" s="22">
        <v>5</v>
      </c>
      <c r="J26" s="23" t="s">
        <v>22</v>
      </c>
      <c r="K26" s="24">
        <v>1</v>
      </c>
      <c r="L26" s="25">
        <v>6.4</v>
      </c>
      <c r="M26" s="26">
        <v>6.4</v>
      </c>
      <c r="N26" s="26">
        <v>32</v>
      </c>
    </row>
    <row r="27" spans="4:14">
      <c r="D27" s="21">
        <v>46100</v>
      </c>
      <c r="E27" s="22">
        <v>1587570</v>
      </c>
      <c r="F27" s="22" t="s">
        <v>20</v>
      </c>
      <c r="G27" s="22">
        <v>20324425</v>
      </c>
      <c r="H27" s="22" t="s">
        <v>173</v>
      </c>
      <c r="I27" s="22">
        <v>3</v>
      </c>
      <c r="J27" s="27" t="s">
        <v>25</v>
      </c>
      <c r="K27" s="24">
        <v>1</v>
      </c>
      <c r="L27" s="25">
        <v>8.8</v>
      </c>
      <c r="M27" s="26">
        <v>8.8</v>
      </c>
      <c r="N27" s="26">
        <v>26.4</v>
      </c>
    </row>
    <row r="28" spans="4:14">
      <c r="D28" s="21">
        <v>46100</v>
      </c>
      <c r="E28" s="22">
        <v>1587570</v>
      </c>
      <c r="F28" s="22" t="s">
        <v>20</v>
      </c>
      <c r="G28" s="22">
        <v>20324363</v>
      </c>
      <c r="H28" s="22" t="s">
        <v>91</v>
      </c>
      <c r="I28" s="22">
        <v>3</v>
      </c>
      <c r="J28" s="23" t="s">
        <v>22</v>
      </c>
      <c r="K28" s="24">
        <v>1</v>
      </c>
      <c r="L28" s="25">
        <v>6.4</v>
      </c>
      <c r="M28" s="26">
        <v>6.4</v>
      </c>
      <c r="N28" s="26">
        <v>19.2</v>
      </c>
    </row>
    <row r="29" spans="4:14">
      <c r="D29" s="21">
        <v>46100</v>
      </c>
      <c r="E29" s="22">
        <v>1587570</v>
      </c>
      <c r="F29" s="22" t="s">
        <v>16</v>
      </c>
      <c r="G29" s="22">
        <v>20359097</v>
      </c>
      <c r="H29" s="22" t="s">
        <v>176</v>
      </c>
      <c r="I29" s="22">
        <v>1</v>
      </c>
      <c r="J29" s="28" t="s">
        <v>18</v>
      </c>
      <c r="K29" s="24">
        <f t="shared" ref="K29:K31" si="1">M29/L29</f>
        <v>4</v>
      </c>
      <c r="L29" s="25">
        <v>4.4</v>
      </c>
      <c r="M29" s="26">
        <v>17.6</v>
      </c>
      <c r="N29" s="26">
        <v>17.6</v>
      </c>
    </row>
    <row r="30" spans="4:14">
      <c r="D30" s="21">
        <v>46100</v>
      </c>
      <c r="E30" s="22">
        <v>1587570</v>
      </c>
      <c r="F30" s="22" t="s">
        <v>16</v>
      </c>
      <c r="G30" s="22">
        <v>20324433</v>
      </c>
      <c r="H30" s="22" t="s">
        <v>156</v>
      </c>
      <c r="I30" s="22">
        <v>1</v>
      </c>
      <c r="J30" s="28" t="s">
        <v>18</v>
      </c>
      <c r="K30" s="24">
        <f t="shared" si="1"/>
        <v>14</v>
      </c>
      <c r="L30" s="25">
        <v>4.4</v>
      </c>
      <c r="M30" s="26">
        <v>61.6</v>
      </c>
      <c r="N30" s="26">
        <v>61.6</v>
      </c>
    </row>
    <row r="31" spans="4:14">
      <c r="D31" s="21">
        <v>46100</v>
      </c>
      <c r="E31" s="22">
        <v>1587570</v>
      </c>
      <c r="F31" s="22" t="s">
        <v>16</v>
      </c>
      <c r="G31" s="22">
        <v>20324431</v>
      </c>
      <c r="H31" s="22" t="s">
        <v>149</v>
      </c>
      <c r="I31" s="22">
        <v>4</v>
      </c>
      <c r="J31" s="28" t="s">
        <v>18</v>
      </c>
      <c r="K31" s="24">
        <f t="shared" si="1"/>
        <v>24</v>
      </c>
      <c r="L31" s="25">
        <v>4.4</v>
      </c>
      <c r="M31" s="26">
        <v>105.6</v>
      </c>
      <c r="N31" s="26">
        <v>422.4</v>
      </c>
    </row>
    <row r="32" spans="4:14">
      <c r="D32" s="21">
        <v>46104</v>
      </c>
      <c r="E32" s="22">
        <v>1588472</v>
      </c>
      <c r="F32" s="22" t="s">
        <v>20</v>
      </c>
      <c r="G32" s="22">
        <v>20324419</v>
      </c>
      <c r="H32" s="22" t="s">
        <v>82</v>
      </c>
      <c r="I32" s="22">
        <v>1</v>
      </c>
      <c r="J32" s="23" t="s">
        <v>22</v>
      </c>
      <c r="K32" s="24">
        <v>1</v>
      </c>
      <c r="L32" s="25">
        <v>6.4</v>
      </c>
      <c r="M32" s="26">
        <v>6.4</v>
      </c>
      <c r="N32" s="26">
        <v>6.4</v>
      </c>
    </row>
    <row r="33" spans="4:14">
      <c r="D33" s="21">
        <v>46104</v>
      </c>
      <c r="E33" s="22">
        <v>1588472</v>
      </c>
      <c r="F33" s="22" t="s">
        <v>20</v>
      </c>
      <c r="G33" s="22">
        <v>20324364</v>
      </c>
      <c r="H33" s="22" t="s">
        <v>23</v>
      </c>
      <c r="I33" s="22">
        <v>1</v>
      </c>
      <c r="J33" s="23" t="s">
        <v>22</v>
      </c>
      <c r="K33" s="24">
        <v>1</v>
      </c>
      <c r="L33" s="25">
        <v>6.4</v>
      </c>
      <c r="M33" s="26">
        <v>6.4</v>
      </c>
      <c r="N33" s="26">
        <v>6.4</v>
      </c>
    </row>
    <row r="34" spans="4:14">
      <c r="D34" s="21">
        <v>46104</v>
      </c>
      <c r="E34" s="22">
        <v>1588472</v>
      </c>
      <c r="F34" s="22" t="s">
        <v>20</v>
      </c>
      <c r="G34" s="22">
        <v>20324533</v>
      </c>
      <c r="H34" s="22" t="s">
        <v>84</v>
      </c>
      <c r="I34" s="22">
        <v>2</v>
      </c>
      <c r="J34" s="23" t="s">
        <v>22</v>
      </c>
      <c r="K34" s="24">
        <v>1</v>
      </c>
      <c r="L34" s="25">
        <v>6.4</v>
      </c>
      <c r="M34" s="26">
        <v>6.4</v>
      </c>
      <c r="N34" s="26">
        <v>12.8</v>
      </c>
    </row>
    <row r="35" spans="4:14">
      <c r="D35" s="21">
        <v>46104</v>
      </c>
      <c r="E35" s="22">
        <v>1588472</v>
      </c>
      <c r="F35" s="22" t="s">
        <v>20</v>
      </c>
      <c r="G35" s="22">
        <v>20324425</v>
      </c>
      <c r="H35" s="22" t="s">
        <v>173</v>
      </c>
      <c r="I35" s="22">
        <v>2</v>
      </c>
      <c r="J35" s="27" t="s">
        <v>25</v>
      </c>
      <c r="K35" s="24">
        <v>1</v>
      </c>
      <c r="L35" s="25">
        <v>8.8</v>
      </c>
      <c r="M35" s="26">
        <v>8.8</v>
      </c>
      <c r="N35" s="26">
        <v>17.6</v>
      </c>
    </row>
    <row r="36" spans="4:14">
      <c r="D36" s="21">
        <v>46104</v>
      </c>
      <c r="E36" s="22">
        <v>1588472</v>
      </c>
      <c r="F36" s="22" t="s">
        <v>20</v>
      </c>
      <c r="G36" s="22">
        <v>20324363</v>
      </c>
      <c r="H36" s="22" t="s">
        <v>91</v>
      </c>
      <c r="I36" s="22">
        <v>1</v>
      </c>
      <c r="J36" s="23" t="s">
        <v>22</v>
      </c>
      <c r="K36" s="24">
        <v>1</v>
      </c>
      <c r="L36" s="25">
        <v>6.4</v>
      </c>
      <c r="M36" s="26">
        <v>6.4</v>
      </c>
      <c r="N36" s="26">
        <v>6.4</v>
      </c>
    </row>
    <row r="37" spans="4:14">
      <c r="D37" s="21">
        <v>46104</v>
      </c>
      <c r="E37" s="22">
        <v>1588472</v>
      </c>
      <c r="F37" s="22" t="s">
        <v>16</v>
      </c>
      <c r="G37" s="22">
        <v>20324433</v>
      </c>
      <c r="H37" s="22" t="s">
        <v>156</v>
      </c>
      <c r="I37" s="22">
        <v>1</v>
      </c>
      <c r="J37" s="28" t="s">
        <v>18</v>
      </c>
      <c r="K37" s="24">
        <f t="shared" ref="K37:K41" si="2">M37/L37</f>
        <v>14</v>
      </c>
      <c r="L37" s="25">
        <v>4.4</v>
      </c>
      <c r="M37" s="26">
        <v>61.6</v>
      </c>
      <c r="N37" s="26">
        <v>61.6</v>
      </c>
    </row>
    <row r="38" spans="4:14">
      <c r="D38" s="21">
        <v>46104</v>
      </c>
      <c r="E38" s="22">
        <v>1588472</v>
      </c>
      <c r="F38" s="22" t="s">
        <v>16</v>
      </c>
      <c r="G38" s="22">
        <v>20324431</v>
      </c>
      <c r="H38" s="22" t="s">
        <v>149</v>
      </c>
      <c r="I38" s="22">
        <v>3</v>
      </c>
      <c r="J38" s="28" t="s">
        <v>18</v>
      </c>
      <c r="K38" s="24">
        <f t="shared" si="2"/>
        <v>24</v>
      </c>
      <c r="L38" s="25">
        <v>4.4</v>
      </c>
      <c r="M38" s="26">
        <v>105.6</v>
      </c>
      <c r="N38" s="26">
        <v>316.8</v>
      </c>
    </row>
    <row r="39" spans="4:14">
      <c r="D39" s="21">
        <v>46107</v>
      </c>
      <c r="E39" s="22">
        <v>1589530</v>
      </c>
      <c r="F39" s="22" t="s">
        <v>20</v>
      </c>
      <c r="G39" s="22">
        <v>20324364</v>
      </c>
      <c r="H39" s="22" t="s">
        <v>23</v>
      </c>
      <c r="I39" s="22">
        <v>4</v>
      </c>
      <c r="J39" s="23" t="s">
        <v>22</v>
      </c>
      <c r="K39" s="24">
        <v>1</v>
      </c>
      <c r="L39" s="25">
        <v>6.4</v>
      </c>
      <c r="M39" s="26">
        <v>6.4</v>
      </c>
      <c r="N39" s="26">
        <v>25.6</v>
      </c>
    </row>
    <row r="40" spans="4:14">
      <c r="D40" s="21">
        <v>46107</v>
      </c>
      <c r="E40" s="22">
        <v>1589530</v>
      </c>
      <c r="F40" s="22" t="s">
        <v>20</v>
      </c>
      <c r="G40" s="22">
        <v>20324425</v>
      </c>
      <c r="H40" s="22" t="s">
        <v>173</v>
      </c>
      <c r="I40" s="22">
        <v>1</v>
      </c>
      <c r="J40" s="27" t="s">
        <v>25</v>
      </c>
      <c r="K40" s="24">
        <v>1</v>
      </c>
      <c r="L40" s="25">
        <v>8.8</v>
      </c>
      <c r="M40" s="26">
        <v>8.8</v>
      </c>
      <c r="N40" s="26">
        <v>8.8</v>
      </c>
    </row>
    <row r="41" spans="4:14">
      <c r="D41" s="21">
        <v>46107</v>
      </c>
      <c r="E41" s="22">
        <v>1589530</v>
      </c>
      <c r="F41" s="22" t="s">
        <v>16</v>
      </c>
      <c r="G41" s="22">
        <v>20324431</v>
      </c>
      <c r="H41" s="22" t="s">
        <v>149</v>
      </c>
      <c r="I41" s="22">
        <v>3</v>
      </c>
      <c r="J41" s="28" t="s">
        <v>18</v>
      </c>
      <c r="K41" s="24">
        <f t="shared" si="2"/>
        <v>24</v>
      </c>
      <c r="L41" s="25">
        <v>4.4</v>
      </c>
      <c r="M41" s="26">
        <v>105.6</v>
      </c>
      <c r="N41" s="26">
        <v>316.8</v>
      </c>
    </row>
    <row r="42" spans="4:14">
      <c r="D42" s="21">
        <v>46111</v>
      </c>
      <c r="E42" s="22">
        <v>1590445</v>
      </c>
      <c r="F42" s="22" t="s">
        <v>20</v>
      </c>
      <c r="G42" s="22">
        <v>20358759</v>
      </c>
      <c r="H42" s="22" t="s">
        <v>177</v>
      </c>
      <c r="I42" s="22">
        <v>1</v>
      </c>
      <c r="J42" s="23" t="s">
        <v>22</v>
      </c>
      <c r="K42" s="24">
        <v>1</v>
      </c>
      <c r="L42" s="25">
        <v>6.4</v>
      </c>
      <c r="M42" s="26">
        <v>6.4</v>
      </c>
      <c r="N42" s="26">
        <v>6.4</v>
      </c>
    </row>
    <row r="43" spans="4:14">
      <c r="D43" s="21">
        <v>46111</v>
      </c>
      <c r="E43" s="22">
        <v>1590445</v>
      </c>
      <c r="F43" s="22" t="s">
        <v>20</v>
      </c>
      <c r="G43" s="22">
        <v>20324364</v>
      </c>
      <c r="H43" s="22" t="s">
        <v>23</v>
      </c>
      <c r="I43" s="22">
        <v>1</v>
      </c>
      <c r="J43" s="23" t="s">
        <v>22</v>
      </c>
      <c r="K43" s="24">
        <v>1</v>
      </c>
      <c r="L43" s="25">
        <v>6.4</v>
      </c>
      <c r="M43" s="26">
        <v>6.4</v>
      </c>
      <c r="N43" s="26">
        <v>6.4</v>
      </c>
    </row>
    <row r="44" spans="4:14">
      <c r="D44" s="21">
        <v>46111</v>
      </c>
      <c r="E44" s="22">
        <v>1590445</v>
      </c>
      <c r="F44" s="22" t="s">
        <v>20</v>
      </c>
      <c r="G44" s="22">
        <v>20324533</v>
      </c>
      <c r="H44" s="22" t="s">
        <v>84</v>
      </c>
      <c r="I44" s="22">
        <v>5</v>
      </c>
      <c r="J44" s="23" t="s">
        <v>22</v>
      </c>
      <c r="K44" s="24">
        <v>1</v>
      </c>
      <c r="L44" s="25">
        <v>6.4</v>
      </c>
      <c r="M44" s="26">
        <v>6.4</v>
      </c>
      <c r="N44" s="26">
        <v>32</v>
      </c>
    </row>
    <row r="45" spans="4:14">
      <c r="D45" s="21">
        <v>46111</v>
      </c>
      <c r="E45" s="22">
        <v>1590445</v>
      </c>
      <c r="F45" s="22" t="s">
        <v>20</v>
      </c>
      <c r="G45" s="22">
        <v>20324425</v>
      </c>
      <c r="H45" s="22" t="s">
        <v>173</v>
      </c>
      <c r="I45" s="22">
        <v>1</v>
      </c>
      <c r="J45" s="27" t="s">
        <v>25</v>
      </c>
      <c r="K45" s="24">
        <v>1</v>
      </c>
      <c r="L45" s="25">
        <v>8.8</v>
      </c>
      <c r="M45" s="26">
        <v>8.8</v>
      </c>
      <c r="N45" s="26">
        <v>8.8</v>
      </c>
    </row>
    <row r="46" spans="4:14">
      <c r="D46" s="21">
        <v>46111</v>
      </c>
      <c r="E46" s="22">
        <v>1590445</v>
      </c>
      <c r="F46" s="22" t="s">
        <v>16</v>
      </c>
      <c r="G46" s="22">
        <v>20324431</v>
      </c>
      <c r="H46" s="22" t="s">
        <v>149</v>
      </c>
      <c r="I46" s="22">
        <v>3</v>
      </c>
      <c r="J46" s="28" t="s">
        <v>18</v>
      </c>
      <c r="K46" s="24">
        <f t="shared" ref="K46:K52" si="3">M46/L46</f>
        <v>24</v>
      </c>
      <c r="L46" s="25">
        <v>4.4</v>
      </c>
      <c r="M46" s="26">
        <v>105.6</v>
      </c>
      <c r="N46" s="26">
        <v>316.8</v>
      </c>
    </row>
    <row r="47" spans="4:14">
      <c r="D47" s="21">
        <v>46111</v>
      </c>
      <c r="E47" s="22">
        <v>1590445</v>
      </c>
      <c r="F47" s="22" t="s">
        <v>55</v>
      </c>
      <c r="G47" s="22">
        <v>20367827</v>
      </c>
      <c r="H47" s="22" t="s">
        <v>178</v>
      </c>
      <c r="I47" s="22">
        <v>66</v>
      </c>
      <c r="J47" s="28" t="s">
        <v>78</v>
      </c>
      <c r="K47" s="24">
        <v>1</v>
      </c>
      <c r="L47" s="25">
        <v>2</v>
      </c>
      <c r="M47" s="26">
        <v>2</v>
      </c>
      <c r="N47" s="26">
        <v>132</v>
      </c>
    </row>
    <row r="48" spans="4:14">
      <c r="D48" s="21">
        <v>46112</v>
      </c>
      <c r="E48" s="22">
        <v>1590881</v>
      </c>
      <c r="F48" s="22" t="s">
        <v>20</v>
      </c>
      <c r="G48" s="22">
        <v>20324425</v>
      </c>
      <c r="H48" s="22" t="s">
        <v>173</v>
      </c>
      <c r="I48" s="22">
        <v>3</v>
      </c>
      <c r="J48" s="27" t="s">
        <v>25</v>
      </c>
      <c r="K48" s="24">
        <v>1</v>
      </c>
      <c r="L48" s="25">
        <v>8.8</v>
      </c>
      <c r="M48" s="26">
        <v>8.8</v>
      </c>
      <c r="N48" s="26">
        <v>26.4</v>
      </c>
    </row>
    <row r="49" spans="4:14">
      <c r="D49" s="21">
        <v>46112</v>
      </c>
      <c r="E49" s="22">
        <v>1590881</v>
      </c>
      <c r="F49" s="22" t="s">
        <v>20</v>
      </c>
      <c r="G49" s="22">
        <v>20324363</v>
      </c>
      <c r="H49" s="22" t="s">
        <v>91</v>
      </c>
      <c r="I49" s="22">
        <v>1</v>
      </c>
      <c r="J49" s="23" t="s">
        <v>22</v>
      </c>
      <c r="K49" s="24">
        <v>1</v>
      </c>
      <c r="L49" s="25">
        <v>6.4</v>
      </c>
      <c r="M49" s="26">
        <v>6.4</v>
      </c>
      <c r="N49" s="26">
        <v>6.4</v>
      </c>
    </row>
    <row r="50" spans="4:14">
      <c r="D50" s="21">
        <v>46112</v>
      </c>
      <c r="E50" s="22">
        <v>1590881</v>
      </c>
      <c r="F50" s="22" t="s">
        <v>16</v>
      </c>
      <c r="G50" s="22">
        <v>20359097</v>
      </c>
      <c r="H50" s="22" t="s">
        <v>176</v>
      </c>
      <c r="I50" s="22">
        <v>1</v>
      </c>
      <c r="J50" s="28" t="s">
        <v>18</v>
      </c>
      <c r="K50" s="24">
        <f t="shared" si="3"/>
        <v>4</v>
      </c>
      <c r="L50" s="25">
        <v>4.4</v>
      </c>
      <c r="M50" s="26">
        <v>17.6</v>
      </c>
      <c r="N50" s="26">
        <v>17.6</v>
      </c>
    </row>
    <row r="51" spans="4:14">
      <c r="D51" s="21">
        <v>46112</v>
      </c>
      <c r="E51" s="22">
        <v>1590881</v>
      </c>
      <c r="F51" s="22" t="s">
        <v>16</v>
      </c>
      <c r="G51" s="22">
        <v>20324432</v>
      </c>
      <c r="H51" s="22" t="s">
        <v>179</v>
      </c>
      <c r="I51" s="22">
        <v>1</v>
      </c>
      <c r="J51" s="28" t="s">
        <v>18</v>
      </c>
      <c r="K51" s="24">
        <f t="shared" si="3"/>
        <v>33</v>
      </c>
      <c r="L51" s="25">
        <v>4.4</v>
      </c>
      <c r="M51" s="26">
        <v>145.2</v>
      </c>
      <c r="N51" s="26">
        <v>145.2</v>
      </c>
    </row>
    <row r="52" spans="4:14">
      <c r="D52" s="21">
        <v>46112</v>
      </c>
      <c r="E52" s="22">
        <v>1590881</v>
      </c>
      <c r="F52" s="22" t="s">
        <v>16</v>
      </c>
      <c r="G52" s="22">
        <v>20324431</v>
      </c>
      <c r="H52" s="22" t="s">
        <v>149</v>
      </c>
      <c r="I52" s="22">
        <v>3</v>
      </c>
      <c r="J52" s="28" t="s">
        <v>18</v>
      </c>
      <c r="K52" s="24">
        <f t="shared" si="3"/>
        <v>24</v>
      </c>
      <c r="L52" s="25">
        <v>4.4</v>
      </c>
      <c r="M52" s="26">
        <v>105.6</v>
      </c>
      <c r="N52" s="26">
        <v>316.8</v>
      </c>
    </row>
    <row r="53" ht="0.05" customHeight="1"/>
  </sheetData>
  <autoFilter xmlns:etc="http://www.wps.cn/officeDocument/2017/etCustomData" ref="A7:N52" etc:filterBottomFollowUsedRange="0">
    <extLst/>
  </autoFilter>
  <mergeCells count="5">
    <mergeCell ref="D8:H8"/>
    <mergeCell ref="C7:C52"/>
    <mergeCell ref="B4:H5"/>
    <mergeCell ref="A7:B52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9.75" customWidth="1"/>
    <col min="11" max="11" width="18" customWidth="1"/>
    <col min="12" max="12" width="12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108" t="s">
        <v>4</v>
      </c>
      <c r="E7" s="108" t="s">
        <v>5</v>
      </c>
      <c r="F7" s="108" t="s">
        <v>6</v>
      </c>
      <c r="G7" s="108" t="s">
        <v>7</v>
      </c>
      <c r="H7" s="108" t="s">
        <v>8</v>
      </c>
      <c r="I7" s="108" t="s">
        <v>9</v>
      </c>
      <c r="J7" s="7" t="s">
        <v>10</v>
      </c>
      <c r="K7" s="8" t="s">
        <v>11</v>
      </c>
      <c r="L7" s="9" t="s">
        <v>12</v>
      </c>
      <c r="M7" s="109" t="s">
        <v>13</v>
      </c>
      <c r="N7" s="109" t="s">
        <v>14</v>
      </c>
    </row>
    <row r="8" ht="14.25" spans="1:14">
      <c r="D8" s="49" t="s">
        <v>180</v>
      </c>
      <c r="E8" s="50" t="s">
        <v>2</v>
      </c>
      <c r="F8" s="50" t="s">
        <v>2</v>
      </c>
      <c r="G8" s="50" t="s">
        <v>2</v>
      </c>
      <c r="H8" s="50" t="s">
        <v>2</v>
      </c>
      <c r="I8" s="49">
        <v>37</v>
      </c>
      <c r="J8" s="51"/>
      <c r="K8" s="110"/>
      <c r="L8" s="110"/>
      <c r="M8" s="110"/>
      <c r="N8" s="110">
        <v>1677.2</v>
      </c>
    </row>
    <row r="9" spans="1:14">
      <c r="D9" s="52">
        <v>46086</v>
      </c>
      <c r="E9" s="53">
        <v>1582544</v>
      </c>
      <c r="F9" s="53" t="s">
        <v>20</v>
      </c>
      <c r="G9" s="53">
        <v>20324533</v>
      </c>
      <c r="H9" s="53" t="s">
        <v>84</v>
      </c>
      <c r="I9" s="53">
        <v>4</v>
      </c>
      <c r="J9" s="17" t="s">
        <v>22</v>
      </c>
      <c r="K9" s="18">
        <v>1</v>
      </c>
      <c r="L9" s="19">
        <v>6.4</v>
      </c>
      <c r="M9" s="111">
        <v>6.4</v>
      </c>
      <c r="N9" s="111">
        <v>25.6</v>
      </c>
    </row>
    <row r="10" spans="1:14">
      <c r="D10" s="33">
        <v>46086</v>
      </c>
      <c r="E10" s="34">
        <v>1582544</v>
      </c>
      <c r="F10" s="34" t="s">
        <v>20</v>
      </c>
      <c r="G10" s="34">
        <v>20324425</v>
      </c>
      <c r="H10" s="34" t="s">
        <v>173</v>
      </c>
      <c r="I10" s="34">
        <v>1</v>
      </c>
      <c r="J10" s="27" t="s">
        <v>25</v>
      </c>
      <c r="K10" s="24">
        <v>1</v>
      </c>
      <c r="L10" s="25">
        <v>8.8</v>
      </c>
      <c r="M10" s="112">
        <v>8.8</v>
      </c>
      <c r="N10" s="112">
        <v>8.8</v>
      </c>
    </row>
    <row r="11" spans="1:14">
      <c r="D11" s="33">
        <v>46086</v>
      </c>
      <c r="E11" s="34">
        <v>1582544</v>
      </c>
      <c r="F11" s="34" t="s">
        <v>16</v>
      </c>
      <c r="G11" s="34">
        <v>20324431</v>
      </c>
      <c r="H11" s="34" t="s">
        <v>149</v>
      </c>
      <c r="I11" s="34">
        <v>6</v>
      </c>
      <c r="J11" s="28" t="s">
        <v>18</v>
      </c>
      <c r="K11" s="24">
        <f t="shared" ref="K11:K13" si="0">M11/L11</f>
        <v>24</v>
      </c>
      <c r="L11" s="25">
        <v>4.4</v>
      </c>
      <c r="M11" s="112">
        <v>105.6</v>
      </c>
      <c r="N11" s="112">
        <v>633.6</v>
      </c>
    </row>
    <row r="12" spans="1:14">
      <c r="D12" s="33">
        <v>46086</v>
      </c>
      <c r="E12" s="34">
        <v>1582544</v>
      </c>
      <c r="F12" s="34" t="s">
        <v>16</v>
      </c>
      <c r="G12" s="34">
        <v>20324453</v>
      </c>
      <c r="H12" s="34" t="s">
        <v>181</v>
      </c>
      <c r="I12" s="34">
        <v>1</v>
      </c>
      <c r="J12" s="28" t="s">
        <v>18</v>
      </c>
      <c r="K12" s="24">
        <f t="shared" si="0"/>
        <v>8</v>
      </c>
      <c r="L12" s="25">
        <v>4.4</v>
      </c>
      <c r="M12" s="112">
        <v>35.2</v>
      </c>
      <c r="N12" s="112">
        <v>35.2</v>
      </c>
    </row>
    <row r="13" spans="1:14">
      <c r="D13" s="33">
        <v>46087</v>
      </c>
      <c r="E13" s="34">
        <v>1582860</v>
      </c>
      <c r="F13" s="34" t="s">
        <v>16</v>
      </c>
      <c r="G13" s="34">
        <v>20324461</v>
      </c>
      <c r="H13" s="34" t="s">
        <v>156</v>
      </c>
      <c r="I13" s="34">
        <v>1</v>
      </c>
      <c r="J13" s="28" t="s">
        <v>18</v>
      </c>
      <c r="K13" s="24">
        <f t="shared" si="0"/>
        <v>15</v>
      </c>
      <c r="L13" s="25">
        <v>4.4</v>
      </c>
      <c r="M13" s="112">
        <v>66</v>
      </c>
      <c r="N13" s="112">
        <v>66</v>
      </c>
    </row>
    <row r="14" spans="1:14">
      <c r="D14" s="33">
        <v>46087</v>
      </c>
      <c r="E14" s="34">
        <v>1582887</v>
      </c>
      <c r="F14" s="34" t="s">
        <v>20</v>
      </c>
      <c r="G14" s="34">
        <v>20324533</v>
      </c>
      <c r="H14" s="34" t="s">
        <v>84</v>
      </c>
      <c r="I14" s="34">
        <v>2</v>
      </c>
      <c r="J14" s="23" t="s">
        <v>22</v>
      </c>
      <c r="K14" s="24">
        <v>1</v>
      </c>
      <c r="L14" s="25">
        <v>6.4</v>
      </c>
      <c r="M14" s="112">
        <v>6.4</v>
      </c>
      <c r="N14" s="112">
        <v>12.8</v>
      </c>
    </row>
    <row r="15" spans="1:14">
      <c r="D15" s="33">
        <v>46104</v>
      </c>
      <c r="E15" s="34">
        <v>1588473</v>
      </c>
      <c r="F15" s="34" t="s">
        <v>20</v>
      </c>
      <c r="G15" s="34">
        <v>20324533</v>
      </c>
      <c r="H15" s="34" t="s">
        <v>84</v>
      </c>
      <c r="I15" s="34">
        <v>12</v>
      </c>
      <c r="J15" s="23" t="s">
        <v>22</v>
      </c>
      <c r="K15" s="24">
        <v>1</v>
      </c>
      <c r="L15" s="25">
        <v>6.4</v>
      </c>
      <c r="M15" s="112">
        <v>6.4</v>
      </c>
      <c r="N15" s="112">
        <v>76.8</v>
      </c>
    </row>
    <row r="16" spans="1:14">
      <c r="D16" s="33">
        <v>46104</v>
      </c>
      <c r="E16" s="34">
        <v>1588473</v>
      </c>
      <c r="F16" s="34" t="s">
        <v>20</v>
      </c>
      <c r="G16" s="34">
        <v>20324402</v>
      </c>
      <c r="H16" s="34" t="s">
        <v>147</v>
      </c>
      <c r="I16" s="34">
        <v>1</v>
      </c>
      <c r="J16" s="27" t="s">
        <v>25</v>
      </c>
      <c r="K16" s="24">
        <v>1</v>
      </c>
      <c r="L16" s="25">
        <v>8.8</v>
      </c>
      <c r="M16" s="112">
        <v>8.8</v>
      </c>
      <c r="N16" s="112">
        <v>8.8</v>
      </c>
    </row>
    <row r="17" spans="4:14">
      <c r="D17" s="33">
        <v>46104</v>
      </c>
      <c r="E17" s="34">
        <v>1588473</v>
      </c>
      <c r="F17" s="34" t="s">
        <v>16</v>
      </c>
      <c r="G17" s="34">
        <v>20324431</v>
      </c>
      <c r="H17" s="34" t="s">
        <v>149</v>
      </c>
      <c r="I17" s="34">
        <v>7</v>
      </c>
      <c r="J17" s="28" t="s">
        <v>18</v>
      </c>
      <c r="K17" s="24">
        <f>M17/L17</f>
        <v>24</v>
      </c>
      <c r="L17" s="25">
        <v>4.4</v>
      </c>
      <c r="M17" s="112">
        <v>105.6</v>
      </c>
      <c r="N17" s="112">
        <v>739.2</v>
      </c>
    </row>
    <row r="18" spans="4:14">
      <c r="D18" s="33">
        <v>46104</v>
      </c>
      <c r="E18" s="34">
        <v>1588473</v>
      </c>
      <c r="F18" s="34" t="s">
        <v>16</v>
      </c>
      <c r="G18" s="34">
        <v>20324453</v>
      </c>
      <c r="H18" s="34" t="s">
        <v>181</v>
      </c>
      <c r="I18" s="34">
        <v>2</v>
      </c>
      <c r="J18" s="28" t="s">
        <v>18</v>
      </c>
      <c r="K18" s="24">
        <f>M18/L18</f>
        <v>8</v>
      </c>
      <c r="L18" s="25">
        <v>4.4</v>
      </c>
      <c r="M18" s="112">
        <v>35.2</v>
      </c>
      <c r="N18" s="112">
        <v>70.4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9"/>
  <sheetViews>
    <sheetView showGridLines="0" view="pageBreakPreview" zoomScaleNormal="100" workbookViewId="0">
      <pane ySplit="6" topLeftCell="A31" activePane="bottomLeft" state="frozen"/>
      <selection/>
      <selection pane="bottomLeft" activeCell="N9" sqref="N9:N1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9.75" customWidth="1"/>
    <col min="11" max="11" width="18" customWidth="1"/>
    <col min="12" max="12" width="12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182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185</v>
      </c>
      <c r="J8" s="13"/>
      <c r="K8" s="14"/>
      <c r="L8" s="14"/>
      <c r="M8" s="14"/>
      <c r="N8" s="14">
        <v>10046.8</v>
      </c>
    </row>
    <row r="9" spans="1:14">
      <c r="D9" s="15">
        <v>46083</v>
      </c>
      <c r="E9" s="16">
        <v>1581554</v>
      </c>
      <c r="F9" s="16" t="s">
        <v>20</v>
      </c>
      <c r="G9" s="16">
        <v>20324368</v>
      </c>
      <c r="H9" s="16" t="s">
        <v>183</v>
      </c>
      <c r="I9" s="16">
        <v>1</v>
      </c>
      <c r="J9" s="32" t="s">
        <v>18</v>
      </c>
      <c r="K9" s="18">
        <f>M9/L9</f>
        <v>46</v>
      </c>
      <c r="L9" s="19">
        <v>4.4</v>
      </c>
      <c r="M9" s="20">
        <v>202.4</v>
      </c>
      <c r="N9" s="20">
        <v>202.4</v>
      </c>
    </row>
    <row r="10" spans="1:14">
      <c r="D10" s="21">
        <v>46083</v>
      </c>
      <c r="E10" s="22">
        <v>1581554</v>
      </c>
      <c r="F10" s="22" t="s">
        <v>20</v>
      </c>
      <c r="G10" s="22">
        <v>20328818</v>
      </c>
      <c r="H10" s="22" t="s">
        <v>184</v>
      </c>
      <c r="I10" s="22">
        <v>1</v>
      </c>
      <c r="J10" s="28" t="s">
        <v>18</v>
      </c>
      <c r="K10" s="24">
        <f>M10/L10</f>
        <v>51</v>
      </c>
      <c r="L10" s="25">
        <v>4.4</v>
      </c>
      <c r="M10" s="26">
        <v>224.4</v>
      </c>
      <c r="N10" s="26">
        <v>224.4</v>
      </c>
    </row>
    <row r="11" spans="1:14">
      <c r="D11" s="21">
        <v>46085</v>
      </c>
      <c r="E11" s="22">
        <v>1582172</v>
      </c>
      <c r="F11" s="22" t="s">
        <v>20</v>
      </c>
      <c r="G11" s="22">
        <v>20324366</v>
      </c>
      <c r="H11" s="22" t="s">
        <v>185</v>
      </c>
      <c r="I11" s="22">
        <v>1</v>
      </c>
      <c r="J11" s="46" t="s">
        <v>62</v>
      </c>
      <c r="K11" s="24">
        <v>1</v>
      </c>
      <c r="L11" s="25">
        <v>12.8</v>
      </c>
      <c r="M11" s="26">
        <v>12.8</v>
      </c>
      <c r="N11" s="26">
        <v>12.8</v>
      </c>
    </row>
    <row r="12" spans="1:14">
      <c r="D12" s="21">
        <v>46085</v>
      </c>
      <c r="E12" s="22">
        <v>1582172</v>
      </c>
      <c r="F12" s="22" t="s">
        <v>20</v>
      </c>
      <c r="G12" s="22">
        <v>20324364</v>
      </c>
      <c r="H12" s="22" t="s">
        <v>23</v>
      </c>
      <c r="I12" s="22">
        <v>1</v>
      </c>
      <c r="J12" s="23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21">
        <v>46085</v>
      </c>
      <c r="E13" s="22">
        <v>1582172</v>
      </c>
      <c r="F13" s="22" t="s">
        <v>20</v>
      </c>
      <c r="G13" s="22">
        <v>20324533</v>
      </c>
      <c r="H13" s="22" t="s">
        <v>84</v>
      </c>
      <c r="I13" s="22">
        <v>1</v>
      </c>
      <c r="J13" s="23" t="s">
        <v>22</v>
      </c>
      <c r="K13" s="24">
        <v>1</v>
      </c>
      <c r="L13" s="25">
        <v>6.4</v>
      </c>
      <c r="M13" s="26">
        <v>6.4</v>
      </c>
      <c r="N13" s="26">
        <v>6.4</v>
      </c>
    </row>
    <row r="14" spans="1:14">
      <c r="D14" s="21">
        <v>46085</v>
      </c>
      <c r="E14" s="22">
        <v>1582172</v>
      </c>
      <c r="F14" s="22" t="s">
        <v>20</v>
      </c>
      <c r="G14" s="22">
        <v>20324363</v>
      </c>
      <c r="H14" s="22" t="s">
        <v>91</v>
      </c>
      <c r="I14" s="22">
        <v>1</v>
      </c>
      <c r="J14" s="23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46085</v>
      </c>
      <c r="E15" s="22">
        <v>1582172</v>
      </c>
      <c r="F15" s="22" t="s">
        <v>16</v>
      </c>
      <c r="G15" s="22">
        <v>20324360</v>
      </c>
      <c r="H15" s="22" t="s">
        <v>186</v>
      </c>
      <c r="I15" s="22">
        <v>1</v>
      </c>
      <c r="J15" s="28" t="s">
        <v>18</v>
      </c>
      <c r="K15" s="24">
        <f t="shared" ref="K15:K21" si="0">M15/L15</f>
        <v>16</v>
      </c>
      <c r="L15" s="25">
        <v>4.4</v>
      </c>
      <c r="M15" s="26">
        <v>70.4</v>
      </c>
      <c r="N15" s="26">
        <v>70.4</v>
      </c>
    </row>
    <row r="16" spans="1:14">
      <c r="D16" s="21">
        <v>46085</v>
      </c>
      <c r="E16" s="22">
        <v>1582172</v>
      </c>
      <c r="F16" s="22" t="s">
        <v>20</v>
      </c>
      <c r="G16" s="22">
        <v>20328818</v>
      </c>
      <c r="H16" s="22" t="s">
        <v>184</v>
      </c>
      <c r="I16" s="22">
        <v>1</v>
      </c>
      <c r="J16" s="28" t="s">
        <v>18</v>
      </c>
      <c r="K16" s="24">
        <f t="shared" si="0"/>
        <v>51</v>
      </c>
      <c r="L16" s="25">
        <v>4.4</v>
      </c>
      <c r="M16" s="26">
        <v>224.4</v>
      </c>
      <c r="N16" s="26">
        <v>224.4</v>
      </c>
    </row>
    <row r="17" spans="4:14">
      <c r="D17" s="21">
        <v>46087</v>
      </c>
      <c r="E17" s="22">
        <v>1582888</v>
      </c>
      <c r="F17" s="22" t="s">
        <v>20</v>
      </c>
      <c r="G17" s="22">
        <v>20324366</v>
      </c>
      <c r="H17" s="22" t="s">
        <v>185</v>
      </c>
      <c r="I17" s="22">
        <v>3</v>
      </c>
      <c r="J17" s="46" t="s">
        <v>62</v>
      </c>
      <c r="K17" s="24">
        <v>1</v>
      </c>
      <c r="L17" s="25">
        <v>12.8</v>
      </c>
      <c r="M17" s="26">
        <v>12.8</v>
      </c>
      <c r="N17" s="26">
        <v>38.4</v>
      </c>
    </row>
    <row r="18" spans="4:14">
      <c r="D18" s="21">
        <v>46087</v>
      </c>
      <c r="E18" s="22">
        <v>1582888</v>
      </c>
      <c r="F18" s="22" t="s">
        <v>20</v>
      </c>
      <c r="G18" s="22">
        <v>20324364</v>
      </c>
      <c r="H18" s="22" t="s">
        <v>23</v>
      </c>
      <c r="I18" s="22">
        <v>1</v>
      </c>
      <c r="J18" s="23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46087</v>
      </c>
      <c r="E19" s="22">
        <v>1582888</v>
      </c>
      <c r="F19" s="22" t="s">
        <v>20</v>
      </c>
      <c r="G19" s="22">
        <v>20324533</v>
      </c>
      <c r="H19" s="22" t="s">
        <v>84</v>
      </c>
      <c r="I19" s="22">
        <v>3</v>
      </c>
      <c r="J19" s="23" t="s">
        <v>22</v>
      </c>
      <c r="K19" s="24">
        <v>1</v>
      </c>
      <c r="L19" s="25">
        <v>6.4</v>
      </c>
      <c r="M19" s="26">
        <v>6.4</v>
      </c>
      <c r="N19" s="26">
        <v>19.2</v>
      </c>
    </row>
    <row r="20" spans="4:14">
      <c r="D20" s="21">
        <v>46087</v>
      </c>
      <c r="E20" s="22">
        <v>1582888</v>
      </c>
      <c r="F20" s="22" t="s">
        <v>16</v>
      </c>
      <c r="G20" s="22">
        <v>20324360</v>
      </c>
      <c r="H20" s="22" t="s">
        <v>186</v>
      </c>
      <c r="I20" s="22">
        <v>3</v>
      </c>
      <c r="J20" s="28" t="s">
        <v>18</v>
      </c>
      <c r="K20" s="24">
        <f t="shared" si="0"/>
        <v>16</v>
      </c>
      <c r="L20" s="25">
        <v>4.4</v>
      </c>
      <c r="M20" s="26">
        <v>70.4</v>
      </c>
      <c r="N20" s="26">
        <v>211.2</v>
      </c>
    </row>
    <row r="21" spans="4:14">
      <c r="D21" s="21">
        <v>46087</v>
      </c>
      <c r="E21" s="22">
        <v>1582888</v>
      </c>
      <c r="F21" s="22" t="s">
        <v>20</v>
      </c>
      <c r="G21" s="22">
        <v>20328818</v>
      </c>
      <c r="H21" s="22" t="s">
        <v>184</v>
      </c>
      <c r="I21" s="22">
        <v>1</v>
      </c>
      <c r="J21" s="28" t="s">
        <v>18</v>
      </c>
      <c r="K21" s="24">
        <f t="shared" si="0"/>
        <v>51</v>
      </c>
      <c r="L21" s="25">
        <v>4.4</v>
      </c>
      <c r="M21" s="26">
        <v>224.4</v>
      </c>
      <c r="N21" s="26">
        <v>224.4</v>
      </c>
    </row>
    <row r="22" spans="4:14">
      <c r="D22" s="21">
        <v>46090</v>
      </c>
      <c r="E22" s="22">
        <v>1583379</v>
      </c>
      <c r="F22" s="22" t="s">
        <v>20</v>
      </c>
      <c r="G22" s="22">
        <v>20324366</v>
      </c>
      <c r="H22" s="22" t="s">
        <v>185</v>
      </c>
      <c r="I22" s="22">
        <v>5</v>
      </c>
      <c r="J22" s="46" t="s">
        <v>62</v>
      </c>
      <c r="K22" s="24">
        <v>1</v>
      </c>
      <c r="L22" s="25">
        <v>12.8</v>
      </c>
      <c r="M22" s="26">
        <v>12.8</v>
      </c>
      <c r="N22" s="26">
        <v>64</v>
      </c>
    </row>
    <row r="23" spans="4:14">
      <c r="D23" s="21">
        <v>46090</v>
      </c>
      <c r="E23" s="22">
        <v>1583379</v>
      </c>
      <c r="F23" s="22" t="s">
        <v>20</v>
      </c>
      <c r="G23" s="22">
        <v>20324364</v>
      </c>
      <c r="H23" s="22" t="s">
        <v>23</v>
      </c>
      <c r="I23" s="22">
        <v>1</v>
      </c>
      <c r="J23" s="23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46090</v>
      </c>
      <c r="E24" s="22">
        <v>1583379</v>
      </c>
      <c r="F24" s="22" t="s">
        <v>20</v>
      </c>
      <c r="G24" s="22">
        <v>20324533</v>
      </c>
      <c r="H24" s="22" t="s">
        <v>84</v>
      </c>
      <c r="I24" s="22">
        <v>5</v>
      </c>
      <c r="J24" s="23" t="s">
        <v>22</v>
      </c>
      <c r="K24" s="24">
        <v>1</v>
      </c>
      <c r="L24" s="25">
        <v>6.4</v>
      </c>
      <c r="M24" s="26">
        <v>6.4</v>
      </c>
      <c r="N24" s="26">
        <v>32</v>
      </c>
    </row>
    <row r="25" spans="4:14">
      <c r="D25" s="21">
        <v>46090</v>
      </c>
      <c r="E25" s="22">
        <v>1583379</v>
      </c>
      <c r="F25" s="22" t="s">
        <v>20</v>
      </c>
      <c r="G25" s="22">
        <v>20324367</v>
      </c>
      <c r="H25" s="22" t="s">
        <v>146</v>
      </c>
      <c r="I25" s="22">
        <v>1</v>
      </c>
      <c r="J25" s="23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21">
        <v>46090</v>
      </c>
      <c r="E26" s="22">
        <v>1583379</v>
      </c>
      <c r="F26" s="22" t="s">
        <v>20</v>
      </c>
      <c r="G26" s="22">
        <v>20324363</v>
      </c>
      <c r="H26" s="22" t="s">
        <v>91</v>
      </c>
      <c r="I26" s="22">
        <v>1</v>
      </c>
      <c r="J26" s="23" t="s">
        <v>22</v>
      </c>
      <c r="K26" s="24">
        <v>1</v>
      </c>
      <c r="L26" s="25">
        <v>6.4</v>
      </c>
      <c r="M26" s="26">
        <v>6.4</v>
      </c>
      <c r="N26" s="26">
        <v>6.4</v>
      </c>
    </row>
    <row r="27" spans="4:14">
      <c r="D27" s="21">
        <v>46090</v>
      </c>
      <c r="E27" s="22">
        <v>1583379</v>
      </c>
      <c r="F27" s="22" t="s">
        <v>16</v>
      </c>
      <c r="G27" s="22">
        <v>20324360</v>
      </c>
      <c r="H27" s="22" t="s">
        <v>186</v>
      </c>
      <c r="I27" s="22">
        <v>5</v>
      </c>
      <c r="J27" s="28" t="s">
        <v>18</v>
      </c>
      <c r="K27" s="24">
        <f>M27/L27</f>
        <v>16</v>
      </c>
      <c r="L27" s="25">
        <v>4.4</v>
      </c>
      <c r="M27" s="26">
        <v>70.4</v>
      </c>
      <c r="N27" s="26">
        <v>352</v>
      </c>
    </row>
    <row r="28" spans="4:14">
      <c r="D28" s="21">
        <v>46090</v>
      </c>
      <c r="E28" s="22">
        <v>1583379</v>
      </c>
      <c r="F28" s="22" t="s">
        <v>20</v>
      </c>
      <c r="G28" s="22">
        <v>20328818</v>
      </c>
      <c r="H28" s="22" t="s">
        <v>184</v>
      </c>
      <c r="I28" s="22">
        <v>2</v>
      </c>
      <c r="J28" s="28" t="s">
        <v>18</v>
      </c>
      <c r="K28" s="24">
        <f>M28/L28</f>
        <v>51</v>
      </c>
      <c r="L28" s="25">
        <v>4.4</v>
      </c>
      <c r="M28" s="26">
        <v>224.4</v>
      </c>
      <c r="N28" s="26">
        <v>448.8</v>
      </c>
    </row>
    <row r="29" spans="4:14">
      <c r="D29" s="21">
        <v>46092</v>
      </c>
      <c r="E29" s="22">
        <v>1584753</v>
      </c>
      <c r="F29" s="22" t="s">
        <v>20</v>
      </c>
      <c r="G29" s="22">
        <v>20324366</v>
      </c>
      <c r="H29" s="22" t="s">
        <v>185</v>
      </c>
      <c r="I29" s="22">
        <v>1</v>
      </c>
      <c r="J29" s="46" t="s">
        <v>62</v>
      </c>
      <c r="K29" s="24">
        <v>1</v>
      </c>
      <c r="L29" s="25">
        <v>12.8</v>
      </c>
      <c r="M29" s="26">
        <v>12.8</v>
      </c>
      <c r="N29" s="26">
        <v>12.8</v>
      </c>
    </row>
    <row r="30" spans="4:14">
      <c r="D30" s="21">
        <v>46092</v>
      </c>
      <c r="E30" s="22">
        <v>1584753</v>
      </c>
      <c r="F30" s="22" t="s">
        <v>20</v>
      </c>
      <c r="G30" s="22">
        <v>20324364</v>
      </c>
      <c r="H30" s="22" t="s">
        <v>23</v>
      </c>
      <c r="I30" s="22">
        <v>1</v>
      </c>
      <c r="J30" s="23" t="s">
        <v>22</v>
      </c>
      <c r="K30" s="24">
        <v>1</v>
      </c>
      <c r="L30" s="25">
        <v>6.4</v>
      </c>
      <c r="M30" s="26">
        <v>6.4</v>
      </c>
      <c r="N30" s="26">
        <v>6.4</v>
      </c>
    </row>
    <row r="31" spans="4:14">
      <c r="D31" s="21">
        <v>46092</v>
      </c>
      <c r="E31" s="22">
        <v>1584753</v>
      </c>
      <c r="F31" s="22" t="s">
        <v>20</v>
      </c>
      <c r="G31" s="22">
        <v>20324533</v>
      </c>
      <c r="H31" s="22" t="s">
        <v>84</v>
      </c>
      <c r="I31" s="22">
        <v>1</v>
      </c>
      <c r="J31" s="23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spans="4:14">
      <c r="D32" s="21">
        <v>46092</v>
      </c>
      <c r="E32" s="22">
        <v>1584753</v>
      </c>
      <c r="F32" s="22" t="s">
        <v>20</v>
      </c>
      <c r="G32" s="22">
        <v>20324367</v>
      </c>
      <c r="H32" s="22" t="s">
        <v>146</v>
      </c>
      <c r="I32" s="22">
        <v>1</v>
      </c>
      <c r="J32" s="23" t="s">
        <v>22</v>
      </c>
      <c r="K32" s="24">
        <v>1</v>
      </c>
      <c r="L32" s="25">
        <v>6.4</v>
      </c>
      <c r="M32" s="26">
        <v>6.4</v>
      </c>
      <c r="N32" s="26">
        <v>6.4</v>
      </c>
    </row>
    <row r="33" spans="4:14">
      <c r="D33" s="21">
        <v>46092</v>
      </c>
      <c r="E33" s="22">
        <v>1584753</v>
      </c>
      <c r="F33" s="22" t="s">
        <v>16</v>
      </c>
      <c r="G33" s="22">
        <v>20324360</v>
      </c>
      <c r="H33" s="22" t="s">
        <v>186</v>
      </c>
      <c r="I33" s="22">
        <v>1</v>
      </c>
      <c r="J33" s="28" t="s">
        <v>18</v>
      </c>
      <c r="K33" s="24">
        <f t="shared" ref="K33:K38" si="1">M33/L33</f>
        <v>16</v>
      </c>
      <c r="L33" s="25">
        <v>4.4</v>
      </c>
      <c r="M33" s="26">
        <v>70.4</v>
      </c>
      <c r="N33" s="26">
        <v>70.4</v>
      </c>
    </row>
    <row r="34" spans="4:14">
      <c r="D34" s="21">
        <v>46092</v>
      </c>
      <c r="E34" s="22">
        <v>1585134</v>
      </c>
      <c r="F34" s="22" t="s">
        <v>20</v>
      </c>
      <c r="G34" s="22">
        <v>20324366</v>
      </c>
      <c r="H34" s="22" t="s">
        <v>185</v>
      </c>
      <c r="I34" s="22">
        <v>3</v>
      </c>
      <c r="J34" s="46" t="s">
        <v>62</v>
      </c>
      <c r="K34" s="24">
        <v>1</v>
      </c>
      <c r="L34" s="25">
        <v>12.8</v>
      </c>
      <c r="M34" s="26">
        <v>12.8</v>
      </c>
      <c r="N34" s="26">
        <v>38.4</v>
      </c>
    </row>
    <row r="35" spans="4:14">
      <c r="D35" s="21">
        <v>46092</v>
      </c>
      <c r="E35" s="22">
        <v>1585134</v>
      </c>
      <c r="F35" s="22" t="s">
        <v>20</v>
      </c>
      <c r="G35" s="22">
        <v>20324533</v>
      </c>
      <c r="H35" s="22" t="s">
        <v>84</v>
      </c>
      <c r="I35" s="22">
        <v>4</v>
      </c>
      <c r="J35" s="23" t="s">
        <v>22</v>
      </c>
      <c r="K35" s="24">
        <v>1</v>
      </c>
      <c r="L35" s="25">
        <v>6.4</v>
      </c>
      <c r="M35" s="26">
        <v>6.4</v>
      </c>
      <c r="N35" s="26">
        <v>25.6</v>
      </c>
    </row>
    <row r="36" spans="4:14">
      <c r="D36" s="21">
        <v>46092</v>
      </c>
      <c r="E36" s="22">
        <v>1585134</v>
      </c>
      <c r="F36" s="22" t="s">
        <v>20</v>
      </c>
      <c r="G36" s="22">
        <v>20324367</v>
      </c>
      <c r="H36" s="22" t="s">
        <v>146</v>
      </c>
      <c r="I36" s="22">
        <v>1</v>
      </c>
      <c r="J36" s="23" t="s">
        <v>22</v>
      </c>
      <c r="K36" s="24">
        <v>1</v>
      </c>
      <c r="L36" s="25">
        <v>6.4</v>
      </c>
      <c r="M36" s="26">
        <v>6.4</v>
      </c>
      <c r="N36" s="26">
        <v>6.4</v>
      </c>
    </row>
    <row r="37" spans="4:14">
      <c r="D37" s="21">
        <v>46092</v>
      </c>
      <c r="E37" s="22">
        <v>1585134</v>
      </c>
      <c r="F37" s="22" t="s">
        <v>16</v>
      </c>
      <c r="G37" s="22">
        <v>20324360</v>
      </c>
      <c r="H37" s="22" t="s">
        <v>186</v>
      </c>
      <c r="I37" s="22">
        <v>4</v>
      </c>
      <c r="J37" s="28" t="s">
        <v>18</v>
      </c>
      <c r="K37" s="24">
        <f t="shared" si="1"/>
        <v>16</v>
      </c>
      <c r="L37" s="25">
        <v>4.4</v>
      </c>
      <c r="M37" s="26">
        <v>70.4</v>
      </c>
      <c r="N37" s="26">
        <v>281.6</v>
      </c>
    </row>
    <row r="38" spans="4:14">
      <c r="D38" s="21">
        <v>46092</v>
      </c>
      <c r="E38" s="22">
        <v>1585134</v>
      </c>
      <c r="F38" s="22" t="s">
        <v>20</v>
      </c>
      <c r="G38" s="22">
        <v>20328818</v>
      </c>
      <c r="H38" s="22" t="s">
        <v>184</v>
      </c>
      <c r="I38" s="22">
        <v>1</v>
      </c>
      <c r="J38" s="28" t="s">
        <v>18</v>
      </c>
      <c r="K38" s="24">
        <f t="shared" si="1"/>
        <v>51</v>
      </c>
      <c r="L38" s="25">
        <v>4.4</v>
      </c>
      <c r="M38" s="26">
        <v>224.4</v>
      </c>
      <c r="N38" s="26">
        <v>224.4</v>
      </c>
    </row>
    <row r="39" spans="4:14">
      <c r="D39" s="21">
        <v>46094</v>
      </c>
      <c r="E39" s="22">
        <v>1585557</v>
      </c>
      <c r="F39" s="22" t="s">
        <v>20</v>
      </c>
      <c r="G39" s="22">
        <v>20324366</v>
      </c>
      <c r="H39" s="22" t="s">
        <v>185</v>
      </c>
      <c r="I39" s="22">
        <v>5</v>
      </c>
      <c r="J39" s="46" t="s">
        <v>62</v>
      </c>
      <c r="K39" s="24">
        <v>1</v>
      </c>
      <c r="L39" s="25">
        <v>12.8</v>
      </c>
      <c r="M39" s="26">
        <v>12.8</v>
      </c>
      <c r="N39" s="26">
        <v>64</v>
      </c>
    </row>
    <row r="40" spans="4:14">
      <c r="D40" s="21">
        <v>46094</v>
      </c>
      <c r="E40" s="22">
        <v>1585557</v>
      </c>
      <c r="F40" s="22" t="s">
        <v>20</v>
      </c>
      <c r="G40" s="22">
        <v>20324364</v>
      </c>
      <c r="H40" s="22" t="s">
        <v>23</v>
      </c>
      <c r="I40" s="22">
        <v>1</v>
      </c>
      <c r="J40" s="23" t="s">
        <v>22</v>
      </c>
      <c r="K40" s="24">
        <v>1</v>
      </c>
      <c r="L40" s="25">
        <v>6.4</v>
      </c>
      <c r="M40" s="26">
        <v>6.4</v>
      </c>
      <c r="N40" s="26">
        <v>6.4</v>
      </c>
    </row>
    <row r="41" spans="4:14">
      <c r="D41" s="21">
        <v>46094</v>
      </c>
      <c r="E41" s="22">
        <v>1585557</v>
      </c>
      <c r="F41" s="22" t="s">
        <v>20</v>
      </c>
      <c r="G41" s="22">
        <v>20324533</v>
      </c>
      <c r="H41" s="22" t="s">
        <v>84</v>
      </c>
      <c r="I41" s="22">
        <v>5</v>
      </c>
      <c r="J41" s="23" t="s">
        <v>22</v>
      </c>
      <c r="K41" s="24">
        <v>1</v>
      </c>
      <c r="L41" s="25">
        <v>6.4</v>
      </c>
      <c r="M41" s="26">
        <v>6.4</v>
      </c>
      <c r="N41" s="26">
        <v>32</v>
      </c>
    </row>
    <row r="42" spans="4:14">
      <c r="D42" s="21">
        <v>46094</v>
      </c>
      <c r="E42" s="22">
        <v>1585557</v>
      </c>
      <c r="F42" s="22" t="s">
        <v>20</v>
      </c>
      <c r="G42" s="22">
        <v>20324363</v>
      </c>
      <c r="H42" s="22" t="s">
        <v>91</v>
      </c>
      <c r="I42" s="22">
        <v>1</v>
      </c>
      <c r="J42" s="23" t="s">
        <v>22</v>
      </c>
      <c r="K42" s="24">
        <v>1</v>
      </c>
      <c r="L42" s="25">
        <v>6.4</v>
      </c>
      <c r="M42" s="26">
        <v>6.4</v>
      </c>
      <c r="N42" s="26">
        <v>6.4</v>
      </c>
    </row>
    <row r="43" spans="4:14">
      <c r="D43" s="21">
        <v>46094</v>
      </c>
      <c r="E43" s="22">
        <v>1585557</v>
      </c>
      <c r="F43" s="22" t="s">
        <v>16</v>
      </c>
      <c r="G43" s="22">
        <v>20324360</v>
      </c>
      <c r="H43" s="22" t="s">
        <v>186</v>
      </c>
      <c r="I43" s="22">
        <v>5</v>
      </c>
      <c r="J43" s="28" t="s">
        <v>18</v>
      </c>
      <c r="K43" s="24">
        <f t="shared" ref="K43:K48" si="2">M43/L43</f>
        <v>16</v>
      </c>
      <c r="L43" s="25">
        <v>4.4</v>
      </c>
      <c r="M43" s="26">
        <v>70.4</v>
      </c>
      <c r="N43" s="26">
        <v>352</v>
      </c>
    </row>
    <row r="44" spans="4:14">
      <c r="D44" s="21">
        <v>46094</v>
      </c>
      <c r="E44" s="22">
        <v>1585557</v>
      </c>
      <c r="F44" s="22" t="s">
        <v>20</v>
      </c>
      <c r="G44" s="22">
        <v>20328818</v>
      </c>
      <c r="H44" s="22" t="s">
        <v>184</v>
      </c>
      <c r="I44" s="22">
        <v>1</v>
      </c>
      <c r="J44" s="28" t="s">
        <v>18</v>
      </c>
      <c r="K44" s="24">
        <f t="shared" si="2"/>
        <v>51</v>
      </c>
      <c r="L44" s="25">
        <v>4.4</v>
      </c>
      <c r="M44" s="26">
        <v>224.4</v>
      </c>
      <c r="N44" s="26">
        <v>224.4</v>
      </c>
    </row>
    <row r="45" spans="4:14">
      <c r="D45" s="21">
        <v>46095</v>
      </c>
      <c r="E45" s="22">
        <v>1585920</v>
      </c>
      <c r="F45" s="22" t="s">
        <v>20</v>
      </c>
      <c r="G45" s="22">
        <v>20324366</v>
      </c>
      <c r="H45" s="22" t="s">
        <v>185</v>
      </c>
      <c r="I45" s="22">
        <v>2</v>
      </c>
      <c r="J45" s="46" t="s">
        <v>62</v>
      </c>
      <c r="K45" s="24">
        <v>1</v>
      </c>
      <c r="L45" s="25">
        <v>12.8</v>
      </c>
      <c r="M45" s="26">
        <v>12.8</v>
      </c>
      <c r="N45" s="26">
        <v>25.6</v>
      </c>
    </row>
    <row r="46" spans="4:14">
      <c r="D46" s="21">
        <v>46095</v>
      </c>
      <c r="E46" s="22">
        <v>1585920</v>
      </c>
      <c r="F46" s="22" t="s">
        <v>20</v>
      </c>
      <c r="G46" s="22">
        <v>20324533</v>
      </c>
      <c r="H46" s="22" t="s">
        <v>84</v>
      </c>
      <c r="I46" s="22">
        <v>2</v>
      </c>
      <c r="J46" s="23" t="s">
        <v>22</v>
      </c>
      <c r="K46" s="24">
        <v>1</v>
      </c>
      <c r="L46" s="25">
        <v>6.4</v>
      </c>
      <c r="M46" s="26">
        <v>6.4</v>
      </c>
      <c r="N46" s="26">
        <v>12.8</v>
      </c>
    </row>
    <row r="47" spans="4:14">
      <c r="D47" s="21">
        <v>46095</v>
      </c>
      <c r="E47" s="22">
        <v>1585920</v>
      </c>
      <c r="F47" s="22" t="s">
        <v>16</v>
      </c>
      <c r="G47" s="22">
        <v>20324360</v>
      </c>
      <c r="H47" s="22" t="s">
        <v>186</v>
      </c>
      <c r="I47" s="22">
        <v>2</v>
      </c>
      <c r="J47" s="28" t="s">
        <v>18</v>
      </c>
      <c r="K47" s="24">
        <f t="shared" si="2"/>
        <v>16</v>
      </c>
      <c r="L47" s="25">
        <v>4.4</v>
      </c>
      <c r="M47" s="26">
        <v>70.4</v>
      </c>
      <c r="N47" s="26">
        <v>140.8</v>
      </c>
    </row>
    <row r="48" spans="4:14">
      <c r="D48" s="21">
        <v>46095</v>
      </c>
      <c r="E48" s="22">
        <v>1585920</v>
      </c>
      <c r="F48" s="22" t="s">
        <v>20</v>
      </c>
      <c r="G48" s="22">
        <v>20328818</v>
      </c>
      <c r="H48" s="22" t="s">
        <v>184</v>
      </c>
      <c r="I48" s="22">
        <v>1</v>
      </c>
      <c r="J48" s="28" t="s">
        <v>18</v>
      </c>
      <c r="K48" s="24">
        <f t="shared" si="2"/>
        <v>51</v>
      </c>
      <c r="L48" s="25">
        <v>4.4</v>
      </c>
      <c r="M48" s="26">
        <v>224.4</v>
      </c>
      <c r="N48" s="26">
        <v>224.4</v>
      </c>
    </row>
    <row r="49" spans="4:14">
      <c r="D49" s="21">
        <v>46097</v>
      </c>
      <c r="E49" s="22">
        <v>1586441</v>
      </c>
      <c r="F49" s="22" t="s">
        <v>20</v>
      </c>
      <c r="G49" s="22">
        <v>20324371</v>
      </c>
      <c r="H49" s="22" t="s">
        <v>187</v>
      </c>
      <c r="I49" s="22">
        <v>1</v>
      </c>
      <c r="J49" s="23" t="s">
        <v>22</v>
      </c>
      <c r="K49" s="24">
        <v>1</v>
      </c>
      <c r="L49" s="25">
        <v>6.4</v>
      </c>
      <c r="M49" s="26">
        <v>6.4</v>
      </c>
      <c r="N49" s="26">
        <v>6.4</v>
      </c>
    </row>
    <row r="50" spans="4:14">
      <c r="D50" s="21">
        <v>46097</v>
      </c>
      <c r="E50" s="22">
        <v>1586441</v>
      </c>
      <c r="F50" s="22" t="s">
        <v>20</v>
      </c>
      <c r="G50" s="22">
        <v>20324370</v>
      </c>
      <c r="H50" s="22" t="s">
        <v>95</v>
      </c>
      <c r="I50" s="22">
        <v>1</v>
      </c>
      <c r="J50" s="23" t="s">
        <v>22</v>
      </c>
      <c r="K50" s="24">
        <v>1</v>
      </c>
      <c r="L50" s="25">
        <v>6.4</v>
      </c>
      <c r="M50" s="26">
        <v>6.4</v>
      </c>
      <c r="N50" s="26">
        <v>6.4</v>
      </c>
    </row>
    <row r="51" spans="4:14">
      <c r="D51" s="21">
        <v>46097</v>
      </c>
      <c r="E51" s="22">
        <v>1586441</v>
      </c>
      <c r="F51" s="22" t="s">
        <v>20</v>
      </c>
      <c r="G51" s="22">
        <v>20324366</v>
      </c>
      <c r="H51" s="22" t="s">
        <v>185</v>
      </c>
      <c r="I51" s="22">
        <v>2</v>
      </c>
      <c r="J51" s="46" t="s">
        <v>62</v>
      </c>
      <c r="K51" s="24">
        <v>1</v>
      </c>
      <c r="L51" s="25">
        <v>12.8</v>
      </c>
      <c r="M51" s="26">
        <v>12.8</v>
      </c>
      <c r="N51" s="26">
        <v>25.6</v>
      </c>
    </row>
    <row r="52" spans="4:14">
      <c r="D52" s="21">
        <v>46097</v>
      </c>
      <c r="E52" s="22">
        <v>1586441</v>
      </c>
      <c r="F52" s="22" t="s">
        <v>20</v>
      </c>
      <c r="G52" s="22">
        <v>20324533</v>
      </c>
      <c r="H52" s="22" t="s">
        <v>84</v>
      </c>
      <c r="I52" s="22">
        <v>2</v>
      </c>
      <c r="J52" s="23" t="s">
        <v>22</v>
      </c>
      <c r="K52" s="24">
        <v>1</v>
      </c>
      <c r="L52" s="25">
        <v>6.4</v>
      </c>
      <c r="M52" s="26">
        <v>6.4</v>
      </c>
      <c r="N52" s="26">
        <v>12.8</v>
      </c>
    </row>
    <row r="53" spans="4:14">
      <c r="D53" s="21">
        <v>46097</v>
      </c>
      <c r="E53" s="22">
        <v>1586441</v>
      </c>
      <c r="F53" s="22" t="s">
        <v>20</v>
      </c>
      <c r="G53" s="22">
        <v>20324367</v>
      </c>
      <c r="H53" s="22" t="s">
        <v>146</v>
      </c>
      <c r="I53" s="22">
        <v>1</v>
      </c>
      <c r="J53" s="23" t="s">
        <v>22</v>
      </c>
      <c r="K53" s="24">
        <v>1</v>
      </c>
      <c r="L53" s="25">
        <v>6.4</v>
      </c>
      <c r="M53" s="26">
        <v>6.4</v>
      </c>
      <c r="N53" s="26">
        <v>6.4</v>
      </c>
    </row>
    <row r="54" spans="4:14">
      <c r="D54" s="21">
        <v>46097</v>
      </c>
      <c r="E54" s="22">
        <v>1586441</v>
      </c>
      <c r="F54" s="22" t="s">
        <v>20</v>
      </c>
      <c r="G54" s="22">
        <v>20324363</v>
      </c>
      <c r="H54" s="22" t="s">
        <v>91</v>
      </c>
      <c r="I54" s="22">
        <v>2</v>
      </c>
      <c r="J54" s="23" t="s">
        <v>22</v>
      </c>
      <c r="K54" s="24">
        <v>1</v>
      </c>
      <c r="L54" s="25">
        <v>6.4</v>
      </c>
      <c r="M54" s="26">
        <v>6.4</v>
      </c>
      <c r="N54" s="26">
        <v>12.8</v>
      </c>
    </row>
    <row r="55" spans="4:14">
      <c r="D55" s="21">
        <v>46097</v>
      </c>
      <c r="E55" s="22">
        <v>1586441</v>
      </c>
      <c r="F55" s="22" t="s">
        <v>16</v>
      </c>
      <c r="G55" s="22">
        <v>20324360</v>
      </c>
      <c r="H55" s="22" t="s">
        <v>186</v>
      </c>
      <c r="I55" s="22">
        <v>2</v>
      </c>
      <c r="J55" s="28" t="s">
        <v>18</v>
      </c>
      <c r="K55" s="24">
        <f t="shared" ref="K55:K61" si="3">M55/L55</f>
        <v>16</v>
      </c>
      <c r="L55" s="25">
        <v>4.4</v>
      </c>
      <c r="M55" s="26">
        <v>70.4</v>
      </c>
      <c r="N55" s="26">
        <v>140.8</v>
      </c>
    </row>
    <row r="56" spans="4:14">
      <c r="D56" s="21">
        <v>46097</v>
      </c>
      <c r="E56" s="22">
        <v>1586441</v>
      </c>
      <c r="F56" s="22" t="s">
        <v>20</v>
      </c>
      <c r="G56" s="22">
        <v>20328818</v>
      </c>
      <c r="H56" s="22" t="s">
        <v>184</v>
      </c>
      <c r="I56" s="22">
        <v>3</v>
      </c>
      <c r="J56" s="28" t="s">
        <v>18</v>
      </c>
      <c r="K56" s="24">
        <f t="shared" si="3"/>
        <v>51</v>
      </c>
      <c r="L56" s="25">
        <v>4.4</v>
      </c>
      <c r="M56" s="26">
        <v>224.4</v>
      </c>
      <c r="N56" s="26">
        <v>673.2</v>
      </c>
    </row>
    <row r="57" spans="4:14">
      <c r="D57" s="21">
        <v>46098</v>
      </c>
      <c r="E57" s="22">
        <v>1586873</v>
      </c>
      <c r="F57" s="22" t="s">
        <v>20</v>
      </c>
      <c r="G57" s="22">
        <v>20324366</v>
      </c>
      <c r="H57" s="22" t="s">
        <v>185</v>
      </c>
      <c r="I57" s="22">
        <v>1</v>
      </c>
      <c r="J57" s="46" t="s">
        <v>62</v>
      </c>
      <c r="K57" s="24">
        <v>1</v>
      </c>
      <c r="L57" s="25">
        <v>12.8</v>
      </c>
      <c r="M57" s="26">
        <v>12.8</v>
      </c>
      <c r="N57" s="26">
        <v>12.8</v>
      </c>
    </row>
    <row r="58" spans="4:14">
      <c r="D58" s="21">
        <v>46098</v>
      </c>
      <c r="E58" s="22">
        <v>1586873</v>
      </c>
      <c r="F58" s="22" t="s">
        <v>20</v>
      </c>
      <c r="G58" s="22">
        <v>20324533</v>
      </c>
      <c r="H58" s="22" t="s">
        <v>84</v>
      </c>
      <c r="I58" s="22">
        <v>1</v>
      </c>
      <c r="J58" s="23" t="s">
        <v>22</v>
      </c>
      <c r="K58" s="24">
        <v>1</v>
      </c>
      <c r="L58" s="25">
        <v>6.4</v>
      </c>
      <c r="M58" s="26">
        <v>6.4</v>
      </c>
      <c r="N58" s="26">
        <v>6.4</v>
      </c>
    </row>
    <row r="59" spans="4:14">
      <c r="D59" s="21">
        <v>46098</v>
      </c>
      <c r="E59" s="22">
        <v>1586873</v>
      </c>
      <c r="F59" s="22" t="s">
        <v>20</v>
      </c>
      <c r="G59" s="22">
        <v>20324363</v>
      </c>
      <c r="H59" s="22" t="s">
        <v>91</v>
      </c>
      <c r="I59" s="22">
        <v>1</v>
      </c>
      <c r="J59" s="23" t="s">
        <v>22</v>
      </c>
      <c r="K59" s="24">
        <v>1</v>
      </c>
      <c r="L59" s="25">
        <v>6.4</v>
      </c>
      <c r="M59" s="26">
        <v>6.4</v>
      </c>
      <c r="N59" s="26">
        <v>6.4</v>
      </c>
    </row>
    <row r="60" spans="4:14">
      <c r="D60" s="21">
        <v>46098</v>
      </c>
      <c r="E60" s="22">
        <v>1586873</v>
      </c>
      <c r="F60" s="22" t="s">
        <v>16</v>
      </c>
      <c r="G60" s="22">
        <v>20324360</v>
      </c>
      <c r="H60" s="22" t="s">
        <v>186</v>
      </c>
      <c r="I60" s="22">
        <v>1</v>
      </c>
      <c r="J60" s="28" t="s">
        <v>18</v>
      </c>
      <c r="K60" s="24">
        <f t="shared" si="3"/>
        <v>16</v>
      </c>
      <c r="L60" s="25">
        <v>4.4</v>
      </c>
      <c r="M60" s="26">
        <v>70.4</v>
      </c>
      <c r="N60" s="26">
        <v>70.4</v>
      </c>
    </row>
    <row r="61" spans="4:14">
      <c r="D61" s="21">
        <v>46098</v>
      </c>
      <c r="E61" s="22">
        <v>1586873</v>
      </c>
      <c r="F61" s="22" t="s">
        <v>20</v>
      </c>
      <c r="G61" s="22">
        <v>20328818</v>
      </c>
      <c r="H61" s="22" t="s">
        <v>184</v>
      </c>
      <c r="I61" s="22">
        <v>1</v>
      </c>
      <c r="J61" s="28" t="s">
        <v>18</v>
      </c>
      <c r="K61" s="24">
        <f t="shared" si="3"/>
        <v>51</v>
      </c>
      <c r="L61" s="25">
        <v>4.4</v>
      </c>
      <c r="M61" s="26">
        <v>224.4</v>
      </c>
      <c r="N61" s="26">
        <v>224.4</v>
      </c>
    </row>
    <row r="62" spans="4:14">
      <c r="D62" s="21">
        <v>46099</v>
      </c>
      <c r="E62" s="22">
        <v>1587134</v>
      </c>
      <c r="F62" s="22" t="s">
        <v>20</v>
      </c>
      <c r="G62" s="22">
        <v>20324366</v>
      </c>
      <c r="H62" s="22" t="s">
        <v>185</v>
      </c>
      <c r="I62" s="22">
        <v>1</v>
      </c>
      <c r="J62" s="46" t="s">
        <v>62</v>
      </c>
      <c r="K62" s="24">
        <v>1</v>
      </c>
      <c r="L62" s="25">
        <v>12.8</v>
      </c>
      <c r="M62" s="26">
        <v>12.8</v>
      </c>
      <c r="N62" s="26">
        <v>12.8</v>
      </c>
    </row>
    <row r="63" spans="4:14">
      <c r="D63" s="21">
        <v>46099</v>
      </c>
      <c r="E63" s="22">
        <v>1587134</v>
      </c>
      <c r="F63" s="22" t="s">
        <v>20</v>
      </c>
      <c r="G63" s="22">
        <v>20324417</v>
      </c>
      <c r="H63" s="22" t="s">
        <v>188</v>
      </c>
      <c r="I63" s="22">
        <v>2</v>
      </c>
      <c r="J63" s="23" t="s">
        <v>22</v>
      </c>
      <c r="K63" s="24">
        <v>1</v>
      </c>
      <c r="L63" s="25">
        <v>6.4</v>
      </c>
      <c r="M63" s="26">
        <v>6.4</v>
      </c>
      <c r="N63" s="26">
        <v>12.8</v>
      </c>
    </row>
    <row r="64" spans="4:14">
      <c r="D64" s="21">
        <v>46099</v>
      </c>
      <c r="E64" s="22">
        <v>1587134</v>
      </c>
      <c r="F64" s="22" t="s">
        <v>20</v>
      </c>
      <c r="G64" s="22">
        <v>20324533</v>
      </c>
      <c r="H64" s="22" t="s">
        <v>84</v>
      </c>
      <c r="I64" s="22">
        <v>1</v>
      </c>
      <c r="J64" s="23" t="s">
        <v>22</v>
      </c>
      <c r="K64" s="24">
        <v>1</v>
      </c>
      <c r="L64" s="25">
        <v>6.4</v>
      </c>
      <c r="M64" s="26">
        <v>6.4</v>
      </c>
      <c r="N64" s="26">
        <v>6.4</v>
      </c>
    </row>
    <row r="65" spans="4:14">
      <c r="D65" s="21">
        <v>46099</v>
      </c>
      <c r="E65" s="22">
        <v>1587134</v>
      </c>
      <c r="F65" s="22" t="s">
        <v>20</v>
      </c>
      <c r="G65" s="22">
        <v>20324367</v>
      </c>
      <c r="H65" s="22" t="s">
        <v>146</v>
      </c>
      <c r="I65" s="22">
        <v>1</v>
      </c>
      <c r="J65" s="23" t="s">
        <v>22</v>
      </c>
      <c r="K65" s="24">
        <v>1</v>
      </c>
      <c r="L65" s="25">
        <v>6.4</v>
      </c>
      <c r="M65" s="26">
        <v>6.4</v>
      </c>
      <c r="N65" s="26">
        <v>6.4</v>
      </c>
    </row>
    <row r="66" spans="4:14">
      <c r="D66" s="21">
        <v>46099</v>
      </c>
      <c r="E66" s="22">
        <v>1587134</v>
      </c>
      <c r="F66" s="22" t="s">
        <v>16</v>
      </c>
      <c r="G66" s="22">
        <v>20324360</v>
      </c>
      <c r="H66" s="22" t="s">
        <v>186</v>
      </c>
      <c r="I66" s="22">
        <v>1</v>
      </c>
      <c r="J66" s="28" t="s">
        <v>18</v>
      </c>
      <c r="K66" s="24">
        <f>M66/L66</f>
        <v>16</v>
      </c>
      <c r="L66" s="25">
        <v>4.4</v>
      </c>
      <c r="M66" s="26">
        <v>70.4</v>
      </c>
      <c r="N66" s="26">
        <v>70.4</v>
      </c>
    </row>
    <row r="67" spans="4:14">
      <c r="D67" s="21">
        <v>46099</v>
      </c>
      <c r="E67" s="22">
        <v>1587134</v>
      </c>
      <c r="F67" s="22" t="s">
        <v>20</v>
      </c>
      <c r="G67" s="22">
        <v>20328818</v>
      </c>
      <c r="H67" s="22" t="s">
        <v>184</v>
      </c>
      <c r="I67" s="22">
        <v>1</v>
      </c>
      <c r="J67" s="28" t="s">
        <v>18</v>
      </c>
      <c r="K67" s="24">
        <f>M67/L67</f>
        <v>51</v>
      </c>
      <c r="L67" s="25">
        <v>4.4</v>
      </c>
      <c r="M67" s="26">
        <v>224.4</v>
      </c>
      <c r="N67" s="26">
        <v>224.4</v>
      </c>
    </row>
    <row r="68" spans="4:14">
      <c r="D68" s="21">
        <v>46101</v>
      </c>
      <c r="E68" s="22">
        <v>1587929</v>
      </c>
      <c r="F68" s="22" t="s">
        <v>20</v>
      </c>
      <c r="G68" s="22">
        <v>20324366</v>
      </c>
      <c r="H68" s="22" t="s">
        <v>185</v>
      </c>
      <c r="I68" s="22">
        <v>3</v>
      </c>
      <c r="J68" s="46" t="s">
        <v>62</v>
      </c>
      <c r="K68" s="24">
        <v>1</v>
      </c>
      <c r="L68" s="25">
        <v>12.8</v>
      </c>
      <c r="M68" s="26">
        <v>12.8</v>
      </c>
      <c r="N68" s="26">
        <v>38.4</v>
      </c>
    </row>
    <row r="69" spans="4:14">
      <c r="D69" s="21">
        <v>46101</v>
      </c>
      <c r="E69" s="22">
        <v>1587929</v>
      </c>
      <c r="F69" s="22" t="s">
        <v>20</v>
      </c>
      <c r="G69" s="22">
        <v>20324364</v>
      </c>
      <c r="H69" s="22" t="s">
        <v>23</v>
      </c>
      <c r="I69" s="22">
        <v>1</v>
      </c>
      <c r="J69" s="23" t="s">
        <v>22</v>
      </c>
      <c r="K69" s="24">
        <v>1</v>
      </c>
      <c r="L69" s="25">
        <v>6.4</v>
      </c>
      <c r="M69" s="26">
        <v>6.4</v>
      </c>
      <c r="N69" s="26">
        <v>6.4</v>
      </c>
    </row>
    <row r="70" spans="4:14">
      <c r="D70" s="21">
        <v>46101</v>
      </c>
      <c r="E70" s="22">
        <v>1587929</v>
      </c>
      <c r="F70" s="22" t="s">
        <v>20</v>
      </c>
      <c r="G70" s="22">
        <v>20324533</v>
      </c>
      <c r="H70" s="22" t="s">
        <v>84</v>
      </c>
      <c r="I70" s="22">
        <v>3</v>
      </c>
      <c r="J70" s="23" t="s">
        <v>22</v>
      </c>
      <c r="K70" s="24">
        <v>1</v>
      </c>
      <c r="L70" s="25">
        <v>6.4</v>
      </c>
      <c r="M70" s="26">
        <v>6.4</v>
      </c>
      <c r="N70" s="26">
        <v>19.2</v>
      </c>
    </row>
    <row r="71" spans="4:14">
      <c r="D71" s="21">
        <v>46101</v>
      </c>
      <c r="E71" s="22">
        <v>1587929</v>
      </c>
      <c r="F71" s="22" t="s">
        <v>20</v>
      </c>
      <c r="G71" s="22">
        <v>20324363</v>
      </c>
      <c r="H71" s="22" t="s">
        <v>91</v>
      </c>
      <c r="I71" s="22">
        <v>1</v>
      </c>
      <c r="J71" s="23" t="s">
        <v>22</v>
      </c>
      <c r="K71" s="24">
        <v>1</v>
      </c>
      <c r="L71" s="25">
        <v>6.4</v>
      </c>
      <c r="M71" s="26">
        <v>6.4</v>
      </c>
      <c r="N71" s="26">
        <v>6.4</v>
      </c>
    </row>
    <row r="72" spans="4:14">
      <c r="D72" s="21">
        <v>46101</v>
      </c>
      <c r="E72" s="22">
        <v>1587929</v>
      </c>
      <c r="F72" s="22" t="s">
        <v>16</v>
      </c>
      <c r="G72" s="22">
        <v>20324360</v>
      </c>
      <c r="H72" s="22" t="s">
        <v>186</v>
      </c>
      <c r="I72" s="22">
        <v>3</v>
      </c>
      <c r="J72" s="28" t="s">
        <v>18</v>
      </c>
      <c r="K72" s="24">
        <f>M72/L72</f>
        <v>16</v>
      </c>
      <c r="L72" s="25">
        <v>4.4</v>
      </c>
      <c r="M72" s="26">
        <v>70.4</v>
      </c>
      <c r="N72" s="26">
        <v>211.2</v>
      </c>
    </row>
    <row r="73" spans="4:14">
      <c r="D73" s="21">
        <v>46101</v>
      </c>
      <c r="E73" s="22">
        <v>1587929</v>
      </c>
      <c r="F73" s="22" t="s">
        <v>20</v>
      </c>
      <c r="G73" s="22">
        <v>20328818</v>
      </c>
      <c r="H73" s="22" t="s">
        <v>184</v>
      </c>
      <c r="I73" s="22">
        <v>2</v>
      </c>
      <c r="J73" s="28" t="s">
        <v>18</v>
      </c>
      <c r="K73" s="24">
        <f>M73/L73</f>
        <v>51</v>
      </c>
      <c r="L73" s="25">
        <v>4.4</v>
      </c>
      <c r="M73" s="26">
        <v>224.4</v>
      </c>
      <c r="N73" s="26">
        <v>448.8</v>
      </c>
    </row>
    <row r="74" spans="4:14">
      <c r="D74" s="21">
        <v>46104</v>
      </c>
      <c r="E74" s="22">
        <v>1588474</v>
      </c>
      <c r="F74" s="22" t="s">
        <v>20</v>
      </c>
      <c r="G74" s="22">
        <v>20324366</v>
      </c>
      <c r="H74" s="22" t="s">
        <v>185</v>
      </c>
      <c r="I74" s="22">
        <v>4</v>
      </c>
      <c r="J74" s="46" t="s">
        <v>62</v>
      </c>
      <c r="K74" s="24">
        <v>1</v>
      </c>
      <c r="L74" s="25">
        <v>12.8</v>
      </c>
      <c r="M74" s="26">
        <v>12.8</v>
      </c>
      <c r="N74" s="26">
        <v>51.2</v>
      </c>
    </row>
    <row r="75" spans="4:14">
      <c r="D75" s="21">
        <v>46104</v>
      </c>
      <c r="E75" s="22">
        <v>1588474</v>
      </c>
      <c r="F75" s="22" t="s">
        <v>20</v>
      </c>
      <c r="G75" s="22">
        <v>20324364</v>
      </c>
      <c r="H75" s="22" t="s">
        <v>23</v>
      </c>
      <c r="I75" s="22">
        <v>3</v>
      </c>
      <c r="J75" s="23" t="s">
        <v>22</v>
      </c>
      <c r="K75" s="24">
        <v>1</v>
      </c>
      <c r="L75" s="25">
        <v>6.4</v>
      </c>
      <c r="M75" s="26">
        <v>6.4</v>
      </c>
      <c r="N75" s="26">
        <v>19.2</v>
      </c>
    </row>
    <row r="76" spans="4:14">
      <c r="D76" s="21">
        <v>46104</v>
      </c>
      <c r="E76" s="22">
        <v>1588474</v>
      </c>
      <c r="F76" s="22" t="s">
        <v>20</v>
      </c>
      <c r="G76" s="22">
        <v>20324533</v>
      </c>
      <c r="H76" s="22" t="s">
        <v>84</v>
      </c>
      <c r="I76" s="22">
        <v>4</v>
      </c>
      <c r="J76" s="23" t="s">
        <v>22</v>
      </c>
      <c r="K76" s="24">
        <v>1</v>
      </c>
      <c r="L76" s="25">
        <v>6.4</v>
      </c>
      <c r="M76" s="26">
        <v>6.4</v>
      </c>
      <c r="N76" s="26">
        <v>25.6</v>
      </c>
    </row>
    <row r="77" spans="4:14">
      <c r="D77" s="21">
        <v>46104</v>
      </c>
      <c r="E77" s="22">
        <v>1588474</v>
      </c>
      <c r="F77" s="22" t="s">
        <v>20</v>
      </c>
      <c r="G77" s="22">
        <v>20324363</v>
      </c>
      <c r="H77" s="22" t="s">
        <v>91</v>
      </c>
      <c r="I77" s="22">
        <v>2</v>
      </c>
      <c r="J77" s="23" t="s">
        <v>22</v>
      </c>
      <c r="K77" s="24">
        <v>1</v>
      </c>
      <c r="L77" s="25">
        <v>6.4</v>
      </c>
      <c r="M77" s="26">
        <v>6.4</v>
      </c>
      <c r="N77" s="26">
        <v>12.8</v>
      </c>
    </row>
    <row r="78" spans="4:14">
      <c r="D78" s="21">
        <v>46104</v>
      </c>
      <c r="E78" s="22">
        <v>1588474</v>
      </c>
      <c r="F78" s="22" t="s">
        <v>16</v>
      </c>
      <c r="G78" s="22">
        <v>20324360</v>
      </c>
      <c r="H78" s="22" t="s">
        <v>186</v>
      </c>
      <c r="I78" s="22">
        <v>4</v>
      </c>
      <c r="J78" s="28" t="s">
        <v>18</v>
      </c>
      <c r="K78" s="24">
        <f t="shared" ref="K78:K80" si="4">M78/L78</f>
        <v>16</v>
      </c>
      <c r="L78" s="25">
        <v>4.4</v>
      </c>
      <c r="M78" s="26">
        <v>70.4</v>
      </c>
      <c r="N78" s="26">
        <v>281.6</v>
      </c>
    </row>
    <row r="79" spans="4:14">
      <c r="D79" s="21">
        <v>46104</v>
      </c>
      <c r="E79" s="22">
        <v>1588474</v>
      </c>
      <c r="F79" s="22" t="s">
        <v>20</v>
      </c>
      <c r="G79" s="22">
        <v>20324368</v>
      </c>
      <c r="H79" s="22" t="s">
        <v>183</v>
      </c>
      <c r="I79" s="22">
        <v>1</v>
      </c>
      <c r="J79" s="28" t="s">
        <v>18</v>
      </c>
      <c r="K79" s="24">
        <f t="shared" si="4"/>
        <v>46</v>
      </c>
      <c r="L79" s="25">
        <v>4.4</v>
      </c>
      <c r="M79" s="26">
        <v>202.4</v>
      </c>
      <c r="N79" s="26">
        <v>202.4</v>
      </c>
    </row>
    <row r="80" spans="4:14">
      <c r="D80" s="21">
        <v>46104</v>
      </c>
      <c r="E80" s="22">
        <v>1588474</v>
      </c>
      <c r="F80" s="22" t="s">
        <v>20</v>
      </c>
      <c r="G80" s="22">
        <v>20328818</v>
      </c>
      <c r="H80" s="22" t="s">
        <v>184</v>
      </c>
      <c r="I80" s="22">
        <v>3</v>
      </c>
      <c r="J80" s="28" t="s">
        <v>18</v>
      </c>
      <c r="K80" s="24">
        <f t="shared" si="4"/>
        <v>51</v>
      </c>
      <c r="L80" s="25">
        <v>4.4</v>
      </c>
      <c r="M80" s="26">
        <v>224.4</v>
      </c>
      <c r="N80" s="26">
        <v>673.2</v>
      </c>
    </row>
    <row r="81" spans="4:14">
      <c r="D81" s="21">
        <v>46106</v>
      </c>
      <c r="E81" s="22">
        <v>1588791</v>
      </c>
      <c r="F81" s="22" t="s">
        <v>20</v>
      </c>
      <c r="G81" s="22">
        <v>20324366</v>
      </c>
      <c r="H81" s="22" t="s">
        <v>185</v>
      </c>
      <c r="I81" s="22">
        <v>2</v>
      </c>
      <c r="J81" s="46" t="s">
        <v>62</v>
      </c>
      <c r="K81" s="24">
        <v>1</v>
      </c>
      <c r="L81" s="25">
        <v>12.8</v>
      </c>
      <c r="M81" s="26">
        <v>12.8</v>
      </c>
      <c r="N81" s="26">
        <v>25.6</v>
      </c>
    </row>
    <row r="82" spans="4:14">
      <c r="D82" s="21">
        <v>46106</v>
      </c>
      <c r="E82" s="22">
        <v>1588791</v>
      </c>
      <c r="F82" s="22" t="s">
        <v>20</v>
      </c>
      <c r="G82" s="22">
        <v>20324364</v>
      </c>
      <c r="H82" s="22" t="s">
        <v>23</v>
      </c>
      <c r="I82" s="22">
        <v>1</v>
      </c>
      <c r="J82" s="23" t="s">
        <v>22</v>
      </c>
      <c r="K82" s="24">
        <v>1</v>
      </c>
      <c r="L82" s="25">
        <v>6.4</v>
      </c>
      <c r="M82" s="26">
        <v>6.4</v>
      </c>
      <c r="N82" s="26">
        <v>6.4</v>
      </c>
    </row>
    <row r="83" spans="4:14">
      <c r="D83" s="21">
        <v>46106</v>
      </c>
      <c r="E83" s="22">
        <v>1588791</v>
      </c>
      <c r="F83" s="22" t="s">
        <v>20</v>
      </c>
      <c r="G83" s="22">
        <v>20324533</v>
      </c>
      <c r="H83" s="22" t="s">
        <v>84</v>
      </c>
      <c r="I83" s="22">
        <v>2</v>
      </c>
      <c r="J83" s="23" t="s">
        <v>22</v>
      </c>
      <c r="K83" s="24">
        <v>1</v>
      </c>
      <c r="L83" s="25">
        <v>6.4</v>
      </c>
      <c r="M83" s="26">
        <v>6.4</v>
      </c>
      <c r="N83" s="26">
        <v>12.8</v>
      </c>
    </row>
    <row r="84" spans="4:14">
      <c r="D84" s="21">
        <v>46106</v>
      </c>
      <c r="E84" s="22">
        <v>1588791</v>
      </c>
      <c r="F84" s="22" t="s">
        <v>20</v>
      </c>
      <c r="G84" s="22">
        <v>20324363</v>
      </c>
      <c r="H84" s="22" t="s">
        <v>91</v>
      </c>
      <c r="I84" s="22">
        <v>1</v>
      </c>
      <c r="J84" s="23" t="s">
        <v>22</v>
      </c>
      <c r="K84" s="24">
        <v>1</v>
      </c>
      <c r="L84" s="25">
        <v>6.4</v>
      </c>
      <c r="M84" s="26">
        <v>6.4</v>
      </c>
      <c r="N84" s="26">
        <v>6.4</v>
      </c>
    </row>
    <row r="85" spans="4:14">
      <c r="D85" s="21">
        <v>46106</v>
      </c>
      <c r="E85" s="22">
        <v>1588791</v>
      </c>
      <c r="F85" s="22" t="s">
        <v>20</v>
      </c>
      <c r="G85" s="22">
        <v>20328818</v>
      </c>
      <c r="H85" s="22" t="s">
        <v>184</v>
      </c>
      <c r="I85" s="22">
        <v>1</v>
      </c>
      <c r="J85" s="28" t="s">
        <v>18</v>
      </c>
      <c r="K85" s="24">
        <f t="shared" ref="K85:K91" si="5">M85/L85</f>
        <v>51</v>
      </c>
      <c r="L85" s="25">
        <v>4.4</v>
      </c>
      <c r="M85" s="26">
        <v>224.4</v>
      </c>
      <c r="N85" s="26">
        <v>224.4</v>
      </c>
    </row>
    <row r="86" spans="4:14">
      <c r="D86" s="21">
        <v>46106</v>
      </c>
      <c r="E86" s="22">
        <v>1588811</v>
      </c>
      <c r="F86" s="22" t="s">
        <v>16</v>
      </c>
      <c r="G86" s="22">
        <v>20324360</v>
      </c>
      <c r="H86" s="22" t="s">
        <v>186</v>
      </c>
      <c r="I86" s="22">
        <v>2</v>
      </c>
      <c r="J86" s="28" t="s">
        <v>18</v>
      </c>
      <c r="K86" s="24">
        <f t="shared" si="5"/>
        <v>16</v>
      </c>
      <c r="L86" s="25">
        <v>4.4</v>
      </c>
      <c r="M86" s="26">
        <v>70.4</v>
      </c>
      <c r="N86" s="26">
        <v>140.8</v>
      </c>
    </row>
    <row r="87" spans="4:14">
      <c r="D87" s="21">
        <v>46106</v>
      </c>
      <c r="E87" s="22">
        <v>1589142</v>
      </c>
      <c r="F87" s="22" t="s">
        <v>20</v>
      </c>
      <c r="G87" s="22">
        <v>20324366</v>
      </c>
      <c r="H87" s="22" t="s">
        <v>185</v>
      </c>
      <c r="I87" s="22">
        <v>1</v>
      </c>
      <c r="J87" s="46" t="s">
        <v>62</v>
      </c>
      <c r="K87" s="24">
        <v>1</v>
      </c>
      <c r="L87" s="25">
        <v>12.8</v>
      </c>
      <c r="M87" s="26">
        <v>12.8</v>
      </c>
      <c r="N87" s="26">
        <v>12.8</v>
      </c>
    </row>
    <row r="88" spans="4:14">
      <c r="D88" s="21">
        <v>46106</v>
      </c>
      <c r="E88" s="22">
        <v>1589142</v>
      </c>
      <c r="F88" s="22" t="s">
        <v>20</v>
      </c>
      <c r="G88" s="22">
        <v>20324533</v>
      </c>
      <c r="H88" s="22" t="s">
        <v>84</v>
      </c>
      <c r="I88" s="22">
        <v>1</v>
      </c>
      <c r="J88" s="23" t="s">
        <v>22</v>
      </c>
      <c r="K88" s="24">
        <v>1</v>
      </c>
      <c r="L88" s="25">
        <v>6.4</v>
      </c>
      <c r="M88" s="26">
        <v>6.4</v>
      </c>
      <c r="N88" s="26">
        <v>6.4</v>
      </c>
    </row>
    <row r="89" spans="4:14">
      <c r="D89" s="21">
        <v>46106</v>
      </c>
      <c r="E89" s="22">
        <v>1589142</v>
      </c>
      <c r="F89" s="22" t="s">
        <v>20</v>
      </c>
      <c r="G89" s="22">
        <v>20324367</v>
      </c>
      <c r="H89" s="22" t="s">
        <v>146</v>
      </c>
      <c r="I89" s="22">
        <v>1</v>
      </c>
      <c r="J89" s="23" t="s">
        <v>22</v>
      </c>
      <c r="K89" s="24">
        <v>1</v>
      </c>
      <c r="L89" s="25">
        <v>6.4</v>
      </c>
      <c r="M89" s="26">
        <v>6.4</v>
      </c>
      <c r="N89" s="26">
        <v>6.4</v>
      </c>
    </row>
    <row r="90" spans="4:14">
      <c r="D90" s="21">
        <v>46106</v>
      </c>
      <c r="E90" s="22">
        <v>1589142</v>
      </c>
      <c r="F90" s="22" t="s">
        <v>16</v>
      </c>
      <c r="G90" s="22">
        <v>20324360</v>
      </c>
      <c r="H90" s="22" t="s">
        <v>186</v>
      </c>
      <c r="I90" s="22">
        <v>1</v>
      </c>
      <c r="J90" s="28" t="s">
        <v>18</v>
      </c>
      <c r="K90" s="24">
        <f t="shared" si="5"/>
        <v>16</v>
      </c>
      <c r="L90" s="25">
        <v>4.4</v>
      </c>
      <c r="M90" s="26">
        <v>70.4</v>
      </c>
      <c r="N90" s="26">
        <v>70.4</v>
      </c>
    </row>
    <row r="91" spans="4:14">
      <c r="D91" s="21">
        <v>46106</v>
      </c>
      <c r="E91" s="22">
        <v>1589142</v>
      </c>
      <c r="F91" s="22" t="s">
        <v>20</v>
      </c>
      <c r="G91" s="22">
        <v>20328818</v>
      </c>
      <c r="H91" s="22" t="s">
        <v>184</v>
      </c>
      <c r="I91" s="22">
        <v>1</v>
      </c>
      <c r="J91" s="28" t="s">
        <v>18</v>
      </c>
      <c r="K91" s="24">
        <f t="shared" si="5"/>
        <v>51</v>
      </c>
      <c r="L91" s="25">
        <v>4.4</v>
      </c>
      <c r="M91" s="26">
        <v>224.4</v>
      </c>
      <c r="N91" s="26">
        <v>224.4</v>
      </c>
    </row>
    <row r="92" spans="4:14">
      <c r="D92" s="21">
        <v>46107</v>
      </c>
      <c r="E92" s="22">
        <v>1589531</v>
      </c>
      <c r="F92" s="22" t="s">
        <v>20</v>
      </c>
      <c r="G92" s="22">
        <v>20324366</v>
      </c>
      <c r="H92" s="22" t="s">
        <v>185</v>
      </c>
      <c r="I92" s="22">
        <v>2</v>
      </c>
      <c r="J92" s="46" t="s">
        <v>62</v>
      </c>
      <c r="K92" s="24">
        <v>1</v>
      </c>
      <c r="L92" s="25">
        <v>12.8</v>
      </c>
      <c r="M92" s="26">
        <v>12.8</v>
      </c>
      <c r="N92" s="26">
        <v>25.6</v>
      </c>
    </row>
    <row r="93" spans="4:14">
      <c r="D93" s="21">
        <v>46107</v>
      </c>
      <c r="E93" s="22">
        <v>1589531</v>
      </c>
      <c r="F93" s="22" t="s">
        <v>20</v>
      </c>
      <c r="G93" s="22">
        <v>20324364</v>
      </c>
      <c r="H93" s="22" t="s">
        <v>23</v>
      </c>
      <c r="I93" s="22">
        <v>2</v>
      </c>
      <c r="J93" s="23" t="s">
        <v>22</v>
      </c>
      <c r="K93" s="24">
        <v>1</v>
      </c>
      <c r="L93" s="25">
        <v>6.4</v>
      </c>
      <c r="M93" s="26">
        <v>6.4</v>
      </c>
      <c r="N93" s="26">
        <v>12.8</v>
      </c>
    </row>
    <row r="94" spans="4:14">
      <c r="D94" s="21">
        <v>46107</v>
      </c>
      <c r="E94" s="22">
        <v>1589531</v>
      </c>
      <c r="F94" s="22" t="s">
        <v>20</v>
      </c>
      <c r="G94" s="22">
        <v>20324533</v>
      </c>
      <c r="H94" s="22" t="s">
        <v>84</v>
      </c>
      <c r="I94" s="22">
        <v>2</v>
      </c>
      <c r="J94" s="23" t="s">
        <v>22</v>
      </c>
      <c r="K94" s="24">
        <v>1</v>
      </c>
      <c r="L94" s="25">
        <v>6.4</v>
      </c>
      <c r="M94" s="26">
        <v>6.4</v>
      </c>
      <c r="N94" s="26">
        <v>12.8</v>
      </c>
    </row>
    <row r="95" spans="4:14">
      <c r="D95" s="21">
        <v>46107</v>
      </c>
      <c r="E95" s="22">
        <v>1589531</v>
      </c>
      <c r="F95" s="22" t="s">
        <v>16</v>
      </c>
      <c r="G95" s="22">
        <v>20324360</v>
      </c>
      <c r="H95" s="22" t="s">
        <v>186</v>
      </c>
      <c r="I95" s="22">
        <v>2</v>
      </c>
      <c r="J95" s="28" t="s">
        <v>18</v>
      </c>
      <c r="K95" s="24">
        <f t="shared" ref="K95:K97" si="6">M95/L95</f>
        <v>16</v>
      </c>
      <c r="L95" s="25">
        <v>4.4</v>
      </c>
      <c r="M95" s="26">
        <v>70.4</v>
      </c>
      <c r="N95" s="26">
        <v>140.8</v>
      </c>
    </row>
    <row r="96" spans="4:14">
      <c r="D96" s="21">
        <v>46107</v>
      </c>
      <c r="E96" s="22">
        <v>1589531</v>
      </c>
      <c r="F96" s="22" t="s">
        <v>20</v>
      </c>
      <c r="G96" s="22">
        <v>20342477</v>
      </c>
      <c r="H96" s="22" t="s">
        <v>189</v>
      </c>
      <c r="I96" s="22">
        <v>1</v>
      </c>
      <c r="J96" s="28" t="s">
        <v>18</v>
      </c>
      <c r="K96" s="24">
        <f t="shared" si="6"/>
        <v>44</v>
      </c>
      <c r="L96" s="25">
        <v>4.4</v>
      </c>
      <c r="M96" s="26">
        <v>193.6</v>
      </c>
      <c r="N96" s="26">
        <v>193.6</v>
      </c>
    </row>
    <row r="97" spans="4:14">
      <c r="D97" s="21">
        <v>46108</v>
      </c>
      <c r="E97" s="22">
        <v>1589947</v>
      </c>
      <c r="F97" s="22" t="s">
        <v>20</v>
      </c>
      <c r="G97" s="22">
        <v>20378593</v>
      </c>
      <c r="H97" s="22" t="s">
        <v>190</v>
      </c>
      <c r="I97" s="22">
        <v>1</v>
      </c>
      <c r="J97" s="28" t="s">
        <v>18</v>
      </c>
      <c r="K97" s="24">
        <f t="shared" si="6"/>
        <v>46</v>
      </c>
      <c r="L97" s="25">
        <v>4.4</v>
      </c>
      <c r="M97" s="26">
        <v>202.4</v>
      </c>
      <c r="N97" s="26">
        <v>202.4</v>
      </c>
    </row>
    <row r="98" spans="4:14">
      <c r="D98" s="21">
        <v>46112</v>
      </c>
      <c r="E98" s="22">
        <v>1590515</v>
      </c>
      <c r="F98" s="22" t="s">
        <v>20</v>
      </c>
      <c r="G98" s="22">
        <v>20324366</v>
      </c>
      <c r="H98" s="22" t="s">
        <v>185</v>
      </c>
      <c r="I98" s="22">
        <v>2</v>
      </c>
      <c r="J98" s="46" t="s">
        <v>62</v>
      </c>
      <c r="K98" s="24">
        <v>1</v>
      </c>
      <c r="L98" s="25">
        <v>12.8</v>
      </c>
      <c r="M98" s="26">
        <v>12.8</v>
      </c>
      <c r="N98" s="26">
        <v>25.6</v>
      </c>
    </row>
    <row r="99" spans="4:14">
      <c r="D99" s="21">
        <v>46112</v>
      </c>
      <c r="E99" s="22">
        <v>1590515</v>
      </c>
      <c r="F99" s="22" t="s">
        <v>20</v>
      </c>
      <c r="G99" s="22">
        <v>20324364</v>
      </c>
      <c r="H99" s="22" t="s">
        <v>23</v>
      </c>
      <c r="I99" s="22">
        <v>1</v>
      </c>
      <c r="J99" s="23" t="s">
        <v>22</v>
      </c>
      <c r="K99" s="24">
        <v>1</v>
      </c>
      <c r="L99" s="25">
        <v>6.4</v>
      </c>
      <c r="M99" s="26">
        <v>6.4</v>
      </c>
      <c r="N99" s="26">
        <v>6.4</v>
      </c>
    </row>
    <row r="100" spans="4:14">
      <c r="D100" s="21">
        <v>46112</v>
      </c>
      <c r="E100" s="22">
        <v>1590515</v>
      </c>
      <c r="F100" s="22" t="s">
        <v>20</v>
      </c>
      <c r="G100" s="22">
        <v>20324533</v>
      </c>
      <c r="H100" s="22" t="s">
        <v>84</v>
      </c>
      <c r="I100" s="22">
        <v>2</v>
      </c>
      <c r="J100" s="23" t="s">
        <v>22</v>
      </c>
      <c r="K100" s="24">
        <v>1</v>
      </c>
      <c r="L100" s="25">
        <v>6.4</v>
      </c>
      <c r="M100" s="26">
        <v>6.4</v>
      </c>
      <c r="N100" s="26">
        <v>12.8</v>
      </c>
    </row>
    <row r="101" spans="4:14">
      <c r="D101" s="21">
        <v>46112</v>
      </c>
      <c r="E101" s="22">
        <v>1590515</v>
      </c>
      <c r="F101" s="22" t="s">
        <v>20</v>
      </c>
      <c r="G101" s="22">
        <v>20324363</v>
      </c>
      <c r="H101" s="22" t="s">
        <v>91</v>
      </c>
      <c r="I101" s="22">
        <v>1</v>
      </c>
      <c r="J101" s="23" t="s">
        <v>22</v>
      </c>
      <c r="K101" s="24">
        <v>1</v>
      </c>
      <c r="L101" s="25">
        <v>6.4</v>
      </c>
      <c r="M101" s="26">
        <v>6.4</v>
      </c>
      <c r="N101" s="26">
        <v>6.4</v>
      </c>
    </row>
    <row r="102" spans="4:14">
      <c r="D102" s="21">
        <v>46112</v>
      </c>
      <c r="E102" s="22">
        <v>1590515</v>
      </c>
      <c r="F102" s="22" t="s">
        <v>16</v>
      </c>
      <c r="G102" s="22">
        <v>20324360</v>
      </c>
      <c r="H102" s="22" t="s">
        <v>186</v>
      </c>
      <c r="I102" s="22">
        <v>2</v>
      </c>
      <c r="J102" s="28" t="s">
        <v>18</v>
      </c>
      <c r="K102" s="24">
        <f t="shared" ref="K102:K104" si="7">M102/L102</f>
        <v>16</v>
      </c>
      <c r="L102" s="25">
        <v>4.4</v>
      </c>
      <c r="M102" s="26">
        <v>70.4</v>
      </c>
      <c r="N102" s="26">
        <v>140.8</v>
      </c>
    </row>
    <row r="103" spans="4:14">
      <c r="D103" s="21">
        <v>46112</v>
      </c>
      <c r="E103" s="22">
        <v>1590515</v>
      </c>
      <c r="F103" s="22" t="s">
        <v>20</v>
      </c>
      <c r="G103" s="22">
        <v>20342477</v>
      </c>
      <c r="H103" s="22" t="s">
        <v>189</v>
      </c>
      <c r="I103" s="22">
        <v>1</v>
      </c>
      <c r="J103" s="28" t="s">
        <v>18</v>
      </c>
      <c r="K103" s="24">
        <f t="shared" si="7"/>
        <v>44</v>
      </c>
      <c r="L103" s="25">
        <v>4.4</v>
      </c>
      <c r="M103" s="26">
        <v>193.6</v>
      </c>
      <c r="N103" s="26">
        <v>193.6</v>
      </c>
    </row>
    <row r="104" spans="4:14">
      <c r="D104" s="21">
        <v>46112</v>
      </c>
      <c r="E104" s="22">
        <v>1590515</v>
      </c>
      <c r="F104" s="22" t="s">
        <v>20</v>
      </c>
      <c r="G104" s="22">
        <v>20328818</v>
      </c>
      <c r="H104" s="22" t="s">
        <v>184</v>
      </c>
      <c r="I104" s="22">
        <v>2</v>
      </c>
      <c r="J104" s="28" t="s">
        <v>18</v>
      </c>
      <c r="K104" s="24">
        <f t="shared" si="7"/>
        <v>51</v>
      </c>
      <c r="L104" s="25">
        <v>4.4</v>
      </c>
      <c r="M104" s="26">
        <v>224.4</v>
      </c>
      <c r="N104" s="26">
        <v>448.8</v>
      </c>
    </row>
    <row r="105" spans="4:14">
      <c r="D105" s="21">
        <v>46112</v>
      </c>
      <c r="E105" s="22">
        <v>1590882</v>
      </c>
      <c r="F105" s="22" t="s">
        <v>20</v>
      </c>
      <c r="G105" s="22">
        <v>20324361</v>
      </c>
      <c r="H105" s="22" t="s">
        <v>191</v>
      </c>
      <c r="I105" s="22">
        <v>1</v>
      </c>
      <c r="J105" s="46" t="s">
        <v>62</v>
      </c>
      <c r="K105" s="24">
        <v>1</v>
      </c>
      <c r="L105" s="25">
        <v>12.8</v>
      </c>
      <c r="M105" s="26">
        <v>12.8</v>
      </c>
      <c r="N105" s="26">
        <v>12.8</v>
      </c>
    </row>
    <row r="106" spans="4:14">
      <c r="D106" s="21">
        <v>46112</v>
      </c>
      <c r="E106" s="22">
        <v>1590882</v>
      </c>
      <c r="F106" s="22" t="s">
        <v>20</v>
      </c>
      <c r="G106" s="22">
        <v>20324366</v>
      </c>
      <c r="H106" s="22" t="s">
        <v>185</v>
      </c>
      <c r="I106" s="22">
        <v>2</v>
      </c>
      <c r="J106" s="46" t="s">
        <v>62</v>
      </c>
      <c r="K106" s="24">
        <v>1</v>
      </c>
      <c r="L106" s="25">
        <v>12.8</v>
      </c>
      <c r="M106" s="26">
        <v>12.8</v>
      </c>
      <c r="N106" s="26">
        <v>25.6</v>
      </c>
    </row>
    <row r="107" spans="4:14">
      <c r="D107" s="21">
        <v>46112</v>
      </c>
      <c r="E107" s="22">
        <v>1590882</v>
      </c>
      <c r="F107" s="22" t="s">
        <v>20</v>
      </c>
      <c r="G107" s="22">
        <v>20324533</v>
      </c>
      <c r="H107" s="22" t="s">
        <v>84</v>
      </c>
      <c r="I107" s="22">
        <v>2</v>
      </c>
      <c r="J107" s="23" t="s">
        <v>22</v>
      </c>
      <c r="K107" s="24">
        <v>1</v>
      </c>
      <c r="L107" s="25">
        <v>6.4</v>
      </c>
      <c r="M107" s="26">
        <v>6.4</v>
      </c>
      <c r="N107" s="26">
        <v>12.8</v>
      </c>
    </row>
    <row r="108" spans="4:14">
      <c r="D108" s="21">
        <v>46112</v>
      </c>
      <c r="E108" s="22">
        <v>1590882</v>
      </c>
      <c r="F108" s="22" t="s">
        <v>16</v>
      </c>
      <c r="G108" s="22">
        <v>20324360</v>
      </c>
      <c r="H108" s="22" t="s">
        <v>186</v>
      </c>
      <c r="I108" s="22">
        <v>2</v>
      </c>
      <c r="J108" s="28" t="s">
        <v>18</v>
      </c>
      <c r="K108" s="24">
        <f>M108/L108</f>
        <v>16</v>
      </c>
      <c r="L108" s="25">
        <v>4.4</v>
      </c>
      <c r="M108" s="26">
        <v>70.4</v>
      </c>
      <c r="N108" s="26">
        <v>140.8</v>
      </c>
    </row>
    <row r="109" spans="4:14">
      <c r="D109" s="21">
        <v>46112</v>
      </c>
      <c r="E109" s="22">
        <v>1590882</v>
      </c>
      <c r="F109" s="22" t="s">
        <v>20</v>
      </c>
      <c r="G109" s="22">
        <v>20328818</v>
      </c>
      <c r="H109" s="22" t="s">
        <v>184</v>
      </c>
      <c r="I109" s="22">
        <v>1</v>
      </c>
      <c r="J109" s="28" t="s">
        <v>18</v>
      </c>
      <c r="K109" s="24">
        <f>M109/L109</f>
        <v>51</v>
      </c>
      <c r="L109" s="25">
        <v>4.4</v>
      </c>
      <c r="M109" s="26">
        <v>224.4</v>
      </c>
      <c r="N109" s="26">
        <v>224.4</v>
      </c>
    </row>
  </sheetData>
  <autoFilter xmlns:etc="http://www.wps.cn/officeDocument/2017/etCustomData" ref="A7:N109" etc:filterBottomFollowUsedRange="0">
    <extLst/>
  </autoFilter>
  <mergeCells count="5">
    <mergeCell ref="D8:H8"/>
    <mergeCell ref="C7:C109"/>
    <mergeCell ref="B4:H5"/>
    <mergeCell ref="A7:B109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9.75" customWidth="1"/>
    <col min="11" max="11" width="18" customWidth="1"/>
    <col min="12" max="12" width="12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192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30</v>
      </c>
      <c r="J8" s="13"/>
      <c r="K8" s="14"/>
      <c r="L8" s="14"/>
      <c r="M8" s="14"/>
      <c r="N8" s="14">
        <v>955.2</v>
      </c>
    </row>
    <row r="9" spans="1:14">
      <c r="D9" s="15">
        <v>46083</v>
      </c>
      <c r="E9" s="16">
        <v>1581555</v>
      </c>
      <c r="F9" s="16" t="s">
        <v>20</v>
      </c>
      <c r="G9" s="16">
        <v>20324620</v>
      </c>
      <c r="H9" s="16" t="s">
        <v>193</v>
      </c>
      <c r="I9" s="16">
        <v>1</v>
      </c>
      <c r="J9" s="32" t="s">
        <v>18</v>
      </c>
      <c r="K9" s="18">
        <f t="shared" ref="K9:K14" si="0">M9/L9</f>
        <v>17</v>
      </c>
      <c r="L9" s="19">
        <v>4.4</v>
      </c>
      <c r="M9" s="20">
        <v>74.8</v>
      </c>
      <c r="N9" s="20">
        <v>74.8</v>
      </c>
    </row>
    <row r="10" spans="1:14">
      <c r="D10" s="21">
        <v>46086</v>
      </c>
      <c r="E10" s="22">
        <v>1582545</v>
      </c>
      <c r="F10" s="22" t="s">
        <v>20</v>
      </c>
      <c r="G10" s="22">
        <v>20324364</v>
      </c>
      <c r="H10" s="22" t="s">
        <v>23</v>
      </c>
      <c r="I10" s="22">
        <v>2</v>
      </c>
      <c r="J10" s="23" t="s">
        <v>22</v>
      </c>
      <c r="K10" s="24">
        <v>1</v>
      </c>
      <c r="L10" s="25">
        <v>6.4</v>
      </c>
      <c r="M10" s="26">
        <v>6.4</v>
      </c>
      <c r="N10" s="26">
        <v>12.8</v>
      </c>
    </row>
    <row r="11" spans="1:14">
      <c r="D11" s="21">
        <v>46086</v>
      </c>
      <c r="E11" s="22">
        <v>1582545</v>
      </c>
      <c r="F11" s="22" t="s">
        <v>20</v>
      </c>
      <c r="G11" s="22">
        <v>20324368</v>
      </c>
      <c r="H11" s="22" t="s">
        <v>194</v>
      </c>
      <c r="I11" s="22">
        <v>1</v>
      </c>
      <c r="J11" s="28" t="s">
        <v>18</v>
      </c>
      <c r="K11" s="24">
        <f t="shared" si="0"/>
        <v>16</v>
      </c>
      <c r="L11" s="25">
        <v>4.4</v>
      </c>
      <c r="M11" s="26">
        <v>70.4</v>
      </c>
      <c r="N11" s="26">
        <v>70.4</v>
      </c>
    </row>
    <row r="12" spans="1:14">
      <c r="D12" s="21">
        <v>46090</v>
      </c>
      <c r="E12" s="22">
        <v>1583380</v>
      </c>
      <c r="F12" s="22" t="s">
        <v>20</v>
      </c>
      <c r="G12" s="22">
        <v>20324364</v>
      </c>
      <c r="H12" s="22" t="s">
        <v>23</v>
      </c>
      <c r="I12" s="22">
        <v>2</v>
      </c>
      <c r="J12" s="23" t="s">
        <v>22</v>
      </c>
      <c r="K12" s="24">
        <v>1</v>
      </c>
      <c r="L12" s="25">
        <v>6.4</v>
      </c>
      <c r="M12" s="26">
        <v>6.4</v>
      </c>
      <c r="N12" s="26">
        <v>12.8</v>
      </c>
    </row>
    <row r="13" spans="1:14">
      <c r="D13" s="21">
        <v>46090</v>
      </c>
      <c r="E13" s="22">
        <v>1583380</v>
      </c>
      <c r="F13" s="22" t="s">
        <v>20</v>
      </c>
      <c r="G13" s="22">
        <v>20324363</v>
      </c>
      <c r="H13" s="22" t="s">
        <v>91</v>
      </c>
      <c r="I13" s="22">
        <v>1</v>
      </c>
      <c r="J13" s="23" t="s">
        <v>22</v>
      </c>
      <c r="K13" s="24">
        <v>1</v>
      </c>
      <c r="L13" s="25">
        <v>6.4</v>
      </c>
      <c r="M13" s="26">
        <v>6.4</v>
      </c>
      <c r="N13" s="26">
        <v>6.4</v>
      </c>
    </row>
    <row r="14" spans="1:14">
      <c r="D14" s="21">
        <v>46090</v>
      </c>
      <c r="E14" s="22">
        <v>1583380</v>
      </c>
      <c r="F14" s="22" t="s">
        <v>20</v>
      </c>
      <c r="G14" s="22">
        <v>20324368</v>
      </c>
      <c r="H14" s="22" t="s">
        <v>195</v>
      </c>
      <c r="I14" s="22">
        <v>1</v>
      </c>
      <c r="J14" s="28" t="s">
        <v>18</v>
      </c>
      <c r="K14" s="24">
        <f t="shared" si="0"/>
        <v>22</v>
      </c>
      <c r="L14" s="25">
        <v>4.4</v>
      </c>
      <c r="M14" s="26">
        <v>96.8</v>
      </c>
      <c r="N14" s="26">
        <v>96.8</v>
      </c>
    </row>
    <row r="15" spans="1:14">
      <c r="D15" s="21">
        <v>46094</v>
      </c>
      <c r="E15" s="22">
        <v>1585558</v>
      </c>
      <c r="F15" s="22" t="s">
        <v>20</v>
      </c>
      <c r="G15" s="22">
        <v>20324364</v>
      </c>
      <c r="H15" s="22" t="s">
        <v>23</v>
      </c>
      <c r="I15" s="22">
        <v>4</v>
      </c>
      <c r="J15" s="23" t="s">
        <v>22</v>
      </c>
      <c r="K15" s="24">
        <v>1</v>
      </c>
      <c r="L15" s="25">
        <v>6.4</v>
      </c>
      <c r="M15" s="26">
        <v>6.4</v>
      </c>
      <c r="N15" s="26">
        <v>25.6</v>
      </c>
    </row>
    <row r="16" spans="1:14">
      <c r="D16" s="21">
        <v>46094</v>
      </c>
      <c r="E16" s="22">
        <v>1585558</v>
      </c>
      <c r="F16" s="22" t="s">
        <v>20</v>
      </c>
      <c r="G16" s="22">
        <v>20324363</v>
      </c>
      <c r="H16" s="22" t="s">
        <v>91</v>
      </c>
      <c r="I16" s="22">
        <v>2</v>
      </c>
      <c r="J16" s="23" t="s">
        <v>22</v>
      </c>
      <c r="K16" s="24">
        <v>1</v>
      </c>
      <c r="L16" s="25">
        <v>6.4</v>
      </c>
      <c r="M16" s="26">
        <v>6.4</v>
      </c>
      <c r="N16" s="26">
        <v>12.8</v>
      </c>
    </row>
    <row r="17" spans="4:14">
      <c r="D17" s="21">
        <v>46094</v>
      </c>
      <c r="E17" s="22">
        <v>1585558</v>
      </c>
      <c r="F17" s="22" t="s">
        <v>20</v>
      </c>
      <c r="G17" s="22">
        <v>20324368</v>
      </c>
      <c r="H17" s="22" t="s">
        <v>196</v>
      </c>
      <c r="I17" s="22">
        <v>1</v>
      </c>
      <c r="J17" s="28" t="s">
        <v>18</v>
      </c>
      <c r="K17" s="24">
        <f t="shared" ref="K17:K21" si="1">M17/L17</f>
        <v>15</v>
      </c>
      <c r="L17" s="25">
        <v>4.4</v>
      </c>
      <c r="M17" s="26">
        <v>66</v>
      </c>
      <c r="N17" s="26">
        <v>66</v>
      </c>
    </row>
    <row r="18" spans="4:14">
      <c r="D18" s="21">
        <v>46097</v>
      </c>
      <c r="E18" s="22">
        <v>1586442</v>
      </c>
      <c r="F18" s="22" t="s">
        <v>20</v>
      </c>
      <c r="G18" s="22">
        <v>20324364</v>
      </c>
      <c r="H18" s="22" t="s">
        <v>23</v>
      </c>
      <c r="I18" s="22">
        <v>2</v>
      </c>
      <c r="J18" s="23" t="s">
        <v>22</v>
      </c>
      <c r="K18" s="24">
        <v>1</v>
      </c>
      <c r="L18" s="25">
        <v>6.4</v>
      </c>
      <c r="M18" s="26">
        <v>6.4</v>
      </c>
      <c r="N18" s="26">
        <v>12.8</v>
      </c>
    </row>
    <row r="19" spans="4:14">
      <c r="D19" s="21">
        <v>46097</v>
      </c>
      <c r="E19" s="22">
        <v>1586442</v>
      </c>
      <c r="F19" s="22" t="s">
        <v>20</v>
      </c>
      <c r="G19" s="22">
        <v>20324368</v>
      </c>
      <c r="H19" s="22" t="s">
        <v>197</v>
      </c>
      <c r="I19" s="22">
        <v>1</v>
      </c>
      <c r="J19" s="28" t="s">
        <v>18</v>
      </c>
      <c r="K19" s="24">
        <f t="shared" si="1"/>
        <v>27</v>
      </c>
      <c r="L19" s="25">
        <v>4.4</v>
      </c>
      <c r="M19" s="26">
        <v>118.8</v>
      </c>
      <c r="N19" s="26">
        <v>118.8</v>
      </c>
    </row>
    <row r="20" spans="4:14">
      <c r="D20" s="21">
        <v>46100</v>
      </c>
      <c r="E20" s="22">
        <v>1587571</v>
      </c>
      <c r="F20" s="22" t="s">
        <v>16</v>
      </c>
      <c r="G20" s="22">
        <v>20359106</v>
      </c>
      <c r="H20" s="22" t="s">
        <v>198</v>
      </c>
      <c r="I20" s="22">
        <v>1</v>
      </c>
      <c r="J20" s="28" t="s">
        <v>18</v>
      </c>
      <c r="K20" s="24">
        <f t="shared" si="1"/>
        <v>13</v>
      </c>
      <c r="L20" s="25">
        <v>4.4</v>
      </c>
      <c r="M20" s="26">
        <v>57.2</v>
      </c>
      <c r="N20" s="26">
        <v>57.2</v>
      </c>
    </row>
    <row r="21" spans="4:14">
      <c r="D21" s="21">
        <v>46100</v>
      </c>
      <c r="E21" s="22">
        <v>1587571</v>
      </c>
      <c r="F21" s="22" t="s">
        <v>20</v>
      </c>
      <c r="G21" s="22">
        <v>20324368</v>
      </c>
      <c r="H21" s="22" t="s">
        <v>194</v>
      </c>
      <c r="I21" s="22">
        <v>1</v>
      </c>
      <c r="J21" s="28" t="s">
        <v>18</v>
      </c>
      <c r="K21" s="24">
        <f t="shared" si="1"/>
        <v>16</v>
      </c>
      <c r="L21" s="25">
        <v>4.4</v>
      </c>
      <c r="M21" s="26">
        <v>70.4</v>
      </c>
      <c r="N21" s="26">
        <v>70.4</v>
      </c>
    </row>
    <row r="22" spans="4:14">
      <c r="D22" s="21">
        <v>46104</v>
      </c>
      <c r="E22" s="22">
        <v>1588475</v>
      </c>
      <c r="F22" s="22" t="s">
        <v>20</v>
      </c>
      <c r="G22" s="22">
        <v>20324364</v>
      </c>
      <c r="H22" s="22" t="s">
        <v>23</v>
      </c>
      <c r="I22" s="22">
        <v>1</v>
      </c>
      <c r="J22" s="23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46104</v>
      </c>
      <c r="E23" s="22">
        <v>1588475</v>
      </c>
      <c r="F23" s="22" t="s">
        <v>20</v>
      </c>
      <c r="G23" s="22">
        <v>20324620</v>
      </c>
      <c r="H23" s="22" t="s">
        <v>199</v>
      </c>
      <c r="I23" s="22">
        <v>1</v>
      </c>
      <c r="J23" s="28" t="s">
        <v>18</v>
      </c>
      <c r="K23" s="24">
        <f t="shared" ref="K23:K27" si="2">M23/L23</f>
        <v>18</v>
      </c>
      <c r="L23" s="25">
        <v>4.4</v>
      </c>
      <c r="M23" s="26">
        <v>79.2</v>
      </c>
      <c r="N23" s="26">
        <v>79.2</v>
      </c>
    </row>
    <row r="24" spans="4:14">
      <c r="D24" s="21">
        <v>46107</v>
      </c>
      <c r="E24" s="22">
        <v>1589532</v>
      </c>
      <c r="F24" s="22" t="s">
        <v>20</v>
      </c>
      <c r="G24" s="22">
        <v>20324368</v>
      </c>
      <c r="H24" s="22" t="s">
        <v>200</v>
      </c>
      <c r="I24" s="22">
        <v>1</v>
      </c>
      <c r="J24" s="28" t="s">
        <v>18</v>
      </c>
      <c r="K24" s="24">
        <f t="shared" si="2"/>
        <v>18</v>
      </c>
      <c r="L24" s="25">
        <v>4.4</v>
      </c>
      <c r="M24" s="26">
        <v>79.2</v>
      </c>
      <c r="N24" s="26">
        <v>79.2</v>
      </c>
    </row>
    <row r="25" spans="4:14">
      <c r="D25" s="21">
        <v>46111</v>
      </c>
      <c r="E25" s="22">
        <v>1590446</v>
      </c>
      <c r="F25" s="22" t="s">
        <v>20</v>
      </c>
      <c r="G25" s="22">
        <v>20324364</v>
      </c>
      <c r="H25" s="22" t="s">
        <v>23</v>
      </c>
      <c r="I25" s="22">
        <v>4</v>
      </c>
      <c r="J25" s="23" t="s">
        <v>22</v>
      </c>
      <c r="K25" s="24">
        <v>1</v>
      </c>
      <c r="L25" s="25">
        <v>6.4</v>
      </c>
      <c r="M25" s="26">
        <v>6.4</v>
      </c>
      <c r="N25" s="26">
        <v>25.6</v>
      </c>
    </row>
    <row r="26" spans="4:14">
      <c r="D26" s="21">
        <v>46111</v>
      </c>
      <c r="E26" s="22">
        <v>1590446</v>
      </c>
      <c r="F26" s="22" t="s">
        <v>20</v>
      </c>
      <c r="G26" s="22">
        <v>20324363</v>
      </c>
      <c r="H26" s="22" t="s">
        <v>91</v>
      </c>
      <c r="I26" s="22">
        <v>2</v>
      </c>
      <c r="J26" s="23" t="s">
        <v>22</v>
      </c>
      <c r="K26" s="24">
        <v>1</v>
      </c>
      <c r="L26" s="25">
        <v>6.4</v>
      </c>
      <c r="M26" s="26">
        <v>6.4</v>
      </c>
      <c r="N26" s="26">
        <v>12.8</v>
      </c>
    </row>
    <row r="27" spans="4:14">
      <c r="D27" s="33">
        <v>46111</v>
      </c>
      <c r="E27" s="34">
        <v>1590446</v>
      </c>
      <c r="F27" s="34" t="s">
        <v>20</v>
      </c>
      <c r="G27" s="34">
        <v>20324620</v>
      </c>
      <c r="H27" s="34" t="s">
        <v>201</v>
      </c>
      <c r="I27" s="34">
        <v>1</v>
      </c>
      <c r="J27" s="28" t="s">
        <v>18</v>
      </c>
      <c r="K27" s="24">
        <f t="shared" si="2"/>
        <v>26</v>
      </c>
      <c r="L27" s="25">
        <v>4.4</v>
      </c>
      <c r="M27" s="26">
        <v>114.4</v>
      </c>
      <c r="N27" s="26">
        <v>114.4</v>
      </c>
    </row>
  </sheetData>
  <autoFilter xmlns:etc="http://www.wps.cn/officeDocument/2017/etCustomData" ref="A7:N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"/>
  <sheetViews>
    <sheetView showGridLines="0" view="pageBreakPreview" zoomScaleNormal="100" workbookViewId="0">
      <pane ySplit="6" topLeftCell="A16" activePane="bottomLeft" state="frozen"/>
      <selection/>
      <selection pane="bottomLeft" activeCell="H22" sqref="H22"/>
    </sheetView>
  </sheetViews>
  <sheetFormatPr defaultColWidth="9" defaultRowHeight="13.5"/>
  <cols>
    <col min="1" max="2" width="0.225" customWidth="1"/>
    <col min="3" max="3" width="0.433333333333333" customWidth="1"/>
    <col min="4" max="4" width="11.625" customWidth="1"/>
    <col min="5" max="5" width="8.93333333333333" customWidth="1"/>
    <col min="6" max="6" width="10.75" customWidth="1"/>
    <col min="7" max="7" width="9.36666666666667" customWidth="1"/>
    <col min="8" max="8" width="27.75" customWidth="1"/>
    <col min="9" max="9" width="10.125" customWidth="1"/>
    <col min="10" max="10" width="19.75" customWidth="1"/>
    <col min="11" max="11" width="18" customWidth="1"/>
    <col min="12" max="12" width="12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202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f>268-1</f>
        <v>267</v>
      </c>
      <c r="J8" s="13"/>
      <c r="K8" s="14"/>
      <c r="L8" s="14"/>
      <c r="M8" s="14"/>
      <c r="N8" s="14">
        <f>15400.8-52.8</f>
        <v>15348</v>
      </c>
    </row>
    <row r="9" spans="1:14">
      <c r="D9" s="15">
        <v>46082</v>
      </c>
      <c r="E9" s="16">
        <v>1581239</v>
      </c>
      <c r="F9" s="16" t="s">
        <v>20</v>
      </c>
      <c r="G9" s="16">
        <v>20324617</v>
      </c>
      <c r="H9" s="16" t="s">
        <v>203</v>
      </c>
      <c r="I9" s="16">
        <v>3</v>
      </c>
      <c r="J9" s="32" t="s">
        <v>28</v>
      </c>
      <c r="K9" s="18">
        <v>1</v>
      </c>
      <c r="L9" s="19">
        <v>17.6</v>
      </c>
      <c r="M9" s="20">
        <v>35.2</v>
      </c>
      <c r="N9" s="20">
        <v>105.6</v>
      </c>
    </row>
    <row r="10" spans="1:14">
      <c r="D10" s="21"/>
      <c r="E10" s="22"/>
      <c r="F10" s="22"/>
      <c r="G10" s="22"/>
      <c r="H10" s="22"/>
      <c r="I10" s="22"/>
      <c r="J10" s="28" t="s">
        <v>28</v>
      </c>
      <c r="K10" s="24">
        <v>1</v>
      </c>
      <c r="L10" s="25">
        <v>17.6</v>
      </c>
      <c r="M10" s="26"/>
      <c r="N10" s="26"/>
    </row>
    <row r="11" spans="1:14">
      <c r="D11" s="21">
        <v>46082</v>
      </c>
      <c r="E11" s="22">
        <v>1581239</v>
      </c>
      <c r="F11" s="22" t="s">
        <v>20</v>
      </c>
      <c r="G11" s="22">
        <v>20324583</v>
      </c>
      <c r="H11" s="22" t="s">
        <v>204</v>
      </c>
      <c r="I11" s="22">
        <v>1</v>
      </c>
      <c r="J11" s="30" t="s">
        <v>205</v>
      </c>
      <c r="K11" s="24">
        <v>1</v>
      </c>
      <c r="L11" s="25">
        <v>28</v>
      </c>
      <c r="M11" s="26">
        <v>28</v>
      </c>
      <c r="N11" s="26">
        <v>28</v>
      </c>
    </row>
    <row r="12" spans="1:14">
      <c r="D12" s="21">
        <v>46083</v>
      </c>
      <c r="E12" s="22">
        <v>1581556</v>
      </c>
      <c r="F12" s="22" t="s">
        <v>16</v>
      </c>
      <c r="G12" s="22">
        <v>20324632</v>
      </c>
      <c r="H12" s="22" t="s">
        <v>206</v>
      </c>
      <c r="I12" s="22">
        <v>8</v>
      </c>
      <c r="J12" s="28" t="s">
        <v>18</v>
      </c>
      <c r="K12" s="24">
        <f>M12/L12</f>
        <v>20</v>
      </c>
      <c r="L12" s="25">
        <v>4.4</v>
      </c>
      <c r="M12" s="26">
        <v>88</v>
      </c>
      <c r="N12" s="26">
        <v>704</v>
      </c>
    </row>
    <row r="13" spans="1:14">
      <c r="D13" s="21">
        <v>46084</v>
      </c>
      <c r="E13" s="22">
        <v>1581625</v>
      </c>
      <c r="F13" s="22" t="s">
        <v>20</v>
      </c>
      <c r="G13" s="22">
        <v>20324617</v>
      </c>
      <c r="H13" s="22" t="s">
        <v>203</v>
      </c>
      <c r="I13" s="22">
        <v>6</v>
      </c>
      <c r="J13" s="28" t="s">
        <v>28</v>
      </c>
      <c r="K13" s="24">
        <v>1</v>
      </c>
      <c r="L13" s="25">
        <v>17.6</v>
      </c>
      <c r="M13" s="26">
        <v>35.2</v>
      </c>
      <c r="N13" s="26">
        <v>211.2</v>
      </c>
    </row>
    <row r="14" spans="1:14">
      <c r="D14" s="21"/>
      <c r="E14" s="22"/>
      <c r="F14" s="22"/>
      <c r="G14" s="22"/>
      <c r="H14" s="22"/>
      <c r="I14" s="22"/>
      <c r="J14" s="28" t="s">
        <v>28</v>
      </c>
      <c r="K14" s="24">
        <v>1</v>
      </c>
      <c r="L14" s="25">
        <v>17.6</v>
      </c>
      <c r="M14" s="26"/>
      <c r="N14" s="26"/>
    </row>
    <row r="15" spans="1:14">
      <c r="D15" s="21">
        <v>46084</v>
      </c>
      <c r="E15" s="22">
        <v>1581625</v>
      </c>
      <c r="F15" s="22" t="s">
        <v>20</v>
      </c>
      <c r="G15" s="22">
        <v>20324583</v>
      </c>
      <c r="H15" s="22" t="s">
        <v>204</v>
      </c>
      <c r="I15" s="22">
        <v>1</v>
      </c>
      <c r="J15" s="30" t="s">
        <v>205</v>
      </c>
      <c r="K15" s="24">
        <v>1</v>
      </c>
      <c r="L15" s="25">
        <v>28</v>
      </c>
      <c r="M15" s="26">
        <v>28</v>
      </c>
      <c r="N15" s="26">
        <v>28</v>
      </c>
    </row>
    <row r="16" spans="1:14">
      <c r="D16" s="21">
        <v>46084</v>
      </c>
      <c r="E16" s="22">
        <v>1581625</v>
      </c>
      <c r="F16" s="22" t="s">
        <v>30</v>
      </c>
      <c r="G16" s="22">
        <v>20356650</v>
      </c>
      <c r="H16" s="22" t="s">
        <v>207</v>
      </c>
      <c r="I16" s="22">
        <v>2</v>
      </c>
      <c r="J16" s="28" t="s">
        <v>28</v>
      </c>
      <c r="K16" s="24">
        <v>1</v>
      </c>
      <c r="L16" s="25">
        <v>17.6</v>
      </c>
      <c r="M16" s="26">
        <v>52.8</v>
      </c>
      <c r="N16" s="26">
        <v>105.6</v>
      </c>
    </row>
    <row r="17" spans="4:14">
      <c r="D17" s="21"/>
      <c r="E17" s="22"/>
      <c r="F17" s="22"/>
      <c r="G17" s="22"/>
      <c r="H17" s="22"/>
      <c r="I17" s="22"/>
      <c r="J17" s="28" t="s">
        <v>28</v>
      </c>
      <c r="K17" s="24">
        <v>1</v>
      </c>
      <c r="L17" s="25">
        <v>17.6</v>
      </c>
      <c r="M17" s="26"/>
      <c r="N17" s="26"/>
    </row>
    <row r="18" spans="4:14">
      <c r="D18" s="21"/>
      <c r="E18" s="22"/>
      <c r="F18" s="22"/>
      <c r="G18" s="22"/>
      <c r="H18" s="22"/>
      <c r="I18" s="22"/>
      <c r="J18" s="28" t="s">
        <v>28</v>
      </c>
      <c r="K18" s="24">
        <v>1</v>
      </c>
      <c r="L18" s="25">
        <v>17.6</v>
      </c>
      <c r="M18" s="26"/>
      <c r="N18" s="26"/>
    </row>
    <row r="19" spans="4:14">
      <c r="D19" s="21">
        <v>46084</v>
      </c>
      <c r="E19" s="22">
        <v>1581863</v>
      </c>
      <c r="F19" s="22" t="s">
        <v>16</v>
      </c>
      <c r="G19" s="22">
        <v>20324632</v>
      </c>
      <c r="H19" s="22" t="s">
        <v>206</v>
      </c>
      <c r="I19" s="22">
        <v>2</v>
      </c>
      <c r="J19" s="28" t="s">
        <v>18</v>
      </c>
      <c r="K19" s="24">
        <f>M19/L19</f>
        <v>20</v>
      </c>
      <c r="L19" s="25">
        <v>4.4</v>
      </c>
      <c r="M19" s="26">
        <v>88</v>
      </c>
      <c r="N19" s="26">
        <v>176</v>
      </c>
    </row>
    <row r="20" spans="4:14">
      <c r="D20" s="21">
        <v>46084</v>
      </c>
      <c r="E20" s="22">
        <v>1581910</v>
      </c>
      <c r="F20" s="22" t="s">
        <v>20</v>
      </c>
      <c r="G20" s="22">
        <v>20324617</v>
      </c>
      <c r="H20" s="22" t="s">
        <v>203</v>
      </c>
      <c r="I20" s="22">
        <v>2</v>
      </c>
      <c r="J20" s="28" t="s">
        <v>28</v>
      </c>
      <c r="K20" s="24">
        <v>1</v>
      </c>
      <c r="L20" s="25">
        <v>17.6</v>
      </c>
      <c r="M20" s="26">
        <v>35.2</v>
      </c>
      <c r="N20" s="26">
        <v>70.4</v>
      </c>
    </row>
    <row r="21" spans="4:14">
      <c r="D21" s="21"/>
      <c r="E21" s="22"/>
      <c r="F21" s="22"/>
      <c r="G21" s="22"/>
      <c r="H21" s="22"/>
      <c r="I21" s="22"/>
      <c r="J21" s="28" t="s">
        <v>28</v>
      </c>
      <c r="K21" s="24">
        <v>1</v>
      </c>
      <c r="L21" s="25">
        <v>17.6</v>
      </c>
      <c r="M21" s="26"/>
      <c r="N21" s="26"/>
    </row>
    <row r="22" spans="4:14">
      <c r="D22" s="21">
        <v>46084</v>
      </c>
      <c r="E22" s="22">
        <v>1581910</v>
      </c>
      <c r="F22" s="22" t="s">
        <v>20</v>
      </c>
      <c r="G22" s="22">
        <v>20324583</v>
      </c>
      <c r="H22" s="22" t="s">
        <v>204</v>
      </c>
      <c r="I22" s="22">
        <v>1</v>
      </c>
      <c r="J22" s="30" t="s">
        <v>205</v>
      </c>
      <c r="K22" s="24">
        <v>1</v>
      </c>
      <c r="L22" s="25">
        <v>28</v>
      </c>
      <c r="M22" s="26">
        <v>28</v>
      </c>
      <c r="N22" s="26">
        <v>28</v>
      </c>
    </row>
    <row r="23" spans="4:14">
      <c r="D23" s="21">
        <v>46085</v>
      </c>
      <c r="E23" s="22">
        <v>1582173</v>
      </c>
      <c r="F23" s="22" t="s">
        <v>16</v>
      </c>
      <c r="G23" s="22">
        <v>20324632</v>
      </c>
      <c r="H23" s="22" t="s">
        <v>206</v>
      </c>
      <c r="I23" s="22">
        <v>5</v>
      </c>
      <c r="J23" s="28" t="s">
        <v>18</v>
      </c>
      <c r="K23" s="24">
        <f>M23/L23</f>
        <v>20</v>
      </c>
      <c r="L23" s="25">
        <v>4.4</v>
      </c>
      <c r="M23" s="26">
        <v>88</v>
      </c>
      <c r="N23" s="26">
        <v>440</v>
      </c>
    </row>
    <row r="24" spans="4:14">
      <c r="D24" s="21">
        <v>46086</v>
      </c>
      <c r="E24" s="22">
        <v>1582244</v>
      </c>
      <c r="F24" s="22" t="s">
        <v>20</v>
      </c>
      <c r="G24" s="22">
        <v>20324617</v>
      </c>
      <c r="H24" s="22" t="s">
        <v>203</v>
      </c>
      <c r="I24" s="22">
        <v>5</v>
      </c>
      <c r="J24" s="28" t="s">
        <v>28</v>
      </c>
      <c r="K24" s="24">
        <v>1</v>
      </c>
      <c r="L24" s="25">
        <v>17.6</v>
      </c>
      <c r="M24" s="26">
        <v>35.2</v>
      </c>
      <c r="N24" s="26">
        <v>176</v>
      </c>
    </row>
    <row r="25" spans="4:14">
      <c r="D25" s="21"/>
      <c r="E25" s="22"/>
      <c r="F25" s="22"/>
      <c r="G25" s="22"/>
      <c r="H25" s="22"/>
      <c r="I25" s="22"/>
      <c r="J25" s="28" t="s">
        <v>28</v>
      </c>
      <c r="K25" s="24">
        <v>1</v>
      </c>
      <c r="L25" s="25">
        <v>17.6</v>
      </c>
      <c r="M25" s="26"/>
      <c r="N25" s="26"/>
    </row>
    <row r="26" spans="4:14">
      <c r="D26" s="21">
        <v>46086</v>
      </c>
      <c r="E26" s="22">
        <v>1582244</v>
      </c>
      <c r="F26" s="22" t="s">
        <v>20</v>
      </c>
      <c r="G26" s="22">
        <v>20324583</v>
      </c>
      <c r="H26" s="22" t="s">
        <v>204</v>
      </c>
      <c r="I26" s="22">
        <v>1</v>
      </c>
      <c r="J26" s="30" t="s">
        <v>205</v>
      </c>
      <c r="K26" s="24">
        <v>1</v>
      </c>
      <c r="L26" s="25">
        <v>28</v>
      </c>
      <c r="M26" s="26">
        <v>28</v>
      </c>
      <c r="N26" s="26">
        <v>28</v>
      </c>
    </row>
    <row r="27" spans="4:14">
      <c r="D27" s="21">
        <v>46087</v>
      </c>
      <c r="E27" s="22">
        <v>1582861</v>
      </c>
      <c r="F27" s="22" t="s">
        <v>16</v>
      </c>
      <c r="G27" s="22">
        <v>20324632</v>
      </c>
      <c r="H27" s="22" t="s">
        <v>206</v>
      </c>
      <c r="I27" s="22">
        <v>8</v>
      </c>
      <c r="J27" s="28" t="s">
        <v>18</v>
      </c>
      <c r="K27" s="24">
        <f>M27/L27</f>
        <v>20</v>
      </c>
      <c r="L27" s="25">
        <v>4.4</v>
      </c>
      <c r="M27" s="26">
        <v>88</v>
      </c>
      <c r="N27" s="26">
        <v>704</v>
      </c>
    </row>
    <row r="28" spans="4:14">
      <c r="D28" s="21">
        <v>46088</v>
      </c>
      <c r="E28" s="22">
        <v>1582967</v>
      </c>
      <c r="F28" s="22" t="s">
        <v>20</v>
      </c>
      <c r="G28" s="22">
        <v>20324617</v>
      </c>
      <c r="H28" s="22" t="s">
        <v>203</v>
      </c>
      <c r="I28" s="22">
        <v>6</v>
      </c>
      <c r="J28" s="28" t="s">
        <v>28</v>
      </c>
      <c r="K28" s="24">
        <v>1</v>
      </c>
      <c r="L28" s="25">
        <v>17.6</v>
      </c>
      <c r="M28" s="26">
        <v>35.2</v>
      </c>
      <c r="N28" s="26">
        <v>211.2</v>
      </c>
    </row>
    <row r="29" spans="4:14">
      <c r="D29" s="21"/>
      <c r="E29" s="22"/>
      <c r="F29" s="22"/>
      <c r="G29" s="22"/>
      <c r="H29" s="22"/>
      <c r="I29" s="22"/>
      <c r="J29" s="28" t="s">
        <v>28</v>
      </c>
      <c r="K29" s="24">
        <v>1</v>
      </c>
      <c r="L29" s="25">
        <v>17.6</v>
      </c>
      <c r="M29" s="26"/>
      <c r="N29" s="26"/>
    </row>
    <row r="30" spans="4:14">
      <c r="D30" s="21">
        <v>46088</v>
      </c>
      <c r="E30" s="22">
        <v>1582967</v>
      </c>
      <c r="F30" s="22" t="s">
        <v>20</v>
      </c>
      <c r="G30" s="22">
        <v>20324583</v>
      </c>
      <c r="H30" s="22" t="s">
        <v>204</v>
      </c>
      <c r="I30" s="22">
        <v>2</v>
      </c>
      <c r="J30" s="30" t="s">
        <v>205</v>
      </c>
      <c r="K30" s="24">
        <v>1</v>
      </c>
      <c r="L30" s="25">
        <v>28</v>
      </c>
      <c r="M30" s="26">
        <v>28</v>
      </c>
      <c r="N30" s="26">
        <v>56</v>
      </c>
    </row>
    <row r="31" spans="4:14">
      <c r="D31" s="21">
        <v>46088</v>
      </c>
      <c r="E31" s="22">
        <v>1582967</v>
      </c>
      <c r="F31" s="22" t="s">
        <v>30</v>
      </c>
      <c r="G31" s="22">
        <v>20356650</v>
      </c>
      <c r="H31" s="22" t="s">
        <v>207</v>
      </c>
      <c r="I31" s="22">
        <v>1</v>
      </c>
      <c r="J31" s="28" t="s">
        <v>28</v>
      </c>
      <c r="K31" s="24">
        <v>1</v>
      </c>
      <c r="L31" s="25">
        <v>17.6</v>
      </c>
      <c r="M31" s="26">
        <v>52.8</v>
      </c>
      <c r="N31" s="26">
        <v>52.8</v>
      </c>
    </row>
    <row r="32" spans="4:14">
      <c r="D32" s="21"/>
      <c r="E32" s="22"/>
      <c r="F32" s="22"/>
      <c r="G32" s="22"/>
      <c r="H32" s="22"/>
      <c r="I32" s="22"/>
      <c r="J32" s="28" t="s">
        <v>28</v>
      </c>
      <c r="K32" s="24">
        <v>1</v>
      </c>
      <c r="L32" s="25">
        <v>17.6</v>
      </c>
      <c r="M32" s="26"/>
      <c r="N32" s="26"/>
    </row>
    <row r="33" spans="4:14">
      <c r="D33" s="21"/>
      <c r="E33" s="22"/>
      <c r="F33" s="22"/>
      <c r="G33" s="22"/>
      <c r="H33" s="22"/>
      <c r="I33" s="22"/>
      <c r="J33" s="28" t="s">
        <v>28</v>
      </c>
      <c r="K33" s="24">
        <v>1</v>
      </c>
      <c r="L33" s="25">
        <v>17.6</v>
      </c>
      <c r="M33" s="26"/>
      <c r="N33" s="26"/>
    </row>
    <row r="34" spans="4:14">
      <c r="D34" s="21">
        <v>46090</v>
      </c>
      <c r="E34" s="22">
        <v>1583381</v>
      </c>
      <c r="F34" s="22" t="s">
        <v>16</v>
      </c>
      <c r="G34" s="22">
        <v>20324632</v>
      </c>
      <c r="H34" s="22" t="s">
        <v>206</v>
      </c>
      <c r="I34" s="22">
        <v>6</v>
      </c>
      <c r="J34" s="28" t="s">
        <v>18</v>
      </c>
      <c r="K34" s="24">
        <f>M34/L34</f>
        <v>20</v>
      </c>
      <c r="L34" s="25">
        <v>4.4</v>
      </c>
      <c r="M34" s="26">
        <v>88</v>
      </c>
      <c r="N34" s="26">
        <v>528</v>
      </c>
    </row>
    <row r="35" spans="4:14">
      <c r="D35" s="21">
        <v>46091</v>
      </c>
      <c r="E35" s="22">
        <v>1583453</v>
      </c>
      <c r="F35" s="22" t="s">
        <v>20</v>
      </c>
      <c r="G35" s="22">
        <v>20324617</v>
      </c>
      <c r="H35" s="22" t="s">
        <v>203</v>
      </c>
      <c r="I35" s="22">
        <v>5</v>
      </c>
      <c r="J35" s="28" t="s">
        <v>28</v>
      </c>
      <c r="K35" s="24">
        <v>1</v>
      </c>
      <c r="L35" s="25">
        <v>17.6</v>
      </c>
      <c r="M35" s="26">
        <v>35.2</v>
      </c>
      <c r="N35" s="26">
        <v>176</v>
      </c>
    </row>
    <row r="36" spans="4:14">
      <c r="D36" s="21"/>
      <c r="E36" s="22"/>
      <c r="F36" s="22"/>
      <c r="G36" s="22"/>
      <c r="H36" s="22"/>
      <c r="I36" s="22"/>
      <c r="J36" s="28" t="s">
        <v>28</v>
      </c>
      <c r="K36" s="24">
        <v>1</v>
      </c>
      <c r="L36" s="25">
        <v>17.6</v>
      </c>
      <c r="M36" s="26"/>
      <c r="N36" s="26"/>
    </row>
    <row r="37" spans="4:14">
      <c r="D37" s="21">
        <v>46091</v>
      </c>
      <c r="E37" s="22">
        <v>1583453</v>
      </c>
      <c r="F37" s="22" t="s">
        <v>20</v>
      </c>
      <c r="G37" s="22">
        <v>20324583</v>
      </c>
      <c r="H37" s="22" t="s">
        <v>204</v>
      </c>
      <c r="I37" s="22">
        <v>1</v>
      </c>
      <c r="J37" s="30" t="s">
        <v>205</v>
      </c>
      <c r="K37" s="24">
        <v>1</v>
      </c>
      <c r="L37" s="25">
        <v>28</v>
      </c>
      <c r="M37" s="26">
        <v>28</v>
      </c>
      <c r="N37" s="26">
        <v>28</v>
      </c>
    </row>
    <row r="38" spans="4:14">
      <c r="D38" s="21">
        <v>46091</v>
      </c>
      <c r="E38" s="22">
        <v>1583453</v>
      </c>
      <c r="F38" s="22" t="s">
        <v>30</v>
      </c>
      <c r="G38" s="22">
        <v>20356650</v>
      </c>
      <c r="H38" s="22" t="s">
        <v>207</v>
      </c>
      <c r="I38" s="22">
        <v>2</v>
      </c>
      <c r="J38" s="28" t="s">
        <v>28</v>
      </c>
      <c r="K38" s="24">
        <v>1</v>
      </c>
      <c r="L38" s="25">
        <v>17.6</v>
      </c>
      <c r="M38" s="26">
        <v>52.8</v>
      </c>
      <c r="N38" s="26">
        <v>105.6</v>
      </c>
    </row>
    <row r="39" spans="4:14">
      <c r="D39" s="21"/>
      <c r="E39" s="22"/>
      <c r="F39" s="22"/>
      <c r="G39" s="22"/>
      <c r="H39" s="22"/>
      <c r="I39" s="22"/>
      <c r="J39" s="28" t="s">
        <v>28</v>
      </c>
      <c r="K39" s="24">
        <v>1</v>
      </c>
      <c r="L39" s="25">
        <v>17.6</v>
      </c>
      <c r="M39" s="26"/>
      <c r="N39" s="26"/>
    </row>
    <row r="40" spans="4:14">
      <c r="D40" s="21"/>
      <c r="E40" s="22"/>
      <c r="F40" s="22"/>
      <c r="G40" s="22"/>
      <c r="H40" s="22"/>
      <c r="I40" s="22"/>
      <c r="J40" s="28" t="s">
        <v>28</v>
      </c>
      <c r="K40" s="24">
        <v>1</v>
      </c>
      <c r="L40" s="25">
        <v>17.6</v>
      </c>
      <c r="M40" s="26"/>
      <c r="N40" s="26"/>
    </row>
    <row r="41" spans="4:14">
      <c r="D41" s="21">
        <v>46092</v>
      </c>
      <c r="E41" s="22">
        <v>1584754</v>
      </c>
      <c r="F41" s="22" t="s">
        <v>20</v>
      </c>
      <c r="G41" s="22">
        <v>20325189</v>
      </c>
      <c r="H41" s="22" t="s">
        <v>208</v>
      </c>
      <c r="I41" s="22">
        <v>1</v>
      </c>
      <c r="J41" s="23" t="s">
        <v>22</v>
      </c>
      <c r="K41" s="24">
        <v>1</v>
      </c>
      <c r="L41" s="25">
        <v>6.4</v>
      </c>
      <c r="M41" s="26">
        <v>6.4</v>
      </c>
      <c r="N41" s="26">
        <v>6.4</v>
      </c>
    </row>
    <row r="42" spans="4:14">
      <c r="D42" s="21">
        <v>46092</v>
      </c>
      <c r="E42" s="22">
        <v>1584754</v>
      </c>
      <c r="F42" s="22" t="s">
        <v>16</v>
      </c>
      <c r="G42" s="22">
        <v>20324632</v>
      </c>
      <c r="H42" s="22" t="s">
        <v>206</v>
      </c>
      <c r="I42" s="22">
        <v>2</v>
      </c>
      <c r="J42" s="28" t="s">
        <v>18</v>
      </c>
      <c r="K42" s="24">
        <f>M42/L42</f>
        <v>20</v>
      </c>
      <c r="L42" s="25">
        <v>4.4</v>
      </c>
      <c r="M42" s="26">
        <v>88</v>
      </c>
      <c r="N42" s="26">
        <v>176</v>
      </c>
    </row>
    <row r="43" spans="4:14">
      <c r="D43" s="21">
        <v>46092</v>
      </c>
      <c r="E43" s="22">
        <v>1584841</v>
      </c>
      <c r="F43" s="22" t="s">
        <v>20</v>
      </c>
      <c r="G43" s="22">
        <v>20324617</v>
      </c>
      <c r="H43" s="22" t="s">
        <v>203</v>
      </c>
      <c r="I43" s="22">
        <v>2</v>
      </c>
      <c r="J43" s="28" t="s">
        <v>28</v>
      </c>
      <c r="K43" s="24">
        <v>1</v>
      </c>
      <c r="L43" s="25">
        <v>17.6</v>
      </c>
      <c r="M43" s="26">
        <v>35.2</v>
      </c>
      <c r="N43" s="26">
        <v>70.4</v>
      </c>
    </row>
    <row r="44" spans="4:14">
      <c r="D44" s="21"/>
      <c r="E44" s="22"/>
      <c r="F44" s="22"/>
      <c r="G44" s="22"/>
      <c r="H44" s="22"/>
      <c r="I44" s="22"/>
      <c r="J44" s="28" t="s">
        <v>28</v>
      </c>
      <c r="K44" s="24">
        <v>1</v>
      </c>
      <c r="L44" s="25">
        <v>17.6</v>
      </c>
      <c r="M44" s="26"/>
      <c r="N44" s="26"/>
    </row>
    <row r="45" spans="4:14">
      <c r="D45" s="21">
        <v>46092</v>
      </c>
      <c r="E45" s="22">
        <v>1584841</v>
      </c>
      <c r="F45" s="22" t="s">
        <v>20</v>
      </c>
      <c r="G45" s="22">
        <v>20324583</v>
      </c>
      <c r="H45" s="22" t="s">
        <v>204</v>
      </c>
      <c r="I45" s="22">
        <v>1</v>
      </c>
      <c r="J45" s="30" t="s">
        <v>205</v>
      </c>
      <c r="K45" s="24">
        <v>1</v>
      </c>
      <c r="L45" s="25">
        <v>28</v>
      </c>
      <c r="M45" s="26">
        <v>28</v>
      </c>
      <c r="N45" s="26">
        <v>28</v>
      </c>
    </row>
    <row r="46" spans="4:14">
      <c r="D46" s="21">
        <v>46092</v>
      </c>
      <c r="E46" s="22">
        <v>1585135</v>
      </c>
      <c r="F46" s="22" t="s">
        <v>20</v>
      </c>
      <c r="G46" s="22">
        <v>20324364</v>
      </c>
      <c r="H46" s="22" t="s">
        <v>23</v>
      </c>
      <c r="I46" s="22">
        <v>1</v>
      </c>
      <c r="J46" s="23" t="s">
        <v>22</v>
      </c>
      <c r="K46" s="24">
        <v>1</v>
      </c>
      <c r="L46" s="25">
        <v>6.4</v>
      </c>
      <c r="M46" s="26">
        <v>6.4</v>
      </c>
      <c r="N46" s="26">
        <v>6.4</v>
      </c>
    </row>
    <row r="47" spans="4:14">
      <c r="D47" s="21">
        <v>46092</v>
      </c>
      <c r="E47" s="22">
        <v>1585135</v>
      </c>
      <c r="F47" s="22" t="s">
        <v>16</v>
      </c>
      <c r="G47" s="22">
        <v>20324632</v>
      </c>
      <c r="H47" s="22" t="s">
        <v>206</v>
      </c>
      <c r="I47" s="22">
        <v>6</v>
      </c>
      <c r="J47" s="28" t="s">
        <v>18</v>
      </c>
      <c r="K47" s="24">
        <f>M47/L47</f>
        <v>20</v>
      </c>
      <c r="L47" s="25">
        <v>4.4</v>
      </c>
      <c r="M47" s="26">
        <v>88</v>
      </c>
      <c r="N47" s="26">
        <v>528</v>
      </c>
    </row>
    <row r="48" spans="4:14">
      <c r="D48" s="21">
        <v>46093</v>
      </c>
      <c r="E48" s="22">
        <v>1585218</v>
      </c>
      <c r="F48" s="22" t="s">
        <v>20</v>
      </c>
      <c r="G48" s="22">
        <v>20324617</v>
      </c>
      <c r="H48" s="22" t="s">
        <v>203</v>
      </c>
      <c r="I48" s="22">
        <v>6</v>
      </c>
      <c r="J48" s="28" t="s">
        <v>28</v>
      </c>
      <c r="K48" s="24">
        <v>1</v>
      </c>
      <c r="L48" s="25">
        <v>17.6</v>
      </c>
      <c r="M48" s="26">
        <v>35.2</v>
      </c>
      <c r="N48" s="26">
        <v>211.2</v>
      </c>
    </row>
    <row r="49" spans="4:14">
      <c r="D49" s="21"/>
      <c r="E49" s="22"/>
      <c r="F49" s="22"/>
      <c r="G49" s="22"/>
      <c r="H49" s="22"/>
      <c r="I49" s="22"/>
      <c r="J49" s="28" t="s">
        <v>28</v>
      </c>
      <c r="K49" s="24">
        <v>1</v>
      </c>
      <c r="L49" s="25">
        <v>17.6</v>
      </c>
      <c r="M49" s="26"/>
      <c r="N49" s="26"/>
    </row>
    <row r="50" spans="4:14">
      <c r="D50" s="21">
        <v>46093</v>
      </c>
      <c r="E50" s="22">
        <v>1585218</v>
      </c>
      <c r="F50" s="22" t="s">
        <v>20</v>
      </c>
      <c r="G50" s="22">
        <v>20324583</v>
      </c>
      <c r="H50" s="22" t="s">
        <v>204</v>
      </c>
      <c r="I50" s="22">
        <v>1</v>
      </c>
      <c r="J50" s="30" t="s">
        <v>205</v>
      </c>
      <c r="K50" s="24">
        <v>1</v>
      </c>
      <c r="L50" s="25">
        <v>28</v>
      </c>
      <c r="M50" s="26">
        <v>28</v>
      </c>
      <c r="N50" s="26">
        <v>28</v>
      </c>
    </row>
    <row r="51" spans="4:14">
      <c r="D51" s="21">
        <v>46093</v>
      </c>
      <c r="E51" s="22">
        <v>1585218</v>
      </c>
      <c r="F51" s="22" t="s">
        <v>20</v>
      </c>
      <c r="G51" s="22">
        <v>20332069</v>
      </c>
      <c r="H51" s="22" t="s">
        <v>209</v>
      </c>
      <c r="I51" s="22">
        <v>1</v>
      </c>
      <c r="J51" s="30" t="s">
        <v>210</v>
      </c>
      <c r="K51" s="24">
        <v>1</v>
      </c>
      <c r="L51" s="25">
        <v>22.4</v>
      </c>
      <c r="M51" s="26">
        <v>22.4</v>
      </c>
      <c r="N51" s="26">
        <v>22.4</v>
      </c>
    </row>
    <row r="52" spans="4:14">
      <c r="D52" s="21">
        <v>46093</v>
      </c>
      <c r="E52" s="22">
        <v>1585218</v>
      </c>
      <c r="F52" s="22" t="s">
        <v>30</v>
      </c>
      <c r="G52" s="22">
        <v>20356650</v>
      </c>
      <c r="H52" s="22" t="s">
        <v>207</v>
      </c>
      <c r="I52" s="22">
        <v>1</v>
      </c>
      <c r="J52" s="28" t="s">
        <v>28</v>
      </c>
      <c r="K52" s="24">
        <v>1</v>
      </c>
      <c r="L52" s="25">
        <v>17.6</v>
      </c>
      <c r="M52" s="26">
        <v>52.8</v>
      </c>
      <c r="N52" s="26">
        <v>52.8</v>
      </c>
    </row>
    <row r="53" spans="4:14">
      <c r="D53" s="21"/>
      <c r="E53" s="22"/>
      <c r="F53" s="22"/>
      <c r="G53" s="22"/>
      <c r="H53" s="22"/>
      <c r="I53" s="22"/>
      <c r="J53" s="28" t="s">
        <v>28</v>
      </c>
      <c r="K53" s="24">
        <v>1</v>
      </c>
      <c r="L53" s="25">
        <v>17.6</v>
      </c>
      <c r="M53" s="26"/>
      <c r="N53" s="26"/>
    </row>
    <row r="54" spans="4:14">
      <c r="D54" s="21"/>
      <c r="E54" s="22"/>
      <c r="F54" s="22"/>
      <c r="G54" s="22"/>
      <c r="H54" s="22"/>
      <c r="I54" s="22"/>
      <c r="J54" s="28" t="s">
        <v>28</v>
      </c>
      <c r="K54" s="24">
        <v>1</v>
      </c>
      <c r="L54" s="25">
        <v>17.6</v>
      </c>
      <c r="M54" s="26"/>
      <c r="N54" s="26"/>
    </row>
    <row r="55" spans="4:14">
      <c r="D55" s="120">
        <v>46094</v>
      </c>
      <c r="E55" s="121">
        <v>1585559</v>
      </c>
      <c r="F55" s="122" t="s">
        <v>16</v>
      </c>
      <c r="G55" s="121">
        <v>20324632</v>
      </c>
      <c r="H55" s="122" t="s">
        <v>211</v>
      </c>
      <c r="I55" s="121">
        <v>5</v>
      </c>
      <c r="J55" s="123" t="s">
        <v>18</v>
      </c>
      <c r="K55" s="124">
        <f>M55/L55</f>
        <v>20</v>
      </c>
      <c r="L55" s="125">
        <v>4.4</v>
      </c>
      <c r="M55" s="126">
        <v>88</v>
      </c>
      <c r="N55" s="126">
        <v>440</v>
      </c>
    </row>
    <row r="56" spans="4:14">
      <c r="D56" s="21">
        <v>46094</v>
      </c>
      <c r="E56" s="22">
        <v>1585636</v>
      </c>
      <c r="F56" s="22" t="s">
        <v>20</v>
      </c>
      <c r="G56" s="22">
        <v>20324617</v>
      </c>
      <c r="H56" s="22" t="s">
        <v>203</v>
      </c>
      <c r="I56" s="22">
        <v>5</v>
      </c>
      <c r="J56" s="28" t="s">
        <v>28</v>
      </c>
      <c r="K56" s="24">
        <v>1</v>
      </c>
      <c r="L56" s="25">
        <v>17.6</v>
      </c>
      <c r="M56" s="26">
        <v>35.2</v>
      </c>
      <c r="N56" s="26">
        <v>176</v>
      </c>
    </row>
    <row r="57" spans="4:14">
      <c r="D57" s="21"/>
      <c r="E57" s="22"/>
      <c r="F57" s="22"/>
      <c r="G57" s="22"/>
      <c r="H57" s="22"/>
      <c r="I57" s="22"/>
      <c r="J57" s="28" t="s">
        <v>28</v>
      </c>
      <c r="K57" s="24">
        <v>1</v>
      </c>
      <c r="L57" s="25">
        <v>17.6</v>
      </c>
      <c r="M57" s="26"/>
      <c r="N57" s="26"/>
    </row>
    <row r="58" spans="4:14">
      <c r="D58" s="21">
        <v>46094</v>
      </c>
      <c r="E58" s="22">
        <v>1585636</v>
      </c>
      <c r="F58" s="22" t="s">
        <v>20</v>
      </c>
      <c r="G58" s="22">
        <v>20324583</v>
      </c>
      <c r="H58" s="22" t="s">
        <v>204</v>
      </c>
      <c r="I58" s="22">
        <v>1</v>
      </c>
      <c r="J58" s="30" t="s">
        <v>205</v>
      </c>
      <c r="K58" s="24">
        <v>1</v>
      </c>
      <c r="L58" s="25">
        <v>28</v>
      </c>
      <c r="M58" s="26">
        <v>28</v>
      </c>
      <c r="N58" s="26">
        <v>28</v>
      </c>
    </row>
    <row r="59" spans="4:14">
      <c r="D59" s="21">
        <v>46095</v>
      </c>
      <c r="E59" s="22">
        <v>1585921</v>
      </c>
      <c r="F59" s="22" t="s">
        <v>16</v>
      </c>
      <c r="G59" s="22">
        <v>20324632</v>
      </c>
      <c r="H59" s="22" t="s">
        <v>206</v>
      </c>
      <c r="I59" s="22">
        <v>5</v>
      </c>
      <c r="J59" s="28" t="s">
        <v>18</v>
      </c>
      <c r="K59" s="24">
        <f>M59/L59</f>
        <v>20</v>
      </c>
      <c r="L59" s="25">
        <v>4.4</v>
      </c>
      <c r="M59" s="26">
        <v>88</v>
      </c>
      <c r="N59" s="26">
        <v>440</v>
      </c>
    </row>
    <row r="60" spans="4:14">
      <c r="D60" s="21">
        <v>46095</v>
      </c>
      <c r="E60" s="22">
        <v>1585921</v>
      </c>
      <c r="F60" s="22" t="s">
        <v>16</v>
      </c>
      <c r="G60" s="22">
        <v>20324734</v>
      </c>
      <c r="H60" s="22" t="s">
        <v>212</v>
      </c>
      <c r="I60" s="22">
        <v>1</v>
      </c>
      <c r="J60" s="28" t="s">
        <v>18</v>
      </c>
      <c r="K60" s="24">
        <f>M60/L60</f>
        <v>6</v>
      </c>
      <c r="L60" s="25">
        <v>4.4</v>
      </c>
      <c r="M60" s="26">
        <v>26.4</v>
      </c>
      <c r="N60" s="26">
        <v>26.4</v>
      </c>
    </row>
    <row r="61" spans="4:14">
      <c r="D61" s="21">
        <v>46095</v>
      </c>
      <c r="E61" s="22">
        <v>1585997</v>
      </c>
      <c r="F61" s="22" t="s">
        <v>20</v>
      </c>
      <c r="G61" s="22">
        <v>20324617</v>
      </c>
      <c r="H61" s="22" t="s">
        <v>203</v>
      </c>
      <c r="I61" s="22">
        <v>5</v>
      </c>
      <c r="J61" s="28" t="s">
        <v>28</v>
      </c>
      <c r="K61" s="24">
        <v>1</v>
      </c>
      <c r="L61" s="25">
        <v>17.6</v>
      </c>
      <c r="M61" s="26">
        <v>35.2</v>
      </c>
      <c r="N61" s="26">
        <v>176</v>
      </c>
    </row>
    <row r="62" spans="4:14">
      <c r="D62" s="21"/>
      <c r="E62" s="22"/>
      <c r="F62" s="22"/>
      <c r="G62" s="22"/>
      <c r="H62" s="22"/>
      <c r="I62" s="22"/>
      <c r="J62" s="28" t="s">
        <v>28</v>
      </c>
      <c r="K62" s="24">
        <v>1</v>
      </c>
      <c r="L62" s="25">
        <v>17.6</v>
      </c>
      <c r="M62" s="26"/>
      <c r="N62" s="26"/>
    </row>
    <row r="63" spans="4:14">
      <c r="D63" s="21">
        <v>46095</v>
      </c>
      <c r="E63" s="22">
        <v>1585997</v>
      </c>
      <c r="F63" s="22" t="s">
        <v>20</v>
      </c>
      <c r="G63" s="22">
        <v>20324583</v>
      </c>
      <c r="H63" s="22" t="s">
        <v>204</v>
      </c>
      <c r="I63" s="22">
        <v>1</v>
      </c>
      <c r="J63" s="30" t="s">
        <v>205</v>
      </c>
      <c r="K63" s="24">
        <v>1</v>
      </c>
      <c r="L63" s="25">
        <v>28</v>
      </c>
      <c r="M63" s="26">
        <v>28</v>
      </c>
      <c r="N63" s="26">
        <v>28</v>
      </c>
    </row>
    <row r="64" spans="4:14">
      <c r="D64" s="21">
        <v>46097</v>
      </c>
      <c r="E64" s="22">
        <v>1586443</v>
      </c>
      <c r="F64" s="22" t="s">
        <v>20</v>
      </c>
      <c r="G64" s="22">
        <v>20324364</v>
      </c>
      <c r="H64" s="22" t="s">
        <v>23</v>
      </c>
      <c r="I64" s="22">
        <v>1</v>
      </c>
      <c r="J64" s="23" t="s">
        <v>22</v>
      </c>
      <c r="K64" s="24">
        <v>1</v>
      </c>
      <c r="L64" s="25">
        <v>6.4</v>
      </c>
      <c r="M64" s="26">
        <v>6.4</v>
      </c>
      <c r="N64" s="26">
        <v>6.4</v>
      </c>
    </row>
    <row r="65" spans="4:14">
      <c r="D65" s="21">
        <v>46097</v>
      </c>
      <c r="E65" s="22">
        <v>1586443</v>
      </c>
      <c r="F65" s="22" t="s">
        <v>20</v>
      </c>
      <c r="G65" s="22">
        <v>20324363</v>
      </c>
      <c r="H65" s="22" t="s">
        <v>91</v>
      </c>
      <c r="I65" s="22">
        <v>1</v>
      </c>
      <c r="J65" s="23" t="s">
        <v>22</v>
      </c>
      <c r="K65" s="24">
        <v>1</v>
      </c>
      <c r="L65" s="25">
        <v>6.4</v>
      </c>
      <c r="M65" s="26">
        <v>6.4</v>
      </c>
      <c r="N65" s="26">
        <v>6.4</v>
      </c>
    </row>
    <row r="66" spans="4:14">
      <c r="D66" s="21">
        <v>46097</v>
      </c>
      <c r="E66" s="22">
        <v>1586443</v>
      </c>
      <c r="F66" s="22" t="s">
        <v>16</v>
      </c>
      <c r="G66" s="22">
        <v>20324632</v>
      </c>
      <c r="H66" s="22" t="s">
        <v>206</v>
      </c>
      <c r="I66" s="22">
        <v>9</v>
      </c>
      <c r="J66" s="28" t="s">
        <v>18</v>
      </c>
      <c r="K66" s="24">
        <f>M66/L66</f>
        <v>20</v>
      </c>
      <c r="L66" s="25">
        <v>4.4</v>
      </c>
      <c r="M66" s="26">
        <v>88</v>
      </c>
      <c r="N66" s="26">
        <v>792</v>
      </c>
    </row>
    <row r="67" spans="4:14">
      <c r="D67" s="21">
        <v>46098</v>
      </c>
      <c r="E67" s="22">
        <v>1586540</v>
      </c>
      <c r="F67" s="22" t="s">
        <v>20</v>
      </c>
      <c r="G67" s="22">
        <v>20324617</v>
      </c>
      <c r="H67" s="22" t="s">
        <v>203</v>
      </c>
      <c r="I67" s="22">
        <v>6</v>
      </c>
      <c r="J67" s="28" t="s">
        <v>28</v>
      </c>
      <c r="K67" s="24">
        <v>1</v>
      </c>
      <c r="L67" s="25">
        <v>17.6</v>
      </c>
      <c r="M67" s="26">
        <v>35.2</v>
      </c>
      <c r="N67" s="26">
        <v>211.2</v>
      </c>
    </row>
    <row r="68" spans="4:14">
      <c r="D68" s="21"/>
      <c r="E68" s="22"/>
      <c r="F68" s="22"/>
      <c r="G68" s="22"/>
      <c r="H68" s="22"/>
      <c r="I68" s="22"/>
      <c r="J68" s="28" t="s">
        <v>28</v>
      </c>
      <c r="K68" s="24">
        <v>1</v>
      </c>
      <c r="L68" s="25">
        <v>17.6</v>
      </c>
      <c r="M68" s="26"/>
      <c r="N68" s="26"/>
    </row>
    <row r="69" spans="4:14">
      <c r="D69" s="21">
        <v>46098</v>
      </c>
      <c r="E69" s="22">
        <v>1586540</v>
      </c>
      <c r="F69" s="22" t="s">
        <v>20</v>
      </c>
      <c r="G69" s="22">
        <v>20324583</v>
      </c>
      <c r="H69" s="22" t="s">
        <v>204</v>
      </c>
      <c r="I69" s="22">
        <v>1</v>
      </c>
      <c r="J69" s="30" t="s">
        <v>205</v>
      </c>
      <c r="K69" s="24">
        <v>1</v>
      </c>
      <c r="L69" s="25">
        <v>28</v>
      </c>
      <c r="M69" s="26">
        <v>28</v>
      </c>
      <c r="N69" s="26">
        <v>28</v>
      </c>
    </row>
    <row r="70" spans="4:14">
      <c r="D70" s="21">
        <v>46098</v>
      </c>
      <c r="E70" s="22">
        <v>1586540</v>
      </c>
      <c r="F70" s="22" t="s">
        <v>30</v>
      </c>
      <c r="G70" s="22">
        <v>20356650</v>
      </c>
      <c r="H70" s="22" t="s">
        <v>207</v>
      </c>
      <c r="I70" s="22">
        <v>1</v>
      </c>
      <c r="J70" s="28" t="s">
        <v>28</v>
      </c>
      <c r="K70" s="24">
        <v>1</v>
      </c>
      <c r="L70" s="25">
        <v>17.6</v>
      </c>
      <c r="M70" s="26">
        <v>52.8</v>
      </c>
      <c r="N70" s="26">
        <v>52.8</v>
      </c>
    </row>
    <row r="71" spans="4:14">
      <c r="D71" s="21"/>
      <c r="E71" s="22"/>
      <c r="F71" s="22"/>
      <c r="G71" s="22"/>
      <c r="H71" s="22"/>
      <c r="I71" s="22"/>
      <c r="J71" s="28" t="s">
        <v>28</v>
      </c>
      <c r="K71" s="24">
        <v>1</v>
      </c>
      <c r="L71" s="25">
        <v>17.6</v>
      </c>
      <c r="M71" s="26"/>
      <c r="N71" s="26"/>
    </row>
    <row r="72" spans="4:14">
      <c r="D72" s="21"/>
      <c r="E72" s="22"/>
      <c r="F72" s="22"/>
      <c r="G72" s="22"/>
      <c r="H72" s="22"/>
      <c r="I72" s="22"/>
      <c r="J72" s="28" t="s">
        <v>28</v>
      </c>
      <c r="K72" s="24">
        <v>1</v>
      </c>
      <c r="L72" s="25">
        <v>17.6</v>
      </c>
      <c r="M72" s="26"/>
      <c r="N72" s="26"/>
    </row>
    <row r="73" spans="4:14">
      <c r="D73" s="21">
        <v>46098</v>
      </c>
      <c r="E73" s="22">
        <v>1586540</v>
      </c>
      <c r="F73" s="22" t="s">
        <v>30</v>
      </c>
      <c r="G73" s="22">
        <v>20356650</v>
      </c>
      <c r="H73" s="22" t="s">
        <v>207</v>
      </c>
      <c r="I73" s="22">
        <v>2</v>
      </c>
      <c r="J73" s="28" t="s">
        <v>28</v>
      </c>
      <c r="K73" s="24">
        <v>1</v>
      </c>
      <c r="L73" s="25">
        <v>17.6</v>
      </c>
      <c r="M73" s="26">
        <v>52.8</v>
      </c>
      <c r="N73" s="26">
        <v>105.6</v>
      </c>
    </row>
    <row r="74" spans="4:14">
      <c r="D74" s="21"/>
      <c r="E74" s="22"/>
      <c r="F74" s="22"/>
      <c r="G74" s="22"/>
      <c r="H74" s="22"/>
      <c r="I74" s="22"/>
      <c r="J74" s="28" t="s">
        <v>28</v>
      </c>
      <c r="K74" s="24">
        <v>1</v>
      </c>
      <c r="L74" s="25">
        <v>17.6</v>
      </c>
      <c r="M74" s="26"/>
      <c r="N74" s="26"/>
    </row>
    <row r="75" spans="4:14">
      <c r="D75" s="21"/>
      <c r="E75" s="22"/>
      <c r="F75" s="22"/>
      <c r="G75" s="22"/>
      <c r="H75" s="22"/>
      <c r="I75" s="22"/>
      <c r="J75" s="28" t="s">
        <v>28</v>
      </c>
      <c r="K75" s="24">
        <v>1</v>
      </c>
      <c r="L75" s="25">
        <v>17.6</v>
      </c>
      <c r="M75" s="26"/>
      <c r="N75" s="26"/>
    </row>
    <row r="76" spans="4:14">
      <c r="D76" s="21">
        <v>46098</v>
      </c>
      <c r="E76" s="22">
        <v>1586874</v>
      </c>
      <c r="F76" s="22" t="s">
        <v>16</v>
      </c>
      <c r="G76" s="22">
        <v>20324632</v>
      </c>
      <c r="H76" s="22" t="s">
        <v>206</v>
      </c>
      <c r="I76" s="22">
        <v>6</v>
      </c>
      <c r="J76" s="28" t="s">
        <v>18</v>
      </c>
      <c r="K76" s="24">
        <f>M76/L76</f>
        <v>20</v>
      </c>
      <c r="L76" s="25">
        <v>4.4</v>
      </c>
      <c r="M76" s="26">
        <v>88</v>
      </c>
      <c r="N76" s="26">
        <v>528</v>
      </c>
    </row>
    <row r="77" spans="4:14">
      <c r="D77" s="21">
        <v>46099</v>
      </c>
      <c r="E77" s="22">
        <v>1586907</v>
      </c>
      <c r="F77" s="22" t="s">
        <v>20</v>
      </c>
      <c r="G77" s="22">
        <v>20324617</v>
      </c>
      <c r="H77" s="22" t="s">
        <v>203</v>
      </c>
      <c r="I77" s="22">
        <v>6</v>
      </c>
      <c r="J77" s="28" t="s">
        <v>28</v>
      </c>
      <c r="K77" s="24">
        <v>1</v>
      </c>
      <c r="L77" s="25">
        <v>17.6</v>
      </c>
      <c r="M77" s="26">
        <v>35.2</v>
      </c>
      <c r="N77" s="26">
        <v>211.2</v>
      </c>
    </row>
    <row r="78" spans="4:14">
      <c r="D78" s="21"/>
      <c r="E78" s="22"/>
      <c r="F78" s="22"/>
      <c r="G78" s="22"/>
      <c r="H78" s="22"/>
      <c r="I78" s="22"/>
      <c r="J78" s="28" t="s">
        <v>28</v>
      </c>
      <c r="K78" s="24">
        <v>1</v>
      </c>
      <c r="L78" s="25">
        <v>17.6</v>
      </c>
      <c r="M78" s="26"/>
      <c r="N78" s="26"/>
    </row>
    <row r="79" spans="4:14">
      <c r="D79" s="21">
        <v>46099</v>
      </c>
      <c r="E79" s="22">
        <v>1586907</v>
      </c>
      <c r="F79" s="22" t="s">
        <v>20</v>
      </c>
      <c r="G79" s="22">
        <v>20324583</v>
      </c>
      <c r="H79" s="22" t="s">
        <v>204</v>
      </c>
      <c r="I79" s="22">
        <v>1</v>
      </c>
      <c r="J79" s="30" t="s">
        <v>205</v>
      </c>
      <c r="K79" s="24">
        <v>1</v>
      </c>
      <c r="L79" s="25">
        <v>28</v>
      </c>
      <c r="M79" s="26">
        <v>28</v>
      </c>
      <c r="N79" s="26">
        <v>28</v>
      </c>
    </row>
    <row r="80" spans="4:14">
      <c r="D80" s="21">
        <v>46099</v>
      </c>
      <c r="E80" s="22">
        <v>1587135</v>
      </c>
      <c r="F80" s="22" t="s">
        <v>16</v>
      </c>
      <c r="G80" s="22">
        <v>20324632</v>
      </c>
      <c r="H80" s="22" t="s">
        <v>206</v>
      </c>
      <c r="I80" s="22">
        <v>4</v>
      </c>
      <c r="J80" s="28" t="s">
        <v>18</v>
      </c>
      <c r="K80" s="24">
        <f>M80/L80</f>
        <v>20</v>
      </c>
      <c r="L80" s="25">
        <v>4.4</v>
      </c>
      <c r="M80" s="26">
        <v>88</v>
      </c>
      <c r="N80" s="26">
        <v>352</v>
      </c>
    </row>
    <row r="81" spans="4:14">
      <c r="D81" s="21">
        <v>46100</v>
      </c>
      <c r="E81" s="22">
        <v>1587266</v>
      </c>
      <c r="F81" s="22" t="s">
        <v>20</v>
      </c>
      <c r="G81" s="22">
        <v>20324617</v>
      </c>
      <c r="H81" s="22" t="s">
        <v>203</v>
      </c>
      <c r="I81" s="22">
        <v>4</v>
      </c>
      <c r="J81" s="28" t="s">
        <v>28</v>
      </c>
      <c r="K81" s="24">
        <v>1</v>
      </c>
      <c r="L81" s="25">
        <v>17.6</v>
      </c>
      <c r="M81" s="26">
        <v>35.2</v>
      </c>
      <c r="N81" s="26">
        <v>140.8</v>
      </c>
    </row>
    <row r="82" spans="4:14">
      <c r="D82" s="21"/>
      <c r="E82" s="22"/>
      <c r="F82" s="22"/>
      <c r="G82" s="22"/>
      <c r="H82" s="22"/>
      <c r="I82" s="22"/>
      <c r="J82" s="28" t="s">
        <v>28</v>
      </c>
      <c r="K82" s="24">
        <v>1</v>
      </c>
      <c r="L82" s="25">
        <v>17.6</v>
      </c>
      <c r="M82" s="26"/>
      <c r="N82" s="26"/>
    </row>
    <row r="83" spans="4:14">
      <c r="D83" s="21">
        <v>46100</v>
      </c>
      <c r="E83" s="22">
        <v>1587266</v>
      </c>
      <c r="F83" s="22" t="s">
        <v>20</v>
      </c>
      <c r="G83" s="22">
        <v>20324583</v>
      </c>
      <c r="H83" s="22" t="s">
        <v>204</v>
      </c>
      <c r="I83" s="22">
        <v>1</v>
      </c>
      <c r="J83" s="30" t="s">
        <v>205</v>
      </c>
      <c r="K83" s="24">
        <v>1</v>
      </c>
      <c r="L83" s="25">
        <v>28</v>
      </c>
      <c r="M83" s="26">
        <v>28</v>
      </c>
      <c r="N83" s="26">
        <v>28</v>
      </c>
    </row>
    <row r="84" spans="4:14">
      <c r="D84" s="21">
        <v>46100</v>
      </c>
      <c r="E84" s="22">
        <v>1587572</v>
      </c>
      <c r="F84" s="22" t="s">
        <v>16</v>
      </c>
      <c r="G84" s="22">
        <v>20324632</v>
      </c>
      <c r="H84" s="22" t="s">
        <v>206</v>
      </c>
      <c r="I84" s="22">
        <v>4</v>
      </c>
      <c r="J84" s="28" t="s">
        <v>18</v>
      </c>
      <c r="K84" s="24">
        <f>M84/L84</f>
        <v>20</v>
      </c>
      <c r="L84" s="25">
        <v>4.4</v>
      </c>
      <c r="M84" s="26">
        <v>88</v>
      </c>
      <c r="N84" s="26">
        <v>352</v>
      </c>
    </row>
    <row r="85" spans="4:14">
      <c r="D85" s="21">
        <v>46101</v>
      </c>
      <c r="E85" s="22">
        <v>1587659</v>
      </c>
      <c r="F85" s="22" t="s">
        <v>20</v>
      </c>
      <c r="G85" s="22">
        <v>20324617</v>
      </c>
      <c r="H85" s="22" t="s">
        <v>203</v>
      </c>
      <c r="I85" s="22">
        <v>4</v>
      </c>
      <c r="J85" s="28" t="s">
        <v>28</v>
      </c>
      <c r="K85" s="24">
        <v>1</v>
      </c>
      <c r="L85" s="25">
        <v>17.6</v>
      </c>
      <c r="M85" s="26">
        <v>35.2</v>
      </c>
      <c r="N85" s="26">
        <v>140.8</v>
      </c>
    </row>
    <row r="86" spans="4:14">
      <c r="D86" s="21"/>
      <c r="E86" s="22"/>
      <c r="F86" s="22"/>
      <c r="G86" s="22"/>
      <c r="H86" s="22"/>
      <c r="I86" s="22"/>
      <c r="J86" s="28" t="s">
        <v>28</v>
      </c>
      <c r="K86" s="24">
        <v>1</v>
      </c>
      <c r="L86" s="25">
        <v>17.6</v>
      </c>
      <c r="M86" s="26"/>
      <c r="N86" s="26"/>
    </row>
    <row r="87" spans="4:14">
      <c r="D87" s="21">
        <v>46101</v>
      </c>
      <c r="E87" s="22">
        <v>1587659</v>
      </c>
      <c r="F87" s="22" t="s">
        <v>20</v>
      </c>
      <c r="G87" s="22">
        <v>20324583</v>
      </c>
      <c r="H87" s="22" t="s">
        <v>204</v>
      </c>
      <c r="I87" s="22">
        <v>1</v>
      </c>
      <c r="J87" s="30" t="s">
        <v>205</v>
      </c>
      <c r="K87" s="24">
        <v>1</v>
      </c>
      <c r="L87" s="25">
        <v>28</v>
      </c>
      <c r="M87" s="26">
        <v>28</v>
      </c>
      <c r="N87" s="26">
        <v>28</v>
      </c>
    </row>
    <row r="88" spans="4:14">
      <c r="D88" s="21">
        <v>46101</v>
      </c>
      <c r="E88" s="22">
        <v>1587930</v>
      </c>
      <c r="F88" s="22" t="s">
        <v>16</v>
      </c>
      <c r="G88" s="22">
        <v>20324632</v>
      </c>
      <c r="H88" s="22" t="s">
        <v>206</v>
      </c>
      <c r="I88" s="22">
        <v>7</v>
      </c>
      <c r="J88" s="28" t="s">
        <v>18</v>
      </c>
      <c r="K88" s="24">
        <f>M88/L88</f>
        <v>20</v>
      </c>
      <c r="L88" s="25">
        <v>4.4</v>
      </c>
      <c r="M88" s="26">
        <v>88</v>
      </c>
      <c r="N88" s="26">
        <v>616</v>
      </c>
    </row>
    <row r="89" spans="4:14">
      <c r="D89" s="21">
        <v>46102</v>
      </c>
      <c r="E89" s="22">
        <v>1588008</v>
      </c>
      <c r="F89" s="22" t="s">
        <v>20</v>
      </c>
      <c r="G89" s="22">
        <v>20324617</v>
      </c>
      <c r="H89" s="22" t="s">
        <v>203</v>
      </c>
      <c r="I89" s="22">
        <v>6</v>
      </c>
      <c r="J89" s="28" t="s">
        <v>28</v>
      </c>
      <c r="K89" s="24">
        <v>1</v>
      </c>
      <c r="L89" s="25">
        <v>17.6</v>
      </c>
      <c r="M89" s="26">
        <v>35.2</v>
      </c>
      <c r="N89" s="26">
        <v>211.2</v>
      </c>
    </row>
    <row r="90" spans="4:14">
      <c r="D90" s="21"/>
      <c r="E90" s="22"/>
      <c r="F90" s="22"/>
      <c r="G90" s="22"/>
      <c r="H90" s="22"/>
      <c r="I90" s="22"/>
      <c r="J90" s="28" t="s">
        <v>28</v>
      </c>
      <c r="K90" s="24">
        <v>1</v>
      </c>
      <c r="L90" s="25">
        <v>17.6</v>
      </c>
      <c r="M90" s="26"/>
      <c r="N90" s="26"/>
    </row>
    <row r="91" spans="4:14">
      <c r="D91" s="21">
        <v>46102</v>
      </c>
      <c r="E91" s="22">
        <v>1588008</v>
      </c>
      <c r="F91" s="22" t="s">
        <v>20</v>
      </c>
      <c r="G91" s="22">
        <v>20324583</v>
      </c>
      <c r="H91" s="22" t="s">
        <v>204</v>
      </c>
      <c r="I91" s="22">
        <v>2</v>
      </c>
      <c r="J91" s="30" t="s">
        <v>205</v>
      </c>
      <c r="K91" s="24">
        <v>1</v>
      </c>
      <c r="L91" s="25">
        <v>28</v>
      </c>
      <c r="M91" s="26">
        <v>28</v>
      </c>
      <c r="N91" s="26">
        <v>56</v>
      </c>
    </row>
    <row r="92" spans="4:14">
      <c r="D92" s="21">
        <v>46102</v>
      </c>
      <c r="E92" s="22">
        <v>1588008</v>
      </c>
      <c r="F92" s="22" t="s">
        <v>30</v>
      </c>
      <c r="G92" s="22">
        <v>20356650</v>
      </c>
      <c r="H92" s="22" t="s">
        <v>207</v>
      </c>
      <c r="I92" s="22">
        <v>1</v>
      </c>
      <c r="J92" s="28" t="s">
        <v>28</v>
      </c>
      <c r="K92" s="24">
        <v>1</v>
      </c>
      <c r="L92" s="25">
        <v>17.6</v>
      </c>
      <c r="M92" s="26">
        <v>52.8</v>
      </c>
      <c r="N92" s="26">
        <v>52.8</v>
      </c>
    </row>
    <row r="93" spans="4:14">
      <c r="D93" s="21"/>
      <c r="E93" s="22"/>
      <c r="F93" s="22"/>
      <c r="G93" s="22"/>
      <c r="H93" s="22"/>
      <c r="I93" s="22"/>
      <c r="J93" s="28" t="s">
        <v>28</v>
      </c>
      <c r="K93" s="24">
        <v>1</v>
      </c>
      <c r="L93" s="25">
        <v>17.6</v>
      </c>
      <c r="M93" s="26"/>
      <c r="N93" s="26"/>
    </row>
    <row r="94" spans="4:14">
      <c r="D94" s="21"/>
      <c r="E94" s="22"/>
      <c r="F94" s="22"/>
      <c r="G94" s="22"/>
      <c r="H94" s="22"/>
      <c r="I94" s="22"/>
      <c r="J94" s="28" t="s">
        <v>28</v>
      </c>
      <c r="K94" s="24">
        <v>1</v>
      </c>
      <c r="L94" s="25">
        <v>17.6</v>
      </c>
      <c r="M94" s="26"/>
      <c r="N94" s="26"/>
    </row>
    <row r="95" spans="4:14">
      <c r="D95" s="21">
        <v>46104</v>
      </c>
      <c r="E95" s="22">
        <v>1588476</v>
      </c>
      <c r="F95" s="22" t="s">
        <v>16</v>
      </c>
      <c r="G95" s="22">
        <v>20324632</v>
      </c>
      <c r="H95" s="22" t="s">
        <v>206</v>
      </c>
      <c r="I95" s="22">
        <v>5</v>
      </c>
      <c r="J95" s="28" t="s">
        <v>18</v>
      </c>
      <c r="K95" s="24">
        <f>M95/L95</f>
        <v>20</v>
      </c>
      <c r="L95" s="25">
        <v>4.4</v>
      </c>
      <c r="M95" s="26">
        <v>88</v>
      </c>
      <c r="N95" s="26">
        <v>440</v>
      </c>
    </row>
    <row r="96" spans="4:14">
      <c r="D96" s="21">
        <v>46105</v>
      </c>
      <c r="E96" s="22">
        <v>1588549</v>
      </c>
      <c r="F96" s="22" t="s">
        <v>20</v>
      </c>
      <c r="G96" s="22">
        <v>20324617</v>
      </c>
      <c r="H96" s="22" t="s">
        <v>203</v>
      </c>
      <c r="I96" s="22">
        <v>5</v>
      </c>
      <c r="J96" s="28" t="s">
        <v>28</v>
      </c>
      <c r="K96" s="24">
        <v>1</v>
      </c>
      <c r="L96" s="25">
        <v>17.6</v>
      </c>
      <c r="M96" s="26">
        <v>35.2</v>
      </c>
      <c r="N96" s="26">
        <v>176</v>
      </c>
    </row>
    <row r="97" spans="4:14">
      <c r="D97" s="21"/>
      <c r="E97" s="22"/>
      <c r="F97" s="22"/>
      <c r="G97" s="22"/>
      <c r="H97" s="22"/>
      <c r="I97" s="22"/>
      <c r="J97" s="28" t="s">
        <v>28</v>
      </c>
      <c r="K97" s="24">
        <v>1</v>
      </c>
      <c r="L97" s="25">
        <v>17.6</v>
      </c>
      <c r="M97" s="26"/>
      <c r="N97" s="26"/>
    </row>
    <row r="98" spans="4:14">
      <c r="D98" s="21">
        <v>46105</v>
      </c>
      <c r="E98" s="22">
        <v>1588549</v>
      </c>
      <c r="F98" s="22" t="s">
        <v>20</v>
      </c>
      <c r="G98" s="22">
        <v>20324583</v>
      </c>
      <c r="H98" s="22" t="s">
        <v>204</v>
      </c>
      <c r="I98" s="22">
        <v>1</v>
      </c>
      <c r="J98" s="30" t="s">
        <v>205</v>
      </c>
      <c r="K98" s="24">
        <v>1</v>
      </c>
      <c r="L98" s="25">
        <v>28</v>
      </c>
      <c r="M98" s="26">
        <v>28</v>
      </c>
      <c r="N98" s="26">
        <v>28</v>
      </c>
    </row>
    <row r="99" spans="4:14">
      <c r="D99" s="21">
        <v>46106</v>
      </c>
      <c r="E99" s="22">
        <v>1588792</v>
      </c>
      <c r="F99" s="22" t="s">
        <v>16</v>
      </c>
      <c r="G99" s="22">
        <v>20324632</v>
      </c>
      <c r="H99" s="22" t="s">
        <v>206</v>
      </c>
      <c r="I99" s="22">
        <v>6</v>
      </c>
      <c r="J99" s="28" t="s">
        <v>18</v>
      </c>
      <c r="K99" s="24">
        <f>M99/L99</f>
        <v>20</v>
      </c>
      <c r="L99" s="25">
        <v>4.4</v>
      </c>
      <c r="M99" s="26">
        <v>88</v>
      </c>
      <c r="N99" s="26">
        <v>528</v>
      </c>
    </row>
    <row r="100" spans="4:14">
      <c r="D100" s="21">
        <v>46106</v>
      </c>
      <c r="E100" s="22">
        <v>1588891</v>
      </c>
      <c r="F100" s="22" t="s">
        <v>20</v>
      </c>
      <c r="G100" s="22">
        <v>20324617</v>
      </c>
      <c r="H100" s="22" t="s">
        <v>203</v>
      </c>
      <c r="I100" s="22">
        <v>4</v>
      </c>
      <c r="J100" s="28" t="s">
        <v>28</v>
      </c>
      <c r="K100" s="24">
        <v>1</v>
      </c>
      <c r="L100" s="25">
        <v>17.6</v>
      </c>
      <c r="M100" s="26">
        <v>35.2</v>
      </c>
      <c r="N100" s="26">
        <v>140.8</v>
      </c>
    </row>
    <row r="101" spans="4:14">
      <c r="D101" s="21"/>
      <c r="E101" s="22"/>
      <c r="F101" s="22"/>
      <c r="G101" s="22"/>
      <c r="H101" s="22"/>
      <c r="I101" s="22"/>
      <c r="J101" s="28" t="s">
        <v>28</v>
      </c>
      <c r="K101" s="24">
        <v>1</v>
      </c>
      <c r="L101" s="25">
        <v>17.6</v>
      </c>
      <c r="M101" s="26"/>
      <c r="N101" s="26"/>
    </row>
    <row r="102" spans="4:14">
      <c r="D102" s="21">
        <v>46106</v>
      </c>
      <c r="E102" s="22">
        <v>1588891</v>
      </c>
      <c r="F102" s="22" t="s">
        <v>20</v>
      </c>
      <c r="G102" s="22">
        <v>20324583</v>
      </c>
      <c r="H102" s="22" t="s">
        <v>204</v>
      </c>
      <c r="I102" s="22">
        <v>1</v>
      </c>
      <c r="J102" s="30" t="s">
        <v>205</v>
      </c>
      <c r="K102" s="24">
        <v>1</v>
      </c>
      <c r="L102" s="25">
        <v>28</v>
      </c>
      <c r="M102" s="26">
        <v>28</v>
      </c>
      <c r="N102" s="26">
        <v>28</v>
      </c>
    </row>
    <row r="103" spans="4:14">
      <c r="D103" s="21">
        <v>46106</v>
      </c>
      <c r="E103" s="22">
        <v>1588891</v>
      </c>
      <c r="F103" s="22" t="s">
        <v>30</v>
      </c>
      <c r="G103" s="22">
        <v>20356650</v>
      </c>
      <c r="H103" s="22" t="s">
        <v>207</v>
      </c>
      <c r="I103" s="22">
        <v>1</v>
      </c>
      <c r="J103" s="28" t="s">
        <v>28</v>
      </c>
      <c r="K103" s="24">
        <v>1</v>
      </c>
      <c r="L103" s="25">
        <v>17.6</v>
      </c>
      <c r="M103" s="26">
        <v>52.8</v>
      </c>
      <c r="N103" s="26">
        <v>52.8</v>
      </c>
    </row>
    <row r="104" spans="4:14">
      <c r="D104" s="21"/>
      <c r="E104" s="22"/>
      <c r="F104" s="22"/>
      <c r="G104" s="22"/>
      <c r="H104" s="22"/>
      <c r="I104" s="22"/>
      <c r="J104" s="28" t="s">
        <v>28</v>
      </c>
      <c r="K104" s="24">
        <v>1</v>
      </c>
      <c r="L104" s="25">
        <v>17.6</v>
      </c>
      <c r="M104" s="26"/>
      <c r="N104" s="26"/>
    </row>
    <row r="105" spans="4:14">
      <c r="D105" s="21"/>
      <c r="E105" s="22"/>
      <c r="F105" s="22"/>
      <c r="G105" s="22"/>
      <c r="H105" s="22"/>
      <c r="I105" s="22"/>
      <c r="J105" s="28" t="s">
        <v>28</v>
      </c>
      <c r="K105" s="24">
        <v>1</v>
      </c>
      <c r="L105" s="25">
        <v>17.6</v>
      </c>
      <c r="M105" s="26"/>
      <c r="N105" s="26"/>
    </row>
    <row r="106" spans="4:14">
      <c r="D106" s="21">
        <v>46106</v>
      </c>
      <c r="E106" s="22">
        <v>1589143</v>
      </c>
      <c r="F106" s="22" t="s">
        <v>16</v>
      </c>
      <c r="G106" s="22">
        <v>20324632</v>
      </c>
      <c r="H106" s="22" t="s">
        <v>206</v>
      </c>
      <c r="I106" s="22">
        <v>3</v>
      </c>
      <c r="J106" s="28" t="s">
        <v>18</v>
      </c>
      <c r="K106" s="24">
        <f>M106/L106</f>
        <v>20</v>
      </c>
      <c r="L106" s="25">
        <v>4.4</v>
      </c>
      <c r="M106" s="26">
        <v>88</v>
      </c>
      <c r="N106" s="26">
        <v>264</v>
      </c>
    </row>
    <row r="107" spans="4:14">
      <c r="D107" s="21">
        <v>46107</v>
      </c>
      <c r="E107" s="22">
        <v>1589236</v>
      </c>
      <c r="F107" s="22" t="s">
        <v>20</v>
      </c>
      <c r="G107" s="22">
        <v>20324617</v>
      </c>
      <c r="H107" s="22" t="s">
        <v>203</v>
      </c>
      <c r="I107" s="22">
        <v>3</v>
      </c>
      <c r="J107" s="28" t="s">
        <v>28</v>
      </c>
      <c r="K107" s="24">
        <v>1</v>
      </c>
      <c r="L107" s="25">
        <v>17.6</v>
      </c>
      <c r="M107" s="26">
        <v>35.2</v>
      </c>
      <c r="N107" s="26">
        <v>105.6</v>
      </c>
    </row>
    <row r="108" spans="4:14">
      <c r="D108" s="21"/>
      <c r="E108" s="22"/>
      <c r="F108" s="22"/>
      <c r="G108" s="22"/>
      <c r="H108" s="22"/>
      <c r="I108" s="22"/>
      <c r="J108" s="28" t="s">
        <v>28</v>
      </c>
      <c r="K108" s="24">
        <v>1</v>
      </c>
      <c r="L108" s="25">
        <v>17.6</v>
      </c>
      <c r="M108" s="26"/>
      <c r="N108" s="26"/>
    </row>
    <row r="109" spans="4:14">
      <c r="D109" s="21">
        <v>46107</v>
      </c>
      <c r="E109" s="22">
        <v>1589236</v>
      </c>
      <c r="F109" s="22" t="s">
        <v>20</v>
      </c>
      <c r="G109" s="22">
        <v>20324583</v>
      </c>
      <c r="H109" s="22" t="s">
        <v>204</v>
      </c>
      <c r="I109" s="22">
        <v>1</v>
      </c>
      <c r="J109" s="30" t="s">
        <v>205</v>
      </c>
      <c r="K109" s="24">
        <v>1</v>
      </c>
      <c r="L109" s="25">
        <v>28</v>
      </c>
      <c r="M109" s="26">
        <v>28</v>
      </c>
      <c r="N109" s="26">
        <v>28</v>
      </c>
    </row>
    <row r="110" spans="4:14">
      <c r="D110" s="21">
        <v>46107</v>
      </c>
      <c r="E110" s="22">
        <v>1589533</v>
      </c>
      <c r="F110" s="22" t="s">
        <v>16</v>
      </c>
      <c r="G110" s="22">
        <v>20324632</v>
      </c>
      <c r="H110" s="22" t="s">
        <v>206</v>
      </c>
      <c r="I110" s="22">
        <v>4</v>
      </c>
      <c r="J110" s="28" t="s">
        <v>18</v>
      </c>
      <c r="K110" s="24">
        <f>M110/L110</f>
        <v>20</v>
      </c>
      <c r="L110" s="25">
        <v>4.4</v>
      </c>
      <c r="M110" s="26">
        <v>88</v>
      </c>
      <c r="N110" s="26">
        <v>352</v>
      </c>
    </row>
    <row r="111" spans="4:14">
      <c r="D111" s="21">
        <v>46108</v>
      </c>
      <c r="E111" s="22">
        <v>1589635</v>
      </c>
      <c r="F111" s="22" t="s">
        <v>20</v>
      </c>
      <c r="G111" s="22">
        <v>20324617</v>
      </c>
      <c r="H111" s="22" t="s">
        <v>203</v>
      </c>
      <c r="I111" s="22">
        <v>4</v>
      </c>
      <c r="J111" s="28" t="s">
        <v>28</v>
      </c>
      <c r="K111" s="24">
        <v>1</v>
      </c>
      <c r="L111" s="25">
        <v>17.6</v>
      </c>
      <c r="M111" s="26">
        <v>35.2</v>
      </c>
      <c r="N111" s="26">
        <v>140.8</v>
      </c>
    </row>
    <row r="112" spans="4:14">
      <c r="D112" s="21"/>
      <c r="E112" s="22"/>
      <c r="F112" s="22"/>
      <c r="G112" s="22"/>
      <c r="H112" s="22"/>
      <c r="I112" s="22"/>
      <c r="J112" s="28" t="s">
        <v>28</v>
      </c>
      <c r="K112" s="24">
        <v>1</v>
      </c>
      <c r="L112" s="25">
        <v>17.6</v>
      </c>
      <c r="M112" s="26"/>
      <c r="N112" s="26"/>
    </row>
    <row r="113" spans="4:14">
      <c r="D113" s="21">
        <v>46108</v>
      </c>
      <c r="E113" s="22">
        <v>1589635</v>
      </c>
      <c r="F113" s="22" t="s">
        <v>20</v>
      </c>
      <c r="G113" s="22">
        <v>20324583</v>
      </c>
      <c r="H113" s="22" t="s">
        <v>204</v>
      </c>
      <c r="I113" s="22">
        <v>1</v>
      </c>
      <c r="J113" s="30" t="s">
        <v>205</v>
      </c>
      <c r="K113" s="24">
        <v>1</v>
      </c>
      <c r="L113" s="25">
        <v>28</v>
      </c>
      <c r="M113" s="26">
        <v>28</v>
      </c>
      <c r="N113" s="26">
        <v>28</v>
      </c>
    </row>
    <row r="114" spans="4:14">
      <c r="D114" s="21">
        <v>46108</v>
      </c>
      <c r="E114" s="22">
        <v>1589948</v>
      </c>
      <c r="F114" s="22" t="s">
        <v>20</v>
      </c>
      <c r="G114" s="22">
        <v>20324364</v>
      </c>
      <c r="H114" s="22" t="s">
        <v>23</v>
      </c>
      <c r="I114" s="22">
        <v>1</v>
      </c>
      <c r="J114" s="23" t="s">
        <v>22</v>
      </c>
      <c r="K114" s="24">
        <v>1</v>
      </c>
      <c r="L114" s="25">
        <v>6.4</v>
      </c>
      <c r="M114" s="26">
        <v>6.4</v>
      </c>
      <c r="N114" s="26">
        <v>6.4</v>
      </c>
    </row>
    <row r="115" spans="4:14">
      <c r="D115" s="21">
        <v>46108</v>
      </c>
      <c r="E115" s="22">
        <v>1589948</v>
      </c>
      <c r="F115" s="22" t="s">
        <v>20</v>
      </c>
      <c r="G115" s="22">
        <v>20324367</v>
      </c>
      <c r="H115" s="22" t="s">
        <v>146</v>
      </c>
      <c r="I115" s="22">
        <v>1</v>
      </c>
      <c r="J115" s="23" t="s">
        <v>22</v>
      </c>
      <c r="K115" s="24">
        <v>1</v>
      </c>
      <c r="L115" s="25">
        <v>6.4</v>
      </c>
      <c r="M115" s="26">
        <v>6.4</v>
      </c>
      <c r="N115" s="26">
        <v>6.4</v>
      </c>
    </row>
    <row r="116" spans="4:14">
      <c r="D116" s="21">
        <v>46108</v>
      </c>
      <c r="E116" s="22">
        <v>1589948</v>
      </c>
      <c r="F116" s="22" t="s">
        <v>16</v>
      </c>
      <c r="G116" s="22">
        <v>20324632</v>
      </c>
      <c r="H116" s="22" t="s">
        <v>206</v>
      </c>
      <c r="I116" s="22">
        <v>10</v>
      </c>
      <c r="J116" s="28" t="s">
        <v>18</v>
      </c>
      <c r="K116" s="24">
        <f>M116/L116</f>
        <v>20</v>
      </c>
      <c r="L116" s="25">
        <v>4.4</v>
      </c>
      <c r="M116" s="26">
        <v>88</v>
      </c>
      <c r="N116" s="26">
        <v>880</v>
      </c>
    </row>
    <row r="117" spans="4:14">
      <c r="D117" s="21">
        <v>46109</v>
      </c>
      <c r="E117" s="22">
        <v>1590046</v>
      </c>
      <c r="F117" s="22" t="s">
        <v>20</v>
      </c>
      <c r="G117" s="22">
        <v>20324617</v>
      </c>
      <c r="H117" s="22" t="s">
        <v>203</v>
      </c>
      <c r="I117" s="22">
        <v>6</v>
      </c>
      <c r="J117" s="28" t="s">
        <v>28</v>
      </c>
      <c r="K117" s="24">
        <v>1</v>
      </c>
      <c r="L117" s="25">
        <v>17.6</v>
      </c>
      <c r="M117" s="26">
        <v>35.2</v>
      </c>
      <c r="N117" s="26">
        <v>211.2</v>
      </c>
    </row>
    <row r="118" spans="4:14">
      <c r="D118" s="21"/>
      <c r="E118" s="22"/>
      <c r="F118" s="22"/>
      <c r="G118" s="22"/>
      <c r="H118" s="22"/>
      <c r="I118" s="22"/>
      <c r="J118" s="28" t="s">
        <v>28</v>
      </c>
      <c r="K118" s="24">
        <v>1</v>
      </c>
      <c r="L118" s="25">
        <v>17.6</v>
      </c>
      <c r="M118" s="26"/>
      <c r="N118" s="26"/>
    </row>
    <row r="119" spans="4:14">
      <c r="D119" s="21">
        <v>46109</v>
      </c>
      <c r="E119" s="22">
        <v>1590046</v>
      </c>
      <c r="F119" s="22" t="s">
        <v>20</v>
      </c>
      <c r="G119" s="22">
        <v>20324583</v>
      </c>
      <c r="H119" s="22" t="s">
        <v>204</v>
      </c>
      <c r="I119" s="22">
        <v>1</v>
      </c>
      <c r="J119" s="30" t="s">
        <v>205</v>
      </c>
      <c r="K119" s="24">
        <v>1</v>
      </c>
      <c r="L119" s="25">
        <v>28</v>
      </c>
      <c r="M119" s="26">
        <v>28</v>
      </c>
      <c r="N119" s="26">
        <v>28</v>
      </c>
    </row>
    <row r="120" spans="4:14">
      <c r="D120" s="21">
        <v>46109</v>
      </c>
      <c r="E120" s="22">
        <v>1590046</v>
      </c>
      <c r="F120" s="22" t="s">
        <v>30</v>
      </c>
      <c r="G120" s="22">
        <v>20356650</v>
      </c>
      <c r="H120" s="22" t="s">
        <v>207</v>
      </c>
      <c r="I120" s="22">
        <v>2</v>
      </c>
      <c r="J120" s="28" t="s">
        <v>28</v>
      </c>
      <c r="K120" s="24">
        <v>1</v>
      </c>
      <c r="L120" s="25">
        <v>17.6</v>
      </c>
      <c r="M120" s="26">
        <v>52.8</v>
      </c>
      <c r="N120" s="26">
        <v>105.6</v>
      </c>
    </row>
    <row r="121" spans="4:14">
      <c r="D121" s="21"/>
      <c r="E121" s="22"/>
      <c r="F121" s="22"/>
      <c r="G121" s="22"/>
      <c r="H121" s="22"/>
      <c r="I121" s="22"/>
      <c r="J121" s="28" t="s">
        <v>28</v>
      </c>
      <c r="K121" s="24">
        <v>1</v>
      </c>
      <c r="L121" s="25">
        <v>17.6</v>
      </c>
      <c r="M121" s="26"/>
      <c r="N121" s="26"/>
    </row>
    <row r="122" spans="4:14">
      <c r="D122" s="21"/>
      <c r="E122" s="22"/>
      <c r="F122" s="22"/>
      <c r="G122" s="22"/>
      <c r="H122" s="22"/>
      <c r="I122" s="22"/>
      <c r="J122" s="28" t="s">
        <v>28</v>
      </c>
      <c r="K122" s="24">
        <v>1</v>
      </c>
      <c r="L122" s="25">
        <v>17.6</v>
      </c>
      <c r="M122" s="26"/>
      <c r="N122" s="26"/>
    </row>
    <row r="123" spans="4:14">
      <c r="D123" s="21">
        <v>46109</v>
      </c>
      <c r="E123" s="22">
        <v>1590046</v>
      </c>
      <c r="F123" s="22" t="s">
        <v>30</v>
      </c>
      <c r="G123" s="22">
        <v>20356650</v>
      </c>
      <c r="H123" s="22" t="s">
        <v>207</v>
      </c>
      <c r="I123" s="22">
        <v>3</v>
      </c>
      <c r="J123" s="28" t="s">
        <v>28</v>
      </c>
      <c r="K123" s="24">
        <v>1</v>
      </c>
      <c r="L123" s="25">
        <v>17.6</v>
      </c>
      <c r="M123" s="26">
        <v>52.8</v>
      </c>
      <c r="N123" s="26">
        <v>158.4</v>
      </c>
    </row>
    <row r="124" spans="4:14">
      <c r="D124" s="21"/>
      <c r="E124" s="22"/>
      <c r="F124" s="22"/>
      <c r="G124" s="22"/>
      <c r="H124" s="22"/>
      <c r="I124" s="22"/>
      <c r="J124" s="28" t="s">
        <v>28</v>
      </c>
      <c r="K124" s="24">
        <v>1</v>
      </c>
      <c r="L124" s="25">
        <v>17.6</v>
      </c>
      <c r="M124" s="26"/>
      <c r="N124" s="26"/>
    </row>
    <row r="125" spans="4:14">
      <c r="D125" s="21"/>
      <c r="E125" s="22"/>
      <c r="F125" s="22"/>
      <c r="G125" s="22"/>
      <c r="H125" s="22"/>
      <c r="I125" s="22"/>
      <c r="J125" s="28" t="s">
        <v>28</v>
      </c>
      <c r="K125" s="24">
        <v>1</v>
      </c>
      <c r="L125" s="25">
        <v>17.6</v>
      </c>
      <c r="M125" s="26"/>
      <c r="N125" s="26"/>
    </row>
    <row r="126" spans="4:14">
      <c r="D126" s="21">
        <v>46111</v>
      </c>
      <c r="E126" s="22">
        <v>1590447</v>
      </c>
      <c r="F126" s="22" t="s">
        <v>20</v>
      </c>
      <c r="G126" s="22">
        <v>20324402</v>
      </c>
      <c r="H126" s="22" t="s">
        <v>147</v>
      </c>
      <c r="I126" s="22">
        <v>1</v>
      </c>
      <c r="J126" s="27" t="s">
        <v>25</v>
      </c>
      <c r="K126" s="24">
        <v>1</v>
      </c>
      <c r="L126" s="25">
        <v>8.8</v>
      </c>
      <c r="M126" s="26">
        <v>8.8</v>
      </c>
      <c r="N126" s="26">
        <v>8.8</v>
      </c>
    </row>
    <row r="127" spans="4:14">
      <c r="D127" s="21">
        <v>46111</v>
      </c>
      <c r="E127" s="22">
        <v>1590447</v>
      </c>
      <c r="F127" s="22" t="s">
        <v>16</v>
      </c>
      <c r="G127" s="22">
        <v>20324632</v>
      </c>
      <c r="H127" s="22" t="s">
        <v>206</v>
      </c>
      <c r="I127" s="22">
        <v>9</v>
      </c>
      <c r="J127" s="28" t="s">
        <v>18</v>
      </c>
      <c r="K127" s="24">
        <f>M127/L127</f>
        <v>20</v>
      </c>
      <c r="L127" s="25">
        <v>4.4</v>
      </c>
      <c r="M127" s="26">
        <v>88</v>
      </c>
      <c r="N127" s="26">
        <v>792</v>
      </c>
    </row>
    <row r="128" spans="4:14">
      <c r="D128" s="21">
        <v>46112</v>
      </c>
      <c r="E128" s="22">
        <v>1590566</v>
      </c>
      <c r="F128" s="22" t="s">
        <v>20</v>
      </c>
      <c r="G128" s="22">
        <v>20324617</v>
      </c>
      <c r="H128" s="22" t="s">
        <v>203</v>
      </c>
      <c r="I128" s="22">
        <v>6</v>
      </c>
      <c r="J128" s="28" t="s">
        <v>28</v>
      </c>
      <c r="K128" s="24">
        <v>1</v>
      </c>
      <c r="L128" s="25">
        <v>17.6</v>
      </c>
      <c r="M128" s="26">
        <v>35.2</v>
      </c>
      <c r="N128" s="26">
        <v>211.2</v>
      </c>
    </row>
    <row r="129" spans="4:14">
      <c r="D129" s="21"/>
      <c r="E129" s="22"/>
      <c r="F129" s="22"/>
      <c r="G129" s="22"/>
      <c r="H129" s="22"/>
      <c r="I129" s="22"/>
      <c r="J129" s="28" t="s">
        <v>28</v>
      </c>
      <c r="K129" s="24">
        <v>1</v>
      </c>
      <c r="L129" s="25">
        <v>17.6</v>
      </c>
      <c r="M129" s="26"/>
      <c r="N129" s="26"/>
    </row>
    <row r="130" spans="4:14">
      <c r="D130" s="21">
        <v>46112</v>
      </c>
      <c r="E130" s="22">
        <v>1590566</v>
      </c>
      <c r="F130" s="22" t="s">
        <v>20</v>
      </c>
      <c r="G130" s="22">
        <v>20324583</v>
      </c>
      <c r="H130" s="22" t="s">
        <v>204</v>
      </c>
      <c r="I130" s="22">
        <v>1</v>
      </c>
      <c r="J130" s="30" t="s">
        <v>205</v>
      </c>
      <c r="K130" s="24">
        <v>1</v>
      </c>
      <c r="L130" s="25">
        <v>28</v>
      </c>
      <c r="M130" s="26">
        <v>28</v>
      </c>
      <c r="N130" s="26">
        <v>28</v>
      </c>
    </row>
    <row r="131" spans="4:14">
      <c r="D131" s="21">
        <v>46112</v>
      </c>
      <c r="E131" s="22">
        <v>1590566</v>
      </c>
      <c r="F131" s="22" t="s">
        <v>30</v>
      </c>
      <c r="G131" s="22">
        <v>20356650</v>
      </c>
      <c r="H131" s="22" t="s">
        <v>207</v>
      </c>
      <c r="I131" s="22">
        <v>2</v>
      </c>
      <c r="J131" s="28" t="s">
        <v>28</v>
      </c>
      <c r="K131" s="24">
        <v>1</v>
      </c>
      <c r="L131" s="25">
        <v>17.6</v>
      </c>
      <c r="M131" s="26">
        <v>52.8</v>
      </c>
      <c r="N131" s="26">
        <v>105.6</v>
      </c>
    </row>
    <row r="132" spans="4:14">
      <c r="D132" s="21"/>
      <c r="E132" s="22"/>
      <c r="F132" s="22"/>
      <c r="G132" s="22"/>
      <c r="H132" s="22"/>
      <c r="I132" s="22"/>
      <c r="J132" s="28" t="s">
        <v>28</v>
      </c>
      <c r="K132" s="24">
        <v>1</v>
      </c>
      <c r="L132" s="25">
        <v>17.6</v>
      </c>
      <c r="M132" s="26"/>
      <c r="N132" s="26"/>
    </row>
    <row r="133" spans="4:14">
      <c r="D133" s="21"/>
      <c r="E133" s="22"/>
      <c r="F133" s="22"/>
      <c r="G133" s="22"/>
      <c r="H133" s="22"/>
      <c r="I133" s="22"/>
      <c r="J133" s="28" t="s">
        <v>28</v>
      </c>
      <c r="K133" s="24">
        <v>1</v>
      </c>
      <c r="L133" s="25">
        <v>17.6</v>
      </c>
      <c r="M133" s="26"/>
      <c r="N133" s="26"/>
    </row>
    <row r="134" spans="4:14">
      <c r="D134" s="21">
        <v>46112</v>
      </c>
      <c r="E134" s="22">
        <v>1590566</v>
      </c>
      <c r="F134" s="22" t="s">
        <v>30</v>
      </c>
      <c r="G134" s="22">
        <v>20356650</v>
      </c>
      <c r="H134" s="22" t="s">
        <v>207</v>
      </c>
      <c r="I134" s="22">
        <v>3</v>
      </c>
      <c r="J134" s="28" t="s">
        <v>28</v>
      </c>
      <c r="K134" s="24">
        <v>1</v>
      </c>
      <c r="L134" s="25">
        <v>17.6</v>
      </c>
      <c r="M134" s="26">
        <v>52.8</v>
      </c>
      <c r="N134" s="26">
        <v>158.4</v>
      </c>
    </row>
    <row r="135" spans="4:14">
      <c r="D135" s="21"/>
      <c r="E135" s="22"/>
      <c r="F135" s="22"/>
      <c r="G135" s="22"/>
      <c r="H135" s="22"/>
      <c r="I135" s="22"/>
      <c r="J135" s="28" t="s">
        <v>28</v>
      </c>
      <c r="K135" s="24">
        <v>1</v>
      </c>
      <c r="L135" s="25">
        <v>17.6</v>
      </c>
      <c r="M135" s="26"/>
      <c r="N135" s="26"/>
    </row>
    <row r="136" spans="4:14">
      <c r="D136" s="21"/>
      <c r="E136" s="22"/>
      <c r="F136" s="22"/>
      <c r="G136" s="22"/>
      <c r="H136" s="22"/>
      <c r="I136" s="22"/>
      <c r="J136" s="28" t="s">
        <v>28</v>
      </c>
      <c r="K136" s="24">
        <v>1</v>
      </c>
      <c r="L136" s="25">
        <v>17.6</v>
      </c>
      <c r="M136" s="26"/>
      <c r="N136" s="26"/>
    </row>
    <row r="137" spans="4:14">
      <c r="D137" s="21">
        <v>46112</v>
      </c>
      <c r="E137" s="22">
        <v>1590883</v>
      </c>
      <c r="F137" s="22" t="s">
        <v>20</v>
      </c>
      <c r="G137" s="22">
        <v>20324405</v>
      </c>
      <c r="H137" s="22" t="s">
        <v>26</v>
      </c>
      <c r="I137" s="22">
        <v>1</v>
      </c>
      <c r="J137" s="27" t="s">
        <v>25</v>
      </c>
      <c r="K137" s="24">
        <v>1</v>
      </c>
      <c r="L137" s="25">
        <v>8.8</v>
      </c>
      <c r="M137" s="26">
        <v>8.8</v>
      </c>
      <c r="N137" s="26">
        <v>8.8</v>
      </c>
    </row>
    <row r="138" spans="4:14">
      <c r="D138" s="21">
        <v>46112</v>
      </c>
      <c r="E138" s="22">
        <v>1590883</v>
      </c>
      <c r="F138" s="22" t="s">
        <v>16</v>
      </c>
      <c r="G138" s="22">
        <v>20324734</v>
      </c>
      <c r="H138" s="22" t="s">
        <v>212</v>
      </c>
      <c r="I138" s="22">
        <v>1</v>
      </c>
      <c r="J138" s="28" t="s">
        <v>18</v>
      </c>
      <c r="K138" s="24">
        <f>M138/L138</f>
        <v>6</v>
      </c>
      <c r="L138" s="25">
        <v>4.4</v>
      </c>
      <c r="M138" s="26">
        <v>26.4</v>
      </c>
      <c r="N138" s="26">
        <v>26.4</v>
      </c>
    </row>
    <row r="143" spans="4:14">
      <c r="D143" s="86" t="s">
        <v>213</v>
      </c>
      <c r="E143" s="54"/>
      <c r="F143" s="54"/>
      <c r="G143" s="54"/>
      <c r="H143" s="54"/>
      <c r="I143" s="54"/>
      <c r="J143" s="54"/>
      <c r="K143" s="54"/>
      <c r="L143" s="54"/>
      <c r="M143" s="54"/>
    </row>
    <row r="144" spans="4:14">
      <c r="D144" s="54"/>
      <c r="E144" s="54"/>
      <c r="F144" s="54"/>
      <c r="G144" s="54"/>
      <c r="H144" s="54"/>
      <c r="I144" s="54"/>
      <c r="J144" s="54"/>
      <c r="K144" s="54"/>
      <c r="L144" s="54"/>
      <c r="M144" s="54"/>
    </row>
    <row r="145" spans="4:13">
      <c r="D145" s="54"/>
      <c r="E145" s="54"/>
      <c r="F145" s="54"/>
      <c r="G145" s="54"/>
      <c r="H145" s="54"/>
      <c r="I145" s="54"/>
      <c r="J145" s="54"/>
      <c r="K145" s="54"/>
      <c r="L145" s="54"/>
      <c r="M145" s="54"/>
    </row>
    <row r="146" spans="4:13">
      <c r="D146" s="87" t="s">
        <v>214</v>
      </c>
      <c r="E146" s="54"/>
      <c r="F146" s="54"/>
      <c r="G146" s="54"/>
      <c r="H146" s="54"/>
      <c r="I146" s="54"/>
      <c r="J146" s="54"/>
      <c r="K146" s="54"/>
      <c r="L146" s="54"/>
      <c r="M146" s="54"/>
    </row>
    <row r="147" spans="4:13">
      <c r="D147" s="54"/>
      <c r="E147" s="54"/>
      <c r="F147" s="54"/>
      <c r="G147" s="54"/>
      <c r="H147" s="54"/>
      <c r="I147" s="54"/>
      <c r="J147" s="54"/>
      <c r="K147" s="54"/>
      <c r="L147" s="54"/>
      <c r="M147" s="54"/>
    </row>
    <row r="148" spans="4:13">
      <c r="D148" s="88" t="s">
        <v>215</v>
      </c>
      <c r="E148" s="88" t="s">
        <v>216</v>
      </c>
      <c r="F148" s="54"/>
      <c r="G148" s="88" t="s">
        <v>217</v>
      </c>
      <c r="H148" s="88" t="s">
        <v>218</v>
      </c>
      <c r="I148" s="88" t="s">
        <v>7</v>
      </c>
      <c r="J148" s="88" t="s">
        <v>219</v>
      </c>
      <c r="K148" s="54"/>
      <c r="L148" s="88" t="s">
        <v>220</v>
      </c>
    </row>
    <row r="149" ht="15.75" spans="4:13">
      <c r="D149" s="89" t="s">
        <v>3</v>
      </c>
      <c r="E149" s="90" t="s">
        <v>2</v>
      </c>
      <c r="F149" s="90" t="s">
        <v>2</v>
      </c>
      <c r="G149" s="90" t="s">
        <v>2</v>
      </c>
      <c r="H149" s="90" t="s">
        <v>2</v>
      </c>
      <c r="I149" s="90" t="s">
        <v>2</v>
      </c>
      <c r="J149" s="91" t="s">
        <v>2</v>
      </c>
      <c r="K149" s="90" t="s">
        <v>2</v>
      </c>
      <c r="L149" s="92"/>
    </row>
    <row r="150" ht="14.25" spans="4:13">
      <c r="D150" s="93" t="s">
        <v>202</v>
      </c>
      <c r="E150" s="90" t="s">
        <v>2</v>
      </c>
      <c r="F150" s="90" t="s">
        <v>2</v>
      </c>
      <c r="G150" s="90" t="s">
        <v>2</v>
      </c>
      <c r="H150" s="90" t="s">
        <v>2</v>
      </c>
      <c r="I150" s="90" t="s">
        <v>2</v>
      </c>
      <c r="J150" s="94" t="s">
        <v>2</v>
      </c>
      <c r="K150" s="90" t="s">
        <v>2</v>
      </c>
      <c r="L150" s="95">
        <v>-52.8</v>
      </c>
    </row>
    <row r="151" spans="4:13">
      <c r="D151" s="96" t="s">
        <v>30</v>
      </c>
      <c r="E151" s="90" t="s">
        <v>2</v>
      </c>
      <c r="F151" s="90" t="s">
        <v>2</v>
      </c>
      <c r="G151" s="90" t="s">
        <v>2</v>
      </c>
      <c r="H151" s="90" t="s">
        <v>2</v>
      </c>
      <c r="I151" s="90" t="s">
        <v>2</v>
      </c>
      <c r="J151" s="97" t="s">
        <v>2</v>
      </c>
      <c r="K151" s="90" t="s">
        <v>2</v>
      </c>
      <c r="L151" s="98">
        <v>-52.8</v>
      </c>
    </row>
    <row r="152" spans="4:13">
      <c r="D152" s="99">
        <v>3005981877</v>
      </c>
      <c r="E152" s="100">
        <v>46114.4023915856</v>
      </c>
      <c r="F152" s="101" t="s">
        <v>2</v>
      </c>
      <c r="G152" s="102" t="s">
        <v>221</v>
      </c>
      <c r="H152" s="103">
        <v>46088.127933912</v>
      </c>
      <c r="I152" s="104">
        <v>20356650</v>
      </c>
      <c r="J152" s="104" t="s">
        <v>207</v>
      </c>
      <c r="K152" s="101" t="s">
        <v>2</v>
      </c>
      <c r="L152" s="105">
        <v>-52.8</v>
      </c>
    </row>
  </sheetData>
  <autoFilter xmlns:etc="http://www.wps.cn/officeDocument/2017/etCustomData" ref="A7:N138" etc:filterBottomFollowUsedRange="0">
    <extLst/>
  </autoFilter>
  <mergeCells count="281">
    <mergeCell ref="D8:H8"/>
    <mergeCell ref="E148:F148"/>
    <mergeCell ref="J148:K148"/>
    <mergeCell ref="D149:I149"/>
    <mergeCell ref="J149:K149"/>
    <mergeCell ref="D150:I150"/>
    <mergeCell ref="J150:K150"/>
    <mergeCell ref="D151:I151"/>
    <mergeCell ref="J151:K151"/>
    <mergeCell ref="E152:F152"/>
    <mergeCell ref="J152:K152"/>
    <mergeCell ref="C7:C138"/>
    <mergeCell ref="D9:D10"/>
    <mergeCell ref="D13:D14"/>
    <mergeCell ref="D16:D18"/>
    <mergeCell ref="D20:D21"/>
    <mergeCell ref="D24:D25"/>
    <mergeCell ref="D28:D29"/>
    <mergeCell ref="D31:D33"/>
    <mergeCell ref="D35:D36"/>
    <mergeCell ref="D38:D40"/>
    <mergeCell ref="D43:D44"/>
    <mergeCell ref="D48:D49"/>
    <mergeCell ref="D52:D54"/>
    <mergeCell ref="D56:D57"/>
    <mergeCell ref="D61:D62"/>
    <mergeCell ref="D67:D68"/>
    <mergeCell ref="D70:D72"/>
    <mergeCell ref="D73:D75"/>
    <mergeCell ref="D77:D78"/>
    <mergeCell ref="D81:D82"/>
    <mergeCell ref="D85:D86"/>
    <mergeCell ref="D89:D90"/>
    <mergeCell ref="D92:D94"/>
    <mergeCell ref="D96:D97"/>
    <mergeCell ref="D100:D101"/>
    <mergeCell ref="D103:D105"/>
    <mergeCell ref="D107:D108"/>
    <mergeCell ref="D111:D112"/>
    <mergeCell ref="D117:D118"/>
    <mergeCell ref="D120:D122"/>
    <mergeCell ref="D123:D125"/>
    <mergeCell ref="D128:D129"/>
    <mergeCell ref="D131:D133"/>
    <mergeCell ref="D134:D136"/>
    <mergeCell ref="E9:E10"/>
    <mergeCell ref="E13:E14"/>
    <mergeCell ref="E16:E18"/>
    <mergeCell ref="E20:E21"/>
    <mergeCell ref="E24:E25"/>
    <mergeCell ref="E28:E29"/>
    <mergeCell ref="E31:E33"/>
    <mergeCell ref="E35:E36"/>
    <mergeCell ref="E38:E40"/>
    <mergeCell ref="E43:E44"/>
    <mergeCell ref="E48:E49"/>
    <mergeCell ref="E52:E54"/>
    <mergeCell ref="E56:E57"/>
    <mergeCell ref="E61:E62"/>
    <mergeCell ref="E67:E68"/>
    <mergeCell ref="E70:E72"/>
    <mergeCell ref="E73:E75"/>
    <mergeCell ref="E77:E78"/>
    <mergeCell ref="E81:E82"/>
    <mergeCell ref="E85:E86"/>
    <mergeCell ref="E89:E90"/>
    <mergeCell ref="E92:E94"/>
    <mergeCell ref="E96:E97"/>
    <mergeCell ref="E100:E101"/>
    <mergeCell ref="E103:E105"/>
    <mergeCell ref="E107:E108"/>
    <mergeCell ref="E111:E112"/>
    <mergeCell ref="E117:E118"/>
    <mergeCell ref="E120:E122"/>
    <mergeCell ref="E123:E125"/>
    <mergeCell ref="E128:E129"/>
    <mergeCell ref="E131:E133"/>
    <mergeCell ref="E134:E136"/>
    <mergeCell ref="F9:F10"/>
    <mergeCell ref="F13:F14"/>
    <mergeCell ref="F16:F18"/>
    <mergeCell ref="F20:F21"/>
    <mergeCell ref="F24:F25"/>
    <mergeCell ref="F28:F29"/>
    <mergeCell ref="F31:F33"/>
    <mergeCell ref="F35:F36"/>
    <mergeCell ref="F38:F40"/>
    <mergeCell ref="F43:F44"/>
    <mergeCell ref="F48:F49"/>
    <mergeCell ref="F52:F54"/>
    <mergeCell ref="F56:F57"/>
    <mergeCell ref="F61:F62"/>
    <mergeCell ref="F67:F68"/>
    <mergeCell ref="F70:F72"/>
    <mergeCell ref="F73:F75"/>
    <mergeCell ref="F77:F78"/>
    <mergeCell ref="F81:F82"/>
    <mergeCell ref="F85:F86"/>
    <mergeCell ref="F89:F90"/>
    <mergeCell ref="F92:F94"/>
    <mergeCell ref="F96:F97"/>
    <mergeCell ref="F100:F101"/>
    <mergeCell ref="F103:F105"/>
    <mergeCell ref="F107:F108"/>
    <mergeCell ref="F111:F112"/>
    <mergeCell ref="F117:F118"/>
    <mergeCell ref="F120:F122"/>
    <mergeCell ref="F123:F125"/>
    <mergeCell ref="F128:F129"/>
    <mergeCell ref="F131:F133"/>
    <mergeCell ref="F134:F136"/>
    <mergeCell ref="G9:G10"/>
    <mergeCell ref="G13:G14"/>
    <mergeCell ref="G16:G18"/>
    <mergeCell ref="G20:G21"/>
    <mergeCell ref="G24:G25"/>
    <mergeCell ref="G28:G29"/>
    <mergeCell ref="G31:G33"/>
    <mergeCell ref="G35:G36"/>
    <mergeCell ref="G38:G40"/>
    <mergeCell ref="G43:G44"/>
    <mergeCell ref="G48:G49"/>
    <mergeCell ref="G52:G54"/>
    <mergeCell ref="G56:G57"/>
    <mergeCell ref="G61:G62"/>
    <mergeCell ref="G67:G68"/>
    <mergeCell ref="G70:G72"/>
    <mergeCell ref="G73:G75"/>
    <mergeCell ref="G77:G78"/>
    <mergeCell ref="G81:G82"/>
    <mergeCell ref="G85:G86"/>
    <mergeCell ref="G89:G90"/>
    <mergeCell ref="G92:G94"/>
    <mergeCell ref="G96:G97"/>
    <mergeCell ref="G100:G101"/>
    <mergeCell ref="G103:G105"/>
    <mergeCell ref="G107:G108"/>
    <mergeCell ref="G111:G112"/>
    <mergeCell ref="G117:G118"/>
    <mergeCell ref="G120:G122"/>
    <mergeCell ref="G123:G125"/>
    <mergeCell ref="G128:G129"/>
    <mergeCell ref="G131:G133"/>
    <mergeCell ref="G134:G136"/>
    <mergeCell ref="H9:H10"/>
    <mergeCell ref="H13:H14"/>
    <mergeCell ref="H16:H18"/>
    <mergeCell ref="H20:H21"/>
    <mergeCell ref="H24:H25"/>
    <mergeCell ref="H28:H29"/>
    <mergeCell ref="H31:H33"/>
    <mergeCell ref="H35:H36"/>
    <mergeCell ref="H38:H40"/>
    <mergeCell ref="H43:H44"/>
    <mergeCell ref="H48:H49"/>
    <mergeCell ref="H52:H54"/>
    <mergeCell ref="H56:H57"/>
    <mergeCell ref="H61:H62"/>
    <mergeCell ref="H67:H68"/>
    <mergeCell ref="H70:H72"/>
    <mergeCell ref="H73:H75"/>
    <mergeCell ref="H77:H78"/>
    <mergeCell ref="H81:H82"/>
    <mergeCell ref="H85:H86"/>
    <mergeCell ref="H89:H90"/>
    <mergeCell ref="H92:H94"/>
    <mergeCell ref="H96:H97"/>
    <mergeCell ref="H100:H101"/>
    <mergeCell ref="H103:H105"/>
    <mergeCell ref="H107:H108"/>
    <mergeCell ref="H111:H112"/>
    <mergeCell ref="H117:H118"/>
    <mergeCell ref="H120:H122"/>
    <mergeCell ref="H123:H125"/>
    <mergeCell ref="H128:H129"/>
    <mergeCell ref="H131:H133"/>
    <mergeCell ref="H134:H136"/>
    <mergeCell ref="I9:I10"/>
    <mergeCell ref="I13:I14"/>
    <mergeCell ref="I16:I18"/>
    <mergeCell ref="I20:I21"/>
    <mergeCell ref="I24:I25"/>
    <mergeCell ref="I28:I29"/>
    <mergeCell ref="I31:I33"/>
    <mergeCell ref="I35:I36"/>
    <mergeCell ref="I38:I40"/>
    <mergeCell ref="I43:I44"/>
    <mergeCell ref="I48:I49"/>
    <mergeCell ref="I52:I54"/>
    <mergeCell ref="I56:I57"/>
    <mergeCell ref="I61:I62"/>
    <mergeCell ref="I67:I68"/>
    <mergeCell ref="I70:I72"/>
    <mergeCell ref="I73:I75"/>
    <mergeCell ref="I77:I78"/>
    <mergeCell ref="I81:I82"/>
    <mergeCell ref="I85:I86"/>
    <mergeCell ref="I89:I90"/>
    <mergeCell ref="I92:I94"/>
    <mergeCell ref="I96:I97"/>
    <mergeCell ref="I100:I101"/>
    <mergeCell ref="I103:I105"/>
    <mergeCell ref="I107:I108"/>
    <mergeCell ref="I111:I112"/>
    <mergeCell ref="I117:I118"/>
    <mergeCell ref="I120:I122"/>
    <mergeCell ref="I123:I125"/>
    <mergeCell ref="I128:I129"/>
    <mergeCell ref="I131:I133"/>
    <mergeCell ref="I134:I136"/>
    <mergeCell ref="M9:M10"/>
    <mergeCell ref="M13:M14"/>
    <mergeCell ref="M16:M18"/>
    <mergeCell ref="M20:M21"/>
    <mergeCell ref="M24:M25"/>
    <mergeCell ref="M28:M29"/>
    <mergeCell ref="M31:M33"/>
    <mergeCell ref="M35:M36"/>
    <mergeCell ref="M38:M40"/>
    <mergeCell ref="M43:M44"/>
    <mergeCell ref="M48:M49"/>
    <mergeCell ref="M52:M54"/>
    <mergeCell ref="M56:M57"/>
    <mergeCell ref="M61:M62"/>
    <mergeCell ref="M67:M68"/>
    <mergeCell ref="M70:M72"/>
    <mergeCell ref="M73:M75"/>
    <mergeCell ref="M77:M78"/>
    <mergeCell ref="M81:M82"/>
    <mergeCell ref="M85:M86"/>
    <mergeCell ref="M89:M90"/>
    <mergeCell ref="M92:M94"/>
    <mergeCell ref="M96:M97"/>
    <mergeCell ref="M100:M101"/>
    <mergeCell ref="M103:M105"/>
    <mergeCell ref="M107:M108"/>
    <mergeCell ref="M111:M112"/>
    <mergeCell ref="M117:M118"/>
    <mergeCell ref="M120:M122"/>
    <mergeCell ref="M123:M125"/>
    <mergeCell ref="M128:M129"/>
    <mergeCell ref="M131:M133"/>
    <mergeCell ref="M134:M136"/>
    <mergeCell ref="N9:N10"/>
    <mergeCell ref="N13:N14"/>
    <mergeCell ref="N16:N18"/>
    <mergeCell ref="N20:N21"/>
    <mergeCell ref="N24:N25"/>
    <mergeCell ref="N28:N29"/>
    <mergeCell ref="N31:N33"/>
    <mergeCell ref="N35:N36"/>
    <mergeCell ref="N38:N40"/>
    <mergeCell ref="N43:N44"/>
    <mergeCell ref="N48:N49"/>
    <mergeCell ref="N52:N54"/>
    <mergeCell ref="N56:N57"/>
    <mergeCell ref="N61:N62"/>
    <mergeCell ref="N67:N68"/>
    <mergeCell ref="N70:N72"/>
    <mergeCell ref="N73:N75"/>
    <mergeCell ref="N77:N78"/>
    <mergeCell ref="N81:N82"/>
    <mergeCell ref="N85:N86"/>
    <mergeCell ref="N89:N90"/>
    <mergeCell ref="N92:N94"/>
    <mergeCell ref="N96:N97"/>
    <mergeCell ref="N100:N101"/>
    <mergeCell ref="N103:N105"/>
    <mergeCell ref="N107:N108"/>
    <mergeCell ref="N111:N112"/>
    <mergeCell ref="N117:N118"/>
    <mergeCell ref="N120:N122"/>
    <mergeCell ref="N123:N125"/>
    <mergeCell ref="N128:N129"/>
    <mergeCell ref="N131:N133"/>
    <mergeCell ref="N134:N136"/>
    <mergeCell ref="B4:H5"/>
    <mergeCell ref="C1:H2"/>
    <mergeCell ref="A7:B138"/>
    <mergeCell ref="D143:M144"/>
    <mergeCell ref="D146:H147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rowBreaks count="2" manualBreakCount="2">
    <brk id="37" max="16383" man="1"/>
    <brk id="130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9.75" customWidth="1"/>
    <col min="11" max="11" width="18" customWidth="1"/>
    <col min="12" max="12" width="12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108" t="s">
        <v>4</v>
      </c>
      <c r="E7" s="108" t="s">
        <v>5</v>
      </c>
      <c r="F7" s="108" t="s">
        <v>6</v>
      </c>
      <c r="G7" s="108" t="s">
        <v>7</v>
      </c>
      <c r="H7" s="108" t="s">
        <v>8</v>
      </c>
      <c r="I7" s="108" t="s">
        <v>9</v>
      </c>
      <c r="J7" s="116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49" t="s">
        <v>222</v>
      </c>
      <c r="E8" s="50" t="s">
        <v>2</v>
      </c>
      <c r="F8" s="50" t="s">
        <v>2</v>
      </c>
      <c r="G8" s="50" t="s">
        <v>2</v>
      </c>
      <c r="H8" s="50" t="s">
        <v>2</v>
      </c>
      <c r="I8" s="49">
        <v>47</v>
      </c>
      <c r="J8" s="51"/>
      <c r="K8" s="14"/>
      <c r="L8" s="14"/>
      <c r="M8" s="14"/>
      <c r="N8" s="14">
        <v>328</v>
      </c>
    </row>
    <row r="9" spans="1:14">
      <c r="D9" s="52">
        <v>46086</v>
      </c>
      <c r="E9" s="53">
        <v>1582546</v>
      </c>
      <c r="F9" s="53" t="s">
        <v>20</v>
      </c>
      <c r="G9" s="53">
        <v>20325665</v>
      </c>
      <c r="H9" s="53" t="s">
        <v>223</v>
      </c>
      <c r="I9" s="53">
        <v>6</v>
      </c>
      <c r="J9" s="117" t="s">
        <v>22</v>
      </c>
      <c r="K9" s="18">
        <v>1</v>
      </c>
      <c r="L9" s="19">
        <v>6.4</v>
      </c>
      <c r="M9" s="20">
        <v>6.4</v>
      </c>
      <c r="N9" s="20">
        <v>38.4</v>
      </c>
    </row>
    <row r="10" spans="1:14">
      <c r="D10" s="33">
        <v>46086</v>
      </c>
      <c r="E10" s="34">
        <v>1582546</v>
      </c>
      <c r="F10" s="34" t="s">
        <v>20</v>
      </c>
      <c r="G10" s="34">
        <v>20329966</v>
      </c>
      <c r="H10" s="34" t="s">
        <v>224</v>
      </c>
      <c r="I10" s="34">
        <v>1</v>
      </c>
      <c r="J10" s="118" t="s">
        <v>18</v>
      </c>
      <c r="K10" s="24">
        <f>M10/L10</f>
        <v>3</v>
      </c>
      <c r="L10" s="25">
        <v>4.4</v>
      </c>
      <c r="M10" s="26">
        <v>13.2</v>
      </c>
      <c r="N10" s="26">
        <v>13.2</v>
      </c>
    </row>
    <row r="11" spans="1:14">
      <c r="D11" s="33">
        <v>46086</v>
      </c>
      <c r="E11" s="34">
        <v>1582546</v>
      </c>
      <c r="F11" s="34" t="s">
        <v>20</v>
      </c>
      <c r="G11" s="34">
        <v>20325004</v>
      </c>
      <c r="H11" s="34" t="s">
        <v>225</v>
      </c>
      <c r="I11" s="34">
        <v>1</v>
      </c>
      <c r="J11" s="118" t="s">
        <v>18</v>
      </c>
      <c r="K11" s="24">
        <f>M11/L11</f>
        <v>3</v>
      </c>
      <c r="L11" s="25">
        <v>4.4</v>
      </c>
      <c r="M11" s="26">
        <v>13.2</v>
      </c>
      <c r="N11" s="26">
        <v>13.2</v>
      </c>
    </row>
    <row r="12" spans="1:14">
      <c r="D12" s="33">
        <v>46100</v>
      </c>
      <c r="E12" s="34">
        <v>1587573</v>
      </c>
      <c r="F12" s="34" t="s">
        <v>20</v>
      </c>
      <c r="G12" s="34">
        <v>20324413</v>
      </c>
      <c r="H12" s="34" t="s">
        <v>43</v>
      </c>
      <c r="I12" s="34">
        <v>1</v>
      </c>
      <c r="J12" s="119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33">
        <v>46100</v>
      </c>
      <c r="E13" s="34">
        <v>1587573</v>
      </c>
      <c r="F13" s="34" t="s">
        <v>20</v>
      </c>
      <c r="G13" s="34">
        <v>20382734</v>
      </c>
      <c r="H13" s="34" t="s">
        <v>226</v>
      </c>
      <c r="I13" s="34">
        <v>1</v>
      </c>
      <c r="J13" s="119" t="s">
        <v>22</v>
      </c>
      <c r="K13" s="24">
        <v>1</v>
      </c>
      <c r="L13" s="25">
        <v>6.4</v>
      </c>
      <c r="M13" s="26">
        <v>6.4</v>
      </c>
      <c r="N13" s="26">
        <v>6.4</v>
      </c>
    </row>
    <row r="14" spans="1:14">
      <c r="D14" s="33">
        <v>46100</v>
      </c>
      <c r="E14" s="34">
        <v>1587573</v>
      </c>
      <c r="F14" s="34" t="s">
        <v>20</v>
      </c>
      <c r="G14" s="34">
        <v>20358759</v>
      </c>
      <c r="H14" s="34" t="s">
        <v>177</v>
      </c>
      <c r="I14" s="34">
        <v>1</v>
      </c>
      <c r="J14" s="119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33">
        <v>46100</v>
      </c>
      <c r="E15" s="34">
        <v>1587573</v>
      </c>
      <c r="F15" s="34" t="s">
        <v>20</v>
      </c>
      <c r="G15" s="34">
        <v>20324364</v>
      </c>
      <c r="H15" s="34" t="s">
        <v>23</v>
      </c>
      <c r="I15" s="34">
        <v>1</v>
      </c>
      <c r="J15" s="119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33">
        <v>46100</v>
      </c>
      <c r="E16" s="34">
        <v>1587573</v>
      </c>
      <c r="F16" s="34" t="s">
        <v>20</v>
      </c>
      <c r="G16" s="34">
        <v>20324363</v>
      </c>
      <c r="H16" s="34" t="s">
        <v>91</v>
      </c>
      <c r="I16" s="34">
        <v>2</v>
      </c>
      <c r="J16" s="119" t="s">
        <v>22</v>
      </c>
      <c r="K16" s="24">
        <v>1</v>
      </c>
      <c r="L16" s="25">
        <v>6.4</v>
      </c>
      <c r="M16" s="26">
        <v>6.4</v>
      </c>
      <c r="N16" s="26">
        <v>12.8</v>
      </c>
    </row>
    <row r="17" spans="4:14">
      <c r="D17" s="33">
        <v>46100</v>
      </c>
      <c r="E17" s="34">
        <v>1587573</v>
      </c>
      <c r="F17" s="34" t="s">
        <v>20</v>
      </c>
      <c r="G17" s="34">
        <v>20324485</v>
      </c>
      <c r="H17" s="34" t="s">
        <v>41</v>
      </c>
      <c r="I17" s="34">
        <v>1</v>
      </c>
      <c r="J17" s="119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33">
        <v>46100</v>
      </c>
      <c r="E18" s="34">
        <v>1587573</v>
      </c>
      <c r="F18" s="34" t="s">
        <v>20</v>
      </c>
      <c r="G18" s="34">
        <v>20325004</v>
      </c>
      <c r="H18" s="34" t="s">
        <v>225</v>
      </c>
      <c r="I18" s="34">
        <v>1</v>
      </c>
      <c r="J18" s="118" t="s">
        <v>18</v>
      </c>
      <c r="K18" s="24">
        <f>M18/L18</f>
        <v>3</v>
      </c>
      <c r="L18" s="25">
        <v>4.4</v>
      </c>
      <c r="M18" s="26">
        <v>13.2</v>
      </c>
      <c r="N18" s="26">
        <v>13.2</v>
      </c>
    </row>
    <row r="19" spans="4:14">
      <c r="D19" s="33">
        <v>46104</v>
      </c>
      <c r="E19" s="34">
        <v>1588477</v>
      </c>
      <c r="F19" s="34" t="s">
        <v>20</v>
      </c>
      <c r="G19" s="34">
        <v>20418363</v>
      </c>
      <c r="H19" s="34" t="s">
        <v>227</v>
      </c>
      <c r="I19" s="34">
        <v>2</v>
      </c>
      <c r="J19" s="119" t="s">
        <v>22</v>
      </c>
      <c r="K19" s="24">
        <v>1</v>
      </c>
      <c r="L19" s="25">
        <v>6.4</v>
      </c>
      <c r="M19" s="26">
        <v>6.4</v>
      </c>
      <c r="N19" s="26">
        <v>12.8</v>
      </c>
    </row>
    <row r="20" spans="4:14">
      <c r="D20" s="33">
        <v>46104</v>
      </c>
      <c r="E20" s="34">
        <v>1588477</v>
      </c>
      <c r="F20" s="34" t="s">
        <v>20</v>
      </c>
      <c r="G20" s="34">
        <v>20324413</v>
      </c>
      <c r="H20" s="34" t="s">
        <v>43</v>
      </c>
      <c r="I20" s="34">
        <v>1</v>
      </c>
      <c r="J20" s="119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33">
        <v>46104</v>
      </c>
      <c r="E21" s="34">
        <v>1588477</v>
      </c>
      <c r="F21" s="34" t="s">
        <v>20</v>
      </c>
      <c r="G21" s="34">
        <v>20382734</v>
      </c>
      <c r="H21" s="34" t="s">
        <v>226</v>
      </c>
      <c r="I21" s="34">
        <v>1</v>
      </c>
      <c r="J21" s="119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33">
        <v>46104</v>
      </c>
      <c r="E22" s="34">
        <v>1588477</v>
      </c>
      <c r="F22" s="34" t="s">
        <v>20</v>
      </c>
      <c r="G22" s="34">
        <v>20358759</v>
      </c>
      <c r="H22" s="34" t="s">
        <v>177</v>
      </c>
      <c r="I22" s="34">
        <v>1</v>
      </c>
      <c r="J22" s="119" t="s">
        <v>22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33">
        <v>46104</v>
      </c>
      <c r="E23" s="34">
        <v>1588477</v>
      </c>
      <c r="F23" s="34" t="s">
        <v>20</v>
      </c>
      <c r="G23" s="34">
        <v>20324364</v>
      </c>
      <c r="H23" s="34" t="s">
        <v>23</v>
      </c>
      <c r="I23" s="34">
        <v>2</v>
      </c>
      <c r="J23" s="119" t="s">
        <v>22</v>
      </c>
      <c r="K23" s="24">
        <v>1</v>
      </c>
      <c r="L23" s="25">
        <v>6.4</v>
      </c>
      <c r="M23" s="26">
        <v>6.4</v>
      </c>
      <c r="N23" s="26">
        <v>12.8</v>
      </c>
    </row>
    <row r="24" spans="4:14">
      <c r="D24" s="33">
        <v>46104</v>
      </c>
      <c r="E24" s="34">
        <v>1588477</v>
      </c>
      <c r="F24" s="34" t="s">
        <v>20</v>
      </c>
      <c r="G24" s="34">
        <v>20324363</v>
      </c>
      <c r="H24" s="34" t="s">
        <v>91</v>
      </c>
      <c r="I24" s="34">
        <v>4</v>
      </c>
      <c r="J24" s="119" t="s">
        <v>22</v>
      </c>
      <c r="K24" s="24">
        <v>1</v>
      </c>
      <c r="L24" s="25">
        <v>6.4</v>
      </c>
      <c r="M24" s="26">
        <v>6.4</v>
      </c>
      <c r="N24" s="26">
        <v>25.6</v>
      </c>
    </row>
    <row r="25" spans="4:14">
      <c r="D25" s="33">
        <v>46104</v>
      </c>
      <c r="E25" s="34">
        <v>1588477</v>
      </c>
      <c r="F25" s="34" t="s">
        <v>20</v>
      </c>
      <c r="G25" s="34">
        <v>20325004</v>
      </c>
      <c r="H25" s="34" t="s">
        <v>225</v>
      </c>
      <c r="I25" s="34">
        <v>1</v>
      </c>
      <c r="J25" s="118" t="s">
        <v>18</v>
      </c>
      <c r="K25" s="24">
        <f>M25/L25</f>
        <v>3</v>
      </c>
      <c r="L25" s="25">
        <v>4.4</v>
      </c>
      <c r="M25" s="26">
        <v>13.2</v>
      </c>
      <c r="N25" s="26">
        <v>13.2</v>
      </c>
    </row>
    <row r="26" spans="4:14">
      <c r="D26" s="33">
        <v>46107</v>
      </c>
      <c r="E26" s="34">
        <v>1589534</v>
      </c>
      <c r="F26" s="34" t="s">
        <v>20</v>
      </c>
      <c r="G26" s="34">
        <v>20418363</v>
      </c>
      <c r="H26" s="34" t="s">
        <v>227</v>
      </c>
      <c r="I26" s="34">
        <v>10</v>
      </c>
      <c r="J26" s="119" t="s">
        <v>22</v>
      </c>
      <c r="K26" s="24">
        <v>1</v>
      </c>
      <c r="L26" s="25">
        <v>6.4</v>
      </c>
      <c r="M26" s="26">
        <v>6.4</v>
      </c>
      <c r="N26" s="26">
        <v>64</v>
      </c>
    </row>
    <row r="27" spans="4:14">
      <c r="D27" s="33">
        <v>46107</v>
      </c>
      <c r="E27" s="34">
        <v>1589534</v>
      </c>
      <c r="F27" s="34" t="s">
        <v>20</v>
      </c>
      <c r="G27" s="34">
        <v>20358759</v>
      </c>
      <c r="H27" s="34" t="s">
        <v>177</v>
      </c>
      <c r="I27" s="34">
        <v>1</v>
      </c>
      <c r="J27" s="119" t="s">
        <v>22</v>
      </c>
      <c r="K27" s="24">
        <v>1</v>
      </c>
      <c r="L27" s="25">
        <v>6.4</v>
      </c>
      <c r="M27" s="26">
        <v>6.4</v>
      </c>
      <c r="N27" s="26">
        <v>6.4</v>
      </c>
    </row>
    <row r="28" spans="4:14">
      <c r="D28" s="33">
        <v>46107</v>
      </c>
      <c r="E28" s="34">
        <v>1589534</v>
      </c>
      <c r="F28" s="34" t="s">
        <v>20</v>
      </c>
      <c r="G28" s="34">
        <v>20324364</v>
      </c>
      <c r="H28" s="34" t="s">
        <v>23</v>
      </c>
      <c r="I28" s="34">
        <v>1</v>
      </c>
      <c r="J28" s="119" t="s">
        <v>22</v>
      </c>
      <c r="K28" s="24">
        <v>1</v>
      </c>
      <c r="L28" s="25">
        <v>6.4</v>
      </c>
      <c r="M28" s="26">
        <v>6.4</v>
      </c>
      <c r="N28" s="26">
        <v>6.4</v>
      </c>
    </row>
    <row r="29" spans="4:14">
      <c r="D29" s="33">
        <v>46107</v>
      </c>
      <c r="E29" s="34">
        <v>1589534</v>
      </c>
      <c r="F29" s="34" t="s">
        <v>20</v>
      </c>
      <c r="G29" s="34">
        <v>20324363</v>
      </c>
      <c r="H29" s="34" t="s">
        <v>91</v>
      </c>
      <c r="I29" s="34">
        <v>1</v>
      </c>
      <c r="J29" s="119" t="s">
        <v>22</v>
      </c>
      <c r="K29" s="24">
        <v>1</v>
      </c>
      <c r="L29" s="25">
        <v>6.4</v>
      </c>
      <c r="M29" s="26">
        <v>6.4</v>
      </c>
      <c r="N29" s="26">
        <v>6.4</v>
      </c>
    </row>
    <row r="30" spans="4:14">
      <c r="D30" s="33">
        <v>46111</v>
      </c>
      <c r="E30" s="34">
        <v>1590448</v>
      </c>
      <c r="F30" s="34" t="s">
        <v>20</v>
      </c>
      <c r="G30" s="34">
        <v>20418363</v>
      </c>
      <c r="H30" s="34" t="s">
        <v>227</v>
      </c>
      <c r="I30" s="34">
        <v>6</v>
      </c>
      <c r="J30" s="119" t="s">
        <v>22</v>
      </c>
      <c r="K30" s="24">
        <v>1</v>
      </c>
      <c r="L30" s="25">
        <v>6.4</v>
      </c>
      <c r="M30" s="26">
        <v>6.4</v>
      </c>
      <c r="N30" s="26">
        <v>38.4</v>
      </c>
    </row>
  </sheetData>
  <autoFilter xmlns:etc="http://www.wps.cn/officeDocument/2017/etCustomData" ref="A7:N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9.75" customWidth="1"/>
    <col min="11" max="11" width="18" customWidth="1"/>
    <col min="12" max="12" width="12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228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43</v>
      </c>
      <c r="J8" s="13"/>
      <c r="K8" s="14"/>
      <c r="L8" s="14"/>
      <c r="M8" s="14"/>
      <c r="N8" s="14">
        <v>956.4</v>
      </c>
    </row>
    <row r="9" spans="1:14">
      <c r="D9" s="15">
        <v>46084</v>
      </c>
      <c r="E9" s="16">
        <v>1581864</v>
      </c>
      <c r="F9" s="16" t="s">
        <v>16</v>
      </c>
      <c r="G9" s="16">
        <v>20324058</v>
      </c>
      <c r="H9" s="16" t="s">
        <v>198</v>
      </c>
      <c r="I9" s="16">
        <v>2</v>
      </c>
      <c r="J9" s="32" t="s">
        <v>18</v>
      </c>
      <c r="K9" s="18">
        <f t="shared" ref="K9:K13" si="0">M9/L9</f>
        <v>7</v>
      </c>
      <c r="L9" s="19">
        <v>4.4</v>
      </c>
      <c r="M9" s="20">
        <v>30.8</v>
      </c>
      <c r="N9" s="20">
        <v>61.6</v>
      </c>
    </row>
    <row r="10" spans="1:14">
      <c r="D10" s="21">
        <v>46084</v>
      </c>
      <c r="E10" s="22">
        <v>1581864</v>
      </c>
      <c r="F10" s="22" t="s">
        <v>20</v>
      </c>
      <c r="G10" s="22">
        <v>20328686</v>
      </c>
      <c r="H10" s="22" t="s">
        <v>229</v>
      </c>
      <c r="I10" s="22">
        <v>3</v>
      </c>
      <c r="J10" s="27" t="s">
        <v>22</v>
      </c>
      <c r="K10" s="24">
        <v>1</v>
      </c>
      <c r="L10" s="25">
        <v>6.4</v>
      </c>
      <c r="M10" s="25">
        <v>10.8</v>
      </c>
      <c r="N10" s="26">
        <v>32.4</v>
      </c>
    </row>
    <row r="11" spans="1:14">
      <c r="D11" s="21"/>
      <c r="E11" s="22"/>
      <c r="F11" s="22"/>
      <c r="G11" s="22"/>
      <c r="H11" s="22"/>
      <c r="I11" s="22"/>
      <c r="J11" s="27" t="s">
        <v>145</v>
      </c>
      <c r="K11" s="24">
        <v>1</v>
      </c>
      <c r="L11" s="25">
        <v>4.4</v>
      </c>
      <c r="M11" s="25"/>
      <c r="N11" s="26"/>
    </row>
    <row r="12" spans="1:14">
      <c r="D12" s="21">
        <v>46087</v>
      </c>
      <c r="E12" s="22">
        <v>1582862</v>
      </c>
      <c r="F12" s="22" t="s">
        <v>16</v>
      </c>
      <c r="G12" s="22">
        <v>20324058</v>
      </c>
      <c r="H12" s="22" t="s">
        <v>198</v>
      </c>
      <c r="I12" s="22">
        <v>1</v>
      </c>
      <c r="J12" s="28" t="s">
        <v>18</v>
      </c>
      <c r="K12" s="24">
        <f t="shared" si="0"/>
        <v>7</v>
      </c>
      <c r="L12" s="25">
        <v>4.4</v>
      </c>
      <c r="M12" s="26">
        <v>30.8</v>
      </c>
      <c r="N12" s="26">
        <v>30.8</v>
      </c>
    </row>
    <row r="13" spans="1:14">
      <c r="D13" s="21">
        <v>46087</v>
      </c>
      <c r="E13" s="22">
        <v>1582862</v>
      </c>
      <c r="F13" s="22" t="s">
        <v>16</v>
      </c>
      <c r="G13" s="22">
        <v>20324057</v>
      </c>
      <c r="H13" s="22" t="s">
        <v>156</v>
      </c>
      <c r="I13" s="22">
        <v>1</v>
      </c>
      <c r="J13" s="28" t="s">
        <v>18</v>
      </c>
      <c r="K13" s="24">
        <f t="shared" si="0"/>
        <v>14</v>
      </c>
      <c r="L13" s="25">
        <v>4.4</v>
      </c>
      <c r="M13" s="26">
        <v>61.6</v>
      </c>
      <c r="N13" s="26">
        <v>61.6</v>
      </c>
    </row>
    <row r="14" spans="1:14">
      <c r="D14" s="21">
        <v>46087</v>
      </c>
      <c r="E14" s="22">
        <v>1582862</v>
      </c>
      <c r="F14" s="22" t="s">
        <v>20</v>
      </c>
      <c r="G14" s="22">
        <v>20324419</v>
      </c>
      <c r="H14" s="22" t="s">
        <v>82</v>
      </c>
      <c r="I14" s="22">
        <v>1</v>
      </c>
      <c r="J14" s="23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46087</v>
      </c>
      <c r="E15" s="22">
        <v>1582862</v>
      </c>
      <c r="F15" s="22" t="s">
        <v>20</v>
      </c>
      <c r="G15" s="22">
        <v>20324416</v>
      </c>
      <c r="H15" s="22" t="s">
        <v>230</v>
      </c>
      <c r="I15" s="22">
        <v>1</v>
      </c>
      <c r="J15" s="27" t="s">
        <v>25</v>
      </c>
      <c r="K15" s="24">
        <v>1</v>
      </c>
      <c r="L15" s="25">
        <v>8.8</v>
      </c>
      <c r="M15" s="26">
        <v>8.8</v>
      </c>
      <c r="N15" s="26">
        <v>8.8</v>
      </c>
    </row>
    <row r="16" spans="1:14">
      <c r="D16" s="21">
        <v>46087</v>
      </c>
      <c r="E16" s="22">
        <v>1582862</v>
      </c>
      <c r="F16" s="22" t="s">
        <v>20</v>
      </c>
      <c r="G16" s="22">
        <v>20324363</v>
      </c>
      <c r="H16" s="22" t="s">
        <v>91</v>
      </c>
      <c r="I16" s="22">
        <v>2</v>
      </c>
      <c r="J16" s="23" t="s">
        <v>22</v>
      </c>
      <c r="K16" s="24">
        <v>1</v>
      </c>
      <c r="L16" s="25">
        <v>6.4</v>
      </c>
      <c r="M16" s="26">
        <v>6.4</v>
      </c>
      <c r="N16" s="26">
        <v>12.8</v>
      </c>
    </row>
    <row r="17" spans="4:14">
      <c r="D17" s="21">
        <v>46088</v>
      </c>
      <c r="E17" s="22">
        <v>1582968</v>
      </c>
      <c r="F17" s="29" t="s">
        <v>20</v>
      </c>
      <c r="G17" s="22">
        <v>20324375</v>
      </c>
      <c r="H17" s="22" t="s">
        <v>231</v>
      </c>
      <c r="I17" s="22">
        <v>1</v>
      </c>
      <c r="J17" s="30" t="s">
        <v>205</v>
      </c>
      <c r="K17" s="24">
        <v>1</v>
      </c>
      <c r="L17" s="25">
        <v>28</v>
      </c>
      <c r="M17" s="26">
        <v>28</v>
      </c>
      <c r="N17" s="26">
        <v>28</v>
      </c>
    </row>
    <row r="18" spans="4:14">
      <c r="D18" s="21">
        <v>46092</v>
      </c>
      <c r="E18" s="22">
        <v>1585136</v>
      </c>
      <c r="F18" s="22" t="s">
        <v>16</v>
      </c>
      <c r="G18" s="22">
        <v>20324058</v>
      </c>
      <c r="H18" s="22" t="s">
        <v>198</v>
      </c>
      <c r="I18" s="22">
        <v>3</v>
      </c>
      <c r="J18" s="28" t="s">
        <v>18</v>
      </c>
      <c r="K18" s="24">
        <f>M18/L18</f>
        <v>7</v>
      </c>
      <c r="L18" s="25">
        <v>4.4</v>
      </c>
      <c r="M18" s="26">
        <v>30.8</v>
      </c>
      <c r="N18" s="26">
        <v>92.4</v>
      </c>
    </row>
    <row r="19" spans="4:14">
      <c r="D19" s="21">
        <v>46092</v>
      </c>
      <c r="E19" s="22">
        <v>1585136</v>
      </c>
      <c r="F19" s="22" t="s">
        <v>16</v>
      </c>
      <c r="G19" s="22">
        <v>20324057</v>
      </c>
      <c r="H19" s="22" t="s">
        <v>156</v>
      </c>
      <c r="I19" s="22">
        <v>1</v>
      </c>
      <c r="J19" s="28" t="s">
        <v>18</v>
      </c>
      <c r="K19" s="24">
        <f>M19/L19</f>
        <v>14</v>
      </c>
      <c r="L19" s="25">
        <v>4.4</v>
      </c>
      <c r="M19" s="26">
        <v>61.6</v>
      </c>
      <c r="N19" s="26">
        <v>61.6</v>
      </c>
    </row>
    <row r="20" spans="4:14">
      <c r="D20" s="21">
        <v>46092</v>
      </c>
      <c r="E20" s="22">
        <v>1585136</v>
      </c>
      <c r="F20" s="22" t="s">
        <v>20</v>
      </c>
      <c r="G20" s="22">
        <v>20324964</v>
      </c>
      <c r="H20" s="22" t="s">
        <v>232</v>
      </c>
      <c r="I20" s="22">
        <v>1</v>
      </c>
      <c r="J20" s="27" t="s">
        <v>22</v>
      </c>
      <c r="K20" s="24">
        <v>1</v>
      </c>
      <c r="L20" s="25">
        <v>6.4</v>
      </c>
      <c r="M20" s="25">
        <v>10.8</v>
      </c>
      <c r="N20" s="26">
        <v>10.8</v>
      </c>
    </row>
    <row r="21" spans="4:14">
      <c r="D21" s="21"/>
      <c r="E21" s="22"/>
      <c r="F21" s="22"/>
      <c r="G21" s="22"/>
      <c r="H21" s="22"/>
      <c r="I21" s="22"/>
      <c r="J21" s="27" t="s">
        <v>145</v>
      </c>
      <c r="K21" s="24">
        <v>1</v>
      </c>
      <c r="L21" s="25">
        <v>4.4</v>
      </c>
      <c r="M21" s="25"/>
      <c r="N21" s="26"/>
    </row>
    <row r="22" spans="4:14">
      <c r="D22" s="21">
        <v>46097</v>
      </c>
      <c r="E22" s="22">
        <v>1586444</v>
      </c>
      <c r="F22" s="22" t="s">
        <v>16</v>
      </c>
      <c r="G22" s="22">
        <v>20324058</v>
      </c>
      <c r="H22" s="22" t="s">
        <v>198</v>
      </c>
      <c r="I22" s="22">
        <v>3</v>
      </c>
      <c r="J22" s="28" t="s">
        <v>18</v>
      </c>
      <c r="K22" s="24">
        <f t="shared" ref="K22:K27" si="1">M22/L22</f>
        <v>7</v>
      </c>
      <c r="L22" s="25">
        <v>4.4</v>
      </c>
      <c r="M22" s="26">
        <v>30.8</v>
      </c>
      <c r="N22" s="26">
        <v>92.4</v>
      </c>
    </row>
    <row r="23" spans="4:14">
      <c r="D23" s="21">
        <v>46097</v>
      </c>
      <c r="E23" s="22">
        <v>1586444</v>
      </c>
      <c r="F23" s="22" t="s">
        <v>20</v>
      </c>
      <c r="G23" s="22">
        <v>20328686</v>
      </c>
      <c r="H23" s="22" t="s">
        <v>229</v>
      </c>
      <c r="I23" s="22">
        <v>4</v>
      </c>
      <c r="J23" s="27" t="s">
        <v>22</v>
      </c>
      <c r="K23" s="24">
        <v>1</v>
      </c>
      <c r="L23" s="25">
        <v>6.4</v>
      </c>
      <c r="M23" s="25">
        <v>10.8</v>
      </c>
      <c r="N23" s="26">
        <v>43.2</v>
      </c>
    </row>
    <row r="24" spans="4:14">
      <c r="D24" s="21"/>
      <c r="E24" s="22"/>
      <c r="F24" s="22"/>
      <c r="G24" s="22"/>
      <c r="H24" s="22"/>
      <c r="I24" s="22"/>
      <c r="J24" s="27" t="s">
        <v>145</v>
      </c>
      <c r="K24" s="24">
        <v>1</v>
      </c>
      <c r="L24" s="25">
        <v>4.4</v>
      </c>
      <c r="M24" s="25"/>
      <c r="N24" s="26"/>
    </row>
    <row r="25" spans="4:14">
      <c r="D25" s="21">
        <v>46097</v>
      </c>
      <c r="E25" s="22">
        <v>1586444</v>
      </c>
      <c r="F25" s="22" t="s">
        <v>20</v>
      </c>
      <c r="G25" s="22">
        <v>20324363</v>
      </c>
      <c r="H25" s="22" t="s">
        <v>91</v>
      </c>
      <c r="I25" s="22">
        <v>1</v>
      </c>
      <c r="J25" s="23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21">
        <v>46101</v>
      </c>
      <c r="E26" s="22">
        <v>1587931</v>
      </c>
      <c r="F26" s="22" t="s">
        <v>16</v>
      </c>
      <c r="G26" s="22">
        <v>20324058</v>
      </c>
      <c r="H26" s="22" t="s">
        <v>198</v>
      </c>
      <c r="I26" s="22">
        <v>2</v>
      </c>
      <c r="J26" s="28" t="s">
        <v>18</v>
      </c>
      <c r="K26" s="24">
        <f t="shared" si="1"/>
        <v>7</v>
      </c>
      <c r="L26" s="25">
        <v>4.4</v>
      </c>
      <c r="M26" s="26">
        <v>30.8</v>
      </c>
      <c r="N26" s="26">
        <v>61.6</v>
      </c>
    </row>
    <row r="27" spans="4:14">
      <c r="D27" s="21">
        <v>46101</v>
      </c>
      <c r="E27" s="22">
        <v>1587931</v>
      </c>
      <c r="F27" s="22" t="s">
        <v>16</v>
      </c>
      <c r="G27" s="22">
        <v>20324057</v>
      </c>
      <c r="H27" s="22" t="s">
        <v>156</v>
      </c>
      <c r="I27" s="22">
        <v>1</v>
      </c>
      <c r="J27" s="28" t="s">
        <v>18</v>
      </c>
      <c r="K27" s="24">
        <f t="shared" si="1"/>
        <v>14</v>
      </c>
      <c r="L27" s="25">
        <v>4.4</v>
      </c>
      <c r="M27" s="26">
        <v>61.6</v>
      </c>
      <c r="N27" s="26">
        <v>61.6</v>
      </c>
    </row>
    <row r="28" spans="4:14">
      <c r="D28" s="21">
        <v>46101</v>
      </c>
      <c r="E28" s="22">
        <v>1587931</v>
      </c>
      <c r="F28" s="22" t="s">
        <v>20</v>
      </c>
      <c r="G28" s="22">
        <v>20328686</v>
      </c>
      <c r="H28" s="22" t="s">
        <v>229</v>
      </c>
      <c r="I28" s="22">
        <v>2</v>
      </c>
      <c r="J28" s="27" t="s">
        <v>22</v>
      </c>
      <c r="K28" s="24">
        <v>1</v>
      </c>
      <c r="L28" s="25">
        <v>6.4</v>
      </c>
      <c r="M28" s="25">
        <v>10.8</v>
      </c>
      <c r="N28" s="26">
        <v>21.6</v>
      </c>
    </row>
    <row r="29" spans="4:14">
      <c r="D29" s="21"/>
      <c r="E29" s="22"/>
      <c r="F29" s="22"/>
      <c r="G29" s="22"/>
      <c r="H29" s="22"/>
      <c r="I29" s="22"/>
      <c r="J29" s="27" t="s">
        <v>145</v>
      </c>
      <c r="K29" s="24">
        <v>1</v>
      </c>
      <c r="L29" s="25">
        <v>4.4</v>
      </c>
      <c r="M29" s="25"/>
      <c r="N29" s="26"/>
    </row>
    <row r="30" spans="4:14">
      <c r="D30" s="21">
        <v>46104</v>
      </c>
      <c r="E30" s="22">
        <v>1588478</v>
      </c>
      <c r="F30" s="22" t="s">
        <v>16</v>
      </c>
      <c r="G30" s="22">
        <v>20324058</v>
      </c>
      <c r="H30" s="22" t="s">
        <v>198</v>
      </c>
      <c r="I30" s="22">
        <v>2</v>
      </c>
      <c r="J30" s="28" t="s">
        <v>18</v>
      </c>
      <c r="K30" s="24">
        <f t="shared" ref="K30:K34" si="2">M30/L30</f>
        <v>7</v>
      </c>
      <c r="L30" s="25">
        <v>4.4</v>
      </c>
      <c r="M30" s="26">
        <v>30.8</v>
      </c>
      <c r="N30" s="26">
        <v>61.6</v>
      </c>
    </row>
    <row r="31" spans="4:14">
      <c r="D31" s="21">
        <v>46104</v>
      </c>
      <c r="E31" s="22">
        <v>1588478</v>
      </c>
      <c r="F31" s="22" t="s">
        <v>20</v>
      </c>
      <c r="G31" s="22">
        <v>20328686</v>
      </c>
      <c r="H31" s="22" t="s">
        <v>229</v>
      </c>
      <c r="I31" s="22">
        <v>4</v>
      </c>
      <c r="J31" s="27" t="s">
        <v>22</v>
      </c>
      <c r="K31" s="24">
        <v>1</v>
      </c>
      <c r="L31" s="25">
        <v>6.4</v>
      </c>
      <c r="M31" s="25">
        <v>10.8</v>
      </c>
      <c r="N31" s="26">
        <v>43.2</v>
      </c>
    </row>
    <row r="32" spans="4:14">
      <c r="D32" s="21"/>
      <c r="E32" s="22"/>
      <c r="F32" s="22"/>
      <c r="G32" s="22"/>
      <c r="H32" s="22"/>
      <c r="I32" s="22"/>
      <c r="J32" s="27" t="s">
        <v>145</v>
      </c>
      <c r="K32" s="24">
        <v>1</v>
      </c>
      <c r="L32" s="25">
        <v>4.4</v>
      </c>
      <c r="M32" s="25"/>
      <c r="N32" s="26"/>
    </row>
    <row r="33" spans="4:14">
      <c r="D33" s="21">
        <v>46112</v>
      </c>
      <c r="E33" s="22">
        <v>1590884</v>
      </c>
      <c r="F33" s="22" t="s">
        <v>16</v>
      </c>
      <c r="G33" s="22">
        <v>20324058</v>
      </c>
      <c r="H33" s="22" t="s">
        <v>198</v>
      </c>
      <c r="I33" s="22">
        <v>2</v>
      </c>
      <c r="J33" s="28" t="s">
        <v>18</v>
      </c>
      <c r="K33" s="24">
        <f t="shared" si="2"/>
        <v>7</v>
      </c>
      <c r="L33" s="25">
        <v>4.4</v>
      </c>
      <c r="M33" s="26">
        <v>30.8</v>
      </c>
      <c r="N33" s="26">
        <v>61.6</v>
      </c>
    </row>
    <row r="34" spans="4:14">
      <c r="D34" s="21">
        <v>46112</v>
      </c>
      <c r="E34" s="22">
        <v>1590884</v>
      </c>
      <c r="F34" s="22" t="s">
        <v>16</v>
      </c>
      <c r="G34" s="22">
        <v>20324057</v>
      </c>
      <c r="H34" s="22" t="s">
        <v>156</v>
      </c>
      <c r="I34" s="22">
        <v>1</v>
      </c>
      <c r="J34" s="28" t="s">
        <v>18</v>
      </c>
      <c r="K34" s="24">
        <f t="shared" si="2"/>
        <v>14</v>
      </c>
      <c r="L34" s="25">
        <v>4.4</v>
      </c>
      <c r="M34" s="26">
        <v>61.6</v>
      </c>
      <c r="N34" s="26">
        <v>61.6</v>
      </c>
    </row>
    <row r="35" spans="4:14">
      <c r="D35" s="21">
        <v>46112</v>
      </c>
      <c r="E35" s="22">
        <v>1590884</v>
      </c>
      <c r="F35" s="22" t="s">
        <v>20</v>
      </c>
      <c r="G35" s="22">
        <v>20328686</v>
      </c>
      <c r="H35" s="22" t="s">
        <v>229</v>
      </c>
      <c r="I35" s="22">
        <v>2</v>
      </c>
      <c r="J35" s="27" t="s">
        <v>22</v>
      </c>
      <c r="K35" s="24">
        <v>1</v>
      </c>
      <c r="L35" s="25">
        <v>6.4</v>
      </c>
      <c r="M35" s="25">
        <v>10.8</v>
      </c>
      <c r="N35" s="26">
        <v>21.6</v>
      </c>
    </row>
    <row r="36" spans="4:14">
      <c r="D36" s="21"/>
      <c r="E36" s="22"/>
      <c r="F36" s="22"/>
      <c r="G36" s="22"/>
      <c r="H36" s="22"/>
      <c r="I36" s="22"/>
      <c r="J36" s="27" t="s">
        <v>145</v>
      </c>
      <c r="K36" s="24">
        <v>1</v>
      </c>
      <c r="L36" s="25">
        <v>4.4</v>
      </c>
      <c r="M36" s="25"/>
      <c r="N36" s="26"/>
    </row>
    <row r="37" spans="4:14">
      <c r="D37" s="21">
        <v>46112</v>
      </c>
      <c r="E37" s="22">
        <v>1590884</v>
      </c>
      <c r="F37" s="22" t="s">
        <v>20</v>
      </c>
      <c r="G37" s="22">
        <v>20324363</v>
      </c>
      <c r="H37" s="22" t="s">
        <v>91</v>
      </c>
      <c r="I37" s="22">
        <v>2</v>
      </c>
      <c r="J37" s="23" t="s">
        <v>22</v>
      </c>
      <c r="K37" s="24">
        <v>1</v>
      </c>
      <c r="L37" s="25">
        <v>6.4</v>
      </c>
      <c r="M37" s="26">
        <v>6.4</v>
      </c>
      <c r="N37" s="26">
        <v>12.8</v>
      </c>
    </row>
  </sheetData>
  <autoFilter xmlns:etc="http://www.wps.cn/officeDocument/2017/etCustomData" ref="A7:N37" etc:filterBottomFollowUsedRange="0">
    <extLst/>
  </autoFilter>
  <mergeCells count="52">
    <mergeCell ref="D8:H8"/>
    <mergeCell ref="C7:C37"/>
    <mergeCell ref="D10:D11"/>
    <mergeCell ref="D20:D21"/>
    <mergeCell ref="D23:D24"/>
    <mergeCell ref="D28:D29"/>
    <mergeCell ref="D31:D32"/>
    <mergeCell ref="D35:D36"/>
    <mergeCell ref="E10:E11"/>
    <mergeCell ref="E20:E21"/>
    <mergeCell ref="E23:E24"/>
    <mergeCell ref="E28:E29"/>
    <mergeCell ref="E31:E32"/>
    <mergeCell ref="E35:E36"/>
    <mergeCell ref="F10:F11"/>
    <mergeCell ref="F23:F24"/>
    <mergeCell ref="F28:F29"/>
    <mergeCell ref="F31:F32"/>
    <mergeCell ref="F35:F36"/>
    <mergeCell ref="G10:G11"/>
    <mergeCell ref="G20:G21"/>
    <mergeCell ref="G23:G24"/>
    <mergeCell ref="G28:G29"/>
    <mergeCell ref="G31:G32"/>
    <mergeCell ref="G35:G36"/>
    <mergeCell ref="H10:H11"/>
    <mergeCell ref="H20:H21"/>
    <mergeCell ref="H23:H24"/>
    <mergeCell ref="H28:H29"/>
    <mergeCell ref="H31:H32"/>
    <mergeCell ref="H35:H36"/>
    <mergeCell ref="I10:I11"/>
    <mergeCell ref="I20:I21"/>
    <mergeCell ref="I23:I24"/>
    <mergeCell ref="I28:I29"/>
    <mergeCell ref="I31:I32"/>
    <mergeCell ref="I35:I36"/>
    <mergeCell ref="M10:M11"/>
    <mergeCell ref="M20:M21"/>
    <mergeCell ref="M23:M24"/>
    <mergeCell ref="M28:M29"/>
    <mergeCell ref="M31:M32"/>
    <mergeCell ref="M35:M36"/>
    <mergeCell ref="N10:N11"/>
    <mergeCell ref="N20:N21"/>
    <mergeCell ref="N23:N24"/>
    <mergeCell ref="N28:N29"/>
    <mergeCell ref="N31:N32"/>
    <mergeCell ref="N35:N36"/>
    <mergeCell ref="B4:H5"/>
    <mergeCell ref="C1:H2"/>
    <mergeCell ref="A7:B37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9.75" customWidth="1"/>
    <col min="11" max="11" width="18" customWidth="1"/>
    <col min="12" max="12" width="12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233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84</v>
      </c>
      <c r="J8" s="13"/>
      <c r="K8" s="14"/>
      <c r="L8" s="14"/>
      <c r="M8" s="14"/>
      <c r="N8" s="14">
        <v>1641.6</v>
      </c>
    </row>
    <row r="9" spans="1:14">
      <c r="D9" s="15">
        <v>46086</v>
      </c>
      <c r="E9" s="16">
        <v>1582547</v>
      </c>
      <c r="F9" s="16" t="s">
        <v>16</v>
      </c>
      <c r="G9" s="16">
        <v>20324400</v>
      </c>
      <c r="H9" s="16" t="s">
        <v>148</v>
      </c>
      <c r="I9" s="16">
        <v>3</v>
      </c>
      <c r="J9" s="32" t="s">
        <v>18</v>
      </c>
      <c r="K9" s="18">
        <f>M9/L9</f>
        <v>4</v>
      </c>
      <c r="L9" s="19">
        <v>4.4</v>
      </c>
      <c r="M9" s="20">
        <v>17.6</v>
      </c>
      <c r="N9" s="20">
        <v>52.8</v>
      </c>
    </row>
    <row r="10" spans="1:14">
      <c r="D10" s="21">
        <v>46086</v>
      </c>
      <c r="E10" s="22">
        <v>1582547</v>
      </c>
      <c r="F10" s="22" t="s">
        <v>16</v>
      </c>
      <c r="G10" s="22">
        <v>20324399</v>
      </c>
      <c r="H10" s="22" t="s">
        <v>149</v>
      </c>
      <c r="I10" s="22">
        <v>1</v>
      </c>
      <c r="J10" s="28" t="s">
        <v>18</v>
      </c>
      <c r="K10" s="24">
        <f>M10/L10</f>
        <v>12</v>
      </c>
      <c r="L10" s="25">
        <v>4.4</v>
      </c>
      <c r="M10" s="26">
        <v>52.8</v>
      </c>
      <c r="N10" s="26">
        <v>52.8</v>
      </c>
    </row>
    <row r="11" spans="1:14">
      <c r="D11" s="21">
        <v>46092</v>
      </c>
      <c r="E11" s="22">
        <v>1584755</v>
      </c>
      <c r="F11" s="22" t="s">
        <v>16</v>
      </c>
      <c r="G11" s="22">
        <v>20324400</v>
      </c>
      <c r="H11" s="22" t="s">
        <v>148</v>
      </c>
      <c r="I11" s="22">
        <v>7</v>
      </c>
      <c r="J11" s="28" t="s">
        <v>18</v>
      </c>
      <c r="K11" s="24">
        <f t="shared" ref="K11:K16" si="0">M11/L11</f>
        <v>4</v>
      </c>
      <c r="L11" s="25">
        <v>4.4</v>
      </c>
      <c r="M11" s="26">
        <v>17.6</v>
      </c>
      <c r="N11" s="26">
        <v>123.2</v>
      </c>
    </row>
    <row r="12" spans="1:14">
      <c r="D12" s="21">
        <v>46092</v>
      </c>
      <c r="E12" s="22">
        <v>1584755</v>
      </c>
      <c r="F12" s="22" t="s">
        <v>20</v>
      </c>
      <c r="G12" s="22">
        <v>20324369</v>
      </c>
      <c r="H12" s="22" t="s">
        <v>169</v>
      </c>
      <c r="I12" s="22">
        <v>1</v>
      </c>
      <c r="J12" s="28" t="s">
        <v>18</v>
      </c>
      <c r="K12" s="24">
        <f t="shared" si="0"/>
        <v>3</v>
      </c>
      <c r="L12" s="25">
        <v>4.4</v>
      </c>
      <c r="M12" s="26">
        <v>13.2</v>
      </c>
      <c r="N12" s="26">
        <v>13.2</v>
      </c>
    </row>
    <row r="13" spans="1:14">
      <c r="D13" s="21">
        <v>46094</v>
      </c>
      <c r="E13" s="22">
        <v>1585560</v>
      </c>
      <c r="F13" s="22" t="s">
        <v>20</v>
      </c>
      <c r="G13" s="22">
        <v>20324403</v>
      </c>
      <c r="H13" s="22" t="s">
        <v>142</v>
      </c>
      <c r="I13" s="22">
        <v>3</v>
      </c>
      <c r="J13" s="23" t="s">
        <v>22</v>
      </c>
      <c r="K13" s="24">
        <v>1</v>
      </c>
      <c r="L13" s="25">
        <v>6.4</v>
      </c>
      <c r="M13" s="26">
        <v>6.4</v>
      </c>
      <c r="N13" s="26">
        <v>19.2</v>
      </c>
    </row>
    <row r="14" spans="1:14">
      <c r="D14" s="21">
        <v>46094</v>
      </c>
      <c r="E14" s="22">
        <v>1585560</v>
      </c>
      <c r="F14" s="22" t="s">
        <v>20</v>
      </c>
      <c r="G14" s="22">
        <v>20324367</v>
      </c>
      <c r="H14" s="22" t="s">
        <v>146</v>
      </c>
      <c r="I14" s="22">
        <v>1</v>
      </c>
      <c r="J14" s="23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46094</v>
      </c>
      <c r="E15" s="22">
        <v>1585560</v>
      </c>
      <c r="F15" s="22" t="s">
        <v>16</v>
      </c>
      <c r="G15" s="22">
        <v>20324400</v>
      </c>
      <c r="H15" s="22" t="s">
        <v>148</v>
      </c>
      <c r="I15" s="22">
        <v>5</v>
      </c>
      <c r="J15" s="28" t="s">
        <v>18</v>
      </c>
      <c r="K15" s="24">
        <f t="shared" si="0"/>
        <v>4</v>
      </c>
      <c r="L15" s="25">
        <v>4.4</v>
      </c>
      <c r="M15" s="26">
        <v>17.6</v>
      </c>
      <c r="N15" s="26">
        <v>88</v>
      </c>
    </row>
    <row r="16" spans="1:14">
      <c r="D16" s="21">
        <v>46098</v>
      </c>
      <c r="E16" s="22">
        <v>1586875</v>
      </c>
      <c r="F16" s="22" t="s">
        <v>16</v>
      </c>
      <c r="G16" s="22">
        <v>20324400</v>
      </c>
      <c r="H16" s="22" t="s">
        <v>148</v>
      </c>
      <c r="I16" s="22">
        <v>9</v>
      </c>
      <c r="J16" s="28" t="s">
        <v>18</v>
      </c>
      <c r="K16" s="24">
        <f t="shared" si="0"/>
        <v>4</v>
      </c>
      <c r="L16" s="25">
        <v>4.4</v>
      </c>
      <c r="M16" s="26">
        <v>17.6</v>
      </c>
      <c r="N16" s="26">
        <v>158.4</v>
      </c>
    </row>
    <row r="17" spans="4:14">
      <c r="D17" s="21">
        <v>46098</v>
      </c>
      <c r="E17" s="22">
        <v>1586875</v>
      </c>
      <c r="F17" s="22" t="s">
        <v>20</v>
      </c>
      <c r="G17" s="22">
        <v>20324369</v>
      </c>
      <c r="H17" s="22" t="s">
        <v>169</v>
      </c>
      <c r="I17" s="22">
        <v>1</v>
      </c>
      <c r="J17" s="28" t="s">
        <v>18</v>
      </c>
      <c r="K17" s="24">
        <f t="shared" ref="K17:K23" si="1">M17/L17</f>
        <v>3</v>
      </c>
      <c r="L17" s="25">
        <v>4.4</v>
      </c>
      <c r="M17" s="26">
        <v>13.2</v>
      </c>
      <c r="N17" s="26">
        <v>13.2</v>
      </c>
    </row>
    <row r="18" spans="4:14">
      <c r="D18" s="21">
        <v>46100</v>
      </c>
      <c r="E18" s="22">
        <v>1587574</v>
      </c>
      <c r="F18" s="22" t="s">
        <v>20</v>
      </c>
      <c r="G18" s="22">
        <v>20324364</v>
      </c>
      <c r="H18" s="22" t="s">
        <v>23</v>
      </c>
      <c r="I18" s="22">
        <v>1</v>
      </c>
      <c r="J18" s="23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46100</v>
      </c>
      <c r="E19" s="22">
        <v>1587574</v>
      </c>
      <c r="F19" s="22" t="s">
        <v>16</v>
      </c>
      <c r="G19" s="22">
        <v>20324400</v>
      </c>
      <c r="H19" s="22" t="s">
        <v>148</v>
      </c>
      <c r="I19" s="22">
        <v>6</v>
      </c>
      <c r="J19" s="28" t="s">
        <v>18</v>
      </c>
      <c r="K19" s="24">
        <f t="shared" si="1"/>
        <v>4</v>
      </c>
      <c r="L19" s="25">
        <v>4.4</v>
      </c>
      <c r="M19" s="26">
        <v>17.6</v>
      </c>
      <c r="N19" s="26">
        <v>105.6</v>
      </c>
    </row>
    <row r="20" spans="4:14">
      <c r="D20" s="21">
        <v>46100</v>
      </c>
      <c r="E20" s="22">
        <v>1587574</v>
      </c>
      <c r="F20" s="22" t="s">
        <v>16</v>
      </c>
      <c r="G20" s="22">
        <v>20324399</v>
      </c>
      <c r="H20" s="22" t="s">
        <v>149</v>
      </c>
      <c r="I20" s="22">
        <v>1</v>
      </c>
      <c r="J20" s="28" t="s">
        <v>18</v>
      </c>
      <c r="K20" s="24">
        <f t="shared" si="1"/>
        <v>12</v>
      </c>
      <c r="L20" s="25">
        <v>4.4</v>
      </c>
      <c r="M20" s="26">
        <v>52.8</v>
      </c>
      <c r="N20" s="26">
        <v>52.8</v>
      </c>
    </row>
    <row r="21" spans="4:14">
      <c r="D21" s="21">
        <v>46106</v>
      </c>
      <c r="E21" s="22">
        <v>1588812</v>
      </c>
      <c r="F21" s="22" t="s">
        <v>20</v>
      </c>
      <c r="G21" s="22">
        <v>20324367</v>
      </c>
      <c r="H21" s="22" t="s">
        <v>146</v>
      </c>
      <c r="I21" s="22">
        <v>1</v>
      </c>
      <c r="J21" s="23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46106</v>
      </c>
      <c r="E22" s="22">
        <v>1588812</v>
      </c>
      <c r="F22" s="22" t="s">
        <v>16</v>
      </c>
      <c r="G22" s="22">
        <v>20324400</v>
      </c>
      <c r="H22" s="22" t="s">
        <v>148</v>
      </c>
      <c r="I22" s="22">
        <v>12</v>
      </c>
      <c r="J22" s="28" t="s">
        <v>18</v>
      </c>
      <c r="K22" s="24">
        <f t="shared" si="1"/>
        <v>4</v>
      </c>
      <c r="L22" s="25">
        <v>4.4</v>
      </c>
      <c r="M22" s="26">
        <v>17.6</v>
      </c>
      <c r="N22" s="26">
        <v>211.2</v>
      </c>
    </row>
    <row r="23" spans="4:14">
      <c r="D23" s="21">
        <v>46106</v>
      </c>
      <c r="E23" s="22">
        <v>1588812</v>
      </c>
      <c r="F23" s="22" t="s">
        <v>16</v>
      </c>
      <c r="G23" s="22">
        <v>20324399</v>
      </c>
      <c r="H23" s="22" t="s">
        <v>149</v>
      </c>
      <c r="I23" s="22">
        <v>2</v>
      </c>
      <c r="J23" s="28" t="s">
        <v>18</v>
      </c>
      <c r="K23" s="24">
        <f t="shared" si="1"/>
        <v>12</v>
      </c>
      <c r="L23" s="25">
        <v>4.4</v>
      </c>
      <c r="M23" s="26">
        <v>52.8</v>
      </c>
      <c r="N23" s="26">
        <v>105.6</v>
      </c>
    </row>
    <row r="24" spans="4:14">
      <c r="D24" s="21">
        <v>46106</v>
      </c>
      <c r="E24" s="22">
        <v>1588812</v>
      </c>
      <c r="F24" s="22" t="s">
        <v>20</v>
      </c>
      <c r="G24" s="22">
        <v>20324369</v>
      </c>
      <c r="H24" s="22" t="s">
        <v>169</v>
      </c>
      <c r="I24" s="22">
        <v>1</v>
      </c>
      <c r="J24" s="28" t="s">
        <v>18</v>
      </c>
      <c r="K24" s="24">
        <f t="shared" ref="K24:K30" si="2">M24/L24</f>
        <v>3</v>
      </c>
      <c r="L24" s="25">
        <v>4.4</v>
      </c>
      <c r="M24" s="26">
        <v>13.2</v>
      </c>
      <c r="N24" s="26">
        <v>13.2</v>
      </c>
    </row>
    <row r="25" spans="4:14">
      <c r="D25" s="21">
        <v>46107</v>
      </c>
      <c r="E25" s="22">
        <v>1589535</v>
      </c>
      <c r="F25" s="22" t="s">
        <v>16</v>
      </c>
      <c r="G25" s="22">
        <v>20324400</v>
      </c>
      <c r="H25" s="22" t="s">
        <v>148</v>
      </c>
      <c r="I25" s="22">
        <v>8</v>
      </c>
      <c r="J25" s="28" t="s">
        <v>18</v>
      </c>
      <c r="K25" s="24">
        <f t="shared" si="2"/>
        <v>4</v>
      </c>
      <c r="L25" s="25">
        <v>4.4</v>
      </c>
      <c r="M25" s="26">
        <v>17.6</v>
      </c>
      <c r="N25" s="26">
        <v>140.8</v>
      </c>
    </row>
    <row r="26" spans="4:14">
      <c r="D26" s="21">
        <v>46112</v>
      </c>
      <c r="E26" s="22">
        <v>1590885</v>
      </c>
      <c r="F26" s="22" t="s">
        <v>20</v>
      </c>
      <c r="G26" s="22">
        <v>20324364</v>
      </c>
      <c r="H26" s="22" t="s">
        <v>23</v>
      </c>
      <c r="I26" s="22">
        <v>1</v>
      </c>
      <c r="J26" s="23" t="s">
        <v>22</v>
      </c>
      <c r="K26" s="24">
        <v>1</v>
      </c>
      <c r="L26" s="25">
        <v>6.4</v>
      </c>
      <c r="M26" s="26">
        <v>6.4</v>
      </c>
      <c r="N26" s="26">
        <v>6.4</v>
      </c>
    </row>
    <row r="27" spans="4:14">
      <c r="D27" s="21">
        <v>46112</v>
      </c>
      <c r="E27" s="22">
        <v>1590885</v>
      </c>
      <c r="F27" s="22" t="s">
        <v>20</v>
      </c>
      <c r="G27" s="22">
        <v>20324403</v>
      </c>
      <c r="H27" s="22" t="s">
        <v>142</v>
      </c>
      <c r="I27" s="22">
        <v>2</v>
      </c>
      <c r="J27" s="23" t="s">
        <v>22</v>
      </c>
      <c r="K27" s="24">
        <v>1</v>
      </c>
      <c r="L27" s="25">
        <v>6.4</v>
      </c>
      <c r="M27" s="26">
        <v>6.4</v>
      </c>
      <c r="N27" s="26">
        <v>12.8</v>
      </c>
    </row>
    <row r="28" spans="4:14">
      <c r="D28" s="21">
        <v>46112</v>
      </c>
      <c r="E28" s="22">
        <v>1590885</v>
      </c>
      <c r="F28" s="22" t="s">
        <v>16</v>
      </c>
      <c r="G28" s="22">
        <v>20324400</v>
      </c>
      <c r="H28" s="22" t="s">
        <v>148</v>
      </c>
      <c r="I28" s="22">
        <v>13</v>
      </c>
      <c r="J28" s="28" t="s">
        <v>18</v>
      </c>
      <c r="K28" s="24">
        <f t="shared" si="2"/>
        <v>4</v>
      </c>
      <c r="L28" s="25">
        <v>4.4</v>
      </c>
      <c r="M28" s="26">
        <v>17.6</v>
      </c>
      <c r="N28" s="26">
        <v>228.8</v>
      </c>
    </row>
    <row r="29" spans="4:14">
      <c r="D29" s="21">
        <v>46112</v>
      </c>
      <c r="E29" s="22">
        <v>1590885</v>
      </c>
      <c r="F29" s="22" t="s">
        <v>16</v>
      </c>
      <c r="G29" s="22">
        <v>20324399</v>
      </c>
      <c r="H29" s="22" t="s">
        <v>149</v>
      </c>
      <c r="I29" s="22">
        <v>4</v>
      </c>
      <c r="J29" s="28" t="s">
        <v>18</v>
      </c>
      <c r="K29" s="24">
        <f t="shared" si="2"/>
        <v>12</v>
      </c>
      <c r="L29" s="25">
        <v>4.4</v>
      </c>
      <c r="M29" s="26">
        <v>52.8</v>
      </c>
      <c r="N29" s="26">
        <v>211.2</v>
      </c>
    </row>
    <row r="30" spans="4:14">
      <c r="D30" s="21">
        <v>46112</v>
      </c>
      <c r="E30" s="22">
        <v>1590885</v>
      </c>
      <c r="F30" s="22" t="s">
        <v>20</v>
      </c>
      <c r="G30" s="22">
        <v>20324369</v>
      </c>
      <c r="H30" s="22" t="s">
        <v>169</v>
      </c>
      <c r="I30" s="22">
        <v>1</v>
      </c>
      <c r="J30" s="28" t="s">
        <v>18</v>
      </c>
      <c r="K30" s="24">
        <f t="shared" si="2"/>
        <v>3</v>
      </c>
      <c r="L30" s="25">
        <v>4.4</v>
      </c>
      <c r="M30" s="26">
        <v>13.2</v>
      </c>
      <c r="N30" s="26">
        <v>13.2</v>
      </c>
    </row>
  </sheetData>
  <autoFilter xmlns:etc="http://www.wps.cn/officeDocument/2017/etCustomData" ref="A7:N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J27" sqref="J2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9.75" customWidth="1"/>
    <col min="11" max="11" width="18" customWidth="1"/>
    <col min="12" max="12" width="12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234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11</v>
      </c>
      <c r="J8" s="13"/>
      <c r="K8" s="14"/>
      <c r="L8" s="14"/>
      <c r="M8" s="14"/>
      <c r="N8" s="14">
        <v>70.4</v>
      </c>
    </row>
    <row r="9" spans="1:14">
      <c r="D9" s="15">
        <v>46098</v>
      </c>
      <c r="E9" s="16">
        <v>1586876</v>
      </c>
      <c r="F9" s="16" t="s">
        <v>20</v>
      </c>
      <c r="G9" s="16">
        <v>20324364</v>
      </c>
      <c r="H9" s="16" t="s">
        <v>23</v>
      </c>
      <c r="I9" s="16">
        <v>9</v>
      </c>
      <c r="J9" s="17" t="s">
        <v>22</v>
      </c>
      <c r="K9" s="18">
        <v>1</v>
      </c>
      <c r="L9" s="19">
        <v>6.4</v>
      </c>
      <c r="M9" s="20">
        <v>6.4</v>
      </c>
      <c r="N9" s="20">
        <v>57.6</v>
      </c>
    </row>
    <row r="10" spans="1:14">
      <c r="D10" s="21">
        <v>46098</v>
      </c>
      <c r="E10" s="22">
        <v>1586876</v>
      </c>
      <c r="F10" s="22" t="s">
        <v>20</v>
      </c>
      <c r="G10" s="22">
        <v>20324363</v>
      </c>
      <c r="H10" s="22" t="s">
        <v>91</v>
      </c>
      <c r="I10" s="22">
        <v>2</v>
      </c>
      <c r="J10" s="23" t="s">
        <v>22</v>
      </c>
      <c r="K10" s="24">
        <v>1</v>
      </c>
      <c r="L10" s="25">
        <v>6.4</v>
      </c>
      <c r="M10" s="26">
        <v>6.4</v>
      </c>
      <c r="N10" s="26">
        <v>12.8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9.75" customWidth="1"/>
    <col min="11" max="11" width="18" customWidth="1"/>
    <col min="12" max="12" width="12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235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34</v>
      </c>
      <c r="J8" s="13"/>
      <c r="K8" s="14"/>
      <c r="L8" s="14"/>
      <c r="M8" s="14"/>
      <c r="N8" s="14">
        <v>108.8</v>
      </c>
    </row>
    <row r="9" spans="1:14">
      <c r="D9" s="15">
        <v>46086</v>
      </c>
      <c r="E9" s="16">
        <v>1582548</v>
      </c>
      <c r="F9" s="16" t="s">
        <v>55</v>
      </c>
      <c r="G9" s="16">
        <v>20354932</v>
      </c>
      <c r="H9" s="16" t="s">
        <v>236</v>
      </c>
      <c r="I9" s="16">
        <v>8</v>
      </c>
      <c r="J9" s="113" t="s">
        <v>57</v>
      </c>
      <c r="K9" s="18">
        <v>1</v>
      </c>
      <c r="L9" s="19">
        <v>3.2</v>
      </c>
      <c r="M9" s="20">
        <v>3.2</v>
      </c>
      <c r="N9" s="20">
        <v>25.6</v>
      </c>
    </row>
    <row r="10" spans="1:14">
      <c r="D10" s="21">
        <v>46093</v>
      </c>
      <c r="E10" s="22">
        <v>1585512</v>
      </c>
      <c r="F10" s="22" t="s">
        <v>55</v>
      </c>
      <c r="G10" s="22">
        <v>20354932</v>
      </c>
      <c r="H10" s="22" t="s">
        <v>236</v>
      </c>
      <c r="I10" s="22">
        <v>7</v>
      </c>
      <c r="J10" s="30" t="s">
        <v>57</v>
      </c>
      <c r="K10" s="24">
        <v>1</v>
      </c>
      <c r="L10" s="25">
        <v>3.2</v>
      </c>
      <c r="M10" s="26">
        <v>3.2</v>
      </c>
      <c r="N10" s="26">
        <v>22.4</v>
      </c>
    </row>
    <row r="11" spans="1:14">
      <c r="D11" s="21">
        <v>46100</v>
      </c>
      <c r="E11" s="22">
        <v>1587537</v>
      </c>
      <c r="F11" s="22" t="s">
        <v>55</v>
      </c>
      <c r="G11" s="22">
        <v>20354932</v>
      </c>
      <c r="H11" s="22" t="s">
        <v>236</v>
      </c>
      <c r="I11" s="22">
        <v>10</v>
      </c>
      <c r="J11" s="30" t="s">
        <v>57</v>
      </c>
      <c r="K11" s="24">
        <v>1</v>
      </c>
      <c r="L11" s="25">
        <v>3.2</v>
      </c>
      <c r="M11" s="26">
        <v>3.2</v>
      </c>
      <c r="N11" s="26">
        <v>32</v>
      </c>
    </row>
    <row r="12" spans="1:14">
      <c r="D12" s="21">
        <v>46107</v>
      </c>
      <c r="E12" s="22">
        <v>1589536</v>
      </c>
      <c r="F12" s="22" t="s">
        <v>55</v>
      </c>
      <c r="G12" s="22">
        <v>20354932</v>
      </c>
      <c r="H12" s="22" t="s">
        <v>236</v>
      </c>
      <c r="I12" s="22">
        <v>9</v>
      </c>
      <c r="J12" s="30" t="s">
        <v>57</v>
      </c>
      <c r="K12" s="24">
        <v>1</v>
      </c>
      <c r="L12" s="25">
        <v>3.2</v>
      </c>
      <c r="M12" s="26">
        <v>3.2</v>
      </c>
      <c r="N12" s="26">
        <v>28.8</v>
      </c>
    </row>
    <row r="13" ht="0.05" hidden="1" customHeight="1" spans="1:14">
      <c r="D13" s="114"/>
      <c r="E13" s="114"/>
      <c r="F13" s="114"/>
      <c r="G13" s="114"/>
      <c r="H13" s="114"/>
      <c r="I13" s="114"/>
      <c r="J13" s="28"/>
      <c r="K13" s="24"/>
      <c r="L13" s="25"/>
      <c r="M13" s="115"/>
      <c r="N13" s="115"/>
    </row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9.75" customWidth="1"/>
    <col min="11" max="11" width="18" customWidth="1"/>
    <col min="12" max="12" width="12.5" customWidth="1"/>
    <col min="13" max="13" width="12.2083333333333" customWidth="1"/>
    <col min="14" max="14" width="11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237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</v>
      </c>
      <c r="J8" s="13"/>
      <c r="K8" s="14"/>
      <c r="L8" s="14"/>
      <c r="M8" s="14"/>
      <c r="N8" s="14">
        <v>28</v>
      </c>
    </row>
    <row r="9" spans="1:14">
      <c r="D9" s="15">
        <v>46104</v>
      </c>
      <c r="E9" s="16">
        <v>1588479</v>
      </c>
      <c r="F9" s="16" t="s">
        <v>20</v>
      </c>
      <c r="G9" s="16">
        <v>20324557</v>
      </c>
      <c r="H9" s="16" t="s">
        <v>137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46104</v>
      </c>
      <c r="E10" s="22">
        <v>1588479</v>
      </c>
      <c r="F10" s="22" t="s">
        <v>20</v>
      </c>
      <c r="G10" s="22">
        <v>20324559</v>
      </c>
      <c r="H10" s="22" t="s">
        <v>138</v>
      </c>
      <c r="I10" s="22">
        <v>1</v>
      </c>
      <c r="J10" s="27" t="s">
        <v>25</v>
      </c>
      <c r="K10" s="24">
        <v>1</v>
      </c>
      <c r="L10" s="25">
        <v>8.8</v>
      </c>
      <c r="M10" s="26">
        <v>8.8</v>
      </c>
      <c r="N10" s="26">
        <v>8.8</v>
      </c>
    </row>
    <row r="11" spans="1:14">
      <c r="D11" s="21">
        <v>46104</v>
      </c>
      <c r="E11" s="22">
        <v>1588479</v>
      </c>
      <c r="F11" s="22" t="s">
        <v>20</v>
      </c>
      <c r="G11" s="22">
        <v>20324363</v>
      </c>
      <c r="H11" s="22" t="s">
        <v>91</v>
      </c>
      <c r="I11" s="22">
        <v>2</v>
      </c>
      <c r="J11" s="23" t="s">
        <v>22</v>
      </c>
      <c r="K11" s="24">
        <v>1</v>
      </c>
      <c r="L11" s="25">
        <v>6.4</v>
      </c>
      <c r="M11" s="26">
        <v>6.4</v>
      </c>
      <c r="N11" s="26">
        <v>12.8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5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8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" customWidth="1"/>
    <col min="12" max="12" width="13.125" customWidth="1"/>
    <col min="13" max="13" width="12.2083333333333" customWidth="1"/>
    <col min="14" max="14" width="12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238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435</v>
      </c>
      <c r="J8" s="13"/>
      <c r="K8" s="14"/>
      <c r="L8" s="14"/>
      <c r="M8" s="14"/>
      <c r="N8" s="14">
        <v>2912</v>
      </c>
    </row>
    <row r="9" spans="1:14">
      <c r="D9" s="15">
        <v>46083</v>
      </c>
      <c r="E9" s="16">
        <v>1581564</v>
      </c>
      <c r="F9" s="16" t="s">
        <v>20</v>
      </c>
      <c r="G9" s="16">
        <v>20324516</v>
      </c>
      <c r="H9" s="16" t="s">
        <v>239</v>
      </c>
      <c r="I9" s="16">
        <v>3</v>
      </c>
      <c r="J9" s="17" t="s">
        <v>22</v>
      </c>
      <c r="K9" s="18">
        <v>1</v>
      </c>
      <c r="L9" s="19">
        <v>6.4</v>
      </c>
      <c r="M9" s="20">
        <v>6.4</v>
      </c>
      <c r="N9" s="20">
        <v>19.2</v>
      </c>
    </row>
    <row r="10" spans="1:14">
      <c r="D10" s="21">
        <v>46083</v>
      </c>
      <c r="E10" s="22">
        <v>1581564</v>
      </c>
      <c r="F10" s="22" t="s">
        <v>20</v>
      </c>
      <c r="G10" s="22">
        <v>20324514</v>
      </c>
      <c r="H10" s="22" t="s">
        <v>240</v>
      </c>
      <c r="I10" s="22">
        <v>2</v>
      </c>
      <c r="J10" s="23" t="s">
        <v>22</v>
      </c>
      <c r="K10" s="24">
        <v>1</v>
      </c>
      <c r="L10" s="25">
        <v>6.4</v>
      </c>
      <c r="M10" s="26">
        <v>6.4</v>
      </c>
      <c r="N10" s="26">
        <v>12.8</v>
      </c>
    </row>
    <row r="11" spans="1:14">
      <c r="D11" s="21">
        <v>46083</v>
      </c>
      <c r="E11" s="22">
        <v>1581564</v>
      </c>
      <c r="F11" s="22" t="s">
        <v>20</v>
      </c>
      <c r="G11" s="22">
        <v>20324535</v>
      </c>
      <c r="H11" s="22" t="s">
        <v>241</v>
      </c>
      <c r="I11" s="22">
        <v>2</v>
      </c>
      <c r="J11" s="23" t="s">
        <v>22</v>
      </c>
      <c r="K11" s="24">
        <v>1</v>
      </c>
      <c r="L11" s="25">
        <v>6.4</v>
      </c>
      <c r="M11" s="26">
        <v>6.4</v>
      </c>
      <c r="N11" s="26">
        <v>12.8</v>
      </c>
    </row>
    <row r="12" spans="1:14">
      <c r="D12" s="21">
        <v>46083</v>
      </c>
      <c r="E12" s="22">
        <v>1581564</v>
      </c>
      <c r="F12" s="22" t="s">
        <v>20</v>
      </c>
      <c r="G12" s="22">
        <v>20324803</v>
      </c>
      <c r="H12" s="22" t="s">
        <v>242</v>
      </c>
      <c r="I12" s="22">
        <v>2</v>
      </c>
      <c r="J12" s="27" t="s">
        <v>25</v>
      </c>
      <c r="K12" s="24">
        <v>1</v>
      </c>
      <c r="L12" s="25">
        <v>8.8</v>
      </c>
      <c r="M12" s="26">
        <v>8.8</v>
      </c>
      <c r="N12" s="26">
        <v>17.6</v>
      </c>
    </row>
    <row r="13" spans="1:14">
      <c r="D13" s="21">
        <v>46083</v>
      </c>
      <c r="E13" s="22">
        <v>1581564</v>
      </c>
      <c r="F13" s="22" t="s">
        <v>20</v>
      </c>
      <c r="G13" s="22">
        <v>20324899</v>
      </c>
      <c r="H13" s="22" t="s">
        <v>243</v>
      </c>
      <c r="I13" s="22">
        <v>2</v>
      </c>
      <c r="J13" s="23" t="s">
        <v>22</v>
      </c>
      <c r="K13" s="24">
        <v>1</v>
      </c>
      <c r="L13" s="25">
        <v>6.4</v>
      </c>
      <c r="M13" s="26">
        <v>6.4</v>
      </c>
      <c r="N13" s="26">
        <v>12.8</v>
      </c>
    </row>
    <row r="14" spans="1:14">
      <c r="D14" s="21">
        <v>46083</v>
      </c>
      <c r="E14" s="22">
        <v>1581564</v>
      </c>
      <c r="F14" s="22" t="s">
        <v>20</v>
      </c>
      <c r="G14" s="22">
        <v>20324801</v>
      </c>
      <c r="H14" s="22" t="s">
        <v>244</v>
      </c>
      <c r="I14" s="22">
        <v>5</v>
      </c>
      <c r="J14" s="23" t="s">
        <v>22</v>
      </c>
      <c r="K14" s="24">
        <v>1</v>
      </c>
      <c r="L14" s="25">
        <v>6.4</v>
      </c>
      <c r="M14" s="26">
        <v>6.4</v>
      </c>
      <c r="N14" s="26">
        <v>32</v>
      </c>
    </row>
    <row r="15" spans="1:14">
      <c r="D15" s="21">
        <v>46083</v>
      </c>
      <c r="E15" s="22">
        <v>1581564</v>
      </c>
      <c r="F15" s="22" t="s">
        <v>20</v>
      </c>
      <c r="G15" s="22">
        <v>20324546</v>
      </c>
      <c r="H15" s="22" t="s">
        <v>245</v>
      </c>
      <c r="I15" s="22">
        <v>1</v>
      </c>
      <c r="J15" s="23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21">
        <v>46083</v>
      </c>
      <c r="E16" s="22">
        <v>1581564</v>
      </c>
      <c r="F16" s="22" t="s">
        <v>20</v>
      </c>
      <c r="G16" s="22">
        <v>20324364</v>
      </c>
      <c r="H16" s="22" t="s">
        <v>23</v>
      </c>
      <c r="I16" s="22">
        <v>1</v>
      </c>
      <c r="J16" s="23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46083</v>
      </c>
      <c r="E17" s="22">
        <v>1581564</v>
      </c>
      <c r="F17" s="22" t="s">
        <v>20</v>
      </c>
      <c r="G17" s="22">
        <v>20324534</v>
      </c>
      <c r="H17" s="22" t="s">
        <v>246</v>
      </c>
      <c r="I17" s="22">
        <v>21</v>
      </c>
      <c r="J17" s="23" t="s">
        <v>22</v>
      </c>
      <c r="K17" s="24">
        <v>1</v>
      </c>
      <c r="L17" s="25">
        <v>6.4</v>
      </c>
      <c r="M17" s="26">
        <v>6.4</v>
      </c>
      <c r="N17" s="26">
        <v>134.4</v>
      </c>
    </row>
    <row r="18" spans="4:14">
      <c r="D18" s="21">
        <v>46083</v>
      </c>
      <c r="E18" s="22">
        <v>1581564</v>
      </c>
      <c r="F18" s="22" t="s">
        <v>20</v>
      </c>
      <c r="G18" s="22">
        <v>20324545</v>
      </c>
      <c r="H18" s="22" t="s">
        <v>247</v>
      </c>
      <c r="I18" s="22">
        <v>6</v>
      </c>
      <c r="J18" s="23" t="s">
        <v>22</v>
      </c>
      <c r="K18" s="24">
        <v>1</v>
      </c>
      <c r="L18" s="25">
        <v>6.4</v>
      </c>
      <c r="M18" s="26">
        <v>6.4</v>
      </c>
      <c r="N18" s="26">
        <v>38.4</v>
      </c>
    </row>
    <row r="19" spans="4:14">
      <c r="D19" s="21">
        <v>46085</v>
      </c>
      <c r="E19" s="22">
        <v>1582174</v>
      </c>
      <c r="F19" s="22" t="s">
        <v>20</v>
      </c>
      <c r="G19" s="22">
        <v>20324516</v>
      </c>
      <c r="H19" s="22" t="s">
        <v>239</v>
      </c>
      <c r="I19" s="22">
        <v>1</v>
      </c>
      <c r="J19" s="23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46085</v>
      </c>
      <c r="E20" s="22">
        <v>1582174</v>
      </c>
      <c r="F20" s="22" t="s">
        <v>20</v>
      </c>
      <c r="G20" s="22">
        <v>20324514</v>
      </c>
      <c r="H20" s="22" t="s">
        <v>240</v>
      </c>
      <c r="I20" s="22">
        <v>3</v>
      </c>
      <c r="J20" s="23" t="s">
        <v>22</v>
      </c>
      <c r="K20" s="24">
        <v>1</v>
      </c>
      <c r="L20" s="25">
        <v>6.4</v>
      </c>
      <c r="M20" s="26">
        <v>6.4</v>
      </c>
      <c r="N20" s="26">
        <v>19.2</v>
      </c>
    </row>
    <row r="21" spans="4:14">
      <c r="D21" s="21">
        <v>46085</v>
      </c>
      <c r="E21" s="22">
        <v>1582174</v>
      </c>
      <c r="F21" s="22" t="s">
        <v>20</v>
      </c>
      <c r="G21" s="22">
        <v>20324535</v>
      </c>
      <c r="H21" s="22" t="s">
        <v>241</v>
      </c>
      <c r="I21" s="22">
        <v>1</v>
      </c>
      <c r="J21" s="23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46085</v>
      </c>
      <c r="E22" s="22">
        <v>1582174</v>
      </c>
      <c r="F22" s="22" t="s">
        <v>20</v>
      </c>
      <c r="G22" s="22">
        <v>20324803</v>
      </c>
      <c r="H22" s="22" t="s">
        <v>242</v>
      </c>
      <c r="I22" s="22">
        <v>1</v>
      </c>
      <c r="J22" s="27" t="s">
        <v>25</v>
      </c>
      <c r="K22" s="24">
        <v>1</v>
      </c>
      <c r="L22" s="25">
        <v>8.8</v>
      </c>
      <c r="M22" s="26">
        <v>8.8</v>
      </c>
      <c r="N22" s="26">
        <v>8.8</v>
      </c>
    </row>
    <row r="23" spans="4:14">
      <c r="D23" s="21">
        <v>46085</v>
      </c>
      <c r="E23" s="22">
        <v>1582174</v>
      </c>
      <c r="F23" s="22" t="s">
        <v>20</v>
      </c>
      <c r="G23" s="22">
        <v>20324538</v>
      </c>
      <c r="H23" s="22" t="s">
        <v>248</v>
      </c>
      <c r="I23" s="22">
        <v>1</v>
      </c>
      <c r="J23" s="23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46085</v>
      </c>
      <c r="E24" s="22">
        <v>1582174</v>
      </c>
      <c r="F24" s="22" t="s">
        <v>20</v>
      </c>
      <c r="G24" s="22">
        <v>20324534</v>
      </c>
      <c r="H24" s="22" t="s">
        <v>246</v>
      </c>
      <c r="I24" s="22">
        <v>2</v>
      </c>
      <c r="J24" s="23" t="s">
        <v>22</v>
      </c>
      <c r="K24" s="24">
        <v>1</v>
      </c>
      <c r="L24" s="25">
        <v>6.4</v>
      </c>
      <c r="M24" s="26">
        <v>6.4</v>
      </c>
      <c r="N24" s="26">
        <v>12.8</v>
      </c>
    </row>
    <row r="25" spans="4:14">
      <c r="D25" s="21">
        <v>46085</v>
      </c>
      <c r="E25" s="22">
        <v>1582174</v>
      </c>
      <c r="F25" s="22" t="s">
        <v>20</v>
      </c>
      <c r="G25" s="22">
        <v>20324545</v>
      </c>
      <c r="H25" s="22" t="s">
        <v>247</v>
      </c>
      <c r="I25" s="22">
        <v>2</v>
      </c>
      <c r="J25" s="23" t="s">
        <v>22</v>
      </c>
      <c r="K25" s="24">
        <v>1</v>
      </c>
      <c r="L25" s="25">
        <v>6.4</v>
      </c>
      <c r="M25" s="26">
        <v>6.4</v>
      </c>
      <c r="N25" s="26">
        <v>12.8</v>
      </c>
    </row>
    <row r="26" spans="4:14">
      <c r="D26" s="21">
        <v>46086</v>
      </c>
      <c r="E26" s="22">
        <v>1582549</v>
      </c>
      <c r="F26" s="22" t="s">
        <v>20</v>
      </c>
      <c r="G26" s="22">
        <v>20324803</v>
      </c>
      <c r="H26" s="22" t="s">
        <v>242</v>
      </c>
      <c r="I26" s="22">
        <v>1</v>
      </c>
      <c r="J26" s="27" t="s">
        <v>25</v>
      </c>
      <c r="K26" s="24">
        <v>1</v>
      </c>
      <c r="L26" s="25">
        <v>8.8</v>
      </c>
      <c r="M26" s="26">
        <v>8.8</v>
      </c>
      <c r="N26" s="26">
        <v>8.8</v>
      </c>
    </row>
    <row r="27" spans="4:14">
      <c r="D27" s="21">
        <v>46086</v>
      </c>
      <c r="E27" s="22">
        <v>1582549</v>
      </c>
      <c r="F27" s="22" t="s">
        <v>20</v>
      </c>
      <c r="G27" s="22">
        <v>20324801</v>
      </c>
      <c r="H27" s="22" t="s">
        <v>244</v>
      </c>
      <c r="I27" s="22">
        <v>1</v>
      </c>
      <c r="J27" s="23" t="s">
        <v>22</v>
      </c>
      <c r="K27" s="24">
        <v>1</v>
      </c>
      <c r="L27" s="25">
        <v>6.4</v>
      </c>
      <c r="M27" s="26">
        <v>6.4</v>
      </c>
      <c r="N27" s="26">
        <v>6.4</v>
      </c>
    </row>
    <row r="28" spans="4:14">
      <c r="D28" s="21">
        <v>46086</v>
      </c>
      <c r="E28" s="22">
        <v>1582549</v>
      </c>
      <c r="F28" s="22" t="s">
        <v>20</v>
      </c>
      <c r="G28" s="22">
        <v>20324364</v>
      </c>
      <c r="H28" s="22" t="s">
        <v>23</v>
      </c>
      <c r="I28" s="22">
        <v>1</v>
      </c>
      <c r="J28" s="23" t="s">
        <v>22</v>
      </c>
      <c r="K28" s="24">
        <v>1</v>
      </c>
      <c r="L28" s="25">
        <v>6.4</v>
      </c>
      <c r="M28" s="26">
        <v>6.4</v>
      </c>
      <c r="N28" s="26">
        <v>6.4</v>
      </c>
    </row>
    <row r="29" spans="4:14">
      <c r="D29" s="21">
        <v>46086</v>
      </c>
      <c r="E29" s="22">
        <v>1582549</v>
      </c>
      <c r="F29" s="22" t="s">
        <v>20</v>
      </c>
      <c r="G29" s="22">
        <v>20324538</v>
      </c>
      <c r="H29" s="22" t="s">
        <v>248</v>
      </c>
      <c r="I29" s="22">
        <v>1</v>
      </c>
      <c r="J29" s="23" t="s">
        <v>22</v>
      </c>
      <c r="K29" s="24">
        <v>1</v>
      </c>
      <c r="L29" s="25">
        <v>6.4</v>
      </c>
      <c r="M29" s="26">
        <v>6.4</v>
      </c>
      <c r="N29" s="26">
        <v>6.4</v>
      </c>
    </row>
    <row r="30" spans="4:14">
      <c r="D30" s="21">
        <v>46086</v>
      </c>
      <c r="E30" s="22">
        <v>1582549</v>
      </c>
      <c r="F30" s="22" t="s">
        <v>20</v>
      </c>
      <c r="G30" s="22">
        <v>20324534</v>
      </c>
      <c r="H30" s="22" t="s">
        <v>246</v>
      </c>
      <c r="I30" s="22">
        <v>7</v>
      </c>
      <c r="J30" s="23" t="s">
        <v>22</v>
      </c>
      <c r="K30" s="24">
        <v>1</v>
      </c>
      <c r="L30" s="25">
        <v>6.4</v>
      </c>
      <c r="M30" s="26">
        <v>6.4</v>
      </c>
      <c r="N30" s="26">
        <v>44.8</v>
      </c>
    </row>
    <row r="31" spans="4:14">
      <c r="D31" s="21">
        <v>46087</v>
      </c>
      <c r="E31" s="22">
        <v>1582889</v>
      </c>
      <c r="F31" s="22" t="s">
        <v>20</v>
      </c>
      <c r="G31" s="22">
        <v>20324516</v>
      </c>
      <c r="H31" s="22" t="s">
        <v>239</v>
      </c>
      <c r="I31" s="22">
        <v>1</v>
      </c>
      <c r="J31" s="23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spans="4:14">
      <c r="D32" s="21">
        <v>46087</v>
      </c>
      <c r="E32" s="22">
        <v>1582889</v>
      </c>
      <c r="F32" s="22" t="s">
        <v>20</v>
      </c>
      <c r="G32" s="22">
        <v>20324514</v>
      </c>
      <c r="H32" s="22" t="s">
        <v>240</v>
      </c>
      <c r="I32" s="22">
        <v>1</v>
      </c>
      <c r="J32" s="23" t="s">
        <v>22</v>
      </c>
      <c r="K32" s="24">
        <v>1</v>
      </c>
      <c r="L32" s="25">
        <v>6.4</v>
      </c>
      <c r="M32" s="26">
        <v>6.4</v>
      </c>
      <c r="N32" s="26">
        <v>6.4</v>
      </c>
    </row>
    <row r="33" spans="4:14">
      <c r="D33" s="21">
        <v>46087</v>
      </c>
      <c r="E33" s="22">
        <v>1582889</v>
      </c>
      <c r="F33" s="22" t="s">
        <v>20</v>
      </c>
      <c r="G33" s="22">
        <v>20324535</v>
      </c>
      <c r="H33" s="22" t="s">
        <v>241</v>
      </c>
      <c r="I33" s="22">
        <v>2</v>
      </c>
      <c r="J33" s="23" t="s">
        <v>22</v>
      </c>
      <c r="K33" s="24">
        <v>1</v>
      </c>
      <c r="L33" s="25">
        <v>6.4</v>
      </c>
      <c r="M33" s="26">
        <v>6.4</v>
      </c>
      <c r="N33" s="26">
        <v>12.8</v>
      </c>
    </row>
    <row r="34" spans="4:14">
      <c r="D34" s="21">
        <v>46087</v>
      </c>
      <c r="E34" s="22">
        <v>1582889</v>
      </c>
      <c r="F34" s="22" t="s">
        <v>20</v>
      </c>
      <c r="G34" s="22">
        <v>20324803</v>
      </c>
      <c r="H34" s="22" t="s">
        <v>242</v>
      </c>
      <c r="I34" s="22">
        <v>2</v>
      </c>
      <c r="J34" s="27" t="s">
        <v>25</v>
      </c>
      <c r="K34" s="24">
        <v>1</v>
      </c>
      <c r="L34" s="25">
        <v>8.8</v>
      </c>
      <c r="M34" s="26">
        <v>8.8</v>
      </c>
      <c r="N34" s="26">
        <v>17.6</v>
      </c>
    </row>
    <row r="35" spans="4:14">
      <c r="D35" s="21">
        <v>46087</v>
      </c>
      <c r="E35" s="22">
        <v>1582889</v>
      </c>
      <c r="F35" s="22" t="s">
        <v>20</v>
      </c>
      <c r="G35" s="22">
        <v>20324538</v>
      </c>
      <c r="H35" s="22" t="s">
        <v>248</v>
      </c>
      <c r="I35" s="22">
        <v>1</v>
      </c>
      <c r="J35" s="23" t="s">
        <v>22</v>
      </c>
      <c r="K35" s="24">
        <v>1</v>
      </c>
      <c r="L35" s="25">
        <v>6.4</v>
      </c>
      <c r="M35" s="26">
        <v>6.4</v>
      </c>
      <c r="N35" s="26">
        <v>6.4</v>
      </c>
    </row>
    <row r="36" spans="4:14">
      <c r="D36" s="21">
        <v>46087</v>
      </c>
      <c r="E36" s="22">
        <v>1582889</v>
      </c>
      <c r="F36" s="22" t="s">
        <v>20</v>
      </c>
      <c r="G36" s="22">
        <v>20324534</v>
      </c>
      <c r="H36" s="22" t="s">
        <v>246</v>
      </c>
      <c r="I36" s="22">
        <v>11</v>
      </c>
      <c r="J36" s="23" t="s">
        <v>22</v>
      </c>
      <c r="K36" s="24">
        <v>1</v>
      </c>
      <c r="L36" s="25">
        <v>6.4</v>
      </c>
      <c r="M36" s="26">
        <v>6.4</v>
      </c>
      <c r="N36" s="26">
        <v>70.4</v>
      </c>
    </row>
    <row r="37" spans="4:14">
      <c r="D37" s="21">
        <v>46087</v>
      </c>
      <c r="E37" s="22">
        <v>1582889</v>
      </c>
      <c r="F37" s="22" t="s">
        <v>20</v>
      </c>
      <c r="G37" s="22">
        <v>20324545</v>
      </c>
      <c r="H37" s="22" t="s">
        <v>247</v>
      </c>
      <c r="I37" s="22">
        <v>1</v>
      </c>
      <c r="J37" s="23" t="s">
        <v>22</v>
      </c>
      <c r="K37" s="24">
        <v>1</v>
      </c>
      <c r="L37" s="25">
        <v>6.4</v>
      </c>
      <c r="M37" s="26">
        <v>6.4</v>
      </c>
      <c r="N37" s="26">
        <v>6.4</v>
      </c>
    </row>
    <row r="38" spans="4:14">
      <c r="D38" s="21">
        <v>46087</v>
      </c>
      <c r="E38" s="22">
        <v>1582889</v>
      </c>
      <c r="F38" s="22" t="s">
        <v>20</v>
      </c>
      <c r="G38" s="22">
        <v>20330331</v>
      </c>
      <c r="H38" s="22" t="s">
        <v>249</v>
      </c>
      <c r="I38" s="22">
        <v>1</v>
      </c>
      <c r="J38" s="27" t="s">
        <v>175</v>
      </c>
      <c r="K38" s="24">
        <v>1</v>
      </c>
      <c r="L38" s="36">
        <v>10.4</v>
      </c>
      <c r="M38" s="26">
        <v>10.4</v>
      </c>
      <c r="N38" s="26">
        <v>10.4</v>
      </c>
    </row>
    <row r="39" spans="4:14">
      <c r="D39" s="21">
        <v>46090</v>
      </c>
      <c r="E39" s="22">
        <v>1583382</v>
      </c>
      <c r="F39" s="22" t="s">
        <v>20</v>
      </c>
      <c r="G39" s="22">
        <v>20324516</v>
      </c>
      <c r="H39" s="22" t="s">
        <v>239</v>
      </c>
      <c r="I39" s="22">
        <v>1</v>
      </c>
      <c r="J39" s="23" t="s">
        <v>22</v>
      </c>
      <c r="K39" s="24">
        <v>1</v>
      </c>
      <c r="L39" s="25">
        <v>6.4</v>
      </c>
      <c r="M39" s="26">
        <v>6.4</v>
      </c>
      <c r="N39" s="26">
        <v>6.4</v>
      </c>
    </row>
    <row r="40" spans="4:14">
      <c r="D40" s="21">
        <v>46090</v>
      </c>
      <c r="E40" s="22">
        <v>1583382</v>
      </c>
      <c r="F40" s="22" t="s">
        <v>20</v>
      </c>
      <c r="G40" s="22">
        <v>20324514</v>
      </c>
      <c r="H40" s="22" t="s">
        <v>240</v>
      </c>
      <c r="I40" s="22">
        <v>2</v>
      </c>
      <c r="J40" s="23" t="s">
        <v>22</v>
      </c>
      <c r="K40" s="24">
        <v>1</v>
      </c>
      <c r="L40" s="25">
        <v>6.4</v>
      </c>
      <c r="M40" s="26">
        <v>6.4</v>
      </c>
      <c r="N40" s="26">
        <v>12.8</v>
      </c>
    </row>
    <row r="41" spans="4:14">
      <c r="D41" s="21">
        <v>46090</v>
      </c>
      <c r="E41" s="22">
        <v>1583382</v>
      </c>
      <c r="F41" s="22" t="s">
        <v>20</v>
      </c>
      <c r="G41" s="22">
        <v>20324535</v>
      </c>
      <c r="H41" s="22" t="s">
        <v>241</v>
      </c>
      <c r="I41" s="22">
        <v>2</v>
      </c>
      <c r="J41" s="23" t="s">
        <v>22</v>
      </c>
      <c r="K41" s="24">
        <v>1</v>
      </c>
      <c r="L41" s="25">
        <v>6.4</v>
      </c>
      <c r="M41" s="26">
        <v>6.4</v>
      </c>
      <c r="N41" s="26">
        <v>12.8</v>
      </c>
    </row>
    <row r="42" spans="4:14">
      <c r="D42" s="21">
        <v>46090</v>
      </c>
      <c r="E42" s="22">
        <v>1583382</v>
      </c>
      <c r="F42" s="22" t="s">
        <v>20</v>
      </c>
      <c r="G42" s="22">
        <v>20324803</v>
      </c>
      <c r="H42" s="22" t="s">
        <v>242</v>
      </c>
      <c r="I42" s="22">
        <v>2</v>
      </c>
      <c r="J42" s="27" t="s">
        <v>25</v>
      </c>
      <c r="K42" s="24">
        <v>1</v>
      </c>
      <c r="L42" s="25">
        <v>8.8</v>
      </c>
      <c r="M42" s="26">
        <v>8.8</v>
      </c>
      <c r="N42" s="26">
        <v>17.6</v>
      </c>
    </row>
    <row r="43" spans="4:14">
      <c r="D43" s="21">
        <v>46090</v>
      </c>
      <c r="E43" s="22">
        <v>1583382</v>
      </c>
      <c r="F43" s="22" t="s">
        <v>20</v>
      </c>
      <c r="G43" s="22">
        <v>20324801</v>
      </c>
      <c r="H43" s="22" t="s">
        <v>244</v>
      </c>
      <c r="I43" s="22">
        <v>1</v>
      </c>
      <c r="J43" s="23" t="s">
        <v>22</v>
      </c>
      <c r="K43" s="24">
        <v>1</v>
      </c>
      <c r="L43" s="25">
        <v>6.4</v>
      </c>
      <c r="M43" s="26">
        <v>6.4</v>
      </c>
      <c r="N43" s="26">
        <v>6.4</v>
      </c>
    </row>
    <row r="44" spans="4:14">
      <c r="D44" s="21">
        <v>46090</v>
      </c>
      <c r="E44" s="22">
        <v>1583382</v>
      </c>
      <c r="F44" s="22" t="s">
        <v>20</v>
      </c>
      <c r="G44" s="22">
        <v>20373362</v>
      </c>
      <c r="H44" s="22" t="s">
        <v>250</v>
      </c>
      <c r="I44" s="22">
        <v>1</v>
      </c>
      <c r="J44" s="23" t="s">
        <v>22</v>
      </c>
      <c r="K44" s="24">
        <v>1</v>
      </c>
      <c r="L44" s="25">
        <v>6.4</v>
      </c>
      <c r="M44" s="26">
        <v>6.4</v>
      </c>
      <c r="N44" s="26">
        <v>6.4</v>
      </c>
    </row>
    <row r="45" spans="4:14">
      <c r="D45" s="21">
        <v>46090</v>
      </c>
      <c r="E45" s="22">
        <v>1583382</v>
      </c>
      <c r="F45" s="22" t="s">
        <v>20</v>
      </c>
      <c r="G45" s="22">
        <v>20324546</v>
      </c>
      <c r="H45" s="22" t="s">
        <v>245</v>
      </c>
      <c r="I45" s="22">
        <v>1</v>
      </c>
      <c r="J45" s="23" t="s">
        <v>22</v>
      </c>
      <c r="K45" s="24">
        <v>1</v>
      </c>
      <c r="L45" s="25">
        <v>6.4</v>
      </c>
      <c r="M45" s="26">
        <v>6.4</v>
      </c>
      <c r="N45" s="26">
        <v>6.4</v>
      </c>
    </row>
    <row r="46" spans="4:14">
      <c r="D46" s="21">
        <v>46090</v>
      </c>
      <c r="E46" s="22">
        <v>1583382</v>
      </c>
      <c r="F46" s="22" t="s">
        <v>20</v>
      </c>
      <c r="G46" s="22">
        <v>20324538</v>
      </c>
      <c r="H46" s="22" t="s">
        <v>248</v>
      </c>
      <c r="I46" s="22">
        <v>1</v>
      </c>
      <c r="J46" s="23" t="s">
        <v>22</v>
      </c>
      <c r="K46" s="24">
        <v>1</v>
      </c>
      <c r="L46" s="25">
        <v>6.4</v>
      </c>
      <c r="M46" s="26">
        <v>6.4</v>
      </c>
      <c r="N46" s="26">
        <v>6.4</v>
      </c>
    </row>
    <row r="47" spans="4:14">
      <c r="D47" s="21">
        <v>46090</v>
      </c>
      <c r="E47" s="22">
        <v>1583382</v>
      </c>
      <c r="F47" s="22" t="s">
        <v>20</v>
      </c>
      <c r="G47" s="22">
        <v>20324537</v>
      </c>
      <c r="H47" s="22" t="s">
        <v>251</v>
      </c>
      <c r="I47" s="22">
        <v>1</v>
      </c>
      <c r="J47" s="23" t="s">
        <v>22</v>
      </c>
      <c r="K47" s="24">
        <v>1</v>
      </c>
      <c r="L47" s="25">
        <v>6.4</v>
      </c>
      <c r="M47" s="26">
        <v>6.4</v>
      </c>
      <c r="N47" s="26">
        <v>6.4</v>
      </c>
    </row>
    <row r="48" spans="4:14">
      <c r="D48" s="21">
        <v>46090</v>
      </c>
      <c r="E48" s="22">
        <v>1583382</v>
      </c>
      <c r="F48" s="22" t="s">
        <v>20</v>
      </c>
      <c r="G48" s="22">
        <v>20324534</v>
      </c>
      <c r="H48" s="22" t="s">
        <v>246</v>
      </c>
      <c r="I48" s="22">
        <v>12</v>
      </c>
      <c r="J48" s="23" t="s">
        <v>22</v>
      </c>
      <c r="K48" s="24">
        <v>1</v>
      </c>
      <c r="L48" s="25">
        <v>6.4</v>
      </c>
      <c r="M48" s="26">
        <v>6.4</v>
      </c>
      <c r="N48" s="26">
        <v>76.8</v>
      </c>
    </row>
    <row r="49" spans="4:14">
      <c r="D49" s="21">
        <v>46090</v>
      </c>
      <c r="E49" s="22">
        <v>1583382</v>
      </c>
      <c r="F49" s="22" t="s">
        <v>20</v>
      </c>
      <c r="G49" s="22">
        <v>20324545</v>
      </c>
      <c r="H49" s="22" t="s">
        <v>247</v>
      </c>
      <c r="I49" s="22">
        <v>3</v>
      </c>
      <c r="J49" s="23" t="s">
        <v>22</v>
      </c>
      <c r="K49" s="24">
        <v>1</v>
      </c>
      <c r="L49" s="25">
        <v>6.4</v>
      </c>
      <c r="M49" s="26">
        <v>6.4</v>
      </c>
      <c r="N49" s="26">
        <v>19.2</v>
      </c>
    </row>
    <row r="50" spans="4:14">
      <c r="D50" s="21">
        <v>46090</v>
      </c>
      <c r="E50" s="22">
        <v>1583382</v>
      </c>
      <c r="F50" s="22" t="s">
        <v>20</v>
      </c>
      <c r="G50" s="22">
        <v>20330331</v>
      </c>
      <c r="H50" s="22" t="s">
        <v>249</v>
      </c>
      <c r="I50" s="22">
        <v>1</v>
      </c>
      <c r="J50" s="27" t="s">
        <v>175</v>
      </c>
      <c r="K50" s="24">
        <v>1</v>
      </c>
      <c r="L50" s="36">
        <v>10.4</v>
      </c>
      <c r="M50" s="26">
        <v>10.4</v>
      </c>
      <c r="N50" s="26">
        <v>10.4</v>
      </c>
    </row>
    <row r="51" spans="4:14">
      <c r="D51" s="21">
        <v>46092</v>
      </c>
      <c r="E51" s="22">
        <v>1584756</v>
      </c>
      <c r="F51" s="22" t="s">
        <v>20</v>
      </c>
      <c r="G51" s="22">
        <v>20324516</v>
      </c>
      <c r="H51" s="22" t="s">
        <v>239</v>
      </c>
      <c r="I51" s="22">
        <v>1</v>
      </c>
      <c r="J51" s="23" t="s">
        <v>22</v>
      </c>
      <c r="K51" s="24">
        <v>1</v>
      </c>
      <c r="L51" s="25">
        <v>6.4</v>
      </c>
      <c r="M51" s="26">
        <v>6.4</v>
      </c>
      <c r="N51" s="26">
        <v>6.4</v>
      </c>
    </row>
    <row r="52" spans="4:14">
      <c r="D52" s="21">
        <v>46092</v>
      </c>
      <c r="E52" s="22">
        <v>1584756</v>
      </c>
      <c r="F52" s="22" t="s">
        <v>20</v>
      </c>
      <c r="G52" s="22">
        <v>20324514</v>
      </c>
      <c r="H52" s="22" t="s">
        <v>240</v>
      </c>
      <c r="I52" s="22">
        <v>3</v>
      </c>
      <c r="J52" s="23" t="s">
        <v>22</v>
      </c>
      <c r="K52" s="24">
        <v>1</v>
      </c>
      <c r="L52" s="25">
        <v>6.4</v>
      </c>
      <c r="M52" s="26">
        <v>6.4</v>
      </c>
      <c r="N52" s="26">
        <v>19.2</v>
      </c>
    </row>
    <row r="53" spans="4:14">
      <c r="D53" s="21">
        <v>46092</v>
      </c>
      <c r="E53" s="22">
        <v>1584756</v>
      </c>
      <c r="F53" s="22" t="s">
        <v>20</v>
      </c>
      <c r="G53" s="22">
        <v>20324535</v>
      </c>
      <c r="H53" s="22" t="s">
        <v>241</v>
      </c>
      <c r="I53" s="22">
        <v>1</v>
      </c>
      <c r="J53" s="23" t="s">
        <v>22</v>
      </c>
      <c r="K53" s="24">
        <v>1</v>
      </c>
      <c r="L53" s="25">
        <v>6.4</v>
      </c>
      <c r="M53" s="26">
        <v>6.4</v>
      </c>
      <c r="N53" s="26">
        <v>6.4</v>
      </c>
    </row>
    <row r="54" spans="4:14">
      <c r="D54" s="21">
        <v>46092</v>
      </c>
      <c r="E54" s="22">
        <v>1584756</v>
      </c>
      <c r="F54" s="22" t="s">
        <v>20</v>
      </c>
      <c r="G54" s="22">
        <v>20324803</v>
      </c>
      <c r="H54" s="22" t="s">
        <v>242</v>
      </c>
      <c r="I54" s="22">
        <v>2</v>
      </c>
      <c r="J54" s="27" t="s">
        <v>25</v>
      </c>
      <c r="K54" s="24">
        <v>1</v>
      </c>
      <c r="L54" s="25">
        <v>8.8</v>
      </c>
      <c r="M54" s="26">
        <v>8.8</v>
      </c>
      <c r="N54" s="26">
        <v>17.6</v>
      </c>
    </row>
    <row r="55" spans="4:14">
      <c r="D55" s="21">
        <v>46092</v>
      </c>
      <c r="E55" s="22">
        <v>1584756</v>
      </c>
      <c r="F55" s="22" t="s">
        <v>20</v>
      </c>
      <c r="G55" s="22">
        <v>20324801</v>
      </c>
      <c r="H55" s="22" t="s">
        <v>244</v>
      </c>
      <c r="I55" s="22">
        <v>2</v>
      </c>
      <c r="J55" s="23" t="s">
        <v>22</v>
      </c>
      <c r="K55" s="24">
        <v>1</v>
      </c>
      <c r="L55" s="25">
        <v>6.4</v>
      </c>
      <c r="M55" s="26">
        <v>6.4</v>
      </c>
      <c r="N55" s="26">
        <v>12.8</v>
      </c>
    </row>
    <row r="56" spans="4:14">
      <c r="D56" s="21">
        <v>46092</v>
      </c>
      <c r="E56" s="22">
        <v>1584756</v>
      </c>
      <c r="F56" s="22" t="s">
        <v>20</v>
      </c>
      <c r="G56" s="22">
        <v>20324419</v>
      </c>
      <c r="H56" s="22" t="s">
        <v>82</v>
      </c>
      <c r="I56" s="22">
        <v>2</v>
      </c>
      <c r="J56" s="23" t="s">
        <v>22</v>
      </c>
      <c r="K56" s="24">
        <v>1</v>
      </c>
      <c r="L56" s="25">
        <v>6.4</v>
      </c>
      <c r="M56" s="26">
        <v>6.4</v>
      </c>
      <c r="N56" s="26">
        <v>12.8</v>
      </c>
    </row>
    <row r="57" spans="4:14">
      <c r="D57" s="21">
        <v>46092</v>
      </c>
      <c r="E57" s="22">
        <v>1584756</v>
      </c>
      <c r="F57" s="22" t="s">
        <v>20</v>
      </c>
      <c r="G57" s="22">
        <v>20324364</v>
      </c>
      <c r="H57" s="22" t="s">
        <v>23</v>
      </c>
      <c r="I57" s="22">
        <v>1</v>
      </c>
      <c r="J57" s="23" t="s">
        <v>22</v>
      </c>
      <c r="K57" s="24">
        <v>1</v>
      </c>
      <c r="L57" s="25">
        <v>6.4</v>
      </c>
      <c r="M57" s="26">
        <v>6.4</v>
      </c>
      <c r="N57" s="26">
        <v>6.4</v>
      </c>
    </row>
    <row r="58" spans="4:14">
      <c r="D58" s="21">
        <v>46092</v>
      </c>
      <c r="E58" s="22">
        <v>1584756</v>
      </c>
      <c r="F58" s="22" t="s">
        <v>20</v>
      </c>
      <c r="G58" s="22">
        <v>20324534</v>
      </c>
      <c r="H58" s="22" t="s">
        <v>246</v>
      </c>
      <c r="I58" s="22">
        <v>9</v>
      </c>
      <c r="J58" s="23" t="s">
        <v>22</v>
      </c>
      <c r="K58" s="24">
        <v>1</v>
      </c>
      <c r="L58" s="25">
        <v>6.4</v>
      </c>
      <c r="M58" s="26">
        <v>6.4</v>
      </c>
      <c r="N58" s="26">
        <v>57.6</v>
      </c>
    </row>
    <row r="59" spans="4:14">
      <c r="D59" s="21">
        <v>46092</v>
      </c>
      <c r="E59" s="22">
        <v>1584756</v>
      </c>
      <c r="F59" s="22" t="s">
        <v>20</v>
      </c>
      <c r="G59" s="22">
        <v>20324545</v>
      </c>
      <c r="H59" s="22" t="s">
        <v>247</v>
      </c>
      <c r="I59" s="22">
        <v>1</v>
      </c>
      <c r="J59" s="23" t="s">
        <v>22</v>
      </c>
      <c r="K59" s="24">
        <v>1</v>
      </c>
      <c r="L59" s="25">
        <v>6.4</v>
      </c>
      <c r="M59" s="26">
        <v>6.4</v>
      </c>
      <c r="N59" s="26">
        <v>6.4</v>
      </c>
    </row>
    <row r="60" spans="4:14">
      <c r="D60" s="21">
        <v>46092</v>
      </c>
      <c r="E60" s="22">
        <v>1584756</v>
      </c>
      <c r="F60" s="22" t="s">
        <v>20</v>
      </c>
      <c r="G60" s="22">
        <v>20330331</v>
      </c>
      <c r="H60" s="22" t="s">
        <v>249</v>
      </c>
      <c r="I60" s="22">
        <v>1</v>
      </c>
      <c r="J60" s="27" t="s">
        <v>175</v>
      </c>
      <c r="K60" s="24">
        <v>1</v>
      </c>
      <c r="L60" s="36">
        <v>10.4</v>
      </c>
      <c r="M60" s="26">
        <v>10.4</v>
      </c>
      <c r="N60" s="26">
        <v>10.4</v>
      </c>
    </row>
    <row r="61" spans="4:14">
      <c r="D61" s="21">
        <v>46092</v>
      </c>
      <c r="E61" s="22">
        <v>1585137</v>
      </c>
      <c r="F61" s="22" t="s">
        <v>20</v>
      </c>
      <c r="G61" s="22">
        <v>20324803</v>
      </c>
      <c r="H61" s="22" t="s">
        <v>242</v>
      </c>
      <c r="I61" s="22">
        <v>1</v>
      </c>
      <c r="J61" s="27" t="s">
        <v>25</v>
      </c>
      <c r="K61" s="24">
        <v>1</v>
      </c>
      <c r="L61" s="25">
        <v>8.8</v>
      </c>
      <c r="M61" s="26">
        <v>8.8</v>
      </c>
      <c r="N61" s="26">
        <v>8.8</v>
      </c>
    </row>
    <row r="62" spans="4:14">
      <c r="D62" s="21">
        <v>46092</v>
      </c>
      <c r="E62" s="22">
        <v>1585137</v>
      </c>
      <c r="F62" s="22" t="s">
        <v>20</v>
      </c>
      <c r="G62" s="22">
        <v>20324538</v>
      </c>
      <c r="H62" s="22" t="s">
        <v>248</v>
      </c>
      <c r="I62" s="22">
        <v>1</v>
      </c>
      <c r="J62" s="23" t="s">
        <v>22</v>
      </c>
      <c r="K62" s="24">
        <v>1</v>
      </c>
      <c r="L62" s="25">
        <v>6.4</v>
      </c>
      <c r="M62" s="26">
        <v>6.4</v>
      </c>
      <c r="N62" s="26">
        <v>6.4</v>
      </c>
    </row>
    <row r="63" spans="4:14">
      <c r="D63" s="21">
        <v>46092</v>
      </c>
      <c r="E63" s="22">
        <v>1585137</v>
      </c>
      <c r="F63" s="22" t="s">
        <v>20</v>
      </c>
      <c r="G63" s="22">
        <v>20324537</v>
      </c>
      <c r="H63" s="22" t="s">
        <v>251</v>
      </c>
      <c r="I63" s="22">
        <v>1</v>
      </c>
      <c r="J63" s="23" t="s">
        <v>22</v>
      </c>
      <c r="K63" s="24">
        <v>1</v>
      </c>
      <c r="L63" s="25">
        <v>6.4</v>
      </c>
      <c r="M63" s="26">
        <v>6.4</v>
      </c>
      <c r="N63" s="26">
        <v>6.4</v>
      </c>
    </row>
    <row r="64" spans="4:14">
      <c r="D64" s="21">
        <v>46092</v>
      </c>
      <c r="E64" s="22">
        <v>1585137</v>
      </c>
      <c r="F64" s="22" t="s">
        <v>20</v>
      </c>
      <c r="G64" s="22">
        <v>20324534</v>
      </c>
      <c r="H64" s="22" t="s">
        <v>246</v>
      </c>
      <c r="I64" s="22">
        <v>6</v>
      </c>
      <c r="J64" s="23" t="s">
        <v>22</v>
      </c>
      <c r="K64" s="24">
        <v>1</v>
      </c>
      <c r="L64" s="25">
        <v>6.4</v>
      </c>
      <c r="M64" s="26">
        <v>6.4</v>
      </c>
      <c r="N64" s="26">
        <v>38.4</v>
      </c>
    </row>
    <row r="65" spans="4:14">
      <c r="D65" s="21">
        <v>46094</v>
      </c>
      <c r="E65" s="22">
        <v>1585561</v>
      </c>
      <c r="F65" s="22" t="s">
        <v>20</v>
      </c>
      <c r="G65" s="22">
        <v>20324514</v>
      </c>
      <c r="H65" s="22" t="s">
        <v>240</v>
      </c>
      <c r="I65" s="22">
        <v>1</v>
      </c>
      <c r="J65" s="23" t="s">
        <v>22</v>
      </c>
      <c r="K65" s="24">
        <v>1</v>
      </c>
      <c r="L65" s="25">
        <v>6.4</v>
      </c>
      <c r="M65" s="26">
        <v>6.4</v>
      </c>
      <c r="N65" s="26">
        <v>6.4</v>
      </c>
    </row>
    <row r="66" spans="4:14">
      <c r="D66" s="21">
        <v>46094</v>
      </c>
      <c r="E66" s="22">
        <v>1585561</v>
      </c>
      <c r="F66" s="22" t="s">
        <v>20</v>
      </c>
      <c r="G66" s="22">
        <v>20324535</v>
      </c>
      <c r="H66" s="22" t="s">
        <v>241</v>
      </c>
      <c r="I66" s="22">
        <v>1</v>
      </c>
      <c r="J66" s="23" t="s">
        <v>22</v>
      </c>
      <c r="K66" s="24">
        <v>1</v>
      </c>
      <c r="L66" s="25">
        <v>6.4</v>
      </c>
      <c r="M66" s="26">
        <v>6.4</v>
      </c>
      <c r="N66" s="26">
        <v>6.4</v>
      </c>
    </row>
    <row r="67" spans="4:14">
      <c r="D67" s="21">
        <v>46094</v>
      </c>
      <c r="E67" s="22">
        <v>1585561</v>
      </c>
      <c r="F67" s="22" t="s">
        <v>20</v>
      </c>
      <c r="G67" s="22">
        <v>20324803</v>
      </c>
      <c r="H67" s="22" t="s">
        <v>242</v>
      </c>
      <c r="I67" s="22">
        <v>2</v>
      </c>
      <c r="J67" s="27" t="s">
        <v>25</v>
      </c>
      <c r="K67" s="24">
        <v>1</v>
      </c>
      <c r="L67" s="25">
        <v>8.8</v>
      </c>
      <c r="M67" s="26">
        <v>8.8</v>
      </c>
      <c r="N67" s="26">
        <v>17.6</v>
      </c>
    </row>
    <row r="68" spans="4:14">
      <c r="D68" s="21">
        <v>46094</v>
      </c>
      <c r="E68" s="22">
        <v>1585561</v>
      </c>
      <c r="F68" s="22" t="s">
        <v>20</v>
      </c>
      <c r="G68" s="22">
        <v>20324801</v>
      </c>
      <c r="H68" s="22" t="s">
        <v>244</v>
      </c>
      <c r="I68" s="22">
        <v>2</v>
      </c>
      <c r="J68" s="23" t="s">
        <v>22</v>
      </c>
      <c r="K68" s="24">
        <v>1</v>
      </c>
      <c r="L68" s="25">
        <v>6.4</v>
      </c>
      <c r="M68" s="26">
        <v>6.4</v>
      </c>
      <c r="N68" s="26">
        <v>12.8</v>
      </c>
    </row>
    <row r="69" spans="4:14">
      <c r="D69" s="21">
        <v>46094</v>
      </c>
      <c r="E69" s="22">
        <v>1585561</v>
      </c>
      <c r="F69" s="22" t="s">
        <v>20</v>
      </c>
      <c r="G69" s="22">
        <v>20324534</v>
      </c>
      <c r="H69" s="22" t="s">
        <v>246</v>
      </c>
      <c r="I69" s="22">
        <v>17</v>
      </c>
      <c r="J69" s="23" t="s">
        <v>22</v>
      </c>
      <c r="K69" s="24">
        <v>1</v>
      </c>
      <c r="L69" s="25">
        <v>6.4</v>
      </c>
      <c r="M69" s="26">
        <v>6.4</v>
      </c>
      <c r="N69" s="26">
        <v>108.8</v>
      </c>
    </row>
    <row r="70" spans="4:14">
      <c r="D70" s="21">
        <v>46094</v>
      </c>
      <c r="E70" s="22">
        <v>1585561</v>
      </c>
      <c r="F70" s="22" t="s">
        <v>20</v>
      </c>
      <c r="G70" s="22">
        <v>20324545</v>
      </c>
      <c r="H70" s="22" t="s">
        <v>247</v>
      </c>
      <c r="I70" s="22">
        <v>3</v>
      </c>
      <c r="J70" s="23" t="s">
        <v>22</v>
      </c>
      <c r="K70" s="24">
        <v>1</v>
      </c>
      <c r="L70" s="25">
        <v>6.4</v>
      </c>
      <c r="M70" s="26">
        <v>6.4</v>
      </c>
      <c r="N70" s="26">
        <v>19.2</v>
      </c>
    </row>
    <row r="71" spans="4:14">
      <c r="D71" s="21">
        <v>46095</v>
      </c>
      <c r="E71" s="22">
        <v>1585922</v>
      </c>
      <c r="F71" s="22" t="s">
        <v>20</v>
      </c>
      <c r="G71" s="22">
        <v>20324516</v>
      </c>
      <c r="H71" s="22" t="s">
        <v>239</v>
      </c>
      <c r="I71" s="22">
        <v>1</v>
      </c>
      <c r="J71" s="23" t="s">
        <v>22</v>
      </c>
      <c r="K71" s="24">
        <v>1</v>
      </c>
      <c r="L71" s="25">
        <v>6.4</v>
      </c>
      <c r="M71" s="26">
        <v>6.4</v>
      </c>
      <c r="N71" s="26">
        <v>6.4</v>
      </c>
    </row>
    <row r="72" spans="4:14">
      <c r="D72" s="21">
        <v>46095</v>
      </c>
      <c r="E72" s="22">
        <v>1585922</v>
      </c>
      <c r="F72" s="22" t="s">
        <v>20</v>
      </c>
      <c r="G72" s="22">
        <v>20324514</v>
      </c>
      <c r="H72" s="22" t="s">
        <v>240</v>
      </c>
      <c r="I72" s="22">
        <v>1</v>
      </c>
      <c r="J72" s="23" t="s">
        <v>22</v>
      </c>
      <c r="K72" s="24">
        <v>1</v>
      </c>
      <c r="L72" s="25">
        <v>6.4</v>
      </c>
      <c r="M72" s="26">
        <v>6.4</v>
      </c>
      <c r="N72" s="26">
        <v>6.4</v>
      </c>
    </row>
    <row r="73" spans="4:14">
      <c r="D73" s="21">
        <v>46095</v>
      </c>
      <c r="E73" s="22">
        <v>1585922</v>
      </c>
      <c r="F73" s="22" t="s">
        <v>20</v>
      </c>
      <c r="G73" s="22">
        <v>20324535</v>
      </c>
      <c r="H73" s="22" t="s">
        <v>241</v>
      </c>
      <c r="I73" s="22">
        <v>1</v>
      </c>
      <c r="J73" s="23" t="s">
        <v>22</v>
      </c>
      <c r="K73" s="24">
        <v>1</v>
      </c>
      <c r="L73" s="25">
        <v>6.4</v>
      </c>
      <c r="M73" s="26">
        <v>6.4</v>
      </c>
      <c r="N73" s="26">
        <v>6.4</v>
      </c>
    </row>
    <row r="74" spans="4:14">
      <c r="D74" s="21">
        <v>46095</v>
      </c>
      <c r="E74" s="22">
        <v>1585922</v>
      </c>
      <c r="F74" s="22" t="s">
        <v>20</v>
      </c>
      <c r="G74" s="22">
        <v>20324803</v>
      </c>
      <c r="H74" s="22" t="s">
        <v>242</v>
      </c>
      <c r="I74" s="22">
        <v>4</v>
      </c>
      <c r="J74" s="27" t="s">
        <v>25</v>
      </c>
      <c r="K74" s="24">
        <v>1</v>
      </c>
      <c r="L74" s="25">
        <v>8.8</v>
      </c>
      <c r="M74" s="26">
        <v>8.8</v>
      </c>
      <c r="N74" s="26">
        <v>35.2</v>
      </c>
    </row>
    <row r="75" spans="4:14">
      <c r="D75" s="21">
        <v>46095</v>
      </c>
      <c r="E75" s="22">
        <v>1585922</v>
      </c>
      <c r="F75" s="22" t="s">
        <v>20</v>
      </c>
      <c r="G75" s="22">
        <v>20324802</v>
      </c>
      <c r="H75" s="22" t="s">
        <v>252</v>
      </c>
      <c r="I75" s="22">
        <v>1</v>
      </c>
      <c r="J75" s="23" t="s">
        <v>22</v>
      </c>
      <c r="K75" s="24">
        <v>1</v>
      </c>
      <c r="L75" s="25">
        <v>6.4</v>
      </c>
      <c r="M75" s="26">
        <v>6.4</v>
      </c>
      <c r="N75" s="26">
        <v>6.4</v>
      </c>
    </row>
    <row r="76" spans="4:14">
      <c r="D76" s="21">
        <v>46095</v>
      </c>
      <c r="E76" s="22">
        <v>1585922</v>
      </c>
      <c r="F76" s="22" t="s">
        <v>20</v>
      </c>
      <c r="G76" s="22">
        <v>20324538</v>
      </c>
      <c r="H76" s="22" t="s">
        <v>248</v>
      </c>
      <c r="I76" s="22">
        <v>1</v>
      </c>
      <c r="J76" s="23" t="s">
        <v>22</v>
      </c>
      <c r="K76" s="24">
        <v>1</v>
      </c>
      <c r="L76" s="25">
        <v>6.4</v>
      </c>
      <c r="M76" s="26">
        <v>6.4</v>
      </c>
      <c r="N76" s="26">
        <v>6.4</v>
      </c>
    </row>
    <row r="77" spans="4:14">
      <c r="D77" s="21">
        <v>46095</v>
      </c>
      <c r="E77" s="22">
        <v>1585922</v>
      </c>
      <c r="F77" s="22" t="s">
        <v>20</v>
      </c>
      <c r="G77" s="22">
        <v>20324534</v>
      </c>
      <c r="H77" s="22" t="s">
        <v>246</v>
      </c>
      <c r="I77" s="22">
        <v>12</v>
      </c>
      <c r="J77" s="23" t="s">
        <v>22</v>
      </c>
      <c r="K77" s="24">
        <v>1</v>
      </c>
      <c r="L77" s="25">
        <v>6.4</v>
      </c>
      <c r="M77" s="26">
        <v>6.4</v>
      </c>
      <c r="N77" s="26">
        <v>76.8</v>
      </c>
    </row>
    <row r="78" spans="4:14">
      <c r="D78" s="21">
        <v>46095</v>
      </c>
      <c r="E78" s="22">
        <v>1585922</v>
      </c>
      <c r="F78" s="22" t="s">
        <v>20</v>
      </c>
      <c r="G78" s="22">
        <v>20325600</v>
      </c>
      <c r="H78" s="22" t="s">
        <v>253</v>
      </c>
      <c r="I78" s="22">
        <v>1</v>
      </c>
      <c r="J78" s="23" t="s">
        <v>22</v>
      </c>
      <c r="K78" s="24">
        <v>1</v>
      </c>
      <c r="L78" s="25">
        <v>6.4</v>
      </c>
      <c r="M78" s="26">
        <v>6.4</v>
      </c>
      <c r="N78" s="26">
        <v>6.4</v>
      </c>
    </row>
    <row r="79" spans="4:14">
      <c r="D79" s="21">
        <v>46095</v>
      </c>
      <c r="E79" s="22">
        <v>1585922</v>
      </c>
      <c r="F79" s="22" t="s">
        <v>20</v>
      </c>
      <c r="G79" s="22">
        <v>20385215</v>
      </c>
      <c r="H79" s="22" t="s">
        <v>254</v>
      </c>
      <c r="I79" s="22">
        <v>1</v>
      </c>
      <c r="J79" s="23" t="s">
        <v>22</v>
      </c>
      <c r="K79" s="24">
        <v>1</v>
      </c>
      <c r="L79" s="25">
        <v>6.4</v>
      </c>
      <c r="M79" s="26">
        <v>6.4</v>
      </c>
      <c r="N79" s="26">
        <v>6.4</v>
      </c>
    </row>
    <row r="80" spans="4:14">
      <c r="D80" s="21">
        <v>46095</v>
      </c>
      <c r="E80" s="22">
        <v>1585936</v>
      </c>
      <c r="F80" s="22" t="s">
        <v>20</v>
      </c>
      <c r="G80" s="22">
        <v>20330331</v>
      </c>
      <c r="H80" s="22" t="s">
        <v>249</v>
      </c>
      <c r="I80" s="22">
        <v>1</v>
      </c>
      <c r="J80" s="27" t="s">
        <v>175</v>
      </c>
      <c r="K80" s="24">
        <v>1</v>
      </c>
      <c r="L80" s="36">
        <v>10.4</v>
      </c>
      <c r="M80" s="26">
        <v>10.4</v>
      </c>
      <c r="N80" s="26">
        <v>10.4</v>
      </c>
    </row>
    <row r="81" spans="4:14">
      <c r="D81" s="21">
        <v>46098</v>
      </c>
      <c r="E81" s="22">
        <v>1586472</v>
      </c>
      <c r="F81" s="22" t="s">
        <v>20</v>
      </c>
      <c r="G81" s="22">
        <v>20324535</v>
      </c>
      <c r="H81" s="22" t="s">
        <v>241</v>
      </c>
      <c r="I81" s="22">
        <v>2</v>
      </c>
      <c r="J81" s="23" t="s">
        <v>22</v>
      </c>
      <c r="K81" s="24">
        <v>1</v>
      </c>
      <c r="L81" s="25">
        <v>6.4</v>
      </c>
      <c r="M81" s="26">
        <v>6.4</v>
      </c>
      <c r="N81" s="26">
        <v>12.8</v>
      </c>
    </row>
    <row r="82" spans="4:14">
      <c r="D82" s="21">
        <v>46098</v>
      </c>
      <c r="E82" s="22">
        <v>1586472</v>
      </c>
      <c r="F82" s="22" t="s">
        <v>20</v>
      </c>
      <c r="G82" s="22">
        <v>20324803</v>
      </c>
      <c r="H82" s="22" t="s">
        <v>242</v>
      </c>
      <c r="I82" s="22">
        <v>3</v>
      </c>
      <c r="J82" s="27" t="s">
        <v>25</v>
      </c>
      <c r="K82" s="24">
        <v>1</v>
      </c>
      <c r="L82" s="25">
        <v>8.8</v>
      </c>
      <c r="M82" s="26">
        <v>8.8</v>
      </c>
      <c r="N82" s="26">
        <v>26.4</v>
      </c>
    </row>
    <row r="83" spans="4:14">
      <c r="D83" s="21">
        <v>46098</v>
      </c>
      <c r="E83" s="22">
        <v>1586472</v>
      </c>
      <c r="F83" s="22" t="s">
        <v>20</v>
      </c>
      <c r="G83" s="22">
        <v>20324801</v>
      </c>
      <c r="H83" s="22" t="s">
        <v>244</v>
      </c>
      <c r="I83" s="22">
        <v>3</v>
      </c>
      <c r="J83" s="23" t="s">
        <v>22</v>
      </c>
      <c r="K83" s="24">
        <v>1</v>
      </c>
      <c r="L83" s="25">
        <v>6.4</v>
      </c>
      <c r="M83" s="26">
        <v>6.4</v>
      </c>
      <c r="N83" s="26">
        <v>19.2</v>
      </c>
    </row>
    <row r="84" spans="4:14">
      <c r="D84" s="21">
        <v>46098</v>
      </c>
      <c r="E84" s="22">
        <v>1586472</v>
      </c>
      <c r="F84" s="22" t="s">
        <v>20</v>
      </c>
      <c r="G84" s="22">
        <v>20324546</v>
      </c>
      <c r="H84" s="22" t="s">
        <v>245</v>
      </c>
      <c r="I84" s="22">
        <v>1</v>
      </c>
      <c r="J84" s="23" t="s">
        <v>22</v>
      </c>
      <c r="K84" s="24">
        <v>1</v>
      </c>
      <c r="L84" s="25">
        <v>6.4</v>
      </c>
      <c r="M84" s="26">
        <v>6.4</v>
      </c>
      <c r="N84" s="26">
        <v>6.4</v>
      </c>
    </row>
    <row r="85" spans="4:14">
      <c r="D85" s="21">
        <v>46098</v>
      </c>
      <c r="E85" s="22">
        <v>1586472</v>
      </c>
      <c r="F85" s="22" t="s">
        <v>20</v>
      </c>
      <c r="G85" s="22">
        <v>20324802</v>
      </c>
      <c r="H85" s="22" t="s">
        <v>252</v>
      </c>
      <c r="I85" s="22">
        <v>1</v>
      </c>
      <c r="J85" s="23" t="s">
        <v>22</v>
      </c>
      <c r="K85" s="24">
        <v>1</v>
      </c>
      <c r="L85" s="25">
        <v>6.4</v>
      </c>
      <c r="M85" s="26">
        <v>6.4</v>
      </c>
      <c r="N85" s="26">
        <v>6.4</v>
      </c>
    </row>
    <row r="86" spans="4:14">
      <c r="D86" s="21">
        <v>46098</v>
      </c>
      <c r="E86" s="22">
        <v>1586472</v>
      </c>
      <c r="F86" s="22" t="s">
        <v>20</v>
      </c>
      <c r="G86" s="22">
        <v>20324538</v>
      </c>
      <c r="H86" s="22" t="s">
        <v>248</v>
      </c>
      <c r="I86" s="22">
        <v>1</v>
      </c>
      <c r="J86" s="23" t="s">
        <v>22</v>
      </c>
      <c r="K86" s="24">
        <v>1</v>
      </c>
      <c r="L86" s="25">
        <v>6.4</v>
      </c>
      <c r="M86" s="26">
        <v>6.4</v>
      </c>
      <c r="N86" s="26">
        <v>6.4</v>
      </c>
    </row>
    <row r="87" spans="4:14">
      <c r="D87" s="21">
        <v>46098</v>
      </c>
      <c r="E87" s="22">
        <v>1586472</v>
      </c>
      <c r="F87" s="22" t="s">
        <v>20</v>
      </c>
      <c r="G87" s="22">
        <v>20324557</v>
      </c>
      <c r="H87" s="22" t="s">
        <v>137</v>
      </c>
      <c r="I87" s="22">
        <v>1</v>
      </c>
      <c r="J87" s="23" t="s">
        <v>22</v>
      </c>
      <c r="K87" s="24">
        <v>1</v>
      </c>
      <c r="L87" s="25">
        <v>6.4</v>
      </c>
      <c r="M87" s="26">
        <v>6.4</v>
      </c>
      <c r="N87" s="26">
        <v>6.4</v>
      </c>
    </row>
    <row r="88" spans="4:14">
      <c r="D88" s="21">
        <v>46098</v>
      </c>
      <c r="E88" s="22">
        <v>1586472</v>
      </c>
      <c r="F88" s="22" t="s">
        <v>20</v>
      </c>
      <c r="G88" s="22">
        <v>20325657</v>
      </c>
      <c r="H88" s="22" t="s">
        <v>255</v>
      </c>
      <c r="I88" s="22">
        <v>1</v>
      </c>
      <c r="J88" s="23" t="s">
        <v>22</v>
      </c>
      <c r="K88" s="24">
        <v>1</v>
      </c>
      <c r="L88" s="25">
        <v>6.4</v>
      </c>
      <c r="M88" s="26">
        <v>6.4</v>
      </c>
      <c r="N88" s="26">
        <v>6.4</v>
      </c>
    </row>
    <row r="89" spans="4:14">
      <c r="D89" s="21">
        <v>46098</v>
      </c>
      <c r="E89" s="22">
        <v>1586472</v>
      </c>
      <c r="F89" s="22" t="s">
        <v>20</v>
      </c>
      <c r="G89" s="22">
        <v>20324534</v>
      </c>
      <c r="H89" s="22" t="s">
        <v>246</v>
      </c>
      <c r="I89" s="22">
        <v>17</v>
      </c>
      <c r="J89" s="23" t="s">
        <v>22</v>
      </c>
      <c r="K89" s="24">
        <v>1</v>
      </c>
      <c r="L89" s="25">
        <v>6.4</v>
      </c>
      <c r="M89" s="26">
        <v>6.4</v>
      </c>
      <c r="N89" s="26">
        <v>108.8</v>
      </c>
    </row>
    <row r="90" spans="4:14">
      <c r="D90" s="21">
        <v>46098</v>
      </c>
      <c r="E90" s="22">
        <v>1586472</v>
      </c>
      <c r="F90" s="22" t="s">
        <v>20</v>
      </c>
      <c r="G90" s="22">
        <v>20324545</v>
      </c>
      <c r="H90" s="22" t="s">
        <v>247</v>
      </c>
      <c r="I90" s="22">
        <v>3</v>
      </c>
      <c r="J90" s="23" t="s">
        <v>22</v>
      </c>
      <c r="K90" s="24">
        <v>1</v>
      </c>
      <c r="L90" s="25">
        <v>6.4</v>
      </c>
      <c r="M90" s="26">
        <v>6.4</v>
      </c>
      <c r="N90" s="26">
        <v>19.2</v>
      </c>
    </row>
    <row r="91" spans="4:14">
      <c r="D91" s="21">
        <v>46098</v>
      </c>
      <c r="E91" s="22">
        <v>1586472</v>
      </c>
      <c r="F91" s="22" t="s">
        <v>20</v>
      </c>
      <c r="G91" s="22">
        <v>20330331</v>
      </c>
      <c r="H91" s="22" t="s">
        <v>249</v>
      </c>
      <c r="I91" s="22">
        <v>1</v>
      </c>
      <c r="J91" s="27" t="s">
        <v>175</v>
      </c>
      <c r="K91" s="24">
        <v>1</v>
      </c>
      <c r="L91" s="36">
        <v>10.4</v>
      </c>
      <c r="M91" s="26">
        <v>10.4</v>
      </c>
      <c r="N91" s="26">
        <v>10.4</v>
      </c>
    </row>
    <row r="92" spans="4:14">
      <c r="D92" s="21">
        <v>46098</v>
      </c>
      <c r="E92" s="22">
        <v>1586472</v>
      </c>
      <c r="F92" s="22" t="s">
        <v>20</v>
      </c>
      <c r="G92" s="22">
        <v>20385215</v>
      </c>
      <c r="H92" s="22" t="s">
        <v>254</v>
      </c>
      <c r="I92" s="22">
        <v>1</v>
      </c>
      <c r="J92" s="23" t="s">
        <v>22</v>
      </c>
      <c r="K92" s="24">
        <v>1</v>
      </c>
      <c r="L92" s="25">
        <v>6.4</v>
      </c>
      <c r="M92" s="26">
        <v>6.4</v>
      </c>
      <c r="N92" s="26">
        <v>6.4</v>
      </c>
    </row>
    <row r="93" spans="4:14">
      <c r="D93" s="21">
        <v>46099</v>
      </c>
      <c r="E93" s="22">
        <v>1587179</v>
      </c>
      <c r="F93" s="22" t="s">
        <v>20</v>
      </c>
      <c r="G93" s="22">
        <v>20410786</v>
      </c>
      <c r="H93" s="22" t="s">
        <v>256</v>
      </c>
      <c r="I93" s="22">
        <v>1</v>
      </c>
      <c r="J93" s="27" t="s">
        <v>25</v>
      </c>
      <c r="K93" s="24">
        <v>1</v>
      </c>
      <c r="L93" s="25">
        <v>8.8</v>
      </c>
      <c r="M93" s="26">
        <v>8.8</v>
      </c>
      <c r="N93" s="26">
        <v>8.8</v>
      </c>
    </row>
    <row r="94" spans="4:14">
      <c r="D94" s="21">
        <v>46099</v>
      </c>
      <c r="E94" s="22">
        <v>1587179</v>
      </c>
      <c r="F94" s="22" t="s">
        <v>20</v>
      </c>
      <c r="G94" s="22">
        <v>20324535</v>
      </c>
      <c r="H94" s="22" t="s">
        <v>241</v>
      </c>
      <c r="I94" s="22">
        <v>1</v>
      </c>
      <c r="J94" s="23" t="s">
        <v>22</v>
      </c>
      <c r="K94" s="24">
        <v>1</v>
      </c>
      <c r="L94" s="25">
        <v>6.4</v>
      </c>
      <c r="M94" s="26">
        <v>6.4</v>
      </c>
      <c r="N94" s="26">
        <v>6.4</v>
      </c>
    </row>
    <row r="95" spans="4:14">
      <c r="D95" s="21">
        <v>46099</v>
      </c>
      <c r="E95" s="22">
        <v>1587179</v>
      </c>
      <c r="F95" s="22" t="s">
        <v>20</v>
      </c>
      <c r="G95" s="22">
        <v>20324803</v>
      </c>
      <c r="H95" s="22" t="s">
        <v>242</v>
      </c>
      <c r="I95" s="22">
        <v>1</v>
      </c>
      <c r="J95" s="27" t="s">
        <v>25</v>
      </c>
      <c r="K95" s="24">
        <v>1</v>
      </c>
      <c r="L95" s="25">
        <v>8.8</v>
      </c>
      <c r="M95" s="26">
        <v>8.8</v>
      </c>
      <c r="N95" s="26">
        <v>8.8</v>
      </c>
    </row>
    <row r="96" spans="4:14">
      <c r="D96" s="21">
        <v>46099</v>
      </c>
      <c r="E96" s="22">
        <v>1587179</v>
      </c>
      <c r="F96" s="22" t="s">
        <v>20</v>
      </c>
      <c r="G96" s="22">
        <v>20324370</v>
      </c>
      <c r="H96" s="22" t="s">
        <v>95</v>
      </c>
      <c r="I96" s="22">
        <v>2</v>
      </c>
      <c r="J96" s="23" t="s">
        <v>22</v>
      </c>
      <c r="K96" s="24">
        <v>1</v>
      </c>
      <c r="L96" s="25">
        <v>6.4</v>
      </c>
      <c r="M96" s="26">
        <v>6.4</v>
      </c>
      <c r="N96" s="26">
        <v>12.8</v>
      </c>
    </row>
    <row r="97" spans="4:14">
      <c r="D97" s="21">
        <v>46099</v>
      </c>
      <c r="E97" s="22">
        <v>1587179</v>
      </c>
      <c r="F97" s="22" t="s">
        <v>20</v>
      </c>
      <c r="G97" s="22">
        <v>20324534</v>
      </c>
      <c r="H97" s="22" t="s">
        <v>246</v>
      </c>
      <c r="I97" s="22">
        <v>5</v>
      </c>
      <c r="J97" s="23" t="s">
        <v>22</v>
      </c>
      <c r="K97" s="24">
        <v>1</v>
      </c>
      <c r="L97" s="25">
        <v>6.4</v>
      </c>
      <c r="M97" s="26">
        <v>6.4</v>
      </c>
      <c r="N97" s="26">
        <v>32</v>
      </c>
    </row>
    <row r="98" spans="4:14">
      <c r="D98" s="21">
        <v>46100</v>
      </c>
      <c r="E98" s="22">
        <v>1587584</v>
      </c>
      <c r="F98" s="22" t="s">
        <v>20</v>
      </c>
      <c r="G98" s="22">
        <v>20324803</v>
      </c>
      <c r="H98" s="22" t="s">
        <v>242</v>
      </c>
      <c r="I98" s="22">
        <v>1</v>
      </c>
      <c r="J98" s="27" t="s">
        <v>25</v>
      </c>
      <c r="K98" s="24">
        <v>1</v>
      </c>
      <c r="L98" s="25">
        <v>8.8</v>
      </c>
      <c r="M98" s="26">
        <v>8.8</v>
      </c>
      <c r="N98" s="26">
        <v>8.8</v>
      </c>
    </row>
    <row r="99" spans="4:14">
      <c r="D99" s="21">
        <v>46100</v>
      </c>
      <c r="E99" s="22">
        <v>1587584</v>
      </c>
      <c r="F99" s="22" t="s">
        <v>20</v>
      </c>
      <c r="G99" s="22">
        <v>20324801</v>
      </c>
      <c r="H99" s="22" t="s">
        <v>244</v>
      </c>
      <c r="I99" s="22">
        <v>2</v>
      </c>
      <c r="J99" s="23" t="s">
        <v>22</v>
      </c>
      <c r="K99" s="24">
        <v>1</v>
      </c>
      <c r="L99" s="25">
        <v>6.4</v>
      </c>
      <c r="M99" s="26">
        <v>6.4</v>
      </c>
      <c r="N99" s="26">
        <v>12.8</v>
      </c>
    </row>
    <row r="100" spans="4:14">
      <c r="D100" s="21">
        <v>46100</v>
      </c>
      <c r="E100" s="22">
        <v>1587584</v>
      </c>
      <c r="F100" s="22" t="s">
        <v>20</v>
      </c>
      <c r="G100" s="22">
        <v>20324538</v>
      </c>
      <c r="H100" s="22" t="s">
        <v>248</v>
      </c>
      <c r="I100" s="22">
        <v>2</v>
      </c>
      <c r="J100" s="23" t="s">
        <v>22</v>
      </c>
      <c r="K100" s="24">
        <v>1</v>
      </c>
      <c r="L100" s="25">
        <v>6.4</v>
      </c>
      <c r="M100" s="26">
        <v>6.4</v>
      </c>
      <c r="N100" s="26">
        <v>12.8</v>
      </c>
    </row>
    <row r="101" spans="4:14">
      <c r="D101" s="21">
        <v>46100</v>
      </c>
      <c r="E101" s="22">
        <v>1587584</v>
      </c>
      <c r="F101" s="22" t="s">
        <v>20</v>
      </c>
      <c r="G101" s="22">
        <v>20324557</v>
      </c>
      <c r="H101" s="22" t="s">
        <v>137</v>
      </c>
      <c r="I101" s="22">
        <v>1</v>
      </c>
      <c r="J101" s="23" t="s">
        <v>22</v>
      </c>
      <c r="K101" s="24">
        <v>1</v>
      </c>
      <c r="L101" s="25">
        <v>6.4</v>
      </c>
      <c r="M101" s="26">
        <v>6.4</v>
      </c>
      <c r="N101" s="26">
        <v>6.4</v>
      </c>
    </row>
    <row r="102" spans="4:14">
      <c r="D102" s="21">
        <v>46100</v>
      </c>
      <c r="E102" s="22">
        <v>1587584</v>
      </c>
      <c r="F102" s="22" t="s">
        <v>20</v>
      </c>
      <c r="G102" s="22">
        <v>20324534</v>
      </c>
      <c r="H102" s="22" t="s">
        <v>246</v>
      </c>
      <c r="I102" s="22">
        <v>10</v>
      </c>
      <c r="J102" s="23" t="s">
        <v>22</v>
      </c>
      <c r="K102" s="24">
        <v>1</v>
      </c>
      <c r="L102" s="25">
        <v>6.4</v>
      </c>
      <c r="M102" s="26">
        <v>6.4</v>
      </c>
      <c r="N102" s="26">
        <v>64</v>
      </c>
    </row>
    <row r="103" spans="4:14">
      <c r="D103" s="21">
        <v>46101</v>
      </c>
      <c r="E103" s="22">
        <v>1587932</v>
      </c>
      <c r="F103" s="22" t="s">
        <v>20</v>
      </c>
      <c r="G103" s="22">
        <v>20324514</v>
      </c>
      <c r="H103" s="22" t="s">
        <v>240</v>
      </c>
      <c r="I103" s="22">
        <v>1</v>
      </c>
      <c r="J103" s="23" t="s">
        <v>22</v>
      </c>
      <c r="K103" s="24">
        <v>1</v>
      </c>
      <c r="L103" s="25">
        <v>6.4</v>
      </c>
      <c r="M103" s="26">
        <v>6.4</v>
      </c>
      <c r="N103" s="26">
        <v>6.4</v>
      </c>
    </row>
    <row r="104" spans="4:14">
      <c r="D104" s="21">
        <v>46101</v>
      </c>
      <c r="E104" s="22">
        <v>1587932</v>
      </c>
      <c r="F104" s="22" t="s">
        <v>20</v>
      </c>
      <c r="G104" s="22">
        <v>20324535</v>
      </c>
      <c r="H104" s="22" t="s">
        <v>241</v>
      </c>
      <c r="I104" s="22">
        <v>1</v>
      </c>
      <c r="J104" s="23" t="s">
        <v>22</v>
      </c>
      <c r="K104" s="24">
        <v>1</v>
      </c>
      <c r="L104" s="25">
        <v>6.4</v>
      </c>
      <c r="M104" s="26">
        <v>6.4</v>
      </c>
      <c r="N104" s="26">
        <v>6.4</v>
      </c>
    </row>
    <row r="105" spans="4:14">
      <c r="D105" s="21">
        <v>46101</v>
      </c>
      <c r="E105" s="22">
        <v>1587932</v>
      </c>
      <c r="F105" s="22" t="s">
        <v>20</v>
      </c>
      <c r="G105" s="22">
        <v>20324803</v>
      </c>
      <c r="H105" s="22" t="s">
        <v>242</v>
      </c>
      <c r="I105" s="22">
        <v>2</v>
      </c>
      <c r="J105" s="27" t="s">
        <v>25</v>
      </c>
      <c r="K105" s="24">
        <v>1</v>
      </c>
      <c r="L105" s="25">
        <v>8.8</v>
      </c>
      <c r="M105" s="26">
        <v>8.8</v>
      </c>
      <c r="N105" s="26">
        <v>17.6</v>
      </c>
    </row>
    <row r="106" spans="4:14">
      <c r="D106" s="21">
        <v>46101</v>
      </c>
      <c r="E106" s="22">
        <v>1587932</v>
      </c>
      <c r="F106" s="22" t="s">
        <v>20</v>
      </c>
      <c r="G106" s="22">
        <v>20324899</v>
      </c>
      <c r="H106" s="22" t="s">
        <v>243</v>
      </c>
      <c r="I106" s="22">
        <v>2</v>
      </c>
      <c r="J106" s="23" t="s">
        <v>22</v>
      </c>
      <c r="K106" s="24">
        <v>1</v>
      </c>
      <c r="L106" s="25">
        <v>6.4</v>
      </c>
      <c r="M106" s="26">
        <v>6.4</v>
      </c>
      <c r="N106" s="26">
        <v>12.8</v>
      </c>
    </row>
    <row r="107" spans="4:14">
      <c r="D107" s="21">
        <v>46101</v>
      </c>
      <c r="E107" s="22">
        <v>1587932</v>
      </c>
      <c r="F107" s="22" t="s">
        <v>20</v>
      </c>
      <c r="G107" s="22">
        <v>20324801</v>
      </c>
      <c r="H107" s="22" t="s">
        <v>244</v>
      </c>
      <c r="I107" s="22">
        <v>3</v>
      </c>
      <c r="J107" s="23" t="s">
        <v>22</v>
      </c>
      <c r="K107" s="24">
        <v>1</v>
      </c>
      <c r="L107" s="25">
        <v>6.4</v>
      </c>
      <c r="M107" s="26">
        <v>6.4</v>
      </c>
      <c r="N107" s="26">
        <v>19.2</v>
      </c>
    </row>
    <row r="108" spans="4:14">
      <c r="D108" s="21">
        <v>46101</v>
      </c>
      <c r="E108" s="22">
        <v>1587932</v>
      </c>
      <c r="F108" s="22" t="s">
        <v>20</v>
      </c>
      <c r="G108" s="22">
        <v>20373362</v>
      </c>
      <c r="H108" s="22" t="s">
        <v>250</v>
      </c>
      <c r="I108" s="22">
        <v>1</v>
      </c>
      <c r="J108" s="23" t="s">
        <v>22</v>
      </c>
      <c r="K108" s="24">
        <v>1</v>
      </c>
      <c r="L108" s="25">
        <v>6.4</v>
      </c>
      <c r="M108" s="26">
        <v>6.4</v>
      </c>
      <c r="N108" s="26">
        <v>6.4</v>
      </c>
    </row>
    <row r="109" spans="4:14">
      <c r="D109" s="21">
        <v>46101</v>
      </c>
      <c r="E109" s="22">
        <v>1587932</v>
      </c>
      <c r="F109" s="22" t="s">
        <v>20</v>
      </c>
      <c r="G109" s="22">
        <v>20324999</v>
      </c>
      <c r="H109" s="22" t="s">
        <v>257</v>
      </c>
      <c r="I109" s="22">
        <v>1</v>
      </c>
      <c r="J109" s="23" t="s">
        <v>22</v>
      </c>
      <c r="K109" s="24">
        <v>1</v>
      </c>
      <c r="L109" s="25">
        <v>6.4</v>
      </c>
      <c r="M109" s="26">
        <v>6.4</v>
      </c>
      <c r="N109" s="26">
        <v>6.4</v>
      </c>
    </row>
    <row r="110" spans="4:14">
      <c r="D110" s="21">
        <v>46101</v>
      </c>
      <c r="E110" s="22">
        <v>1587932</v>
      </c>
      <c r="F110" s="22" t="s">
        <v>20</v>
      </c>
      <c r="G110" s="22">
        <v>20324534</v>
      </c>
      <c r="H110" s="22" t="s">
        <v>246</v>
      </c>
      <c r="I110" s="22">
        <v>13</v>
      </c>
      <c r="J110" s="23" t="s">
        <v>22</v>
      </c>
      <c r="K110" s="24">
        <v>1</v>
      </c>
      <c r="L110" s="25">
        <v>6.4</v>
      </c>
      <c r="M110" s="26">
        <v>6.4</v>
      </c>
      <c r="N110" s="26">
        <v>83.2</v>
      </c>
    </row>
    <row r="111" spans="4:14">
      <c r="D111" s="21">
        <v>46101</v>
      </c>
      <c r="E111" s="22">
        <v>1587932</v>
      </c>
      <c r="F111" s="22" t="s">
        <v>20</v>
      </c>
      <c r="G111" s="22">
        <v>20324545</v>
      </c>
      <c r="H111" s="22" t="s">
        <v>247</v>
      </c>
      <c r="I111" s="22">
        <v>2</v>
      </c>
      <c r="J111" s="23" t="s">
        <v>22</v>
      </c>
      <c r="K111" s="24">
        <v>1</v>
      </c>
      <c r="L111" s="25">
        <v>6.4</v>
      </c>
      <c r="M111" s="26">
        <v>6.4</v>
      </c>
      <c r="N111" s="26">
        <v>12.8</v>
      </c>
    </row>
    <row r="112" spans="4:14">
      <c r="D112" s="21">
        <v>46101</v>
      </c>
      <c r="E112" s="22">
        <v>1587932</v>
      </c>
      <c r="F112" s="22" t="s">
        <v>20</v>
      </c>
      <c r="G112" s="22">
        <v>20330331</v>
      </c>
      <c r="H112" s="22" t="s">
        <v>249</v>
      </c>
      <c r="I112" s="22">
        <v>2</v>
      </c>
      <c r="J112" s="27" t="s">
        <v>175</v>
      </c>
      <c r="K112" s="24">
        <v>1</v>
      </c>
      <c r="L112" s="36">
        <v>10.4</v>
      </c>
      <c r="M112" s="26">
        <v>10.4</v>
      </c>
      <c r="N112" s="26">
        <v>20.8</v>
      </c>
    </row>
    <row r="113" spans="4:14">
      <c r="D113" s="21">
        <v>46104</v>
      </c>
      <c r="E113" s="22">
        <v>1588480</v>
      </c>
      <c r="F113" s="22" t="s">
        <v>20</v>
      </c>
      <c r="G113" s="22">
        <v>20324535</v>
      </c>
      <c r="H113" s="22" t="s">
        <v>241</v>
      </c>
      <c r="I113" s="22">
        <v>1</v>
      </c>
      <c r="J113" s="23" t="s">
        <v>22</v>
      </c>
      <c r="K113" s="24">
        <v>1</v>
      </c>
      <c r="L113" s="25">
        <v>6.4</v>
      </c>
      <c r="M113" s="26">
        <v>6.4</v>
      </c>
      <c r="N113" s="26">
        <v>6.4</v>
      </c>
    </row>
    <row r="114" spans="4:14">
      <c r="D114" s="21">
        <v>46104</v>
      </c>
      <c r="E114" s="22">
        <v>1588480</v>
      </c>
      <c r="F114" s="22" t="s">
        <v>20</v>
      </c>
      <c r="G114" s="22">
        <v>20324803</v>
      </c>
      <c r="H114" s="22" t="s">
        <v>242</v>
      </c>
      <c r="I114" s="22">
        <v>3</v>
      </c>
      <c r="J114" s="27" t="s">
        <v>25</v>
      </c>
      <c r="K114" s="24">
        <v>1</v>
      </c>
      <c r="L114" s="25">
        <v>8.8</v>
      </c>
      <c r="M114" s="26">
        <v>8.8</v>
      </c>
      <c r="N114" s="26">
        <v>26.4</v>
      </c>
    </row>
    <row r="115" spans="4:14">
      <c r="D115" s="21">
        <v>46104</v>
      </c>
      <c r="E115" s="22">
        <v>1588480</v>
      </c>
      <c r="F115" s="22" t="s">
        <v>20</v>
      </c>
      <c r="G115" s="22">
        <v>20324899</v>
      </c>
      <c r="H115" s="22" t="s">
        <v>243</v>
      </c>
      <c r="I115" s="22">
        <v>2</v>
      </c>
      <c r="J115" s="23" t="s">
        <v>22</v>
      </c>
      <c r="K115" s="24">
        <v>1</v>
      </c>
      <c r="L115" s="25">
        <v>6.4</v>
      </c>
      <c r="M115" s="26">
        <v>6.4</v>
      </c>
      <c r="N115" s="26">
        <v>12.8</v>
      </c>
    </row>
    <row r="116" spans="4:14">
      <c r="D116" s="21">
        <v>46104</v>
      </c>
      <c r="E116" s="22">
        <v>1588480</v>
      </c>
      <c r="F116" s="22" t="s">
        <v>20</v>
      </c>
      <c r="G116" s="22">
        <v>20324801</v>
      </c>
      <c r="H116" s="22" t="s">
        <v>244</v>
      </c>
      <c r="I116" s="22">
        <v>4</v>
      </c>
      <c r="J116" s="23" t="s">
        <v>22</v>
      </c>
      <c r="K116" s="24">
        <v>1</v>
      </c>
      <c r="L116" s="25">
        <v>6.4</v>
      </c>
      <c r="M116" s="26">
        <v>6.4</v>
      </c>
      <c r="N116" s="26">
        <v>25.6</v>
      </c>
    </row>
    <row r="117" spans="4:14">
      <c r="D117" s="21">
        <v>46104</v>
      </c>
      <c r="E117" s="22">
        <v>1588480</v>
      </c>
      <c r="F117" s="22" t="s">
        <v>20</v>
      </c>
      <c r="G117" s="22">
        <v>20324538</v>
      </c>
      <c r="H117" s="22" t="s">
        <v>248</v>
      </c>
      <c r="I117" s="22">
        <v>2</v>
      </c>
      <c r="J117" s="23" t="s">
        <v>22</v>
      </c>
      <c r="K117" s="24">
        <v>1</v>
      </c>
      <c r="L117" s="25">
        <v>6.4</v>
      </c>
      <c r="M117" s="26">
        <v>6.4</v>
      </c>
      <c r="N117" s="26">
        <v>12.8</v>
      </c>
    </row>
    <row r="118" spans="4:14">
      <c r="D118" s="21">
        <v>46104</v>
      </c>
      <c r="E118" s="22">
        <v>1588480</v>
      </c>
      <c r="F118" s="22" t="s">
        <v>20</v>
      </c>
      <c r="G118" s="22">
        <v>20324534</v>
      </c>
      <c r="H118" s="22" t="s">
        <v>246</v>
      </c>
      <c r="I118" s="22">
        <v>21</v>
      </c>
      <c r="J118" s="23" t="s">
        <v>22</v>
      </c>
      <c r="K118" s="24">
        <v>1</v>
      </c>
      <c r="L118" s="25">
        <v>6.4</v>
      </c>
      <c r="M118" s="26">
        <v>6.4</v>
      </c>
      <c r="N118" s="26">
        <v>134.4</v>
      </c>
    </row>
    <row r="119" spans="4:14">
      <c r="D119" s="21">
        <v>46104</v>
      </c>
      <c r="E119" s="22">
        <v>1588480</v>
      </c>
      <c r="F119" s="22" t="s">
        <v>20</v>
      </c>
      <c r="G119" s="22">
        <v>20324545</v>
      </c>
      <c r="H119" s="22" t="s">
        <v>247</v>
      </c>
      <c r="I119" s="22">
        <v>5</v>
      </c>
      <c r="J119" s="23" t="s">
        <v>22</v>
      </c>
      <c r="K119" s="24">
        <v>1</v>
      </c>
      <c r="L119" s="25">
        <v>6.4</v>
      </c>
      <c r="M119" s="26">
        <v>6.4</v>
      </c>
      <c r="N119" s="26">
        <v>32</v>
      </c>
    </row>
    <row r="120" spans="4:14">
      <c r="D120" s="21">
        <v>46104</v>
      </c>
      <c r="E120" s="22">
        <v>1588480</v>
      </c>
      <c r="F120" s="22" t="s">
        <v>20</v>
      </c>
      <c r="G120" s="22">
        <v>20385215</v>
      </c>
      <c r="H120" s="22" t="s">
        <v>254</v>
      </c>
      <c r="I120" s="22">
        <v>1</v>
      </c>
      <c r="J120" s="23" t="s">
        <v>22</v>
      </c>
      <c r="K120" s="24">
        <v>1</v>
      </c>
      <c r="L120" s="25">
        <v>6.4</v>
      </c>
      <c r="M120" s="26">
        <v>6.4</v>
      </c>
      <c r="N120" s="26">
        <v>6.4</v>
      </c>
    </row>
    <row r="121" spans="4:14">
      <c r="D121" s="21">
        <v>46106</v>
      </c>
      <c r="E121" s="22">
        <v>1588813</v>
      </c>
      <c r="F121" s="22" t="s">
        <v>20</v>
      </c>
      <c r="G121" s="22">
        <v>20324535</v>
      </c>
      <c r="H121" s="22" t="s">
        <v>241</v>
      </c>
      <c r="I121" s="22">
        <v>1</v>
      </c>
      <c r="J121" s="23" t="s">
        <v>22</v>
      </c>
      <c r="K121" s="24">
        <v>1</v>
      </c>
      <c r="L121" s="25">
        <v>6.4</v>
      </c>
      <c r="M121" s="26">
        <v>6.4</v>
      </c>
      <c r="N121" s="26">
        <v>6.4</v>
      </c>
    </row>
    <row r="122" spans="4:14">
      <c r="D122" s="21">
        <v>46106</v>
      </c>
      <c r="E122" s="22">
        <v>1588813</v>
      </c>
      <c r="F122" s="22" t="s">
        <v>20</v>
      </c>
      <c r="G122" s="22">
        <v>20324803</v>
      </c>
      <c r="H122" s="22" t="s">
        <v>242</v>
      </c>
      <c r="I122" s="22">
        <v>1</v>
      </c>
      <c r="J122" s="27" t="s">
        <v>25</v>
      </c>
      <c r="K122" s="24">
        <v>1</v>
      </c>
      <c r="L122" s="25">
        <v>8.8</v>
      </c>
      <c r="M122" s="26">
        <v>8.8</v>
      </c>
      <c r="N122" s="26">
        <v>8.8</v>
      </c>
    </row>
    <row r="123" spans="4:14">
      <c r="D123" s="21">
        <v>46106</v>
      </c>
      <c r="E123" s="22">
        <v>1588813</v>
      </c>
      <c r="F123" s="22" t="s">
        <v>20</v>
      </c>
      <c r="G123" s="22">
        <v>20373362</v>
      </c>
      <c r="H123" s="22" t="s">
        <v>250</v>
      </c>
      <c r="I123" s="22">
        <v>1</v>
      </c>
      <c r="J123" s="23" t="s">
        <v>22</v>
      </c>
      <c r="K123" s="24">
        <v>1</v>
      </c>
      <c r="L123" s="25">
        <v>6.4</v>
      </c>
      <c r="M123" s="26">
        <v>6.4</v>
      </c>
      <c r="N123" s="26">
        <v>6.4</v>
      </c>
    </row>
    <row r="124" spans="4:14">
      <c r="D124" s="21">
        <v>46106</v>
      </c>
      <c r="E124" s="22">
        <v>1588813</v>
      </c>
      <c r="F124" s="22" t="s">
        <v>20</v>
      </c>
      <c r="G124" s="22">
        <v>20324534</v>
      </c>
      <c r="H124" s="22" t="s">
        <v>246</v>
      </c>
      <c r="I124" s="22">
        <v>7</v>
      </c>
      <c r="J124" s="23" t="s">
        <v>22</v>
      </c>
      <c r="K124" s="24">
        <v>1</v>
      </c>
      <c r="L124" s="25">
        <v>6.4</v>
      </c>
      <c r="M124" s="26">
        <v>6.4</v>
      </c>
      <c r="N124" s="26">
        <v>44.8</v>
      </c>
    </row>
    <row r="125" spans="4:14">
      <c r="D125" s="21">
        <v>46106</v>
      </c>
      <c r="E125" s="22">
        <v>1588813</v>
      </c>
      <c r="F125" s="22" t="s">
        <v>20</v>
      </c>
      <c r="G125" s="22">
        <v>20330331</v>
      </c>
      <c r="H125" s="22" t="s">
        <v>249</v>
      </c>
      <c r="I125" s="22">
        <v>2</v>
      </c>
      <c r="J125" s="27" t="s">
        <v>175</v>
      </c>
      <c r="K125" s="24">
        <v>1</v>
      </c>
      <c r="L125" s="36">
        <v>10.4</v>
      </c>
      <c r="M125" s="26">
        <v>10.4</v>
      </c>
      <c r="N125" s="26">
        <v>20.8</v>
      </c>
    </row>
    <row r="126" spans="4:14">
      <c r="D126" s="21">
        <v>46106</v>
      </c>
      <c r="E126" s="22">
        <v>1589156</v>
      </c>
      <c r="F126" s="22" t="s">
        <v>20</v>
      </c>
      <c r="G126" s="22">
        <v>20324801</v>
      </c>
      <c r="H126" s="22" t="s">
        <v>244</v>
      </c>
      <c r="I126" s="22">
        <v>3</v>
      </c>
      <c r="J126" s="23" t="s">
        <v>22</v>
      </c>
      <c r="K126" s="24">
        <v>1</v>
      </c>
      <c r="L126" s="25">
        <v>6.4</v>
      </c>
      <c r="M126" s="26">
        <v>6.4</v>
      </c>
      <c r="N126" s="26">
        <v>19.2</v>
      </c>
    </row>
    <row r="127" spans="4:14">
      <c r="D127" s="21">
        <v>46106</v>
      </c>
      <c r="E127" s="22">
        <v>1589156</v>
      </c>
      <c r="F127" s="22" t="s">
        <v>20</v>
      </c>
      <c r="G127" s="22">
        <v>20324999</v>
      </c>
      <c r="H127" s="22" t="s">
        <v>257</v>
      </c>
      <c r="I127" s="22">
        <v>1</v>
      </c>
      <c r="J127" s="23" t="s">
        <v>22</v>
      </c>
      <c r="K127" s="24">
        <v>1</v>
      </c>
      <c r="L127" s="25">
        <v>6.4</v>
      </c>
      <c r="M127" s="26">
        <v>6.4</v>
      </c>
      <c r="N127" s="26">
        <v>6.4</v>
      </c>
    </row>
    <row r="128" spans="4:14">
      <c r="D128" s="21">
        <v>46106</v>
      </c>
      <c r="E128" s="22">
        <v>1589156</v>
      </c>
      <c r="F128" s="22" t="s">
        <v>20</v>
      </c>
      <c r="G128" s="22">
        <v>20324534</v>
      </c>
      <c r="H128" s="22" t="s">
        <v>246</v>
      </c>
      <c r="I128" s="22">
        <v>4</v>
      </c>
      <c r="J128" s="23" t="s">
        <v>22</v>
      </c>
      <c r="K128" s="24">
        <v>1</v>
      </c>
      <c r="L128" s="25">
        <v>6.4</v>
      </c>
      <c r="M128" s="26">
        <v>6.4</v>
      </c>
      <c r="N128" s="26">
        <v>25.6</v>
      </c>
    </row>
    <row r="129" spans="4:14">
      <c r="D129" s="21">
        <v>46108</v>
      </c>
      <c r="E129" s="22">
        <v>1589543</v>
      </c>
      <c r="F129" s="22" t="s">
        <v>20</v>
      </c>
      <c r="G129" s="22">
        <v>20324516</v>
      </c>
      <c r="H129" s="22" t="s">
        <v>239</v>
      </c>
      <c r="I129" s="22">
        <v>1</v>
      </c>
      <c r="J129" s="23" t="s">
        <v>22</v>
      </c>
      <c r="K129" s="24">
        <v>1</v>
      </c>
      <c r="L129" s="25">
        <v>6.4</v>
      </c>
      <c r="M129" s="26">
        <v>6.4</v>
      </c>
      <c r="N129" s="26">
        <v>6.4</v>
      </c>
    </row>
    <row r="130" spans="4:14">
      <c r="D130" s="21">
        <v>46108</v>
      </c>
      <c r="E130" s="22">
        <v>1589543</v>
      </c>
      <c r="F130" s="22" t="s">
        <v>20</v>
      </c>
      <c r="G130" s="22">
        <v>20324514</v>
      </c>
      <c r="H130" s="22" t="s">
        <v>240</v>
      </c>
      <c r="I130" s="22">
        <v>1</v>
      </c>
      <c r="J130" s="23" t="s">
        <v>22</v>
      </c>
      <c r="K130" s="24">
        <v>1</v>
      </c>
      <c r="L130" s="25">
        <v>6.4</v>
      </c>
      <c r="M130" s="26">
        <v>6.4</v>
      </c>
      <c r="N130" s="26">
        <v>6.4</v>
      </c>
    </row>
    <row r="131" spans="4:14">
      <c r="D131" s="21">
        <v>46108</v>
      </c>
      <c r="E131" s="22">
        <v>1589543</v>
      </c>
      <c r="F131" s="22" t="s">
        <v>20</v>
      </c>
      <c r="G131" s="22">
        <v>20324535</v>
      </c>
      <c r="H131" s="22" t="s">
        <v>241</v>
      </c>
      <c r="I131" s="22">
        <v>1</v>
      </c>
      <c r="J131" s="23" t="s">
        <v>22</v>
      </c>
      <c r="K131" s="24">
        <v>1</v>
      </c>
      <c r="L131" s="25">
        <v>6.4</v>
      </c>
      <c r="M131" s="26">
        <v>6.4</v>
      </c>
      <c r="N131" s="26">
        <v>6.4</v>
      </c>
    </row>
    <row r="132" spans="4:14">
      <c r="D132" s="21">
        <v>46108</v>
      </c>
      <c r="E132" s="22">
        <v>1589543</v>
      </c>
      <c r="F132" s="22" t="s">
        <v>20</v>
      </c>
      <c r="G132" s="22">
        <v>20324803</v>
      </c>
      <c r="H132" s="22" t="s">
        <v>242</v>
      </c>
      <c r="I132" s="22">
        <v>1</v>
      </c>
      <c r="J132" s="27" t="s">
        <v>25</v>
      </c>
      <c r="K132" s="24">
        <v>1</v>
      </c>
      <c r="L132" s="25">
        <v>8.8</v>
      </c>
      <c r="M132" s="26">
        <v>8.8</v>
      </c>
      <c r="N132" s="26">
        <v>8.8</v>
      </c>
    </row>
    <row r="133" spans="4:14">
      <c r="D133" s="21">
        <v>46108</v>
      </c>
      <c r="E133" s="22">
        <v>1589543</v>
      </c>
      <c r="F133" s="22" t="s">
        <v>20</v>
      </c>
      <c r="G133" s="22">
        <v>20324899</v>
      </c>
      <c r="H133" s="22" t="s">
        <v>243</v>
      </c>
      <c r="I133" s="22">
        <v>1</v>
      </c>
      <c r="J133" s="23" t="s">
        <v>22</v>
      </c>
      <c r="K133" s="24">
        <v>1</v>
      </c>
      <c r="L133" s="25">
        <v>6.4</v>
      </c>
      <c r="M133" s="26">
        <v>6.4</v>
      </c>
      <c r="N133" s="26">
        <v>6.4</v>
      </c>
    </row>
    <row r="134" spans="4:14">
      <c r="D134" s="21">
        <v>46108</v>
      </c>
      <c r="E134" s="22">
        <v>1589543</v>
      </c>
      <c r="F134" s="22" t="s">
        <v>20</v>
      </c>
      <c r="G134" s="22">
        <v>20324801</v>
      </c>
      <c r="H134" s="22" t="s">
        <v>244</v>
      </c>
      <c r="I134" s="22">
        <v>2</v>
      </c>
      <c r="J134" s="23" t="s">
        <v>22</v>
      </c>
      <c r="K134" s="24">
        <v>1</v>
      </c>
      <c r="L134" s="25">
        <v>6.4</v>
      </c>
      <c r="M134" s="26">
        <v>6.4</v>
      </c>
      <c r="N134" s="26">
        <v>12.8</v>
      </c>
    </row>
    <row r="135" spans="4:14">
      <c r="D135" s="21">
        <v>46108</v>
      </c>
      <c r="E135" s="22">
        <v>1589543</v>
      </c>
      <c r="F135" s="22" t="s">
        <v>20</v>
      </c>
      <c r="G135" s="22">
        <v>20373362</v>
      </c>
      <c r="H135" s="22" t="s">
        <v>250</v>
      </c>
      <c r="I135" s="22">
        <v>1</v>
      </c>
      <c r="J135" s="23" t="s">
        <v>22</v>
      </c>
      <c r="K135" s="24">
        <v>1</v>
      </c>
      <c r="L135" s="25">
        <v>6.4</v>
      </c>
      <c r="M135" s="26">
        <v>6.4</v>
      </c>
      <c r="N135" s="26">
        <v>6.4</v>
      </c>
    </row>
    <row r="136" spans="4:14">
      <c r="D136" s="21">
        <v>46108</v>
      </c>
      <c r="E136" s="22">
        <v>1589543</v>
      </c>
      <c r="F136" s="22" t="s">
        <v>20</v>
      </c>
      <c r="G136" s="22">
        <v>20324534</v>
      </c>
      <c r="H136" s="22" t="s">
        <v>246</v>
      </c>
      <c r="I136" s="22">
        <v>16</v>
      </c>
      <c r="J136" s="23" t="s">
        <v>22</v>
      </c>
      <c r="K136" s="24">
        <v>1</v>
      </c>
      <c r="L136" s="25">
        <v>6.4</v>
      </c>
      <c r="M136" s="26">
        <v>6.4</v>
      </c>
      <c r="N136" s="26">
        <v>102.4</v>
      </c>
    </row>
    <row r="137" spans="4:14">
      <c r="D137" s="21">
        <v>46108</v>
      </c>
      <c r="E137" s="22">
        <v>1589543</v>
      </c>
      <c r="F137" s="22" t="s">
        <v>20</v>
      </c>
      <c r="G137" s="22">
        <v>20324545</v>
      </c>
      <c r="H137" s="22" t="s">
        <v>247</v>
      </c>
      <c r="I137" s="22">
        <v>3</v>
      </c>
      <c r="J137" s="23" t="s">
        <v>22</v>
      </c>
      <c r="K137" s="24">
        <v>1</v>
      </c>
      <c r="L137" s="25">
        <v>6.4</v>
      </c>
      <c r="M137" s="26">
        <v>6.4</v>
      </c>
      <c r="N137" s="26">
        <v>19.2</v>
      </c>
    </row>
    <row r="138" spans="4:14">
      <c r="D138" s="21">
        <v>46108</v>
      </c>
      <c r="E138" s="22">
        <v>1589543</v>
      </c>
      <c r="F138" s="22" t="s">
        <v>20</v>
      </c>
      <c r="G138" s="22">
        <v>20330331</v>
      </c>
      <c r="H138" s="22" t="s">
        <v>249</v>
      </c>
      <c r="I138" s="22">
        <v>1</v>
      </c>
      <c r="J138" s="27" t="s">
        <v>175</v>
      </c>
      <c r="K138" s="24">
        <v>1</v>
      </c>
      <c r="L138" s="36">
        <v>10.4</v>
      </c>
      <c r="M138" s="26">
        <v>10.4</v>
      </c>
      <c r="N138" s="26">
        <v>10.4</v>
      </c>
    </row>
    <row r="139" spans="4:14">
      <c r="D139" s="21">
        <v>46108</v>
      </c>
      <c r="E139" s="22">
        <v>1589954</v>
      </c>
      <c r="F139" s="22" t="s">
        <v>20</v>
      </c>
      <c r="G139" s="22">
        <v>20324535</v>
      </c>
      <c r="H139" s="22" t="s">
        <v>241</v>
      </c>
      <c r="I139" s="22">
        <v>2</v>
      </c>
      <c r="J139" s="23" t="s">
        <v>22</v>
      </c>
      <c r="K139" s="24">
        <v>1</v>
      </c>
      <c r="L139" s="25">
        <v>6.4</v>
      </c>
      <c r="M139" s="26">
        <v>6.4</v>
      </c>
      <c r="N139" s="26">
        <v>12.8</v>
      </c>
    </row>
    <row r="140" spans="4:14">
      <c r="D140" s="21">
        <v>46108</v>
      </c>
      <c r="E140" s="22">
        <v>1589954</v>
      </c>
      <c r="F140" s="22" t="s">
        <v>20</v>
      </c>
      <c r="G140" s="22">
        <v>20324803</v>
      </c>
      <c r="H140" s="22" t="s">
        <v>242</v>
      </c>
      <c r="I140" s="22">
        <v>3</v>
      </c>
      <c r="J140" s="27" t="s">
        <v>25</v>
      </c>
      <c r="K140" s="24">
        <v>1</v>
      </c>
      <c r="L140" s="25">
        <v>8.8</v>
      </c>
      <c r="M140" s="26">
        <v>8.8</v>
      </c>
      <c r="N140" s="26">
        <v>26.4</v>
      </c>
    </row>
    <row r="141" spans="4:14">
      <c r="D141" s="21">
        <v>46108</v>
      </c>
      <c r="E141" s="22">
        <v>1589954</v>
      </c>
      <c r="F141" s="22" t="s">
        <v>20</v>
      </c>
      <c r="G141" s="22">
        <v>20324546</v>
      </c>
      <c r="H141" s="22" t="s">
        <v>245</v>
      </c>
      <c r="I141" s="22">
        <v>1</v>
      </c>
      <c r="J141" s="23" t="s">
        <v>22</v>
      </c>
      <c r="K141" s="24">
        <v>1</v>
      </c>
      <c r="L141" s="25">
        <v>6.4</v>
      </c>
      <c r="M141" s="26">
        <v>6.4</v>
      </c>
      <c r="N141" s="26">
        <v>6.4</v>
      </c>
    </row>
    <row r="142" spans="4:14">
      <c r="D142" s="21">
        <v>46108</v>
      </c>
      <c r="E142" s="22">
        <v>1589954</v>
      </c>
      <c r="F142" s="22" t="s">
        <v>20</v>
      </c>
      <c r="G142" s="22">
        <v>20324538</v>
      </c>
      <c r="H142" s="22" t="s">
        <v>248</v>
      </c>
      <c r="I142" s="22">
        <v>1</v>
      </c>
      <c r="J142" s="23" t="s">
        <v>22</v>
      </c>
      <c r="K142" s="24">
        <v>1</v>
      </c>
      <c r="L142" s="25">
        <v>6.4</v>
      </c>
      <c r="M142" s="26">
        <v>6.4</v>
      </c>
      <c r="N142" s="26">
        <v>6.4</v>
      </c>
    </row>
    <row r="143" spans="4:14">
      <c r="D143" s="21">
        <v>46108</v>
      </c>
      <c r="E143" s="22">
        <v>1589954</v>
      </c>
      <c r="F143" s="22" t="s">
        <v>20</v>
      </c>
      <c r="G143" s="22">
        <v>20324557</v>
      </c>
      <c r="H143" s="22" t="s">
        <v>137</v>
      </c>
      <c r="I143" s="22">
        <v>1</v>
      </c>
      <c r="J143" s="23" t="s">
        <v>22</v>
      </c>
      <c r="K143" s="24">
        <v>1</v>
      </c>
      <c r="L143" s="25">
        <v>6.4</v>
      </c>
      <c r="M143" s="26">
        <v>6.4</v>
      </c>
      <c r="N143" s="26">
        <v>6.4</v>
      </c>
    </row>
    <row r="144" spans="4:14">
      <c r="D144" s="21">
        <v>46108</v>
      </c>
      <c r="E144" s="22">
        <v>1589954</v>
      </c>
      <c r="F144" s="22" t="s">
        <v>20</v>
      </c>
      <c r="G144" s="22">
        <v>20324534</v>
      </c>
      <c r="H144" s="22" t="s">
        <v>246</v>
      </c>
      <c r="I144" s="22">
        <v>13</v>
      </c>
      <c r="J144" s="23" t="s">
        <v>22</v>
      </c>
      <c r="K144" s="24">
        <v>1</v>
      </c>
      <c r="L144" s="25">
        <v>6.4</v>
      </c>
      <c r="M144" s="26">
        <v>6.4</v>
      </c>
      <c r="N144" s="26">
        <v>83.2</v>
      </c>
    </row>
    <row r="145" spans="4:14">
      <c r="D145" s="21">
        <v>46108</v>
      </c>
      <c r="E145" s="22">
        <v>1589954</v>
      </c>
      <c r="F145" s="22" t="s">
        <v>20</v>
      </c>
      <c r="G145" s="22">
        <v>20324545</v>
      </c>
      <c r="H145" s="22" t="s">
        <v>247</v>
      </c>
      <c r="I145" s="22">
        <v>3</v>
      </c>
      <c r="J145" s="23" t="s">
        <v>22</v>
      </c>
      <c r="K145" s="24">
        <v>1</v>
      </c>
      <c r="L145" s="25">
        <v>6.4</v>
      </c>
      <c r="M145" s="26">
        <v>6.4</v>
      </c>
      <c r="N145" s="26">
        <v>19.2</v>
      </c>
    </row>
    <row r="146" spans="4:14">
      <c r="D146" s="21">
        <v>46112</v>
      </c>
      <c r="E146" s="22">
        <v>1590516</v>
      </c>
      <c r="F146" s="22" t="s">
        <v>20</v>
      </c>
      <c r="G146" s="22">
        <v>20324535</v>
      </c>
      <c r="H146" s="22" t="s">
        <v>241</v>
      </c>
      <c r="I146" s="22">
        <v>2</v>
      </c>
      <c r="J146" s="23" t="s">
        <v>22</v>
      </c>
      <c r="K146" s="24">
        <v>1</v>
      </c>
      <c r="L146" s="25">
        <v>6.4</v>
      </c>
      <c r="M146" s="26">
        <v>6.4</v>
      </c>
      <c r="N146" s="26">
        <v>12.8</v>
      </c>
    </row>
    <row r="147" spans="4:14">
      <c r="D147" s="21">
        <v>46112</v>
      </c>
      <c r="E147" s="22">
        <v>1590516</v>
      </c>
      <c r="F147" s="22" t="s">
        <v>20</v>
      </c>
      <c r="G147" s="22">
        <v>20324803</v>
      </c>
      <c r="H147" s="22" t="s">
        <v>242</v>
      </c>
      <c r="I147" s="22">
        <v>2</v>
      </c>
      <c r="J147" s="27" t="s">
        <v>25</v>
      </c>
      <c r="K147" s="24">
        <v>1</v>
      </c>
      <c r="L147" s="25">
        <v>8.8</v>
      </c>
      <c r="M147" s="26">
        <v>8.8</v>
      </c>
      <c r="N147" s="26">
        <v>17.6</v>
      </c>
    </row>
    <row r="148" spans="4:14">
      <c r="D148" s="21">
        <v>46112</v>
      </c>
      <c r="E148" s="22">
        <v>1590516</v>
      </c>
      <c r="F148" s="22" t="s">
        <v>20</v>
      </c>
      <c r="G148" s="22">
        <v>20324899</v>
      </c>
      <c r="H148" s="22" t="s">
        <v>243</v>
      </c>
      <c r="I148" s="22">
        <v>1</v>
      </c>
      <c r="J148" s="23" t="s">
        <v>22</v>
      </c>
      <c r="K148" s="24">
        <v>1</v>
      </c>
      <c r="L148" s="25">
        <v>6.4</v>
      </c>
      <c r="M148" s="26">
        <v>6.4</v>
      </c>
      <c r="N148" s="26">
        <v>6.4</v>
      </c>
    </row>
    <row r="149" spans="4:14">
      <c r="D149" s="21">
        <v>46112</v>
      </c>
      <c r="E149" s="22">
        <v>1590516</v>
      </c>
      <c r="F149" s="22" t="s">
        <v>20</v>
      </c>
      <c r="G149" s="22">
        <v>20324801</v>
      </c>
      <c r="H149" s="22" t="s">
        <v>244</v>
      </c>
      <c r="I149" s="22">
        <v>3</v>
      </c>
      <c r="J149" s="23" t="s">
        <v>22</v>
      </c>
      <c r="K149" s="24">
        <v>1</v>
      </c>
      <c r="L149" s="25">
        <v>6.4</v>
      </c>
      <c r="M149" s="26">
        <v>6.4</v>
      </c>
      <c r="N149" s="26">
        <v>19.2</v>
      </c>
    </row>
    <row r="150" spans="4:14">
      <c r="D150" s="21">
        <v>46112</v>
      </c>
      <c r="E150" s="22">
        <v>1590516</v>
      </c>
      <c r="F150" s="22" t="s">
        <v>20</v>
      </c>
      <c r="G150" s="22">
        <v>20373362</v>
      </c>
      <c r="H150" s="22" t="s">
        <v>250</v>
      </c>
      <c r="I150" s="22">
        <v>1</v>
      </c>
      <c r="J150" s="23" t="s">
        <v>22</v>
      </c>
      <c r="K150" s="24">
        <v>1</v>
      </c>
      <c r="L150" s="25">
        <v>6.4</v>
      </c>
      <c r="M150" s="26">
        <v>6.4</v>
      </c>
      <c r="N150" s="26">
        <v>6.4</v>
      </c>
    </row>
    <row r="151" spans="4:14">
      <c r="D151" s="21">
        <v>46112</v>
      </c>
      <c r="E151" s="22">
        <v>1590516</v>
      </c>
      <c r="F151" s="22" t="s">
        <v>20</v>
      </c>
      <c r="G151" s="22">
        <v>20324370</v>
      </c>
      <c r="H151" s="22" t="s">
        <v>95</v>
      </c>
      <c r="I151" s="22">
        <v>3</v>
      </c>
      <c r="J151" s="23" t="s">
        <v>22</v>
      </c>
      <c r="K151" s="24">
        <v>1</v>
      </c>
      <c r="L151" s="25">
        <v>6.4</v>
      </c>
      <c r="M151" s="26">
        <v>6.4</v>
      </c>
      <c r="N151" s="26">
        <v>19.2</v>
      </c>
    </row>
    <row r="152" spans="4:14">
      <c r="D152" s="21">
        <v>46112</v>
      </c>
      <c r="E152" s="22">
        <v>1590516</v>
      </c>
      <c r="F152" s="22" t="s">
        <v>20</v>
      </c>
      <c r="G152" s="22">
        <v>20324364</v>
      </c>
      <c r="H152" s="22" t="s">
        <v>23</v>
      </c>
      <c r="I152" s="22">
        <v>2</v>
      </c>
      <c r="J152" s="23" t="s">
        <v>22</v>
      </c>
      <c r="K152" s="24">
        <v>1</v>
      </c>
      <c r="L152" s="25">
        <v>6.4</v>
      </c>
      <c r="M152" s="26">
        <v>6.4</v>
      </c>
      <c r="N152" s="26">
        <v>12.8</v>
      </c>
    </row>
    <row r="153" spans="4:14">
      <c r="D153" s="21">
        <v>46112</v>
      </c>
      <c r="E153" s="22">
        <v>1590516</v>
      </c>
      <c r="F153" s="22" t="s">
        <v>20</v>
      </c>
      <c r="G153" s="22">
        <v>20324557</v>
      </c>
      <c r="H153" s="22" t="s">
        <v>137</v>
      </c>
      <c r="I153" s="22">
        <v>1</v>
      </c>
      <c r="J153" s="23" t="s">
        <v>22</v>
      </c>
      <c r="K153" s="24">
        <v>1</v>
      </c>
      <c r="L153" s="25">
        <v>6.4</v>
      </c>
      <c r="M153" s="26">
        <v>6.4</v>
      </c>
      <c r="N153" s="26">
        <v>6.4</v>
      </c>
    </row>
    <row r="154" spans="4:14">
      <c r="D154" s="21">
        <v>46112</v>
      </c>
      <c r="E154" s="22">
        <v>1590516</v>
      </c>
      <c r="F154" s="22" t="s">
        <v>20</v>
      </c>
      <c r="G154" s="22">
        <v>20324534</v>
      </c>
      <c r="H154" s="22" t="s">
        <v>246</v>
      </c>
      <c r="I154" s="22">
        <v>22</v>
      </c>
      <c r="J154" s="23" t="s">
        <v>22</v>
      </c>
      <c r="K154" s="24">
        <v>1</v>
      </c>
      <c r="L154" s="25">
        <v>6.4</v>
      </c>
      <c r="M154" s="26">
        <v>6.4</v>
      </c>
      <c r="N154" s="26">
        <v>140.8</v>
      </c>
    </row>
    <row r="155" spans="4:14">
      <c r="D155" s="21">
        <v>46112</v>
      </c>
      <c r="E155" s="22">
        <v>1590516</v>
      </c>
      <c r="F155" s="22" t="s">
        <v>20</v>
      </c>
      <c r="G155" s="22">
        <v>20330331</v>
      </c>
      <c r="H155" s="22" t="s">
        <v>249</v>
      </c>
      <c r="I155" s="22">
        <v>1</v>
      </c>
      <c r="J155" s="27" t="s">
        <v>175</v>
      </c>
      <c r="K155" s="24">
        <v>1</v>
      </c>
      <c r="L155" s="36">
        <v>10.4</v>
      </c>
      <c r="M155" s="26">
        <v>10.4</v>
      </c>
      <c r="N155" s="26">
        <v>10.4</v>
      </c>
    </row>
  </sheetData>
  <autoFilter xmlns:etc="http://www.wps.cn/officeDocument/2017/etCustomData" ref="A7:N155" etc:filterBottomFollowUsedRange="0">
    <extLst/>
  </autoFilter>
  <mergeCells count="5">
    <mergeCell ref="D8:H8"/>
    <mergeCell ref="C7:C155"/>
    <mergeCell ref="B4:H5"/>
    <mergeCell ref="A7:B155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875" customWidth="1"/>
    <col min="12" max="12" width="12.375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258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9</v>
      </c>
      <c r="J8" s="13"/>
      <c r="K8" s="14"/>
      <c r="L8" s="14"/>
      <c r="M8" s="14"/>
      <c r="N8" s="14">
        <v>598.4</v>
      </c>
    </row>
    <row r="9" spans="1:14">
      <c r="D9" s="15">
        <v>46084</v>
      </c>
      <c r="E9" s="16">
        <v>1581865</v>
      </c>
      <c r="F9" s="16" t="s">
        <v>16</v>
      </c>
      <c r="G9" s="16">
        <v>20324490</v>
      </c>
      <c r="H9" s="16" t="s">
        <v>259</v>
      </c>
      <c r="I9" s="16">
        <v>1</v>
      </c>
      <c r="J9" s="32" t="s">
        <v>18</v>
      </c>
      <c r="K9" s="18">
        <f t="shared" ref="K9:K15" si="0">M9/L9</f>
        <v>15</v>
      </c>
      <c r="L9" s="19">
        <v>4.4</v>
      </c>
      <c r="M9" s="20">
        <v>66</v>
      </c>
      <c r="N9" s="20">
        <v>66</v>
      </c>
    </row>
    <row r="10" spans="1:14">
      <c r="D10" s="21">
        <v>46085</v>
      </c>
      <c r="E10" s="22">
        <v>1582175</v>
      </c>
      <c r="F10" s="22" t="s">
        <v>16</v>
      </c>
      <c r="G10" s="22">
        <v>20324490</v>
      </c>
      <c r="H10" s="22" t="s">
        <v>259</v>
      </c>
      <c r="I10" s="22">
        <v>1</v>
      </c>
      <c r="J10" s="28" t="s">
        <v>18</v>
      </c>
      <c r="K10" s="24">
        <f t="shared" si="0"/>
        <v>15</v>
      </c>
      <c r="L10" s="25">
        <v>4.4</v>
      </c>
      <c r="M10" s="26">
        <v>66</v>
      </c>
      <c r="N10" s="26">
        <v>66</v>
      </c>
    </row>
    <row r="11" spans="1:14">
      <c r="D11" s="21">
        <v>46090</v>
      </c>
      <c r="E11" s="22">
        <v>1583383</v>
      </c>
      <c r="F11" s="22" t="s">
        <v>16</v>
      </c>
      <c r="G11" s="22">
        <v>20324490</v>
      </c>
      <c r="H11" s="22" t="s">
        <v>259</v>
      </c>
      <c r="I11" s="22">
        <v>1</v>
      </c>
      <c r="J11" s="28" t="s">
        <v>18</v>
      </c>
      <c r="K11" s="24">
        <f t="shared" si="0"/>
        <v>15</v>
      </c>
      <c r="L11" s="25">
        <v>4.4</v>
      </c>
      <c r="M11" s="26">
        <v>66</v>
      </c>
      <c r="N11" s="26">
        <v>66</v>
      </c>
    </row>
    <row r="12" spans="1:14">
      <c r="D12" s="21">
        <v>46092</v>
      </c>
      <c r="E12" s="22">
        <v>1585138</v>
      </c>
      <c r="F12" s="22" t="s">
        <v>16</v>
      </c>
      <c r="G12" s="22">
        <v>20324490</v>
      </c>
      <c r="H12" s="22" t="s">
        <v>259</v>
      </c>
      <c r="I12" s="22">
        <v>1</v>
      </c>
      <c r="J12" s="28" t="s">
        <v>18</v>
      </c>
      <c r="K12" s="24">
        <f t="shared" si="0"/>
        <v>15</v>
      </c>
      <c r="L12" s="25">
        <v>4.4</v>
      </c>
      <c r="M12" s="26">
        <v>66</v>
      </c>
      <c r="N12" s="26">
        <v>66</v>
      </c>
    </row>
    <row r="13" spans="1:14">
      <c r="D13" s="21">
        <v>46106</v>
      </c>
      <c r="E13" s="22">
        <v>1588793</v>
      </c>
      <c r="F13" s="22" t="s">
        <v>16</v>
      </c>
      <c r="G13" s="22">
        <v>20324490</v>
      </c>
      <c r="H13" s="22" t="s">
        <v>259</v>
      </c>
      <c r="I13" s="22">
        <v>3</v>
      </c>
      <c r="J13" s="28" t="s">
        <v>18</v>
      </c>
      <c r="K13" s="24">
        <f t="shared" si="0"/>
        <v>15</v>
      </c>
      <c r="L13" s="25">
        <v>4.4</v>
      </c>
      <c r="M13" s="26">
        <v>66</v>
      </c>
      <c r="N13" s="26">
        <v>198</v>
      </c>
    </row>
    <row r="14" spans="1:14">
      <c r="D14" s="21">
        <v>46106</v>
      </c>
      <c r="E14" s="22">
        <v>1589144</v>
      </c>
      <c r="F14" s="22" t="s">
        <v>16</v>
      </c>
      <c r="G14" s="22">
        <v>20324490</v>
      </c>
      <c r="H14" s="22" t="s">
        <v>259</v>
      </c>
      <c r="I14" s="22">
        <v>1</v>
      </c>
      <c r="J14" s="28" t="s">
        <v>18</v>
      </c>
      <c r="K14" s="24">
        <f t="shared" si="0"/>
        <v>15</v>
      </c>
      <c r="L14" s="25">
        <v>4.4</v>
      </c>
      <c r="M14" s="26">
        <v>66</v>
      </c>
      <c r="N14" s="26">
        <v>66</v>
      </c>
    </row>
    <row r="15" spans="1:14">
      <c r="D15" s="21">
        <v>46106</v>
      </c>
      <c r="E15" s="22">
        <v>1589144</v>
      </c>
      <c r="F15" s="22" t="s">
        <v>16</v>
      </c>
      <c r="G15" s="22">
        <v>20324487</v>
      </c>
      <c r="H15" s="22" t="s">
        <v>260</v>
      </c>
      <c r="I15" s="22">
        <v>1</v>
      </c>
      <c r="J15" s="28" t="s">
        <v>18</v>
      </c>
      <c r="K15" s="24">
        <f t="shared" si="0"/>
        <v>16</v>
      </c>
      <c r="L15" s="25">
        <v>4.4</v>
      </c>
      <c r="M15" s="26">
        <v>70.4</v>
      </c>
      <c r="N15" s="26">
        <v>70.4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875" customWidth="1"/>
    <col min="12" max="12" width="12.375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261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5</v>
      </c>
      <c r="J8" s="13"/>
      <c r="K8" s="14"/>
      <c r="L8" s="14"/>
      <c r="M8" s="14"/>
      <c r="N8" s="14">
        <v>36.8</v>
      </c>
    </row>
    <row r="9" spans="1:14">
      <c r="D9" s="15">
        <v>46085</v>
      </c>
      <c r="E9" s="16">
        <v>1582176</v>
      </c>
      <c r="F9" s="16" t="s">
        <v>55</v>
      </c>
      <c r="G9" s="16">
        <v>20324518</v>
      </c>
      <c r="H9" s="16" t="s">
        <v>56</v>
      </c>
      <c r="I9" s="16">
        <v>1</v>
      </c>
      <c r="J9" s="113" t="s">
        <v>57</v>
      </c>
      <c r="K9" s="18">
        <v>1</v>
      </c>
      <c r="L9" s="19">
        <v>3.2</v>
      </c>
      <c r="M9" s="20">
        <v>3.2</v>
      </c>
      <c r="N9" s="20">
        <v>3.2</v>
      </c>
    </row>
    <row r="10" spans="1:14">
      <c r="D10" s="21">
        <v>46092</v>
      </c>
      <c r="E10" s="22">
        <v>1585139</v>
      </c>
      <c r="F10" s="22" t="s">
        <v>55</v>
      </c>
      <c r="G10" s="22">
        <v>20324518</v>
      </c>
      <c r="H10" s="22" t="s">
        <v>56</v>
      </c>
      <c r="I10" s="22">
        <v>1</v>
      </c>
      <c r="J10" s="30" t="s">
        <v>57</v>
      </c>
      <c r="K10" s="24">
        <v>1</v>
      </c>
      <c r="L10" s="25">
        <v>3.2</v>
      </c>
      <c r="M10" s="26">
        <v>3.2</v>
      </c>
      <c r="N10" s="26">
        <v>3.2</v>
      </c>
    </row>
    <row r="11" spans="1:14">
      <c r="D11" s="21">
        <v>46098</v>
      </c>
      <c r="E11" s="22">
        <v>1586877</v>
      </c>
      <c r="F11" s="22" t="s">
        <v>55</v>
      </c>
      <c r="G11" s="22">
        <v>20324518</v>
      </c>
      <c r="H11" s="22" t="s">
        <v>56</v>
      </c>
      <c r="I11" s="22">
        <v>1</v>
      </c>
      <c r="J11" s="30" t="s">
        <v>57</v>
      </c>
      <c r="K11" s="24">
        <v>1</v>
      </c>
      <c r="L11" s="25">
        <v>3.2</v>
      </c>
      <c r="M11" s="26">
        <v>3.2</v>
      </c>
      <c r="N11" s="26">
        <v>3.2</v>
      </c>
    </row>
    <row r="12" spans="1:14">
      <c r="D12" s="21">
        <v>46100</v>
      </c>
      <c r="E12" s="22">
        <v>1587214</v>
      </c>
      <c r="F12" s="22" t="s">
        <v>20</v>
      </c>
      <c r="G12" s="22">
        <v>20326997</v>
      </c>
      <c r="H12" s="22" t="s">
        <v>262</v>
      </c>
      <c r="I12" s="22">
        <v>1</v>
      </c>
      <c r="J12" s="28" t="s">
        <v>117</v>
      </c>
      <c r="K12" s="24">
        <v>1</v>
      </c>
      <c r="L12" s="25">
        <f>30*0.8</f>
        <v>24</v>
      </c>
      <c r="M12" s="26">
        <v>24</v>
      </c>
      <c r="N12" s="26">
        <v>24</v>
      </c>
    </row>
    <row r="13" spans="1:14">
      <c r="D13" s="21">
        <v>46106</v>
      </c>
      <c r="E13" s="22">
        <v>1589145</v>
      </c>
      <c r="F13" s="22" t="s">
        <v>55</v>
      </c>
      <c r="G13" s="22">
        <v>20324518</v>
      </c>
      <c r="H13" s="22" t="s">
        <v>56</v>
      </c>
      <c r="I13" s="22">
        <v>1</v>
      </c>
      <c r="J13" s="30" t="s">
        <v>57</v>
      </c>
      <c r="K13" s="24">
        <v>1</v>
      </c>
      <c r="L13" s="25">
        <v>3.2</v>
      </c>
      <c r="M13" s="26">
        <v>3.2</v>
      </c>
      <c r="N13" s="26">
        <v>3.2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J32" sqref="J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875" customWidth="1"/>
    <col min="12" max="12" width="12.375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263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</v>
      </c>
      <c r="J8" s="13"/>
      <c r="K8" s="14"/>
      <c r="L8" s="14"/>
      <c r="M8" s="14"/>
      <c r="N8" s="14">
        <v>15.2</v>
      </c>
    </row>
    <row r="9" spans="1:14">
      <c r="D9" s="15">
        <v>46094</v>
      </c>
      <c r="E9" s="16">
        <v>1585562</v>
      </c>
      <c r="F9" s="16" t="s">
        <v>20</v>
      </c>
      <c r="G9" s="16">
        <v>20324557</v>
      </c>
      <c r="H9" s="16" t="s">
        <v>137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46094</v>
      </c>
      <c r="E10" s="22">
        <v>1585562</v>
      </c>
      <c r="F10" s="22" t="s">
        <v>20</v>
      </c>
      <c r="G10" s="22">
        <v>20324559</v>
      </c>
      <c r="H10" s="22" t="s">
        <v>138</v>
      </c>
      <c r="I10" s="22">
        <v>1</v>
      </c>
      <c r="J10" s="27" t="s">
        <v>25</v>
      </c>
      <c r="K10" s="24">
        <v>1</v>
      </c>
      <c r="L10" s="25">
        <v>8.8</v>
      </c>
      <c r="M10" s="26">
        <v>8.8</v>
      </c>
      <c r="N10" s="26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6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5.75" customWidth="1"/>
    <col min="11" max="11" width="20.875" customWidth="1"/>
    <col min="12" max="12" width="12.375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108" t="s">
        <v>4</v>
      </c>
      <c r="E7" s="108" t="s">
        <v>5</v>
      </c>
      <c r="F7" s="108" t="s">
        <v>6</v>
      </c>
      <c r="G7" s="108" t="s">
        <v>7</v>
      </c>
      <c r="H7" s="108" t="s">
        <v>8</v>
      </c>
      <c r="I7" s="108" t="s">
        <v>9</v>
      </c>
      <c r="J7" s="7" t="s">
        <v>10</v>
      </c>
      <c r="K7" s="8" t="s">
        <v>11</v>
      </c>
      <c r="L7" s="9" t="s">
        <v>12</v>
      </c>
      <c r="M7" s="109" t="s">
        <v>13</v>
      </c>
      <c r="N7" s="109" t="s">
        <v>14</v>
      </c>
    </row>
    <row r="8" ht="14.25" spans="1:14">
      <c r="D8" s="49" t="s">
        <v>264</v>
      </c>
      <c r="E8" s="50" t="s">
        <v>2</v>
      </c>
      <c r="F8" s="50" t="s">
        <v>2</v>
      </c>
      <c r="G8" s="50" t="s">
        <v>2</v>
      </c>
      <c r="H8" s="50" t="s">
        <v>2</v>
      </c>
      <c r="I8" s="49">
        <v>85</v>
      </c>
      <c r="J8" s="51"/>
      <c r="K8" s="110"/>
      <c r="L8" s="110"/>
      <c r="M8" s="110"/>
      <c r="N8" s="110">
        <v>2380</v>
      </c>
    </row>
    <row r="9" spans="1:14">
      <c r="D9" s="52">
        <v>46083</v>
      </c>
      <c r="E9" s="53">
        <v>1581535</v>
      </c>
      <c r="F9" s="53" t="s">
        <v>55</v>
      </c>
      <c r="G9" s="53">
        <v>20374365</v>
      </c>
      <c r="H9" s="53" t="s">
        <v>265</v>
      </c>
      <c r="I9" s="53">
        <v>1</v>
      </c>
      <c r="J9" s="32" t="s">
        <v>266</v>
      </c>
      <c r="K9" s="18">
        <v>1</v>
      </c>
      <c r="L9" s="19">
        <v>28</v>
      </c>
      <c r="M9" s="111">
        <v>28</v>
      </c>
      <c r="N9" s="111">
        <v>28</v>
      </c>
    </row>
    <row r="10" spans="1:14">
      <c r="D10" s="33">
        <v>46083</v>
      </c>
      <c r="E10" s="34">
        <v>1581535</v>
      </c>
      <c r="F10" s="34" t="s">
        <v>55</v>
      </c>
      <c r="G10" s="34">
        <v>20374366</v>
      </c>
      <c r="H10" s="34" t="s">
        <v>267</v>
      </c>
      <c r="I10" s="34">
        <v>1</v>
      </c>
      <c r="J10" s="28" t="s">
        <v>266</v>
      </c>
      <c r="K10" s="24">
        <v>1</v>
      </c>
      <c r="L10" s="25">
        <v>28</v>
      </c>
      <c r="M10" s="112">
        <v>28</v>
      </c>
      <c r="N10" s="112">
        <v>28</v>
      </c>
    </row>
    <row r="11" spans="1:14">
      <c r="D11" s="33">
        <v>46083</v>
      </c>
      <c r="E11" s="34">
        <v>1581535</v>
      </c>
      <c r="F11" s="34" t="s">
        <v>55</v>
      </c>
      <c r="G11" s="34">
        <v>20374367</v>
      </c>
      <c r="H11" s="34" t="s">
        <v>268</v>
      </c>
      <c r="I11" s="34">
        <v>1</v>
      </c>
      <c r="J11" s="28" t="s">
        <v>266</v>
      </c>
      <c r="K11" s="24">
        <v>1</v>
      </c>
      <c r="L11" s="25">
        <v>28</v>
      </c>
      <c r="M11" s="112">
        <v>28</v>
      </c>
      <c r="N11" s="112">
        <v>28</v>
      </c>
    </row>
    <row r="12" spans="1:14">
      <c r="D12" s="33">
        <v>46086</v>
      </c>
      <c r="E12" s="34">
        <v>1582525</v>
      </c>
      <c r="F12" s="34" t="s">
        <v>55</v>
      </c>
      <c r="G12" s="34">
        <v>20374363</v>
      </c>
      <c r="H12" s="34" t="s">
        <v>269</v>
      </c>
      <c r="I12" s="34">
        <v>1</v>
      </c>
      <c r="J12" s="28" t="s">
        <v>266</v>
      </c>
      <c r="K12" s="24">
        <v>1</v>
      </c>
      <c r="L12" s="25">
        <v>28</v>
      </c>
      <c r="M12" s="112">
        <v>28</v>
      </c>
      <c r="N12" s="112">
        <v>28</v>
      </c>
    </row>
    <row r="13" spans="1:14">
      <c r="D13" s="33">
        <v>46086</v>
      </c>
      <c r="E13" s="34">
        <v>1582525</v>
      </c>
      <c r="F13" s="34" t="s">
        <v>55</v>
      </c>
      <c r="G13" s="34">
        <v>20374365</v>
      </c>
      <c r="H13" s="34" t="s">
        <v>265</v>
      </c>
      <c r="I13" s="34">
        <v>2</v>
      </c>
      <c r="J13" s="28" t="s">
        <v>266</v>
      </c>
      <c r="K13" s="24">
        <v>1</v>
      </c>
      <c r="L13" s="25">
        <v>28</v>
      </c>
      <c r="M13" s="112">
        <v>28</v>
      </c>
      <c r="N13" s="112">
        <v>56</v>
      </c>
    </row>
    <row r="14" spans="1:14">
      <c r="D14" s="33">
        <v>46086</v>
      </c>
      <c r="E14" s="34">
        <v>1582525</v>
      </c>
      <c r="F14" s="34" t="s">
        <v>55</v>
      </c>
      <c r="G14" s="34">
        <v>20374366</v>
      </c>
      <c r="H14" s="34" t="s">
        <v>267</v>
      </c>
      <c r="I14" s="34">
        <v>1</v>
      </c>
      <c r="J14" s="28" t="s">
        <v>266</v>
      </c>
      <c r="K14" s="24">
        <v>1</v>
      </c>
      <c r="L14" s="25">
        <v>28</v>
      </c>
      <c r="M14" s="112">
        <v>28</v>
      </c>
      <c r="N14" s="112">
        <v>28</v>
      </c>
    </row>
    <row r="15" spans="1:14">
      <c r="D15" s="33">
        <v>46086</v>
      </c>
      <c r="E15" s="34">
        <v>1582525</v>
      </c>
      <c r="F15" s="34" t="s">
        <v>55</v>
      </c>
      <c r="G15" s="34">
        <v>20374367</v>
      </c>
      <c r="H15" s="34" t="s">
        <v>268</v>
      </c>
      <c r="I15" s="34">
        <v>3</v>
      </c>
      <c r="J15" s="28" t="s">
        <v>266</v>
      </c>
      <c r="K15" s="24">
        <v>1</v>
      </c>
      <c r="L15" s="25">
        <v>28</v>
      </c>
      <c r="M15" s="112">
        <v>28</v>
      </c>
      <c r="N15" s="112">
        <v>84</v>
      </c>
    </row>
    <row r="16" spans="1:14">
      <c r="D16" s="33">
        <v>46090</v>
      </c>
      <c r="E16" s="34">
        <v>1583384</v>
      </c>
      <c r="F16" s="34" t="s">
        <v>55</v>
      </c>
      <c r="G16" s="34">
        <v>20374363</v>
      </c>
      <c r="H16" s="34" t="s">
        <v>269</v>
      </c>
      <c r="I16" s="34">
        <v>1</v>
      </c>
      <c r="J16" s="28" t="s">
        <v>266</v>
      </c>
      <c r="K16" s="24">
        <v>1</v>
      </c>
      <c r="L16" s="25">
        <v>28</v>
      </c>
      <c r="M16" s="112">
        <v>28</v>
      </c>
      <c r="N16" s="112">
        <v>28</v>
      </c>
    </row>
    <row r="17" spans="4:14">
      <c r="D17" s="33">
        <v>46090</v>
      </c>
      <c r="E17" s="34">
        <v>1583384</v>
      </c>
      <c r="F17" s="34" t="s">
        <v>55</v>
      </c>
      <c r="G17" s="34">
        <v>20374365</v>
      </c>
      <c r="H17" s="34" t="s">
        <v>265</v>
      </c>
      <c r="I17" s="34">
        <v>1</v>
      </c>
      <c r="J17" s="28" t="s">
        <v>266</v>
      </c>
      <c r="K17" s="24">
        <v>1</v>
      </c>
      <c r="L17" s="25">
        <v>28</v>
      </c>
      <c r="M17" s="112">
        <v>28</v>
      </c>
      <c r="N17" s="112">
        <v>28</v>
      </c>
    </row>
    <row r="18" spans="4:14">
      <c r="D18" s="33">
        <v>46090</v>
      </c>
      <c r="E18" s="34">
        <v>1583384</v>
      </c>
      <c r="F18" s="34" t="s">
        <v>55</v>
      </c>
      <c r="G18" s="34">
        <v>20374367</v>
      </c>
      <c r="H18" s="34" t="s">
        <v>268</v>
      </c>
      <c r="I18" s="34">
        <v>2</v>
      </c>
      <c r="J18" s="28" t="s">
        <v>266</v>
      </c>
      <c r="K18" s="24">
        <v>1</v>
      </c>
      <c r="L18" s="25">
        <v>28</v>
      </c>
      <c r="M18" s="112">
        <v>28</v>
      </c>
      <c r="N18" s="112">
        <v>56</v>
      </c>
    </row>
    <row r="19" spans="4:14">
      <c r="D19" s="33">
        <v>46093</v>
      </c>
      <c r="E19" s="34">
        <v>1585513</v>
      </c>
      <c r="F19" s="34" t="s">
        <v>55</v>
      </c>
      <c r="G19" s="34">
        <v>20374363</v>
      </c>
      <c r="H19" s="34" t="s">
        <v>269</v>
      </c>
      <c r="I19" s="34">
        <v>1</v>
      </c>
      <c r="J19" s="28" t="s">
        <v>266</v>
      </c>
      <c r="K19" s="24">
        <v>1</v>
      </c>
      <c r="L19" s="25">
        <v>28</v>
      </c>
      <c r="M19" s="112">
        <v>28</v>
      </c>
      <c r="N19" s="112">
        <v>28</v>
      </c>
    </row>
    <row r="20" spans="4:14">
      <c r="D20" s="33">
        <v>46093</v>
      </c>
      <c r="E20" s="34">
        <v>1585513</v>
      </c>
      <c r="F20" s="34" t="s">
        <v>55</v>
      </c>
      <c r="G20" s="34">
        <v>20374364</v>
      </c>
      <c r="H20" s="34" t="s">
        <v>270</v>
      </c>
      <c r="I20" s="34">
        <v>1</v>
      </c>
      <c r="J20" s="28" t="s">
        <v>266</v>
      </c>
      <c r="K20" s="24">
        <v>1</v>
      </c>
      <c r="L20" s="25">
        <v>28</v>
      </c>
      <c r="M20" s="112">
        <v>28</v>
      </c>
      <c r="N20" s="112">
        <v>28</v>
      </c>
    </row>
    <row r="21" spans="4:14">
      <c r="D21" s="33">
        <v>46093</v>
      </c>
      <c r="E21" s="34">
        <v>1585513</v>
      </c>
      <c r="F21" s="34" t="s">
        <v>55</v>
      </c>
      <c r="G21" s="34">
        <v>20374365</v>
      </c>
      <c r="H21" s="34" t="s">
        <v>265</v>
      </c>
      <c r="I21" s="34">
        <v>2</v>
      </c>
      <c r="J21" s="28" t="s">
        <v>266</v>
      </c>
      <c r="K21" s="24">
        <v>1</v>
      </c>
      <c r="L21" s="25">
        <v>28</v>
      </c>
      <c r="M21" s="112">
        <v>28</v>
      </c>
      <c r="N21" s="112">
        <v>56</v>
      </c>
    </row>
    <row r="22" spans="4:14">
      <c r="D22" s="33">
        <v>46097</v>
      </c>
      <c r="E22" s="34">
        <v>1586422</v>
      </c>
      <c r="F22" s="34" t="s">
        <v>55</v>
      </c>
      <c r="G22" s="34">
        <v>20374363</v>
      </c>
      <c r="H22" s="34" t="s">
        <v>269</v>
      </c>
      <c r="I22" s="34">
        <v>2</v>
      </c>
      <c r="J22" s="28" t="s">
        <v>266</v>
      </c>
      <c r="K22" s="24">
        <v>1</v>
      </c>
      <c r="L22" s="25">
        <v>28</v>
      </c>
      <c r="M22" s="112">
        <v>28</v>
      </c>
      <c r="N22" s="112">
        <v>56</v>
      </c>
    </row>
    <row r="23" spans="4:14">
      <c r="D23" s="33">
        <v>46097</v>
      </c>
      <c r="E23" s="34">
        <v>1586422</v>
      </c>
      <c r="F23" s="34" t="s">
        <v>55</v>
      </c>
      <c r="G23" s="34">
        <v>20374364</v>
      </c>
      <c r="H23" s="34" t="s">
        <v>270</v>
      </c>
      <c r="I23" s="34">
        <v>1</v>
      </c>
      <c r="J23" s="28" t="s">
        <v>266</v>
      </c>
      <c r="K23" s="24">
        <v>1</v>
      </c>
      <c r="L23" s="25">
        <v>28</v>
      </c>
      <c r="M23" s="112">
        <v>28</v>
      </c>
      <c r="N23" s="112">
        <v>28</v>
      </c>
    </row>
    <row r="24" spans="4:14">
      <c r="D24" s="33">
        <v>46097</v>
      </c>
      <c r="E24" s="34">
        <v>1586422</v>
      </c>
      <c r="F24" s="34" t="s">
        <v>55</v>
      </c>
      <c r="G24" s="34">
        <v>20374365</v>
      </c>
      <c r="H24" s="34" t="s">
        <v>265</v>
      </c>
      <c r="I24" s="34">
        <v>3</v>
      </c>
      <c r="J24" s="28" t="s">
        <v>266</v>
      </c>
      <c r="K24" s="24">
        <v>1</v>
      </c>
      <c r="L24" s="25">
        <v>28</v>
      </c>
      <c r="M24" s="112">
        <v>28</v>
      </c>
      <c r="N24" s="112">
        <v>84</v>
      </c>
    </row>
    <row r="25" spans="4:14">
      <c r="D25" s="33">
        <v>46097</v>
      </c>
      <c r="E25" s="34">
        <v>1586422</v>
      </c>
      <c r="F25" s="34" t="s">
        <v>55</v>
      </c>
      <c r="G25" s="34">
        <v>20374366</v>
      </c>
      <c r="H25" s="34" t="s">
        <v>267</v>
      </c>
      <c r="I25" s="34">
        <v>2</v>
      </c>
      <c r="J25" s="28" t="s">
        <v>266</v>
      </c>
      <c r="K25" s="24">
        <v>1</v>
      </c>
      <c r="L25" s="25">
        <v>28</v>
      </c>
      <c r="M25" s="112">
        <v>28</v>
      </c>
      <c r="N25" s="112">
        <v>56</v>
      </c>
    </row>
    <row r="26" spans="4:14">
      <c r="D26" s="33">
        <v>46097</v>
      </c>
      <c r="E26" s="34">
        <v>1586422</v>
      </c>
      <c r="F26" s="34" t="s">
        <v>55</v>
      </c>
      <c r="G26" s="34">
        <v>20374367</v>
      </c>
      <c r="H26" s="34" t="s">
        <v>268</v>
      </c>
      <c r="I26" s="34">
        <v>3</v>
      </c>
      <c r="J26" s="28" t="s">
        <v>266</v>
      </c>
      <c r="K26" s="24">
        <v>1</v>
      </c>
      <c r="L26" s="25">
        <v>28</v>
      </c>
      <c r="M26" s="112">
        <v>28</v>
      </c>
      <c r="N26" s="112">
        <v>84</v>
      </c>
    </row>
    <row r="27" spans="4:14">
      <c r="D27" s="33">
        <v>46100</v>
      </c>
      <c r="E27" s="34">
        <v>1587526</v>
      </c>
      <c r="F27" s="34" t="s">
        <v>55</v>
      </c>
      <c r="G27" s="34">
        <v>20374363</v>
      </c>
      <c r="H27" s="34" t="s">
        <v>269</v>
      </c>
      <c r="I27" s="34">
        <v>3</v>
      </c>
      <c r="J27" s="28" t="s">
        <v>266</v>
      </c>
      <c r="K27" s="24">
        <v>1</v>
      </c>
      <c r="L27" s="25">
        <v>28</v>
      </c>
      <c r="M27" s="112">
        <v>28</v>
      </c>
      <c r="N27" s="112">
        <v>84</v>
      </c>
    </row>
    <row r="28" spans="4:14">
      <c r="D28" s="33">
        <v>46100</v>
      </c>
      <c r="E28" s="34">
        <v>1587526</v>
      </c>
      <c r="F28" s="34" t="s">
        <v>55</v>
      </c>
      <c r="G28" s="34">
        <v>20374364</v>
      </c>
      <c r="H28" s="34" t="s">
        <v>270</v>
      </c>
      <c r="I28" s="34">
        <v>1</v>
      </c>
      <c r="J28" s="28" t="s">
        <v>266</v>
      </c>
      <c r="K28" s="24">
        <v>1</v>
      </c>
      <c r="L28" s="25">
        <v>28</v>
      </c>
      <c r="M28" s="112">
        <v>28</v>
      </c>
      <c r="N28" s="112">
        <v>28</v>
      </c>
    </row>
    <row r="29" spans="4:14">
      <c r="D29" s="33">
        <v>46100</v>
      </c>
      <c r="E29" s="34">
        <v>1587526</v>
      </c>
      <c r="F29" s="34" t="s">
        <v>55</v>
      </c>
      <c r="G29" s="34">
        <v>20374365</v>
      </c>
      <c r="H29" s="34" t="s">
        <v>265</v>
      </c>
      <c r="I29" s="34">
        <v>4</v>
      </c>
      <c r="J29" s="28" t="s">
        <v>266</v>
      </c>
      <c r="K29" s="24">
        <v>1</v>
      </c>
      <c r="L29" s="25">
        <v>28</v>
      </c>
      <c r="M29" s="112">
        <v>28</v>
      </c>
      <c r="N29" s="112">
        <v>112</v>
      </c>
    </row>
    <row r="30" spans="4:14">
      <c r="D30" s="33">
        <v>46100</v>
      </c>
      <c r="E30" s="34">
        <v>1587526</v>
      </c>
      <c r="F30" s="34" t="s">
        <v>55</v>
      </c>
      <c r="G30" s="34">
        <v>20374366</v>
      </c>
      <c r="H30" s="34" t="s">
        <v>267</v>
      </c>
      <c r="I30" s="34">
        <v>1</v>
      </c>
      <c r="J30" s="28" t="s">
        <v>266</v>
      </c>
      <c r="K30" s="24">
        <v>1</v>
      </c>
      <c r="L30" s="25">
        <v>28</v>
      </c>
      <c r="M30" s="112">
        <v>28</v>
      </c>
      <c r="N30" s="112">
        <v>28</v>
      </c>
    </row>
    <row r="31" spans="4:14">
      <c r="D31" s="33">
        <v>46100</v>
      </c>
      <c r="E31" s="34">
        <v>1587526</v>
      </c>
      <c r="F31" s="34" t="s">
        <v>55</v>
      </c>
      <c r="G31" s="34">
        <v>20374367</v>
      </c>
      <c r="H31" s="34" t="s">
        <v>268</v>
      </c>
      <c r="I31" s="34">
        <v>1</v>
      </c>
      <c r="J31" s="28" t="s">
        <v>266</v>
      </c>
      <c r="K31" s="24">
        <v>1</v>
      </c>
      <c r="L31" s="25">
        <v>28</v>
      </c>
      <c r="M31" s="112">
        <v>28</v>
      </c>
      <c r="N31" s="112">
        <v>28</v>
      </c>
    </row>
    <row r="32" spans="4:14">
      <c r="D32" s="33">
        <v>46104</v>
      </c>
      <c r="E32" s="34">
        <v>1588481</v>
      </c>
      <c r="F32" s="34" t="s">
        <v>55</v>
      </c>
      <c r="G32" s="34">
        <v>20374363</v>
      </c>
      <c r="H32" s="34" t="s">
        <v>269</v>
      </c>
      <c r="I32" s="34">
        <v>2</v>
      </c>
      <c r="J32" s="28" t="s">
        <v>266</v>
      </c>
      <c r="K32" s="24">
        <v>1</v>
      </c>
      <c r="L32" s="25">
        <v>28</v>
      </c>
      <c r="M32" s="112">
        <v>28</v>
      </c>
      <c r="N32" s="112">
        <v>56</v>
      </c>
    </row>
    <row r="33" spans="4:14">
      <c r="D33" s="33">
        <v>46104</v>
      </c>
      <c r="E33" s="34">
        <v>1588481</v>
      </c>
      <c r="F33" s="34" t="s">
        <v>55</v>
      </c>
      <c r="G33" s="34">
        <v>20374365</v>
      </c>
      <c r="H33" s="34" t="s">
        <v>265</v>
      </c>
      <c r="I33" s="34">
        <v>4</v>
      </c>
      <c r="J33" s="28" t="s">
        <v>266</v>
      </c>
      <c r="K33" s="24">
        <v>1</v>
      </c>
      <c r="L33" s="25">
        <v>28</v>
      </c>
      <c r="M33" s="112">
        <v>28</v>
      </c>
      <c r="N33" s="112">
        <v>112</v>
      </c>
    </row>
    <row r="34" spans="4:14">
      <c r="D34" s="33">
        <v>46104</v>
      </c>
      <c r="E34" s="34">
        <v>1588481</v>
      </c>
      <c r="F34" s="34" t="s">
        <v>55</v>
      </c>
      <c r="G34" s="34">
        <v>20374367</v>
      </c>
      <c r="H34" s="34" t="s">
        <v>268</v>
      </c>
      <c r="I34" s="34">
        <v>1</v>
      </c>
      <c r="J34" s="28" t="s">
        <v>266</v>
      </c>
      <c r="K34" s="24">
        <v>1</v>
      </c>
      <c r="L34" s="25">
        <v>28</v>
      </c>
      <c r="M34" s="112">
        <v>28</v>
      </c>
      <c r="N34" s="112">
        <v>28</v>
      </c>
    </row>
    <row r="35" spans="4:14">
      <c r="D35" s="33">
        <v>46105</v>
      </c>
      <c r="E35" s="34">
        <v>1588745</v>
      </c>
      <c r="F35" s="34" t="s">
        <v>55</v>
      </c>
      <c r="G35" s="34">
        <v>20418593</v>
      </c>
      <c r="H35" s="34" t="s">
        <v>271</v>
      </c>
      <c r="I35" s="34">
        <v>4</v>
      </c>
      <c r="J35" s="28" t="s">
        <v>266</v>
      </c>
      <c r="K35" s="24">
        <v>1</v>
      </c>
      <c r="L35" s="25">
        <v>28</v>
      </c>
      <c r="M35" s="112">
        <v>28</v>
      </c>
      <c r="N35" s="112">
        <v>112</v>
      </c>
    </row>
    <row r="36" spans="4:14">
      <c r="D36" s="33">
        <v>46105</v>
      </c>
      <c r="E36" s="34">
        <v>1588745</v>
      </c>
      <c r="F36" s="34" t="s">
        <v>55</v>
      </c>
      <c r="G36" s="34">
        <v>20418594</v>
      </c>
      <c r="H36" s="34" t="s">
        <v>272</v>
      </c>
      <c r="I36" s="34">
        <v>4</v>
      </c>
      <c r="J36" s="28" t="s">
        <v>266</v>
      </c>
      <c r="K36" s="24">
        <v>1</v>
      </c>
      <c r="L36" s="25">
        <v>28</v>
      </c>
      <c r="M36" s="112">
        <v>28</v>
      </c>
      <c r="N36" s="112">
        <v>112</v>
      </c>
    </row>
    <row r="37" spans="4:14">
      <c r="D37" s="33">
        <v>46105</v>
      </c>
      <c r="E37" s="34">
        <v>1588745</v>
      </c>
      <c r="F37" s="34" t="s">
        <v>55</v>
      </c>
      <c r="G37" s="34">
        <v>20418592</v>
      </c>
      <c r="H37" s="34" t="s">
        <v>273</v>
      </c>
      <c r="I37" s="34">
        <v>10</v>
      </c>
      <c r="J37" s="28" t="s">
        <v>266</v>
      </c>
      <c r="K37" s="24">
        <v>1</v>
      </c>
      <c r="L37" s="25">
        <v>28</v>
      </c>
      <c r="M37" s="112">
        <v>28</v>
      </c>
      <c r="N37" s="112">
        <v>280</v>
      </c>
    </row>
    <row r="38" spans="4:14">
      <c r="D38" s="33">
        <v>46107</v>
      </c>
      <c r="E38" s="34">
        <v>1589505</v>
      </c>
      <c r="F38" s="34" t="s">
        <v>55</v>
      </c>
      <c r="G38" s="34">
        <v>20363668</v>
      </c>
      <c r="H38" s="34" t="s">
        <v>274</v>
      </c>
      <c r="I38" s="34">
        <v>1</v>
      </c>
      <c r="J38" s="28" t="s">
        <v>266</v>
      </c>
      <c r="K38" s="24">
        <v>1</v>
      </c>
      <c r="L38" s="25">
        <v>28</v>
      </c>
      <c r="M38" s="112">
        <v>28</v>
      </c>
      <c r="N38" s="112">
        <v>28</v>
      </c>
    </row>
    <row r="39" spans="4:14">
      <c r="D39" s="33">
        <v>46107</v>
      </c>
      <c r="E39" s="34">
        <v>1589505</v>
      </c>
      <c r="F39" s="34" t="s">
        <v>55</v>
      </c>
      <c r="G39" s="34">
        <v>20374363</v>
      </c>
      <c r="H39" s="34" t="s">
        <v>269</v>
      </c>
      <c r="I39" s="34">
        <v>2</v>
      </c>
      <c r="J39" s="28" t="s">
        <v>266</v>
      </c>
      <c r="K39" s="24">
        <v>1</v>
      </c>
      <c r="L39" s="25">
        <v>28</v>
      </c>
      <c r="M39" s="112">
        <v>28</v>
      </c>
      <c r="N39" s="112">
        <v>56</v>
      </c>
    </row>
    <row r="40" spans="4:14">
      <c r="D40" s="33">
        <v>46107</v>
      </c>
      <c r="E40" s="34">
        <v>1589505</v>
      </c>
      <c r="F40" s="34" t="s">
        <v>55</v>
      </c>
      <c r="G40" s="34">
        <v>20374365</v>
      </c>
      <c r="H40" s="34" t="s">
        <v>265</v>
      </c>
      <c r="I40" s="34">
        <v>3</v>
      </c>
      <c r="J40" s="28" t="s">
        <v>266</v>
      </c>
      <c r="K40" s="24">
        <v>1</v>
      </c>
      <c r="L40" s="25">
        <v>28</v>
      </c>
      <c r="M40" s="112">
        <v>28</v>
      </c>
      <c r="N40" s="112">
        <v>84</v>
      </c>
    </row>
    <row r="41" spans="4:14">
      <c r="D41" s="33">
        <v>46108</v>
      </c>
      <c r="E41" s="34">
        <v>1589865</v>
      </c>
      <c r="F41" s="34" t="s">
        <v>55</v>
      </c>
      <c r="G41" s="34">
        <v>20418592</v>
      </c>
      <c r="H41" s="34" t="s">
        <v>273</v>
      </c>
      <c r="I41" s="34">
        <v>5</v>
      </c>
      <c r="J41" s="28" t="s">
        <v>266</v>
      </c>
      <c r="K41" s="24">
        <v>1</v>
      </c>
      <c r="L41" s="25">
        <v>28</v>
      </c>
      <c r="M41" s="112">
        <v>28</v>
      </c>
      <c r="N41" s="112">
        <v>140</v>
      </c>
    </row>
    <row r="42" spans="4:14">
      <c r="D42" s="33">
        <v>46111</v>
      </c>
      <c r="E42" s="34">
        <v>1590439</v>
      </c>
      <c r="F42" s="34" t="s">
        <v>55</v>
      </c>
      <c r="G42" s="34">
        <v>20374363</v>
      </c>
      <c r="H42" s="34" t="s">
        <v>269</v>
      </c>
      <c r="I42" s="34">
        <v>2</v>
      </c>
      <c r="J42" s="28" t="s">
        <v>266</v>
      </c>
      <c r="K42" s="24">
        <v>1</v>
      </c>
      <c r="L42" s="25">
        <v>28</v>
      </c>
      <c r="M42" s="112">
        <v>28</v>
      </c>
      <c r="N42" s="112">
        <v>56</v>
      </c>
    </row>
    <row r="43" spans="4:14">
      <c r="D43" s="33">
        <v>46111</v>
      </c>
      <c r="E43" s="34">
        <v>1590439</v>
      </c>
      <c r="F43" s="34" t="s">
        <v>55</v>
      </c>
      <c r="G43" s="34">
        <v>20374364</v>
      </c>
      <c r="H43" s="34" t="s">
        <v>270</v>
      </c>
      <c r="I43" s="34">
        <v>1</v>
      </c>
      <c r="J43" s="28" t="s">
        <v>266</v>
      </c>
      <c r="K43" s="24">
        <v>1</v>
      </c>
      <c r="L43" s="25">
        <v>28</v>
      </c>
      <c r="M43" s="112">
        <v>28</v>
      </c>
      <c r="N43" s="112">
        <v>28</v>
      </c>
    </row>
    <row r="44" spans="4:14">
      <c r="D44" s="33">
        <v>46111</v>
      </c>
      <c r="E44" s="34">
        <v>1590439</v>
      </c>
      <c r="F44" s="34" t="s">
        <v>55</v>
      </c>
      <c r="G44" s="34">
        <v>20374365</v>
      </c>
      <c r="H44" s="34" t="s">
        <v>265</v>
      </c>
      <c r="I44" s="34">
        <v>3</v>
      </c>
      <c r="J44" s="28" t="s">
        <v>266</v>
      </c>
      <c r="K44" s="24">
        <v>1</v>
      </c>
      <c r="L44" s="25">
        <v>28</v>
      </c>
      <c r="M44" s="112">
        <v>28</v>
      </c>
      <c r="N44" s="112">
        <v>84</v>
      </c>
    </row>
    <row r="45" spans="4:14">
      <c r="D45" s="33">
        <v>46111</v>
      </c>
      <c r="E45" s="34">
        <v>1590439</v>
      </c>
      <c r="F45" s="34" t="s">
        <v>55</v>
      </c>
      <c r="G45" s="34">
        <v>20374366</v>
      </c>
      <c r="H45" s="34" t="s">
        <v>267</v>
      </c>
      <c r="I45" s="34">
        <v>1</v>
      </c>
      <c r="J45" s="28" t="s">
        <v>266</v>
      </c>
      <c r="K45" s="24">
        <v>1</v>
      </c>
      <c r="L45" s="25">
        <v>28</v>
      </c>
      <c r="M45" s="112">
        <v>28</v>
      </c>
      <c r="N45" s="112">
        <v>28</v>
      </c>
    </row>
    <row r="46" spans="4:14">
      <c r="D46" s="33">
        <v>46111</v>
      </c>
      <c r="E46" s="34">
        <v>1590439</v>
      </c>
      <c r="F46" s="34" t="s">
        <v>55</v>
      </c>
      <c r="G46" s="34">
        <v>20374367</v>
      </c>
      <c r="H46" s="34" t="s">
        <v>268</v>
      </c>
      <c r="I46" s="34">
        <v>3</v>
      </c>
      <c r="J46" s="28" t="s">
        <v>266</v>
      </c>
      <c r="K46" s="24">
        <v>1</v>
      </c>
      <c r="L46" s="25">
        <v>28</v>
      </c>
      <c r="M46" s="112">
        <v>28</v>
      </c>
      <c r="N46" s="112">
        <v>84</v>
      </c>
    </row>
    <row r="47" ht="0.05" customHeight="1"/>
  </sheetData>
  <autoFilter xmlns:etc="http://www.wps.cn/officeDocument/2017/etCustomData" ref="A7:N46" etc:filterBottomFollowUsedRange="0">
    <extLst/>
  </autoFilter>
  <mergeCells count="5">
    <mergeCell ref="D8:H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scale="92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H35" sqref="H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875" customWidth="1"/>
    <col min="12" max="12" width="12.375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108" t="s">
        <v>4</v>
      </c>
      <c r="E7" s="108" t="s">
        <v>5</v>
      </c>
      <c r="F7" s="108" t="s">
        <v>6</v>
      </c>
      <c r="G7" s="108" t="s">
        <v>7</v>
      </c>
      <c r="H7" s="108" t="s">
        <v>8</v>
      </c>
      <c r="I7" s="108" t="s">
        <v>9</v>
      </c>
      <c r="J7" s="7" t="s">
        <v>10</v>
      </c>
      <c r="K7" s="8" t="s">
        <v>11</v>
      </c>
      <c r="L7" s="9" t="s">
        <v>12</v>
      </c>
      <c r="M7" s="109" t="s">
        <v>13</v>
      </c>
      <c r="N7" s="109" t="s">
        <v>14</v>
      </c>
    </row>
    <row r="8" ht="14.25" spans="1:14">
      <c r="D8" s="49" t="s">
        <v>275</v>
      </c>
      <c r="E8" s="50" t="s">
        <v>2</v>
      </c>
      <c r="F8" s="50" t="s">
        <v>2</v>
      </c>
      <c r="G8" s="50" t="s">
        <v>2</v>
      </c>
      <c r="H8" s="50" t="s">
        <v>2</v>
      </c>
      <c r="I8" s="49">
        <v>2</v>
      </c>
      <c r="J8" s="51"/>
      <c r="K8" s="110"/>
      <c r="L8" s="110"/>
      <c r="M8" s="110"/>
      <c r="N8" s="110">
        <v>15.2</v>
      </c>
    </row>
    <row r="9" spans="1:14">
      <c r="D9" s="52">
        <v>46106</v>
      </c>
      <c r="E9" s="53">
        <v>1589155</v>
      </c>
      <c r="F9" s="53" t="s">
        <v>20</v>
      </c>
      <c r="G9" s="53">
        <v>20324557</v>
      </c>
      <c r="H9" s="53" t="s">
        <v>137</v>
      </c>
      <c r="I9" s="53">
        <v>1</v>
      </c>
      <c r="J9" s="17" t="s">
        <v>22</v>
      </c>
      <c r="K9" s="18">
        <v>1</v>
      </c>
      <c r="L9" s="19">
        <v>6.4</v>
      </c>
      <c r="M9" s="111">
        <v>6.4</v>
      </c>
      <c r="N9" s="111">
        <v>6.4</v>
      </c>
    </row>
    <row r="10" spans="1:14">
      <c r="D10" s="33">
        <v>46106</v>
      </c>
      <c r="E10" s="34">
        <v>1589155</v>
      </c>
      <c r="F10" s="34" t="s">
        <v>20</v>
      </c>
      <c r="G10" s="34">
        <v>20324559</v>
      </c>
      <c r="H10" s="34" t="s">
        <v>138</v>
      </c>
      <c r="I10" s="34">
        <v>1</v>
      </c>
      <c r="J10" s="27" t="s">
        <v>25</v>
      </c>
      <c r="K10" s="24">
        <v>1</v>
      </c>
      <c r="L10" s="25">
        <v>8.8</v>
      </c>
      <c r="M10" s="112">
        <v>8.8</v>
      </c>
      <c r="N10" s="112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K34" sqref="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0.875" customWidth="1"/>
    <col min="12" max="12" width="12.375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276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15</v>
      </c>
      <c r="J8" s="13"/>
      <c r="K8" s="14"/>
      <c r="L8" s="14"/>
      <c r="M8" s="14"/>
      <c r="N8" s="14">
        <v>700.8</v>
      </c>
    </row>
    <row r="9" ht="25.5" spans="1:14">
      <c r="D9" s="15">
        <v>46092</v>
      </c>
      <c r="E9" s="16">
        <v>1584757</v>
      </c>
      <c r="F9" s="16" t="s">
        <v>20</v>
      </c>
      <c r="G9" s="16">
        <v>20365169</v>
      </c>
      <c r="H9" s="16" t="s">
        <v>277</v>
      </c>
      <c r="I9" s="16">
        <v>1</v>
      </c>
      <c r="J9" s="31" t="s">
        <v>145</v>
      </c>
      <c r="K9" s="18">
        <f t="shared" ref="K9:K14" si="0">M9/L9</f>
        <v>3</v>
      </c>
      <c r="L9" s="19">
        <v>4.4</v>
      </c>
      <c r="M9" s="20">
        <v>13.2</v>
      </c>
      <c r="N9" s="20">
        <v>13.2</v>
      </c>
    </row>
    <row r="10" spans="1:14">
      <c r="D10" s="21">
        <v>46092</v>
      </c>
      <c r="E10" s="22">
        <v>1584757</v>
      </c>
      <c r="F10" s="22" t="s">
        <v>20</v>
      </c>
      <c r="G10" s="22">
        <v>20324716</v>
      </c>
      <c r="H10" s="22" t="s">
        <v>278</v>
      </c>
      <c r="I10" s="22">
        <v>1</v>
      </c>
      <c r="J10" s="27" t="s">
        <v>22</v>
      </c>
      <c r="K10" s="24">
        <v>1</v>
      </c>
      <c r="L10" s="25">
        <v>6.4</v>
      </c>
      <c r="M10" s="25">
        <v>10.8</v>
      </c>
      <c r="N10" s="26">
        <v>10.8</v>
      </c>
    </row>
    <row r="11" spans="1:14">
      <c r="D11" s="21"/>
      <c r="E11" s="22"/>
      <c r="F11" s="22"/>
      <c r="G11" s="22"/>
      <c r="H11" s="22"/>
      <c r="I11" s="22"/>
      <c r="J11" s="27" t="s">
        <v>145</v>
      </c>
      <c r="K11" s="24">
        <v>1</v>
      </c>
      <c r="L11" s="25">
        <v>4.4</v>
      </c>
      <c r="M11" s="25"/>
      <c r="N11" s="26"/>
    </row>
    <row r="12" spans="1:14">
      <c r="D12" s="21">
        <v>46092</v>
      </c>
      <c r="E12" s="22">
        <v>1584757</v>
      </c>
      <c r="F12" s="22" t="s">
        <v>16</v>
      </c>
      <c r="G12" s="22">
        <v>20373761</v>
      </c>
      <c r="H12" s="22" t="s">
        <v>279</v>
      </c>
      <c r="I12" s="22">
        <v>1</v>
      </c>
      <c r="J12" s="28" t="s">
        <v>18</v>
      </c>
      <c r="K12" s="24">
        <f t="shared" si="0"/>
        <v>24</v>
      </c>
      <c r="L12" s="25">
        <v>4.4</v>
      </c>
      <c r="M12" s="26">
        <v>105.6</v>
      </c>
      <c r="N12" s="26">
        <v>105.6</v>
      </c>
    </row>
    <row r="13" spans="1:14">
      <c r="D13" s="21">
        <v>46092</v>
      </c>
      <c r="E13" s="22">
        <v>1584796</v>
      </c>
      <c r="F13" s="22" t="s">
        <v>16</v>
      </c>
      <c r="G13" s="22">
        <v>20365170</v>
      </c>
      <c r="H13" s="22" t="s">
        <v>156</v>
      </c>
      <c r="I13" s="22">
        <v>1</v>
      </c>
      <c r="J13" s="28" t="s">
        <v>18</v>
      </c>
      <c r="K13" s="24">
        <f t="shared" si="0"/>
        <v>9</v>
      </c>
      <c r="L13" s="25">
        <v>4.4</v>
      </c>
      <c r="M13" s="26">
        <v>39.6</v>
      </c>
      <c r="N13" s="26">
        <v>39.6</v>
      </c>
    </row>
    <row r="14" spans="1:14">
      <c r="D14" s="21">
        <v>46092</v>
      </c>
      <c r="E14" s="22">
        <v>1585140</v>
      </c>
      <c r="F14" s="22" t="s">
        <v>16</v>
      </c>
      <c r="G14" s="22">
        <v>20365170</v>
      </c>
      <c r="H14" s="22" t="s">
        <v>156</v>
      </c>
      <c r="I14" s="22">
        <v>1</v>
      </c>
      <c r="J14" s="28" t="s">
        <v>18</v>
      </c>
      <c r="K14" s="24">
        <f t="shared" si="0"/>
        <v>9</v>
      </c>
      <c r="L14" s="25">
        <v>4.4</v>
      </c>
      <c r="M14" s="26">
        <v>39.6</v>
      </c>
      <c r="N14" s="26">
        <v>39.6</v>
      </c>
    </row>
    <row r="15" spans="1:14">
      <c r="D15" s="21">
        <v>46095</v>
      </c>
      <c r="E15" s="22">
        <v>1585923</v>
      </c>
      <c r="F15" s="22" t="s">
        <v>20</v>
      </c>
      <c r="G15" s="22">
        <v>20324716</v>
      </c>
      <c r="H15" s="22" t="s">
        <v>278</v>
      </c>
      <c r="I15" s="22">
        <v>1</v>
      </c>
      <c r="J15" s="27" t="s">
        <v>22</v>
      </c>
      <c r="K15" s="24">
        <v>1</v>
      </c>
      <c r="L15" s="25">
        <v>6.4</v>
      </c>
      <c r="M15" s="25">
        <v>10.8</v>
      </c>
      <c r="N15" s="26">
        <v>10.8</v>
      </c>
    </row>
    <row r="16" spans="1:14">
      <c r="D16" s="21"/>
      <c r="E16" s="22"/>
      <c r="F16" s="22"/>
      <c r="G16" s="22"/>
      <c r="H16" s="22"/>
      <c r="I16" s="22"/>
      <c r="J16" s="27" t="s">
        <v>145</v>
      </c>
      <c r="K16" s="24">
        <v>1</v>
      </c>
      <c r="L16" s="25">
        <v>4.4</v>
      </c>
      <c r="M16" s="25"/>
      <c r="N16" s="26"/>
    </row>
    <row r="17" spans="4:14">
      <c r="D17" s="21">
        <v>46095</v>
      </c>
      <c r="E17" s="22">
        <v>1585923</v>
      </c>
      <c r="F17" s="22" t="s">
        <v>16</v>
      </c>
      <c r="G17" s="22">
        <v>20373761</v>
      </c>
      <c r="H17" s="22" t="s">
        <v>279</v>
      </c>
      <c r="I17" s="22">
        <v>1</v>
      </c>
      <c r="J17" s="28" t="s">
        <v>18</v>
      </c>
      <c r="K17" s="24">
        <f>M17/L17</f>
        <v>24</v>
      </c>
      <c r="L17" s="25">
        <v>4.4</v>
      </c>
      <c r="M17" s="26">
        <v>105.6</v>
      </c>
      <c r="N17" s="26">
        <v>105.6</v>
      </c>
    </row>
    <row r="18" spans="4:14">
      <c r="D18" s="21">
        <v>46099</v>
      </c>
      <c r="E18" s="22">
        <v>1587136</v>
      </c>
      <c r="F18" s="22" t="s">
        <v>20</v>
      </c>
      <c r="G18" s="22">
        <v>20324716</v>
      </c>
      <c r="H18" s="22" t="s">
        <v>278</v>
      </c>
      <c r="I18" s="22">
        <v>1</v>
      </c>
      <c r="J18" s="27" t="s">
        <v>22</v>
      </c>
      <c r="K18" s="24">
        <v>1</v>
      </c>
      <c r="L18" s="25">
        <v>6.4</v>
      </c>
      <c r="M18" s="25">
        <v>10.8</v>
      </c>
      <c r="N18" s="26">
        <v>10.8</v>
      </c>
    </row>
    <row r="19" spans="4:14">
      <c r="D19" s="21"/>
      <c r="E19" s="22"/>
      <c r="F19" s="22"/>
      <c r="G19" s="22"/>
      <c r="H19" s="22"/>
      <c r="I19" s="22"/>
      <c r="J19" s="27" t="s">
        <v>145</v>
      </c>
      <c r="K19" s="24">
        <v>1</v>
      </c>
      <c r="L19" s="25">
        <v>4.4</v>
      </c>
      <c r="M19" s="25"/>
      <c r="N19" s="26"/>
    </row>
    <row r="20" spans="4:14">
      <c r="D20" s="21">
        <v>46099</v>
      </c>
      <c r="E20" s="22">
        <v>1587136</v>
      </c>
      <c r="F20" s="22" t="s">
        <v>16</v>
      </c>
      <c r="G20" s="22">
        <v>20373761</v>
      </c>
      <c r="H20" s="22" t="s">
        <v>279</v>
      </c>
      <c r="I20" s="22">
        <v>1</v>
      </c>
      <c r="J20" s="28" t="s">
        <v>18</v>
      </c>
      <c r="K20" s="24">
        <f>M20/L20</f>
        <v>24</v>
      </c>
      <c r="L20" s="25">
        <v>4.4</v>
      </c>
      <c r="M20" s="26">
        <v>105.6</v>
      </c>
      <c r="N20" s="26">
        <v>105.6</v>
      </c>
    </row>
    <row r="21" spans="4:14">
      <c r="D21" s="21">
        <v>46104</v>
      </c>
      <c r="E21" s="22">
        <v>1588482</v>
      </c>
      <c r="F21" s="22" t="s">
        <v>20</v>
      </c>
      <c r="G21" s="22">
        <v>20324376</v>
      </c>
      <c r="H21" s="22" t="s">
        <v>157</v>
      </c>
      <c r="I21" s="22">
        <v>1</v>
      </c>
      <c r="J21" s="27" t="s">
        <v>25</v>
      </c>
      <c r="K21" s="24">
        <v>1</v>
      </c>
      <c r="L21" s="25">
        <v>8.8</v>
      </c>
      <c r="M21" s="25">
        <v>13.2</v>
      </c>
      <c r="N21" s="26">
        <v>13.2</v>
      </c>
    </row>
    <row r="22" spans="4:14">
      <c r="D22" s="21"/>
      <c r="E22" s="22"/>
      <c r="F22" s="22"/>
      <c r="G22" s="22"/>
      <c r="H22" s="22"/>
      <c r="I22" s="22"/>
      <c r="J22" s="27" t="s">
        <v>145</v>
      </c>
      <c r="K22" s="24">
        <v>1</v>
      </c>
      <c r="L22" s="25">
        <v>4.4</v>
      </c>
      <c r="M22" s="25"/>
      <c r="N22" s="26"/>
    </row>
    <row r="23" ht="25.5" spans="4:14">
      <c r="D23" s="21">
        <v>46107</v>
      </c>
      <c r="E23" s="22">
        <v>1589214</v>
      </c>
      <c r="F23" s="22" t="s">
        <v>20</v>
      </c>
      <c r="G23" s="22">
        <v>20365169</v>
      </c>
      <c r="H23" s="22" t="s">
        <v>277</v>
      </c>
      <c r="I23" s="22">
        <v>1</v>
      </c>
      <c r="J23" s="27" t="s">
        <v>145</v>
      </c>
      <c r="K23" s="24">
        <f>M23/L23</f>
        <v>3</v>
      </c>
      <c r="L23" s="25">
        <v>4.4</v>
      </c>
      <c r="M23" s="26">
        <v>13.2</v>
      </c>
      <c r="N23" s="26">
        <v>13.2</v>
      </c>
    </row>
    <row r="24" spans="4:14">
      <c r="D24" s="106">
        <v>46107</v>
      </c>
      <c r="E24" s="22">
        <v>1589214</v>
      </c>
      <c r="F24" s="22" t="s">
        <v>20</v>
      </c>
      <c r="G24" s="22">
        <v>20324716</v>
      </c>
      <c r="H24" s="22" t="s">
        <v>278</v>
      </c>
      <c r="I24" s="22">
        <v>2</v>
      </c>
      <c r="J24" s="27" t="s">
        <v>22</v>
      </c>
      <c r="K24" s="24">
        <v>1</v>
      </c>
      <c r="L24" s="25">
        <v>6.4</v>
      </c>
      <c r="M24" s="25">
        <v>10.8</v>
      </c>
      <c r="N24" s="26">
        <v>21.6</v>
      </c>
    </row>
    <row r="25" spans="4:14">
      <c r="D25" s="107"/>
      <c r="E25" s="22"/>
      <c r="F25" s="22"/>
      <c r="G25" s="22"/>
      <c r="H25" s="22"/>
      <c r="I25" s="22"/>
      <c r="J25" s="27" t="s">
        <v>145</v>
      </c>
      <c r="K25" s="24">
        <v>1</v>
      </c>
      <c r="L25" s="25">
        <v>4.4</v>
      </c>
      <c r="M25" s="25"/>
      <c r="N25" s="26"/>
    </row>
    <row r="26" spans="4:14">
      <c r="D26" s="21">
        <v>46107</v>
      </c>
      <c r="E26" s="22">
        <v>1589214</v>
      </c>
      <c r="F26" s="22" t="s">
        <v>16</v>
      </c>
      <c r="G26" s="22">
        <v>20373761</v>
      </c>
      <c r="H26" s="22" t="s">
        <v>279</v>
      </c>
      <c r="I26" s="22">
        <v>2</v>
      </c>
      <c r="J26" s="28" t="s">
        <v>18</v>
      </c>
      <c r="K26" s="24">
        <f>M26/L26</f>
        <v>24</v>
      </c>
      <c r="L26" s="25">
        <v>4.4</v>
      </c>
      <c r="M26" s="26">
        <v>105.6</v>
      </c>
      <c r="N26" s="26">
        <v>211.2</v>
      </c>
    </row>
    <row r="27" ht="0.05" customHeight="1"/>
  </sheetData>
  <autoFilter xmlns:etc="http://www.wps.cn/officeDocument/2017/etCustomData" ref="A7:N26" etc:filterBottomFollowUsedRange="0">
    <extLst/>
  </autoFilter>
  <mergeCells count="45">
    <mergeCell ref="D8:H8"/>
    <mergeCell ref="C7:C26"/>
    <mergeCell ref="D10:D11"/>
    <mergeCell ref="D15:D16"/>
    <mergeCell ref="D18:D19"/>
    <mergeCell ref="D21:D22"/>
    <mergeCell ref="D24:D25"/>
    <mergeCell ref="E10:E11"/>
    <mergeCell ref="E15:E16"/>
    <mergeCell ref="E18:E19"/>
    <mergeCell ref="E21:E22"/>
    <mergeCell ref="E24:E25"/>
    <mergeCell ref="F10:F11"/>
    <mergeCell ref="F15:F16"/>
    <mergeCell ref="F18:F19"/>
    <mergeCell ref="F21:F22"/>
    <mergeCell ref="F24:F25"/>
    <mergeCell ref="G10:G11"/>
    <mergeCell ref="G15:G16"/>
    <mergeCell ref="G18:G19"/>
    <mergeCell ref="G21:G22"/>
    <mergeCell ref="G24:G25"/>
    <mergeCell ref="H10:H11"/>
    <mergeCell ref="H15:H16"/>
    <mergeCell ref="H18:H19"/>
    <mergeCell ref="H21:H22"/>
    <mergeCell ref="H24:H25"/>
    <mergeCell ref="I10:I11"/>
    <mergeCell ref="I15:I16"/>
    <mergeCell ref="I18:I19"/>
    <mergeCell ref="I21:I22"/>
    <mergeCell ref="I24:I25"/>
    <mergeCell ref="M10:M11"/>
    <mergeCell ref="M15:M16"/>
    <mergeCell ref="M18:M19"/>
    <mergeCell ref="M21:M22"/>
    <mergeCell ref="M24:M25"/>
    <mergeCell ref="N10:N11"/>
    <mergeCell ref="N15:N16"/>
    <mergeCell ref="N18:N19"/>
    <mergeCell ref="N21:N22"/>
    <mergeCell ref="N24:N25"/>
    <mergeCell ref="B4:H5"/>
    <mergeCell ref="C1:H2"/>
    <mergeCell ref="A7:B26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0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11.375" customWidth="1"/>
    <col min="5" max="5" width="8.93333333333333" customWidth="1"/>
    <col min="6" max="6" width="11.375" customWidth="1"/>
    <col min="7" max="7" width="9.36666666666667" customWidth="1"/>
    <col min="8" max="8" width="24.8166666666667" customWidth="1"/>
    <col min="9" max="9" width="9.625" customWidth="1"/>
    <col min="10" max="10" width="25.75" customWidth="1"/>
    <col min="11" max="11" width="20.875" customWidth="1"/>
    <col min="12" max="12" width="12.375" customWidth="1"/>
    <col min="13" max="13" width="12.2083333333333" customWidth="1"/>
    <col min="14" max="14" width="11.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280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f>162-1</f>
        <v>161</v>
      </c>
      <c r="J8" s="13"/>
      <c r="K8" s="14"/>
      <c r="L8" s="14"/>
      <c r="M8" s="14"/>
      <c r="N8" s="14">
        <f>6135.6-10.4</f>
        <v>6125.2</v>
      </c>
    </row>
    <row r="9" spans="1:14">
      <c r="D9" s="15">
        <v>46084</v>
      </c>
      <c r="E9" s="16">
        <v>1581866</v>
      </c>
      <c r="F9" s="16" t="s">
        <v>16</v>
      </c>
      <c r="G9" s="16">
        <v>20365639</v>
      </c>
      <c r="H9" s="16" t="s">
        <v>281</v>
      </c>
      <c r="I9" s="16">
        <v>1</v>
      </c>
      <c r="J9" s="32" t="s">
        <v>18</v>
      </c>
      <c r="K9" s="18">
        <f t="shared" ref="K9:K11" si="0">M9/L9</f>
        <v>21</v>
      </c>
      <c r="L9" s="19">
        <v>4.4</v>
      </c>
      <c r="M9" s="20">
        <v>92.4</v>
      </c>
      <c r="N9" s="20">
        <v>92.4</v>
      </c>
    </row>
    <row r="10" spans="1:14">
      <c r="D10" s="21">
        <v>46084</v>
      </c>
      <c r="E10" s="22">
        <v>1581866</v>
      </c>
      <c r="F10" s="22" t="s">
        <v>20</v>
      </c>
      <c r="G10" s="22">
        <v>20368121</v>
      </c>
      <c r="H10" s="22" t="s">
        <v>282</v>
      </c>
      <c r="I10" s="22">
        <v>1</v>
      </c>
      <c r="J10" s="28" t="s">
        <v>18</v>
      </c>
      <c r="K10" s="24">
        <f t="shared" si="0"/>
        <v>8</v>
      </c>
      <c r="L10" s="25">
        <v>4.4</v>
      </c>
      <c r="M10" s="26">
        <v>35.2</v>
      </c>
      <c r="N10" s="26">
        <v>35.2</v>
      </c>
    </row>
    <row r="11" spans="1:14">
      <c r="D11" s="21">
        <v>46084</v>
      </c>
      <c r="E11" s="22">
        <v>1581866</v>
      </c>
      <c r="F11" s="22" t="s">
        <v>20</v>
      </c>
      <c r="G11" s="22">
        <v>20324699</v>
      </c>
      <c r="H11" s="22" t="s">
        <v>283</v>
      </c>
      <c r="I11" s="22">
        <v>1</v>
      </c>
      <c r="J11" s="28" t="s">
        <v>18</v>
      </c>
      <c r="K11" s="24">
        <f t="shared" si="0"/>
        <v>5</v>
      </c>
      <c r="L11" s="25">
        <v>4.4</v>
      </c>
      <c r="M11" s="26">
        <v>22</v>
      </c>
      <c r="N11" s="26">
        <v>22</v>
      </c>
    </row>
    <row r="12" spans="1:14">
      <c r="D12" s="21">
        <v>46087</v>
      </c>
      <c r="E12" s="22">
        <v>1582604</v>
      </c>
      <c r="F12" s="22" t="s">
        <v>20</v>
      </c>
      <c r="G12" s="22">
        <v>20324722</v>
      </c>
      <c r="H12" s="22" t="s">
        <v>284</v>
      </c>
      <c r="I12" s="22">
        <v>1</v>
      </c>
      <c r="J12" s="30" t="s">
        <v>205</v>
      </c>
      <c r="K12" s="24">
        <v>1</v>
      </c>
      <c r="L12" s="25">
        <v>28</v>
      </c>
      <c r="M12" s="26">
        <v>28</v>
      </c>
      <c r="N12" s="26">
        <v>28</v>
      </c>
    </row>
    <row r="13" spans="1:14">
      <c r="D13" s="21">
        <v>46087</v>
      </c>
      <c r="E13" s="22">
        <v>1582849</v>
      </c>
      <c r="F13" s="22" t="s">
        <v>55</v>
      </c>
      <c r="G13" s="22">
        <v>20365637</v>
      </c>
      <c r="H13" s="22" t="s">
        <v>285</v>
      </c>
      <c r="I13" s="22">
        <v>1</v>
      </c>
      <c r="J13" s="28" t="s">
        <v>266</v>
      </c>
      <c r="K13" s="24">
        <v>1</v>
      </c>
      <c r="L13" s="25">
        <v>28</v>
      </c>
      <c r="M13" s="26">
        <v>28</v>
      </c>
      <c r="N13" s="26">
        <v>28</v>
      </c>
    </row>
    <row r="14" spans="1:14">
      <c r="D14" s="21">
        <v>46087</v>
      </c>
      <c r="E14" s="22">
        <v>1582849</v>
      </c>
      <c r="F14" s="22" t="s">
        <v>55</v>
      </c>
      <c r="G14" s="22">
        <v>20324843</v>
      </c>
      <c r="H14" s="22" t="s">
        <v>286</v>
      </c>
      <c r="I14" s="22">
        <v>7</v>
      </c>
      <c r="J14" s="30" t="s">
        <v>57</v>
      </c>
      <c r="K14" s="24">
        <v>1</v>
      </c>
      <c r="L14" s="25">
        <v>3.2</v>
      </c>
      <c r="M14" s="26">
        <v>3.2</v>
      </c>
      <c r="N14" s="26">
        <v>22.4</v>
      </c>
    </row>
    <row r="15" spans="1:14">
      <c r="D15" s="21">
        <v>46087</v>
      </c>
      <c r="E15" s="22">
        <v>1582869</v>
      </c>
      <c r="F15" s="22" t="s">
        <v>16</v>
      </c>
      <c r="G15" s="22">
        <v>20324789</v>
      </c>
      <c r="H15" s="22" t="s">
        <v>287</v>
      </c>
      <c r="I15" s="22">
        <v>2</v>
      </c>
      <c r="J15" s="28" t="s">
        <v>18</v>
      </c>
      <c r="K15" s="24">
        <f t="shared" ref="K15:K19" si="1">M15/L15</f>
        <v>39</v>
      </c>
      <c r="L15" s="25">
        <v>4.4</v>
      </c>
      <c r="M15" s="26">
        <v>171.6</v>
      </c>
      <c r="N15" s="26">
        <v>343.2</v>
      </c>
    </row>
    <row r="16" spans="1:14">
      <c r="D16" s="21">
        <v>46087</v>
      </c>
      <c r="E16" s="22">
        <v>1582869</v>
      </c>
      <c r="F16" s="22" t="s">
        <v>20</v>
      </c>
      <c r="G16" s="22">
        <v>20324699</v>
      </c>
      <c r="H16" s="22" t="s">
        <v>283</v>
      </c>
      <c r="I16" s="22">
        <v>2</v>
      </c>
      <c r="J16" s="28" t="s">
        <v>18</v>
      </c>
      <c r="K16" s="24">
        <f t="shared" si="1"/>
        <v>5</v>
      </c>
      <c r="L16" s="25">
        <v>4.4</v>
      </c>
      <c r="M16" s="26">
        <v>22</v>
      </c>
      <c r="N16" s="26">
        <v>44</v>
      </c>
    </row>
    <row r="17" spans="4:14">
      <c r="D17" s="21">
        <v>46087</v>
      </c>
      <c r="E17" s="22">
        <v>1582870</v>
      </c>
      <c r="F17" s="22" t="s">
        <v>20</v>
      </c>
      <c r="G17" s="22">
        <v>20369531</v>
      </c>
      <c r="H17" s="22" t="s">
        <v>288</v>
      </c>
      <c r="I17" s="22">
        <v>1</v>
      </c>
      <c r="J17" s="27" t="s">
        <v>25</v>
      </c>
      <c r="K17" s="24">
        <v>1</v>
      </c>
      <c r="L17" s="25">
        <v>8.8</v>
      </c>
      <c r="M17" s="25">
        <v>13.2</v>
      </c>
      <c r="N17" s="26">
        <v>13.2</v>
      </c>
    </row>
    <row r="18" spans="4:14">
      <c r="D18" s="21"/>
      <c r="E18" s="22"/>
      <c r="F18" s="22"/>
      <c r="G18" s="22"/>
      <c r="H18" s="22"/>
      <c r="I18" s="22"/>
      <c r="J18" s="27" t="s">
        <v>145</v>
      </c>
      <c r="K18" s="24">
        <v>1</v>
      </c>
      <c r="L18" s="25">
        <v>4.4</v>
      </c>
      <c r="M18" s="25"/>
      <c r="N18" s="26"/>
    </row>
    <row r="19" spans="4:14">
      <c r="D19" s="21">
        <v>46090</v>
      </c>
      <c r="E19" s="22">
        <v>1583385</v>
      </c>
      <c r="F19" s="22" t="s">
        <v>16</v>
      </c>
      <c r="G19" s="22">
        <v>20324463</v>
      </c>
      <c r="H19" s="22" t="s">
        <v>289</v>
      </c>
      <c r="I19" s="22">
        <v>1</v>
      </c>
      <c r="J19" s="28" t="s">
        <v>18</v>
      </c>
      <c r="K19" s="24">
        <f t="shared" si="1"/>
        <v>35</v>
      </c>
      <c r="L19" s="25">
        <v>4.4</v>
      </c>
      <c r="M19" s="26">
        <v>154</v>
      </c>
      <c r="N19" s="26">
        <v>154</v>
      </c>
    </row>
    <row r="20" spans="4:14">
      <c r="D20" s="21">
        <v>46090</v>
      </c>
      <c r="E20" s="22">
        <v>1583385</v>
      </c>
      <c r="F20" s="22" t="s">
        <v>20</v>
      </c>
      <c r="G20" s="22">
        <v>20324826</v>
      </c>
      <c r="H20" s="22" t="s">
        <v>290</v>
      </c>
      <c r="I20" s="22">
        <v>1</v>
      </c>
      <c r="J20" s="27" t="s">
        <v>175</v>
      </c>
      <c r="K20" s="24">
        <v>1</v>
      </c>
      <c r="L20" s="36">
        <v>10.4</v>
      </c>
      <c r="M20" s="26">
        <v>10.4</v>
      </c>
      <c r="N20" s="26">
        <v>10.4</v>
      </c>
    </row>
    <row r="21" spans="4:14">
      <c r="D21" s="21">
        <v>46090</v>
      </c>
      <c r="E21" s="22">
        <v>1583385</v>
      </c>
      <c r="F21" s="22" t="s">
        <v>20</v>
      </c>
      <c r="G21" s="22">
        <v>20324402</v>
      </c>
      <c r="H21" s="22" t="s">
        <v>147</v>
      </c>
      <c r="I21" s="22">
        <v>1</v>
      </c>
      <c r="J21" s="27" t="s">
        <v>25</v>
      </c>
      <c r="K21" s="24">
        <v>1</v>
      </c>
      <c r="L21" s="25">
        <v>8.8</v>
      </c>
      <c r="M21" s="26">
        <v>8.8</v>
      </c>
      <c r="N21" s="26">
        <v>8.8</v>
      </c>
    </row>
    <row r="22" spans="4:14">
      <c r="D22" s="21">
        <v>46090</v>
      </c>
      <c r="E22" s="22">
        <v>1583385</v>
      </c>
      <c r="F22" s="22" t="s">
        <v>16</v>
      </c>
      <c r="G22" s="22">
        <v>20324578</v>
      </c>
      <c r="H22" s="22" t="s">
        <v>149</v>
      </c>
      <c r="I22" s="22">
        <v>1</v>
      </c>
      <c r="J22" s="28" t="s">
        <v>18</v>
      </c>
      <c r="K22" s="24">
        <f>M22/L22</f>
        <v>25</v>
      </c>
      <c r="L22" s="25">
        <v>4.4</v>
      </c>
      <c r="M22" s="26">
        <v>110</v>
      </c>
      <c r="N22" s="26">
        <v>110</v>
      </c>
    </row>
    <row r="23" spans="4:14">
      <c r="D23" s="21">
        <v>46090</v>
      </c>
      <c r="E23" s="22">
        <v>1583385</v>
      </c>
      <c r="F23" s="22" t="s">
        <v>20</v>
      </c>
      <c r="G23" s="22">
        <v>20324699</v>
      </c>
      <c r="H23" s="22" t="s">
        <v>283</v>
      </c>
      <c r="I23" s="22">
        <v>1</v>
      </c>
      <c r="J23" s="28" t="s">
        <v>18</v>
      </c>
      <c r="K23" s="24">
        <f>M23/L23</f>
        <v>5</v>
      </c>
      <c r="L23" s="25">
        <v>4.4</v>
      </c>
      <c r="M23" s="26">
        <v>22</v>
      </c>
      <c r="N23" s="26">
        <v>22</v>
      </c>
    </row>
    <row r="24" spans="4:14">
      <c r="D24" s="21">
        <v>46091</v>
      </c>
      <c r="E24" s="22">
        <v>1583454</v>
      </c>
      <c r="F24" s="22" t="s">
        <v>20</v>
      </c>
      <c r="G24" s="22">
        <v>20324637</v>
      </c>
      <c r="H24" s="22" t="s">
        <v>291</v>
      </c>
      <c r="I24" s="22">
        <v>1</v>
      </c>
      <c r="J24" s="30" t="s">
        <v>205</v>
      </c>
      <c r="K24" s="24">
        <v>1</v>
      </c>
      <c r="L24" s="25">
        <v>28</v>
      </c>
      <c r="M24" s="26">
        <v>28</v>
      </c>
      <c r="N24" s="26">
        <v>28</v>
      </c>
    </row>
    <row r="25" spans="4:14">
      <c r="D25" s="21">
        <v>46091</v>
      </c>
      <c r="E25" s="22">
        <v>1583454</v>
      </c>
      <c r="F25" s="22" t="s">
        <v>20</v>
      </c>
      <c r="G25" s="22">
        <v>20330449</v>
      </c>
      <c r="H25" s="22" t="s">
        <v>292</v>
      </c>
      <c r="I25" s="22">
        <v>1</v>
      </c>
      <c r="J25" s="30" t="s">
        <v>210</v>
      </c>
      <c r="K25" s="24">
        <v>1</v>
      </c>
      <c r="L25" s="25">
        <v>22.4</v>
      </c>
      <c r="M25" s="26">
        <v>22.4</v>
      </c>
      <c r="N25" s="26">
        <v>22.4</v>
      </c>
    </row>
    <row r="26" spans="4:14">
      <c r="D26" s="21">
        <v>46091</v>
      </c>
      <c r="E26" s="22">
        <v>1583454</v>
      </c>
      <c r="F26" s="22" t="s">
        <v>20</v>
      </c>
      <c r="G26" s="22">
        <v>20324838</v>
      </c>
      <c r="H26" s="22" t="s">
        <v>293</v>
      </c>
      <c r="I26" s="22">
        <v>1</v>
      </c>
      <c r="J26" s="30" t="s">
        <v>210</v>
      </c>
      <c r="K26" s="24">
        <v>1</v>
      </c>
      <c r="L26" s="25">
        <v>22.4</v>
      </c>
      <c r="M26" s="26">
        <v>22.4</v>
      </c>
      <c r="N26" s="26">
        <v>22.4</v>
      </c>
    </row>
    <row r="27" spans="4:14">
      <c r="D27" s="21">
        <v>46091</v>
      </c>
      <c r="E27" s="22">
        <v>1583454</v>
      </c>
      <c r="F27" s="22" t="s">
        <v>20</v>
      </c>
      <c r="G27" s="22">
        <v>20324835</v>
      </c>
      <c r="H27" s="22" t="s">
        <v>294</v>
      </c>
      <c r="I27" s="22">
        <v>1</v>
      </c>
      <c r="J27" s="28" t="s">
        <v>295</v>
      </c>
      <c r="K27" s="24">
        <v>1</v>
      </c>
      <c r="L27" s="25">
        <v>20</v>
      </c>
      <c r="M27" s="26">
        <v>20</v>
      </c>
      <c r="N27" s="26">
        <v>20</v>
      </c>
    </row>
    <row r="28" spans="4:14">
      <c r="D28" s="21">
        <v>46091</v>
      </c>
      <c r="E28" s="22">
        <v>1583454</v>
      </c>
      <c r="F28" s="22" t="s">
        <v>20</v>
      </c>
      <c r="G28" s="22">
        <v>20392554</v>
      </c>
      <c r="H28" s="22" t="s">
        <v>296</v>
      </c>
      <c r="I28" s="22">
        <v>1</v>
      </c>
      <c r="J28" s="28" t="s">
        <v>28</v>
      </c>
      <c r="K28" s="24">
        <v>1</v>
      </c>
      <c r="L28" s="25">
        <v>17.6</v>
      </c>
      <c r="M28" s="26">
        <v>35.2</v>
      </c>
      <c r="N28" s="26">
        <v>35.2</v>
      </c>
    </row>
    <row r="29" spans="4:14">
      <c r="D29" s="21"/>
      <c r="E29" s="22"/>
      <c r="F29" s="22"/>
      <c r="G29" s="22"/>
      <c r="H29" s="22"/>
      <c r="I29" s="22"/>
      <c r="J29" s="28" t="s">
        <v>28</v>
      </c>
      <c r="K29" s="24">
        <v>1</v>
      </c>
      <c r="L29" s="25">
        <v>17.6</v>
      </c>
      <c r="M29" s="26"/>
      <c r="N29" s="26"/>
    </row>
    <row r="30" spans="4:14">
      <c r="D30" s="21">
        <v>46091</v>
      </c>
      <c r="E30" s="22">
        <v>1583454</v>
      </c>
      <c r="F30" s="22" t="s">
        <v>20</v>
      </c>
      <c r="G30" s="22">
        <v>20373644</v>
      </c>
      <c r="H30" s="22" t="s">
        <v>297</v>
      </c>
      <c r="I30" s="22">
        <v>1</v>
      </c>
      <c r="J30" s="30" t="s">
        <v>205</v>
      </c>
      <c r="K30" s="24">
        <v>1</v>
      </c>
      <c r="L30" s="25">
        <v>28</v>
      </c>
      <c r="M30" s="26">
        <v>28</v>
      </c>
      <c r="N30" s="26">
        <v>28</v>
      </c>
    </row>
    <row r="31" spans="4:14">
      <c r="D31" s="21">
        <v>46091</v>
      </c>
      <c r="E31" s="22">
        <v>1583454</v>
      </c>
      <c r="F31" s="22" t="s">
        <v>20</v>
      </c>
      <c r="G31" s="22">
        <v>20373642</v>
      </c>
      <c r="H31" s="22" t="s">
        <v>298</v>
      </c>
      <c r="I31" s="22">
        <v>1</v>
      </c>
      <c r="J31" s="30" t="s">
        <v>39</v>
      </c>
      <c r="K31" s="24" t="s">
        <v>40</v>
      </c>
      <c r="L31" s="25">
        <v>70.4</v>
      </c>
      <c r="M31" s="26">
        <v>105.6</v>
      </c>
      <c r="N31" s="26">
        <v>105.6</v>
      </c>
    </row>
    <row r="32" spans="4:14">
      <c r="D32" s="21"/>
      <c r="E32" s="22"/>
      <c r="F32" s="22"/>
      <c r="G32" s="22"/>
      <c r="H32" s="22"/>
      <c r="I32" s="22"/>
      <c r="J32" s="28" t="s">
        <v>28</v>
      </c>
      <c r="K32" s="24">
        <v>1</v>
      </c>
      <c r="L32" s="25">
        <v>17.6</v>
      </c>
      <c r="M32" s="26"/>
      <c r="N32" s="26"/>
    </row>
    <row r="33" spans="4:14">
      <c r="D33" s="21"/>
      <c r="E33" s="22"/>
      <c r="F33" s="22"/>
      <c r="G33" s="22"/>
      <c r="H33" s="22"/>
      <c r="I33" s="22"/>
      <c r="J33" s="28" t="s">
        <v>28</v>
      </c>
      <c r="K33" s="24">
        <v>1</v>
      </c>
      <c r="L33" s="25">
        <v>17.6</v>
      </c>
      <c r="M33" s="26"/>
      <c r="N33" s="26"/>
    </row>
    <row r="34" spans="4:14">
      <c r="D34" s="21">
        <v>46091</v>
      </c>
      <c r="E34" s="22">
        <v>1583454</v>
      </c>
      <c r="F34" s="22" t="s">
        <v>20</v>
      </c>
      <c r="G34" s="22">
        <v>20324722</v>
      </c>
      <c r="H34" s="22" t="s">
        <v>284</v>
      </c>
      <c r="I34" s="22">
        <v>1</v>
      </c>
      <c r="J34" s="30" t="s">
        <v>205</v>
      </c>
      <c r="K34" s="24">
        <v>1</v>
      </c>
      <c r="L34" s="25">
        <v>28</v>
      </c>
      <c r="M34" s="26">
        <v>28</v>
      </c>
      <c r="N34" s="26">
        <v>28</v>
      </c>
    </row>
    <row r="35" spans="4:14">
      <c r="D35" s="21">
        <v>46091</v>
      </c>
      <c r="E35" s="22">
        <v>1583454</v>
      </c>
      <c r="F35" s="22" t="s">
        <v>20</v>
      </c>
      <c r="G35" s="22">
        <v>20341762</v>
      </c>
      <c r="H35" s="22" t="s">
        <v>299</v>
      </c>
      <c r="I35" s="22">
        <v>1</v>
      </c>
      <c r="J35" s="30" t="s">
        <v>205</v>
      </c>
      <c r="K35" s="24">
        <v>1</v>
      </c>
      <c r="L35" s="25">
        <v>28</v>
      </c>
      <c r="M35" s="26">
        <v>28</v>
      </c>
      <c r="N35" s="26">
        <v>28</v>
      </c>
    </row>
    <row r="36" spans="4:14">
      <c r="D36" s="21">
        <v>46091</v>
      </c>
      <c r="E36" s="22">
        <v>1583454</v>
      </c>
      <c r="F36" s="22" t="s">
        <v>20</v>
      </c>
      <c r="G36" s="22">
        <v>20324732</v>
      </c>
      <c r="H36" s="22" t="s">
        <v>300</v>
      </c>
      <c r="I36" s="22">
        <v>1</v>
      </c>
      <c r="J36" s="30" t="s">
        <v>210</v>
      </c>
      <c r="K36" s="24">
        <v>1</v>
      </c>
      <c r="L36" s="25">
        <v>22.4</v>
      </c>
      <c r="M36" s="26">
        <v>22.4</v>
      </c>
      <c r="N36" s="26">
        <v>22.4</v>
      </c>
    </row>
    <row r="37" spans="4:14">
      <c r="D37" s="21">
        <v>46091</v>
      </c>
      <c r="E37" s="22">
        <v>1583454</v>
      </c>
      <c r="F37" s="22" t="s">
        <v>20</v>
      </c>
      <c r="G37" s="22">
        <v>20325012</v>
      </c>
      <c r="H37" s="22" t="s">
        <v>301</v>
      </c>
      <c r="I37" s="22">
        <v>1</v>
      </c>
      <c r="J37" s="28" t="s">
        <v>28</v>
      </c>
      <c r="K37" s="24">
        <v>1</v>
      </c>
      <c r="L37" s="25">
        <v>17.6</v>
      </c>
      <c r="M37" s="26">
        <v>35.2</v>
      </c>
      <c r="N37" s="26">
        <v>35.2</v>
      </c>
    </row>
    <row r="38" spans="4:14">
      <c r="D38" s="21"/>
      <c r="E38" s="22"/>
      <c r="F38" s="22"/>
      <c r="G38" s="22"/>
      <c r="H38" s="22"/>
      <c r="I38" s="22"/>
      <c r="J38" s="28" t="s">
        <v>28</v>
      </c>
      <c r="K38" s="24">
        <v>1</v>
      </c>
      <c r="L38" s="25">
        <v>17.6</v>
      </c>
      <c r="M38" s="26"/>
      <c r="N38" s="26"/>
    </row>
    <row r="39" spans="4:14">
      <c r="D39" s="21">
        <v>46091</v>
      </c>
      <c r="E39" s="22">
        <v>1583454</v>
      </c>
      <c r="F39" s="22" t="s">
        <v>20</v>
      </c>
      <c r="G39" s="22">
        <v>20324813</v>
      </c>
      <c r="H39" s="22" t="s">
        <v>302</v>
      </c>
      <c r="I39" s="22">
        <v>1</v>
      </c>
      <c r="J39" s="30" t="s">
        <v>210</v>
      </c>
      <c r="K39" s="24">
        <v>1</v>
      </c>
      <c r="L39" s="25">
        <v>22.4</v>
      </c>
      <c r="M39" s="26">
        <v>22.4</v>
      </c>
      <c r="N39" s="26">
        <v>22.4</v>
      </c>
    </row>
    <row r="40" spans="4:14">
      <c r="D40" s="21">
        <v>46091</v>
      </c>
      <c r="E40" s="22">
        <v>1583454</v>
      </c>
      <c r="F40" s="22" t="s">
        <v>20</v>
      </c>
      <c r="G40" s="22">
        <v>20324815</v>
      </c>
      <c r="H40" s="22" t="s">
        <v>303</v>
      </c>
      <c r="I40" s="22">
        <v>1</v>
      </c>
      <c r="J40" s="30" t="s">
        <v>205</v>
      </c>
      <c r="K40" s="24">
        <v>1</v>
      </c>
      <c r="L40" s="25">
        <v>28</v>
      </c>
      <c r="M40" s="26">
        <v>28</v>
      </c>
      <c r="N40" s="26">
        <v>28</v>
      </c>
    </row>
    <row r="41" spans="4:14">
      <c r="D41" s="21">
        <v>46091</v>
      </c>
      <c r="E41" s="22">
        <v>1583454</v>
      </c>
      <c r="F41" s="22" t="s">
        <v>20</v>
      </c>
      <c r="G41" s="22">
        <v>20324644</v>
      </c>
      <c r="H41" s="22" t="s">
        <v>304</v>
      </c>
      <c r="I41" s="22">
        <v>1</v>
      </c>
      <c r="J41" s="30" t="s">
        <v>210</v>
      </c>
      <c r="K41" s="24">
        <v>1</v>
      </c>
      <c r="L41" s="25">
        <v>22.4</v>
      </c>
      <c r="M41" s="26">
        <v>22.4</v>
      </c>
      <c r="N41" s="26">
        <v>22.4</v>
      </c>
    </row>
    <row r="42" spans="4:14">
      <c r="D42" s="21">
        <v>46091</v>
      </c>
      <c r="E42" s="22">
        <v>1583454</v>
      </c>
      <c r="F42" s="22" t="s">
        <v>20</v>
      </c>
      <c r="G42" s="22">
        <v>20324814</v>
      </c>
      <c r="H42" s="22" t="s">
        <v>305</v>
      </c>
      <c r="I42" s="22">
        <v>1</v>
      </c>
      <c r="J42" s="30" t="s">
        <v>210</v>
      </c>
      <c r="K42" s="24">
        <v>1</v>
      </c>
      <c r="L42" s="25">
        <v>22.4</v>
      </c>
      <c r="M42" s="26">
        <v>22.4</v>
      </c>
      <c r="N42" s="26">
        <v>22.4</v>
      </c>
    </row>
    <row r="43" spans="4:14">
      <c r="D43" s="68">
        <v>46091</v>
      </c>
      <c r="E43" s="69">
        <v>1583454</v>
      </c>
      <c r="F43" s="69" t="s">
        <v>30</v>
      </c>
      <c r="G43" s="69">
        <v>20324638</v>
      </c>
      <c r="H43" s="69" t="s">
        <v>306</v>
      </c>
      <c r="I43" s="69">
        <v>1</v>
      </c>
      <c r="J43" s="30" t="s">
        <v>307</v>
      </c>
      <c r="K43" s="24" t="s">
        <v>308</v>
      </c>
      <c r="L43" s="25">
        <v>22.4</v>
      </c>
      <c r="M43" s="25">
        <f>L43+L44</f>
        <v>30.4</v>
      </c>
      <c r="N43" s="25">
        <f>M43+M44</f>
        <v>30.4</v>
      </c>
    </row>
    <row r="44" spans="4:14">
      <c r="D44" s="72"/>
      <c r="E44" s="73"/>
      <c r="F44" s="73"/>
      <c r="G44" s="73"/>
      <c r="H44" s="73"/>
      <c r="I44" s="73"/>
      <c r="J44" s="27" t="s">
        <v>309</v>
      </c>
      <c r="K44" s="24" t="s">
        <v>308</v>
      </c>
      <c r="L44" s="25">
        <v>8</v>
      </c>
      <c r="M44" s="25"/>
      <c r="N44" s="25"/>
    </row>
    <row r="45" spans="4:14">
      <c r="D45" s="21">
        <v>46091</v>
      </c>
      <c r="E45" s="22">
        <v>1583454</v>
      </c>
      <c r="F45" s="22" t="s">
        <v>30</v>
      </c>
      <c r="G45" s="22">
        <v>20324849</v>
      </c>
      <c r="H45" s="22" t="s">
        <v>310</v>
      </c>
      <c r="I45" s="22">
        <v>1</v>
      </c>
      <c r="J45" s="30" t="s">
        <v>210</v>
      </c>
      <c r="K45" s="24">
        <v>1</v>
      </c>
      <c r="L45" s="25">
        <v>22.4</v>
      </c>
      <c r="M45" s="26">
        <v>22.4</v>
      </c>
      <c r="N45" s="26">
        <v>22.4</v>
      </c>
    </row>
    <row r="46" spans="4:14">
      <c r="D46" s="21">
        <v>46091</v>
      </c>
      <c r="E46" s="22">
        <v>1583454</v>
      </c>
      <c r="F46" s="22" t="s">
        <v>30</v>
      </c>
      <c r="G46" s="22">
        <v>20325010</v>
      </c>
      <c r="H46" s="22" t="s">
        <v>311</v>
      </c>
      <c r="I46" s="22">
        <v>1</v>
      </c>
      <c r="J46" s="30" t="s">
        <v>39</v>
      </c>
      <c r="K46" s="24" t="s">
        <v>40</v>
      </c>
      <c r="L46" s="25">
        <v>70.4</v>
      </c>
      <c r="M46" s="26">
        <v>70.4</v>
      </c>
      <c r="N46" s="26">
        <v>70.4</v>
      </c>
    </row>
    <row r="47" spans="4:14">
      <c r="D47" s="21">
        <v>46091</v>
      </c>
      <c r="E47" s="22">
        <v>1584732</v>
      </c>
      <c r="F47" s="22" t="s">
        <v>16</v>
      </c>
      <c r="G47" s="22">
        <v>20324679</v>
      </c>
      <c r="H47" s="22" t="s">
        <v>312</v>
      </c>
      <c r="I47" s="22">
        <v>1</v>
      </c>
      <c r="J47" s="28" t="s">
        <v>18</v>
      </c>
      <c r="K47" s="24">
        <f t="shared" ref="K47:K51" si="2">M47/L47</f>
        <v>47</v>
      </c>
      <c r="L47" s="25">
        <v>4.4</v>
      </c>
      <c r="M47" s="26">
        <v>206.8</v>
      </c>
      <c r="N47" s="26">
        <v>206.8</v>
      </c>
    </row>
    <row r="48" spans="4:14">
      <c r="D48" s="21">
        <v>46091</v>
      </c>
      <c r="E48" s="22">
        <v>1584732</v>
      </c>
      <c r="F48" s="22" t="s">
        <v>16</v>
      </c>
      <c r="G48" s="22">
        <v>20365639</v>
      </c>
      <c r="H48" s="22" t="s">
        <v>281</v>
      </c>
      <c r="I48" s="22">
        <v>1</v>
      </c>
      <c r="J48" s="28" t="s">
        <v>18</v>
      </c>
      <c r="K48" s="24">
        <f t="shared" si="2"/>
        <v>21</v>
      </c>
      <c r="L48" s="25">
        <v>4.4</v>
      </c>
      <c r="M48" s="26">
        <v>92.4</v>
      </c>
      <c r="N48" s="26">
        <v>92.4</v>
      </c>
    </row>
    <row r="49" spans="4:14">
      <c r="D49" s="21">
        <v>46091</v>
      </c>
      <c r="E49" s="22">
        <v>1584732</v>
      </c>
      <c r="F49" s="22" t="s">
        <v>20</v>
      </c>
      <c r="G49" s="22">
        <v>20324699</v>
      </c>
      <c r="H49" s="22" t="s">
        <v>283</v>
      </c>
      <c r="I49" s="22">
        <v>1</v>
      </c>
      <c r="J49" s="28" t="s">
        <v>18</v>
      </c>
      <c r="K49" s="24">
        <f t="shared" si="2"/>
        <v>5</v>
      </c>
      <c r="L49" s="25">
        <v>4.4</v>
      </c>
      <c r="M49" s="26">
        <v>22</v>
      </c>
      <c r="N49" s="26">
        <v>22</v>
      </c>
    </row>
    <row r="50" spans="4:14">
      <c r="D50" s="21">
        <v>46091</v>
      </c>
      <c r="E50" s="22">
        <v>1584732</v>
      </c>
      <c r="F50" s="22" t="s">
        <v>20</v>
      </c>
      <c r="G50" s="22">
        <v>20326916</v>
      </c>
      <c r="H50" s="22" t="s">
        <v>313</v>
      </c>
      <c r="I50" s="22">
        <v>1</v>
      </c>
      <c r="J50" s="28" t="s">
        <v>18</v>
      </c>
      <c r="K50" s="24">
        <f t="shared" si="2"/>
        <v>3</v>
      </c>
      <c r="L50" s="25">
        <v>4.4</v>
      </c>
      <c r="M50" s="26">
        <v>13.2</v>
      </c>
      <c r="N50" s="26">
        <v>13.2</v>
      </c>
    </row>
    <row r="51" spans="4:14">
      <c r="D51" s="21">
        <v>46092</v>
      </c>
      <c r="E51" s="22">
        <v>1584758</v>
      </c>
      <c r="F51" s="22" t="s">
        <v>16</v>
      </c>
      <c r="G51" s="22">
        <v>20324679</v>
      </c>
      <c r="H51" s="22" t="s">
        <v>312</v>
      </c>
      <c r="I51" s="22">
        <v>1</v>
      </c>
      <c r="J51" s="28" t="s">
        <v>18</v>
      </c>
      <c r="K51" s="24">
        <f t="shared" si="2"/>
        <v>47</v>
      </c>
      <c r="L51" s="25">
        <v>4.4</v>
      </c>
      <c r="M51" s="26">
        <v>206.8</v>
      </c>
      <c r="N51" s="26">
        <v>206.8</v>
      </c>
    </row>
    <row r="52" spans="4:14">
      <c r="D52" s="21">
        <v>46092</v>
      </c>
      <c r="E52" s="22">
        <v>1584758</v>
      </c>
      <c r="F52" s="22" t="s">
        <v>20</v>
      </c>
      <c r="G52" s="22">
        <v>20327777</v>
      </c>
      <c r="H52" s="22" t="s">
        <v>314</v>
      </c>
      <c r="I52" s="22">
        <v>1</v>
      </c>
      <c r="J52" s="27" t="s">
        <v>22</v>
      </c>
      <c r="K52" s="24">
        <v>1</v>
      </c>
      <c r="L52" s="25">
        <v>6.4</v>
      </c>
      <c r="M52" s="25">
        <v>10.8</v>
      </c>
      <c r="N52" s="25">
        <v>10.8</v>
      </c>
    </row>
    <row r="53" spans="4:14">
      <c r="D53" s="21"/>
      <c r="E53" s="22"/>
      <c r="F53" s="22"/>
      <c r="G53" s="22"/>
      <c r="H53" s="22"/>
      <c r="I53" s="22"/>
      <c r="J53" s="27" t="s">
        <v>145</v>
      </c>
      <c r="K53" s="24">
        <v>1</v>
      </c>
      <c r="L53" s="25">
        <v>4.4</v>
      </c>
      <c r="M53" s="25"/>
      <c r="N53" s="25"/>
    </row>
    <row r="54" spans="4:14">
      <c r="D54" s="21">
        <v>46092</v>
      </c>
      <c r="E54" s="22">
        <v>1584758</v>
      </c>
      <c r="F54" s="22" t="s">
        <v>20</v>
      </c>
      <c r="G54" s="22">
        <v>20324800</v>
      </c>
      <c r="H54" s="22" t="s">
        <v>315</v>
      </c>
      <c r="I54" s="22">
        <v>2</v>
      </c>
      <c r="J54" s="23" t="s">
        <v>22</v>
      </c>
      <c r="K54" s="24">
        <v>1</v>
      </c>
      <c r="L54" s="25">
        <v>6.4</v>
      </c>
      <c r="M54" s="26">
        <v>6.4</v>
      </c>
      <c r="N54" s="26">
        <v>12.8</v>
      </c>
    </row>
    <row r="55" spans="4:14">
      <c r="D55" s="21">
        <v>46092</v>
      </c>
      <c r="E55" s="22">
        <v>1584758</v>
      </c>
      <c r="F55" s="22" t="s">
        <v>20</v>
      </c>
      <c r="G55" s="22">
        <v>20324485</v>
      </c>
      <c r="H55" s="22" t="s">
        <v>41</v>
      </c>
      <c r="I55" s="22">
        <v>1</v>
      </c>
      <c r="J55" s="23" t="s">
        <v>22</v>
      </c>
      <c r="K55" s="24">
        <v>1</v>
      </c>
      <c r="L55" s="25">
        <v>6.4</v>
      </c>
      <c r="M55" s="26">
        <v>6.4</v>
      </c>
      <c r="N55" s="26">
        <v>6.4</v>
      </c>
    </row>
    <row r="56" spans="4:14">
      <c r="D56" s="21">
        <v>46092</v>
      </c>
      <c r="E56" s="22">
        <v>1584758</v>
      </c>
      <c r="F56" s="22" t="s">
        <v>20</v>
      </c>
      <c r="G56" s="22">
        <v>20324699</v>
      </c>
      <c r="H56" s="22" t="s">
        <v>283</v>
      </c>
      <c r="I56" s="22">
        <v>2</v>
      </c>
      <c r="J56" s="28" t="s">
        <v>18</v>
      </c>
      <c r="K56" s="24">
        <f>M56/L56</f>
        <v>5</v>
      </c>
      <c r="L56" s="25">
        <v>4.4</v>
      </c>
      <c r="M56" s="26">
        <v>22</v>
      </c>
      <c r="N56" s="26">
        <v>44</v>
      </c>
    </row>
    <row r="57" spans="4:14">
      <c r="D57" s="21">
        <v>46092</v>
      </c>
      <c r="E57" s="22">
        <v>1585141</v>
      </c>
      <c r="F57" s="22" t="s">
        <v>16</v>
      </c>
      <c r="G57" s="22">
        <v>20324679</v>
      </c>
      <c r="H57" s="22" t="s">
        <v>312</v>
      </c>
      <c r="I57" s="22">
        <v>1</v>
      </c>
      <c r="J57" s="28" t="s">
        <v>18</v>
      </c>
      <c r="K57" s="24">
        <f>M57/L57</f>
        <v>47</v>
      </c>
      <c r="L57" s="25">
        <v>4.4</v>
      </c>
      <c r="M57" s="26">
        <v>206.8</v>
      </c>
      <c r="N57" s="26">
        <v>206.8</v>
      </c>
    </row>
    <row r="58" spans="4:14">
      <c r="D58" s="21">
        <v>46092</v>
      </c>
      <c r="E58" s="22">
        <v>1585141</v>
      </c>
      <c r="F58" s="22" t="s">
        <v>20</v>
      </c>
      <c r="G58" s="22">
        <v>20324826</v>
      </c>
      <c r="H58" s="22" t="s">
        <v>290</v>
      </c>
      <c r="I58" s="22">
        <v>1</v>
      </c>
      <c r="J58" s="27" t="s">
        <v>175</v>
      </c>
      <c r="K58" s="24">
        <v>1</v>
      </c>
      <c r="L58" s="36">
        <v>10.4</v>
      </c>
      <c r="M58" s="26">
        <v>10.4</v>
      </c>
      <c r="N58" s="26">
        <v>10.4</v>
      </c>
    </row>
    <row r="59" spans="4:14">
      <c r="D59" s="21">
        <v>46092</v>
      </c>
      <c r="E59" s="22">
        <v>1585141</v>
      </c>
      <c r="F59" s="22" t="s">
        <v>20</v>
      </c>
      <c r="G59" s="22">
        <v>20324827</v>
      </c>
      <c r="H59" s="22" t="s">
        <v>316</v>
      </c>
      <c r="I59" s="22">
        <v>1</v>
      </c>
      <c r="J59" s="27" t="s">
        <v>25</v>
      </c>
      <c r="K59" s="24">
        <v>1</v>
      </c>
      <c r="L59" s="25">
        <v>8.8</v>
      </c>
      <c r="M59" s="25">
        <v>13.2</v>
      </c>
      <c r="N59" s="26">
        <v>13.2</v>
      </c>
    </row>
    <row r="60" spans="4:14">
      <c r="D60" s="21"/>
      <c r="E60" s="22"/>
      <c r="F60" s="22"/>
      <c r="G60" s="22"/>
      <c r="H60" s="22"/>
      <c r="I60" s="22"/>
      <c r="J60" s="27" t="s">
        <v>145</v>
      </c>
      <c r="K60" s="24">
        <v>1</v>
      </c>
      <c r="L60" s="25">
        <v>4.4</v>
      </c>
      <c r="M60" s="25"/>
      <c r="N60" s="26"/>
    </row>
    <row r="61" spans="4:14">
      <c r="D61" s="21">
        <v>46092</v>
      </c>
      <c r="E61" s="22">
        <v>1585141</v>
      </c>
      <c r="F61" s="22" t="s">
        <v>20</v>
      </c>
      <c r="G61" s="22">
        <v>20382735</v>
      </c>
      <c r="H61" s="22" t="s">
        <v>317</v>
      </c>
      <c r="I61" s="22">
        <v>1</v>
      </c>
      <c r="J61" s="27" t="s">
        <v>145</v>
      </c>
      <c r="K61" s="24">
        <f t="shared" ref="K61:K65" si="3">M61/L61</f>
        <v>3</v>
      </c>
      <c r="L61" s="25">
        <v>4.4</v>
      </c>
      <c r="M61" s="26">
        <v>13.2</v>
      </c>
      <c r="N61" s="26">
        <v>13.2</v>
      </c>
    </row>
    <row r="62" spans="4:14">
      <c r="D62" s="21">
        <v>46092</v>
      </c>
      <c r="E62" s="22">
        <v>1585141</v>
      </c>
      <c r="F62" s="22" t="s">
        <v>20</v>
      </c>
      <c r="G62" s="22">
        <v>20324800</v>
      </c>
      <c r="H62" s="22" t="s">
        <v>315</v>
      </c>
      <c r="I62" s="22">
        <v>1</v>
      </c>
      <c r="J62" s="23" t="s">
        <v>22</v>
      </c>
      <c r="K62" s="24">
        <v>1</v>
      </c>
      <c r="L62" s="25">
        <v>6.4</v>
      </c>
      <c r="M62" s="26">
        <v>6.4</v>
      </c>
      <c r="N62" s="26">
        <v>6.4</v>
      </c>
    </row>
    <row r="63" spans="4:14">
      <c r="D63" s="21">
        <v>46092</v>
      </c>
      <c r="E63" s="22">
        <v>1585141</v>
      </c>
      <c r="F63" s="22" t="s">
        <v>20</v>
      </c>
      <c r="G63" s="22">
        <v>20325527</v>
      </c>
      <c r="H63" s="22" t="s">
        <v>318</v>
      </c>
      <c r="I63" s="22">
        <v>1</v>
      </c>
      <c r="J63" s="28" t="s">
        <v>18</v>
      </c>
      <c r="K63" s="24">
        <f t="shared" si="3"/>
        <v>10</v>
      </c>
      <c r="L63" s="25">
        <v>4.4</v>
      </c>
      <c r="M63" s="26">
        <v>44</v>
      </c>
      <c r="N63" s="26">
        <v>44</v>
      </c>
    </row>
    <row r="64" spans="4:14">
      <c r="D64" s="21">
        <v>46092</v>
      </c>
      <c r="E64" s="22">
        <v>1585141</v>
      </c>
      <c r="F64" s="22" t="s">
        <v>20</v>
      </c>
      <c r="G64" s="22">
        <v>20324699</v>
      </c>
      <c r="H64" s="22" t="s">
        <v>283</v>
      </c>
      <c r="I64" s="22">
        <v>1</v>
      </c>
      <c r="J64" s="28" t="s">
        <v>18</v>
      </c>
      <c r="K64" s="24">
        <f t="shared" si="3"/>
        <v>5</v>
      </c>
      <c r="L64" s="25">
        <v>4.4</v>
      </c>
      <c r="M64" s="26">
        <v>22</v>
      </c>
      <c r="N64" s="26">
        <v>22</v>
      </c>
    </row>
    <row r="65" spans="4:14">
      <c r="D65" s="21">
        <v>46092</v>
      </c>
      <c r="E65" s="22">
        <v>1585141</v>
      </c>
      <c r="F65" s="22" t="s">
        <v>20</v>
      </c>
      <c r="G65" s="22">
        <v>20324839</v>
      </c>
      <c r="H65" s="22" t="s">
        <v>319</v>
      </c>
      <c r="I65" s="22">
        <v>1</v>
      </c>
      <c r="J65" s="28" t="s">
        <v>18</v>
      </c>
      <c r="K65" s="24">
        <f t="shared" si="3"/>
        <v>3</v>
      </c>
      <c r="L65" s="25">
        <v>4.4</v>
      </c>
      <c r="M65" s="26">
        <v>13.2</v>
      </c>
      <c r="N65" s="26">
        <v>13.2</v>
      </c>
    </row>
    <row r="66" spans="4:14">
      <c r="D66" s="21">
        <v>46093</v>
      </c>
      <c r="E66" s="22">
        <v>1585219</v>
      </c>
      <c r="F66" s="22" t="s">
        <v>20</v>
      </c>
      <c r="G66" s="22">
        <v>20324637</v>
      </c>
      <c r="H66" s="22" t="s">
        <v>291</v>
      </c>
      <c r="I66" s="22">
        <v>1</v>
      </c>
      <c r="J66" s="30" t="s">
        <v>205</v>
      </c>
      <c r="K66" s="24">
        <v>1</v>
      </c>
      <c r="L66" s="25">
        <v>28</v>
      </c>
      <c r="M66" s="26">
        <v>28</v>
      </c>
      <c r="N66" s="26">
        <v>28</v>
      </c>
    </row>
    <row r="67" spans="4:14">
      <c r="D67" s="21">
        <v>46093</v>
      </c>
      <c r="E67" s="22">
        <v>1585219</v>
      </c>
      <c r="F67" s="22" t="s">
        <v>20</v>
      </c>
      <c r="G67" s="22">
        <v>20330449</v>
      </c>
      <c r="H67" s="22" t="s">
        <v>292</v>
      </c>
      <c r="I67" s="22">
        <v>1</v>
      </c>
      <c r="J67" s="30" t="s">
        <v>210</v>
      </c>
      <c r="K67" s="24">
        <v>1</v>
      </c>
      <c r="L67" s="25">
        <v>22.4</v>
      </c>
      <c r="M67" s="26">
        <v>22.4</v>
      </c>
      <c r="N67" s="26">
        <v>22.4</v>
      </c>
    </row>
    <row r="68" spans="4:14">
      <c r="D68" s="21">
        <v>46093</v>
      </c>
      <c r="E68" s="22">
        <v>1585219</v>
      </c>
      <c r="F68" s="22" t="s">
        <v>20</v>
      </c>
      <c r="G68" s="22">
        <v>20329253</v>
      </c>
      <c r="H68" s="22" t="s">
        <v>320</v>
      </c>
      <c r="I68" s="22">
        <v>1</v>
      </c>
      <c r="J68" s="28" t="s">
        <v>28</v>
      </c>
      <c r="K68" s="24">
        <v>1</v>
      </c>
      <c r="L68" s="25">
        <v>17.6</v>
      </c>
      <c r="M68" s="26">
        <v>17.6</v>
      </c>
      <c r="N68" s="26">
        <v>17.6</v>
      </c>
    </row>
    <row r="69" spans="4:14">
      <c r="D69" s="21">
        <v>46093</v>
      </c>
      <c r="E69" s="22">
        <v>1585219</v>
      </c>
      <c r="F69" s="22" t="s">
        <v>20</v>
      </c>
      <c r="G69" s="22">
        <v>20324822</v>
      </c>
      <c r="H69" s="22" t="s">
        <v>321</v>
      </c>
      <c r="I69" s="22">
        <v>1</v>
      </c>
      <c r="J69" s="30" t="s">
        <v>205</v>
      </c>
      <c r="K69" s="24">
        <v>1</v>
      </c>
      <c r="L69" s="25">
        <v>28</v>
      </c>
      <c r="M69" s="26">
        <v>28</v>
      </c>
      <c r="N69" s="26">
        <v>28</v>
      </c>
    </row>
    <row r="70" spans="4:14">
      <c r="D70" s="21">
        <v>46093</v>
      </c>
      <c r="E70" s="22">
        <v>1585219</v>
      </c>
      <c r="F70" s="22" t="s">
        <v>20</v>
      </c>
      <c r="G70" s="22">
        <v>20324838</v>
      </c>
      <c r="H70" s="22" t="s">
        <v>293</v>
      </c>
      <c r="I70" s="22">
        <v>1</v>
      </c>
      <c r="J70" s="30" t="s">
        <v>210</v>
      </c>
      <c r="K70" s="24">
        <v>1</v>
      </c>
      <c r="L70" s="25">
        <v>22.4</v>
      </c>
      <c r="M70" s="26">
        <v>22.4</v>
      </c>
      <c r="N70" s="26">
        <v>22.4</v>
      </c>
    </row>
    <row r="71" spans="4:14">
      <c r="D71" s="21">
        <v>46093</v>
      </c>
      <c r="E71" s="22">
        <v>1585219</v>
      </c>
      <c r="F71" s="22" t="s">
        <v>20</v>
      </c>
      <c r="G71" s="22">
        <v>20324835</v>
      </c>
      <c r="H71" s="22" t="s">
        <v>294</v>
      </c>
      <c r="I71" s="22">
        <v>1</v>
      </c>
      <c r="J71" s="28" t="s">
        <v>295</v>
      </c>
      <c r="K71" s="24">
        <v>1</v>
      </c>
      <c r="L71" s="25">
        <v>20</v>
      </c>
      <c r="M71" s="26">
        <v>20</v>
      </c>
      <c r="N71" s="26">
        <v>20</v>
      </c>
    </row>
    <row r="72" spans="4:14">
      <c r="D72" s="21">
        <v>46093</v>
      </c>
      <c r="E72" s="22">
        <v>1585219</v>
      </c>
      <c r="F72" s="22" t="s">
        <v>20</v>
      </c>
      <c r="G72" s="22">
        <v>20373642</v>
      </c>
      <c r="H72" s="22" t="s">
        <v>298</v>
      </c>
      <c r="I72" s="22">
        <v>1</v>
      </c>
      <c r="J72" s="30" t="s">
        <v>39</v>
      </c>
      <c r="K72" s="24" t="s">
        <v>40</v>
      </c>
      <c r="L72" s="25">
        <v>70.4</v>
      </c>
      <c r="M72" s="26">
        <v>105.6</v>
      </c>
      <c r="N72" s="26">
        <v>105.6</v>
      </c>
    </row>
    <row r="73" spans="4:14">
      <c r="D73" s="21"/>
      <c r="E73" s="22"/>
      <c r="F73" s="22"/>
      <c r="G73" s="22"/>
      <c r="H73" s="22"/>
      <c r="I73" s="22"/>
      <c r="J73" s="28" t="s">
        <v>28</v>
      </c>
      <c r="K73" s="24">
        <v>1</v>
      </c>
      <c r="L73" s="25">
        <v>17.6</v>
      </c>
      <c r="M73" s="26"/>
      <c r="N73" s="26"/>
    </row>
    <row r="74" spans="4:14">
      <c r="D74" s="21"/>
      <c r="E74" s="22"/>
      <c r="F74" s="22"/>
      <c r="G74" s="22"/>
      <c r="H74" s="22"/>
      <c r="I74" s="22"/>
      <c r="J74" s="28" t="s">
        <v>28</v>
      </c>
      <c r="K74" s="24">
        <v>1</v>
      </c>
      <c r="L74" s="25">
        <v>17.6</v>
      </c>
      <c r="M74" s="26"/>
      <c r="N74" s="26"/>
    </row>
    <row r="75" spans="4:14">
      <c r="D75" s="21">
        <v>46093</v>
      </c>
      <c r="E75" s="22">
        <v>1585219</v>
      </c>
      <c r="F75" s="22" t="s">
        <v>20</v>
      </c>
      <c r="G75" s="22">
        <v>20341762</v>
      </c>
      <c r="H75" s="22" t="s">
        <v>299</v>
      </c>
      <c r="I75" s="22">
        <v>1</v>
      </c>
      <c r="J75" s="30" t="s">
        <v>205</v>
      </c>
      <c r="K75" s="24">
        <v>1</v>
      </c>
      <c r="L75" s="25">
        <v>28</v>
      </c>
      <c r="M75" s="26">
        <v>28</v>
      </c>
      <c r="N75" s="26">
        <v>28</v>
      </c>
    </row>
    <row r="76" spans="4:14">
      <c r="D76" s="21">
        <v>46093</v>
      </c>
      <c r="E76" s="22">
        <v>1585219</v>
      </c>
      <c r="F76" s="22" t="s">
        <v>20</v>
      </c>
      <c r="G76" s="22">
        <v>20324732</v>
      </c>
      <c r="H76" s="22" t="s">
        <v>300</v>
      </c>
      <c r="I76" s="22">
        <v>1</v>
      </c>
      <c r="J76" s="30" t="s">
        <v>210</v>
      </c>
      <c r="K76" s="24">
        <v>1</v>
      </c>
      <c r="L76" s="25">
        <v>22.4</v>
      </c>
      <c r="M76" s="26">
        <v>22.4</v>
      </c>
      <c r="N76" s="26">
        <v>22.4</v>
      </c>
    </row>
    <row r="77" spans="4:14">
      <c r="D77" s="21">
        <v>46093</v>
      </c>
      <c r="E77" s="22">
        <v>1585219</v>
      </c>
      <c r="F77" s="22" t="s">
        <v>20</v>
      </c>
      <c r="G77" s="22">
        <v>20324813</v>
      </c>
      <c r="H77" s="22" t="s">
        <v>302</v>
      </c>
      <c r="I77" s="22">
        <v>1</v>
      </c>
      <c r="J77" s="30" t="s">
        <v>210</v>
      </c>
      <c r="K77" s="24">
        <v>1</v>
      </c>
      <c r="L77" s="25">
        <v>22.4</v>
      </c>
      <c r="M77" s="26">
        <v>22.4</v>
      </c>
      <c r="N77" s="26">
        <v>22.4</v>
      </c>
    </row>
    <row r="78" spans="4:14">
      <c r="D78" s="21">
        <v>46093</v>
      </c>
      <c r="E78" s="22">
        <v>1585219</v>
      </c>
      <c r="F78" s="22" t="s">
        <v>20</v>
      </c>
      <c r="G78" s="22">
        <v>20324815</v>
      </c>
      <c r="H78" s="22" t="s">
        <v>303</v>
      </c>
      <c r="I78" s="22">
        <v>1</v>
      </c>
      <c r="J78" s="30" t="s">
        <v>205</v>
      </c>
      <c r="K78" s="24">
        <v>1</v>
      </c>
      <c r="L78" s="25">
        <v>28</v>
      </c>
      <c r="M78" s="26">
        <v>28</v>
      </c>
      <c r="N78" s="26">
        <v>28</v>
      </c>
    </row>
    <row r="79" spans="4:14">
      <c r="D79" s="21">
        <v>46093</v>
      </c>
      <c r="E79" s="22">
        <v>1585219</v>
      </c>
      <c r="F79" s="22" t="s">
        <v>20</v>
      </c>
      <c r="G79" s="22">
        <v>20324644</v>
      </c>
      <c r="H79" s="22" t="s">
        <v>304</v>
      </c>
      <c r="I79" s="22">
        <v>1</v>
      </c>
      <c r="J79" s="30" t="s">
        <v>210</v>
      </c>
      <c r="K79" s="24">
        <v>1</v>
      </c>
      <c r="L79" s="25">
        <v>22.4</v>
      </c>
      <c r="M79" s="26">
        <v>22.4</v>
      </c>
      <c r="N79" s="26">
        <v>22.4</v>
      </c>
    </row>
    <row r="80" spans="4:14">
      <c r="D80" s="21">
        <v>46093</v>
      </c>
      <c r="E80" s="22">
        <v>1585219</v>
      </c>
      <c r="F80" s="22" t="s">
        <v>20</v>
      </c>
      <c r="G80" s="22">
        <v>20324814</v>
      </c>
      <c r="H80" s="22" t="s">
        <v>305</v>
      </c>
      <c r="I80" s="22">
        <v>1</v>
      </c>
      <c r="J80" s="30" t="s">
        <v>210</v>
      </c>
      <c r="K80" s="24">
        <v>1</v>
      </c>
      <c r="L80" s="25">
        <v>22.4</v>
      </c>
      <c r="M80" s="26">
        <v>22.4</v>
      </c>
      <c r="N80" s="26">
        <v>22.4</v>
      </c>
    </row>
    <row r="81" spans="4:14">
      <c r="D81" s="68">
        <v>46093</v>
      </c>
      <c r="E81" s="69">
        <v>1585219</v>
      </c>
      <c r="F81" s="69" t="s">
        <v>30</v>
      </c>
      <c r="G81" s="69">
        <v>20324638</v>
      </c>
      <c r="H81" s="69" t="s">
        <v>306</v>
      </c>
      <c r="I81" s="69">
        <v>1</v>
      </c>
      <c r="J81" s="30" t="s">
        <v>307</v>
      </c>
      <c r="K81" s="24" t="s">
        <v>308</v>
      </c>
      <c r="L81" s="25">
        <v>22.4</v>
      </c>
      <c r="M81" s="25">
        <f>L81+L82</f>
        <v>30.4</v>
      </c>
      <c r="N81" s="25">
        <f>M81+M82</f>
        <v>30.4</v>
      </c>
    </row>
    <row r="82" spans="4:14">
      <c r="D82" s="72"/>
      <c r="E82" s="73"/>
      <c r="F82" s="73"/>
      <c r="G82" s="73"/>
      <c r="H82" s="73"/>
      <c r="I82" s="73"/>
      <c r="J82" s="27" t="s">
        <v>309</v>
      </c>
      <c r="K82" s="24" t="s">
        <v>308</v>
      </c>
      <c r="L82" s="25">
        <v>8</v>
      </c>
      <c r="M82" s="25"/>
      <c r="N82" s="25"/>
    </row>
    <row r="83" spans="4:14">
      <c r="D83" s="21">
        <v>46093</v>
      </c>
      <c r="E83" s="22">
        <v>1585514</v>
      </c>
      <c r="F83" s="22" t="s">
        <v>55</v>
      </c>
      <c r="G83" s="22">
        <v>20365637</v>
      </c>
      <c r="H83" s="22" t="s">
        <v>285</v>
      </c>
      <c r="I83" s="22">
        <v>1</v>
      </c>
      <c r="J83" s="28" t="s">
        <v>266</v>
      </c>
      <c r="K83" s="24">
        <v>1</v>
      </c>
      <c r="L83" s="25">
        <v>28</v>
      </c>
      <c r="M83" s="26">
        <v>28</v>
      </c>
      <c r="N83" s="26">
        <v>28</v>
      </c>
    </row>
    <row r="84" spans="4:14">
      <c r="D84" s="21">
        <v>46093</v>
      </c>
      <c r="E84" s="22">
        <v>1585514</v>
      </c>
      <c r="F84" s="22" t="s">
        <v>55</v>
      </c>
      <c r="G84" s="22">
        <v>20324843</v>
      </c>
      <c r="H84" s="22" t="s">
        <v>286</v>
      </c>
      <c r="I84" s="22">
        <v>7</v>
      </c>
      <c r="J84" s="30" t="s">
        <v>57</v>
      </c>
      <c r="K84" s="24">
        <v>1</v>
      </c>
      <c r="L84" s="25">
        <v>3.2</v>
      </c>
      <c r="M84" s="26">
        <v>3.2</v>
      </c>
      <c r="N84" s="26">
        <v>22.4</v>
      </c>
    </row>
    <row r="85" spans="4:14">
      <c r="D85" s="21">
        <v>46094</v>
      </c>
      <c r="E85" s="22">
        <v>1585563</v>
      </c>
      <c r="F85" s="22" t="s">
        <v>16</v>
      </c>
      <c r="G85" s="22">
        <v>20324789</v>
      </c>
      <c r="H85" s="22" t="s">
        <v>287</v>
      </c>
      <c r="I85" s="22">
        <v>1</v>
      </c>
      <c r="J85" s="28" t="s">
        <v>18</v>
      </c>
      <c r="K85" s="24">
        <f t="shared" ref="K85:K90" si="4">M85/L85</f>
        <v>39</v>
      </c>
      <c r="L85" s="25">
        <v>4.4</v>
      </c>
      <c r="M85" s="26">
        <v>171.6</v>
      </c>
      <c r="N85" s="26">
        <v>171.6</v>
      </c>
    </row>
    <row r="86" spans="4:14">
      <c r="D86" s="21">
        <v>46094</v>
      </c>
      <c r="E86" s="22">
        <v>1585563</v>
      </c>
      <c r="F86" s="22" t="s">
        <v>20</v>
      </c>
      <c r="G86" s="22">
        <v>20327777</v>
      </c>
      <c r="H86" s="22" t="s">
        <v>314</v>
      </c>
      <c r="I86" s="22">
        <v>1</v>
      </c>
      <c r="J86" s="27" t="s">
        <v>22</v>
      </c>
      <c r="K86" s="24">
        <v>1</v>
      </c>
      <c r="L86" s="25">
        <v>6.4</v>
      </c>
      <c r="M86" s="25">
        <v>10.8</v>
      </c>
      <c r="N86" s="25">
        <v>10.8</v>
      </c>
    </row>
    <row r="87" spans="4:14">
      <c r="D87" s="21"/>
      <c r="E87" s="22"/>
      <c r="F87" s="22"/>
      <c r="G87" s="22"/>
      <c r="H87" s="22"/>
      <c r="I87" s="22"/>
      <c r="J87" s="27" t="s">
        <v>145</v>
      </c>
      <c r="K87" s="24">
        <v>1</v>
      </c>
      <c r="L87" s="25">
        <v>4.4</v>
      </c>
      <c r="M87" s="25"/>
      <c r="N87" s="25"/>
    </row>
    <row r="88" spans="4:14">
      <c r="D88" s="21">
        <v>46094</v>
      </c>
      <c r="E88" s="22">
        <v>1585563</v>
      </c>
      <c r="F88" s="22" t="s">
        <v>20</v>
      </c>
      <c r="G88" s="22">
        <v>20324800</v>
      </c>
      <c r="H88" s="22" t="s">
        <v>315</v>
      </c>
      <c r="I88" s="22">
        <v>1</v>
      </c>
      <c r="J88" s="23" t="s">
        <v>22</v>
      </c>
      <c r="K88" s="24">
        <v>1</v>
      </c>
      <c r="L88" s="25">
        <v>6.4</v>
      </c>
      <c r="M88" s="26">
        <v>6.4</v>
      </c>
      <c r="N88" s="26">
        <v>6.4</v>
      </c>
    </row>
    <row r="89" spans="4:14">
      <c r="D89" s="21">
        <v>46094</v>
      </c>
      <c r="E89" s="22">
        <v>1585563</v>
      </c>
      <c r="F89" s="22" t="s">
        <v>16</v>
      </c>
      <c r="G89" s="22">
        <v>20324578</v>
      </c>
      <c r="H89" s="22" t="s">
        <v>149</v>
      </c>
      <c r="I89" s="22">
        <v>1</v>
      </c>
      <c r="J89" s="28" t="s">
        <v>18</v>
      </c>
      <c r="K89" s="24">
        <f t="shared" si="4"/>
        <v>25</v>
      </c>
      <c r="L89" s="25">
        <v>4.4</v>
      </c>
      <c r="M89" s="26">
        <v>110</v>
      </c>
      <c r="N89" s="26">
        <v>110</v>
      </c>
    </row>
    <row r="90" spans="4:14">
      <c r="D90" s="21">
        <v>46094</v>
      </c>
      <c r="E90" s="22">
        <v>1585563</v>
      </c>
      <c r="F90" s="22" t="s">
        <v>20</v>
      </c>
      <c r="G90" s="22">
        <v>20324699</v>
      </c>
      <c r="H90" s="22" t="s">
        <v>283</v>
      </c>
      <c r="I90" s="22">
        <v>1</v>
      </c>
      <c r="J90" s="28" t="s">
        <v>18</v>
      </c>
      <c r="K90" s="24">
        <f t="shared" si="4"/>
        <v>5</v>
      </c>
      <c r="L90" s="25">
        <v>4.4</v>
      </c>
      <c r="M90" s="26">
        <v>22</v>
      </c>
      <c r="N90" s="26">
        <v>22</v>
      </c>
    </row>
    <row r="91" spans="4:14">
      <c r="D91" s="21">
        <v>46094</v>
      </c>
      <c r="E91" s="22">
        <v>1585563</v>
      </c>
      <c r="F91" s="22" t="s">
        <v>20</v>
      </c>
      <c r="G91" s="22">
        <v>20324839</v>
      </c>
      <c r="H91" s="22" t="s">
        <v>319</v>
      </c>
      <c r="I91" s="22">
        <v>1</v>
      </c>
      <c r="J91" s="28" t="s">
        <v>18</v>
      </c>
      <c r="K91" s="24">
        <f t="shared" ref="K91:K95" si="5">M91/L91</f>
        <v>3</v>
      </c>
      <c r="L91" s="25">
        <v>4.4</v>
      </c>
      <c r="M91" s="26">
        <v>13.2</v>
      </c>
      <c r="N91" s="26">
        <v>13.2</v>
      </c>
    </row>
    <row r="92" spans="4:14">
      <c r="D92" s="21">
        <v>46094</v>
      </c>
      <c r="E92" s="22">
        <v>1585563</v>
      </c>
      <c r="F92" s="22" t="s">
        <v>20</v>
      </c>
      <c r="G92" s="22">
        <v>20324548</v>
      </c>
      <c r="H92" s="22" t="s">
        <v>322</v>
      </c>
      <c r="I92" s="22">
        <v>1</v>
      </c>
      <c r="J92" s="28" t="s">
        <v>18</v>
      </c>
      <c r="K92" s="24">
        <f t="shared" si="5"/>
        <v>13</v>
      </c>
      <c r="L92" s="25">
        <v>4.4</v>
      </c>
      <c r="M92" s="26">
        <v>57.2</v>
      </c>
      <c r="N92" s="26">
        <v>57.2</v>
      </c>
    </row>
    <row r="93" spans="4:14">
      <c r="D93" s="21">
        <v>46095</v>
      </c>
      <c r="E93" s="22">
        <v>1585998</v>
      </c>
      <c r="F93" s="22" t="s">
        <v>20</v>
      </c>
      <c r="G93" s="22">
        <v>20356846</v>
      </c>
      <c r="H93" s="22" t="s">
        <v>323</v>
      </c>
      <c r="I93" s="22">
        <v>1</v>
      </c>
      <c r="J93" s="30" t="s">
        <v>205</v>
      </c>
      <c r="K93" s="24">
        <v>1</v>
      </c>
      <c r="L93" s="25">
        <v>28</v>
      </c>
      <c r="M93" s="26">
        <v>28</v>
      </c>
      <c r="N93" s="26">
        <v>28</v>
      </c>
    </row>
    <row r="94" spans="4:14">
      <c r="D94" s="21">
        <v>46097</v>
      </c>
      <c r="E94" s="22">
        <v>1586421</v>
      </c>
      <c r="F94" s="22" t="s">
        <v>55</v>
      </c>
      <c r="G94" s="22">
        <v>20365637</v>
      </c>
      <c r="H94" s="22" t="s">
        <v>285</v>
      </c>
      <c r="I94" s="22">
        <v>3</v>
      </c>
      <c r="J94" s="28" t="s">
        <v>266</v>
      </c>
      <c r="K94" s="24">
        <v>1</v>
      </c>
      <c r="L94" s="25">
        <v>28</v>
      </c>
      <c r="M94" s="26">
        <v>28</v>
      </c>
      <c r="N94" s="26">
        <v>84</v>
      </c>
    </row>
    <row r="95" spans="4:14">
      <c r="D95" s="21">
        <v>46098</v>
      </c>
      <c r="E95" s="22">
        <v>1586473</v>
      </c>
      <c r="F95" s="22" t="s">
        <v>16</v>
      </c>
      <c r="G95" s="22">
        <v>20324679</v>
      </c>
      <c r="H95" s="22" t="s">
        <v>312</v>
      </c>
      <c r="I95" s="22">
        <v>1</v>
      </c>
      <c r="J95" s="28" t="s">
        <v>18</v>
      </c>
      <c r="K95" s="24">
        <f t="shared" si="5"/>
        <v>47</v>
      </c>
      <c r="L95" s="25">
        <v>4.4</v>
      </c>
      <c r="M95" s="26">
        <v>206.8</v>
      </c>
      <c r="N95" s="26">
        <v>206.8</v>
      </c>
    </row>
    <row r="96" spans="4:14">
      <c r="D96" s="21">
        <v>46098</v>
      </c>
      <c r="E96" s="22">
        <v>1586473</v>
      </c>
      <c r="F96" s="22" t="s">
        <v>20</v>
      </c>
      <c r="G96" s="22">
        <v>20324828</v>
      </c>
      <c r="H96" s="22" t="s">
        <v>324</v>
      </c>
      <c r="I96" s="22">
        <v>1</v>
      </c>
      <c r="J96" s="27" t="s">
        <v>22</v>
      </c>
      <c r="K96" s="24">
        <v>1</v>
      </c>
      <c r="L96" s="25">
        <v>6.4</v>
      </c>
      <c r="M96" s="25">
        <v>10.8</v>
      </c>
      <c r="N96" s="25">
        <v>10.8</v>
      </c>
    </row>
    <row r="97" spans="4:14">
      <c r="D97" s="21"/>
      <c r="E97" s="22"/>
      <c r="F97" s="22"/>
      <c r="G97" s="22"/>
      <c r="H97" s="22"/>
      <c r="I97" s="22"/>
      <c r="J97" s="27" t="s">
        <v>145</v>
      </c>
      <c r="K97" s="24">
        <v>1</v>
      </c>
      <c r="L97" s="25">
        <v>4.4</v>
      </c>
      <c r="M97" s="25"/>
      <c r="N97" s="25"/>
    </row>
    <row r="98" spans="4:14">
      <c r="D98" s="21">
        <v>46098</v>
      </c>
      <c r="E98" s="22">
        <v>1586473</v>
      </c>
      <c r="F98" s="22" t="s">
        <v>20</v>
      </c>
      <c r="G98" s="22">
        <v>20324800</v>
      </c>
      <c r="H98" s="22" t="s">
        <v>315</v>
      </c>
      <c r="I98" s="22">
        <v>1</v>
      </c>
      <c r="J98" s="23" t="s">
        <v>22</v>
      </c>
      <c r="K98" s="24">
        <v>1</v>
      </c>
      <c r="L98" s="25">
        <v>6.4</v>
      </c>
      <c r="M98" s="26">
        <v>6.4</v>
      </c>
      <c r="N98" s="26">
        <v>6.4</v>
      </c>
    </row>
    <row r="99" spans="4:14">
      <c r="D99" s="21">
        <v>46098</v>
      </c>
      <c r="E99" s="22">
        <v>1586473</v>
      </c>
      <c r="F99" s="22" t="s">
        <v>20</v>
      </c>
      <c r="G99" s="22">
        <v>20324840</v>
      </c>
      <c r="H99" s="22" t="s">
        <v>325</v>
      </c>
      <c r="I99" s="22">
        <v>1</v>
      </c>
      <c r="J99" s="23" t="s">
        <v>22</v>
      </c>
      <c r="K99" s="24">
        <v>1</v>
      </c>
      <c r="L99" s="25">
        <v>6.4</v>
      </c>
      <c r="M99" s="26">
        <v>6.4</v>
      </c>
      <c r="N99" s="26">
        <v>6.4</v>
      </c>
    </row>
    <row r="100" spans="4:14">
      <c r="D100" s="21">
        <v>46098</v>
      </c>
      <c r="E100" s="22">
        <v>1586473</v>
      </c>
      <c r="F100" s="22" t="s">
        <v>20</v>
      </c>
      <c r="G100" s="22">
        <v>20324699</v>
      </c>
      <c r="H100" s="22" t="s">
        <v>283</v>
      </c>
      <c r="I100" s="22">
        <v>1</v>
      </c>
      <c r="J100" s="28" t="s">
        <v>18</v>
      </c>
      <c r="K100" s="24">
        <f>M100/L100</f>
        <v>5</v>
      </c>
      <c r="L100" s="25">
        <v>4.4</v>
      </c>
      <c r="M100" s="26">
        <v>22</v>
      </c>
      <c r="N100" s="26">
        <v>22</v>
      </c>
    </row>
    <row r="101" spans="4:14">
      <c r="D101" s="21">
        <v>46098</v>
      </c>
      <c r="E101" s="22">
        <v>1586541</v>
      </c>
      <c r="F101" s="22" t="s">
        <v>20</v>
      </c>
      <c r="G101" s="22">
        <v>20348036</v>
      </c>
      <c r="H101" s="22" t="s">
        <v>326</v>
      </c>
      <c r="I101" s="22">
        <v>1</v>
      </c>
      <c r="J101" s="30" t="s">
        <v>39</v>
      </c>
      <c r="K101" s="24" t="s">
        <v>40</v>
      </c>
      <c r="L101" s="25">
        <v>70.4</v>
      </c>
      <c r="M101" s="26">
        <v>70.4</v>
      </c>
      <c r="N101" s="26">
        <v>70.4</v>
      </c>
    </row>
    <row r="102" spans="4:14">
      <c r="D102" s="21">
        <v>46098</v>
      </c>
      <c r="E102" s="22">
        <v>1586541</v>
      </c>
      <c r="F102" s="22" t="s">
        <v>30</v>
      </c>
      <c r="G102" s="22">
        <v>20324849</v>
      </c>
      <c r="H102" s="22" t="s">
        <v>310</v>
      </c>
      <c r="I102" s="22">
        <v>1</v>
      </c>
      <c r="J102" s="30" t="s">
        <v>210</v>
      </c>
      <c r="K102" s="24">
        <v>1</v>
      </c>
      <c r="L102" s="25">
        <v>22.4</v>
      </c>
      <c r="M102" s="26">
        <v>22.4</v>
      </c>
      <c r="N102" s="26">
        <v>22.4</v>
      </c>
    </row>
    <row r="103" spans="4:14">
      <c r="D103" s="21">
        <v>46098</v>
      </c>
      <c r="E103" s="22">
        <v>1586878</v>
      </c>
      <c r="F103" s="22" t="s">
        <v>16</v>
      </c>
      <c r="G103" s="22">
        <v>20324789</v>
      </c>
      <c r="H103" s="22" t="s">
        <v>287</v>
      </c>
      <c r="I103" s="22">
        <v>1</v>
      </c>
      <c r="J103" s="28" t="s">
        <v>18</v>
      </c>
      <c r="K103" s="24">
        <f t="shared" ref="K103:K108" si="6">M103/L103</f>
        <v>39</v>
      </c>
      <c r="L103" s="25">
        <v>4.4</v>
      </c>
      <c r="M103" s="26">
        <v>171.6</v>
      </c>
      <c r="N103" s="26">
        <v>171.6</v>
      </c>
    </row>
    <row r="104" spans="4:14">
      <c r="D104" s="21">
        <v>46098</v>
      </c>
      <c r="E104" s="22">
        <v>1586878</v>
      </c>
      <c r="F104" s="22" t="s">
        <v>20</v>
      </c>
      <c r="G104" s="22">
        <v>20324830</v>
      </c>
      <c r="H104" s="22" t="s">
        <v>327</v>
      </c>
      <c r="I104" s="22">
        <v>1</v>
      </c>
      <c r="J104" s="23" t="s">
        <v>22</v>
      </c>
      <c r="K104" s="24">
        <v>1</v>
      </c>
      <c r="L104" s="25">
        <v>6.4</v>
      </c>
      <c r="M104" s="26">
        <v>6.4</v>
      </c>
      <c r="N104" s="26">
        <v>6.4</v>
      </c>
    </row>
    <row r="105" spans="4:14">
      <c r="D105" s="21">
        <v>46098</v>
      </c>
      <c r="E105" s="22">
        <v>1586878</v>
      </c>
      <c r="F105" s="22" t="s">
        <v>20</v>
      </c>
      <c r="G105" s="22">
        <v>20369531</v>
      </c>
      <c r="H105" s="29" t="s">
        <v>328</v>
      </c>
      <c r="I105" s="22">
        <v>1</v>
      </c>
      <c r="J105" s="27" t="s">
        <v>25</v>
      </c>
      <c r="K105" s="24">
        <v>1</v>
      </c>
      <c r="L105" s="25">
        <v>8.8</v>
      </c>
      <c r="M105" s="25">
        <v>13.2</v>
      </c>
      <c r="N105" s="26">
        <v>13.2</v>
      </c>
    </row>
    <row r="106" spans="4:14">
      <c r="D106" s="21"/>
      <c r="E106" s="22"/>
      <c r="F106" s="22"/>
      <c r="G106" s="22"/>
      <c r="H106" s="29"/>
      <c r="I106" s="22"/>
      <c r="J106" s="27" t="s">
        <v>145</v>
      </c>
      <c r="K106" s="24">
        <v>1</v>
      </c>
      <c r="L106" s="25">
        <v>4.4</v>
      </c>
      <c r="M106" s="25"/>
      <c r="N106" s="26"/>
    </row>
    <row r="107" spans="4:14">
      <c r="D107" s="21">
        <v>46098</v>
      </c>
      <c r="E107" s="22">
        <v>1586878</v>
      </c>
      <c r="F107" s="22" t="s">
        <v>20</v>
      </c>
      <c r="G107" s="22">
        <v>20324699</v>
      </c>
      <c r="H107" s="22" t="s">
        <v>283</v>
      </c>
      <c r="I107" s="22">
        <v>1</v>
      </c>
      <c r="J107" s="28" t="s">
        <v>18</v>
      </c>
      <c r="K107" s="24">
        <f t="shared" si="6"/>
        <v>5</v>
      </c>
      <c r="L107" s="25">
        <v>4.4</v>
      </c>
      <c r="M107" s="26">
        <v>22</v>
      </c>
      <c r="N107" s="26">
        <v>22</v>
      </c>
    </row>
    <row r="108" spans="4:14">
      <c r="D108" s="21">
        <v>46099</v>
      </c>
      <c r="E108" s="22">
        <v>1587180</v>
      </c>
      <c r="F108" s="22" t="s">
        <v>16</v>
      </c>
      <c r="G108" s="22">
        <v>20324789</v>
      </c>
      <c r="H108" s="22" t="s">
        <v>287</v>
      </c>
      <c r="I108" s="22">
        <v>1</v>
      </c>
      <c r="J108" s="28" t="s">
        <v>18</v>
      </c>
      <c r="K108" s="24">
        <f t="shared" si="6"/>
        <v>39</v>
      </c>
      <c r="L108" s="25">
        <v>4.4</v>
      </c>
      <c r="M108" s="26">
        <v>171.6</v>
      </c>
      <c r="N108" s="26">
        <v>171.6</v>
      </c>
    </row>
    <row r="109" spans="4:14">
      <c r="D109" s="21">
        <v>46099</v>
      </c>
      <c r="E109" s="22">
        <v>1587180</v>
      </c>
      <c r="F109" s="22" t="s">
        <v>20</v>
      </c>
      <c r="G109" s="22">
        <v>20324426</v>
      </c>
      <c r="H109" s="22" t="s">
        <v>152</v>
      </c>
      <c r="I109" s="22">
        <v>1</v>
      </c>
      <c r="J109" s="27" t="s">
        <v>25</v>
      </c>
      <c r="K109" s="24">
        <v>1</v>
      </c>
      <c r="L109" s="25">
        <v>8.8</v>
      </c>
      <c r="M109" s="26">
        <v>8.8</v>
      </c>
      <c r="N109" s="26">
        <v>8.8</v>
      </c>
    </row>
    <row r="110" spans="4:14">
      <c r="D110" s="21">
        <v>46099</v>
      </c>
      <c r="E110" s="22">
        <v>1587180</v>
      </c>
      <c r="F110" s="22" t="s">
        <v>20</v>
      </c>
      <c r="G110" s="22">
        <v>20325527</v>
      </c>
      <c r="H110" s="22" t="s">
        <v>318</v>
      </c>
      <c r="I110" s="22">
        <v>1</v>
      </c>
      <c r="J110" s="28" t="s">
        <v>18</v>
      </c>
      <c r="K110" s="24">
        <f t="shared" ref="K110:K113" si="7">M110/L110</f>
        <v>10</v>
      </c>
      <c r="L110" s="25">
        <v>4.4</v>
      </c>
      <c r="M110" s="26">
        <v>44</v>
      </c>
      <c r="N110" s="26">
        <v>44</v>
      </c>
    </row>
    <row r="111" spans="4:14">
      <c r="D111" s="21">
        <v>46099</v>
      </c>
      <c r="E111" s="22">
        <v>1587180</v>
      </c>
      <c r="F111" s="22" t="s">
        <v>20</v>
      </c>
      <c r="G111" s="22">
        <v>20324699</v>
      </c>
      <c r="H111" s="22" t="s">
        <v>283</v>
      </c>
      <c r="I111" s="22">
        <v>1</v>
      </c>
      <c r="J111" s="28" t="s">
        <v>18</v>
      </c>
      <c r="K111" s="24">
        <f t="shared" si="7"/>
        <v>5</v>
      </c>
      <c r="L111" s="25">
        <v>4.4</v>
      </c>
      <c r="M111" s="26">
        <v>22</v>
      </c>
      <c r="N111" s="26">
        <v>22</v>
      </c>
    </row>
    <row r="112" spans="4:14">
      <c r="D112" s="21">
        <v>46100</v>
      </c>
      <c r="E112" s="22">
        <v>1587527</v>
      </c>
      <c r="F112" s="22" t="s">
        <v>55</v>
      </c>
      <c r="G112" s="22">
        <v>20365637</v>
      </c>
      <c r="H112" s="22" t="s">
        <v>285</v>
      </c>
      <c r="I112" s="22">
        <v>4</v>
      </c>
      <c r="J112" s="28" t="s">
        <v>266</v>
      </c>
      <c r="K112" s="24">
        <v>1</v>
      </c>
      <c r="L112" s="25">
        <v>28</v>
      </c>
      <c r="M112" s="26">
        <v>28</v>
      </c>
      <c r="N112" s="26">
        <v>112</v>
      </c>
    </row>
    <row r="113" spans="4:14">
      <c r="D113" s="21">
        <v>46100</v>
      </c>
      <c r="E113" s="22">
        <v>1587575</v>
      </c>
      <c r="F113" s="22" t="s">
        <v>16</v>
      </c>
      <c r="G113" s="22">
        <v>20324463</v>
      </c>
      <c r="H113" s="22" t="s">
        <v>289</v>
      </c>
      <c r="I113" s="22">
        <v>1</v>
      </c>
      <c r="J113" s="28" t="s">
        <v>18</v>
      </c>
      <c r="K113" s="24">
        <f t="shared" si="7"/>
        <v>35</v>
      </c>
      <c r="L113" s="25">
        <v>4.4</v>
      </c>
      <c r="M113" s="26">
        <v>154</v>
      </c>
      <c r="N113" s="26">
        <v>154</v>
      </c>
    </row>
    <row r="114" spans="4:14">
      <c r="D114" s="21">
        <v>46100</v>
      </c>
      <c r="E114" s="22">
        <v>1587575</v>
      </c>
      <c r="F114" s="22" t="s">
        <v>20</v>
      </c>
      <c r="G114" s="22">
        <v>20324826</v>
      </c>
      <c r="H114" s="22" t="s">
        <v>290</v>
      </c>
      <c r="I114" s="22">
        <v>1</v>
      </c>
      <c r="J114" s="27" t="s">
        <v>175</v>
      </c>
      <c r="K114" s="24">
        <v>1</v>
      </c>
      <c r="L114" s="36">
        <v>10.4</v>
      </c>
      <c r="M114" s="26">
        <v>10.4</v>
      </c>
      <c r="N114" s="26">
        <v>10.4</v>
      </c>
    </row>
    <row r="115" spans="4:14">
      <c r="D115" s="21">
        <v>46100</v>
      </c>
      <c r="E115" s="22">
        <v>1587575</v>
      </c>
      <c r="F115" s="22" t="s">
        <v>20</v>
      </c>
      <c r="G115" s="22">
        <v>20324823</v>
      </c>
      <c r="H115" s="22" t="s">
        <v>329</v>
      </c>
      <c r="I115" s="22">
        <v>1</v>
      </c>
      <c r="J115" s="23" t="s">
        <v>22</v>
      </c>
      <c r="K115" s="24">
        <v>1</v>
      </c>
      <c r="L115" s="25">
        <v>6.4</v>
      </c>
      <c r="M115" s="26">
        <v>6.4</v>
      </c>
      <c r="N115" s="26">
        <v>6.4</v>
      </c>
    </row>
    <row r="116" spans="4:14">
      <c r="D116" s="21">
        <v>46100</v>
      </c>
      <c r="E116" s="22">
        <v>1587575</v>
      </c>
      <c r="F116" s="22" t="s">
        <v>20</v>
      </c>
      <c r="G116" s="22">
        <v>20324699</v>
      </c>
      <c r="H116" s="22" t="s">
        <v>283</v>
      </c>
      <c r="I116" s="22">
        <v>1</v>
      </c>
      <c r="J116" s="28" t="s">
        <v>18</v>
      </c>
      <c r="K116" s="24">
        <f>M116/L116</f>
        <v>5</v>
      </c>
      <c r="L116" s="25">
        <v>4.4</v>
      </c>
      <c r="M116" s="26">
        <v>22</v>
      </c>
      <c r="N116" s="26">
        <v>22</v>
      </c>
    </row>
    <row r="117" spans="4:14">
      <c r="D117" s="21">
        <v>46101</v>
      </c>
      <c r="E117" s="22">
        <v>1587660</v>
      </c>
      <c r="F117" s="22" t="s">
        <v>20</v>
      </c>
      <c r="G117" s="22">
        <v>20324637</v>
      </c>
      <c r="H117" s="22" t="s">
        <v>291</v>
      </c>
      <c r="I117" s="22">
        <v>1</v>
      </c>
      <c r="J117" s="30" t="s">
        <v>205</v>
      </c>
      <c r="K117" s="24">
        <v>1</v>
      </c>
      <c r="L117" s="25">
        <v>28</v>
      </c>
      <c r="M117" s="26">
        <v>28</v>
      </c>
      <c r="N117" s="26">
        <v>28</v>
      </c>
    </row>
    <row r="118" spans="4:14">
      <c r="D118" s="21">
        <v>46101</v>
      </c>
      <c r="E118" s="22">
        <v>1587660</v>
      </c>
      <c r="F118" s="22" t="s">
        <v>20</v>
      </c>
      <c r="G118" s="22">
        <v>20330449</v>
      </c>
      <c r="H118" s="22" t="s">
        <v>292</v>
      </c>
      <c r="I118" s="22">
        <v>1</v>
      </c>
      <c r="J118" s="30" t="s">
        <v>210</v>
      </c>
      <c r="K118" s="24">
        <v>1</v>
      </c>
      <c r="L118" s="25">
        <v>22.4</v>
      </c>
      <c r="M118" s="26">
        <v>22.4</v>
      </c>
      <c r="N118" s="26">
        <v>22.4</v>
      </c>
    </row>
    <row r="119" spans="4:14">
      <c r="D119" s="21">
        <v>46101</v>
      </c>
      <c r="E119" s="22">
        <v>1587660</v>
      </c>
      <c r="F119" s="22" t="s">
        <v>20</v>
      </c>
      <c r="G119" s="22">
        <v>20324723</v>
      </c>
      <c r="H119" s="22" t="s">
        <v>330</v>
      </c>
      <c r="I119" s="22">
        <v>1</v>
      </c>
      <c r="J119" s="30" t="s">
        <v>210</v>
      </c>
      <c r="K119" s="24">
        <v>1</v>
      </c>
      <c r="L119" s="25">
        <v>22.4</v>
      </c>
      <c r="M119" s="26">
        <v>22.4</v>
      </c>
      <c r="N119" s="26">
        <v>22.4</v>
      </c>
    </row>
    <row r="120" spans="4:14">
      <c r="D120" s="21">
        <v>46101</v>
      </c>
      <c r="E120" s="22">
        <v>1587660</v>
      </c>
      <c r="F120" s="22" t="s">
        <v>20</v>
      </c>
      <c r="G120" s="22">
        <v>20324835</v>
      </c>
      <c r="H120" s="22" t="s">
        <v>294</v>
      </c>
      <c r="I120" s="22">
        <v>1</v>
      </c>
      <c r="J120" s="28" t="s">
        <v>295</v>
      </c>
      <c r="K120" s="24">
        <v>1</v>
      </c>
      <c r="L120" s="25">
        <v>20</v>
      </c>
      <c r="M120" s="26">
        <v>20</v>
      </c>
      <c r="N120" s="26">
        <v>20</v>
      </c>
    </row>
    <row r="121" spans="4:14">
      <c r="D121" s="21">
        <v>46101</v>
      </c>
      <c r="E121" s="22">
        <v>1587660</v>
      </c>
      <c r="F121" s="22" t="s">
        <v>20</v>
      </c>
      <c r="G121" s="22">
        <v>20341762</v>
      </c>
      <c r="H121" s="22" t="s">
        <v>299</v>
      </c>
      <c r="I121" s="22">
        <v>1</v>
      </c>
      <c r="J121" s="30" t="s">
        <v>205</v>
      </c>
      <c r="K121" s="24">
        <v>1</v>
      </c>
      <c r="L121" s="25">
        <v>28</v>
      </c>
      <c r="M121" s="26">
        <v>28</v>
      </c>
      <c r="N121" s="26">
        <v>28</v>
      </c>
    </row>
    <row r="122" spans="4:14">
      <c r="D122" s="21">
        <v>46101</v>
      </c>
      <c r="E122" s="22">
        <v>1587660</v>
      </c>
      <c r="F122" s="22" t="s">
        <v>20</v>
      </c>
      <c r="G122" s="22">
        <v>20324732</v>
      </c>
      <c r="H122" s="22" t="s">
        <v>300</v>
      </c>
      <c r="I122" s="22">
        <v>2</v>
      </c>
      <c r="J122" s="30" t="s">
        <v>210</v>
      </c>
      <c r="K122" s="24">
        <v>1</v>
      </c>
      <c r="L122" s="25">
        <v>22.4</v>
      </c>
      <c r="M122" s="26">
        <v>22.4</v>
      </c>
      <c r="N122" s="26">
        <v>44.8</v>
      </c>
    </row>
    <row r="123" spans="4:14">
      <c r="D123" s="21">
        <v>46101</v>
      </c>
      <c r="E123" s="22">
        <v>1587660</v>
      </c>
      <c r="F123" s="22" t="s">
        <v>20</v>
      </c>
      <c r="G123" s="22">
        <v>20324644</v>
      </c>
      <c r="H123" s="22" t="s">
        <v>304</v>
      </c>
      <c r="I123" s="22">
        <v>1</v>
      </c>
      <c r="J123" s="30" t="s">
        <v>210</v>
      </c>
      <c r="K123" s="24">
        <v>1</v>
      </c>
      <c r="L123" s="25">
        <v>22.4</v>
      </c>
      <c r="M123" s="26">
        <v>22.4</v>
      </c>
      <c r="N123" s="26">
        <v>22.4</v>
      </c>
    </row>
    <row r="124" spans="4:14">
      <c r="D124" s="21">
        <v>46101</v>
      </c>
      <c r="E124" s="22">
        <v>1587660</v>
      </c>
      <c r="F124" s="22" t="s">
        <v>20</v>
      </c>
      <c r="G124" s="22">
        <v>20324814</v>
      </c>
      <c r="H124" s="22" t="s">
        <v>305</v>
      </c>
      <c r="I124" s="22">
        <v>2</v>
      </c>
      <c r="J124" s="30" t="s">
        <v>210</v>
      </c>
      <c r="K124" s="24">
        <v>1</v>
      </c>
      <c r="L124" s="25">
        <v>22.4</v>
      </c>
      <c r="M124" s="26">
        <v>22.4</v>
      </c>
      <c r="N124" s="26">
        <v>44.8</v>
      </c>
    </row>
    <row r="125" spans="4:14">
      <c r="D125" s="21">
        <v>46101</v>
      </c>
      <c r="E125" s="22">
        <v>1587660</v>
      </c>
      <c r="F125" s="22" t="s">
        <v>20</v>
      </c>
      <c r="G125" s="22">
        <v>20371318</v>
      </c>
      <c r="H125" s="22" t="s">
        <v>331</v>
      </c>
      <c r="I125" s="22">
        <v>4</v>
      </c>
      <c r="J125" s="28" t="s">
        <v>28</v>
      </c>
      <c r="K125" s="24">
        <v>1</v>
      </c>
      <c r="L125" s="25">
        <v>17.6</v>
      </c>
      <c r="M125" s="26">
        <v>17.6</v>
      </c>
      <c r="N125" s="26">
        <v>70.4</v>
      </c>
    </row>
    <row r="126" spans="4:14">
      <c r="D126" s="21">
        <v>46101</v>
      </c>
      <c r="E126" s="22">
        <v>1587739</v>
      </c>
      <c r="F126" s="22" t="s">
        <v>20</v>
      </c>
      <c r="G126" s="22">
        <v>20324826</v>
      </c>
      <c r="H126" s="22" t="s">
        <v>290</v>
      </c>
      <c r="I126" s="22">
        <v>1</v>
      </c>
      <c r="J126" s="27" t="s">
        <v>175</v>
      </c>
      <c r="K126" s="24">
        <v>1</v>
      </c>
      <c r="L126" s="36">
        <v>10.4</v>
      </c>
      <c r="M126" s="26">
        <v>10.4</v>
      </c>
      <c r="N126" s="26">
        <v>10.4</v>
      </c>
    </row>
    <row r="127" spans="4:14">
      <c r="D127" s="21">
        <v>46101</v>
      </c>
      <c r="E127" s="22">
        <v>1587933</v>
      </c>
      <c r="F127" s="22" t="s">
        <v>16</v>
      </c>
      <c r="G127" s="22">
        <v>20324578</v>
      </c>
      <c r="H127" s="22" t="s">
        <v>149</v>
      </c>
      <c r="I127" s="22">
        <v>1</v>
      </c>
      <c r="J127" s="28" t="s">
        <v>18</v>
      </c>
      <c r="K127" s="24">
        <f>M127/L127</f>
        <v>25</v>
      </c>
      <c r="L127" s="25">
        <v>4.4</v>
      </c>
      <c r="M127" s="26">
        <v>110</v>
      </c>
      <c r="N127" s="26">
        <v>110</v>
      </c>
    </row>
    <row r="128" spans="4:14">
      <c r="D128" s="21">
        <v>46102</v>
      </c>
      <c r="E128" s="22">
        <v>1588009</v>
      </c>
      <c r="F128" s="22" t="s">
        <v>20</v>
      </c>
      <c r="G128" s="22">
        <v>20356846</v>
      </c>
      <c r="H128" s="22" t="s">
        <v>323</v>
      </c>
      <c r="I128" s="22">
        <v>1</v>
      </c>
      <c r="J128" s="30" t="s">
        <v>205</v>
      </c>
      <c r="K128" s="24">
        <v>1</v>
      </c>
      <c r="L128" s="25">
        <v>28</v>
      </c>
      <c r="M128" s="26">
        <v>28</v>
      </c>
      <c r="N128" s="26">
        <v>28</v>
      </c>
    </row>
    <row r="129" spans="4:14">
      <c r="D129" s="21">
        <v>46102</v>
      </c>
      <c r="E129" s="22">
        <v>1588009</v>
      </c>
      <c r="F129" s="22" t="s">
        <v>20</v>
      </c>
      <c r="G129" s="22">
        <v>20326911</v>
      </c>
      <c r="H129" s="22" t="s">
        <v>332</v>
      </c>
      <c r="I129" s="22">
        <v>1</v>
      </c>
      <c r="J129" s="28" t="s">
        <v>28</v>
      </c>
      <c r="K129" s="24">
        <v>1</v>
      </c>
      <c r="L129" s="25">
        <v>17.6</v>
      </c>
      <c r="M129" s="26">
        <v>52.8</v>
      </c>
      <c r="N129" s="26">
        <v>52.8</v>
      </c>
    </row>
    <row r="130" spans="4:14">
      <c r="D130" s="21"/>
      <c r="E130" s="22"/>
      <c r="F130" s="22"/>
      <c r="G130" s="22"/>
      <c r="H130" s="22"/>
      <c r="I130" s="22"/>
      <c r="J130" s="28" t="s">
        <v>28</v>
      </c>
      <c r="K130" s="24">
        <v>1</v>
      </c>
      <c r="L130" s="25">
        <v>17.6</v>
      </c>
      <c r="M130" s="26"/>
      <c r="N130" s="26"/>
    </row>
    <row r="131" spans="4:14">
      <c r="D131" s="21"/>
      <c r="E131" s="22"/>
      <c r="F131" s="22"/>
      <c r="G131" s="22"/>
      <c r="H131" s="22"/>
      <c r="I131" s="22"/>
      <c r="J131" s="28" t="s">
        <v>28</v>
      </c>
      <c r="K131" s="24">
        <v>1</v>
      </c>
      <c r="L131" s="25">
        <v>17.6</v>
      </c>
      <c r="M131" s="26"/>
      <c r="N131" s="26"/>
    </row>
    <row r="132" spans="4:14">
      <c r="D132" s="21">
        <v>46102</v>
      </c>
      <c r="E132" s="22">
        <v>1588009</v>
      </c>
      <c r="F132" s="22" t="s">
        <v>30</v>
      </c>
      <c r="G132" s="22">
        <v>20324849</v>
      </c>
      <c r="H132" s="22" t="s">
        <v>310</v>
      </c>
      <c r="I132" s="22">
        <v>1</v>
      </c>
      <c r="J132" s="30" t="s">
        <v>210</v>
      </c>
      <c r="K132" s="24">
        <v>1</v>
      </c>
      <c r="L132" s="25">
        <v>22.4</v>
      </c>
      <c r="M132" s="26">
        <v>22.4</v>
      </c>
      <c r="N132" s="26">
        <v>22.4</v>
      </c>
    </row>
    <row r="133" spans="4:14">
      <c r="D133" s="21">
        <v>46106</v>
      </c>
      <c r="E133" s="22">
        <v>1588794</v>
      </c>
      <c r="F133" s="22" t="s">
        <v>20</v>
      </c>
      <c r="G133" s="22">
        <v>20360551</v>
      </c>
      <c r="H133" s="22" t="s">
        <v>333</v>
      </c>
      <c r="I133" s="22">
        <v>1</v>
      </c>
      <c r="J133" s="27" t="s">
        <v>25</v>
      </c>
      <c r="K133" s="24">
        <v>1</v>
      </c>
      <c r="L133" s="25">
        <v>8.8</v>
      </c>
      <c r="M133" s="25">
        <v>13.2</v>
      </c>
      <c r="N133" s="26">
        <v>13.2</v>
      </c>
    </row>
    <row r="134" spans="4:14">
      <c r="D134" s="21"/>
      <c r="E134" s="22"/>
      <c r="F134" s="22"/>
      <c r="G134" s="22"/>
      <c r="H134" s="22"/>
      <c r="I134" s="22"/>
      <c r="J134" s="27" t="s">
        <v>145</v>
      </c>
      <c r="K134" s="24">
        <v>1</v>
      </c>
      <c r="L134" s="25">
        <v>4.4</v>
      </c>
      <c r="M134" s="25"/>
      <c r="N134" s="26"/>
    </row>
    <row r="135" spans="4:14">
      <c r="D135" s="21">
        <v>46106</v>
      </c>
      <c r="E135" s="22">
        <v>1588794</v>
      </c>
      <c r="F135" s="22" t="s">
        <v>20</v>
      </c>
      <c r="G135" s="22">
        <v>20324403</v>
      </c>
      <c r="H135" s="22" t="s">
        <v>142</v>
      </c>
      <c r="I135" s="22">
        <v>1</v>
      </c>
      <c r="J135" s="23" t="s">
        <v>22</v>
      </c>
      <c r="K135" s="24">
        <v>1</v>
      </c>
      <c r="L135" s="25">
        <v>6.4</v>
      </c>
      <c r="M135" s="26">
        <v>6.4</v>
      </c>
      <c r="N135" s="26">
        <v>6.4</v>
      </c>
    </row>
    <row r="136" spans="4:14">
      <c r="D136" s="21">
        <v>46106</v>
      </c>
      <c r="E136" s="22">
        <v>1588794</v>
      </c>
      <c r="F136" s="22" t="s">
        <v>16</v>
      </c>
      <c r="G136" s="22">
        <v>20324578</v>
      </c>
      <c r="H136" s="22" t="s">
        <v>149</v>
      </c>
      <c r="I136" s="22">
        <v>1</v>
      </c>
      <c r="J136" s="28" t="s">
        <v>18</v>
      </c>
      <c r="K136" s="24">
        <f>M136/L136</f>
        <v>25</v>
      </c>
      <c r="L136" s="25">
        <v>4.4</v>
      </c>
      <c r="M136" s="26">
        <v>110</v>
      </c>
      <c r="N136" s="26">
        <v>110</v>
      </c>
    </row>
    <row r="137" spans="4:14">
      <c r="D137" s="21">
        <v>46106</v>
      </c>
      <c r="E137" s="22">
        <v>1588881</v>
      </c>
      <c r="F137" s="22" t="s">
        <v>20</v>
      </c>
      <c r="G137" s="22">
        <v>20338890</v>
      </c>
      <c r="H137" s="22" t="s">
        <v>334</v>
      </c>
      <c r="I137" s="22">
        <v>1</v>
      </c>
      <c r="J137" s="30" t="s">
        <v>210</v>
      </c>
      <c r="K137" s="24">
        <v>1</v>
      </c>
      <c r="L137" s="25">
        <v>22.4</v>
      </c>
      <c r="M137" s="26">
        <v>22.4</v>
      </c>
      <c r="N137" s="26">
        <v>22.4</v>
      </c>
    </row>
    <row r="138" spans="4:14">
      <c r="D138" s="21">
        <v>46106</v>
      </c>
      <c r="E138" s="22">
        <v>1588892</v>
      </c>
      <c r="F138" s="22" t="s">
        <v>20</v>
      </c>
      <c r="G138" s="22">
        <v>20356846</v>
      </c>
      <c r="H138" s="22" t="s">
        <v>323</v>
      </c>
      <c r="I138" s="22">
        <v>1</v>
      </c>
      <c r="J138" s="30" t="s">
        <v>205</v>
      </c>
      <c r="K138" s="24">
        <v>1</v>
      </c>
      <c r="L138" s="25">
        <v>28</v>
      </c>
      <c r="M138" s="26">
        <v>28</v>
      </c>
      <c r="N138" s="26">
        <v>28</v>
      </c>
    </row>
    <row r="139" spans="4:14">
      <c r="D139" s="21">
        <v>46106</v>
      </c>
      <c r="E139" s="22">
        <v>1588892</v>
      </c>
      <c r="F139" s="22" t="s">
        <v>20</v>
      </c>
      <c r="G139" s="22">
        <v>20325012</v>
      </c>
      <c r="H139" s="22" t="s">
        <v>301</v>
      </c>
      <c r="I139" s="22">
        <v>1</v>
      </c>
      <c r="J139" s="28" t="s">
        <v>28</v>
      </c>
      <c r="K139" s="24">
        <v>1</v>
      </c>
      <c r="L139" s="25">
        <v>17.6</v>
      </c>
      <c r="M139" s="26">
        <v>35.2</v>
      </c>
      <c r="N139" s="26">
        <v>35.2</v>
      </c>
    </row>
    <row r="140" spans="4:14">
      <c r="D140" s="21"/>
      <c r="E140" s="22"/>
      <c r="F140" s="22"/>
      <c r="G140" s="22"/>
      <c r="H140" s="22"/>
      <c r="I140" s="22"/>
      <c r="J140" s="28" t="s">
        <v>28</v>
      </c>
      <c r="K140" s="24">
        <v>1</v>
      </c>
      <c r="L140" s="25">
        <v>17.6</v>
      </c>
      <c r="M140" s="26"/>
      <c r="N140" s="26"/>
    </row>
    <row r="141" spans="4:14">
      <c r="D141" s="21">
        <v>46107</v>
      </c>
      <c r="E141" s="22">
        <v>1589215</v>
      </c>
      <c r="F141" s="22" t="s">
        <v>16</v>
      </c>
      <c r="G141" s="22">
        <v>20324463</v>
      </c>
      <c r="H141" s="22" t="s">
        <v>289</v>
      </c>
      <c r="I141" s="22">
        <v>1</v>
      </c>
      <c r="J141" s="28" t="s">
        <v>18</v>
      </c>
      <c r="K141" s="24">
        <f>M141/L141</f>
        <v>35</v>
      </c>
      <c r="L141" s="25">
        <v>4.4</v>
      </c>
      <c r="M141" s="26">
        <v>154</v>
      </c>
      <c r="N141" s="26">
        <v>154</v>
      </c>
    </row>
    <row r="142" spans="4:14">
      <c r="D142" s="21">
        <v>46107</v>
      </c>
      <c r="E142" s="22">
        <v>1589215</v>
      </c>
      <c r="F142" s="22" t="s">
        <v>20</v>
      </c>
      <c r="G142" s="22">
        <v>20324826</v>
      </c>
      <c r="H142" s="22" t="s">
        <v>290</v>
      </c>
      <c r="I142" s="22">
        <v>1</v>
      </c>
      <c r="J142" s="27" t="s">
        <v>175</v>
      </c>
      <c r="K142" s="24">
        <v>1</v>
      </c>
      <c r="L142" s="36">
        <v>10.4</v>
      </c>
      <c r="M142" s="26">
        <v>10.4</v>
      </c>
      <c r="N142" s="26">
        <v>10.4</v>
      </c>
    </row>
    <row r="143" spans="4:14">
      <c r="D143" s="21">
        <v>46107</v>
      </c>
      <c r="E143" s="22">
        <v>1589215</v>
      </c>
      <c r="F143" s="22" t="s">
        <v>20</v>
      </c>
      <c r="G143" s="22">
        <v>20324823</v>
      </c>
      <c r="H143" s="22" t="s">
        <v>329</v>
      </c>
      <c r="I143" s="22">
        <v>1</v>
      </c>
      <c r="J143" s="23" t="s">
        <v>22</v>
      </c>
      <c r="K143" s="24">
        <v>1</v>
      </c>
      <c r="L143" s="25">
        <v>6.4</v>
      </c>
      <c r="M143" s="26">
        <v>6.4</v>
      </c>
      <c r="N143" s="26">
        <v>6.4</v>
      </c>
    </row>
    <row r="144" spans="4:14">
      <c r="D144" s="21">
        <v>46107</v>
      </c>
      <c r="E144" s="22">
        <v>1589215</v>
      </c>
      <c r="F144" s="22" t="s">
        <v>20</v>
      </c>
      <c r="G144" s="22">
        <v>20324699</v>
      </c>
      <c r="H144" s="22" t="s">
        <v>283</v>
      </c>
      <c r="I144" s="22">
        <v>1</v>
      </c>
      <c r="J144" s="28" t="s">
        <v>18</v>
      </c>
      <c r="K144" s="24">
        <f>M144/L144</f>
        <v>5</v>
      </c>
      <c r="L144" s="25">
        <v>4.4</v>
      </c>
      <c r="M144" s="26">
        <v>22</v>
      </c>
      <c r="N144" s="26">
        <v>22</v>
      </c>
    </row>
    <row r="145" spans="4:14">
      <c r="D145" s="21">
        <v>46107</v>
      </c>
      <c r="E145" s="22">
        <v>1589237</v>
      </c>
      <c r="F145" s="22" t="s">
        <v>20</v>
      </c>
      <c r="G145" s="22">
        <v>20324637</v>
      </c>
      <c r="H145" s="22" t="s">
        <v>291</v>
      </c>
      <c r="I145" s="22">
        <v>1</v>
      </c>
      <c r="J145" s="30" t="s">
        <v>205</v>
      </c>
      <c r="K145" s="24">
        <v>1</v>
      </c>
      <c r="L145" s="25">
        <v>28</v>
      </c>
      <c r="M145" s="26">
        <v>28</v>
      </c>
      <c r="N145" s="26">
        <v>28</v>
      </c>
    </row>
    <row r="146" spans="4:14">
      <c r="D146" s="21">
        <v>46107</v>
      </c>
      <c r="E146" s="22">
        <v>1589237</v>
      </c>
      <c r="F146" s="22" t="s">
        <v>20</v>
      </c>
      <c r="G146" s="22">
        <v>20324838</v>
      </c>
      <c r="H146" s="22" t="s">
        <v>293</v>
      </c>
      <c r="I146" s="22">
        <v>1</v>
      </c>
      <c r="J146" s="30" t="s">
        <v>210</v>
      </c>
      <c r="K146" s="24">
        <v>1</v>
      </c>
      <c r="L146" s="25">
        <v>22.4</v>
      </c>
      <c r="M146" s="26">
        <v>22.4</v>
      </c>
      <c r="N146" s="26">
        <v>22.4</v>
      </c>
    </row>
    <row r="147" spans="4:14">
      <c r="D147" s="21">
        <v>46107</v>
      </c>
      <c r="E147" s="22">
        <v>1589237</v>
      </c>
      <c r="F147" s="22" t="s">
        <v>20</v>
      </c>
      <c r="G147" s="22">
        <v>20324835</v>
      </c>
      <c r="H147" s="22" t="s">
        <v>294</v>
      </c>
      <c r="I147" s="22">
        <v>1</v>
      </c>
      <c r="J147" s="28" t="s">
        <v>295</v>
      </c>
      <c r="K147" s="24">
        <v>1</v>
      </c>
      <c r="L147" s="25">
        <v>20</v>
      </c>
      <c r="M147" s="26">
        <v>20</v>
      </c>
      <c r="N147" s="26">
        <v>20</v>
      </c>
    </row>
    <row r="148" spans="4:14">
      <c r="D148" s="21">
        <v>46107</v>
      </c>
      <c r="E148" s="22">
        <v>1589237</v>
      </c>
      <c r="F148" s="22" t="s">
        <v>20</v>
      </c>
      <c r="G148" s="22">
        <v>20341762</v>
      </c>
      <c r="H148" s="22" t="s">
        <v>299</v>
      </c>
      <c r="I148" s="22">
        <v>1</v>
      </c>
      <c r="J148" s="30" t="s">
        <v>205</v>
      </c>
      <c r="K148" s="24">
        <v>1</v>
      </c>
      <c r="L148" s="25">
        <v>28</v>
      </c>
      <c r="M148" s="26">
        <v>28</v>
      </c>
      <c r="N148" s="26">
        <v>28</v>
      </c>
    </row>
    <row r="149" spans="4:14">
      <c r="D149" s="21">
        <v>46107</v>
      </c>
      <c r="E149" s="22">
        <v>1589237</v>
      </c>
      <c r="F149" s="22" t="s">
        <v>20</v>
      </c>
      <c r="G149" s="22">
        <v>20324732</v>
      </c>
      <c r="H149" s="22" t="s">
        <v>300</v>
      </c>
      <c r="I149" s="22">
        <v>1</v>
      </c>
      <c r="J149" s="30" t="s">
        <v>210</v>
      </c>
      <c r="K149" s="24">
        <v>1</v>
      </c>
      <c r="L149" s="25">
        <v>22.4</v>
      </c>
      <c r="M149" s="26">
        <v>22.4</v>
      </c>
      <c r="N149" s="26">
        <v>22.4</v>
      </c>
    </row>
    <row r="150" spans="4:14">
      <c r="D150" s="21">
        <v>46107</v>
      </c>
      <c r="E150" s="22">
        <v>1589237</v>
      </c>
      <c r="F150" s="22" t="s">
        <v>20</v>
      </c>
      <c r="G150" s="22">
        <v>20324813</v>
      </c>
      <c r="H150" s="22" t="s">
        <v>302</v>
      </c>
      <c r="I150" s="22">
        <v>1</v>
      </c>
      <c r="J150" s="30" t="s">
        <v>210</v>
      </c>
      <c r="K150" s="24">
        <v>1</v>
      </c>
      <c r="L150" s="25">
        <v>22.4</v>
      </c>
      <c r="M150" s="26">
        <v>22.4</v>
      </c>
      <c r="N150" s="26">
        <v>22.4</v>
      </c>
    </row>
    <row r="151" spans="4:14">
      <c r="D151" s="21">
        <v>46107</v>
      </c>
      <c r="E151" s="22">
        <v>1589237</v>
      </c>
      <c r="F151" s="22" t="s">
        <v>20</v>
      </c>
      <c r="G151" s="22">
        <v>20324815</v>
      </c>
      <c r="H151" s="22" t="s">
        <v>303</v>
      </c>
      <c r="I151" s="22">
        <v>1</v>
      </c>
      <c r="J151" s="30" t="s">
        <v>205</v>
      </c>
      <c r="K151" s="24">
        <v>1</v>
      </c>
      <c r="L151" s="25">
        <v>28</v>
      </c>
      <c r="M151" s="26">
        <v>28</v>
      </c>
      <c r="N151" s="26">
        <v>28</v>
      </c>
    </row>
    <row r="152" spans="4:14">
      <c r="D152" s="21">
        <v>46107</v>
      </c>
      <c r="E152" s="22">
        <v>1589237</v>
      </c>
      <c r="F152" s="22" t="s">
        <v>20</v>
      </c>
      <c r="G152" s="22">
        <v>20324644</v>
      </c>
      <c r="H152" s="22" t="s">
        <v>304</v>
      </c>
      <c r="I152" s="22">
        <v>1</v>
      </c>
      <c r="J152" s="30" t="s">
        <v>210</v>
      </c>
      <c r="K152" s="24">
        <v>1</v>
      </c>
      <c r="L152" s="25">
        <v>22.4</v>
      </c>
      <c r="M152" s="26">
        <v>22.4</v>
      </c>
      <c r="N152" s="26">
        <v>22.4</v>
      </c>
    </row>
    <row r="153" spans="4:14">
      <c r="D153" s="21">
        <v>46107</v>
      </c>
      <c r="E153" s="22">
        <v>1589237</v>
      </c>
      <c r="F153" s="22" t="s">
        <v>20</v>
      </c>
      <c r="G153" s="22">
        <v>20324814</v>
      </c>
      <c r="H153" s="22" t="s">
        <v>305</v>
      </c>
      <c r="I153" s="22">
        <v>1</v>
      </c>
      <c r="J153" s="30" t="s">
        <v>210</v>
      </c>
      <c r="K153" s="24">
        <v>1</v>
      </c>
      <c r="L153" s="25">
        <v>22.4</v>
      </c>
      <c r="M153" s="26">
        <v>22.4</v>
      </c>
      <c r="N153" s="26">
        <v>22.4</v>
      </c>
    </row>
    <row r="154" spans="4:14">
      <c r="D154" s="68">
        <v>46107</v>
      </c>
      <c r="E154" s="69">
        <v>1589237</v>
      </c>
      <c r="F154" s="69" t="s">
        <v>30</v>
      </c>
      <c r="G154" s="69">
        <v>20324638</v>
      </c>
      <c r="H154" s="69" t="s">
        <v>306</v>
      </c>
      <c r="I154" s="69">
        <v>1</v>
      </c>
      <c r="J154" s="30" t="s">
        <v>307</v>
      </c>
      <c r="K154" s="24" t="s">
        <v>308</v>
      </c>
      <c r="L154" s="25">
        <v>22.4</v>
      </c>
      <c r="M154" s="25">
        <f>L154+L155</f>
        <v>30.4</v>
      </c>
      <c r="N154" s="25">
        <f>M154+M155</f>
        <v>30.4</v>
      </c>
    </row>
    <row r="155" spans="4:14">
      <c r="D155" s="72"/>
      <c r="E155" s="73"/>
      <c r="F155" s="73"/>
      <c r="G155" s="73"/>
      <c r="H155" s="73"/>
      <c r="I155" s="73"/>
      <c r="J155" s="27" t="s">
        <v>309</v>
      </c>
      <c r="K155" s="24" t="s">
        <v>308</v>
      </c>
      <c r="L155" s="25">
        <v>8</v>
      </c>
      <c r="M155" s="25"/>
      <c r="N155" s="25"/>
    </row>
    <row r="156" spans="4:14">
      <c r="D156" s="21">
        <v>46111</v>
      </c>
      <c r="E156" s="22">
        <v>1590440</v>
      </c>
      <c r="F156" s="22" t="s">
        <v>55</v>
      </c>
      <c r="G156" s="22">
        <v>20365637</v>
      </c>
      <c r="H156" s="22" t="s">
        <v>285</v>
      </c>
      <c r="I156" s="22">
        <v>1</v>
      </c>
      <c r="J156" s="28" t="s">
        <v>266</v>
      </c>
      <c r="K156" s="24">
        <v>1</v>
      </c>
      <c r="L156" s="25">
        <v>28</v>
      </c>
      <c r="M156" s="26">
        <v>28</v>
      </c>
      <c r="N156" s="26">
        <v>28</v>
      </c>
    </row>
    <row r="157" spans="4:14">
      <c r="D157" s="21">
        <v>46112</v>
      </c>
      <c r="E157" s="22">
        <v>1590517</v>
      </c>
      <c r="F157" s="22" t="s">
        <v>16</v>
      </c>
      <c r="G157" s="22">
        <v>20324789</v>
      </c>
      <c r="H157" s="22" t="s">
        <v>287</v>
      </c>
      <c r="I157" s="22">
        <v>1</v>
      </c>
      <c r="J157" s="28" t="s">
        <v>18</v>
      </c>
      <c r="K157" s="24">
        <f t="shared" ref="K157:K160" si="8">M157/L157</f>
        <v>39</v>
      </c>
      <c r="L157" s="25">
        <v>4.4</v>
      </c>
      <c r="M157" s="26">
        <v>171.6</v>
      </c>
      <c r="N157" s="26">
        <v>171.6</v>
      </c>
    </row>
    <row r="158" spans="4:14">
      <c r="D158" s="21">
        <v>46112</v>
      </c>
      <c r="E158" s="22">
        <v>1590517</v>
      </c>
      <c r="F158" s="22" t="s">
        <v>20</v>
      </c>
      <c r="G158" s="22">
        <v>20333557</v>
      </c>
      <c r="H158" s="22" t="s">
        <v>335</v>
      </c>
      <c r="I158" s="22">
        <v>1</v>
      </c>
      <c r="J158" s="23" t="s">
        <v>22</v>
      </c>
      <c r="K158" s="24">
        <v>1</v>
      </c>
      <c r="L158" s="25">
        <v>6.4</v>
      </c>
      <c r="M158" s="26">
        <v>6.4</v>
      </c>
      <c r="N158" s="26">
        <v>6.4</v>
      </c>
    </row>
    <row r="159" spans="4:14">
      <c r="D159" s="21">
        <v>46112</v>
      </c>
      <c r="E159" s="22">
        <v>1590517</v>
      </c>
      <c r="F159" s="22" t="s">
        <v>20</v>
      </c>
      <c r="G159" s="22">
        <v>20327155</v>
      </c>
      <c r="H159" s="22" t="s">
        <v>336</v>
      </c>
      <c r="I159" s="22">
        <v>1</v>
      </c>
      <c r="J159" s="28" t="s">
        <v>18</v>
      </c>
      <c r="K159" s="24">
        <f t="shared" si="8"/>
        <v>6</v>
      </c>
      <c r="L159" s="25">
        <v>4.4</v>
      </c>
      <c r="M159" s="26">
        <v>26.4</v>
      </c>
      <c r="N159" s="26">
        <v>26.4</v>
      </c>
    </row>
    <row r="160" spans="4:14">
      <c r="D160" s="21">
        <v>46112</v>
      </c>
      <c r="E160" s="22">
        <v>1590517</v>
      </c>
      <c r="F160" s="22" t="s">
        <v>20</v>
      </c>
      <c r="G160" s="22">
        <v>20324699</v>
      </c>
      <c r="H160" s="22" t="s">
        <v>283</v>
      </c>
      <c r="I160" s="22">
        <v>1</v>
      </c>
      <c r="J160" s="28" t="s">
        <v>18</v>
      </c>
      <c r="K160" s="24">
        <f t="shared" si="8"/>
        <v>5</v>
      </c>
      <c r="L160" s="25">
        <v>4.4</v>
      </c>
      <c r="M160" s="26">
        <v>22</v>
      </c>
      <c r="N160" s="26">
        <v>22</v>
      </c>
    </row>
    <row r="161" spans="4:14">
      <c r="D161" s="21">
        <v>46112</v>
      </c>
      <c r="E161" s="22">
        <v>1590517</v>
      </c>
      <c r="F161" s="22" t="s">
        <v>20</v>
      </c>
      <c r="G161" s="22">
        <v>20326916</v>
      </c>
      <c r="H161" s="22" t="s">
        <v>313</v>
      </c>
      <c r="I161" s="22">
        <v>1</v>
      </c>
      <c r="J161" s="28" t="s">
        <v>18</v>
      </c>
      <c r="K161" s="24">
        <f t="shared" ref="K161:K163" si="9">M161/L161</f>
        <v>3</v>
      </c>
      <c r="L161" s="25">
        <v>4.4</v>
      </c>
      <c r="M161" s="26">
        <v>13.2</v>
      </c>
      <c r="N161" s="26">
        <v>13.2</v>
      </c>
    </row>
    <row r="162" spans="4:14">
      <c r="D162" s="21">
        <v>46112</v>
      </c>
      <c r="E162" s="22">
        <v>1590886</v>
      </c>
      <c r="F162" s="22" t="s">
        <v>16</v>
      </c>
      <c r="G162" s="22">
        <v>20324578</v>
      </c>
      <c r="H162" s="22" t="s">
        <v>149</v>
      </c>
      <c r="I162" s="22">
        <v>1</v>
      </c>
      <c r="J162" s="28" t="s">
        <v>18</v>
      </c>
      <c r="K162" s="24">
        <f t="shared" si="9"/>
        <v>25</v>
      </c>
      <c r="L162" s="25">
        <v>4.4</v>
      </c>
      <c r="M162" s="26">
        <v>110</v>
      </c>
      <c r="N162" s="26">
        <v>110</v>
      </c>
    </row>
    <row r="163" spans="4:14">
      <c r="D163" s="21">
        <v>46112</v>
      </c>
      <c r="E163" s="22">
        <v>1590886</v>
      </c>
      <c r="F163" s="22" t="s">
        <v>20</v>
      </c>
      <c r="G163" s="22">
        <v>20324699</v>
      </c>
      <c r="H163" s="22" t="s">
        <v>283</v>
      </c>
      <c r="I163" s="22">
        <v>1</v>
      </c>
      <c r="J163" s="28" t="s">
        <v>18</v>
      </c>
      <c r="K163" s="24">
        <f t="shared" si="9"/>
        <v>5</v>
      </c>
      <c r="L163" s="25">
        <v>4.4</v>
      </c>
      <c r="M163" s="26">
        <v>22</v>
      </c>
      <c r="N163" s="26">
        <v>22</v>
      </c>
    </row>
    <row r="164" ht="0.05" customHeight="1"/>
    <row r="171" spans="4:14">
      <c r="D171" s="86" t="s">
        <v>213</v>
      </c>
      <c r="E171" s="54"/>
      <c r="F171" s="54"/>
      <c r="G171" s="54"/>
      <c r="H171" s="54"/>
      <c r="I171" s="54"/>
      <c r="J171" s="54"/>
      <c r="K171" s="54"/>
      <c r="L171" s="54"/>
      <c r="M171" s="54"/>
    </row>
    <row r="172" spans="4:14">
      <c r="D172" s="54"/>
      <c r="E172" s="54"/>
      <c r="F172" s="54"/>
      <c r="G172" s="54"/>
      <c r="H172" s="54"/>
      <c r="I172" s="54"/>
      <c r="J172" s="54"/>
      <c r="K172" s="54"/>
      <c r="L172" s="54"/>
      <c r="M172" s="54"/>
    </row>
    <row r="173" spans="4:14">
      <c r="D173" s="54"/>
      <c r="E173" s="54"/>
      <c r="F173" s="54"/>
      <c r="G173" s="54"/>
      <c r="H173" s="54"/>
      <c r="I173" s="54"/>
      <c r="J173" s="54"/>
      <c r="K173" s="54"/>
      <c r="L173" s="54"/>
      <c r="M173" s="54"/>
    </row>
    <row r="174" spans="4:14">
      <c r="D174" s="87" t="s">
        <v>214</v>
      </c>
      <c r="E174" s="54"/>
      <c r="F174" s="54"/>
      <c r="G174" s="54"/>
      <c r="H174" s="54"/>
      <c r="I174" s="54"/>
      <c r="J174" s="54"/>
      <c r="K174" s="54"/>
      <c r="L174" s="54"/>
      <c r="M174" s="54"/>
    </row>
    <row r="175" spans="4:14">
      <c r="D175" s="54"/>
      <c r="E175" s="54"/>
      <c r="F175" s="54"/>
      <c r="G175" s="54"/>
      <c r="H175" s="54"/>
      <c r="I175" s="54"/>
      <c r="J175" s="54"/>
      <c r="K175" s="54"/>
      <c r="L175" s="54"/>
      <c r="M175" s="54"/>
    </row>
    <row r="176" spans="4:14">
      <c r="D176" s="88" t="s">
        <v>215</v>
      </c>
      <c r="E176" s="88" t="s">
        <v>216</v>
      </c>
      <c r="F176" s="54"/>
      <c r="G176" s="88" t="s">
        <v>217</v>
      </c>
      <c r="H176" s="88" t="s">
        <v>218</v>
      </c>
      <c r="I176" s="88" t="s">
        <v>7</v>
      </c>
      <c r="J176" s="88" t="s">
        <v>219</v>
      </c>
      <c r="K176" s="54"/>
      <c r="L176" s="88" t="s">
        <v>220</v>
      </c>
    </row>
    <row r="177" ht="15.75" spans="4:12">
      <c r="D177" s="89" t="s">
        <v>3</v>
      </c>
      <c r="E177" s="90" t="s">
        <v>2</v>
      </c>
      <c r="F177" s="90" t="s">
        <v>2</v>
      </c>
      <c r="G177" s="90" t="s">
        <v>2</v>
      </c>
      <c r="H177" s="90" t="s">
        <v>2</v>
      </c>
      <c r="I177" s="90" t="s">
        <v>2</v>
      </c>
      <c r="J177" s="91" t="s">
        <v>2</v>
      </c>
      <c r="K177" s="90" t="s">
        <v>2</v>
      </c>
      <c r="L177" s="92"/>
    </row>
    <row r="178" ht="14.25" spans="4:12">
      <c r="D178" s="93" t="s">
        <v>280</v>
      </c>
      <c r="E178" s="90" t="s">
        <v>2</v>
      </c>
      <c r="F178" s="90" t="s">
        <v>2</v>
      </c>
      <c r="G178" s="90" t="s">
        <v>2</v>
      </c>
      <c r="H178" s="90" t="s">
        <v>2</v>
      </c>
      <c r="I178" s="90" t="s">
        <v>2</v>
      </c>
      <c r="J178" s="94" t="s">
        <v>2</v>
      </c>
      <c r="K178" s="90" t="s">
        <v>2</v>
      </c>
      <c r="L178" s="95">
        <v>-10.4</v>
      </c>
    </row>
    <row r="179" spans="4:12">
      <c r="D179" s="96" t="s">
        <v>20</v>
      </c>
      <c r="E179" s="90" t="s">
        <v>2</v>
      </c>
      <c r="F179" s="90" t="s">
        <v>2</v>
      </c>
      <c r="G179" s="90" t="s">
        <v>2</v>
      </c>
      <c r="H179" s="90" t="s">
        <v>2</v>
      </c>
      <c r="I179" s="90" t="s">
        <v>2</v>
      </c>
      <c r="J179" s="97" t="s">
        <v>2</v>
      </c>
      <c r="K179" s="90" t="s">
        <v>2</v>
      </c>
      <c r="L179" s="98">
        <v>-10.4</v>
      </c>
    </row>
    <row r="180" spans="4:12">
      <c r="D180" s="99">
        <v>3006031821</v>
      </c>
      <c r="E180" s="100">
        <v>46114.4026361458</v>
      </c>
      <c r="F180" s="101" t="s">
        <v>2</v>
      </c>
      <c r="G180" s="102" t="s">
        <v>221</v>
      </c>
      <c r="H180" s="103">
        <v>46100.9517158912</v>
      </c>
      <c r="I180" s="104">
        <v>20324826</v>
      </c>
      <c r="J180" s="104" t="s">
        <v>290</v>
      </c>
      <c r="K180" s="101" t="s">
        <v>2</v>
      </c>
      <c r="L180" s="105">
        <v>-10.4</v>
      </c>
    </row>
  </sheetData>
  <autoFilter xmlns:etc="http://www.wps.cn/officeDocument/2017/etCustomData" ref="A7:N163" etc:filterBottomFollowUsedRange="0">
    <extLst/>
  </autoFilter>
  <mergeCells count="145">
    <mergeCell ref="D8:H8"/>
    <mergeCell ref="E176:F176"/>
    <mergeCell ref="J176:K176"/>
    <mergeCell ref="D177:I177"/>
    <mergeCell ref="J177:K177"/>
    <mergeCell ref="D178:I178"/>
    <mergeCell ref="J178:K178"/>
    <mergeCell ref="D179:I179"/>
    <mergeCell ref="J179:K179"/>
    <mergeCell ref="E180:F180"/>
    <mergeCell ref="J180:K180"/>
    <mergeCell ref="C7:C163"/>
    <mergeCell ref="D17:D18"/>
    <mergeCell ref="D28:D29"/>
    <mergeCell ref="D31:D33"/>
    <mergeCell ref="D37:D38"/>
    <mergeCell ref="D43:D44"/>
    <mergeCell ref="D52:D53"/>
    <mergeCell ref="D59:D60"/>
    <mergeCell ref="D72:D74"/>
    <mergeCell ref="D81:D82"/>
    <mergeCell ref="D86:D87"/>
    <mergeCell ref="D96:D97"/>
    <mergeCell ref="D105:D106"/>
    <mergeCell ref="D129:D131"/>
    <mergeCell ref="D133:D134"/>
    <mergeCell ref="D139:D140"/>
    <mergeCell ref="D154:D155"/>
    <mergeCell ref="E17:E18"/>
    <mergeCell ref="E28:E29"/>
    <mergeCell ref="E31:E33"/>
    <mergeCell ref="E37:E38"/>
    <mergeCell ref="E43:E44"/>
    <mergeCell ref="E52:E53"/>
    <mergeCell ref="E59:E60"/>
    <mergeCell ref="E72:E74"/>
    <mergeCell ref="E81:E82"/>
    <mergeCell ref="E86:E87"/>
    <mergeCell ref="E96:E97"/>
    <mergeCell ref="E105:E106"/>
    <mergeCell ref="E129:E131"/>
    <mergeCell ref="E133:E134"/>
    <mergeCell ref="E139:E140"/>
    <mergeCell ref="E154:E155"/>
    <mergeCell ref="F17:F18"/>
    <mergeCell ref="F28:F29"/>
    <mergeCell ref="F31:F33"/>
    <mergeCell ref="F37:F38"/>
    <mergeCell ref="F43:F44"/>
    <mergeCell ref="F52:F53"/>
    <mergeCell ref="F59:F60"/>
    <mergeCell ref="F72:F74"/>
    <mergeCell ref="F81:F82"/>
    <mergeCell ref="F86:F87"/>
    <mergeCell ref="F96:F97"/>
    <mergeCell ref="F105:F106"/>
    <mergeCell ref="F129:F131"/>
    <mergeCell ref="F133:F134"/>
    <mergeCell ref="F139:F140"/>
    <mergeCell ref="F154:F155"/>
    <mergeCell ref="G17:G18"/>
    <mergeCell ref="G28:G29"/>
    <mergeCell ref="G31:G33"/>
    <mergeCell ref="G37:G38"/>
    <mergeCell ref="G43:G44"/>
    <mergeCell ref="G52:G53"/>
    <mergeCell ref="G59:G60"/>
    <mergeCell ref="G72:G74"/>
    <mergeCell ref="G81:G82"/>
    <mergeCell ref="G86:G87"/>
    <mergeCell ref="G96:G97"/>
    <mergeCell ref="G105:G106"/>
    <mergeCell ref="G129:G131"/>
    <mergeCell ref="G133:G134"/>
    <mergeCell ref="G139:G140"/>
    <mergeCell ref="G154:G155"/>
    <mergeCell ref="H17:H18"/>
    <mergeCell ref="H28:H29"/>
    <mergeCell ref="H31:H33"/>
    <mergeCell ref="H37:H38"/>
    <mergeCell ref="H43:H44"/>
    <mergeCell ref="H52:H53"/>
    <mergeCell ref="H59:H60"/>
    <mergeCell ref="H72:H74"/>
    <mergeCell ref="H81:H82"/>
    <mergeCell ref="H86:H87"/>
    <mergeCell ref="H96:H97"/>
    <mergeCell ref="H105:H106"/>
    <mergeCell ref="H129:H131"/>
    <mergeCell ref="H133:H134"/>
    <mergeCell ref="H139:H140"/>
    <mergeCell ref="H154:H155"/>
    <mergeCell ref="I17:I18"/>
    <mergeCell ref="I28:I29"/>
    <mergeCell ref="I31:I33"/>
    <mergeCell ref="I37:I38"/>
    <mergeCell ref="I43:I44"/>
    <mergeCell ref="I52:I53"/>
    <mergeCell ref="I59:I60"/>
    <mergeCell ref="I72:I74"/>
    <mergeCell ref="I81:I82"/>
    <mergeCell ref="I86:I87"/>
    <mergeCell ref="I96:I97"/>
    <mergeCell ref="I105:I106"/>
    <mergeCell ref="I129:I131"/>
    <mergeCell ref="I133:I134"/>
    <mergeCell ref="I139:I140"/>
    <mergeCell ref="I154:I155"/>
    <mergeCell ref="M17:M18"/>
    <mergeCell ref="M28:M29"/>
    <mergeCell ref="M31:M33"/>
    <mergeCell ref="M37:M38"/>
    <mergeCell ref="M43:M44"/>
    <mergeCell ref="M52:M53"/>
    <mergeCell ref="M59:M60"/>
    <mergeCell ref="M72:M74"/>
    <mergeCell ref="M81:M82"/>
    <mergeCell ref="M86:M87"/>
    <mergeCell ref="M96:M97"/>
    <mergeCell ref="M105:M106"/>
    <mergeCell ref="M129:M131"/>
    <mergeCell ref="M133:M134"/>
    <mergeCell ref="M139:M140"/>
    <mergeCell ref="M154:M155"/>
    <mergeCell ref="N17:N18"/>
    <mergeCell ref="N28:N29"/>
    <mergeCell ref="N31:N33"/>
    <mergeCell ref="N37:N38"/>
    <mergeCell ref="N43:N44"/>
    <mergeCell ref="N52:N53"/>
    <mergeCell ref="N59:N60"/>
    <mergeCell ref="N72:N74"/>
    <mergeCell ref="N81:N82"/>
    <mergeCell ref="N86:N87"/>
    <mergeCell ref="N96:N97"/>
    <mergeCell ref="N105:N106"/>
    <mergeCell ref="N129:N131"/>
    <mergeCell ref="N133:N134"/>
    <mergeCell ref="N139:N140"/>
    <mergeCell ref="N154:N155"/>
    <mergeCell ref="B4:H5"/>
    <mergeCell ref="C1:H2"/>
    <mergeCell ref="A7:B163"/>
    <mergeCell ref="D171:M172"/>
    <mergeCell ref="D174:H175"/>
  </mergeCells>
  <pageMargins left="0.25" right="0.25" top="0.75" bottom="0.75" header="0.298611111111111" footer="0.298611111111111"/>
  <pageSetup paperSize="9" scale="91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rowBreaks count="1" manualBreakCount="1">
    <brk id="169" max="16383" man="1"/>
  </row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I739" sqref="I739:I750"/>
    </sheetView>
  </sheetViews>
  <sheetFormatPr defaultColWidth="9" defaultRowHeight="13.5"/>
  <cols>
    <col min="1" max="2" width="0.225" customWidth="1"/>
    <col min="3" max="3" width="0.433333333333333" customWidth="1"/>
    <col min="4" max="4" width="11.125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7.625" customWidth="1"/>
    <col min="10" max="10" width="21.875" customWidth="1"/>
    <col min="11" max="11" width="18.5" customWidth="1"/>
    <col min="12" max="12" width="12.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337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f>SUM(I9:I696)+27+15-1</f>
        <v>1090</v>
      </c>
      <c r="J8" s="11"/>
      <c r="K8" s="11"/>
      <c r="L8" s="11"/>
      <c r="M8" s="11"/>
      <c r="N8" s="67">
        <f>SUM(N9:N696)+3760.8+1461+692-22.4</f>
        <v>49681.4000000001</v>
      </c>
    </row>
    <row r="9" spans="1:14">
      <c r="D9" s="15">
        <v>46082</v>
      </c>
      <c r="E9" s="16">
        <v>1581271</v>
      </c>
      <c r="F9" s="16" t="s">
        <v>16</v>
      </c>
      <c r="G9" s="16">
        <v>20324039</v>
      </c>
      <c r="H9" s="16" t="s">
        <v>338</v>
      </c>
      <c r="I9" s="16">
        <v>2</v>
      </c>
      <c r="J9" s="32" t="s">
        <v>18</v>
      </c>
      <c r="K9" s="18">
        <f t="shared" ref="K9:K13" si="0">M9/L9</f>
        <v>37</v>
      </c>
      <c r="L9" s="19">
        <v>4.4</v>
      </c>
      <c r="M9" s="20">
        <v>162.8</v>
      </c>
      <c r="N9" s="20">
        <v>325.6</v>
      </c>
    </row>
    <row r="10" spans="1:14">
      <c r="D10" s="21">
        <v>46082</v>
      </c>
      <c r="E10" s="22">
        <v>1581271</v>
      </c>
      <c r="F10" s="22" t="s">
        <v>20</v>
      </c>
      <c r="G10" s="22">
        <v>20324367</v>
      </c>
      <c r="H10" s="22" t="s">
        <v>146</v>
      </c>
      <c r="I10" s="22">
        <v>1</v>
      </c>
      <c r="J10" s="23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46082</v>
      </c>
      <c r="E11" s="22">
        <v>1581271</v>
      </c>
      <c r="F11" s="22" t="s">
        <v>20</v>
      </c>
      <c r="G11" s="22">
        <v>20324699</v>
      </c>
      <c r="H11" s="22" t="s">
        <v>283</v>
      </c>
      <c r="I11" s="22">
        <v>2</v>
      </c>
      <c r="J11" s="28" t="s">
        <v>18</v>
      </c>
      <c r="K11" s="24">
        <f t="shared" si="0"/>
        <v>5</v>
      </c>
      <c r="L11" s="25">
        <v>4.4</v>
      </c>
      <c r="M11" s="26">
        <v>22</v>
      </c>
      <c r="N11" s="26">
        <v>44</v>
      </c>
    </row>
    <row r="12" spans="1:14">
      <c r="D12" s="21">
        <v>46083</v>
      </c>
      <c r="E12" s="22">
        <v>1581536</v>
      </c>
      <c r="F12" s="22" t="s">
        <v>16</v>
      </c>
      <c r="G12" s="22">
        <v>20324463</v>
      </c>
      <c r="H12" s="22" t="s">
        <v>289</v>
      </c>
      <c r="I12" s="22">
        <v>1</v>
      </c>
      <c r="J12" s="28" t="s">
        <v>18</v>
      </c>
      <c r="K12" s="24">
        <f t="shared" si="0"/>
        <v>35</v>
      </c>
      <c r="L12" s="25">
        <v>4.4</v>
      </c>
      <c r="M12" s="26">
        <v>154</v>
      </c>
      <c r="N12" s="26">
        <v>154</v>
      </c>
    </row>
    <row r="13" spans="1:14">
      <c r="D13" s="21">
        <v>46083</v>
      </c>
      <c r="E13" s="22">
        <v>1581536</v>
      </c>
      <c r="F13" s="22" t="s">
        <v>16</v>
      </c>
      <c r="G13" s="22">
        <v>20324039</v>
      </c>
      <c r="H13" s="22" t="s">
        <v>338</v>
      </c>
      <c r="I13" s="22">
        <v>2</v>
      </c>
      <c r="J13" s="28" t="s">
        <v>18</v>
      </c>
      <c r="K13" s="24">
        <f t="shared" si="0"/>
        <v>37</v>
      </c>
      <c r="L13" s="25">
        <v>4.4</v>
      </c>
      <c r="M13" s="26">
        <v>162.8</v>
      </c>
      <c r="N13" s="26">
        <v>325.6</v>
      </c>
    </row>
    <row r="14" spans="1:14">
      <c r="D14" s="21">
        <v>46083</v>
      </c>
      <c r="E14" s="22">
        <v>1581536</v>
      </c>
      <c r="F14" s="22" t="s">
        <v>20</v>
      </c>
      <c r="G14" s="22">
        <v>20324699</v>
      </c>
      <c r="H14" s="22" t="s">
        <v>283</v>
      </c>
      <c r="I14" s="22">
        <v>5</v>
      </c>
      <c r="J14" s="28" t="s">
        <v>18</v>
      </c>
      <c r="K14" s="24">
        <f t="shared" ref="K14:K18" si="1">M14/L14</f>
        <v>5</v>
      </c>
      <c r="L14" s="25">
        <v>4.4</v>
      </c>
      <c r="M14" s="26">
        <v>22</v>
      </c>
      <c r="N14" s="26">
        <v>110</v>
      </c>
    </row>
    <row r="15" spans="1:14">
      <c r="D15" s="21">
        <v>46083</v>
      </c>
      <c r="E15" s="22">
        <v>1581536</v>
      </c>
      <c r="F15" s="22" t="s">
        <v>20</v>
      </c>
      <c r="G15" s="22">
        <v>20325524</v>
      </c>
      <c r="H15" s="22" t="s">
        <v>339</v>
      </c>
      <c r="I15" s="22">
        <v>1</v>
      </c>
      <c r="J15" s="28" t="s">
        <v>18</v>
      </c>
      <c r="K15" s="24">
        <f t="shared" si="1"/>
        <v>3</v>
      </c>
      <c r="L15" s="25">
        <v>4.4</v>
      </c>
      <c r="M15" s="26">
        <v>13.2</v>
      </c>
      <c r="N15" s="26">
        <v>13.2</v>
      </c>
    </row>
    <row r="16" spans="1:14">
      <c r="D16" s="21">
        <v>46083</v>
      </c>
      <c r="E16" s="22">
        <v>1581558</v>
      </c>
      <c r="F16" s="22" t="s">
        <v>16</v>
      </c>
      <c r="G16" s="22">
        <v>20405201</v>
      </c>
      <c r="H16" s="22" t="s">
        <v>340</v>
      </c>
      <c r="I16" s="22">
        <v>1</v>
      </c>
      <c r="J16" s="28" t="s">
        <v>18</v>
      </c>
      <c r="K16" s="24">
        <f t="shared" si="1"/>
        <v>18</v>
      </c>
      <c r="L16" s="25">
        <v>4.4</v>
      </c>
      <c r="M16" s="26">
        <v>79.2</v>
      </c>
      <c r="N16" s="26">
        <v>79.2</v>
      </c>
    </row>
    <row r="17" spans="4:14">
      <c r="D17" s="21">
        <v>46083</v>
      </c>
      <c r="E17" s="22">
        <v>1581558</v>
      </c>
      <c r="F17" s="22" t="s">
        <v>16</v>
      </c>
      <c r="G17" s="22">
        <v>20324045</v>
      </c>
      <c r="H17" s="22" t="s">
        <v>281</v>
      </c>
      <c r="I17" s="22">
        <v>2</v>
      </c>
      <c r="J17" s="28" t="s">
        <v>18</v>
      </c>
      <c r="K17" s="24">
        <f t="shared" si="1"/>
        <v>19</v>
      </c>
      <c r="L17" s="25">
        <v>4.4</v>
      </c>
      <c r="M17" s="26">
        <v>83.6</v>
      </c>
      <c r="N17" s="26">
        <v>167.2</v>
      </c>
    </row>
    <row r="18" spans="4:14">
      <c r="D18" s="21">
        <v>46083</v>
      </c>
      <c r="E18" s="22">
        <v>1581565</v>
      </c>
      <c r="F18" s="22" t="s">
        <v>20</v>
      </c>
      <c r="G18" s="22">
        <v>20330458</v>
      </c>
      <c r="H18" s="22" t="s">
        <v>341</v>
      </c>
      <c r="I18" s="22">
        <v>1</v>
      </c>
      <c r="J18" s="28" t="s">
        <v>18</v>
      </c>
      <c r="K18" s="24">
        <f t="shared" si="1"/>
        <v>5</v>
      </c>
      <c r="L18" s="25">
        <v>4.4</v>
      </c>
      <c r="M18" s="26">
        <v>22</v>
      </c>
      <c r="N18" s="26">
        <v>22</v>
      </c>
    </row>
    <row r="19" spans="4:14">
      <c r="D19" s="21">
        <v>46084</v>
      </c>
      <c r="E19" s="22">
        <v>1581626</v>
      </c>
      <c r="F19" s="22" t="s">
        <v>16</v>
      </c>
      <c r="G19" s="22">
        <v>20324808</v>
      </c>
      <c r="H19" s="22" t="s">
        <v>342</v>
      </c>
      <c r="I19" s="22">
        <v>1</v>
      </c>
      <c r="J19" s="28" t="s">
        <v>37</v>
      </c>
      <c r="K19" s="24" t="s">
        <v>38</v>
      </c>
      <c r="L19" s="25">
        <v>132</v>
      </c>
      <c r="M19" s="26">
        <v>220</v>
      </c>
      <c r="N19" s="26">
        <v>220</v>
      </c>
    </row>
    <row r="20" spans="4:14">
      <c r="D20" s="21"/>
      <c r="E20" s="22"/>
      <c r="F20" s="22"/>
      <c r="G20" s="22"/>
      <c r="H20" s="22"/>
      <c r="I20" s="22"/>
      <c r="J20" s="30" t="s">
        <v>39</v>
      </c>
      <c r="K20" s="24" t="s">
        <v>40</v>
      </c>
      <c r="L20" s="25">
        <v>70.4</v>
      </c>
      <c r="M20" s="26"/>
      <c r="N20" s="26"/>
    </row>
    <row r="21" spans="4:14">
      <c r="D21" s="21"/>
      <c r="E21" s="22"/>
      <c r="F21" s="22"/>
      <c r="G21" s="22"/>
      <c r="H21" s="22"/>
      <c r="I21" s="22"/>
      <c r="J21" s="28" t="s">
        <v>28</v>
      </c>
      <c r="K21" s="24">
        <v>1</v>
      </c>
      <c r="L21" s="25">
        <v>17.6</v>
      </c>
      <c r="M21" s="26"/>
      <c r="N21" s="26"/>
    </row>
    <row r="22" spans="4:14">
      <c r="D22" s="21">
        <v>46084</v>
      </c>
      <c r="E22" s="22">
        <v>1581626</v>
      </c>
      <c r="F22" s="22" t="s">
        <v>20</v>
      </c>
      <c r="G22" s="22">
        <v>20324643</v>
      </c>
      <c r="H22" s="22" t="s">
        <v>343</v>
      </c>
      <c r="I22" s="22">
        <v>1</v>
      </c>
      <c r="J22" s="30" t="s">
        <v>210</v>
      </c>
      <c r="K22" s="24">
        <v>1</v>
      </c>
      <c r="L22" s="25">
        <v>22.4</v>
      </c>
      <c r="M22" s="26">
        <v>22.4</v>
      </c>
      <c r="N22" s="26">
        <v>22.4</v>
      </c>
    </row>
    <row r="23" spans="4:14">
      <c r="D23" s="21">
        <v>46084</v>
      </c>
      <c r="E23" s="22">
        <v>1581626</v>
      </c>
      <c r="F23" s="22" t="s">
        <v>20</v>
      </c>
      <c r="G23" s="22">
        <v>20330449</v>
      </c>
      <c r="H23" s="22" t="s">
        <v>292</v>
      </c>
      <c r="I23" s="22">
        <v>1</v>
      </c>
      <c r="J23" s="30" t="s">
        <v>210</v>
      </c>
      <c r="K23" s="24">
        <v>1</v>
      </c>
      <c r="L23" s="25">
        <v>22.4</v>
      </c>
      <c r="M23" s="26">
        <v>22.4</v>
      </c>
      <c r="N23" s="26">
        <v>22.4</v>
      </c>
    </row>
    <row r="24" spans="4:14">
      <c r="D24" s="21">
        <v>46084</v>
      </c>
      <c r="E24" s="22">
        <v>1581626</v>
      </c>
      <c r="F24" s="22" t="s">
        <v>20</v>
      </c>
      <c r="G24" s="22">
        <v>20329253</v>
      </c>
      <c r="H24" s="22" t="s">
        <v>320</v>
      </c>
      <c r="I24" s="22">
        <v>1</v>
      </c>
      <c r="J24" s="28" t="s">
        <v>28</v>
      </c>
      <c r="K24" s="24">
        <v>1</v>
      </c>
      <c r="L24" s="25">
        <v>17.6</v>
      </c>
      <c r="M24" s="26">
        <v>17.6</v>
      </c>
      <c r="N24" s="26">
        <v>17.6</v>
      </c>
    </row>
    <row r="25" spans="4:14">
      <c r="D25" s="21">
        <v>46084</v>
      </c>
      <c r="E25" s="22">
        <v>1581626</v>
      </c>
      <c r="F25" s="22" t="s">
        <v>20</v>
      </c>
      <c r="G25" s="22">
        <v>20324822</v>
      </c>
      <c r="H25" s="22" t="s">
        <v>321</v>
      </c>
      <c r="I25" s="22">
        <v>1</v>
      </c>
      <c r="J25" s="30" t="s">
        <v>205</v>
      </c>
      <c r="K25" s="24">
        <v>1</v>
      </c>
      <c r="L25" s="25">
        <v>28</v>
      </c>
      <c r="M25" s="26">
        <v>28</v>
      </c>
      <c r="N25" s="26">
        <v>28</v>
      </c>
    </row>
    <row r="26" spans="4:14">
      <c r="D26" s="21">
        <v>46084</v>
      </c>
      <c r="E26" s="22">
        <v>1581626</v>
      </c>
      <c r="F26" s="22" t="s">
        <v>20</v>
      </c>
      <c r="G26" s="22">
        <v>20354181</v>
      </c>
      <c r="H26" s="22" t="s">
        <v>344</v>
      </c>
      <c r="I26" s="22">
        <v>1</v>
      </c>
      <c r="J26" s="30" t="s">
        <v>51</v>
      </c>
      <c r="K26" s="24" t="s">
        <v>52</v>
      </c>
      <c r="L26" s="25">
        <v>240</v>
      </c>
      <c r="M26" s="26">
        <v>240</v>
      </c>
      <c r="N26" s="26">
        <v>240</v>
      </c>
    </row>
    <row r="27" spans="4:14">
      <c r="D27" s="21">
        <v>46084</v>
      </c>
      <c r="E27" s="22">
        <v>1581626</v>
      </c>
      <c r="F27" s="22" t="s">
        <v>20</v>
      </c>
      <c r="G27" s="22">
        <v>20325443</v>
      </c>
      <c r="H27" s="22" t="s">
        <v>345</v>
      </c>
      <c r="I27" s="22">
        <v>2</v>
      </c>
      <c r="J27" s="30" t="s">
        <v>205</v>
      </c>
      <c r="K27" s="24">
        <v>1</v>
      </c>
      <c r="L27" s="25">
        <v>28</v>
      </c>
      <c r="M27" s="26">
        <v>28</v>
      </c>
      <c r="N27" s="26">
        <v>56</v>
      </c>
    </row>
    <row r="28" spans="4:14">
      <c r="D28" s="21">
        <v>46084</v>
      </c>
      <c r="E28" s="22">
        <v>1581626</v>
      </c>
      <c r="F28" s="22" t="s">
        <v>20</v>
      </c>
      <c r="G28" s="22">
        <v>20324645</v>
      </c>
      <c r="H28" s="22" t="s">
        <v>346</v>
      </c>
      <c r="I28" s="22">
        <v>1</v>
      </c>
      <c r="J28" s="30" t="s">
        <v>210</v>
      </c>
      <c r="K28" s="24">
        <v>1</v>
      </c>
      <c r="L28" s="25">
        <v>22.4</v>
      </c>
      <c r="M28" s="26">
        <v>22.4</v>
      </c>
      <c r="N28" s="26">
        <v>22.4</v>
      </c>
    </row>
    <row r="29" spans="4:14">
      <c r="D29" s="21">
        <v>46084</v>
      </c>
      <c r="E29" s="22">
        <v>1581626</v>
      </c>
      <c r="F29" s="22" t="s">
        <v>20</v>
      </c>
      <c r="G29" s="22">
        <v>20324636</v>
      </c>
      <c r="H29" s="22" t="s">
        <v>347</v>
      </c>
      <c r="I29" s="22">
        <v>1</v>
      </c>
      <c r="J29" s="30" t="s">
        <v>205</v>
      </c>
      <c r="K29" s="24">
        <v>1</v>
      </c>
      <c r="L29" s="25">
        <v>28</v>
      </c>
      <c r="M29" s="26">
        <v>28</v>
      </c>
      <c r="N29" s="26">
        <v>28</v>
      </c>
    </row>
    <row r="30" spans="4:14">
      <c r="D30" s="21">
        <v>46084</v>
      </c>
      <c r="E30" s="22">
        <v>1581626</v>
      </c>
      <c r="F30" s="22" t="s">
        <v>20</v>
      </c>
      <c r="G30" s="22">
        <v>20324642</v>
      </c>
      <c r="H30" s="22" t="s">
        <v>348</v>
      </c>
      <c r="I30" s="22">
        <v>1</v>
      </c>
      <c r="J30" s="28" t="s">
        <v>28</v>
      </c>
      <c r="K30" s="24">
        <v>1</v>
      </c>
      <c r="L30" s="25">
        <v>17.6</v>
      </c>
      <c r="M30" s="26">
        <v>17.6</v>
      </c>
      <c r="N30" s="26">
        <v>17.6</v>
      </c>
    </row>
    <row r="31" spans="4:14">
      <c r="D31" s="21">
        <v>46084</v>
      </c>
      <c r="E31" s="22">
        <v>1581626</v>
      </c>
      <c r="F31" s="22" t="s">
        <v>20</v>
      </c>
      <c r="G31" s="22">
        <v>20324732</v>
      </c>
      <c r="H31" s="22" t="s">
        <v>300</v>
      </c>
      <c r="I31" s="22">
        <v>1</v>
      </c>
      <c r="J31" s="30" t="s">
        <v>210</v>
      </c>
      <c r="K31" s="24">
        <v>1</v>
      </c>
      <c r="L31" s="25">
        <v>22.4</v>
      </c>
      <c r="M31" s="26">
        <v>22.4</v>
      </c>
      <c r="N31" s="26">
        <v>22.4</v>
      </c>
    </row>
    <row r="32" spans="4:14">
      <c r="D32" s="21">
        <v>46084</v>
      </c>
      <c r="E32" s="22">
        <v>1581626</v>
      </c>
      <c r="F32" s="22" t="s">
        <v>20</v>
      </c>
      <c r="G32" s="22">
        <v>20324644</v>
      </c>
      <c r="H32" s="22" t="s">
        <v>304</v>
      </c>
      <c r="I32" s="22">
        <v>1</v>
      </c>
      <c r="J32" s="30" t="s">
        <v>210</v>
      </c>
      <c r="K32" s="24">
        <v>1</v>
      </c>
      <c r="L32" s="25">
        <v>22.4</v>
      </c>
      <c r="M32" s="26">
        <v>22.4</v>
      </c>
      <c r="N32" s="26">
        <v>22.4</v>
      </c>
    </row>
    <row r="33" spans="4:14">
      <c r="D33" s="21">
        <v>46084</v>
      </c>
      <c r="E33" s="22">
        <v>1581626</v>
      </c>
      <c r="F33" s="22" t="s">
        <v>20</v>
      </c>
      <c r="G33" s="22">
        <v>20330332</v>
      </c>
      <c r="H33" s="22" t="s">
        <v>349</v>
      </c>
      <c r="I33" s="22">
        <v>1</v>
      </c>
      <c r="J33" s="30" t="s">
        <v>210</v>
      </c>
      <c r="K33" s="24">
        <v>1</v>
      </c>
      <c r="L33" s="25">
        <v>22.4</v>
      </c>
      <c r="M33" s="26">
        <v>22.4</v>
      </c>
      <c r="N33" s="26">
        <v>22.4</v>
      </c>
    </row>
    <row r="34" spans="4:14">
      <c r="D34" s="21">
        <v>46084</v>
      </c>
      <c r="E34" s="22">
        <v>1581626</v>
      </c>
      <c r="F34" s="22" t="s">
        <v>20</v>
      </c>
      <c r="G34" s="22">
        <v>20324814</v>
      </c>
      <c r="H34" s="22" t="s">
        <v>305</v>
      </c>
      <c r="I34" s="22">
        <v>1</v>
      </c>
      <c r="J34" s="30" t="s">
        <v>210</v>
      </c>
      <c r="K34" s="24">
        <v>1</v>
      </c>
      <c r="L34" s="25">
        <v>22.4</v>
      </c>
      <c r="M34" s="26">
        <v>22.4</v>
      </c>
      <c r="N34" s="26">
        <v>22.4</v>
      </c>
    </row>
    <row r="35" spans="4:14">
      <c r="D35" s="21">
        <v>46084</v>
      </c>
      <c r="E35" s="22">
        <v>1581626</v>
      </c>
      <c r="F35" s="22" t="s">
        <v>20</v>
      </c>
      <c r="G35" s="22">
        <v>20324646</v>
      </c>
      <c r="H35" s="22" t="s">
        <v>350</v>
      </c>
      <c r="I35" s="22">
        <v>1</v>
      </c>
      <c r="J35" s="28" t="s">
        <v>295</v>
      </c>
      <c r="K35" s="24">
        <v>1</v>
      </c>
      <c r="L35" s="25">
        <v>20</v>
      </c>
      <c r="M35" s="26">
        <v>20</v>
      </c>
      <c r="N35" s="26">
        <v>20</v>
      </c>
    </row>
    <row r="36" spans="4:14">
      <c r="D36" s="68">
        <v>46084</v>
      </c>
      <c r="E36" s="69">
        <v>1581626</v>
      </c>
      <c r="F36" s="69" t="s">
        <v>30</v>
      </c>
      <c r="G36" s="70">
        <v>20324638</v>
      </c>
      <c r="H36" s="69" t="s">
        <v>306</v>
      </c>
      <c r="I36" s="70">
        <v>1</v>
      </c>
      <c r="J36" s="71" t="s">
        <v>307</v>
      </c>
      <c r="K36" s="24" t="s">
        <v>308</v>
      </c>
      <c r="L36" s="25">
        <v>22.4</v>
      </c>
      <c r="M36" s="25">
        <f>L36+L37</f>
        <v>30.4</v>
      </c>
      <c r="N36" s="25">
        <f>M36+M37</f>
        <v>30.4</v>
      </c>
    </row>
    <row r="37" spans="4:14">
      <c r="D37" s="72"/>
      <c r="E37" s="73"/>
      <c r="F37" s="73"/>
      <c r="G37" s="74"/>
      <c r="H37" s="73"/>
      <c r="I37" s="74"/>
      <c r="J37" s="75" t="s">
        <v>309</v>
      </c>
      <c r="K37" s="24" t="s">
        <v>308</v>
      </c>
      <c r="L37" s="25">
        <v>8</v>
      </c>
      <c r="M37" s="25"/>
      <c r="N37" s="25"/>
    </row>
    <row r="38" spans="4:14">
      <c r="D38" s="21">
        <v>46084</v>
      </c>
      <c r="E38" s="22">
        <v>1581867</v>
      </c>
      <c r="F38" s="22" t="s">
        <v>16</v>
      </c>
      <c r="G38" s="22">
        <v>20324049</v>
      </c>
      <c r="H38" s="22" t="s">
        <v>351</v>
      </c>
      <c r="I38" s="22">
        <v>1</v>
      </c>
      <c r="J38" s="28" t="s">
        <v>18</v>
      </c>
      <c r="K38" s="24">
        <f t="shared" ref="K38:K41" si="2">M38/L38</f>
        <v>25</v>
      </c>
      <c r="L38" s="25">
        <v>4.4</v>
      </c>
      <c r="M38" s="26">
        <v>110</v>
      </c>
      <c r="N38" s="26">
        <v>110</v>
      </c>
    </row>
    <row r="39" spans="4:14">
      <c r="D39" s="21">
        <v>46084</v>
      </c>
      <c r="E39" s="22">
        <v>1581867</v>
      </c>
      <c r="F39" s="22" t="s">
        <v>16</v>
      </c>
      <c r="G39" s="22">
        <v>20324045</v>
      </c>
      <c r="H39" s="22" t="s">
        <v>281</v>
      </c>
      <c r="I39" s="22">
        <v>3</v>
      </c>
      <c r="J39" s="28" t="s">
        <v>18</v>
      </c>
      <c r="K39" s="24">
        <f t="shared" si="2"/>
        <v>19</v>
      </c>
      <c r="L39" s="25">
        <v>4.4</v>
      </c>
      <c r="M39" s="26">
        <v>83.6</v>
      </c>
      <c r="N39" s="26">
        <v>250.8</v>
      </c>
    </row>
    <row r="40" spans="4:14">
      <c r="D40" s="21">
        <v>46084</v>
      </c>
      <c r="E40" s="22">
        <v>1581867</v>
      </c>
      <c r="F40" s="22" t="s">
        <v>20</v>
      </c>
      <c r="G40" s="22">
        <v>20329152</v>
      </c>
      <c r="H40" s="22" t="s">
        <v>352</v>
      </c>
      <c r="I40" s="22">
        <v>1</v>
      </c>
      <c r="J40" s="28" t="s">
        <v>18</v>
      </c>
      <c r="K40" s="24">
        <f t="shared" si="2"/>
        <v>11</v>
      </c>
      <c r="L40" s="25">
        <v>4.4</v>
      </c>
      <c r="M40" s="26">
        <v>48.4</v>
      </c>
      <c r="N40" s="26">
        <v>48.4</v>
      </c>
    </row>
    <row r="41" spans="4:14">
      <c r="D41" s="21">
        <v>46084</v>
      </c>
      <c r="E41" s="22">
        <v>1581867</v>
      </c>
      <c r="F41" s="22" t="s">
        <v>20</v>
      </c>
      <c r="G41" s="22">
        <v>20324699</v>
      </c>
      <c r="H41" s="22" t="s">
        <v>283</v>
      </c>
      <c r="I41" s="22">
        <v>4</v>
      </c>
      <c r="J41" s="28" t="s">
        <v>18</v>
      </c>
      <c r="K41" s="24">
        <f t="shared" si="2"/>
        <v>5</v>
      </c>
      <c r="L41" s="25">
        <v>4.4</v>
      </c>
      <c r="M41" s="26">
        <v>22</v>
      </c>
      <c r="N41" s="26">
        <v>88</v>
      </c>
    </row>
    <row r="42" spans="4:14">
      <c r="D42" s="21">
        <v>46084</v>
      </c>
      <c r="E42" s="22">
        <v>1581867</v>
      </c>
      <c r="F42" s="22" t="s">
        <v>55</v>
      </c>
      <c r="G42" s="22">
        <v>20354932</v>
      </c>
      <c r="H42" s="22" t="s">
        <v>236</v>
      </c>
      <c r="I42" s="22">
        <v>10</v>
      </c>
      <c r="J42" s="30" t="s">
        <v>57</v>
      </c>
      <c r="K42" s="24">
        <v>1</v>
      </c>
      <c r="L42" s="25">
        <v>3.2</v>
      </c>
      <c r="M42" s="26">
        <v>3.2</v>
      </c>
      <c r="N42" s="26">
        <v>32</v>
      </c>
    </row>
    <row r="43" spans="4:14">
      <c r="D43" s="21">
        <v>46084</v>
      </c>
      <c r="E43" s="22">
        <v>1581900</v>
      </c>
      <c r="F43" s="22" t="s">
        <v>16</v>
      </c>
      <c r="G43" s="22">
        <v>20324463</v>
      </c>
      <c r="H43" s="22" t="s">
        <v>289</v>
      </c>
      <c r="I43" s="22">
        <v>1</v>
      </c>
      <c r="J43" s="28" t="s">
        <v>18</v>
      </c>
      <c r="K43" s="24">
        <f>M43/L43</f>
        <v>35</v>
      </c>
      <c r="L43" s="25">
        <v>4.4</v>
      </c>
      <c r="M43" s="26">
        <v>154</v>
      </c>
      <c r="N43" s="26">
        <v>154</v>
      </c>
    </row>
    <row r="44" spans="4:14">
      <c r="D44" s="21">
        <v>46084</v>
      </c>
      <c r="E44" s="22">
        <v>1581900</v>
      </c>
      <c r="F44" s="22" t="s">
        <v>20</v>
      </c>
      <c r="G44" s="22">
        <v>20324699</v>
      </c>
      <c r="H44" s="22" t="s">
        <v>283</v>
      </c>
      <c r="I44" s="22">
        <v>1</v>
      </c>
      <c r="J44" s="28" t="s">
        <v>18</v>
      </c>
      <c r="K44" s="24">
        <f>M44/L44</f>
        <v>5</v>
      </c>
      <c r="L44" s="25">
        <v>4.4</v>
      </c>
      <c r="M44" s="26">
        <v>22</v>
      </c>
      <c r="N44" s="26">
        <v>22</v>
      </c>
    </row>
    <row r="45" spans="4:14">
      <c r="D45" s="21">
        <v>46084</v>
      </c>
      <c r="E45" s="22">
        <v>1581908</v>
      </c>
      <c r="F45" s="22" t="s">
        <v>20</v>
      </c>
      <c r="G45" s="22">
        <v>20328267</v>
      </c>
      <c r="H45" s="22" t="s">
        <v>353</v>
      </c>
      <c r="I45" s="22">
        <v>1</v>
      </c>
      <c r="J45" s="30" t="s">
        <v>210</v>
      </c>
      <c r="K45" s="24">
        <v>1</v>
      </c>
      <c r="L45" s="25">
        <v>22.4</v>
      </c>
      <c r="M45" s="26">
        <v>22.4</v>
      </c>
      <c r="N45" s="26">
        <v>22.4</v>
      </c>
    </row>
    <row r="46" spans="4:14">
      <c r="D46" s="21">
        <v>46084</v>
      </c>
      <c r="E46" s="22">
        <v>1581908</v>
      </c>
      <c r="F46" s="22" t="s">
        <v>20</v>
      </c>
      <c r="G46" s="22">
        <v>20357239</v>
      </c>
      <c r="H46" s="22" t="s">
        <v>354</v>
      </c>
      <c r="I46" s="22">
        <v>1</v>
      </c>
      <c r="J46" s="30" t="s">
        <v>205</v>
      </c>
      <c r="K46" s="24">
        <v>1</v>
      </c>
      <c r="L46" s="25">
        <v>28</v>
      </c>
      <c r="M46" s="26">
        <v>28</v>
      </c>
      <c r="N46" s="26">
        <v>28</v>
      </c>
    </row>
    <row r="47" spans="4:14">
      <c r="D47" s="21">
        <v>46084</v>
      </c>
      <c r="E47" s="22">
        <v>1581908</v>
      </c>
      <c r="F47" s="22" t="s">
        <v>20</v>
      </c>
      <c r="G47" s="22">
        <v>20380611</v>
      </c>
      <c r="H47" s="22" t="s">
        <v>355</v>
      </c>
      <c r="I47" s="22">
        <v>1</v>
      </c>
      <c r="J47" s="28" t="s">
        <v>28</v>
      </c>
      <c r="K47" s="24">
        <v>1</v>
      </c>
      <c r="L47" s="25">
        <v>17.6</v>
      </c>
      <c r="M47" s="26">
        <v>17.6</v>
      </c>
      <c r="N47" s="26">
        <v>17.6</v>
      </c>
    </row>
    <row r="48" spans="4:14">
      <c r="D48" s="21">
        <v>46084</v>
      </c>
      <c r="E48" s="22">
        <v>1581908</v>
      </c>
      <c r="F48" s="22" t="s">
        <v>20</v>
      </c>
      <c r="G48" s="22">
        <v>20324891</v>
      </c>
      <c r="H48" s="22" t="s">
        <v>356</v>
      </c>
      <c r="I48" s="22">
        <v>1</v>
      </c>
      <c r="J48" s="30" t="s">
        <v>205</v>
      </c>
      <c r="K48" s="24">
        <v>1</v>
      </c>
      <c r="L48" s="25">
        <v>28</v>
      </c>
      <c r="M48" s="26">
        <v>28</v>
      </c>
      <c r="N48" s="26">
        <v>28</v>
      </c>
    </row>
    <row r="49" spans="4:14">
      <c r="D49" s="21">
        <v>46084</v>
      </c>
      <c r="E49" s="22">
        <v>1581908</v>
      </c>
      <c r="F49" s="22" t="s">
        <v>20</v>
      </c>
      <c r="G49" s="22">
        <v>20345154</v>
      </c>
      <c r="H49" s="22" t="s">
        <v>357</v>
      </c>
      <c r="I49" s="22">
        <v>2</v>
      </c>
      <c r="J49" s="30" t="s">
        <v>210</v>
      </c>
      <c r="K49" s="24">
        <v>1</v>
      </c>
      <c r="L49" s="25">
        <v>22.4</v>
      </c>
      <c r="M49" s="26">
        <v>22.4</v>
      </c>
      <c r="N49" s="26">
        <v>44.8</v>
      </c>
    </row>
    <row r="50" spans="4:14">
      <c r="D50" s="21">
        <v>46084</v>
      </c>
      <c r="E50" s="22">
        <v>1581908</v>
      </c>
      <c r="F50" s="22" t="s">
        <v>20</v>
      </c>
      <c r="G50" s="22">
        <v>20382055</v>
      </c>
      <c r="H50" s="22" t="s">
        <v>330</v>
      </c>
      <c r="I50" s="22">
        <v>1</v>
      </c>
      <c r="J50" s="28" t="s">
        <v>28</v>
      </c>
      <c r="K50" s="24">
        <v>1</v>
      </c>
      <c r="L50" s="25">
        <v>17.6</v>
      </c>
      <c r="M50" s="26">
        <v>17.6</v>
      </c>
      <c r="N50" s="26">
        <v>17.6</v>
      </c>
    </row>
    <row r="51" spans="4:14">
      <c r="D51" s="21">
        <v>46084</v>
      </c>
      <c r="E51" s="22">
        <v>1581908</v>
      </c>
      <c r="F51" s="22" t="s">
        <v>20</v>
      </c>
      <c r="G51" s="22">
        <v>20328266</v>
      </c>
      <c r="H51" s="22" t="s">
        <v>358</v>
      </c>
      <c r="I51" s="22">
        <v>1</v>
      </c>
      <c r="J51" s="30" t="s">
        <v>205</v>
      </c>
      <c r="K51" s="24">
        <v>1</v>
      </c>
      <c r="L51" s="25">
        <v>28</v>
      </c>
      <c r="M51" s="26">
        <v>28</v>
      </c>
      <c r="N51" s="26">
        <v>28</v>
      </c>
    </row>
    <row r="52" spans="4:14">
      <c r="D52" s="21">
        <v>46084</v>
      </c>
      <c r="E52" s="22">
        <v>1581908</v>
      </c>
      <c r="F52" s="22" t="s">
        <v>20</v>
      </c>
      <c r="G52" s="22">
        <v>20327630</v>
      </c>
      <c r="H52" s="22" t="s">
        <v>359</v>
      </c>
      <c r="I52" s="22">
        <v>1</v>
      </c>
      <c r="J52" s="30" t="s">
        <v>210</v>
      </c>
      <c r="K52" s="24">
        <v>1</v>
      </c>
      <c r="L52" s="25">
        <v>22.4</v>
      </c>
      <c r="M52" s="26">
        <v>22.4</v>
      </c>
      <c r="N52" s="26">
        <v>22.4</v>
      </c>
    </row>
    <row r="53" spans="4:14">
      <c r="D53" s="21">
        <v>46084</v>
      </c>
      <c r="E53" s="22">
        <v>1581908</v>
      </c>
      <c r="F53" s="22" t="s">
        <v>20</v>
      </c>
      <c r="G53" s="22">
        <v>20338704</v>
      </c>
      <c r="H53" s="22" t="s">
        <v>360</v>
      </c>
      <c r="I53" s="22">
        <v>1</v>
      </c>
      <c r="J53" s="30" t="s">
        <v>210</v>
      </c>
      <c r="K53" s="24">
        <v>1</v>
      </c>
      <c r="L53" s="25">
        <v>22.4</v>
      </c>
      <c r="M53" s="26">
        <v>22.4</v>
      </c>
      <c r="N53" s="26">
        <v>22.4</v>
      </c>
    </row>
    <row r="54" spans="4:14">
      <c r="D54" s="21">
        <v>46084</v>
      </c>
      <c r="E54" s="22">
        <v>1581908</v>
      </c>
      <c r="F54" s="22" t="s">
        <v>20</v>
      </c>
      <c r="G54" s="22">
        <v>20338703</v>
      </c>
      <c r="H54" s="22" t="s">
        <v>361</v>
      </c>
      <c r="I54" s="22">
        <v>1</v>
      </c>
      <c r="J54" s="30" t="s">
        <v>210</v>
      </c>
      <c r="K54" s="24">
        <v>1</v>
      </c>
      <c r="L54" s="25">
        <v>22.4</v>
      </c>
      <c r="M54" s="26">
        <v>22.4</v>
      </c>
      <c r="N54" s="26">
        <v>22.4</v>
      </c>
    </row>
    <row r="55" spans="4:14">
      <c r="D55" s="21">
        <v>46085</v>
      </c>
      <c r="E55" s="22">
        <v>1582177</v>
      </c>
      <c r="F55" s="22" t="s">
        <v>16</v>
      </c>
      <c r="G55" s="22">
        <v>20324463</v>
      </c>
      <c r="H55" s="22" t="s">
        <v>289</v>
      </c>
      <c r="I55" s="22">
        <v>1</v>
      </c>
      <c r="J55" s="28" t="s">
        <v>18</v>
      </c>
      <c r="K55" s="24">
        <f t="shared" ref="K55:K59" si="3">M55/L55</f>
        <v>35</v>
      </c>
      <c r="L55" s="25">
        <v>4.4</v>
      </c>
      <c r="M55" s="26">
        <v>154</v>
      </c>
      <c r="N55" s="26">
        <v>154</v>
      </c>
    </row>
    <row r="56" spans="4:14">
      <c r="D56" s="21">
        <v>46085</v>
      </c>
      <c r="E56" s="22">
        <v>1582177</v>
      </c>
      <c r="F56" s="22" t="s">
        <v>16</v>
      </c>
      <c r="G56" s="22">
        <v>20324039</v>
      </c>
      <c r="H56" s="22" t="s">
        <v>338</v>
      </c>
      <c r="I56" s="22">
        <v>1</v>
      </c>
      <c r="J56" s="28" t="s">
        <v>18</v>
      </c>
      <c r="K56" s="24">
        <f t="shared" si="3"/>
        <v>37</v>
      </c>
      <c r="L56" s="25">
        <v>4.4</v>
      </c>
      <c r="M56" s="26">
        <v>162.8</v>
      </c>
      <c r="N56" s="26">
        <v>162.8</v>
      </c>
    </row>
    <row r="57" spans="4:14">
      <c r="D57" s="21">
        <v>46085</v>
      </c>
      <c r="E57" s="22">
        <v>1582177</v>
      </c>
      <c r="F57" s="22" t="s">
        <v>16</v>
      </c>
      <c r="G57" s="22">
        <v>20324046</v>
      </c>
      <c r="H57" s="22" t="s">
        <v>259</v>
      </c>
      <c r="I57" s="22">
        <v>3</v>
      </c>
      <c r="J57" s="28" t="s">
        <v>18</v>
      </c>
      <c r="K57" s="24">
        <f t="shared" si="3"/>
        <v>49</v>
      </c>
      <c r="L57" s="25">
        <v>4.4</v>
      </c>
      <c r="M57" s="26">
        <v>215.6</v>
      </c>
      <c r="N57" s="26">
        <v>646.8</v>
      </c>
    </row>
    <row r="58" spans="4:14">
      <c r="D58" s="21">
        <v>46085</v>
      </c>
      <c r="E58" s="22">
        <v>1582177</v>
      </c>
      <c r="F58" s="22" t="s">
        <v>16</v>
      </c>
      <c r="G58" s="22">
        <v>20324045</v>
      </c>
      <c r="H58" s="22" t="s">
        <v>281</v>
      </c>
      <c r="I58" s="22">
        <v>2</v>
      </c>
      <c r="J58" s="28" t="s">
        <v>18</v>
      </c>
      <c r="K58" s="24">
        <f t="shared" si="3"/>
        <v>19</v>
      </c>
      <c r="L58" s="25">
        <v>4.4</v>
      </c>
      <c r="M58" s="26">
        <v>83.6</v>
      </c>
      <c r="N58" s="26">
        <v>167.2</v>
      </c>
    </row>
    <row r="59" spans="4:14">
      <c r="D59" s="21">
        <v>46085</v>
      </c>
      <c r="E59" s="22">
        <v>1582177</v>
      </c>
      <c r="F59" s="22" t="s">
        <v>20</v>
      </c>
      <c r="G59" s="22">
        <v>20324699</v>
      </c>
      <c r="H59" s="22" t="s">
        <v>283</v>
      </c>
      <c r="I59" s="22">
        <v>7</v>
      </c>
      <c r="J59" s="28" t="s">
        <v>18</v>
      </c>
      <c r="K59" s="24">
        <f t="shared" si="3"/>
        <v>5</v>
      </c>
      <c r="L59" s="25">
        <v>4.4</v>
      </c>
      <c r="M59" s="26">
        <v>22</v>
      </c>
      <c r="N59" s="26">
        <v>154</v>
      </c>
    </row>
    <row r="60" spans="4:14">
      <c r="D60" s="21">
        <v>46086</v>
      </c>
      <c r="E60" s="22">
        <v>1582245</v>
      </c>
      <c r="F60" s="22" t="s">
        <v>20</v>
      </c>
      <c r="G60" s="22">
        <v>20324643</v>
      </c>
      <c r="H60" s="22" t="s">
        <v>343</v>
      </c>
      <c r="I60" s="22">
        <v>1</v>
      </c>
      <c r="J60" s="30" t="s">
        <v>210</v>
      </c>
      <c r="K60" s="24">
        <v>1</v>
      </c>
      <c r="L60" s="25">
        <v>22.4</v>
      </c>
      <c r="M60" s="26">
        <v>22.4</v>
      </c>
      <c r="N60" s="26">
        <v>22.4</v>
      </c>
    </row>
    <row r="61" spans="4:14">
      <c r="D61" s="21">
        <v>46086</v>
      </c>
      <c r="E61" s="22">
        <v>1582245</v>
      </c>
      <c r="F61" s="22" t="s">
        <v>20</v>
      </c>
      <c r="G61" s="22">
        <v>20324637</v>
      </c>
      <c r="H61" s="22" t="s">
        <v>291</v>
      </c>
      <c r="I61" s="22">
        <v>2</v>
      </c>
      <c r="J61" s="30" t="s">
        <v>205</v>
      </c>
      <c r="K61" s="24">
        <v>1</v>
      </c>
      <c r="L61" s="25">
        <v>28</v>
      </c>
      <c r="M61" s="26">
        <v>28</v>
      </c>
      <c r="N61" s="26">
        <v>56</v>
      </c>
    </row>
    <row r="62" spans="4:14">
      <c r="D62" s="21">
        <v>46086</v>
      </c>
      <c r="E62" s="22">
        <v>1582245</v>
      </c>
      <c r="F62" s="22" t="s">
        <v>20</v>
      </c>
      <c r="G62" s="22">
        <v>20330449</v>
      </c>
      <c r="H62" s="22" t="s">
        <v>292</v>
      </c>
      <c r="I62" s="22">
        <v>1</v>
      </c>
      <c r="J62" s="30" t="s">
        <v>210</v>
      </c>
      <c r="K62" s="24">
        <v>1</v>
      </c>
      <c r="L62" s="25">
        <v>22.4</v>
      </c>
      <c r="M62" s="26">
        <v>22.4</v>
      </c>
      <c r="N62" s="26">
        <v>22.4</v>
      </c>
    </row>
    <row r="63" spans="4:14">
      <c r="D63" s="21">
        <v>46086</v>
      </c>
      <c r="E63" s="22">
        <v>1582245</v>
      </c>
      <c r="F63" s="22" t="s">
        <v>20</v>
      </c>
      <c r="G63" s="22">
        <v>20324822</v>
      </c>
      <c r="H63" s="22" t="s">
        <v>321</v>
      </c>
      <c r="I63" s="22">
        <v>1</v>
      </c>
      <c r="J63" s="30" t="s">
        <v>205</v>
      </c>
      <c r="K63" s="24">
        <v>1</v>
      </c>
      <c r="L63" s="25">
        <v>28</v>
      </c>
      <c r="M63" s="26">
        <v>28</v>
      </c>
      <c r="N63" s="26">
        <v>28</v>
      </c>
    </row>
    <row r="64" spans="4:14">
      <c r="D64" s="21">
        <v>46086</v>
      </c>
      <c r="E64" s="22">
        <v>1582245</v>
      </c>
      <c r="F64" s="22" t="s">
        <v>20</v>
      </c>
      <c r="G64" s="22">
        <v>20324890</v>
      </c>
      <c r="H64" s="22" t="s">
        <v>362</v>
      </c>
      <c r="I64" s="22">
        <v>1</v>
      </c>
      <c r="J64" s="28" t="s">
        <v>28</v>
      </c>
      <c r="K64" s="24">
        <v>1</v>
      </c>
      <c r="L64" s="25">
        <v>17.6</v>
      </c>
      <c r="M64" s="26">
        <v>17.6</v>
      </c>
      <c r="N64" s="26">
        <v>17.6</v>
      </c>
    </row>
    <row r="65" spans="4:14">
      <c r="D65" s="21">
        <v>46086</v>
      </c>
      <c r="E65" s="22">
        <v>1582245</v>
      </c>
      <c r="F65" s="22" t="s">
        <v>20</v>
      </c>
      <c r="G65" s="22">
        <v>20326623</v>
      </c>
      <c r="H65" s="22" t="s">
        <v>363</v>
      </c>
      <c r="I65" s="22">
        <v>2</v>
      </c>
      <c r="J65" s="30" t="s">
        <v>210</v>
      </c>
      <c r="K65" s="24">
        <v>1</v>
      </c>
      <c r="L65" s="25">
        <v>22.4</v>
      </c>
      <c r="M65" s="26">
        <v>22.4</v>
      </c>
      <c r="N65" s="26">
        <v>44.8</v>
      </c>
    </row>
    <row r="66" spans="4:14">
      <c r="D66" s="21">
        <v>46086</v>
      </c>
      <c r="E66" s="22">
        <v>1582245</v>
      </c>
      <c r="F66" s="22" t="s">
        <v>20</v>
      </c>
      <c r="G66" s="22">
        <v>20324645</v>
      </c>
      <c r="H66" s="22" t="s">
        <v>346</v>
      </c>
      <c r="I66" s="22">
        <v>1</v>
      </c>
      <c r="J66" s="30" t="s">
        <v>210</v>
      </c>
      <c r="K66" s="24">
        <v>1</v>
      </c>
      <c r="L66" s="25">
        <v>22.4</v>
      </c>
      <c r="M66" s="26">
        <v>22.4</v>
      </c>
      <c r="N66" s="26">
        <v>22.4</v>
      </c>
    </row>
    <row r="67" spans="4:14">
      <c r="D67" s="21">
        <v>46086</v>
      </c>
      <c r="E67" s="22">
        <v>1582245</v>
      </c>
      <c r="F67" s="22" t="s">
        <v>20</v>
      </c>
      <c r="G67" s="22">
        <v>20324723</v>
      </c>
      <c r="H67" s="22" t="s">
        <v>330</v>
      </c>
      <c r="I67" s="22">
        <v>1</v>
      </c>
      <c r="J67" s="30" t="s">
        <v>210</v>
      </c>
      <c r="K67" s="24">
        <v>1</v>
      </c>
      <c r="L67" s="25">
        <v>22.4</v>
      </c>
      <c r="M67" s="26">
        <v>22.4</v>
      </c>
      <c r="N67" s="26">
        <v>22.4</v>
      </c>
    </row>
    <row r="68" spans="4:14">
      <c r="D68" s="21">
        <v>46086</v>
      </c>
      <c r="E68" s="22">
        <v>1582245</v>
      </c>
      <c r="F68" s="22" t="s">
        <v>20</v>
      </c>
      <c r="G68" s="22">
        <v>20324636</v>
      </c>
      <c r="H68" s="22" t="s">
        <v>347</v>
      </c>
      <c r="I68" s="22">
        <v>1</v>
      </c>
      <c r="J68" s="30" t="s">
        <v>205</v>
      </c>
      <c r="K68" s="24">
        <v>1</v>
      </c>
      <c r="L68" s="25">
        <v>28</v>
      </c>
      <c r="M68" s="26">
        <v>28</v>
      </c>
      <c r="N68" s="26">
        <v>28</v>
      </c>
    </row>
    <row r="69" spans="4:14">
      <c r="D69" s="21">
        <v>46086</v>
      </c>
      <c r="E69" s="22">
        <v>1582245</v>
      </c>
      <c r="F69" s="22" t="s">
        <v>20</v>
      </c>
      <c r="G69" s="22">
        <v>20324732</v>
      </c>
      <c r="H69" s="22" t="s">
        <v>300</v>
      </c>
      <c r="I69" s="22">
        <v>2</v>
      </c>
      <c r="J69" s="30" t="s">
        <v>210</v>
      </c>
      <c r="K69" s="24">
        <v>1</v>
      </c>
      <c r="L69" s="25">
        <v>22.4</v>
      </c>
      <c r="M69" s="26">
        <v>22.4</v>
      </c>
      <c r="N69" s="26">
        <v>44.8</v>
      </c>
    </row>
    <row r="70" spans="4:14">
      <c r="D70" s="21">
        <v>46086</v>
      </c>
      <c r="E70" s="22">
        <v>1582245</v>
      </c>
      <c r="F70" s="22" t="s">
        <v>20</v>
      </c>
      <c r="G70" s="22">
        <v>20324814</v>
      </c>
      <c r="H70" s="22" t="s">
        <v>305</v>
      </c>
      <c r="I70" s="22">
        <v>1</v>
      </c>
      <c r="J70" s="30" t="s">
        <v>210</v>
      </c>
      <c r="K70" s="24">
        <v>1</v>
      </c>
      <c r="L70" s="25">
        <v>22.4</v>
      </c>
      <c r="M70" s="26">
        <v>22.4</v>
      </c>
      <c r="N70" s="26">
        <v>22.4</v>
      </c>
    </row>
    <row r="71" spans="4:14">
      <c r="D71" s="21">
        <v>46086</v>
      </c>
      <c r="E71" s="22">
        <v>1582550</v>
      </c>
      <c r="F71" s="22" t="s">
        <v>16</v>
      </c>
      <c r="G71" s="22">
        <v>20324045</v>
      </c>
      <c r="H71" s="22" t="s">
        <v>281</v>
      </c>
      <c r="I71" s="22">
        <v>2</v>
      </c>
      <c r="J71" s="28" t="s">
        <v>18</v>
      </c>
      <c r="K71" s="24">
        <f>M71/L71</f>
        <v>19</v>
      </c>
      <c r="L71" s="25">
        <v>4.4</v>
      </c>
      <c r="M71" s="26">
        <v>83.6</v>
      </c>
      <c r="N71" s="26">
        <v>167.2</v>
      </c>
    </row>
    <row r="72" spans="4:14">
      <c r="D72" s="21">
        <v>46086</v>
      </c>
      <c r="E72" s="22">
        <v>1582550</v>
      </c>
      <c r="F72" s="22" t="s">
        <v>20</v>
      </c>
      <c r="G72" s="22">
        <v>20326197</v>
      </c>
      <c r="H72" s="22" t="s">
        <v>364</v>
      </c>
      <c r="I72" s="22">
        <v>1</v>
      </c>
      <c r="J72" s="27" t="s">
        <v>145</v>
      </c>
      <c r="K72" s="24">
        <f>M72/L72</f>
        <v>3</v>
      </c>
      <c r="L72" s="25">
        <v>4.4</v>
      </c>
      <c r="M72" s="26">
        <v>13.2</v>
      </c>
      <c r="N72" s="26">
        <v>13.2</v>
      </c>
    </row>
    <row r="73" spans="4:14">
      <c r="D73" s="21">
        <v>46086</v>
      </c>
      <c r="E73" s="22">
        <v>1582550</v>
      </c>
      <c r="F73" s="22" t="s">
        <v>20</v>
      </c>
      <c r="G73" s="22">
        <v>20358566</v>
      </c>
      <c r="H73" s="22" t="s">
        <v>365</v>
      </c>
      <c r="I73" s="22">
        <v>1</v>
      </c>
      <c r="J73" s="27" t="s">
        <v>145</v>
      </c>
      <c r="K73" s="24">
        <f>M73/L73</f>
        <v>4</v>
      </c>
      <c r="L73" s="25">
        <v>4.4</v>
      </c>
      <c r="M73" s="26">
        <v>17.6</v>
      </c>
      <c r="N73" s="26">
        <v>17.6</v>
      </c>
    </row>
    <row r="74" spans="4:14">
      <c r="D74" s="21">
        <v>46086</v>
      </c>
      <c r="E74" s="22">
        <v>1582550</v>
      </c>
      <c r="F74" s="22" t="s">
        <v>20</v>
      </c>
      <c r="G74" s="22">
        <v>20324800</v>
      </c>
      <c r="H74" s="22" t="s">
        <v>315</v>
      </c>
      <c r="I74" s="22">
        <v>1</v>
      </c>
      <c r="J74" s="23" t="s">
        <v>22</v>
      </c>
      <c r="K74" s="24">
        <v>1</v>
      </c>
      <c r="L74" s="25">
        <v>6.4</v>
      </c>
      <c r="M74" s="26">
        <v>6.4</v>
      </c>
      <c r="N74" s="26">
        <v>6.4</v>
      </c>
    </row>
    <row r="75" spans="4:14">
      <c r="D75" s="21">
        <v>46086</v>
      </c>
      <c r="E75" s="22">
        <v>1582550</v>
      </c>
      <c r="F75" s="22" t="s">
        <v>20</v>
      </c>
      <c r="G75" s="22">
        <v>20324712</v>
      </c>
      <c r="H75" s="22" t="s">
        <v>366</v>
      </c>
      <c r="I75" s="22">
        <v>1</v>
      </c>
      <c r="J75" s="27" t="s">
        <v>25</v>
      </c>
      <c r="K75" s="24">
        <v>1</v>
      </c>
      <c r="L75" s="25">
        <v>8.8</v>
      </c>
      <c r="M75" s="25">
        <v>13.2</v>
      </c>
      <c r="N75" s="25">
        <v>13.2</v>
      </c>
    </row>
    <row r="76" spans="4:14">
      <c r="D76" s="21"/>
      <c r="E76" s="22"/>
      <c r="F76" s="22"/>
      <c r="G76" s="22"/>
      <c r="H76" s="22"/>
      <c r="I76" s="22"/>
      <c r="J76" s="27" t="s">
        <v>145</v>
      </c>
      <c r="K76" s="24">
        <v>1</v>
      </c>
      <c r="L76" s="25">
        <v>4.4</v>
      </c>
      <c r="M76" s="25"/>
      <c r="N76" s="25"/>
    </row>
    <row r="77" spans="4:14">
      <c r="D77" s="21">
        <v>46086</v>
      </c>
      <c r="E77" s="22">
        <v>1582550</v>
      </c>
      <c r="F77" s="22" t="s">
        <v>20</v>
      </c>
      <c r="G77" s="22">
        <v>20358758</v>
      </c>
      <c r="H77" s="22" t="s">
        <v>367</v>
      </c>
      <c r="I77" s="22">
        <v>1</v>
      </c>
      <c r="J77" s="23" t="s">
        <v>22</v>
      </c>
      <c r="K77" s="24">
        <v>1</v>
      </c>
      <c r="L77" s="25">
        <v>6.4</v>
      </c>
      <c r="M77" s="26">
        <v>6.4</v>
      </c>
      <c r="N77" s="26">
        <v>6.4</v>
      </c>
    </row>
    <row r="78" spans="4:14">
      <c r="D78" s="21">
        <v>46086</v>
      </c>
      <c r="E78" s="22">
        <v>1582550</v>
      </c>
      <c r="F78" s="22" t="s">
        <v>16</v>
      </c>
      <c r="G78" s="22">
        <v>20325204</v>
      </c>
      <c r="H78" s="22" t="s">
        <v>368</v>
      </c>
      <c r="I78" s="22">
        <v>1</v>
      </c>
      <c r="J78" s="28" t="s">
        <v>18</v>
      </c>
      <c r="K78" s="24">
        <f>M78/L78</f>
        <v>13</v>
      </c>
      <c r="L78" s="25">
        <v>4.4</v>
      </c>
      <c r="M78" s="26">
        <v>57.2</v>
      </c>
      <c r="N78" s="26">
        <v>57.2</v>
      </c>
    </row>
    <row r="79" spans="4:14">
      <c r="D79" s="21">
        <v>46086</v>
      </c>
      <c r="E79" s="22">
        <v>1582550</v>
      </c>
      <c r="F79" s="22" t="s">
        <v>20</v>
      </c>
      <c r="G79" s="22">
        <v>20325131</v>
      </c>
      <c r="H79" s="22" t="s">
        <v>369</v>
      </c>
      <c r="I79" s="22">
        <v>1</v>
      </c>
      <c r="J79" s="28" t="s">
        <v>18</v>
      </c>
      <c r="K79" s="24">
        <f>M79/L79</f>
        <v>8</v>
      </c>
      <c r="L79" s="25">
        <v>4.4</v>
      </c>
      <c r="M79" s="26">
        <v>35.2</v>
      </c>
      <c r="N79" s="26">
        <v>35.2</v>
      </c>
    </row>
    <row r="80" spans="4:14">
      <c r="D80" s="21">
        <v>46086</v>
      </c>
      <c r="E80" s="22">
        <v>1582550</v>
      </c>
      <c r="F80" s="22" t="s">
        <v>20</v>
      </c>
      <c r="G80" s="22">
        <v>20324699</v>
      </c>
      <c r="H80" s="22" t="s">
        <v>283</v>
      </c>
      <c r="I80" s="22">
        <v>1</v>
      </c>
      <c r="J80" s="28" t="s">
        <v>18</v>
      </c>
      <c r="K80" s="24">
        <f>M80/L80</f>
        <v>5</v>
      </c>
      <c r="L80" s="25">
        <v>4.4</v>
      </c>
      <c r="M80" s="26">
        <v>22</v>
      </c>
      <c r="N80" s="26">
        <v>22</v>
      </c>
    </row>
    <row r="81" spans="4:14">
      <c r="D81" s="21">
        <v>46087</v>
      </c>
      <c r="E81" s="22">
        <v>1582576</v>
      </c>
      <c r="F81" s="22" t="s">
        <v>20</v>
      </c>
      <c r="G81" s="22">
        <v>20324699</v>
      </c>
      <c r="H81" s="22" t="s">
        <v>283</v>
      </c>
      <c r="I81" s="22">
        <v>1</v>
      </c>
      <c r="J81" s="28" t="s">
        <v>18</v>
      </c>
      <c r="K81" s="24">
        <f>M81/L81</f>
        <v>5</v>
      </c>
      <c r="L81" s="25">
        <v>4.4</v>
      </c>
      <c r="M81" s="26">
        <v>22</v>
      </c>
      <c r="N81" s="26">
        <v>22</v>
      </c>
    </row>
    <row r="82" spans="4:14">
      <c r="D82" s="21">
        <v>46087</v>
      </c>
      <c r="E82" s="22">
        <v>1582605</v>
      </c>
      <c r="F82" s="22" t="s">
        <v>20</v>
      </c>
      <c r="G82" s="22">
        <v>20342188</v>
      </c>
      <c r="H82" s="22" t="s">
        <v>370</v>
      </c>
      <c r="I82" s="22">
        <v>1</v>
      </c>
      <c r="J82" s="30" t="s">
        <v>210</v>
      </c>
      <c r="K82" s="24">
        <v>1</v>
      </c>
      <c r="L82" s="25">
        <v>22.4</v>
      </c>
      <c r="M82" s="26">
        <v>22.4</v>
      </c>
      <c r="N82" s="26">
        <v>22.4</v>
      </c>
    </row>
    <row r="83" spans="4:14">
      <c r="D83" s="21">
        <v>46087</v>
      </c>
      <c r="E83" s="22">
        <v>1582605</v>
      </c>
      <c r="F83" s="22" t="s">
        <v>20</v>
      </c>
      <c r="G83" s="22">
        <v>20387686</v>
      </c>
      <c r="H83" s="22" t="s">
        <v>371</v>
      </c>
      <c r="I83" s="22">
        <v>1</v>
      </c>
      <c r="J83" s="28" t="s">
        <v>28</v>
      </c>
      <c r="K83" s="24">
        <v>1</v>
      </c>
      <c r="L83" s="25">
        <v>17.6</v>
      </c>
      <c r="M83" s="26">
        <v>17.6</v>
      </c>
      <c r="N83" s="26">
        <v>17.6</v>
      </c>
    </row>
    <row r="84" spans="4:14">
      <c r="D84" s="21">
        <v>46087</v>
      </c>
      <c r="E84" s="22">
        <v>1582605</v>
      </c>
      <c r="F84" s="22" t="s">
        <v>20</v>
      </c>
      <c r="G84" s="22">
        <v>20324635</v>
      </c>
      <c r="H84" s="22" t="s">
        <v>372</v>
      </c>
      <c r="I84" s="22">
        <v>2</v>
      </c>
      <c r="J84" s="30" t="s">
        <v>205</v>
      </c>
      <c r="K84" s="24">
        <v>1</v>
      </c>
      <c r="L84" s="25">
        <v>28</v>
      </c>
      <c r="M84" s="26">
        <v>28</v>
      </c>
      <c r="N84" s="26">
        <v>56</v>
      </c>
    </row>
    <row r="85" spans="4:14">
      <c r="D85" s="21">
        <v>46087</v>
      </c>
      <c r="E85" s="22">
        <v>1582605</v>
      </c>
      <c r="F85" s="22" t="s">
        <v>20</v>
      </c>
      <c r="G85" s="22">
        <v>20325857</v>
      </c>
      <c r="H85" s="22" t="s">
        <v>373</v>
      </c>
      <c r="I85" s="22">
        <v>2</v>
      </c>
      <c r="J85" s="30" t="s">
        <v>210</v>
      </c>
      <c r="K85" s="24">
        <v>1</v>
      </c>
      <c r="L85" s="25">
        <v>22.4</v>
      </c>
      <c r="M85" s="26">
        <v>22.4</v>
      </c>
      <c r="N85" s="26">
        <v>44.8</v>
      </c>
    </row>
    <row r="86" spans="4:14">
      <c r="D86" s="21">
        <v>46087</v>
      </c>
      <c r="E86" s="22">
        <v>1582605</v>
      </c>
      <c r="F86" s="22" t="s">
        <v>20</v>
      </c>
      <c r="G86" s="22">
        <v>20328019</v>
      </c>
      <c r="H86" s="22" t="s">
        <v>374</v>
      </c>
      <c r="I86" s="22">
        <v>1</v>
      </c>
      <c r="J86" s="30" t="s">
        <v>210</v>
      </c>
      <c r="K86" s="24">
        <v>1</v>
      </c>
      <c r="L86" s="25">
        <v>22.4</v>
      </c>
      <c r="M86" s="26">
        <v>22.4</v>
      </c>
      <c r="N86" s="26">
        <v>22.4</v>
      </c>
    </row>
    <row r="87" spans="4:14">
      <c r="D87" s="21">
        <v>46087</v>
      </c>
      <c r="E87" s="22">
        <v>1582605</v>
      </c>
      <c r="F87" s="22" t="s">
        <v>20</v>
      </c>
      <c r="G87" s="22">
        <v>20328119</v>
      </c>
      <c r="H87" s="22" t="s">
        <v>375</v>
      </c>
      <c r="I87" s="22">
        <v>2</v>
      </c>
      <c r="J87" s="28" t="s">
        <v>28</v>
      </c>
      <c r="K87" s="24">
        <v>1</v>
      </c>
      <c r="L87" s="25">
        <v>17.6</v>
      </c>
      <c r="M87" s="26">
        <v>35.2</v>
      </c>
      <c r="N87" s="26">
        <v>70.4</v>
      </c>
    </row>
    <row r="88" spans="4:14">
      <c r="D88" s="21"/>
      <c r="E88" s="22"/>
      <c r="F88" s="22"/>
      <c r="G88" s="22"/>
      <c r="H88" s="22"/>
      <c r="I88" s="22"/>
      <c r="J88" s="28" t="s">
        <v>28</v>
      </c>
      <c r="K88" s="24">
        <v>1</v>
      </c>
      <c r="L88" s="25">
        <v>17.6</v>
      </c>
      <c r="M88" s="26"/>
      <c r="N88" s="26"/>
    </row>
    <row r="89" spans="4:14">
      <c r="D89" s="21">
        <v>46087</v>
      </c>
      <c r="E89" s="22">
        <v>1582605</v>
      </c>
      <c r="F89" s="22" t="s">
        <v>20</v>
      </c>
      <c r="G89" s="22">
        <v>20326624</v>
      </c>
      <c r="H89" s="22" t="s">
        <v>376</v>
      </c>
      <c r="I89" s="22">
        <v>1</v>
      </c>
      <c r="J89" s="30" t="s">
        <v>205</v>
      </c>
      <c r="K89" s="24">
        <v>1</v>
      </c>
      <c r="L89" s="25">
        <v>28</v>
      </c>
      <c r="M89" s="26">
        <v>28</v>
      </c>
      <c r="N89" s="26">
        <v>28</v>
      </c>
    </row>
    <row r="90" spans="4:14">
      <c r="D90" s="21">
        <v>46087</v>
      </c>
      <c r="E90" s="22">
        <v>1582723</v>
      </c>
      <c r="F90" s="22" t="s">
        <v>20</v>
      </c>
      <c r="G90" s="22">
        <v>20328267</v>
      </c>
      <c r="H90" s="22" t="s">
        <v>353</v>
      </c>
      <c r="I90" s="22">
        <v>1</v>
      </c>
      <c r="J90" s="30" t="s">
        <v>210</v>
      </c>
      <c r="K90" s="24">
        <v>1</v>
      </c>
      <c r="L90" s="25">
        <v>22.4</v>
      </c>
      <c r="M90" s="26">
        <v>22.4</v>
      </c>
      <c r="N90" s="26">
        <v>22.4</v>
      </c>
    </row>
    <row r="91" spans="4:14">
      <c r="D91" s="21">
        <v>46087</v>
      </c>
      <c r="E91" s="22">
        <v>1582723</v>
      </c>
      <c r="F91" s="22" t="s">
        <v>20</v>
      </c>
      <c r="G91" s="22">
        <v>20357239</v>
      </c>
      <c r="H91" s="22" t="s">
        <v>354</v>
      </c>
      <c r="I91" s="22">
        <v>1</v>
      </c>
      <c r="J91" s="30" t="s">
        <v>205</v>
      </c>
      <c r="K91" s="24">
        <v>1</v>
      </c>
      <c r="L91" s="25">
        <v>28</v>
      </c>
      <c r="M91" s="26">
        <v>28</v>
      </c>
      <c r="N91" s="26">
        <v>28</v>
      </c>
    </row>
    <row r="92" spans="4:14">
      <c r="D92" s="21">
        <v>46087</v>
      </c>
      <c r="E92" s="22">
        <v>1582723</v>
      </c>
      <c r="F92" s="22" t="s">
        <v>20</v>
      </c>
      <c r="G92" s="22">
        <v>20366789</v>
      </c>
      <c r="H92" s="22" t="s">
        <v>345</v>
      </c>
      <c r="I92" s="22">
        <v>1</v>
      </c>
      <c r="J92" s="30" t="s">
        <v>205</v>
      </c>
      <c r="K92" s="24">
        <v>1</v>
      </c>
      <c r="L92" s="25">
        <v>28</v>
      </c>
      <c r="M92" s="26">
        <v>28</v>
      </c>
      <c r="N92" s="26">
        <v>28</v>
      </c>
    </row>
    <row r="93" spans="4:14">
      <c r="D93" s="21">
        <v>46087</v>
      </c>
      <c r="E93" s="22">
        <v>1582723</v>
      </c>
      <c r="F93" s="22" t="s">
        <v>20</v>
      </c>
      <c r="G93" s="22">
        <v>20366790</v>
      </c>
      <c r="H93" s="22" t="s">
        <v>377</v>
      </c>
      <c r="I93" s="22">
        <v>1</v>
      </c>
      <c r="J93" s="28" t="s">
        <v>28</v>
      </c>
      <c r="K93" s="24">
        <v>1</v>
      </c>
      <c r="L93" s="25">
        <v>17.6</v>
      </c>
      <c r="M93" s="26">
        <v>52.8</v>
      </c>
      <c r="N93" s="26">
        <v>52.8</v>
      </c>
    </row>
    <row r="94" spans="4:14">
      <c r="D94" s="21"/>
      <c r="E94" s="22"/>
      <c r="F94" s="22"/>
      <c r="G94" s="22"/>
      <c r="H94" s="22"/>
      <c r="I94" s="22"/>
      <c r="J94" s="28" t="s">
        <v>28</v>
      </c>
      <c r="K94" s="24">
        <v>1</v>
      </c>
      <c r="L94" s="25">
        <v>17.6</v>
      </c>
      <c r="M94" s="26"/>
      <c r="N94" s="26"/>
    </row>
    <row r="95" spans="4:14">
      <c r="D95" s="21"/>
      <c r="E95" s="22"/>
      <c r="F95" s="22"/>
      <c r="G95" s="22"/>
      <c r="H95" s="22"/>
      <c r="I95" s="22"/>
      <c r="J95" s="28" t="s">
        <v>28</v>
      </c>
      <c r="K95" s="24">
        <v>1</v>
      </c>
      <c r="L95" s="25">
        <v>17.6</v>
      </c>
      <c r="M95" s="26"/>
      <c r="N95" s="26"/>
    </row>
    <row r="96" spans="4:14">
      <c r="D96" s="21">
        <v>46087</v>
      </c>
      <c r="E96" s="22">
        <v>1582723</v>
      </c>
      <c r="F96" s="22" t="s">
        <v>20</v>
      </c>
      <c r="G96" s="22">
        <v>20345154</v>
      </c>
      <c r="H96" s="22" t="s">
        <v>357</v>
      </c>
      <c r="I96" s="22">
        <v>1</v>
      </c>
      <c r="J96" s="30" t="s">
        <v>210</v>
      </c>
      <c r="K96" s="24">
        <v>1</v>
      </c>
      <c r="L96" s="25">
        <v>22.4</v>
      </c>
      <c r="M96" s="26">
        <v>22.4</v>
      </c>
      <c r="N96" s="26">
        <v>22.4</v>
      </c>
    </row>
    <row r="97" spans="4:14">
      <c r="D97" s="21">
        <v>46087</v>
      </c>
      <c r="E97" s="22">
        <v>1582723</v>
      </c>
      <c r="F97" s="22" t="s">
        <v>20</v>
      </c>
      <c r="G97" s="22">
        <v>20382055</v>
      </c>
      <c r="H97" s="22" t="s">
        <v>330</v>
      </c>
      <c r="I97" s="22">
        <v>1</v>
      </c>
      <c r="J97" s="28" t="s">
        <v>28</v>
      </c>
      <c r="K97" s="24">
        <v>1</v>
      </c>
      <c r="L97" s="25">
        <v>17.6</v>
      </c>
      <c r="M97" s="26">
        <v>17.6</v>
      </c>
      <c r="N97" s="26">
        <v>17.6</v>
      </c>
    </row>
    <row r="98" spans="4:14">
      <c r="D98" s="21">
        <v>46087</v>
      </c>
      <c r="E98" s="22">
        <v>1582723</v>
      </c>
      <c r="F98" s="22" t="s">
        <v>20</v>
      </c>
      <c r="G98" s="22">
        <v>20375702</v>
      </c>
      <c r="H98" s="22" t="s">
        <v>378</v>
      </c>
      <c r="I98" s="22">
        <v>1</v>
      </c>
      <c r="J98" s="30" t="s">
        <v>210</v>
      </c>
      <c r="K98" s="24">
        <v>1</v>
      </c>
      <c r="L98" s="25">
        <v>22.4</v>
      </c>
      <c r="M98" s="26">
        <v>22.4</v>
      </c>
      <c r="N98" s="26">
        <v>22.4</v>
      </c>
    </row>
    <row r="99" spans="4:14">
      <c r="D99" s="21">
        <v>46087</v>
      </c>
      <c r="E99" s="22">
        <v>1582723</v>
      </c>
      <c r="F99" s="22" t="s">
        <v>20</v>
      </c>
      <c r="G99" s="22">
        <v>20328266</v>
      </c>
      <c r="H99" s="22" t="s">
        <v>358</v>
      </c>
      <c r="I99" s="22">
        <v>1</v>
      </c>
      <c r="J99" s="30" t="s">
        <v>205</v>
      </c>
      <c r="K99" s="24">
        <v>1</v>
      </c>
      <c r="L99" s="25">
        <v>28</v>
      </c>
      <c r="M99" s="26">
        <v>28</v>
      </c>
      <c r="N99" s="26">
        <v>28</v>
      </c>
    </row>
    <row r="100" spans="4:14">
      <c r="D100" s="21">
        <v>46087</v>
      </c>
      <c r="E100" s="22">
        <v>1582723</v>
      </c>
      <c r="F100" s="22" t="s">
        <v>20</v>
      </c>
      <c r="G100" s="22">
        <v>20341396</v>
      </c>
      <c r="H100" s="22" t="s">
        <v>379</v>
      </c>
      <c r="I100" s="22">
        <v>1</v>
      </c>
      <c r="J100" s="28" t="s">
        <v>28</v>
      </c>
      <c r="K100" s="24">
        <v>1</v>
      </c>
      <c r="L100" s="25">
        <v>17.6</v>
      </c>
      <c r="M100" s="26">
        <v>17.6</v>
      </c>
      <c r="N100" s="26">
        <v>17.6</v>
      </c>
    </row>
    <row r="101" spans="4:14">
      <c r="D101" s="21">
        <v>46087</v>
      </c>
      <c r="E101" s="22">
        <v>1582723</v>
      </c>
      <c r="F101" s="22" t="s">
        <v>20</v>
      </c>
      <c r="G101" s="22">
        <v>20364990</v>
      </c>
      <c r="H101" s="22" t="s">
        <v>380</v>
      </c>
      <c r="I101" s="22">
        <v>2</v>
      </c>
      <c r="J101" s="30" t="s">
        <v>210</v>
      </c>
      <c r="K101" s="24">
        <v>1</v>
      </c>
      <c r="L101" s="25">
        <v>22.4</v>
      </c>
      <c r="M101" s="26">
        <v>22.4</v>
      </c>
      <c r="N101" s="26">
        <v>44.8</v>
      </c>
    </row>
    <row r="102" spans="4:14">
      <c r="D102" s="21">
        <v>46087</v>
      </c>
      <c r="E102" s="22">
        <v>1582723</v>
      </c>
      <c r="F102" s="22" t="s">
        <v>20</v>
      </c>
      <c r="G102" s="22">
        <v>20364991</v>
      </c>
      <c r="H102" s="22" t="s">
        <v>381</v>
      </c>
      <c r="I102" s="22">
        <v>1</v>
      </c>
      <c r="J102" s="30" t="s">
        <v>205</v>
      </c>
      <c r="K102" s="24">
        <v>1</v>
      </c>
      <c r="L102" s="25">
        <v>28</v>
      </c>
      <c r="M102" s="26">
        <v>28</v>
      </c>
      <c r="N102" s="26">
        <v>28</v>
      </c>
    </row>
    <row r="103" spans="4:14">
      <c r="D103" s="21">
        <v>46087</v>
      </c>
      <c r="E103" s="22">
        <v>1582723</v>
      </c>
      <c r="F103" s="22" t="s">
        <v>20</v>
      </c>
      <c r="G103" s="22">
        <v>20338704</v>
      </c>
      <c r="H103" s="22" t="s">
        <v>360</v>
      </c>
      <c r="I103" s="22">
        <v>1</v>
      </c>
      <c r="J103" s="30" t="s">
        <v>210</v>
      </c>
      <c r="K103" s="24">
        <v>1</v>
      </c>
      <c r="L103" s="25">
        <v>22.4</v>
      </c>
      <c r="M103" s="26">
        <v>22.4</v>
      </c>
      <c r="N103" s="26">
        <v>22.4</v>
      </c>
    </row>
    <row r="104" spans="4:14">
      <c r="D104" s="21">
        <v>46087</v>
      </c>
      <c r="E104" s="22">
        <v>1582723</v>
      </c>
      <c r="F104" s="22" t="s">
        <v>20</v>
      </c>
      <c r="G104" s="22">
        <v>20338703</v>
      </c>
      <c r="H104" s="22" t="s">
        <v>361</v>
      </c>
      <c r="I104" s="22">
        <v>1</v>
      </c>
      <c r="J104" s="30" t="s">
        <v>210</v>
      </c>
      <c r="K104" s="24">
        <v>1</v>
      </c>
      <c r="L104" s="25">
        <v>22.4</v>
      </c>
      <c r="M104" s="26">
        <v>22.4</v>
      </c>
      <c r="N104" s="26">
        <v>22.4</v>
      </c>
    </row>
    <row r="105" spans="4:14">
      <c r="D105" s="21">
        <v>46087</v>
      </c>
      <c r="E105" s="22">
        <v>1582723</v>
      </c>
      <c r="F105" s="22" t="s">
        <v>20</v>
      </c>
      <c r="G105" s="22">
        <v>20350751</v>
      </c>
      <c r="H105" s="22" t="s">
        <v>382</v>
      </c>
      <c r="I105" s="22">
        <v>1</v>
      </c>
      <c r="J105" s="28" t="s">
        <v>295</v>
      </c>
      <c r="K105" s="24">
        <v>1</v>
      </c>
      <c r="L105" s="25">
        <v>20</v>
      </c>
      <c r="M105" s="26">
        <v>20</v>
      </c>
      <c r="N105" s="26">
        <v>20</v>
      </c>
    </row>
    <row r="106" spans="4:14">
      <c r="D106" s="21">
        <v>46087</v>
      </c>
      <c r="E106" s="22">
        <v>1582727</v>
      </c>
      <c r="F106" s="22" t="s">
        <v>16</v>
      </c>
      <c r="G106" s="22">
        <v>20324463</v>
      </c>
      <c r="H106" s="22" t="s">
        <v>289</v>
      </c>
      <c r="I106" s="22">
        <v>1</v>
      </c>
      <c r="J106" s="28" t="s">
        <v>18</v>
      </c>
      <c r="K106" s="24">
        <f t="shared" ref="K106:K108" si="4">M106/L106</f>
        <v>35</v>
      </c>
      <c r="L106" s="25">
        <v>4.4</v>
      </c>
      <c r="M106" s="26">
        <v>154</v>
      </c>
      <c r="N106" s="26">
        <v>154</v>
      </c>
    </row>
    <row r="107" spans="4:14">
      <c r="D107" s="21">
        <v>46087</v>
      </c>
      <c r="E107" s="22">
        <v>1582727</v>
      </c>
      <c r="F107" s="22" t="s">
        <v>16</v>
      </c>
      <c r="G107" s="22">
        <v>20405201</v>
      </c>
      <c r="H107" s="22" t="s">
        <v>340</v>
      </c>
      <c r="I107" s="22">
        <v>1</v>
      </c>
      <c r="J107" s="28" t="s">
        <v>18</v>
      </c>
      <c r="K107" s="24">
        <f t="shared" si="4"/>
        <v>18</v>
      </c>
      <c r="L107" s="25">
        <v>4.4</v>
      </c>
      <c r="M107" s="26">
        <v>79.2</v>
      </c>
      <c r="N107" s="26">
        <v>79.2</v>
      </c>
    </row>
    <row r="108" spans="4:14">
      <c r="D108" s="21">
        <v>46087</v>
      </c>
      <c r="E108" s="22">
        <v>1582727</v>
      </c>
      <c r="F108" s="22" t="s">
        <v>16</v>
      </c>
      <c r="G108" s="22">
        <v>20324045</v>
      </c>
      <c r="H108" s="22" t="s">
        <v>281</v>
      </c>
      <c r="I108" s="22">
        <v>1</v>
      </c>
      <c r="J108" s="28" t="s">
        <v>18</v>
      </c>
      <c r="K108" s="24">
        <f t="shared" si="4"/>
        <v>19</v>
      </c>
      <c r="L108" s="25">
        <v>4.4</v>
      </c>
      <c r="M108" s="26">
        <v>83.6</v>
      </c>
      <c r="N108" s="26">
        <v>83.6</v>
      </c>
    </row>
    <row r="109" spans="4:14">
      <c r="D109" s="21">
        <v>46087</v>
      </c>
      <c r="E109" s="22">
        <v>1582727</v>
      </c>
      <c r="F109" s="22" t="s">
        <v>20</v>
      </c>
      <c r="G109" s="22">
        <v>20324699</v>
      </c>
      <c r="H109" s="22" t="s">
        <v>283</v>
      </c>
      <c r="I109" s="22">
        <v>2</v>
      </c>
      <c r="J109" s="28" t="s">
        <v>18</v>
      </c>
      <c r="K109" s="24">
        <f t="shared" ref="K109:K111" si="5">M109/L109</f>
        <v>5</v>
      </c>
      <c r="L109" s="25">
        <v>4.4</v>
      </c>
      <c r="M109" s="26">
        <v>22</v>
      </c>
      <c r="N109" s="26">
        <v>44</v>
      </c>
    </row>
    <row r="110" spans="4:14">
      <c r="D110" s="21">
        <v>46087</v>
      </c>
      <c r="E110" s="22">
        <v>1582848</v>
      </c>
      <c r="F110" s="22" t="s">
        <v>16</v>
      </c>
      <c r="G110" s="22">
        <v>20324039</v>
      </c>
      <c r="H110" s="22" t="s">
        <v>338</v>
      </c>
      <c r="I110" s="22">
        <v>1</v>
      </c>
      <c r="J110" s="28" t="s">
        <v>18</v>
      </c>
      <c r="K110" s="24">
        <f t="shared" si="5"/>
        <v>37</v>
      </c>
      <c r="L110" s="25">
        <v>4.4</v>
      </c>
      <c r="M110" s="26">
        <v>162.8</v>
      </c>
      <c r="N110" s="26">
        <v>162.8</v>
      </c>
    </row>
    <row r="111" spans="4:14">
      <c r="D111" s="21">
        <v>46087</v>
      </c>
      <c r="E111" s="22">
        <v>1582848</v>
      </c>
      <c r="F111" s="22" t="s">
        <v>16</v>
      </c>
      <c r="G111" s="22">
        <v>20324046</v>
      </c>
      <c r="H111" s="22" t="s">
        <v>259</v>
      </c>
      <c r="I111" s="22">
        <v>1</v>
      </c>
      <c r="J111" s="28" t="s">
        <v>18</v>
      </c>
      <c r="K111" s="24">
        <f t="shared" si="5"/>
        <v>49</v>
      </c>
      <c r="L111" s="25">
        <v>4.4</v>
      </c>
      <c r="M111" s="26">
        <v>215.6</v>
      </c>
      <c r="N111" s="26">
        <v>215.6</v>
      </c>
    </row>
    <row r="112" spans="4:14">
      <c r="D112" s="21">
        <v>46087</v>
      </c>
      <c r="E112" s="22">
        <v>1582848</v>
      </c>
      <c r="F112" s="22" t="s">
        <v>20</v>
      </c>
      <c r="G112" s="22">
        <v>20324800</v>
      </c>
      <c r="H112" s="22" t="s">
        <v>315</v>
      </c>
      <c r="I112" s="22">
        <v>1</v>
      </c>
      <c r="J112" s="23" t="s">
        <v>22</v>
      </c>
      <c r="K112" s="24">
        <v>1</v>
      </c>
      <c r="L112" s="25">
        <v>6.4</v>
      </c>
      <c r="M112" s="26">
        <v>6.4</v>
      </c>
      <c r="N112" s="26">
        <v>6.4</v>
      </c>
    </row>
    <row r="113" spans="4:14">
      <c r="D113" s="21">
        <v>46087</v>
      </c>
      <c r="E113" s="22">
        <v>1582848</v>
      </c>
      <c r="F113" s="22" t="s">
        <v>20</v>
      </c>
      <c r="G113" s="22">
        <v>20324726</v>
      </c>
      <c r="H113" s="22" t="s">
        <v>383</v>
      </c>
      <c r="I113" s="22">
        <v>1</v>
      </c>
      <c r="J113" s="27" t="s">
        <v>145</v>
      </c>
      <c r="K113" s="24">
        <f t="shared" ref="K113:K120" si="6">M113/L113</f>
        <v>4</v>
      </c>
      <c r="L113" s="25">
        <v>4.4</v>
      </c>
      <c r="M113" s="26">
        <v>17.6</v>
      </c>
      <c r="N113" s="26">
        <v>17.6</v>
      </c>
    </row>
    <row r="114" spans="4:14">
      <c r="D114" s="21">
        <v>46087</v>
      </c>
      <c r="E114" s="22">
        <v>1582848</v>
      </c>
      <c r="F114" s="22" t="s">
        <v>20</v>
      </c>
      <c r="G114" s="22">
        <v>20329152</v>
      </c>
      <c r="H114" s="22" t="s">
        <v>352</v>
      </c>
      <c r="I114" s="22">
        <v>3</v>
      </c>
      <c r="J114" s="28" t="s">
        <v>18</v>
      </c>
      <c r="K114" s="24">
        <f t="shared" si="6"/>
        <v>11</v>
      </c>
      <c r="L114" s="25">
        <v>4.4</v>
      </c>
      <c r="M114" s="26">
        <v>48.4</v>
      </c>
      <c r="N114" s="26">
        <v>145.2</v>
      </c>
    </row>
    <row r="115" spans="4:14">
      <c r="D115" s="21">
        <v>46087</v>
      </c>
      <c r="E115" s="22">
        <v>1582848</v>
      </c>
      <c r="F115" s="22" t="s">
        <v>20</v>
      </c>
      <c r="G115" s="22">
        <v>20324699</v>
      </c>
      <c r="H115" s="22" t="s">
        <v>283</v>
      </c>
      <c r="I115" s="22">
        <v>5</v>
      </c>
      <c r="J115" s="28" t="s">
        <v>18</v>
      </c>
      <c r="K115" s="24">
        <f t="shared" si="6"/>
        <v>5</v>
      </c>
      <c r="L115" s="25">
        <v>4.4</v>
      </c>
      <c r="M115" s="26">
        <v>22</v>
      </c>
      <c r="N115" s="26">
        <v>110</v>
      </c>
    </row>
    <row r="116" spans="4:14">
      <c r="D116" s="21">
        <v>46087</v>
      </c>
      <c r="E116" s="22">
        <v>1582848</v>
      </c>
      <c r="F116" s="22" t="s">
        <v>55</v>
      </c>
      <c r="G116" s="22">
        <v>20354932</v>
      </c>
      <c r="H116" s="22" t="s">
        <v>236</v>
      </c>
      <c r="I116" s="22">
        <v>8</v>
      </c>
      <c r="J116" s="30" t="s">
        <v>57</v>
      </c>
      <c r="K116" s="24">
        <v>1</v>
      </c>
      <c r="L116" s="25">
        <v>3.2</v>
      </c>
      <c r="M116" s="26">
        <v>3.2</v>
      </c>
      <c r="N116" s="26">
        <v>25.6</v>
      </c>
    </row>
    <row r="117" spans="4:14">
      <c r="D117" s="21">
        <v>46087</v>
      </c>
      <c r="E117" s="22">
        <v>1582868</v>
      </c>
      <c r="F117" s="22" t="s">
        <v>16</v>
      </c>
      <c r="G117" s="22">
        <v>20324463</v>
      </c>
      <c r="H117" s="22" t="s">
        <v>289</v>
      </c>
      <c r="I117" s="22">
        <v>2</v>
      </c>
      <c r="J117" s="28" t="s">
        <v>18</v>
      </c>
      <c r="K117" s="24">
        <f t="shared" si="6"/>
        <v>35</v>
      </c>
      <c r="L117" s="25">
        <v>4.4</v>
      </c>
      <c r="M117" s="26">
        <v>154</v>
      </c>
      <c r="N117" s="26">
        <v>308</v>
      </c>
    </row>
    <row r="118" spans="4:14">
      <c r="D118" s="21">
        <v>46087</v>
      </c>
      <c r="E118" s="22">
        <v>1582868</v>
      </c>
      <c r="F118" s="22" t="s">
        <v>16</v>
      </c>
      <c r="G118" s="22">
        <v>20336544</v>
      </c>
      <c r="H118" s="22" t="s">
        <v>384</v>
      </c>
      <c r="I118" s="22">
        <v>1</v>
      </c>
      <c r="J118" s="28" t="s">
        <v>18</v>
      </c>
      <c r="K118" s="24">
        <f t="shared" si="6"/>
        <v>19</v>
      </c>
      <c r="L118" s="25">
        <v>4.4</v>
      </c>
      <c r="M118" s="26">
        <v>83.6</v>
      </c>
      <c r="N118" s="26">
        <v>83.6</v>
      </c>
    </row>
    <row r="119" spans="4:14">
      <c r="D119" s="21">
        <v>46087</v>
      </c>
      <c r="E119" s="22">
        <v>1582868</v>
      </c>
      <c r="F119" s="22" t="s">
        <v>16</v>
      </c>
      <c r="G119" s="22">
        <v>20324474</v>
      </c>
      <c r="H119" s="22" t="s">
        <v>385</v>
      </c>
      <c r="I119" s="22">
        <v>1</v>
      </c>
      <c r="J119" s="28" t="s">
        <v>18</v>
      </c>
      <c r="K119" s="24">
        <f t="shared" si="6"/>
        <v>72</v>
      </c>
      <c r="L119" s="25">
        <v>4.4</v>
      </c>
      <c r="M119" s="26">
        <v>316.8</v>
      </c>
      <c r="N119" s="26">
        <v>316.8</v>
      </c>
    </row>
    <row r="120" spans="4:14">
      <c r="D120" s="21">
        <v>46087</v>
      </c>
      <c r="E120" s="22">
        <v>1582868</v>
      </c>
      <c r="F120" s="22" t="s">
        <v>16</v>
      </c>
      <c r="G120" s="22">
        <v>20324045</v>
      </c>
      <c r="H120" s="22" t="s">
        <v>281</v>
      </c>
      <c r="I120" s="22">
        <v>2</v>
      </c>
      <c r="J120" s="28" t="s">
        <v>18</v>
      </c>
      <c r="K120" s="24">
        <f t="shared" si="6"/>
        <v>19</v>
      </c>
      <c r="L120" s="25">
        <v>4.4</v>
      </c>
      <c r="M120" s="26">
        <v>83.6</v>
      </c>
      <c r="N120" s="26">
        <v>167.2</v>
      </c>
    </row>
    <row r="121" spans="4:14">
      <c r="D121" s="21">
        <v>46087</v>
      </c>
      <c r="E121" s="22">
        <v>1582868</v>
      </c>
      <c r="F121" s="22" t="s">
        <v>20</v>
      </c>
      <c r="G121" s="22">
        <v>20324699</v>
      </c>
      <c r="H121" s="22" t="s">
        <v>283</v>
      </c>
      <c r="I121" s="22">
        <v>4</v>
      </c>
      <c r="J121" s="28" t="s">
        <v>18</v>
      </c>
      <c r="K121" s="24">
        <f t="shared" ref="K121:K125" si="7">M121/L121</f>
        <v>5</v>
      </c>
      <c r="L121" s="25">
        <v>4.4</v>
      </c>
      <c r="M121" s="26">
        <v>22</v>
      </c>
      <c r="N121" s="26">
        <v>88</v>
      </c>
    </row>
    <row r="122" spans="4:14">
      <c r="D122" s="21">
        <v>46087</v>
      </c>
      <c r="E122" s="22">
        <v>1582890</v>
      </c>
      <c r="F122" s="22" t="s">
        <v>16</v>
      </c>
      <c r="G122" s="22">
        <v>20324028</v>
      </c>
      <c r="H122" s="22" t="s">
        <v>386</v>
      </c>
      <c r="I122" s="22">
        <v>1</v>
      </c>
      <c r="J122" s="28" t="s">
        <v>18</v>
      </c>
      <c r="K122" s="24">
        <f t="shared" si="7"/>
        <v>42</v>
      </c>
      <c r="L122" s="25">
        <v>4.4</v>
      </c>
      <c r="M122" s="26">
        <v>184.8</v>
      </c>
      <c r="N122" s="26">
        <v>184.8</v>
      </c>
    </row>
    <row r="123" spans="4:14">
      <c r="D123" s="21">
        <v>46087</v>
      </c>
      <c r="E123" s="22">
        <v>1582890</v>
      </c>
      <c r="F123" s="22" t="s">
        <v>16</v>
      </c>
      <c r="G123" s="22">
        <v>20324737</v>
      </c>
      <c r="H123" s="22" t="s">
        <v>387</v>
      </c>
      <c r="I123" s="22">
        <v>1</v>
      </c>
      <c r="J123" s="28" t="s">
        <v>18</v>
      </c>
      <c r="K123" s="24">
        <f t="shared" si="7"/>
        <v>22</v>
      </c>
      <c r="L123" s="25">
        <v>4.4</v>
      </c>
      <c r="M123" s="26">
        <v>96.8</v>
      </c>
      <c r="N123" s="26">
        <v>96.8</v>
      </c>
    </row>
    <row r="124" spans="4:14">
      <c r="D124" s="21">
        <v>46087</v>
      </c>
      <c r="E124" s="22">
        <v>1582890</v>
      </c>
      <c r="F124" s="22" t="s">
        <v>16</v>
      </c>
      <c r="G124" s="22">
        <v>20324046</v>
      </c>
      <c r="H124" s="22" t="s">
        <v>259</v>
      </c>
      <c r="I124" s="22">
        <v>1</v>
      </c>
      <c r="J124" s="28" t="s">
        <v>18</v>
      </c>
      <c r="K124" s="24">
        <f t="shared" si="7"/>
        <v>49</v>
      </c>
      <c r="L124" s="25">
        <v>4.4</v>
      </c>
      <c r="M124" s="26">
        <v>215.6</v>
      </c>
      <c r="N124" s="26">
        <v>215.6</v>
      </c>
    </row>
    <row r="125" spans="4:14">
      <c r="D125" s="21">
        <v>46087</v>
      </c>
      <c r="E125" s="22">
        <v>1582890</v>
      </c>
      <c r="F125" s="22" t="s">
        <v>16</v>
      </c>
      <c r="G125" s="22">
        <v>20324045</v>
      </c>
      <c r="H125" s="22" t="s">
        <v>281</v>
      </c>
      <c r="I125" s="22">
        <v>2</v>
      </c>
      <c r="J125" s="28" t="s">
        <v>18</v>
      </c>
      <c r="K125" s="24">
        <f t="shared" si="7"/>
        <v>19</v>
      </c>
      <c r="L125" s="25">
        <v>4.4</v>
      </c>
      <c r="M125" s="26">
        <v>83.6</v>
      </c>
      <c r="N125" s="26">
        <v>167.2</v>
      </c>
    </row>
    <row r="126" spans="4:14">
      <c r="D126" s="21">
        <v>46087</v>
      </c>
      <c r="E126" s="22">
        <v>1582890</v>
      </c>
      <c r="F126" s="22" t="s">
        <v>20</v>
      </c>
      <c r="G126" s="22">
        <v>20324712</v>
      </c>
      <c r="H126" s="22" t="s">
        <v>366</v>
      </c>
      <c r="I126" s="22">
        <v>1</v>
      </c>
      <c r="J126" s="27" t="s">
        <v>25</v>
      </c>
      <c r="K126" s="24">
        <v>1</v>
      </c>
      <c r="L126" s="25">
        <v>8.8</v>
      </c>
      <c r="M126" s="25">
        <v>13.2</v>
      </c>
      <c r="N126" s="25">
        <v>13.2</v>
      </c>
    </row>
    <row r="127" spans="4:14">
      <c r="D127" s="21"/>
      <c r="E127" s="22"/>
      <c r="F127" s="22"/>
      <c r="G127" s="22"/>
      <c r="H127" s="22"/>
      <c r="I127" s="22"/>
      <c r="J127" s="27" t="s">
        <v>145</v>
      </c>
      <c r="K127" s="24">
        <v>1</v>
      </c>
      <c r="L127" s="25">
        <v>4.4</v>
      </c>
      <c r="M127" s="25"/>
      <c r="N127" s="25"/>
    </row>
    <row r="128" spans="4:14">
      <c r="D128" s="21">
        <v>46087</v>
      </c>
      <c r="E128" s="22">
        <v>1582890</v>
      </c>
      <c r="F128" s="22" t="s">
        <v>20</v>
      </c>
      <c r="G128" s="22">
        <v>20325530</v>
      </c>
      <c r="H128" s="22" t="s">
        <v>388</v>
      </c>
      <c r="I128" s="22">
        <v>1</v>
      </c>
      <c r="J128" s="27" t="s">
        <v>25</v>
      </c>
      <c r="K128" s="24">
        <v>1</v>
      </c>
      <c r="L128" s="25">
        <v>8.8</v>
      </c>
      <c r="M128" s="25">
        <v>13.2</v>
      </c>
      <c r="N128" s="25">
        <v>13.2</v>
      </c>
    </row>
    <row r="129" spans="4:14">
      <c r="D129" s="21"/>
      <c r="E129" s="22"/>
      <c r="F129" s="22"/>
      <c r="G129" s="22"/>
      <c r="H129" s="22"/>
      <c r="I129" s="22"/>
      <c r="J129" s="27" t="s">
        <v>145</v>
      </c>
      <c r="K129" s="24">
        <v>1</v>
      </c>
      <c r="L129" s="25">
        <v>4.4</v>
      </c>
      <c r="M129" s="25"/>
      <c r="N129" s="25"/>
    </row>
    <row r="130" spans="4:14">
      <c r="D130" s="21">
        <v>46087</v>
      </c>
      <c r="E130" s="22">
        <v>1582890</v>
      </c>
      <c r="F130" s="22" t="s">
        <v>20</v>
      </c>
      <c r="G130" s="22">
        <v>20324711</v>
      </c>
      <c r="H130" s="22" t="s">
        <v>389</v>
      </c>
      <c r="I130" s="22">
        <v>1</v>
      </c>
      <c r="J130" s="28" t="s">
        <v>18</v>
      </c>
      <c r="K130" s="24">
        <f>M130/L130</f>
        <v>14</v>
      </c>
      <c r="L130" s="25">
        <v>4.4</v>
      </c>
      <c r="M130" s="26">
        <v>61.6</v>
      </c>
      <c r="N130" s="26">
        <v>61.6</v>
      </c>
    </row>
    <row r="131" spans="4:14">
      <c r="D131" s="21">
        <v>46087</v>
      </c>
      <c r="E131" s="22">
        <v>1582890</v>
      </c>
      <c r="F131" s="22" t="s">
        <v>20</v>
      </c>
      <c r="G131" s="22">
        <v>20325759</v>
      </c>
      <c r="H131" s="22" t="s">
        <v>390</v>
      </c>
      <c r="I131" s="22">
        <v>1</v>
      </c>
      <c r="J131" s="28" t="s">
        <v>18</v>
      </c>
      <c r="K131" s="24">
        <f>M131/L131</f>
        <v>9</v>
      </c>
      <c r="L131" s="25">
        <v>4.4</v>
      </c>
      <c r="M131" s="26">
        <v>39.6</v>
      </c>
      <c r="N131" s="26">
        <v>39.6</v>
      </c>
    </row>
    <row r="132" spans="4:14">
      <c r="D132" s="21">
        <v>46087</v>
      </c>
      <c r="E132" s="22">
        <v>1582890</v>
      </c>
      <c r="F132" s="22" t="s">
        <v>20</v>
      </c>
      <c r="G132" s="22">
        <v>20324699</v>
      </c>
      <c r="H132" s="22" t="s">
        <v>283</v>
      </c>
      <c r="I132" s="22">
        <v>4</v>
      </c>
      <c r="J132" s="28" t="s">
        <v>18</v>
      </c>
      <c r="K132" s="24">
        <f>M132/L132</f>
        <v>5</v>
      </c>
      <c r="L132" s="25">
        <v>4.4</v>
      </c>
      <c r="M132" s="26">
        <v>22</v>
      </c>
      <c r="N132" s="26">
        <v>88</v>
      </c>
    </row>
    <row r="133" spans="4:14">
      <c r="D133" s="21">
        <v>46087</v>
      </c>
      <c r="E133" s="22">
        <v>1582890</v>
      </c>
      <c r="F133" s="22" t="s">
        <v>20</v>
      </c>
      <c r="G133" s="22">
        <v>20324966</v>
      </c>
      <c r="H133" s="22" t="s">
        <v>391</v>
      </c>
      <c r="I133" s="22">
        <v>1</v>
      </c>
      <c r="J133" s="28" t="s">
        <v>18</v>
      </c>
      <c r="K133" s="24">
        <f>M133/L133</f>
        <v>6</v>
      </c>
      <c r="L133" s="25">
        <v>4.4</v>
      </c>
      <c r="M133" s="26">
        <v>26.4</v>
      </c>
      <c r="N133" s="26">
        <v>26.4</v>
      </c>
    </row>
    <row r="134" spans="4:14">
      <c r="D134" s="21">
        <v>46088</v>
      </c>
      <c r="E134" s="22">
        <v>1582969</v>
      </c>
      <c r="F134" s="22" t="s">
        <v>16</v>
      </c>
      <c r="G134" s="22">
        <v>20324808</v>
      </c>
      <c r="H134" s="22" t="s">
        <v>342</v>
      </c>
      <c r="I134" s="22">
        <v>1</v>
      </c>
      <c r="J134" s="28" t="s">
        <v>37</v>
      </c>
      <c r="K134" s="24" t="s">
        <v>38</v>
      </c>
      <c r="L134" s="25">
        <v>132</v>
      </c>
      <c r="M134" s="26">
        <v>220</v>
      </c>
      <c r="N134" s="26">
        <v>220</v>
      </c>
    </row>
    <row r="135" spans="4:14">
      <c r="D135" s="21"/>
      <c r="E135" s="22"/>
      <c r="F135" s="22"/>
      <c r="G135" s="22"/>
      <c r="H135" s="22"/>
      <c r="I135" s="22"/>
      <c r="J135" s="30" t="s">
        <v>39</v>
      </c>
      <c r="K135" s="24" t="s">
        <v>40</v>
      </c>
      <c r="L135" s="25">
        <v>70.4</v>
      </c>
      <c r="M135" s="26"/>
      <c r="N135" s="26"/>
    </row>
    <row r="136" spans="4:14">
      <c r="D136" s="21"/>
      <c r="E136" s="22"/>
      <c r="F136" s="22"/>
      <c r="G136" s="22"/>
      <c r="H136" s="22"/>
      <c r="I136" s="22"/>
      <c r="J136" s="28" t="s">
        <v>28</v>
      </c>
      <c r="K136" s="24">
        <v>1</v>
      </c>
      <c r="L136" s="25">
        <v>17.6</v>
      </c>
      <c r="M136" s="26"/>
      <c r="N136" s="26"/>
    </row>
    <row r="137" spans="4:14">
      <c r="D137" s="21">
        <v>46088</v>
      </c>
      <c r="E137" s="22">
        <v>1582969</v>
      </c>
      <c r="F137" s="22" t="s">
        <v>20</v>
      </c>
      <c r="G137" s="22">
        <v>20325234</v>
      </c>
      <c r="H137" s="22" t="s">
        <v>392</v>
      </c>
      <c r="I137" s="22">
        <v>1</v>
      </c>
      <c r="J137" s="28" t="s">
        <v>28</v>
      </c>
      <c r="K137" s="24">
        <v>1</v>
      </c>
      <c r="L137" s="25">
        <v>17.6</v>
      </c>
      <c r="M137" s="26">
        <v>35.2</v>
      </c>
      <c r="N137" s="26">
        <v>35.2</v>
      </c>
    </row>
    <row r="138" spans="4:14">
      <c r="D138" s="21"/>
      <c r="E138" s="22"/>
      <c r="F138" s="22"/>
      <c r="G138" s="22"/>
      <c r="H138" s="22"/>
      <c r="I138" s="22"/>
      <c r="J138" s="28" t="s">
        <v>28</v>
      </c>
      <c r="K138" s="24">
        <v>1</v>
      </c>
      <c r="L138" s="25">
        <v>17.6</v>
      </c>
      <c r="M138" s="26"/>
      <c r="N138" s="26"/>
    </row>
    <row r="139" spans="4:14">
      <c r="D139" s="21">
        <v>46088</v>
      </c>
      <c r="E139" s="22">
        <v>1582969</v>
      </c>
      <c r="F139" s="22" t="s">
        <v>20</v>
      </c>
      <c r="G139" s="22">
        <v>20324643</v>
      </c>
      <c r="H139" s="22" t="s">
        <v>343</v>
      </c>
      <c r="I139" s="22">
        <v>3</v>
      </c>
      <c r="J139" s="30" t="s">
        <v>210</v>
      </c>
      <c r="K139" s="24">
        <v>1</v>
      </c>
      <c r="L139" s="25">
        <v>22.4</v>
      </c>
      <c r="M139" s="26">
        <v>22.4</v>
      </c>
      <c r="N139" s="26">
        <v>67.2</v>
      </c>
    </row>
    <row r="140" spans="4:14">
      <c r="D140" s="21">
        <v>46088</v>
      </c>
      <c r="E140" s="22">
        <v>1582969</v>
      </c>
      <c r="F140" s="22" t="s">
        <v>20</v>
      </c>
      <c r="G140" s="22">
        <v>20324637</v>
      </c>
      <c r="H140" s="22" t="s">
        <v>291</v>
      </c>
      <c r="I140" s="22">
        <v>4</v>
      </c>
      <c r="J140" s="30" t="s">
        <v>205</v>
      </c>
      <c r="K140" s="24">
        <v>1</v>
      </c>
      <c r="L140" s="25">
        <v>28</v>
      </c>
      <c r="M140" s="26">
        <v>28</v>
      </c>
      <c r="N140" s="26">
        <v>112</v>
      </c>
    </row>
    <row r="141" spans="4:14">
      <c r="D141" s="21">
        <v>46088</v>
      </c>
      <c r="E141" s="22">
        <v>1582969</v>
      </c>
      <c r="F141" s="22" t="s">
        <v>20</v>
      </c>
      <c r="G141" s="22">
        <v>20382023</v>
      </c>
      <c r="H141" s="22" t="s">
        <v>393</v>
      </c>
      <c r="I141" s="22">
        <v>1</v>
      </c>
      <c r="J141" s="28" t="s">
        <v>28</v>
      </c>
      <c r="K141" s="24">
        <v>1</v>
      </c>
      <c r="L141" s="25">
        <v>17.6</v>
      </c>
      <c r="M141" s="26">
        <v>17.6</v>
      </c>
      <c r="N141" s="26">
        <v>17.6</v>
      </c>
    </row>
    <row r="142" spans="4:14">
      <c r="D142" s="21">
        <v>46088</v>
      </c>
      <c r="E142" s="22">
        <v>1582969</v>
      </c>
      <c r="F142" s="22" t="s">
        <v>20</v>
      </c>
      <c r="G142" s="22">
        <v>20329253</v>
      </c>
      <c r="H142" s="22" t="s">
        <v>320</v>
      </c>
      <c r="I142" s="22">
        <v>1</v>
      </c>
      <c r="J142" s="28" t="s">
        <v>28</v>
      </c>
      <c r="K142" s="24">
        <v>1</v>
      </c>
      <c r="L142" s="25">
        <v>17.6</v>
      </c>
      <c r="M142" s="26">
        <v>17.6</v>
      </c>
      <c r="N142" s="26">
        <v>17.6</v>
      </c>
    </row>
    <row r="143" spans="4:14">
      <c r="D143" s="21">
        <v>46088</v>
      </c>
      <c r="E143" s="22">
        <v>1582969</v>
      </c>
      <c r="F143" s="22" t="s">
        <v>20</v>
      </c>
      <c r="G143" s="22">
        <v>20324822</v>
      </c>
      <c r="H143" s="22" t="s">
        <v>321</v>
      </c>
      <c r="I143" s="22">
        <v>2</v>
      </c>
      <c r="J143" s="30" t="s">
        <v>205</v>
      </c>
      <c r="K143" s="24">
        <v>1</v>
      </c>
      <c r="L143" s="25">
        <v>28</v>
      </c>
      <c r="M143" s="26">
        <v>28</v>
      </c>
      <c r="N143" s="26">
        <v>56</v>
      </c>
    </row>
    <row r="144" spans="4:14">
      <c r="D144" s="21">
        <v>46088</v>
      </c>
      <c r="E144" s="22">
        <v>1582969</v>
      </c>
      <c r="F144" s="22" t="s">
        <v>20</v>
      </c>
      <c r="G144" s="22">
        <v>20325443</v>
      </c>
      <c r="H144" s="22" t="s">
        <v>345</v>
      </c>
      <c r="I144" s="22">
        <v>1</v>
      </c>
      <c r="J144" s="30" t="s">
        <v>205</v>
      </c>
      <c r="K144" s="24">
        <v>1</v>
      </c>
      <c r="L144" s="25">
        <v>28</v>
      </c>
      <c r="M144" s="26">
        <v>28</v>
      </c>
      <c r="N144" s="26">
        <v>28</v>
      </c>
    </row>
    <row r="145" spans="4:14">
      <c r="D145" s="21">
        <v>46088</v>
      </c>
      <c r="E145" s="22">
        <v>1582969</v>
      </c>
      <c r="F145" s="22" t="s">
        <v>20</v>
      </c>
      <c r="G145" s="22">
        <v>20324645</v>
      </c>
      <c r="H145" s="22" t="s">
        <v>346</v>
      </c>
      <c r="I145" s="22">
        <v>2</v>
      </c>
      <c r="J145" s="30" t="s">
        <v>210</v>
      </c>
      <c r="K145" s="24">
        <v>1</v>
      </c>
      <c r="L145" s="25">
        <v>22.4</v>
      </c>
      <c r="M145" s="26">
        <v>22.4</v>
      </c>
      <c r="N145" s="26">
        <v>44.8</v>
      </c>
    </row>
    <row r="146" spans="4:14">
      <c r="D146" s="21">
        <v>46088</v>
      </c>
      <c r="E146" s="22">
        <v>1582969</v>
      </c>
      <c r="F146" s="22" t="s">
        <v>20</v>
      </c>
      <c r="G146" s="22">
        <v>20324723</v>
      </c>
      <c r="H146" s="22" t="s">
        <v>330</v>
      </c>
      <c r="I146" s="22">
        <v>1</v>
      </c>
      <c r="J146" s="30" t="s">
        <v>210</v>
      </c>
      <c r="K146" s="24">
        <v>1</v>
      </c>
      <c r="L146" s="25">
        <v>22.4</v>
      </c>
      <c r="M146" s="26">
        <v>22.4</v>
      </c>
      <c r="N146" s="26">
        <v>22.4</v>
      </c>
    </row>
    <row r="147" spans="4:14">
      <c r="D147" s="21">
        <v>46088</v>
      </c>
      <c r="E147" s="22">
        <v>1582969</v>
      </c>
      <c r="F147" s="22" t="s">
        <v>20</v>
      </c>
      <c r="G147" s="22">
        <v>20324636</v>
      </c>
      <c r="H147" s="22" t="s">
        <v>347</v>
      </c>
      <c r="I147" s="22">
        <v>3</v>
      </c>
      <c r="J147" s="30" t="s">
        <v>205</v>
      </c>
      <c r="K147" s="24">
        <v>1</v>
      </c>
      <c r="L147" s="25">
        <v>28</v>
      </c>
      <c r="M147" s="26">
        <v>28</v>
      </c>
      <c r="N147" s="26">
        <v>84</v>
      </c>
    </row>
    <row r="148" spans="4:14">
      <c r="D148" s="21">
        <v>46088</v>
      </c>
      <c r="E148" s="22">
        <v>1582969</v>
      </c>
      <c r="F148" s="22" t="s">
        <v>20</v>
      </c>
      <c r="G148" s="22">
        <v>20324642</v>
      </c>
      <c r="H148" s="22" t="s">
        <v>348</v>
      </c>
      <c r="I148" s="22">
        <v>2</v>
      </c>
      <c r="J148" s="28" t="s">
        <v>28</v>
      </c>
      <c r="K148" s="24">
        <v>1</v>
      </c>
      <c r="L148" s="25">
        <v>17.6</v>
      </c>
      <c r="M148" s="26">
        <v>17.6</v>
      </c>
      <c r="N148" s="26">
        <v>35.2</v>
      </c>
    </row>
    <row r="149" spans="4:14">
      <c r="D149" s="21">
        <v>46088</v>
      </c>
      <c r="E149" s="22">
        <v>1582969</v>
      </c>
      <c r="F149" s="22" t="s">
        <v>20</v>
      </c>
      <c r="G149" s="22">
        <v>20325857</v>
      </c>
      <c r="H149" s="22" t="s">
        <v>373</v>
      </c>
      <c r="I149" s="22">
        <v>1</v>
      </c>
      <c r="J149" s="30" t="s">
        <v>210</v>
      </c>
      <c r="K149" s="24">
        <v>1</v>
      </c>
      <c r="L149" s="25">
        <v>22.4</v>
      </c>
      <c r="M149" s="26">
        <v>22.4</v>
      </c>
      <c r="N149" s="26">
        <v>22.4</v>
      </c>
    </row>
    <row r="150" spans="4:14">
      <c r="D150" s="21">
        <v>46088</v>
      </c>
      <c r="E150" s="22">
        <v>1582969</v>
      </c>
      <c r="F150" s="22" t="s">
        <v>20</v>
      </c>
      <c r="G150" s="22">
        <v>20324732</v>
      </c>
      <c r="H150" s="22" t="s">
        <v>300</v>
      </c>
      <c r="I150" s="22">
        <v>2</v>
      </c>
      <c r="J150" s="30" t="s">
        <v>210</v>
      </c>
      <c r="K150" s="24">
        <v>1</v>
      </c>
      <c r="L150" s="25">
        <v>22.4</v>
      </c>
      <c r="M150" s="26">
        <v>22.4</v>
      </c>
      <c r="N150" s="26">
        <v>44.8</v>
      </c>
    </row>
    <row r="151" spans="4:14">
      <c r="D151" s="21">
        <v>46088</v>
      </c>
      <c r="E151" s="22">
        <v>1582969</v>
      </c>
      <c r="F151" s="22" t="s">
        <v>20</v>
      </c>
      <c r="G151" s="22">
        <v>20324813</v>
      </c>
      <c r="H151" s="22" t="s">
        <v>302</v>
      </c>
      <c r="I151" s="22">
        <v>1</v>
      </c>
      <c r="J151" s="30" t="s">
        <v>210</v>
      </c>
      <c r="K151" s="24">
        <v>1</v>
      </c>
      <c r="L151" s="25">
        <v>22.4</v>
      </c>
      <c r="M151" s="26">
        <v>22.4</v>
      </c>
      <c r="N151" s="26">
        <v>22.4</v>
      </c>
    </row>
    <row r="152" spans="4:14">
      <c r="D152" s="21">
        <v>46088</v>
      </c>
      <c r="E152" s="22">
        <v>1582969</v>
      </c>
      <c r="F152" s="22" t="s">
        <v>20</v>
      </c>
      <c r="G152" s="22">
        <v>20324815</v>
      </c>
      <c r="H152" s="22" t="s">
        <v>303</v>
      </c>
      <c r="I152" s="22">
        <v>1</v>
      </c>
      <c r="J152" s="30" t="s">
        <v>205</v>
      </c>
      <c r="K152" s="24">
        <v>1</v>
      </c>
      <c r="L152" s="25">
        <v>28</v>
      </c>
      <c r="M152" s="26">
        <v>28</v>
      </c>
      <c r="N152" s="26">
        <v>28</v>
      </c>
    </row>
    <row r="153" spans="4:14">
      <c r="D153" s="21">
        <v>46088</v>
      </c>
      <c r="E153" s="22">
        <v>1582969</v>
      </c>
      <c r="F153" s="22" t="s">
        <v>20</v>
      </c>
      <c r="G153" s="22">
        <v>20383664</v>
      </c>
      <c r="H153" s="22" t="s">
        <v>394</v>
      </c>
      <c r="I153" s="22">
        <v>1</v>
      </c>
      <c r="J153" s="30" t="s">
        <v>210</v>
      </c>
      <c r="K153" s="24">
        <v>1</v>
      </c>
      <c r="L153" s="25">
        <v>22.4</v>
      </c>
      <c r="M153" s="26">
        <v>22.4</v>
      </c>
      <c r="N153" s="26">
        <v>22.4</v>
      </c>
    </row>
    <row r="154" spans="4:14">
      <c r="D154" s="21">
        <v>46088</v>
      </c>
      <c r="E154" s="22">
        <v>1582969</v>
      </c>
      <c r="F154" s="22" t="s">
        <v>20</v>
      </c>
      <c r="G154" s="22">
        <v>20324644</v>
      </c>
      <c r="H154" s="22" t="s">
        <v>304</v>
      </c>
      <c r="I154" s="22">
        <v>3</v>
      </c>
      <c r="J154" s="30" t="s">
        <v>210</v>
      </c>
      <c r="K154" s="24">
        <v>1</v>
      </c>
      <c r="L154" s="25">
        <v>22.4</v>
      </c>
      <c r="M154" s="26">
        <v>22.4</v>
      </c>
      <c r="N154" s="26">
        <v>67.2</v>
      </c>
    </row>
    <row r="155" spans="4:14">
      <c r="D155" s="21">
        <v>46088</v>
      </c>
      <c r="E155" s="22">
        <v>1582969</v>
      </c>
      <c r="F155" s="22" t="s">
        <v>20</v>
      </c>
      <c r="G155" s="22">
        <v>20326624</v>
      </c>
      <c r="H155" s="22" t="s">
        <v>376</v>
      </c>
      <c r="I155" s="22">
        <v>1</v>
      </c>
      <c r="J155" s="30" t="s">
        <v>205</v>
      </c>
      <c r="K155" s="24">
        <v>1</v>
      </c>
      <c r="L155" s="25">
        <v>28</v>
      </c>
      <c r="M155" s="26">
        <v>28</v>
      </c>
      <c r="N155" s="26">
        <v>28</v>
      </c>
    </row>
    <row r="156" spans="4:14">
      <c r="D156" s="21">
        <v>46088</v>
      </c>
      <c r="E156" s="22">
        <v>1582969</v>
      </c>
      <c r="F156" s="22" t="s">
        <v>20</v>
      </c>
      <c r="G156" s="22">
        <v>20326625</v>
      </c>
      <c r="H156" s="22" t="s">
        <v>395</v>
      </c>
      <c r="I156" s="22">
        <v>1</v>
      </c>
      <c r="J156" s="30" t="s">
        <v>210</v>
      </c>
      <c r="K156" s="24">
        <v>1</v>
      </c>
      <c r="L156" s="25">
        <v>22.4</v>
      </c>
      <c r="M156" s="26">
        <v>22.4</v>
      </c>
      <c r="N156" s="26">
        <v>22.4</v>
      </c>
    </row>
    <row r="157" spans="4:14">
      <c r="D157" s="21">
        <v>46088</v>
      </c>
      <c r="E157" s="22">
        <v>1582969</v>
      </c>
      <c r="F157" s="22" t="s">
        <v>20</v>
      </c>
      <c r="G157" s="22">
        <v>20330332</v>
      </c>
      <c r="H157" s="22" t="s">
        <v>349</v>
      </c>
      <c r="I157" s="22">
        <v>1</v>
      </c>
      <c r="J157" s="30" t="s">
        <v>210</v>
      </c>
      <c r="K157" s="24">
        <v>1</v>
      </c>
      <c r="L157" s="25">
        <v>22.4</v>
      </c>
      <c r="M157" s="26">
        <v>22.4</v>
      </c>
      <c r="N157" s="26">
        <v>22.4</v>
      </c>
    </row>
    <row r="158" spans="4:14">
      <c r="D158" s="21">
        <v>46088</v>
      </c>
      <c r="E158" s="22">
        <v>1582969</v>
      </c>
      <c r="F158" s="22" t="s">
        <v>20</v>
      </c>
      <c r="G158" s="22">
        <v>20324814</v>
      </c>
      <c r="H158" s="22" t="s">
        <v>305</v>
      </c>
      <c r="I158" s="22">
        <v>4</v>
      </c>
      <c r="J158" s="30" t="s">
        <v>210</v>
      </c>
      <c r="K158" s="24">
        <v>1</v>
      </c>
      <c r="L158" s="25">
        <v>22.4</v>
      </c>
      <c r="M158" s="26">
        <v>22.4</v>
      </c>
      <c r="N158" s="26">
        <v>89.6</v>
      </c>
    </row>
    <row r="159" spans="4:14">
      <c r="D159" s="21">
        <v>46088</v>
      </c>
      <c r="E159" s="22">
        <v>1582969</v>
      </c>
      <c r="F159" s="22" t="s">
        <v>20</v>
      </c>
      <c r="G159" s="22">
        <v>20324646</v>
      </c>
      <c r="H159" s="22" t="s">
        <v>350</v>
      </c>
      <c r="I159" s="22">
        <v>3</v>
      </c>
      <c r="J159" s="28" t="s">
        <v>295</v>
      </c>
      <c r="K159" s="24">
        <v>1</v>
      </c>
      <c r="L159" s="25">
        <v>20</v>
      </c>
      <c r="M159" s="26">
        <v>20</v>
      </c>
      <c r="N159" s="26">
        <v>60</v>
      </c>
    </row>
    <row r="160" spans="4:14">
      <c r="D160" s="21">
        <v>46088</v>
      </c>
      <c r="E160" s="22">
        <v>1582969</v>
      </c>
      <c r="F160" s="22" t="s">
        <v>20</v>
      </c>
      <c r="G160" s="22">
        <v>20332069</v>
      </c>
      <c r="H160" s="22" t="s">
        <v>209</v>
      </c>
      <c r="I160" s="22">
        <v>1</v>
      </c>
      <c r="J160" s="30" t="s">
        <v>210</v>
      </c>
      <c r="K160" s="24">
        <v>1</v>
      </c>
      <c r="L160" s="25">
        <v>22.4</v>
      </c>
      <c r="M160" s="26">
        <v>22.4</v>
      </c>
      <c r="N160" s="26">
        <v>22.4</v>
      </c>
    </row>
    <row r="161" spans="4:14">
      <c r="D161" s="68">
        <v>46088</v>
      </c>
      <c r="E161" s="69">
        <v>1582969</v>
      </c>
      <c r="F161" s="69" t="s">
        <v>30</v>
      </c>
      <c r="G161" s="70">
        <v>20324638</v>
      </c>
      <c r="H161" s="69" t="s">
        <v>306</v>
      </c>
      <c r="I161" s="70">
        <v>1</v>
      </c>
      <c r="J161" s="71" t="s">
        <v>307</v>
      </c>
      <c r="K161" s="24" t="s">
        <v>308</v>
      </c>
      <c r="L161" s="25">
        <v>22.4</v>
      </c>
      <c r="M161" s="25">
        <f>L161+L162</f>
        <v>30.4</v>
      </c>
      <c r="N161" s="25">
        <f>M161+M162</f>
        <v>30.4</v>
      </c>
    </row>
    <row r="162" spans="4:14">
      <c r="D162" s="72"/>
      <c r="E162" s="73"/>
      <c r="F162" s="73"/>
      <c r="G162" s="74"/>
      <c r="H162" s="73"/>
      <c r="I162" s="74"/>
      <c r="J162" s="75" t="s">
        <v>309</v>
      </c>
      <c r="K162" s="24" t="s">
        <v>308</v>
      </c>
      <c r="L162" s="25">
        <v>8</v>
      </c>
      <c r="M162" s="25"/>
      <c r="N162" s="25"/>
    </row>
    <row r="163" spans="4:14">
      <c r="D163" s="21">
        <v>46088</v>
      </c>
      <c r="E163" s="22">
        <v>1582969</v>
      </c>
      <c r="F163" s="22" t="s">
        <v>20</v>
      </c>
      <c r="G163" s="22">
        <v>20337916</v>
      </c>
      <c r="H163" s="22" t="s">
        <v>377</v>
      </c>
      <c r="I163" s="22">
        <v>1</v>
      </c>
      <c r="J163" s="28" t="s">
        <v>28</v>
      </c>
      <c r="K163" s="24">
        <v>1</v>
      </c>
      <c r="L163" s="25">
        <v>17.6</v>
      </c>
      <c r="M163" s="26">
        <v>52.8</v>
      </c>
      <c r="N163" s="26">
        <v>52.8</v>
      </c>
    </row>
    <row r="164" spans="4:14">
      <c r="D164" s="21"/>
      <c r="E164" s="22"/>
      <c r="F164" s="22"/>
      <c r="G164" s="22"/>
      <c r="H164" s="22"/>
      <c r="I164" s="22"/>
      <c r="J164" s="28" t="s">
        <v>28</v>
      </c>
      <c r="K164" s="24">
        <v>1</v>
      </c>
      <c r="L164" s="25">
        <v>17.6</v>
      </c>
      <c r="M164" s="26"/>
      <c r="N164" s="26"/>
    </row>
    <row r="165" spans="4:14">
      <c r="D165" s="21"/>
      <c r="E165" s="22"/>
      <c r="F165" s="22"/>
      <c r="G165" s="22"/>
      <c r="H165" s="22"/>
      <c r="I165" s="22"/>
      <c r="J165" s="28" t="s">
        <v>28</v>
      </c>
      <c r="K165" s="24">
        <v>1</v>
      </c>
      <c r="L165" s="25">
        <v>17.6</v>
      </c>
      <c r="M165" s="26"/>
      <c r="N165" s="26"/>
    </row>
    <row r="166" spans="4:14">
      <c r="D166" s="21">
        <v>46090</v>
      </c>
      <c r="E166" s="22">
        <v>1583386</v>
      </c>
      <c r="F166" s="22" t="s">
        <v>16</v>
      </c>
      <c r="G166" s="22">
        <v>20324039</v>
      </c>
      <c r="H166" s="22" t="s">
        <v>338</v>
      </c>
      <c r="I166" s="22">
        <v>2</v>
      </c>
      <c r="J166" s="28" t="s">
        <v>18</v>
      </c>
      <c r="K166" s="24">
        <f t="shared" ref="K166:K170" si="8">M166/L166</f>
        <v>37</v>
      </c>
      <c r="L166" s="25">
        <v>4.4</v>
      </c>
      <c r="M166" s="26">
        <v>162.8</v>
      </c>
      <c r="N166" s="26">
        <v>325.6</v>
      </c>
    </row>
    <row r="167" spans="4:14">
      <c r="D167" s="21">
        <v>46090</v>
      </c>
      <c r="E167" s="22">
        <v>1583386</v>
      </c>
      <c r="F167" s="22" t="s">
        <v>16</v>
      </c>
      <c r="G167" s="22">
        <v>20324049</v>
      </c>
      <c r="H167" s="22" t="s">
        <v>351</v>
      </c>
      <c r="I167" s="22">
        <v>2</v>
      </c>
      <c r="J167" s="28" t="s">
        <v>18</v>
      </c>
      <c r="K167" s="24">
        <f t="shared" si="8"/>
        <v>25</v>
      </c>
      <c r="L167" s="25">
        <v>4.4</v>
      </c>
      <c r="M167" s="26">
        <v>110</v>
      </c>
      <c r="N167" s="26">
        <v>220</v>
      </c>
    </row>
    <row r="168" spans="4:14">
      <c r="D168" s="21">
        <v>46090</v>
      </c>
      <c r="E168" s="22">
        <v>1583386</v>
      </c>
      <c r="F168" s="22" t="s">
        <v>16</v>
      </c>
      <c r="G168" s="22">
        <v>20324046</v>
      </c>
      <c r="H168" s="22" t="s">
        <v>259</v>
      </c>
      <c r="I168" s="22">
        <v>1</v>
      </c>
      <c r="J168" s="28" t="s">
        <v>18</v>
      </c>
      <c r="K168" s="24">
        <f t="shared" si="8"/>
        <v>49</v>
      </c>
      <c r="L168" s="25">
        <v>4.4</v>
      </c>
      <c r="M168" s="26">
        <v>215.6</v>
      </c>
      <c r="N168" s="26">
        <v>215.6</v>
      </c>
    </row>
    <row r="169" spans="4:14">
      <c r="D169" s="21">
        <v>46090</v>
      </c>
      <c r="E169" s="22">
        <v>1583386</v>
      </c>
      <c r="F169" s="22" t="s">
        <v>16</v>
      </c>
      <c r="G169" s="22">
        <v>20324045</v>
      </c>
      <c r="H169" s="22" t="s">
        <v>281</v>
      </c>
      <c r="I169" s="22">
        <v>2</v>
      </c>
      <c r="J169" s="28" t="s">
        <v>18</v>
      </c>
      <c r="K169" s="24">
        <f t="shared" si="8"/>
        <v>19</v>
      </c>
      <c r="L169" s="25">
        <v>4.4</v>
      </c>
      <c r="M169" s="26">
        <v>83.6</v>
      </c>
      <c r="N169" s="26">
        <v>167.2</v>
      </c>
    </row>
    <row r="170" spans="4:14">
      <c r="D170" s="21">
        <v>46090</v>
      </c>
      <c r="E170" s="22">
        <v>1583386</v>
      </c>
      <c r="F170" s="22" t="s">
        <v>20</v>
      </c>
      <c r="G170" s="22">
        <v>20358566</v>
      </c>
      <c r="H170" s="22" t="s">
        <v>365</v>
      </c>
      <c r="I170" s="22">
        <v>1</v>
      </c>
      <c r="J170" s="27" t="s">
        <v>145</v>
      </c>
      <c r="K170" s="24">
        <f t="shared" si="8"/>
        <v>4</v>
      </c>
      <c r="L170" s="25">
        <v>4.4</v>
      </c>
      <c r="M170" s="26">
        <v>17.6</v>
      </c>
      <c r="N170" s="26">
        <v>17.6</v>
      </c>
    </row>
    <row r="171" spans="4:14">
      <c r="D171" s="21">
        <v>46090</v>
      </c>
      <c r="E171" s="22">
        <v>1583386</v>
      </c>
      <c r="F171" s="22" t="s">
        <v>20</v>
      </c>
      <c r="G171" s="22">
        <v>20325179</v>
      </c>
      <c r="H171" s="22" t="s">
        <v>396</v>
      </c>
      <c r="I171" s="22">
        <v>1</v>
      </c>
      <c r="J171" s="27" t="s">
        <v>25</v>
      </c>
      <c r="K171" s="24">
        <v>1</v>
      </c>
      <c r="L171" s="25">
        <v>8.8</v>
      </c>
      <c r="M171" s="25">
        <v>13.2</v>
      </c>
      <c r="N171" s="25">
        <v>13.2</v>
      </c>
    </row>
    <row r="172" spans="4:14">
      <c r="D172" s="21"/>
      <c r="E172" s="22"/>
      <c r="F172" s="22"/>
      <c r="G172" s="22"/>
      <c r="H172" s="22"/>
      <c r="I172" s="22"/>
      <c r="J172" s="27" t="s">
        <v>145</v>
      </c>
      <c r="K172" s="24">
        <v>1</v>
      </c>
      <c r="L172" s="25">
        <v>4.4</v>
      </c>
      <c r="M172" s="25"/>
      <c r="N172" s="25"/>
    </row>
    <row r="173" spans="4:14">
      <c r="D173" s="21">
        <v>46090</v>
      </c>
      <c r="E173" s="22">
        <v>1583386</v>
      </c>
      <c r="F173" s="22" t="s">
        <v>20</v>
      </c>
      <c r="G173" s="22">
        <v>20392088</v>
      </c>
      <c r="H173" s="22" t="s">
        <v>397</v>
      </c>
      <c r="I173" s="22">
        <v>1</v>
      </c>
      <c r="J173" s="27" t="s">
        <v>22</v>
      </c>
      <c r="K173" s="24">
        <v>1</v>
      </c>
      <c r="L173" s="25">
        <v>6.4</v>
      </c>
      <c r="M173" s="25">
        <v>10.8</v>
      </c>
      <c r="N173" s="26">
        <v>10.8</v>
      </c>
    </row>
    <row r="174" spans="4:14">
      <c r="D174" s="21"/>
      <c r="E174" s="22"/>
      <c r="F174" s="22"/>
      <c r="G174" s="22"/>
      <c r="H174" s="22"/>
      <c r="I174" s="22"/>
      <c r="J174" s="27" t="s">
        <v>145</v>
      </c>
      <c r="K174" s="24">
        <v>1</v>
      </c>
      <c r="L174" s="25">
        <v>4.4</v>
      </c>
      <c r="M174" s="25"/>
      <c r="N174" s="26"/>
    </row>
    <row r="175" spans="4:14">
      <c r="D175" s="21">
        <v>46090</v>
      </c>
      <c r="E175" s="22">
        <v>1583386</v>
      </c>
      <c r="F175" s="22" t="s">
        <v>20</v>
      </c>
      <c r="G175" s="22">
        <v>20324370</v>
      </c>
      <c r="H175" s="22" t="s">
        <v>95</v>
      </c>
      <c r="I175" s="22">
        <v>1</v>
      </c>
      <c r="J175" s="23" t="s">
        <v>22</v>
      </c>
      <c r="K175" s="24">
        <v>1</v>
      </c>
      <c r="L175" s="25">
        <v>6.4</v>
      </c>
      <c r="M175" s="26">
        <v>6.4</v>
      </c>
      <c r="N175" s="26">
        <v>6.4</v>
      </c>
    </row>
    <row r="176" spans="4:14">
      <c r="D176" s="21">
        <v>46090</v>
      </c>
      <c r="E176" s="22">
        <v>1583386</v>
      </c>
      <c r="F176" s="22" t="s">
        <v>20</v>
      </c>
      <c r="G176" s="22">
        <v>20324533</v>
      </c>
      <c r="H176" s="22" t="s">
        <v>84</v>
      </c>
      <c r="I176" s="22">
        <v>1</v>
      </c>
      <c r="J176" s="23" t="s">
        <v>22</v>
      </c>
      <c r="K176" s="24">
        <v>1</v>
      </c>
      <c r="L176" s="25">
        <v>6.4</v>
      </c>
      <c r="M176" s="26">
        <v>6.4</v>
      </c>
      <c r="N176" s="26">
        <v>6.4</v>
      </c>
    </row>
    <row r="177" spans="4:14">
      <c r="D177" s="21">
        <v>46090</v>
      </c>
      <c r="E177" s="22">
        <v>1583386</v>
      </c>
      <c r="F177" s="22" t="s">
        <v>20</v>
      </c>
      <c r="G177" s="22">
        <v>20324367</v>
      </c>
      <c r="H177" s="22" t="s">
        <v>146</v>
      </c>
      <c r="I177" s="22">
        <v>1</v>
      </c>
      <c r="J177" s="23" t="s">
        <v>22</v>
      </c>
      <c r="K177" s="24">
        <v>1</v>
      </c>
      <c r="L177" s="25">
        <v>6.4</v>
      </c>
      <c r="M177" s="26">
        <v>6.4</v>
      </c>
      <c r="N177" s="26">
        <v>6.4</v>
      </c>
    </row>
    <row r="178" spans="4:14">
      <c r="D178" s="21">
        <v>46090</v>
      </c>
      <c r="E178" s="22">
        <v>1583386</v>
      </c>
      <c r="F178" s="22" t="s">
        <v>20</v>
      </c>
      <c r="G178" s="22">
        <v>20358758</v>
      </c>
      <c r="H178" s="22" t="s">
        <v>367</v>
      </c>
      <c r="I178" s="22">
        <v>1</v>
      </c>
      <c r="J178" s="23" t="s">
        <v>22</v>
      </c>
      <c r="K178" s="24">
        <v>1</v>
      </c>
      <c r="L178" s="25">
        <v>6.4</v>
      </c>
      <c r="M178" s="26">
        <v>6.4</v>
      </c>
      <c r="N178" s="26">
        <v>6.4</v>
      </c>
    </row>
    <row r="179" spans="4:14">
      <c r="D179" s="21">
        <v>46090</v>
      </c>
      <c r="E179" s="22">
        <v>1583386</v>
      </c>
      <c r="F179" s="22" t="s">
        <v>16</v>
      </c>
      <c r="G179" s="22">
        <v>20326491</v>
      </c>
      <c r="H179" s="22" t="s">
        <v>398</v>
      </c>
      <c r="I179" s="22">
        <v>1</v>
      </c>
      <c r="J179" s="28" t="s">
        <v>18</v>
      </c>
      <c r="K179" s="24">
        <f>M179/L179</f>
        <v>15</v>
      </c>
      <c r="L179" s="25">
        <v>4.4</v>
      </c>
      <c r="M179" s="26">
        <v>66</v>
      </c>
      <c r="N179" s="26">
        <v>66</v>
      </c>
    </row>
    <row r="180" spans="4:14">
      <c r="D180" s="21">
        <v>46090</v>
      </c>
      <c r="E180" s="22">
        <v>1583386</v>
      </c>
      <c r="F180" s="22" t="s">
        <v>16</v>
      </c>
      <c r="G180" s="22">
        <v>20325126</v>
      </c>
      <c r="H180" s="22" t="s">
        <v>399</v>
      </c>
      <c r="I180" s="22">
        <v>1</v>
      </c>
      <c r="J180" s="28" t="s">
        <v>18</v>
      </c>
      <c r="K180" s="24">
        <f t="shared" ref="K180:K185" si="9">M180/L180</f>
        <v>8</v>
      </c>
      <c r="L180" s="25">
        <v>4.4</v>
      </c>
      <c r="M180" s="26">
        <v>35.2</v>
      </c>
      <c r="N180" s="26">
        <v>35.2</v>
      </c>
    </row>
    <row r="181" spans="4:14">
      <c r="D181" s="21">
        <v>46090</v>
      </c>
      <c r="E181" s="22">
        <v>1583386</v>
      </c>
      <c r="F181" s="22" t="s">
        <v>16</v>
      </c>
      <c r="G181" s="22">
        <v>20325204</v>
      </c>
      <c r="H181" s="22" t="s">
        <v>368</v>
      </c>
      <c r="I181" s="22">
        <v>2</v>
      </c>
      <c r="J181" s="28" t="s">
        <v>18</v>
      </c>
      <c r="K181" s="24">
        <f t="shared" si="9"/>
        <v>13</v>
      </c>
      <c r="L181" s="25">
        <v>4.4</v>
      </c>
      <c r="M181" s="26">
        <v>57.2</v>
      </c>
      <c r="N181" s="26">
        <v>114.4</v>
      </c>
    </row>
    <row r="182" spans="4:14">
      <c r="D182" s="21">
        <v>46090</v>
      </c>
      <c r="E182" s="22">
        <v>1583386</v>
      </c>
      <c r="F182" s="22" t="s">
        <v>20</v>
      </c>
      <c r="G182" s="22">
        <v>20325545</v>
      </c>
      <c r="H182" s="22" t="s">
        <v>400</v>
      </c>
      <c r="I182" s="22">
        <v>2</v>
      </c>
      <c r="J182" s="28" t="s">
        <v>18</v>
      </c>
      <c r="K182" s="24">
        <f t="shared" si="9"/>
        <v>3</v>
      </c>
      <c r="L182" s="25">
        <v>4.4</v>
      </c>
      <c r="M182" s="26">
        <v>13.2</v>
      </c>
      <c r="N182" s="26">
        <v>26.4</v>
      </c>
    </row>
    <row r="183" spans="4:14">
      <c r="D183" s="21">
        <v>46090</v>
      </c>
      <c r="E183" s="22">
        <v>1583386</v>
      </c>
      <c r="F183" s="22" t="s">
        <v>20</v>
      </c>
      <c r="G183" s="22">
        <v>20325131</v>
      </c>
      <c r="H183" s="22" t="s">
        <v>369</v>
      </c>
      <c r="I183" s="22">
        <v>1</v>
      </c>
      <c r="J183" s="28" t="s">
        <v>18</v>
      </c>
      <c r="K183" s="24">
        <f t="shared" si="9"/>
        <v>8</v>
      </c>
      <c r="L183" s="25">
        <v>4.4</v>
      </c>
      <c r="M183" s="26">
        <v>35.2</v>
      </c>
      <c r="N183" s="26">
        <v>35.2</v>
      </c>
    </row>
    <row r="184" spans="4:14">
      <c r="D184" s="21">
        <v>46090</v>
      </c>
      <c r="E184" s="22">
        <v>1583386</v>
      </c>
      <c r="F184" s="22" t="s">
        <v>20</v>
      </c>
      <c r="G184" s="22">
        <v>20325759</v>
      </c>
      <c r="H184" s="22" t="s">
        <v>390</v>
      </c>
      <c r="I184" s="22">
        <v>1</v>
      </c>
      <c r="J184" s="28" t="s">
        <v>18</v>
      </c>
      <c r="K184" s="24">
        <f t="shared" si="9"/>
        <v>9</v>
      </c>
      <c r="L184" s="25">
        <v>4.4</v>
      </c>
      <c r="M184" s="26">
        <v>39.6</v>
      </c>
      <c r="N184" s="26">
        <v>39.6</v>
      </c>
    </row>
    <row r="185" spans="4:14">
      <c r="D185" s="21">
        <v>46090</v>
      </c>
      <c r="E185" s="22">
        <v>1583386</v>
      </c>
      <c r="F185" s="22" t="s">
        <v>20</v>
      </c>
      <c r="G185" s="22">
        <v>20324699</v>
      </c>
      <c r="H185" s="22" t="s">
        <v>283</v>
      </c>
      <c r="I185" s="22">
        <v>5</v>
      </c>
      <c r="J185" s="28" t="s">
        <v>18</v>
      </c>
      <c r="K185" s="24">
        <f t="shared" si="9"/>
        <v>5</v>
      </c>
      <c r="L185" s="25">
        <v>4.4</v>
      </c>
      <c r="M185" s="26">
        <v>22</v>
      </c>
      <c r="N185" s="26">
        <v>110</v>
      </c>
    </row>
    <row r="186" spans="4:14">
      <c r="D186" s="21">
        <v>46090</v>
      </c>
      <c r="E186" s="22">
        <v>1583386</v>
      </c>
      <c r="F186" s="22" t="s">
        <v>55</v>
      </c>
      <c r="G186" s="22">
        <v>20354932</v>
      </c>
      <c r="H186" s="22" t="s">
        <v>236</v>
      </c>
      <c r="I186" s="22">
        <v>9</v>
      </c>
      <c r="J186" s="30" t="s">
        <v>57</v>
      </c>
      <c r="K186" s="24">
        <v>1</v>
      </c>
      <c r="L186" s="25">
        <v>3.2</v>
      </c>
      <c r="M186" s="26">
        <v>3.2</v>
      </c>
      <c r="N186" s="26">
        <v>28.8</v>
      </c>
    </row>
    <row r="187" spans="4:14">
      <c r="D187" s="21">
        <v>46091</v>
      </c>
      <c r="E187" s="22">
        <v>1583455</v>
      </c>
      <c r="F187" s="22" t="s">
        <v>20</v>
      </c>
      <c r="G187" s="22">
        <v>20415172</v>
      </c>
      <c r="H187" s="22" t="s">
        <v>401</v>
      </c>
      <c r="I187" s="22">
        <v>1</v>
      </c>
      <c r="J187" s="28" t="s">
        <v>295</v>
      </c>
      <c r="K187" s="24">
        <v>1</v>
      </c>
      <c r="L187" s="25">
        <v>20</v>
      </c>
      <c r="M187" s="26">
        <v>20</v>
      </c>
      <c r="N187" s="26">
        <v>20</v>
      </c>
    </row>
    <row r="188" spans="4:14">
      <c r="D188" s="21">
        <v>46091</v>
      </c>
      <c r="E188" s="22">
        <v>1584733</v>
      </c>
      <c r="F188" s="22" t="s">
        <v>16</v>
      </c>
      <c r="G188" s="22">
        <v>20324463</v>
      </c>
      <c r="H188" s="22" t="s">
        <v>289</v>
      </c>
      <c r="I188" s="22">
        <v>1</v>
      </c>
      <c r="J188" s="28" t="s">
        <v>18</v>
      </c>
      <c r="K188" s="24">
        <f t="shared" ref="K188:K193" si="10">M188/L188</f>
        <v>35</v>
      </c>
      <c r="L188" s="25">
        <v>4.4</v>
      </c>
      <c r="M188" s="26">
        <v>154</v>
      </c>
      <c r="N188" s="26">
        <v>154</v>
      </c>
    </row>
    <row r="189" spans="4:14">
      <c r="D189" s="21">
        <v>46091</v>
      </c>
      <c r="E189" s="22">
        <v>1584733</v>
      </c>
      <c r="F189" s="22" t="s">
        <v>16</v>
      </c>
      <c r="G189" s="22">
        <v>20324039</v>
      </c>
      <c r="H189" s="22" t="s">
        <v>338</v>
      </c>
      <c r="I189" s="22">
        <v>2</v>
      </c>
      <c r="J189" s="28" t="s">
        <v>18</v>
      </c>
      <c r="K189" s="24">
        <f t="shared" si="10"/>
        <v>37</v>
      </c>
      <c r="L189" s="25">
        <v>4.4</v>
      </c>
      <c r="M189" s="26">
        <v>162.8</v>
      </c>
      <c r="N189" s="26">
        <v>325.6</v>
      </c>
    </row>
    <row r="190" spans="4:14">
      <c r="D190" s="21">
        <v>46091</v>
      </c>
      <c r="E190" s="22">
        <v>1584733</v>
      </c>
      <c r="F190" s="22" t="s">
        <v>16</v>
      </c>
      <c r="G190" s="22">
        <v>20324040</v>
      </c>
      <c r="H190" s="22" t="s">
        <v>402</v>
      </c>
      <c r="I190" s="22">
        <v>1</v>
      </c>
      <c r="J190" s="28" t="s">
        <v>18</v>
      </c>
      <c r="K190" s="24">
        <f t="shared" si="10"/>
        <v>47</v>
      </c>
      <c r="L190" s="25">
        <v>4.4</v>
      </c>
      <c r="M190" s="26">
        <v>206.8</v>
      </c>
      <c r="N190" s="26">
        <v>206.8</v>
      </c>
    </row>
    <row r="191" spans="4:14">
      <c r="D191" s="21">
        <v>46091</v>
      </c>
      <c r="E191" s="22">
        <v>1584733</v>
      </c>
      <c r="F191" s="22" t="s">
        <v>16</v>
      </c>
      <c r="G191" s="22">
        <v>20324042</v>
      </c>
      <c r="H191" s="22" t="s">
        <v>403</v>
      </c>
      <c r="I191" s="22">
        <v>1</v>
      </c>
      <c r="J191" s="28" t="s">
        <v>18</v>
      </c>
      <c r="K191" s="24">
        <f t="shared" si="10"/>
        <v>69</v>
      </c>
      <c r="L191" s="25">
        <v>4.4</v>
      </c>
      <c r="M191" s="26">
        <v>303.6</v>
      </c>
      <c r="N191" s="26">
        <v>303.6</v>
      </c>
    </row>
    <row r="192" spans="4:14">
      <c r="D192" s="21">
        <v>46091</v>
      </c>
      <c r="E192" s="22">
        <v>1584733</v>
      </c>
      <c r="F192" s="22" t="s">
        <v>16</v>
      </c>
      <c r="G192" s="22">
        <v>20324468</v>
      </c>
      <c r="H192" s="22" t="s">
        <v>404</v>
      </c>
      <c r="I192" s="22">
        <v>2</v>
      </c>
      <c r="J192" s="28" t="s">
        <v>18</v>
      </c>
      <c r="K192" s="24">
        <f t="shared" si="10"/>
        <v>86</v>
      </c>
      <c r="L192" s="25">
        <v>4.4</v>
      </c>
      <c r="M192" s="26">
        <v>378.4</v>
      </c>
      <c r="N192" s="26">
        <v>756.8</v>
      </c>
    </row>
    <row r="193" spans="4:14">
      <c r="D193" s="21">
        <v>46091</v>
      </c>
      <c r="E193" s="22">
        <v>1584733</v>
      </c>
      <c r="F193" s="22" t="s">
        <v>16</v>
      </c>
      <c r="G193" s="22">
        <v>20324045</v>
      </c>
      <c r="H193" s="22" t="s">
        <v>281</v>
      </c>
      <c r="I193" s="22">
        <v>2</v>
      </c>
      <c r="J193" s="28" t="s">
        <v>18</v>
      </c>
      <c r="K193" s="24">
        <f t="shared" si="10"/>
        <v>19</v>
      </c>
      <c r="L193" s="25">
        <v>4.4</v>
      </c>
      <c r="M193" s="26">
        <v>83.6</v>
      </c>
      <c r="N193" s="26">
        <v>167.2</v>
      </c>
    </row>
    <row r="194" spans="4:14">
      <c r="D194" s="21">
        <v>46091</v>
      </c>
      <c r="E194" s="22">
        <v>1584733</v>
      </c>
      <c r="F194" s="22" t="s">
        <v>20</v>
      </c>
      <c r="G194" s="22">
        <v>20325529</v>
      </c>
      <c r="H194" s="22" t="s">
        <v>405</v>
      </c>
      <c r="I194" s="22">
        <v>1</v>
      </c>
      <c r="J194" s="28" t="s">
        <v>18</v>
      </c>
      <c r="K194" s="24">
        <f t="shared" ref="K194:K196" si="11">M194/L194</f>
        <v>4</v>
      </c>
      <c r="L194" s="25">
        <v>4.4</v>
      </c>
      <c r="M194" s="26">
        <v>17.6</v>
      </c>
      <c r="N194" s="26">
        <v>17.6</v>
      </c>
    </row>
    <row r="195" spans="4:14">
      <c r="D195" s="21">
        <v>46091</v>
      </c>
      <c r="E195" s="22">
        <v>1584733</v>
      </c>
      <c r="F195" s="22" t="s">
        <v>20</v>
      </c>
      <c r="G195" s="22">
        <v>20324699</v>
      </c>
      <c r="H195" s="22" t="s">
        <v>283</v>
      </c>
      <c r="I195" s="22">
        <v>4</v>
      </c>
      <c r="J195" s="28" t="s">
        <v>18</v>
      </c>
      <c r="K195" s="24">
        <f t="shared" si="11"/>
        <v>5</v>
      </c>
      <c r="L195" s="25">
        <v>4.4</v>
      </c>
      <c r="M195" s="26">
        <v>22</v>
      </c>
      <c r="N195" s="26">
        <v>88</v>
      </c>
    </row>
    <row r="196" spans="4:14">
      <c r="D196" s="21">
        <v>46092</v>
      </c>
      <c r="E196" s="22">
        <v>1584759</v>
      </c>
      <c r="F196" s="22" t="s">
        <v>16</v>
      </c>
      <c r="G196" s="22">
        <v>20324463</v>
      </c>
      <c r="H196" s="22" t="s">
        <v>289</v>
      </c>
      <c r="I196" s="22">
        <v>1</v>
      </c>
      <c r="J196" s="28" t="s">
        <v>18</v>
      </c>
      <c r="K196" s="24">
        <f t="shared" si="11"/>
        <v>35</v>
      </c>
      <c r="L196" s="25">
        <v>4.4</v>
      </c>
      <c r="M196" s="26">
        <v>154</v>
      </c>
      <c r="N196" s="26">
        <v>154</v>
      </c>
    </row>
    <row r="197" spans="4:14">
      <c r="D197" s="21">
        <v>46092</v>
      </c>
      <c r="E197" s="22">
        <v>1584759</v>
      </c>
      <c r="F197" s="22" t="s">
        <v>20</v>
      </c>
      <c r="G197" s="22">
        <v>20372629</v>
      </c>
      <c r="H197" s="22" t="s">
        <v>406</v>
      </c>
      <c r="I197" s="22">
        <v>1</v>
      </c>
      <c r="J197" s="27" t="s">
        <v>22</v>
      </c>
      <c r="K197" s="24">
        <v>1</v>
      </c>
      <c r="L197" s="25">
        <v>6.4</v>
      </c>
      <c r="M197" s="25">
        <v>10.8</v>
      </c>
      <c r="N197" s="26">
        <v>10.8</v>
      </c>
    </row>
    <row r="198" spans="4:14">
      <c r="D198" s="21"/>
      <c r="E198" s="22"/>
      <c r="F198" s="22"/>
      <c r="G198" s="22"/>
      <c r="H198" s="22"/>
      <c r="I198" s="22"/>
      <c r="J198" s="27" t="s">
        <v>145</v>
      </c>
      <c r="K198" s="24">
        <v>1</v>
      </c>
      <c r="L198" s="25">
        <v>4.4</v>
      </c>
      <c r="M198" s="25"/>
      <c r="N198" s="26"/>
    </row>
    <row r="199" spans="4:14">
      <c r="D199" s="21">
        <v>46092</v>
      </c>
      <c r="E199" s="22">
        <v>1584759</v>
      </c>
      <c r="F199" s="22" t="s">
        <v>20</v>
      </c>
      <c r="G199" s="22">
        <v>20356313</v>
      </c>
      <c r="H199" s="22" t="s">
        <v>407</v>
      </c>
      <c r="I199" s="22">
        <v>1</v>
      </c>
      <c r="J199" s="27" t="s">
        <v>145</v>
      </c>
      <c r="K199" s="24">
        <f t="shared" ref="K199:K207" si="12">M199/L199</f>
        <v>3</v>
      </c>
      <c r="L199" s="25">
        <v>4.4</v>
      </c>
      <c r="M199" s="26">
        <v>13.2</v>
      </c>
      <c r="N199" s="26">
        <v>13.2</v>
      </c>
    </row>
    <row r="200" spans="4:14">
      <c r="D200" s="21">
        <v>46092</v>
      </c>
      <c r="E200" s="22">
        <v>1584759</v>
      </c>
      <c r="F200" s="22" t="s">
        <v>20</v>
      </c>
      <c r="G200" s="22">
        <v>20324367</v>
      </c>
      <c r="H200" s="22" t="s">
        <v>146</v>
      </c>
      <c r="I200" s="22">
        <v>1</v>
      </c>
      <c r="J200" s="23" t="s">
        <v>22</v>
      </c>
      <c r="K200" s="24">
        <v>1</v>
      </c>
      <c r="L200" s="25">
        <v>6.4</v>
      </c>
      <c r="M200" s="26">
        <v>6.4</v>
      </c>
      <c r="N200" s="26">
        <v>6.4</v>
      </c>
    </row>
    <row r="201" spans="4:14">
      <c r="D201" s="21">
        <v>46092</v>
      </c>
      <c r="E201" s="22">
        <v>1584759</v>
      </c>
      <c r="F201" s="22" t="s">
        <v>20</v>
      </c>
      <c r="G201" s="22">
        <v>20324830</v>
      </c>
      <c r="H201" s="22" t="s">
        <v>327</v>
      </c>
      <c r="I201" s="22">
        <v>1</v>
      </c>
      <c r="J201" s="23" t="s">
        <v>22</v>
      </c>
      <c r="K201" s="24">
        <v>1</v>
      </c>
      <c r="L201" s="25">
        <v>6.4</v>
      </c>
      <c r="M201" s="26">
        <v>6.4</v>
      </c>
      <c r="N201" s="26">
        <v>6.4</v>
      </c>
    </row>
    <row r="202" spans="4:14">
      <c r="D202" s="21">
        <v>46092</v>
      </c>
      <c r="E202" s="22">
        <v>1584759</v>
      </c>
      <c r="F202" s="22" t="s">
        <v>20</v>
      </c>
      <c r="G202" s="22">
        <v>20352348</v>
      </c>
      <c r="H202" s="22" t="s">
        <v>408</v>
      </c>
      <c r="I202" s="22">
        <v>1</v>
      </c>
      <c r="J202" s="27" t="s">
        <v>25</v>
      </c>
      <c r="K202" s="24">
        <v>1</v>
      </c>
      <c r="L202" s="25">
        <v>8.8</v>
      </c>
      <c r="M202" s="26">
        <v>8.8</v>
      </c>
      <c r="N202" s="26">
        <v>8.8</v>
      </c>
    </row>
    <row r="203" spans="4:14">
      <c r="D203" s="21">
        <v>46092</v>
      </c>
      <c r="E203" s="22">
        <v>1584759</v>
      </c>
      <c r="F203" s="22" t="s">
        <v>20</v>
      </c>
      <c r="G203" s="22">
        <v>20325529</v>
      </c>
      <c r="H203" s="22" t="s">
        <v>405</v>
      </c>
      <c r="I203" s="22">
        <v>1</v>
      </c>
      <c r="J203" s="28" t="s">
        <v>18</v>
      </c>
      <c r="K203" s="24">
        <f t="shared" si="12"/>
        <v>4</v>
      </c>
      <c r="L203" s="25">
        <v>4.4</v>
      </c>
      <c r="M203" s="26">
        <v>17.6</v>
      </c>
      <c r="N203" s="26">
        <v>17.6</v>
      </c>
    </row>
    <row r="204" spans="4:14">
      <c r="D204" s="21">
        <v>46092</v>
      </c>
      <c r="E204" s="22">
        <v>1584759</v>
      </c>
      <c r="F204" s="22" t="s">
        <v>20</v>
      </c>
      <c r="G204" s="22">
        <v>20324465</v>
      </c>
      <c r="H204" s="22" t="s">
        <v>409</v>
      </c>
      <c r="I204" s="22">
        <v>1</v>
      </c>
      <c r="J204" s="28" t="s">
        <v>18</v>
      </c>
      <c r="K204" s="24">
        <f t="shared" si="12"/>
        <v>6</v>
      </c>
      <c r="L204" s="25">
        <v>4.4</v>
      </c>
      <c r="M204" s="26">
        <v>26.4</v>
      </c>
      <c r="N204" s="26">
        <v>26.4</v>
      </c>
    </row>
    <row r="205" spans="4:14">
      <c r="D205" s="21">
        <v>46092</v>
      </c>
      <c r="E205" s="22">
        <v>1584759</v>
      </c>
      <c r="F205" s="22" t="s">
        <v>20</v>
      </c>
      <c r="G205" s="22">
        <v>20328409</v>
      </c>
      <c r="H205" s="22" t="s">
        <v>410</v>
      </c>
      <c r="I205" s="22">
        <v>1</v>
      </c>
      <c r="J205" s="28" t="s">
        <v>18</v>
      </c>
      <c r="K205" s="24">
        <f t="shared" si="12"/>
        <v>20</v>
      </c>
      <c r="L205" s="25">
        <v>4.4</v>
      </c>
      <c r="M205" s="26">
        <v>88</v>
      </c>
      <c r="N205" s="26">
        <v>88</v>
      </c>
    </row>
    <row r="206" spans="4:14">
      <c r="D206" s="21">
        <v>46092</v>
      </c>
      <c r="E206" s="22">
        <v>1584759</v>
      </c>
      <c r="F206" s="22" t="s">
        <v>20</v>
      </c>
      <c r="G206" s="22">
        <v>20328408</v>
      </c>
      <c r="H206" s="22" t="s">
        <v>411</v>
      </c>
      <c r="I206" s="22">
        <v>1</v>
      </c>
      <c r="J206" s="28" t="s">
        <v>18</v>
      </c>
      <c r="K206" s="24">
        <f t="shared" si="12"/>
        <v>8</v>
      </c>
      <c r="L206" s="25">
        <v>4.4</v>
      </c>
      <c r="M206" s="26">
        <v>35.2</v>
      </c>
      <c r="N206" s="26">
        <v>35.2</v>
      </c>
    </row>
    <row r="207" spans="4:14">
      <c r="D207" s="21">
        <v>46092</v>
      </c>
      <c r="E207" s="22">
        <v>1584759</v>
      </c>
      <c r="F207" s="22" t="s">
        <v>20</v>
      </c>
      <c r="G207" s="22">
        <v>20329152</v>
      </c>
      <c r="H207" s="22" t="s">
        <v>352</v>
      </c>
      <c r="I207" s="22">
        <v>1</v>
      </c>
      <c r="J207" s="28" t="s">
        <v>18</v>
      </c>
      <c r="K207" s="24">
        <f t="shared" si="12"/>
        <v>11</v>
      </c>
      <c r="L207" s="25">
        <v>4.4</v>
      </c>
      <c r="M207" s="26">
        <v>48.4</v>
      </c>
      <c r="N207" s="26">
        <v>48.4</v>
      </c>
    </row>
    <row r="208" spans="4:14">
      <c r="D208" s="21">
        <v>46092</v>
      </c>
      <c r="E208" s="22">
        <v>1584759</v>
      </c>
      <c r="F208" s="22" t="s">
        <v>20</v>
      </c>
      <c r="G208" s="22">
        <v>20328487</v>
      </c>
      <c r="H208" s="22" t="s">
        <v>412</v>
      </c>
      <c r="I208" s="22">
        <v>1</v>
      </c>
      <c r="J208" s="28" t="s">
        <v>18</v>
      </c>
      <c r="K208" s="24">
        <f t="shared" ref="K208:K212" si="13">M208/L208</f>
        <v>6</v>
      </c>
      <c r="L208" s="25">
        <v>4.4</v>
      </c>
      <c r="M208" s="26">
        <v>26.4</v>
      </c>
      <c r="N208" s="26">
        <v>26.4</v>
      </c>
    </row>
    <row r="209" spans="4:14">
      <c r="D209" s="21">
        <v>46092</v>
      </c>
      <c r="E209" s="22">
        <v>1584759</v>
      </c>
      <c r="F209" s="22" t="s">
        <v>20</v>
      </c>
      <c r="G209" s="22">
        <v>20324699</v>
      </c>
      <c r="H209" s="22" t="s">
        <v>283</v>
      </c>
      <c r="I209" s="22">
        <v>2</v>
      </c>
      <c r="J209" s="28" t="s">
        <v>18</v>
      </c>
      <c r="K209" s="24">
        <f t="shared" si="13"/>
        <v>5</v>
      </c>
      <c r="L209" s="25">
        <v>4.4</v>
      </c>
      <c r="M209" s="26">
        <v>22</v>
      </c>
      <c r="N209" s="26">
        <v>44</v>
      </c>
    </row>
    <row r="210" spans="4:14">
      <c r="D210" s="21">
        <v>46092</v>
      </c>
      <c r="E210" s="22">
        <v>1584759</v>
      </c>
      <c r="F210" s="22" t="s">
        <v>20</v>
      </c>
      <c r="G210" s="22">
        <v>20325129</v>
      </c>
      <c r="H210" s="22" t="s">
        <v>413</v>
      </c>
      <c r="I210" s="22">
        <v>1</v>
      </c>
      <c r="J210" s="28" t="s">
        <v>18</v>
      </c>
      <c r="K210" s="24">
        <f t="shared" si="13"/>
        <v>4</v>
      </c>
      <c r="L210" s="25">
        <v>4.4</v>
      </c>
      <c r="M210" s="26">
        <v>17.6</v>
      </c>
      <c r="N210" s="26">
        <v>17.6</v>
      </c>
    </row>
    <row r="211" spans="4:14">
      <c r="D211" s="21">
        <v>46092</v>
      </c>
      <c r="E211" s="22">
        <v>1584759</v>
      </c>
      <c r="F211" s="22" t="s">
        <v>20</v>
      </c>
      <c r="G211" s="22">
        <v>20324966</v>
      </c>
      <c r="H211" s="22" t="s">
        <v>391</v>
      </c>
      <c r="I211" s="22">
        <v>1</v>
      </c>
      <c r="J211" s="28" t="s">
        <v>18</v>
      </c>
      <c r="K211" s="24">
        <f t="shared" si="13"/>
        <v>6</v>
      </c>
      <c r="L211" s="25">
        <v>4.4</v>
      </c>
      <c r="M211" s="26">
        <v>26.4</v>
      </c>
      <c r="N211" s="26">
        <v>26.4</v>
      </c>
    </row>
    <row r="212" spans="4:14">
      <c r="D212" s="21">
        <v>46092</v>
      </c>
      <c r="E212" s="22">
        <v>1584797</v>
      </c>
      <c r="F212" s="22" t="s">
        <v>16</v>
      </c>
      <c r="G212" s="22">
        <v>20324046</v>
      </c>
      <c r="H212" s="22" t="s">
        <v>259</v>
      </c>
      <c r="I212" s="22">
        <v>1</v>
      </c>
      <c r="J212" s="28" t="s">
        <v>18</v>
      </c>
      <c r="K212" s="24">
        <f t="shared" si="13"/>
        <v>49</v>
      </c>
      <c r="L212" s="25">
        <v>4.4</v>
      </c>
      <c r="M212" s="26">
        <v>215.6</v>
      </c>
      <c r="N212" s="26">
        <v>215.6</v>
      </c>
    </row>
    <row r="213" spans="4:14">
      <c r="D213" s="21">
        <v>46092</v>
      </c>
      <c r="E213" s="22">
        <v>1584797</v>
      </c>
      <c r="F213" s="22" t="s">
        <v>20</v>
      </c>
      <c r="G213" s="22">
        <v>20334954</v>
      </c>
      <c r="H213" s="22" t="s">
        <v>414</v>
      </c>
      <c r="I213" s="22">
        <v>1</v>
      </c>
      <c r="J213" s="46" t="s">
        <v>62</v>
      </c>
      <c r="K213" s="24">
        <v>1</v>
      </c>
      <c r="L213" s="25">
        <v>12.8</v>
      </c>
      <c r="M213" s="26">
        <v>12.8</v>
      </c>
      <c r="N213" s="26">
        <v>12.8</v>
      </c>
    </row>
    <row r="214" ht="25.5" spans="4:14">
      <c r="D214" s="21">
        <v>46092</v>
      </c>
      <c r="E214" s="22">
        <v>1584797</v>
      </c>
      <c r="F214" s="22" t="s">
        <v>20</v>
      </c>
      <c r="G214" s="22">
        <v>20355173</v>
      </c>
      <c r="H214" s="22" t="s">
        <v>415</v>
      </c>
      <c r="I214" s="22">
        <v>1</v>
      </c>
      <c r="J214" s="28" t="s">
        <v>18</v>
      </c>
      <c r="K214" s="24">
        <f>M214/L214</f>
        <v>9</v>
      </c>
      <c r="L214" s="25">
        <v>4.4</v>
      </c>
      <c r="M214" s="26">
        <v>39.6</v>
      </c>
      <c r="N214" s="26">
        <v>39.6</v>
      </c>
    </row>
    <row r="215" spans="4:14">
      <c r="D215" s="21">
        <v>46092</v>
      </c>
      <c r="E215" s="22">
        <v>1584797</v>
      </c>
      <c r="F215" s="22" t="s">
        <v>20</v>
      </c>
      <c r="G215" s="22">
        <v>20324699</v>
      </c>
      <c r="H215" s="22" t="s">
        <v>283</v>
      </c>
      <c r="I215" s="22">
        <v>2</v>
      </c>
      <c r="J215" s="28" t="s">
        <v>18</v>
      </c>
      <c r="K215" s="24">
        <f>M215/L215</f>
        <v>5</v>
      </c>
      <c r="L215" s="25">
        <v>4.4</v>
      </c>
      <c r="M215" s="26">
        <v>22</v>
      </c>
      <c r="N215" s="26">
        <v>44</v>
      </c>
    </row>
    <row r="216" spans="4:14">
      <c r="D216" s="21">
        <v>46092</v>
      </c>
      <c r="E216" s="22">
        <v>1584833</v>
      </c>
      <c r="F216" s="22" t="s">
        <v>20</v>
      </c>
      <c r="G216" s="22">
        <v>20372628</v>
      </c>
      <c r="H216" s="22" t="s">
        <v>416</v>
      </c>
      <c r="I216" s="22">
        <v>1</v>
      </c>
      <c r="J216" s="27" t="s">
        <v>175</v>
      </c>
      <c r="K216" s="24">
        <v>1</v>
      </c>
      <c r="L216" s="36">
        <v>10.4</v>
      </c>
      <c r="M216" s="26">
        <v>10.4</v>
      </c>
      <c r="N216" s="26">
        <v>10.4</v>
      </c>
    </row>
    <row r="217" spans="4:14">
      <c r="D217" s="21">
        <v>46092</v>
      </c>
      <c r="E217" s="22">
        <v>1584833</v>
      </c>
      <c r="F217" s="22" t="s">
        <v>20</v>
      </c>
      <c r="G217" s="22">
        <v>20330460</v>
      </c>
      <c r="H217" s="22" t="s">
        <v>417</v>
      </c>
      <c r="I217" s="22">
        <v>2</v>
      </c>
      <c r="J217" s="27" t="s">
        <v>175</v>
      </c>
      <c r="K217" s="24">
        <v>1</v>
      </c>
      <c r="L217" s="36">
        <v>10.4</v>
      </c>
      <c r="M217" s="26">
        <v>10.4</v>
      </c>
      <c r="N217" s="26">
        <v>20.8</v>
      </c>
    </row>
    <row r="218" spans="4:14">
      <c r="D218" s="21">
        <v>46092</v>
      </c>
      <c r="E218" s="22">
        <v>1584833</v>
      </c>
      <c r="F218" s="22" t="s">
        <v>20</v>
      </c>
      <c r="G218" s="22">
        <v>20354486</v>
      </c>
      <c r="H218" s="22" t="s">
        <v>418</v>
      </c>
      <c r="I218" s="22">
        <v>4</v>
      </c>
      <c r="J218" s="27" t="s">
        <v>175</v>
      </c>
      <c r="K218" s="24">
        <v>1</v>
      </c>
      <c r="L218" s="36">
        <v>10.4</v>
      </c>
      <c r="M218" s="26">
        <v>10.4</v>
      </c>
      <c r="N218" s="26">
        <v>41.6</v>
      </c>
    </row>
    <row r="219" spans="4:14">
      <c r="D219" s="21">
        <v>46092</v>
      </c>
      <c r="E219" s="22">
        <v>1584833</v>
      </c>
      <c r="F219" s="22" t="s">
        <v>20</v>
      </c>
      <c r="G219" s="22">
        <v>20325242</v>
      </c>
      <c r="H219" s="22" t="s">
        <v>419</v>
      </c>
      <c r="I219" s="22">
        <v>1</v>
      </c>
      <c r="J219" s="27" t="s">
        <v>175</v>
      </c>
      <c r="K219" s="24">
        <v>1</v>
      </c>
      <c r="L219" s="36">
        <v>10.4</v>
      </c>
      <c r="M219" s="26">
        <v>10.4</v>
      </c>
      <c r="N219" s="26">
        <v>10.4</v>
      </c>
    </row>
    <row r="220" spans="4:14">
      <c r="D220" s="21">
        <v>46092</v>
      </c>
      <c r="E220" s="22">
        <v>1584833</v>
      </c>
      <c r="F220" s="22" t="s">
        <v>20</v>
      </c>
      <c r="G220" s="22">
        <v>20343401</v>
      </c>
      <c r="H220" s="22" t="s">
        <v>420</v>
      </c>
      <c r="I220" s="22">
        <v>1</v>
      </c>
      <c r="J220" s="27" t="s">
        <v>175</v>
      </c>
      <c r="K220" s="24">
        <v>1</v>
      </c>
      <c r="L220" s="36">
        <v>10.4</v>
      </c>
      <c r="M220" s="26">
        <v>10.4</v>
      </c>
      <c r="N220" s="26">
        <v>10.4</v>
      </c>
    </row>
    <row r="221" spans="4:14">
      <c r="D221" s="21">
        <v>46092</v>
      </c>
      <c r="E221" s="22">
        <v>1584833</v>
      </c>
      <c r="F221" s="22" t="s">
        <v>20</v>
      </c>
      <c r="G221" s="22">
        <v>20326614</v>
      </c>
      <c r="H221" s="22" t="s">
        <v>421</v>
      </c>
      <c r="I221" s="22">
        <v>1</v>
      </c>
      <c r="J221" s="27" t="s">
        <v>175</v>
      </c>
      <c r="K221" s="24">
        <v>1</v>
      </c>
      <c r="L221" s="36">
        <v>10.4</v>
      </c>
      <c r="M221" s="26">
        <v>10.4</v>
      </c>
      <c r="N221" s="26">
        <v>10.4</v>
      </c>
    </row>
    <row r="222" spans="4:14">
      <c r="D222" s="21">
        <v>46092</v>
      </c>
      <c r="E222" s="22">
        <v>1584833</v>
      </c>
      <c r="F222" s="22" t="s">
        <v>20</v>
      </c>
      <c r="G222" s="22">
        <v>20325241</v>
      </c>
      <c r="H222" s="22" t="s">
        <v>422</v>
      </c>
      <c r="I222" s="22">
        <v>1</v>
      </c>
      <c r="J222" s="27" t="s">
        <v>175</v>
      </c>
      <c r="K222" s="24">
        <v>1</v>
      </c>
      <c r="L222" s="36">
        <v>10.4</v>
      </c>
      <c r="M222" s="26">
        <v>10.4</v>
      </c>
      <c r="N222" s="26">
        <v>10.4</v>
      </c>
    </row>
    <row r="223" spans="4:14">
      <c r="D223" s="21">
        <v>46092</v>
      </c>
      <c r="E223" s="22">
        <v>1584833</v>
      </c>
      <c r="F223" s="22" t="s">
        <v>20</v>
      </c>
      <c r="G223" s="22">
        <v>20352348</v>
      </c>
      <c r="H223" s="22" t="s">
        <v>408</v>
      </c>
      <c r="I223" s="22">
        <v>1</v>
      </c>
      <c r="J223" s="27" t="s">
        <v>25</v>
      </c>
      <c r="K223" s="24">
        <v>1</v>
      </c>
      <c r="L223" s="25">
        <v>8.8</v>
      </c>
      <c r="M223" s="26">
        <v>8.8</v>
      </c>
      <c r="N223" s="26">
        <v>8.8</v>
      </c>
    </row>
    <row r="224" spans="4:14">
      <c r="D224" s="21">
        <v>46092</v>
      </c>
      <c r="E224" s="22">
        <v>1584842</v>
      </c>
      <c r="F224" s="22" t="s">
        <v>20</v>
      </c>
      <c r="G224" s="22">
        <v>20336786</v>
      </c>
      <c r="H224" s="22" t="s">
        <v>423</v>
      </c>
      <c r="I224" s="22">
        <v>1</v>
      </c>
      <c r="J224" s="30" t="s">
        <v>39</v>
      </c>
      <c r="K224" s="24" t="s">
        <v>40</v>
      </c>
      <c r="L224" s="25">
        <v>70.4</v>
      </c>
      <c r="M224" s="26">
        <v>70.4</v>
      </c>
      <c r="N224" s="26">
        <v>70.4</v>
      </c>
    </row>
    <row r="225" spans="4:14">
      <c r="D225" s="21">
        <v>46092</v>
      </c>
      <c r="E225" s="22">
        <v>1584842</v>
      </c>
      <c r="F225" s="22" t="s">
        <v>20</v>
      </c>
      <c r="G225" s="22">
        <v>20363528</v>
      </c>
      <c r="H225" s="22" t="s">
        <v>424</v>
      </c>
      <c r="I225" s="22">
        <v>1</v>
      </c>
      <c r="J225" s="30" t="s">
        <v>205</v>
      </c>
      <c r="K225" s="24">
        <v>1</v>
      </c>
      <c r="L225" s="25">
        <v>28</v>
      </c>
      <c r="M225" s="26">
        <v>28</v>
      </c>
      <c r="N225" s="26">
        <v>28</v>
      </c>
    </row>
    <row r="226" spans="4:14">
      <c r="D226" s="21">
        <v>46092</v>
      </c>
      <c r="E226" s="22">
        <v>1584842</v>
      </c>
      <c r="F226" s="22" t="s">
        <v>20</v>
      </c>
      <c r="G226" s="22">
        <v>20342188</v>
      </c>
      <c r="H226" s="22" t="s">
        <v>370</v>
      </c>
      <c r="I226" s="22">
        <v>1</v>
      </c>
      <c r="J226" s="30" t="s">
        <v>210</v>
      </c>
      <c r="K226" s="24">
        <v>1</v>
      </c>
      <c r="L226" s="25">
        <v>22.4</v>
      </c>
      <c r="M226" s="26">
        <v>22.4</v>
      </c>
      <c r="N226" s="26">
        <v>22.4</v>
      </c>
    </row>
    <row r="227" spans="4:14">
      <c r="D227" s="21">
        <v>46092</v>
      </c>
      <c r="E227" s="22">
        <v>1584842</v>
      </c>
      <c r="F227" s="22" t="s">
        <v>20</v>
      </c>
      <c r="G227" s="22">
        <v>20328011</v>
      </c>
      <c r="H227" s="22" t="s">
        <v>425</v>
      </c>
      <c r="I227" s="22">
        <v>1</v>
      </c>
      <c r="J227" s="28" t="s">
        <v>28</v>
      </c>
      <c r="K227" s="24">
        <v>1</v>
      </c>
      <c r="L227" s="25">
        <v>17.6</v>
      </c>
      <c r="M227" s="26">
        <v>52.8</v>
      </c>
      <c r="N227" s="26">
        <v>52.8</v>
      </c>
    </row>
    <row r="228" spans="4:14">
      <c r="D228" s="21"/>
      <c r="E228" s="22"/>
      <c r="F228" s="22"/>
      <c r="G228" s="22"/>
      <c r="H228" s="22"/>
      <c r="I228" s="22"/>
      <c r="J228" s="28" t="s">
        <v>28</v>
      </c>
      <c r="K228" s="24">
        <v>1</v>
      </c>
      <c r="L228" s="25">
        <v>17.6</v>
      </c>
      <c r="M228" s="26"/>
      <c r="N228" s="26"/>
    </row>
    <row r="229" spans="4:14">
      <c r="D229" s="21"/>
      <c r="E229" s="22"/>
      <c r="F229" s="22"/>
      <c r="G229" s="22"/>
      <c r="H229" s="22"/>
      <c r="I229" s="22"/>
      <c r="J229" s="28" t="s">
        <v>28</v>
      </c>
      <c r="K229" s="24">
        <v>1</v>
      </c>
      <c r="L229" s="25">
        <v>17.6</v>
      </c>
      <c r="M229" s="26"/>
      <c r="N229" s="26"/>
    </row>
    <row r="230" spans="4:14">
      <c r="D230" s="21">
        <v>46092</v>
      </c>
      <c r="E230" s="22">
        <v>1584842</v>
      </c>
      <c r="F230" s="22" t="s">
        <v>20</v>
      </c>
      <c r="G230" s="22">
        <v>20324643</v>
      </c>
      <c r="H230" s="22" t="s">
        <v>343</v>
      </c>
      <c r="I230" s="22">
        <v>2</v>
      </c>
      <c r="J230" s="30" t="s">
        <v>210</v>
      </c>
      <c r="K230" s="24">
        <v>1</v>
      </c>
      <c r="L230" s="25">
        <v>22.4</v>
      </c>
      <c r="M230" s="26">
        <v>22.4</v>
      </c>
      <c r="N230" s="26">
        <v>44.8</v>
      </c>
    </row>
    <row r="231" spans="4:14">
      <c r="D231" s="21">
        <v>46092</v>
      </c>
      <c r="E231" s="22">
        <v>1584842</v>
      </c>
      <c r="F231" s="22" t="s">
        <v>20</v>
      </c>
      <c r="G231" s="22">
        <v>20324637</v>
      </c>
      <c r="H231" s="22" t="s">
        <v>291</v>
      </c>
      <c r="I231" s="22">
        <v>1</v>
      </c>
      <c r="J231" s="30" t="s">
        <v>205</v>
      </c>
      <c r="K231" s="24">
        <v>1</v>
      </c>
      <c r="L231" s="25">
        <v>28</v>
      </c>
      <c r="M231" s="26">
        <v>28</v>
      </c>
      <c r="N231" s="26">
        <v>28</v>
      </c>
    </row>
    <row r="232" spans="4:14">
      <c r="D232" s="21">
        <v>46092</v>
      </c>
      <c r="E232" s="22">
        <v>1584842</v>
      </c>
      <c r="F232" s="22" t="s">
        <v>20</v>
      </c>
      <c r="G232" s="22">
        <v>20330449</v>
      </c>
      <c r="H232" s="22" t="s">
        <v>292</v>
      </c>
      <c r="I232" s="22">
        <v>1</v>
      </c>
      <c r="J232" s="30" t="s">
        <v>210</v>
      </c>
      <c r="K232" s="24">
        <v>1</v>
      </c>
      <c r="L232" s="25">
        <v>22.4</v>
      </c>
      <c r="M232" s="26">
        <v>22.4</v>
      </c>
      <c r="N232" s="26">
        <v>22.4</v>
      </c>
    </row>
    <row r="233" spans="4:14">
      <c r="D233" s="21">
        <v>46092</v>
      </c>
      <c r="E233" s="22">
        <v>1584842</v>
      </c>
      <c r="F233" s="22" t="s">
        <v>20</v>
      </c>
      <c r="G233" s="22">
        <v>20330251</v>
      </c>
      <c r="H233" s="22" t="s">
        <v>426</v>
      </c>
      <c r="I233" s="22">
        <v>1</v>
      </c>
      <c r="J233" s="30" t="s">
        <v>205</v>
      </c>
      <c r="K233" s="24">
        <v>1</v>
      </c>
      <c r="L233" s="25">
        <v>28</v>
      </c>
      <c r="M233" s="26">
        <v>28</v>
      </c>
      <c r="N233" s="26">
        <v>28</v>
      </c>
    </row>
    <row r="234" spans="4:14">
      <c r="D234" s="21">
        <v>46092</v>
      </c>
      <c r="E234" s="22">
        <v>1584842</v>
      </c>
      <c r="F234" s="22" t="s">
        <v>20</v>
      </c>
      <c r="G234" s="22">
        <v>20325758</v>
      </c>
      <c r="H234" s="22" t="s">
        <v>427</v>
      </c>
      <c r="I234" s="22">
        <v>2</v>
      </c>
      <c r="J234" s="28" t="s">
        <v>295</v>
      </c>
      <c r="K234" s="24">
        <v>1</v>
      </c>
      <c r="L234" s="25">
        <v>20</v>
      </c>
      <c r="M234" s="26">
        <v>20</v>
      </c>
      <c r="N234" s="26">
        <v>40</v>
      </c>
    </row>
    <row r="235" spans="4:14">
      <c r="D235" s="21">
        <v>46092</v>
      </c>
      <c r="E235" s="22">
        <v>1584842</v>
      </c>
      <c r="F235" s="22" t="s">
        <v>20</v>
      </c>
      <c r="G235" s="22">
        <v>20329253</v>
      </c>
      <c r="H235" s="22" t="s">
        <v>320</v>
      </c>
      <c r="I235" s="22">
        <v>2</v>
      </c>
      <c r="J235" s="28" t="s">
        <v>28</v>
      </c>
      <c r="K235" s="24">
        <v>1</v>
      </c>
      <c r="L235" s="25">
        <v>17.6</v>
      </c>
      <c r="M235" s="26">
        <v>17.6</v>
      </c>
      <c r="N235" s="26">
        <v>35.2</v>
      </c>
    </row>
    <row r="236" spans="4:14">
      <c r="D236" s="21">
        <v>46092</v>
      </c>
      <c r="E236" s="22">
        <v>1584842</v>
      </c>
      <c r="F236" s="22" t="s">
        <v>20</v>
      </c>
      <c r="G236" s="22">
        <v>20324822</v>
      </c>
      <c r="H236" s="22" t="s">
        <v>321</v>
      </c>
      <c r="I236" s="22">
        <v>2</v>
      </c>
      <c r="J236" s="30" t="s">
        <v>205</v>
      </c>
      <c r="K236" s="24">
        <v>1</v>
      </c>
      <c r="L236" s="25">
        <v>28</v>
      </c>
      <c r="M236" s="26">
        <v>28</v>
      </c>
      <c r="N236" s="26">
        <v>56</v>
      </c>
    </row>
    <row r="237" spans="4:14">
      <c r="D237" s="21">
        <v>46092</v>
      </c>
      <c r="E237" s="22">
        <v>1584842</v>
      </c>
      <c r="F237" s="22" t="s">
        <v>20</v>
      </c>
      <c r="G237" s="22">
        <v>20369289</v>
      </c>
      <c r="H237" s="22" t="s">
        <v>428</v>
      </c>
      <c r="I237" s="22">
        <v>1</v>
      </c>
      <c r="J237" s="28" t="s">
        <v>28</v>
      </c>
      <c r="K237" s="24">
        <v>1</v>
      </c>
      <c r="L237" s="25">
        <v>17.6</v>
      </c>
      <c r="M237" s="26">
        <v>17.6</v>
      </c>
      <c r="N237" s="26">
        <v>17.6</v>
      </c>
    </row>
    <row r="238" spans="4:14">
      <c r="D238" s="21">
        <v>46092</v>
      </c>
      <c r="E238" s="22">
        <v>1584842</v>
      </c>
      <c r="F238" s="22" t="s">
        <v>20</v>
      </c>
      <c r="G238" s="22">
        <v>20416372</v>
      </c>
      <c r="H238" s="22" t="s">
        <v>429</v>
      </c>
      <c r="I238" s="22">
        <v>1</v>
      </c>
      <c r="J238" s="28" t="s">
        <v>28</v>
      </c>
      <c r="K238" s="24">
        <v>1</v>
      </c>
      <c r="L238" s="25">
        <v>17.6</v>
      </c>
      <c r="M238" s="26">
        <v>17.6</v>
      </c>
      <c r="N238" s="26">
        <v>17.6</v>
      </c>
    </row>
    <row r="239" spans="4:14">
      <c r="D239" s="21">
        <v>46092</v>
      </c>
      <c r="E239" s="22">
        <v>1584842</v>
      </c>
      <c r="F239" s="22" t="s">
        <v>20</v>
      </c>
      <c r="G239" s="22">
        <v>20387686</v>
      </c>
      <c r="H239" s="22" t="s">
        <v>371</v>
      </c>
      <c r="I239" s="22">
        <v>2</v>
      </c>
      <c r="J239" s="28" t="s">
        <v>28</v>
      </c>
      <c r="K239" s="24">
        <v>1</v>
      </c>
      <c r="L239" s="25">
        <v>17.6</v>
      </c>
      <c r="M239" s="26">
        <v>17.6</v>
      </c>
      <c r="N239" s="26">
        <v>35.2</v>
      </c>
    </row>
    <row r="240" spans="4:14">
      <c r="D240" s="21">
        <v>46092</v>
      </c>
      <c r="E240" s="22">
        <v>1584842</v>
      </c>
      <c r="F240" s="22" t="s">
        <v>20</v>
      </c>
      <c r="G240" s="22">
        <v>20324635</v>
      </c>
      <c r="H240" s="22" t="s">
        <v>372</v>
      </c>
      <c r="I240" s="22">
        <v>2</v>
      </c>
      <c r="J240" s="30" t="s">
        <v>205</v>
      </c>
      <c r="K240" s="24">
        <v>1</v>
      </c>
      <c r="L240" s="25">
        <v>28</v>
      </c>
      <c r="M240" s="26">
        <v>28</v>
      </c>
      <c r="N240" s="26">
        <v>56</v>
      </c>
    </row>
    <row r="241" spans="4:14">
      <c r="D241" s="21">
        <v>46092</v>
      </c>
      <c r="E241" s="22">
        <v>1584842</v>
      </c>
      <c r="F241" s="22" t="s">
        <v>20</v>
      </c>
      <c r="G241" s="22">
        <v>20324645</v>
      </c>
      <c r="H241" s="22" t="s">
        <v>346</v>
      </c>
      <c r="I241" s="22">
        <v>4</v>
      </c>
      <c r="J241" s="30" t="s">
        <v>210</v>
      </c>
      <c r="K241" s="24">
        <v>1</v>
      </c>
      <c r="L241" s="25">
        <v>22.4</v>
      </c>
      <c r="M241" s="26">
        <v>22.4</v>
      </c>
      <c r="N241" s="26">
        <v>89.6</v>
      </c>
    </row>
    <row r="242" spans="4:14">
      <c r="D242" s="21">
        <v>46092</v>
      </c>
      <c r="E242" s="22">
        <v>1584842</v>
      </c>
      <c r="F242" s="22" t="s">
        <v>20</v>
      </c>
      <c r="G242" s="22">
        <v>20329652</v>
      </c>
      <c r="H242" s="22" t="s">
        <v>430</v>
      </c>
      <c r="I242" s="22">
        <v>1</v>
      </c>
      <c r="J242" s="30" t="s">
        <v>210</v>
      </c>
      <c r="K242" s="24">
        <v>1</v>
      </c>
      <c r="L242" s="25">
        <v>22.4</v>
      </c>
      <c r="M242" s="26">
        <v>22.4</v>
      </c>
      <c r="N242" s="26">
        <v>22.4</v>
      </c>
    </row>
    <row r="243" spans="4:14">
      <c r="D243" s="21">
        <v>46092</v>
      </c>
      <c r="E243" s="22">
        <v>1584842</v>
      </c>
      <c r="F243" s="22" t="s">
        <v>20</v>
      </c>
      <c r="G243" s="22">
        <v>20324723</v>
      </c>
      <c r="H243" s="22" t="s">
        <v>330</v>
      </c>
      <c r="I243" s="22">
        <v>2</v>
      </c>
      <c r="J243" s="30" t="s">
        <v>210</v>
      </c>
      <c r="K243" s="24">
        <v>1</v>
      </c>
      <c r="L243" s="25">
        <v>22.4</v>
      </c>
      <c r="M243" s="26">
        <v>22.4</v>
      </c>
      <c r="N243" s="26">
        <v>44.8</v>
      </c>
    </row>
    <row r="244" spans="4:14">
      <c r="D244" s="21">
        <v>46092</v>
      </c>
      <c r="E244" s="22">
        <v>1584842</v>
      </c>
      <c r="F244" s="22" t="s">
        <v>20</v>
      </c>
      <c r="G244" s="22">
        <v>20324636</v>
      </c>
      <c r="H244" s="22" t="s">
        <v>347</v>
      </c>
      <c r="I244" s="22">
        <v>2</v>
      </c>
      <c r="J244" s="30" t="s">
        <v>205</v>
      </c>
      <c r="K244" s="24">
        <v>1</v>
      </c>
      <c r="L244" s="25">
        <v>28</v>
      </c>
      <c r="M244" s="26">
        <v>28</v>
      </c>
      <c r="N244" s="26">
        <v>56</v>
      </c>
    </row>
    <row r="245" spans="4:14">
      <c r="D245" s="21">
        <v>46092</v>
      </c>
      <c r="E245" s="22">
        <v>1584842</v>
      </c>
      <c r="F245" s="22" t="s">
        <v>20</v>
      </c>
      <c r="G245" s="22">
        <v>20325857</v>
      </c>
      <c r="H245" s="22" t="s">
        <v>373</v>
      </c>
      <c r="I245" s="22">
        <v>2</v>
      </c>
      <c r="J245" s="30" t="s">
        <v>210</v>
      </c>
      <c r="K245" s="24">
        <v>1</v>
      </c>
      <c r="L245" s="25">
        <v>22.4</v>
      </c>
      <c r="M245" s="26">
        <v>22.4</v>
      </c>
      <c r="N245" s="26">
        <v>44.8</v>
      </c>
    </row>
    <row r="246" spans="4:14">
      <c r="D246" s="21">
        <v>46092</v>
      </c>
      <c r="E246" s="22">
        <v>1584842</v>
      </c>
      <c r="F246" s="22" t="s">
        <v>20</v>
      </c>
      <c r="G246" s="22">
        <v>20324732</v>
      </c>
      <c r="H246" s="22" t="s">
        <v>300</v>
      </c>
      <c r="I246" s="22">
        <v>2</v>
      </c>
      <c r="J246" s="30" t="s">
        <v>210</v>
      </c>
      <c r="K246" s="24">
        <v>1</v>
      </c>
      <c r="L246" s="25">
        <v>22.4</v>
      </c>
      <c r="M246" s="26">
        <v>22.4</v>
      </c>
      <c r="N246" s="26">
        <v>44.8</v>
      </c>
    </row>
    <row r="247" spans="4:14">
      <c r="D247" s="21">
        <v>46092</v>
      </c>
      <c r="E247" s="22">
        <v>1584842</v>
      </c>
      <c r="F247" s="22" t="s">
        <v>20</v>
      </c>
      <c r="G247" s="22">
        <v>20328119</v>
      </c>
      <c r="H247" s="22" t="s">
        <v>375</v>
      </c>
      <c r="I247" s="22">
        <v>1</v>
      </c>
      <c r="J247" s="28" t="s">
        <v>28</v>
      </c>
      <c r="K247" s="24">
        <v>1</v>
      </c>
      <c r="L247" s="25">
        <v>17.6</v>
      </c>
      <c r="M247" s="26">
        <v>35.2</v>
      </c>
      <c r="N247" s="26">
        <v>35.2</v>
      </c>
    </row>
    <row r="248" spans="4:14">
      <c r="D248" s="21"/>
      <c r="E248" s="22"/>
      <c r="F248" s="22"/>
      <c r="G248" s="22"/>
      <c r="H248" s="22"/>
      <c r="I248" s="22"/>
      <c r="J248" s="28" t="s">
        <v>28</v>
      </c>
      <c r="K248" s="24">
        <v>1</v>
      </c>
      <c r="L248" s="25">
        <v>17.6</v>
      </c>
      <c r="M248" s="26"/>
      <c r="N248" s="26"/>
    </row>
    <row r="249" spans="4:14">
      <c r="D249" s="21">
        <v>46092</v>
      </c>
      <c r="E249" s="22">
        <v>1584842</v>
      </c>
      <c r="F249" s="22" t="s">
        <v>20</v>
      </c>
      <c r="G249" s="22">
        <v>20357850</v>
      </c>
      <c r="H249" s="22" t="s">
        <v>431</v>
      </c>
      <c r="I249" s="22">
        <v>1</v>
      </c>
      <c r="J249" s="30" t="s">
        <v>51</v>
      </c>
      <c r="K249" s="24" t="s">
        <v>52</v>
      </c>
      <c r="L249" s="25">
        <v>240</v>
      </c>
      <c r="M249" s="26">
        <v>240</v>
      </c>
      <c r="N249" s="26">
        <v>240</v>
      </c>
    </row>
    <row r="250" spans="4:14">
      <c r="D250" s="21">
        <v>46092</v>
      </c>
      <c r="E250" s="22">
        <v>1584842</v>
      </c>
      <c r="F250" s="22" t="s">
        <v>20</v>
      </c>
      <c r="G250" s="22">
        <v>20324644</v>
      </c>
      <c r="H250" s="22" t="s">
        <v>304</v>
      </c>
      <c r="I250" s="22">
        <v>2</v>
      </c>
      <c r="J250" s="30" t="s">
        <v>210</v>
      </c>
      <c r="K250" s="24">
        <v>1</v>
      </c>
      <c r="L250" s="25">
        <v>22.4</v>
      </c>
      <c r="M250" s="26">
        <v>22.4</v>
      </c>
      <c r="N250" s="26">
        <v>44.8</v>
      </c>
    </row>
    <row r="251" spans="4:14">
      <c r="D251" s="21">
        <v>46092</v>
      </c>
      <c r="E251" s="22">
        <v>1584842</v>
      </c>
      <c r="F251" s="22" t="s">
        <v>20</v>
      </c>
      <c r="G251" s="22">
        <v>20324814</v>
      </c>
      <c r="H251" s="22" t="s">
        <v>305</v>
      </c>
      <c r="I251" s="22">
        <v>2</v>
      </c>
      <c r="J251" s="30" t="s">
        <v>210</v>
      </c>
      <c r="K251" s="24">
        <v>1</v>
      </c>
      <c r="L251" s="25">
        <v>22.4</v>
      </c>
      <c r="M251" s="26">
        <v>22.4</v>
      </c>
      <c r="N251" s="26">
        <v>44.8</v>
      </c>
    </row>
    <row r="252" spans="4:14">
      <c r="D252" s="21">
        <v>46092</v>
      </c>
      <c r="E252" s="22">
        <v>1585142</v>
      </c>
      <c r="F252" s="22" t="s">
        <v>16</v>
      </c>
      <c r="G252" s="22">
        <v>20324463</v>
      </c>
      <c r="H252" s="22" t="s">
        <v>289</v>
      </c>
      <c r="I252" s="22">
        <v>1</v>
      </c>
      <c r="J252" s="28" t="s">
        <v>18</v>
      </c>
      <c r="K252" s="24">
        <f t="shared" ref="K252:K257" si="14">M252/L252</f>
        <v>35</v>
      </c>
      <c r="L252" s="25">
        <v>4.4</v>
      </c>
      <c r="M252" s="26">
        <v>154</v>
      </c>
      <c r="N252" s="26">
        <v>154</v>
      </c>
    </row>
    <row r="253" spans="4:14">
      <c r="D253" s="21">
        <v>46092</v>
      </c>
      <c r="E253" s="22">
        <v>1585142</v>
      </c>
      <c r="F253" s="22" t="s">
        <v>16</v>
      </c>
      <c r="G253" s="22">
        <v>20324039</v>
      </c>
      <c r="H253" s="22" t="s">
        <v>338</v>
      </c>
      <c r="I253" s="22">
        <v>1</v>
      </c>
      <c r="J253" s="28" t="s">
        <v>18</v>
      </c>
      <c r="K253" s="24">
        <f t="shared" si="14"/>
        <v>37</v>
      </c>
      <c r="L253" s="25">
        <v>4.4</v>
      </c>
      <c r="M253" s="26">
        <v>162.8</v>
      </c>
      <c r="N253" s="26">
        <v>162.8</v>
      </c>
    </row>
    <row r="254" spans="4:14">
      <c r="D254" s="21">
        <v>46092</v>
      </c>
      <c r="E254" s="22">
        <v>1585142</v>
      </c>
      <c r="F254" s="22" t="s">
        <v>16</v>
      </c>
      <c r="G254" s="22">
        <v>20324028</v>
      </c>
      <c r="H254" s="22" t="s">
        <v>386</v>
      </c>
      <c r="I254" s="22">
        <v>1</v>
      </c>
      <c r="J254" s="28" t="s">
        <v>18</v>
      </c>
      <c r="K254" s="24">
        <f t="shared" si="14"/>
        <v>42</v>
      </c>
      <c r="L254" s="25">
        <v>4.4</v>
      </c>
      <c r="M254" s="26">
        <v>184.8</v>
      </c>
      <c r="N254" s="26">
        <v>184.8</v>
      </c>
    </row>
    <row r="255" spans="4:14">
      <c r="D255" s="21">
        <v>46092</v>
      </c>
      <c r="E255" s="22">
        <v>1585142</v>
      </c>
      <c r="F255" s="22" t="s">
        <v>16</v>
      </c>
      <c r="G255" s="22">
        <v>20324737</v>
      </c>
      <c r="H255" s="22" t="s">
        <v>387</v>
      </c>
      <c r="I255" s="22">
        <v>1</v>
      </c>
      <c r="J255" s="28" t="s">
        <v>18</v>
      </c>
      <c r="K255" s="24">
        <f t="shared" si="14"/>
        <v>22</v>
      </c>
      <c r="L255" s="25">
        <v>4.4</v>
      </c>
      <c r="M255" s="26">
        <v>96.8</v>
      </c>
      <c r="N255" s="26">
        <v>96.8</v>
      </c>
    </row>
    <row r="256" spans="4:14">
      <c r="D256" s="21">
        <v>46092</v>
      </c>
      <c r="E256" s="22">
        <v>1585142</v>
      </c>
      <c r="F256" s="22" t="s">
        <v>16</v>
      </c>
      <c r="G256" s="22">
        <v>20324046</v>
      </c>
      <c r="H256" s="22" t="s">
        <v>259</v>
      </c>
      <c r="I256" s="22">
        <v>1</v>
      </c>
      <c r="J256" s="28" t="s">
        <v>18</v>
      </c>
      <c r="K256" s="24">
        <f t="shared" si="14"/>
        <v>49</v>
      </c>
      <c r="L256" s="25">
        <v>4.4</v>
      </c>
      <c r="M256" s="26">
        <v>215.6</v>
      </c>
      <c r="N256" s="26">
        <v>215.6</v>
      </c>
    </row>
    <row r="257" spans="4:14">
      <c r="D257" s="21">
        <v>46092</v>
      </c>
      <c r="E257" s="22">
        <v>1585142</v>
      </c>
      <c r="F257" s="22" t="s">
        <v>16</v>
      </c>
      <c r="G257" s="22">
        <v>20324045</v>
      </c>
      <c r="H257" s="22" t="s">
        <v>281</v>
      </c>
      <c r="I257" s="22">
        <v>2</v>
      </c>
      <c r="J257" s="28" t="s">
        <v>18</v>
      </c>
      <c r="K257" s="24">
        <f t="shared" si="14"/>
        <v>19</v>
      </c>
      <c r="L257" s="25">
        <v>4.4</v>
      </c>
      <c r="M257" s="26">
        <v>83.6</v>
      </c>
      <c r="N257" s="26">
        <v>167.2</v>
      </c>
    </row>
    <row r="258" spans="4:14">
      <c r="D258" s="21">
        <v>46092</v>
      </c>
      <c r="E258" s="22">
        <v>1585142</v>
      </c>
      <c r="F258" s="22" t="s">
        <v>20</v>
      </c>
      <c r="G258" s="22">
        <v>20324370</v>
      </c>
      <c r="H258" s="22" t="s">
        <v>95</v>
      </c>
      <c r="I258" s="22">
        <v>1</v>
      </c>
      <c r="J258" s="23" t="s">
        <v>22</v>
      </c>
      <c r="K258" s="24">
        <v>1</v>
      </c>
      <c r="L258" s="25">
        <v>6.4</v>
      </c>
      <c r="M258" s="26">
        <v>6.4</v>
      </c>
      <c r="N258" s="26">
        <v>6.4</v>
      </c>
    </row>
    <row r="259" spans="4:14">
      <c r="D259" s="21">
        <v>46092</v>
      </c>
      <c r="E259" s="22">
        <v>1585142</v>
      </c>
      <c r="F259" s="22" t="s">
        <v>20</v>
      </c>
      <c r="G259" s="22">
        <v>20327777</v>
      </c>
      <c r="H259" s="22" t="s">
        <v>314</v>
      </c>
      <c r="I259" s="22">
        <v>1</v>
      </c>
      <c r="J259" s="27" t="s">
        <v>22</v>
      </c>
      <c r="K259" s="24">
        <v>1</v>
      </c>
      <c r="L259" s="25">
        <v>6.4</v>
      </c>
      <c r="M259" s="25">
        <v>10.8</v>
      </c>
      <c r="N259" s="26">
        <v>10.8</v>
      </c>
    </row>
    <row r="260" spans="4:14">
      <c r="D260" s="21"/>
      <c r="E260" s="22"/>
      <c r="F260" s="22"/>
      <c r="G260" s="22"/>
      <c r="H260" s="22"/>
      <c r="I260" s="22"/>
      <c r="J260" s="27" t="s">
        <v>145</v>
      </c>
      <c r="K260" s="24">
        <v>1</v>
      </c>
      <c r="L260" s="25">
        <v>4.4</v>
      </c>
      <c r="M260" s="25"/>
      <c r="N260" s="26"/>
    </row>
    <row r="261" spans="4:14">
      <c r="D261" s="21">
        <v>46092</v>
      </c>
      <c r="E261" s="22">
        <v>1585142</v>
      </c>
      <c r="F261" s="22" t="s">
        <v>20</v>
      </c>
      <c r="G261" s="22">
        <v>20324800</v>
      </c>
      <c r="H261" s="22" t="s">
        <v>315</v>
      </c>
      <c r="I261" s="22">
        <v>1</v>
      </c>
      <c r="J261" s="23" t="s">
        <v>22</v>
      </c>
      <c r="K261" s="24">
        <v>1</v>
      </c>
      <c r="L261" s="25">
        <v>6.4</v>
      </c>
      <c r="M261" s="26">
        <v>6.4</v>
      </c>
      <c r="N261" s="26">
        <v>6.4</v>
      </c>
    </row>
    <row r="262" spans="4:14">
      <c r="D262" s="21">
        <v>46092</v>
      </c>
      <c r="E262" s="22">
        <v>1585142</v>
      </c>
      <c r="F262" s="22" t="s">
        <v>20</v>
      </c>
      <c r="G262" s="22">
        <v>20325530</v>
      </c>
      <c r="H262" s="22" t="s">
        <v>388</v>
      </c>
      <c r="I262" s="22">
        <v>1</v>
      </c>
      <c r="J262" s="27" t="s">
        <v>25</v>
      </c>
      <c r="K262" s="24">
        <v>1</v>
      </c>
      <c r="L262" s="25">
        <v>8.8</v>
      </c>
      <c r="M262" s="25">
        <v>13.2</v>
      </c>
      <c r="N262" s="25">
        <v>13.2</v>
      </c>
    </row>
    <row r="263" spans="4:14">
      <c r="D263" s="21"/>
      <c r="E263" s="22"/>
      <c r="F263" s="22"/>
      <c r="G263" s="22"/>
      <c r="H263" s="22"/>
      <c r="I263" s="22"/>
      <c r="J263" s="27" t="s">
        <v>145</v>
      </c>
      <c r="K263" s="24">
        <v>1</v>
      </c>
      <c r="L263" s="25">
        <v>4.4</v>
      </c>
      <c r="M263" s="25"/>
      <c r="N263" s="25"/>
    </row>
    <row r="264" spans="4:14">
      <c r="D264" s="21">
        <v>46092</v>
      </c>
      <c r="E264" s="22">
        <v>1585142</v>
      </c>
      <c r="F264" s="22" t="s">
        <v>20</v>
      </c>
      <c r="G264" s="22">
        <v>20324699</v>
      </c>
      <c r="H264" s="22" t="s">
        <v>283</v>
      </c>
      <c r="I264" s="22">
        <v>7</v>
      </c>
      <c r="J264" s="28" t="s">
        <v>18</v>
      </c>
      <c r="K264" s="24">
        <f t="shared" ref="K264:K269" si="15">M264/L264</f>
        <v>5</v>
      </c>
      <c r="L264" s="25">
        <v>4.4</v>
      </c>
      <c r="M264" s="26">
        <v>22</v>
      </c>
      <c r="N264" s="26">
        <v>154</v>
      </c>
    </row>
    <row r="265" spans="4:14">
      <c r="D265" s="21">
        <v>46092</v>
      </c>
      <c r="E265" s="22">
        <v>1585142</v>
      </c>
      <c r="F265" s="22" t="s">
        <v>20</v>
      </c>
      <c r="G265" s="22">
        <v>20325180</v>
      </c>
      <c r="H265" s="22" t="s">
        <v>432</v>
      </c>
      <c r="I265" s="22">
        <v>1</v>
      </c>
      <c r="J265" s="28" t="s">
        <v>18</v>
      </c>
      <c r="K265" s="24">
        <f t="shared" si="15"/>
        <v>6</v>
      </c>
      <c r="L265" s="25">
        <v>4.4</v>
      </c>
      <c r="M265" s="26">
        <v>26.4</v>
      </c>
      <c r="N265" s="26">
        <v>26.4</v>
      </c>
    </row>
    <row r="266" spans="4:14">
      <c r="D266" s="21">
        <v>46092</v>
      </c>
      <c r="E266" s="22">
        <v>1585142</v>
      </c>
      <c r="F266" s="22" t="s">
        <v>55</v>
      </c>
      <c r="G266" s="22">
        <v>20354932</v>
      </c>
      <c r="H266" s="22" t="s">
        <v>236</v>
      </c>
      <c r="I266" s="22">
        <v>14</v>
      </c>
      <c r="J266" s="30" t="s">
        <v>57</v>
      </c>
      <c r="K266" s="24">
        <v>1</v>
      </c>
      <c r="L266" s="25">
        <v>3.2</v>
      </c>
      <c r="M266" s="26">
        <v>3.2</v>
      </c>
      <c r="N266" s="26">
        <v>44.8</v>
      </c>
    </row>
    <row r="267" spans="4:14">
      <c r="D267" s="21">
        <v>46093</v>
      </c>
      <c r="E267" s="22">
        <v>1585195</v>
      </c>
      <c r="F267" s="22" t="s">
        <v>16</v>
      </c>
      <c r="G267" s="22">
        <v>20324039</v>
      </c>
      <c r="H267" s="22" t="s">
        <v>338</v>
      </c>
      <c r="I267" s="22">
        <v>1</v>
      </c>
      <c r="J267" s="28" t="s">
        <v>18</v>
      </c>
      <c r="K267" s="24">
        <f>M267/L267</f>
        <v>37</v>
      </c>
      <c r="L267" s="25">
        <v>4.4</v>
      </c>
      <c r="M267" s="26">
        <v>162.8</v>
      </c>
      <c r="N267" s="26">
        <v>162.8</v>
      </c>
    </row>
    <row r="268" spans="4:14">
      <c r="D268" s="21">
        <v>46093</v>
      </c>
      <c r="E268" s="22">
        <v>1585195</v>
      </c>
      <c r="F268" s="22" t="s">
        <v>20</v>
      </c>
      <c r="G268" s="22">
        <v>20325760</v>
      </c>
      <c r="H268" s="22" t="s">
        <v>433</v>
      </c>
      <c r="I268" s="22">
        <v>1</v>
      </c>
      <c r="J268" s="27" t="s">
        <v>145</v>
      </c>
      <c r="K268" s="24">
        <f t="shared" si="15"/>
        <v>4</v>
      </c>
      <c r="L268" s="25">
        <v>4.4</v>
      </c>
      <c r="M268" s="26">
        <v>17.6</v>
      </c>
      <c r="N268" s="26">
        <v>17.6</v>
      </c>
    </row>
    <row r="269" spans="4:14">
      <c r="D269" s="21">
        <v>46093</v>
      </c>
      <c r="E269" s="22">
        <v>1585195</v>
      </c>
      <c r="F269" s="22" t="s">
        <v>20</v>
      </c>
      <c r="G269" s="22">
        <v>20324699</v>
      </c>
      <c r="H269" s="22" t="s">
        <v>283</v>
      </c>
      <c r="I269" s="22">
        <v>1</v>
      </c>
      <c r="J269" s="28" t="s">
        <v>18</v>
      </c>
      <c r="K269" s="24">
        <f t="shared" si="15"/>
        <v>5</v>
      </c>
      <c r="L269" s="25">
        <v>4.4</v>
      </c>
      <c r="M269" s="26">
        <v>22</v>
      </c>
      <c r="N269" s="26">
        <v>22</v>
      </c>
    </row>
    <row r="270" spans="4:14">
      <c r="D270" s="21">
        <v>46093</v>
      </c>
      <c r="E270" s="22">
        <v>1585220</v>
      </c>
      <c r="F270" s="22" t="s">
        <v>20</v>
      </c>
      <c r="G270" s="22">
        <v>20324643</v>
      </c>
      <c r="H270" s="22" t="s">
        <v>343</v>
      </c>
      <c r="I270" s="22">
        <v>1</v>
      </c>
      <c r="J270" s="30" t="s">
        <v>210</v>
      </c>
      <c r="K270" s="24">
        <v>1</v>
      </c>
      <c r="L270" s="25">
        <v>22.4</v>
      </c>
      <c r="M270" s="26">
        <v>22.4</v>
      </c>
      <c r="N270" s="26">
        <v>22.4</v>
      </c>
    </row>
    <row r="271" spans="4:14">
      <c r="D271" s="21">
        <v>46093</v>
      </c>
      <c r="E271" s="22">
        <v>1585220</v>
      </c>
      <c r="F271" s="22" t="s">
        <v>20</v>
      </c>
      <c r="G271" s="22">
        <v>20329253</v>
      </c>
      <c r="H271" s="22" t="s">
        <v>320</v>
      </c>
      <c r="I271" s="22">
        <v>1</v>
      </c>
      <c r="J271" s="28" t="s">
        <v>28</v>
      </c>
      <c r="K271" s="24">
        <v>1</v>
      </c>
      <c r="L271" s="25">
        <v>17.6</v>
      </c>
      <c r="M271" s="26">
        <v>17.6</v>
      </c>
      <c r="N271" s="26">
        <v>17.6</v>
      </c>
    </row>
    <row r="272" spans="4:14">
      <c r="D272" s="21">
        <v>46093</v>
      </c>
      <c r="E272" s="22">
        <v>1585220</v>
      </c>
      <c r="F272" s="22" t="s">
        <v>20</v>
      </c>
      <c r="G272" s="22">
        <v>20324822</v>
      </c>
      <c r="H272" s="22" t="s">
        <v>321</v>
      </c>
      <c r="I272" s="22">
        <v>1</v>
      </c>
      <c r="J272" s="30" t="s">
        <v>205</v>
      </c>
      <c r="K272" s="24">
        <v>1</v>
      </c>
      <c r="L272" s="25">
        <v>28</v>
      </c>
      <c r="M272" s="26">
        <v>28</v>
      </c>
      <c r="N272" s="26">
        <v>28</v>
      </c>
    </row>
    <row r="273" spans="4:14">
      <c r="D273" s="21">
        <v>46093</v>
      </c>
      <c r="E273" s="22">
        <v>1585220</v>
      </c>
      <c r="F273" s="22" t="s">
        <v>20</v>
      </c>
      <c r="G273" s="22">
        <v>20324645</v>
      </c>
      <c r="H273" s="22" t="s">
        <v>346</v>
      </c>
      <c r="I273" s="22">
        <v>1</v>
      </c>
      <c r="J273" s="30" t="s">
        <v>210</v>
      </c>
      <c r="K273" s="24">
        <v>1</v>
      </c>
      <c r="L273" s="25">
        <v>22.4</v>
      </c>
      <c r="M273" s="26">
        <v>22.4</v>
      </c>
      <c r="N273" s="26">
        <v>22.4</v>
      </c>
    </row>
    <row r="274" spans="4:14">
      <c r="D274" s="21">
        <v>46093</v>
      </c>
      <c r="E274" s="22">
        <v>1585220</v>
      </c>
      <c r="F274" s="22" t="s">
        <v>20</v>
      </c>
      <c r="G274" s="22">
        <v>20324636</v>
      </c>
      <c r="H274" s="22" t="s">
        <v>347</v>
      </c>
      <c r="I274" s="22">
        <v>1</v>
      </c>
      <c r="J274" s="30" t="s">
        <v>205</v>
      </c>
      <c r="K274" s="24">
        <v>1</v>
      </c>
      <c r="L274" s="25">
        <v>28</v>
      </c>
      <c r="M274" s="26">
        <v>28</v>
      </c>
      <c r="N274" s="26">
        <v>28</v>
      </c>
    </row>
    <row r="275" spans="4:14">
      <c r="D275" s="21">
        <v>46093</v>
      </c>
      <c r="E275" s="22">
        <v>1585220</v>
      </c>
      <c r="F275" s="22" t="s">
        <v>20</v>
      </c>
      <c r="G275" s="22">
        <v>20324642</v>
      </c>
      <c r="H275" s="22" t="s">
        <v>348</v>
      </c>
      <c r="I275" s="22">
        <v>1</v>
      </c>
      <c r="J275" s="28" t="s">
        <v>28</v>
      </c>
      <c r="K275" s="24">
        <v>1</v>
      </c>
      <c r="L275" s="25">
        <v>17.6</v>
      </c>
      <c r="M275" s="26">
        <v>17.6</v>
      </c>
      <c r="N275" s="26">
        <v>17.6</v>
      </c>
    </row>
    <row r="276" spans="4:14">
      <c r="D276" s="21">
        <v>46093</v>
      </c>
      <c r="E276" s="22">
        <v>1585220</v>
      </c>
      <c r="F276" s="22" t="s">
        <v>20</v>
      </c>
      <c r="G276" s="22">
        <v>20324732</v>
      </c>
      <c r="H276" s="22" t="s">
        <v>300</v>
      </c>
      <c r="I276" s="22">
        <v>1</v>
      </c>
      <c r="J276" s="30" t="s">
        <v>210</v>
      </c>
      <c r="K276" s="24">
        <v>1</v>
      </c>
      <c r="L276" s="25">
        <v>22.4</v>
      </c>
      <c r="M276" s="26">
        <v>22.4</v>
      </c>
      <c r="N276" s="26">
        <v>22.4</v>
      </c>
    </row>
    <row r="277" spans="4:14">
      <c r="D277" s="21">
        <v>46093</v>
      </c>
      <c r="E277" s="22">
        <v>1585220</v>
      </c>
      <c r="F277" s="22" t="s">
        <v>20</v>
      </c>
      <c r="G277" s="22">
        <v>20383664</v>
      </c>
      <c r="H277" s="22" t="s">
        <v>394</v>
      </c>
      <c r="I277" s="22">
        <v>1</v>
      </c>
      <c r="J277" s="30" t="s">
        <v>210</v>
      </c>
      <c r="K277" s="24">
        <v>1</v>
      </c>
      <c r="L277" s="25">
        <v>22.4</v>
      </c>
      <c r="M277" s="26">
        <v>22.4</v>
      </c>
      <c r="N277" s="26">
        <v>22.4</v>
      </c>
    </row>
    <row r="278" spans="4:14">
      <c r="D278" s="21">
        <v>46093</v>
      </c>
      <c r="E278" s="22">
        <v>1585220</v>
      </c>
      <c r="F278" s="22" t="s">
        <v>20</v>
      </c>
      <c r="G278" s="22">
        <v>20324644</v>
      </c>
      <c r="H278" s="22" t="s">
        <v>304</v>
      </c>
      <c r="I278" s="22">
        <v>1</v>
      </c>
      <c r="J278" s="30" t="s">
        <v>210</v>
      </c>
      <c r="K278" s="24">
        <v>1</v>
      </c>
      <c r="L278" s="25">
        <v>22.4</v>
      </c>
      <c r="M278" s="26">
        <v>22.4</v>
      </c>
      <c r="N278" s="26">
        <v>22.4</v>
      </c>
    </row>
    <row r="279" spans="4:14">
      <c r="D279" s="21">
        <v>46093</v>
      </c>
      <c r="E279" s="22">
        <v>1585220</v>
      </c>
      <c r="F279" s="22" t="s">
        <v>20</v>
      </c>
      <c r="G279" s="22">
        <v>20324814</v>
      </c>
      <c r="H279" s="22" t="s">
        <v>305</v>
      </c>
      <c r="I279" s="22">
        <v>1</v>
      </c>
      <c r="J279" s="30" t="s">
        <v>210</v>
      </c>
      <c r="K279" s="24">
        <v>1</v>
      </c>
      <c r="L279" s="25">
        <v>22.4</v>
      </c>
      <c r="M279" s="26">
        <v>22.4</v>
      </c>
      <c r="N279" s="26">
        <v>22.4</v>
      </c>
    </row>
    <row r="280" spans="4:14">
      <c r="D280" s="21">
        <v>46093</v>
      </c>
      <c r="E280" s="22">
        <v>1585220</v>
      </c>
      <c r="F280" s="22" t="s">
        <v>20</v>
      </c>
      <c r="G280" s="22">
        <v>20324646</v>
      </c>
      <c r="H280" s="22" t="s">
        <v>350</v>
      </c>
      <c r="I280" s="22">
        <v>1</v>
      </c>
      <c r="J280" s="28" t="s">
        <v>295</v>
      </c>
      <c r="K280" s="24">
        <v>1</v>
      </c>
      <c r="L280" s="25">
        <v>20</v>
      </c>
      <c r="M280" s="26">
        <v>20</v>
      </c>
      <c r="N280" s="26">
        <v>20</v>
      </c>
    </row>
    <row r="281" spans="4:14">
      <c r="D281" s="68">
        <v>46093</v>
      </c>
      <c r="E281" s="69">
        <v>1585220</v>
      </c>
      <c r="F281" s="69" t="s">
        <v>30</v>
      </c>
      <c r="G281" s="70">
        <v>20324638</v>
      </c>
      <c r="H281" s="69" t="s">
        <v>306</v>
      </c>
      <c r="I281" s="70">
        <v>1</v>
      </c>
      <c r="J281" s="71" t="s">
        <v>307</v>
      </c>
      <c r="K281" s="24" t="s">
        <v>308</v>
      </c>
      <c r="L281" s="25">
        <v>22.4</v>
      </c>
      <c r="M281" s="25">
        <f>L281+L282</f>
        <v>30.4</v>
      </c>
      <c r="N281" s="25">
        <f>M281+M282</f>
        <v>30.4</v>
      </c>
    </row>
    <row r="282" spans="4:14">
      <c r="D282" s="72"/>
      <c r="E282" s="73"/>
      <c r="F282" s="73"/>
      <c r="G282" s="74"/>
      <c r="H282" s="73"/>
      <c r="I282" s="74"/>
      <c r="J282" s="75" t="s">
        <v>309</v>
      </c>
      <c r="K282" s="24" t="s">
        <v>308</v>
      </c>
      <c r="L282" s="25">
        <v>8</v>
      </c>
      <c r="M282" s="25"/>
      <c r="N282" s="25"/>
    </row>
    <row r="283" spans="4:14">
      <c r="D283" s="21">
        <v>46093</v>
      </c>
      <c r="E283" s="22">
        <v>1585515</v>
      </c>
      <c r="F283" s="22" t="s">
        <v>16</v>
      </c>
      <c r="G283" s="22">
        <v>20324039</v>
      </c>
      <c r="H283" s="22" t="s">
        <v>338</v>
      </c>
      <c r="I283" s="22">
        <v>2</v>
      </c>
      <c r="J283" s="28" t="s">
        <v>18</v>
      </c>
      <c r="K283" s="24">
        <f t="shared" ref="K283:K286" si="16">M283/L283</f>
        <v>37</v>
      </c>
      <c r="L283" s="25">
        <v>4.4</v>
      </c>
      <c r="M283" s="26">
        <v>162.8</v>
      </c>
      <c r="N283" s="26">
        <v>325.6</v>
      </c>
    </row>
    <row r="284" spans="4:14">
      <c r="D284" s="21">
        <v>46093</v>
      </c>
      <c r="E284" s="22">
        <v>1585515</v>
      </c>
      <c r="F284" s="22" t="s">
        <v>16</v>
      </c>
      <c r="G284" s="22">
        <v>20324028</v>
      </c>
      <c r="H284" s="22" t="s">
        <v>386</v>
      </c>
      <c r="I284" s="22">
        <v>1</v>
      </c>
      <c r="J284" s="28" t="s">
        <v>18</v>
      </c>
      <c r="K284" s="24">
        <f t="shared" si="16"/>
        <v>42</v>
      </c>
      <c r="L284" s="25">
        <v>4.4</v>
      </c>
      <c r="M284" s="26">
        <v>184.8</v>
      </c>
      <c r="N284" s="26">
        <v>184.8</v>
      </c>
    </row>
    <row r="285" spans="4:14">
      <c r="D285" s="21">
        <v>46093</v>
      </c>
      <c r="E285" s="22">
        <v>1585515</v>
      </c>
      <c r="F285" s="22" t="s">
        <v>16</v>
      </c>
      <c r="G285" s="22">
        <v>20324046</v>
      </c>
      <c r="H285" s="22" t="s">
        <v>259</v>
      </c>
      <c r="I285" s="22">
        <v>1</v>
      </c>
      <c r="J285" s="28" t="s">
        <v>18</v>
      </c>
      <c r="K285" s="24">
        <f t="shared" si="16"/>
        <v>49</v>
      </c>
      <c r="L285" s="25">
        <v>4.4</v>
      </c>
      <c r="M285" s="26">
        <v>215.6</v>
      </c>
      <c r="N285" s="26">
        <v>215.6</v>
      </c>
    </row>
    <row r="286" spans="4:14">
      <c r="D286" s="21">
        <v>46093</v>
      </c>
      <c r="E286" s="22">
        <v>1585515</v>
      </c>
      <c r="F286" s="22" t="s">
        <v>16</v>
      </c>
      <c r="G286" s="22">
        <v>20324045</v>
      </c>
      <c r="H286" s="22" t="s">
        <v>281</v>
      </c>
      <c r="I286" s="22">
        <v>1</v>
      </c>
      <c r="J286" s="28" t="s">
        <v>18</v>
      </c>
      <c r="K286" s="24">
        <f t="shared" si="16"/>
        <v>19</v>
      </c>
      <c r="L286" s="25">
        <v>4.4</v>
      </c>
      <c r="M286" s="26">
        <v>83.6</v>
      </c>
      <c r="N286" s="26">
        <v>83.6</v>
      </c>
    </row>
    <row r="287" spans="4:14">
      <c r="D287" s="21">
        <v>46093</v>
      </c>
      <c r="E287" s="22">
        <v>1585515</v>
      </c>
      <c r="F287" s="22" t="s">
        <v>20</v>
      </c>
      <c r="G287" s="22">
        <v>20345626</v>
      </c>
      <c r="H287" s="22" t="s">
        <v>434</v>
      </c>
      <c r="I287" s="22">
        <v>1</v>
      </c>
      <c r="J287" s="28" t="s">
        <v>18</v>
      </c>
      <c r="K287" s="24">
        <f t="shared" ref="K287:K289" si="17">M287/L287</f>
        <v>3</v>
      </c>
      <c r="L287" s="25">
        <v>4.4</v>
      </c>
      <c r="M287" s="26">
        <v>13.2</v>
      </c>
      <c r="N287" s="26">
        <v>13.2</v>
      </c>
    </row>
    <row r="288" spans="4:14">
      <c r="D288" s="21">
        <v>46093</v>
      </c>
      <c r="E288" s="22">
        <v>1585515</v>
      </c>
      <c r="F288" s="22" t="s">
        <v>20</v>
      </c>
      <c r="G288" s="22">
        <v>20324711</v>
      </c>
      <c r="H288" s="22" t="s">
        <v>389</v>
      </c>
      <c r="I288" s="22">
        <v>1</v>
      </c>
      <c r="J288" s="28" t="s">
        <v>18</v>
      </c>
      <c r="K288" s="24">
        <f t="shared" si="17"/>
        <v>14</v>
      </c>
      <c r="L288" s="25">
        <v>4.4</v>
      </c>
      <c r="M288" s="26">
        <v>61.6</v>
      </c>
      <c r="N288" s="26">
        <v>61.6</v>
      </c>
    </row>
    <row r="289" spans="4:14">
      <c r="D289" s="21">
        <v>46093</v>
      </c>
      <c r="E289" s="22">
        <v>1585515</v>
      </c>
      <c r="F289" s="22" t="s">
        <v>20</v>
      </c>
      <c r="G289" s="22">
        <v>20325759</v>
      </c>
      <c r="H289" s="22" t="s">
        <v>390</v>
      </c>
      <c r="I289" s="22">
        <v>1</v>
      </c>
      <c r="J289" s="28" t="s">
        <v>18</v>
      </c>
      <c r="K289" s="24">
        <f t="shared" si="17"/>
        <v>9</v>
      </c>
      <c r="L289" s="25">
        <v>4.4</v>
      </c>
      <c r="M289" s="26">
        <v>39.6</v>
      </c>
      <c r="N289" s="26">
        <v>39.6</v>
      </c>
    </row>
    <row r="290" spans="4:14">
      <c r="D290" s="21">
        <v>46093</v>
      </c>
      <c r="E290" s="22">
        <v>1585515</v>
      </c>
      <c r="F290" s="22" t="s">
        <v>20</v>
      </c>
      <c r="G290" s="22">
        <v>20324699</v>
      </c>
      <c r="H290" s="22" t="s">
        <v>283</v>
      </c>
      <c r="I290" s="22">
        <v>6</v>
      </c>
      <c r="J290" s="28" t="s">
        <v>18</v>
      </c>
      <c r="K290" s="24">
        <f t="shared" ref="K290:K295" si="18">M290/L290</f>
        <v>5</v>
      </c>
      <c r="L290" s="25">
        <v>4.4</v>
      </c>
      <c r="M290" s="26">
        <v>22</v>
      </c>
      <c r="N290" s="26">
        <v>132</v>
      </c>
    </row>
    <row r="291" spans="4:14">
      <c r="D291" s="21">
        <v>46094</v>
      </c>
      <c r="E291" s="22">
        <v>1585564</v>
      </c>
      <c r="F291" s="22" t="s">
        <v>16</v>
      </c>
      <c r="G291" s="22">
        <v>20324028</v>
      </c>
      <c r="H291" s="22" t="s">
        <v>386</v>
      </c>
      <c r="I291" s="22">
        <v>1</v>
      </c>
      <c r="J291" s="28" t="s">
        <v>18</v>
      </c>
      <c r="K291" s="24">
        <f t="shared" si="18"/>
        <v>42</v>
      </c>
      <c r="L291" s="25">
        <v>4.4</v>
      </c>
      <c r="M291" s="26">
        <v>184.8</v>
      </c>
      <c r="N291" s="26">
        <v>184.8</v>
      </c>
    </row>
    <row r="292" spans="4:14">
      <c r="D292" s="21">
        <v>46094</v>
      </c>
      <c r="E292" s="22">
        <v>1585564</v>
      </c>
      <c r="F292" s="22" t="s">
        <v>16</v>
      </c>
      <c r="G292" s="22">
        <v>20324046</v>
      </c>
      <c r="H292" s="22" t="s">
        <v>259</v>
      </c>
      <c r="I292" s="22">
        <v>1</v>
      </c>
      <c r="J292" s="28" t="s">
        <v>18</v>
      </c>
      <c r="K292" s="24">
        <f t="shared" si="18"/>
        <v>49</v>
      </c>
      <c r="L292" s="25">
        <v>4.4</v>
      </c>
      <c r="M292" s="26">
        <v>215.6</v>
      </c>
      <c r="N292" s="26">
        <v>215.6</v>
      </c>
    </row>
    <row r="293" spans="4:14">
      <c r="D293" s="21">
        <v>46094</v>
      </c>
      <c r="E293" s="22">
        <v>1585564</v>
      </c>
      <c r="F293" s="22" t="s">
        <v>16</v>
      </c>
      <c r="G293" s="22">
        <v>20324045</v>
      </c>
      <c r="H293" s="22" t="s">
        <v>281</v>
      </c>
      <c r="I293" s="22">
        <v>1</v>
      </c>
      <c r="J293" s="28" t="s">
        <v>18</v>
      </c>
      <c r="K293" s="24">
        <f t="shared" si="18"/>
        <v>19</v>
      </c>
      <c r="L293" s="25">
        <v>4.4</v>
      </c>
      <c r="M293" s="26">
        <v>83.6</v>
      </c>
      <c r="N293" s="26">
        <v>83.6</v>
      </c>
    </row>
    <row r="294" spans="4:14">
      <c r="D294" s="21">
        <v>46094</v>
      </c>
      <c r="E294" s="22">
        <v>1585564</v>
      </c>
      <c r="F294" s="22" t="s">
        <v>30</v>
      </c>
      <c r="G294" s="22">
        <v>20324739</v>
      </c>
      <c r="H294" s="22" t="s">
        <v>435</v>
      </c>
      <c r="I294" s="22">
        <v>1</v>
      </c>
      <c r="J294" s="28" t="s">
        <v>18</v>
      </c>
      <c r="K294" s="24">
        <f t="shared" si="18"/>
        <v>6</v>
      </c>
      <c r="L294" s="25">
        <v>4.4</v>
      </c>
      <c r="M294" s="26">
        <v>26.4</v>
      </c>
      <c r="N294" s="26">
        <v>26.4</v>
      </c>
    </row>
    <row r="295" spans="4:14">
      <c r="D295" s="21">
        <v>46094</v>
      </c>
      <c r="E295" s="22">
        <v>1585564</v>
      </c>
      <c r="F295" s="22" t="s">
        <v>20</v>
      </c>
      <c r="G295" s="22">
        <v>20358566</v>
      </c>
      <c r="H295" s="22" t="s">
        <v>365</v>
      </c>
      <c r="I295" s="22">
        <v>1</v>
      </c>
      <c r="J295" s="27" t="s">
        <v>145</v>
      </c>
      <c r="K295" s="24">
        <f t="shared" si="18"/>
        <v>4</v>
      </c>
      <c r="L295" s="25">
        <v>4.4</v>
      </c>
      <c r="M295" s="26">
        <v>17.6</v>
      </c>
      <c r="N295" s="26">
        <v>17.6</v>
      </c>
    </row>
    <row r="296" spans="4:14">
      <c r="D296" s="21">
        <v>46094</v>
      </c>
      <c r="E296" s="22">
        <v>1585564</v>
      </c>
      <c r="F296" s="22" t="s">
        <v>20</v>
      </c>
      <c r="G296" s="22">
        <v>20325179</v>
      </c>
      <c r="H296" s="22" t="s">
        <v>396</v>
      </c>
      <c r="I296" s="22">
        <v>1</v>
      </c>
      <c r="J296" s="27" t="s">
        <v>25</v>
      </c>
      <c r="K296" s="24">
        <v>1</v>
      </c>
      <c r="L296" s="25">
        <v>8.8</v>
      </c>
      <c r="M296" s="25">
        <v>13.2</v>
      </c>
      <c r="N296" s="25">
        <v>13.2</v>
      </c>
    </row>
    <row r="297" spans="4:14">
      <c r="D297" s="21"/>
      <c r="E297" s="22"/>
      <c r="F297" s="22"/>
      <c r="G297" s="22"/>
      <c r="H297" s="22"/>
      <c r="I297" s="22"/>
      <c r="J297" s="27" t="s">
        <v>145</v>
      </c>
      <c r="K297" s="24">
        <v>1</v>
      </c>
      <c r="L297" s="25">
        <v>4.4</v>
      </c>
      <c r="M297" s="25"/>
      <c r="N297" s="25"/>
    </row>
    <row r="298" spans="4:14">
      <c r="D298" s="21">
        <v>46094</v>
      </c>
      <c r="E298" s="22">
        <v>1585564</v>
      </c>
      <c r="F298" s="22" t="s">
        <v>20</v>
      </c>
      <c r="G298" s="22">
        <v>20324367</v>
      </c>
      <c r="H298" s="22" t="s">
        <v>146</v>
      </c>
      <c r="I298" s="22">
        <v>1</v>
      </c>
      <c r="J298" s="23" t="s">
        <v>22</v>
      </c>
      <c r="K298" s="24">
        <v>1</v>
      </c>
      <c r="L298" s="25">
        <v>6.4</v>
      </c>
      <c r="M298" s="26">
        <v>6.4</v>
      </c>
      <c r="N298" s="26">
        <v>6.4</v>
      </c>
    </row>
    <row r="299" spans="4:14">
      <c r="D299" s="21">
        <v>46094</v>
      </c>
      <c r="E299" s="22">
        <v>1585564</v>
      </c>
      <c r="F299" s="22" t="s">
        <v>20</v>
      </c>
      <c r="G299" s="22">
        <v>20324710</v>
      </c>
      <c r="H299" s="22" t="s">
        <v>436</v>
      </c>
      <c r="I299" s="22">
        <v>1</v>
      </c>
      <c r="J299" s="27" t="s">
        <v>145</v>
      </c>
      <c r="K299" s="24">
        <f>M299/L299</f>
        <v>4</v>
      </c>
      <c r="L299" s="25">
        <v>4.4</v>
      </c>
      <c r="M299" s="26">
        <v>17.6</v>
      </c>
      <c r="N299" s="26">
        <v>17.6</v>
      </c>
    </row>
    <row r="300" spans="4:14">
      <c r="D300" s="21">
        <v>46094</v>
      </c>
      <c r="E300" s="22">
        <v>1585564</v>
      </c>
      <c r="F300" s="22" t="s">
        <v>20</v>
      </c>
      <c r="G300" s="22">
        <v>20358758</v>
      </c>
      <c r="H300" s="22" t="s">
        <v>367</v>
      </c>
      <c r="I300" s="22">
        <v>1</v>
      </c>
      <c r="J300" s="23" t="s">
        <v>22</v>
      </c>
      <c r="K300" s="24">
        <v>1</v>
      </c>
      <c r="L300" s="25">
        <v>6.4</v>
      </c>
      <c r="M300" s="26">
        <v>6.4</v>
      </c>
      <c r="N300" s="26">
        <v>6.4</v>
      </c>
    </row>
    <row r="301" spans="4:14">
      <c r="D301" s="21">
        <v>46094</v>
      </c>
      <c r="E301" s="22">
        <v>1585564</v>
      </c>
      <c r="F301" s="22" t="s">
        <v>16</v>
      </c>
      <c r="G301" s="22">
        <v>20325204</v>
      </c>
      <c r="H301" s="22" t="s">
        <v>368</v>
      </c>
      <c r="I301" s="22">
        <v>1</v>
      </c>
      <c r="J301" s="28" t="s">
        <v>18</v>
      </c>
      <c r="K301" s="24">
        <f>M301/L301</f>
        <v>13</v>
      </c>
      <c r="L301" s="25">
        <v>4.4</v>
      </c>
      <c r="M301" s="26">
        <v>57.2</v>
      </c>
      <c r="N301" s="26">
        <v>57.2</v>
      </c>
    </row>
    <row r="302" spans="4:14">
      <c r="D302" s="21">
        <v>46094</v>
      </c>
      <c r="E302" s="22">
        <v>1585564</v>
      </c>
      <c r="F302" s="22" t="s">
        <v>20</v>
      </c>
      <c r="G302" s="22">
        <v>20325545</v>
      </c>
      <c r="H302" s="22" t="s">
        <v>400</v>
      </c>
      <c r="I302" s="22">
        <v>1</v>
      </c>
      <c r="J302" s="28" t="s">
        <v>18</v>
      </c>
      <c r="K302" s="24">
        <f t="shared" ref="K302:K307" si="19">M302/L302</f>
        <v>3</v>
      </c>
      <c r="L302" s="25">
        <v>4.4</v>
      </c>
      <c r="M302" s="26">
        <v>13.2</v>
      </c>
      <c r="N302" s="26">
        <v>13.2</v>
      </c>
    </row>
    <row r="303" spans="4:14">
      <c r="D303" s="21">
        <v>46094</v>
      </c>
      <c r="E303" s="22">
        <v>1585564</v>
      </c>
      <c r="F303" s="22" t="s">
        <v>20</v>
      </c>
      <c r="G303" s="22">
        <v>20325529</v>
      </c>
      <c r="H303" s="22" t="s">
        <v>405</v>
      </c>
      <c r="I303" s="22">
        <v>1</v>
      </c>
      <c r="J303" s="28" t="s">
        <v>18</v>
      </c>
      <c r="K303" s="24">
        <f t="shared" si="19"/>
        <v>4</v>
      </c>
      <c r="L303" s="25">
        <v>4.4</v>
      </c>
      <c r="M303" s="26">
        <v>17.6</v>
      </c>
      <c r="N303" s="26">
        <v>17.6</v>
      </c>
    </row>
    <row r="304" spans="4:14">
      <c r="D304" s="21">
        <v>46094</v>
      </c>
      <c r="E304" s="22">
        <v>1585564</v>
      </c>
      <c r="F304" s="22" t="s">
        <v>20</v>
      </c>
      <c r="G304" s="22">
        <v>20325131</v>
      </c>
      <c r="H304" s="22" t="s">
        <v>369</v>
      </c>
      <c r="I304" s="22">
        <v>1</v>
      </c>
      <c r="J304" s="28" t="s">
        <v>18</v>
      </c>
      <c r="K304" s="24">
        <f t="shared" si="19"/>
        <v>8</v>
      </c>
      <c r="L304" s="25">
        <v>4.4</v>
      </c>
      <c r="M304" s="26">
        <v>35.2</v>
      </c>
      <c r="N304" s="26">
        <v>35.2</v>
      </c>
    </row>
    <row r="305" spans="4:14">
      <c r="D305" s="21">
        <v>46094</v>
      </c>
      <c r="E305" s="22">
        <v>1585564</v>
      </c>
      <c r="F305" s="22" t="s">
        <v>20</v>
      </c>
      <c r="G305" s="22">
        <v>20330458</v>
      </c>
      <c r="H305" s="22" t="s">
        <v>341</v>
      </c>
      <c r="I305" s="22">
        <v>1</v>
      </c>
      <c r="J305" s="28" t="s">
        <v>18</v>
      </c>
      <c r="K305" s="24">
        <f t="shared" si="19"/>
        <v>5</v>
      </c>
      <c r="L305" s="25">
        <v>4.4</v>
      </c>
      <c r="M305" s="26">
        <v>22</v>
      </c>
      <c r="N305" s="26">
        <v>22</v>
      </c>
    </row>
    <row r="306" spans="4:14">
      <c r="D306" s="21">
        <v>46094</v>
      </c>
      <c r="E306" s="22">
        <v>1585564</v>
      </c>
      <c r="F306" s="22" t="s">
        <v>20</v>
      </c>
      <c r="G306" s="22">
        <v>20324699</v>
      </c>
      <c r="H306" s="22" t="s">
        <v>283</v>
      </c>
      <c r="I306" s="22">
        <v>2</v>
      </c>
      <c r="J306" s="28" t="s">
        <v>18</v>
      </c>
      <c r="K306" s="24">
        <f t="shared" si="19"/>
        <v>5</v>
      </c>
      <c r="L306" s="25">
        <v>4.4</v>
      </c>
      <c r="M306" s="26">
        <v>22</v>
      </c>
      <c r="N306" s="26">
        <v>44</v>
      </c>
    </row>
    <row r="307" spans="4:14">
      <c r="D307" s="21">
        <v>46094</v>
      </c>
      <c r="E307" s="22">
        <v>1585564</v>
      </c>
      <c r="F307" s="22" t="s">
        <v>20</v>
      </c>
      <c r="G307" s="22">
        <v>20325524</v>
      </c>
      <c r="H307" s="22" t="s">
        <v>339</v>
      </c>
      <c r="I307" s="22">
        <v>1</v>
      </c>
      <c r="J307" s="28" t="s">
        <v>18</v>
      </c>
      <c r="K307" s="24">
        <f t="shared" si="19"/>
        <v>3</v>
      </c>
      <c r="L307" s="25">
        <v>4.4</v>
      </c>
      <c r="M307" s="26">
        <v>13.2</v>
      </c>
      <c r="N307" s="26">
        <v>13.2</v>
      </c>
    </row>
    <row r="308" spans="4:14">
      <c r="D308" s="21">
        <v>46094</v>
      </c>
      <c r="E308" s="22">
        <v>1585637</v>
      </c>
      <c r="F308" s="22" t="s">
        <v>20</v>
      </c>
      <c r="G308" s="22">
        <v>20363528</v>
      </c>
      <c r="H308" s="22" t="s">
        <v>424</v>
      </c>
      <c r="I308" s="22">
        <v>1</v>
      </c>
      <c r="J308" s="30" t="s">
        <v>205</v>
      </c>
      <c r="K308" s="24">
        <v>1</v>
      </c>
      <c r="L308" s="25">
        <v>28</v>
      </c>
      <c r="M308" s="26">
        <v>28</v>
      </c>
      <c r="N308" s="26">
        <v>28</v>
      </c>
    </row>
    <row r="309" spans="4:14">
      <c r="D309" s="21">
        <v>46094</v>
      </c>
      <c r="E309" s="22">
        <v>1585637</v>
      </c>
      <c r="F309" s="22" t="s">
        <v>20</v>
      </c>
      <c r="G309" s="22">
        <v>20342188</v>
      </c>
      <c r="H309" s="22" t="s">
        <v>370</v>
      </c>
      <c r="I309" s="22">
        <v>1</v>
      </c>
      <c r="J309" s="30" t="s">
        <v>210</v>
      </c>
      <c r="K309" s="24">
        <v>1</v>
      </c>
      <c r="L309" s="25">
        <v>22.4</v>
      </c>
      <c r="M309" s="26">
        <v>22.4</v>
      </c>
      <c r="N309" s="26">
        <v>22.4</v>
      </c>
    </row>
    <row r="310" spans="4:14">
      <c r="D310" s="21">
        <v>46094</v>
      </c>
      <c r="E310" s="22">
        <v>1585637</v>
      </c>
      <c r="F310" s="22" t="s">
        <v>20</v>
      </c>
      <c r="G310" s="22">
        <v>20328011</v>
      </c>
      <c r="H310" s="22" t="s">
        <v>425</v>
      </c>
      <c r="I310" s="22">
        <v>1</v>
      </c>
      <c r="J310" s="28" t="s">
        <v>28</v>
      </c>
      <c r="K310" s="24">
        <v>1</v>
      </c>
      <c r="L310" s="25">
        <v>17.6</v>
      </c>
      <c r="M310" s="26">
        <v>52.8</v>
      </c>
      <c r="N310" s="26">
        <v>52.8</v>
      </c>
    </row>
    <row r="311" spans="4:14">
      <c r="D311" s="21"/>
      <c r="E311" s="22"/>
      <c r="F311" s="22"/>
      <c r="G311" s="22"/>
      <c r="H311" s="22"/>
      <c r="I311" s="22"/>
      <c r="J311" s="28" t="s">
        <v>28</v>
      </c>
      <c r="K311" s="24">
        <v>1</v>
      </c>
      <c r="L311" s="25">
        <v>17.6</v>
      </c>
      <c r="M311" s="26"/>
      <c r="N311" s="26"/>
    </row>
    <row r="312" spans="4:14">
      <c r="D312" s="21"/>
      <c r="E312" s="22"/>
      <c r="F312" s="22"/>
      <c r="G312" s="22"/>
      <c r="H312" s="22"/>
      <c r="I312" s="22"/>
      <c r="J312" s="28" t="s">
        <v>28</v>
      </c>
      <c r="K312" s="24">
        <v>1</v>
      </c>
      <c r="L312" s="25">
        <v>17.6</v>
      </c>
      <c r="M312" s="26"/>
      <c r="N312" s="26"/>
    </row>
    <row r="313" spans="4:14">
      <c r="D313" s="21">
        <v>46094</v>
      </c>
      <c r="E313" s="22">
        <v>1585637</v>
      </c>
      <c r="F313" s="22" t="s">
        <v>20</v>
      </c>
      <c r="G313" s="22">
        <v>20335838</v>
      </c>
      <c r="H313" s="22" t="s">
        <v>437</v>
      </c>
      <c r="I313" s="22">
        <v>1</v>
      </c>
      <c r="J313" s="30" t="s">
        <v>39</v>
      </c>
      <c r="K313" s="24" t="s">
        <v>40</v>
      </c>
      <c r="L313" s="25">
        <v>70.4</v>
      </c>
      <c r="M313" s="26">
        <v>70.4</v>
      </c>
      <c r="N313" s="26">
        <v>70.4</v>
      </c>
    </row>
    <row r="314" spans="4:14">
      <c r="D314" s="21">
        <v>46094</v>
      </c>
      <c r="E314" s="22">
        <v>1585637</v>
      </c>
      <c r="F314" s="22" t="s">
        <v>20</v>
      </c>
      <c r="G314" s="22">
        <v>20325758</v>
      </c>
      <c r="H314" s="22" t="s">
        <v>427</v>
      </c>
      <c r="I314" s="22">
        <v>2</v>
      </c>
      <c r="J314" s="28" t="s">
        <v>295</v>
      </c>
      <c r="K314" s="24">
        <v>1</v>
      </c>
      <c r="L314" s="25">
        <v>20</v>
      </c>
      <c r="M314" s="26">
        <v>20</v>
      </c>
      <c r="N314" s="26">
        <v>40</v>
      </c>
    </row>
    <row r="315" spans="4:14">
      <c r="D315" s="21">
        <v>46094</v>
      </c>
      <c r="E315" s="22">
        <v>1585637</v>
      </c>
      <c r="F315" s="22" t="s">
        <v>20</v>
      </c>
      <c r="G315" s="22">
        <v>20387686</v>
      </c>
      <c r="H315" s="22" t="s">
        <v>371</v>
      </c>
      <c r="I315" s="22">
        <v>1</v>
      </c>
      <c r="J315" s="28" t="s">
        <v>28</v>
      </c>
      <c r="K315" s="24">
        <v>1</v>
      </c>
      <c r="L315" s="25">
        <v>17.6</v>
      </c>
      <c r="M315" s="26">
        <v>17.6</v>
      </c>
      <c r="N315" s="26">
        <v>17.6</v>
      </c>
    </row>
    <row r="316" spans="4:14">
      <c r="D316" s="21">
        <v>46094</v>
      </c>
      <c r="E316" s="22">
        <v>1585637</v>
      </c>
      <c r="F316" s="22" t="s">
        <v>20</v>
      </c>
      <c r="G316" s="22">
        <v>20325857</v>
      </c>
      <c r="H316" s="22" t="s">
        <v>373</v>
      </c>
      <c r="I316" s="22">
        <v>3</v>
      </c>
      <c r="J316" s="30" t="s">
        <v>210</v>
      </c>
      <c r="K316" s="24">
        <v>1</v>
      </c>
      <c r="L316" s="25">
        <v>22.4</v>
      </c>
      <c r="M316" s="26">
        <v>22.4</v>
      </c>
      <c r="N316" s="26">
        <v>67.2</v>
      </c>
    </row>
    <row r="317" spans="4:14">
      <c r="D317" s="21">
        <v>46094</v>
      </c>
      <c r="E317" s="22">
        <v>1585637</v>
      </c>
      <c r="F317" s="22" t="s">
        <v>20</v>
      </c>
      <c r="G317" s="22">
        <v>20336648</v>
      </c>
      <c r="H317" s="22" t="s">
        <v>438</v>
      </c>
      <c r="I317" s="22">
        <v>1</v>
      </c>
      <c r="J317" s="28" t="s">
        <v>28</v>
      </c>
      <c r="K317" s="24">
        <v>1</v>
      </c>
      <c r="L317" s="25">
        <v>17.6</v>
      </c>
      <c r="M317" s="26">
        <v>35.2</v>
      </c>
      <c r="N317" s="26">
        <v>35.2</v>
      </c>
    </row>
    <row r="318" spans="4:14">
      <c r="D318" s="21"/>
      <c r="E318" s="22"/>
      <c r="F318" s="22"/>
      <c r="G318" s="22"/>
      <c r="H318" s="22"/>
      <c r="I318" s="22"/>
      <c r="J318" s="28" t="s">
        <v>28</v>
      </c>
      <c r="K318" s="24">
        <v>1</v>
      </c>
      <c r="L318" s="25">
        <v>17.6</v>
      </c>
      <c r="M318" s="26"/>
      <c r="N318" s="26"/>
    </row>
    <row r="319" spans="4:14">
      <c r="D319" s="21">
        <v>46094</v>
      </c>
      <c r="E319" s="22">
        <v>1585898</v>
      </c>
      <c r="F319" s="22" t="s">
        <v>16</v>
      </c>
      <c r="G319" s="22">
        <v>20324463</v>
      </c>
      <c r="H319" s="22" t="s">
        <v>289</v>
      </c>
      <c r="I319" s="22">
        <v>3</v>
      </c>
      <c r="J319" s="28" t="s">
        <v>18</v>
      </c>
      <c r="K319" s="24">
        <f t="shared" ref="K319:K323" si="20">M319/L319</f>
        <v>35</v>
      </c>
      <c r="L319" s="25">
        <v>4.4</v>
      </c>
      <c r="M319" s="26">
        <v>154</v>
      </c>
      <c r="N319" s="26">
        <v>462</v>
      </c>
    </row>
    <row r="320" spans="4:14">
      <c r="D320" s="21">
        <v>46094</v>
      </c>
      <c r="E320" s="22">
        <v>1585898</v>
      </c>
      <c r="F320" s="22" t="s">
        <v>16</v>
      </c>
      <c r="G320" s="22">
        <v>20324036</v>
      </c>
      <c r="H320" s="22" t="s">
        <v>439</v>
      </c>
      <c r="I320" s="22">
        <v>1</v>
      </c>
      <c r="J320" s="28" t="s">
        <v>18</v>
      </c>
      <c r="K320" s="24">
        <f t="shared" si="20"/>
        <v>45</v>
      </c>
      <c r="L320" s="25">
        <v>4.4</v>
      </c>
      <c r="M320" s="26">
        <v>198</v>
      </c>
      <c r="N320" s="26">
        <v>198</v>
      </c>
    </row>
    <row r="321" spans="4:14">
      <c r="D321" s="21">
        <v>46094</v>
      </c>
      <c r="E321" s="22">
        <v>1585898</v>
      </c>
      <c r="F321" s="22" t="s">
        <v>16</v>
      </c>
      <c r="G321" s="22">
        <v>20324045</v>
      </c>
      <c r="H321" s="22" t="s">
        <v>281</v>
      </c>
      <c r="I321" s="22">
        <v>1</v>
      </c>
      <c r="J321" s="28" t="s">
        <v>18</v>
      </c>
      <c r="K321" s="24">
        <f t="shared" si="20"/>
        <v>19</v>
      </c>
      <c r="L321" s="25">
        <v>4.4</v>
      </c>
      <c r="M321" s="26">
        <v>83.6</v>
      </c>
      <c r="N321" s="26">
        <v>83.6</v>
      </c>
    </row>
    <row r="322" spans="4:14">
      <c r="D322" s="21">
        <v>46094</v>
      </c>
      <c r="E322" s="22">
        <v>1585898</v>
      </c>
      <c r="F322" s="22" t="s">
        <v>20</v>
      </c>
      <c r="G322" s="22">
        <v>20325529</v>
      </c>
      <c r="H322" s="22" t="s">
        <v>405</v>
      </c>
      <c r="I322" s="22">
        <v>1</v>
      </c>
      <c r="J322" s="28" t="s">
        <v>18</v>
      </c>
      <c r="K322" s="24">
        <f t="shared" si="20"/>
        <v>4</v>
      </c>
      <c r="L322" s="25">
        <v>4.4</v>
      </c>
      <c r="M322" s="26">
        <v>17.6</v>
      </c>
      <c r="N322" s="26">
        <v>17.6</v>
      </c>
    </row>
    <row r="323" spans="4:14">
      <c r="D323" s="21">
        <v>46094</v>
      </c>
      <c r="E323" s="22">
        <v>1585898</v>
      </c>
      <c r="F323" s="22" t="s">
        <v>20</v>
      </c>
      <c r="G323" s="22">
        <v>20324699</v>
      </c>
      <c r="H323" s="22" t="s">
        <v>283</v>
      </c>
      <c r="I323" s="22">
        <v>6</v>
      </c>
      <c r="J323" s="28" t="s">
        <v>18</v>
      </c>
      <c r="K323" s="24">
        <f t="shared" si="20"/>
        <v>5</v>
      </c>
      <c r="L323" s="25">
        <v>4.4</v>
      </c>
      <c r="M323" s="26">
        <v>22</v>
      </c>
      <c r="N323" s="26">
        <v>132</v>
      </c>
    </row>
    <row r="324" spans="4:14">
      <c r="D324" s="21">
        <v>46094</v>
      </c>
      <c r="E324" s="22">
        <v>1585898</v>
      </c>
      <c r="F324" s="22" t="s">
        <v>55</v>
      </c>
      <c r="G324" s="22">
        <v>20354932</v>
      </c>
      <c r="H324" s="22" t="s">
        <v>236</v>
      </c>
      <c r="I324" s="22">
        <v>15</v>
      </c>
      <c r="J324" s="30" t="s">
        <v>57</v>
      </c>
      <c r="K324" s="24">
        <v>1</v>
      </c>
      <c r="L324" s="25">
        <v>3.2</v>
      </c>
      <c r="M324" s="26">
        <v>3.2</v>
      </c>
      <c r="N324" s="26">
        <v>48</v>
      </c>
    </row>
    <row r="325" spans="4:14">
      <c r="D325" s="21">
        <v>46095</v>
      </c>
      <c r="E325" s="22">
        <v>1585962</v>
      </c>
      <c r="F325" s="22" t="s">
        <v>20</v>
      </c>
      <c r="G325" s="22">
        <v>20325760</v>
      </c>
      <c r="H325" s="22" t="s">
        <v>433</v>
      </c>
      <c r="I325" s="22">
        <v>1</v>
      </c>
      <c r="J325" s="27" t="s">
        <v>145</v>
      </c>
      <c r="K325" s="24">
        <f>M325/L325</f>
        <v>4</v>
      </c>
      <c r="L325" s="25">
        <v>4.4</v>
      </c>
      <c r="M325" s="26">
        <v>17.6</v>
      </c>
      <c r="N325" s="26">
        <v>17.6</v>
      </c>
    </row>
    <row r="326" spans="4:14">
      <c r="D326" s="21">
        <v>46095</v>
      </c>
      <c r="E326" s="22">
        <v>1585999</v>
      </c>
      <c r="F326" s="22" t="s">
        <v>20</v>
      </c>
      <c r="G326" s="22">
        <v>20342188</v>
      </c>
      <c r="H326" s="22" t="s">
        <v>370</v>
      </c>
      <c r="I326" s="22">
        <v>1</v>
      </c>
      <c r="J326" s="30" t="s">
        <v>210</v>
      </c>
      <c r="K326" s="24">
        <v>1</v>
      </c>
      <c r="L326" s="25">
        <v>22.4</v>
      </c>
      <c r="M326" s="26">
        <v>22.4</v>
      </c>
      <c r="N326" s="26">
        <v>22.4</v>
      </c>
    </row>
    <row r="327" spans="4:14">
      <c r="D327" s="21">
        <v>46095</v>
      </c>
      <c r="E327" s="22">
        <v>1585999</v>
      </c>
      <c r="F327" s="22" t="s">
        <v>20</v>
      </c>
      <c r="G327" s="22">
        <v>20328011</v>
      </c>
      <c r="H327" s="22" t="s">
        <v>425</v>
      </c>
      <c r="I327" s="22">
        <v>1</v>
      </c>
      <c r="J327" s="28" t="s">
        <v>28</v>
      </c>
      <c r="K327" s="24">
        <v>1</v>
      </c>
      <c r="L327" s="25">
        <v>17.6</v>
      </c>
      <c r="M327" s="26">
        <v>52.8</v>
      </c>
      <c r="N327" s="26">
        <v>52.8</v>
      </c>
    </row>
    <row r="328" spans="4:14">
      <c r="D328" s="21"/>
      <c r="E328" s="22"/>
      <c r="F328" s="22"/>
      <c r="G328" s="22"/>
      <c r="H328" s="22"/>
      <c r="I328" s="22"/>
      <c r="J328" s="28" t="s">
        <v>28</v>
      </c>
      <c r="K328" s="24">
        <v>1</v>
      </c>
      <c r="L328" s="25">
        <v>17.6</v>
      </c>
      <c r="M328" s="26"/>
      <c r="N328" s="26"/>
    </row>
    <row r="329" spans="4:14">
      <c r="D329" s="21"/>
      <c r="E329" s="22"/>
      <c r="F329" s="22"/>
      <c r="G329" s="22"/>
      <c r="H329" s="22"/>
      <c r="I329" s="22"/>
      <c r="J329" s="28" t="s">
        <v>28</v>
      </c>
      <c r="K329" s="24">
        <v>1</v>
      </c>
      <c r="L329" s="25">
        <v>17.6</v>
      </c>
      <c r="M329" s="26"/>
      <c r="N329" s="26"/>
    </row>
    <row r="330" spans="4:14">
      <c r="D330" s="21">
        <v>46095</v>
      </c>
      <c r="E330" s="22">
        <v>1585999</v>
      </c>
      <c r="F330" s="22" t="s">
        <v>20</v>
      </c>
      <c r="G330" s="22">
        <v>20324643</v>
      </c>
      <c r="H330" s="22" t="s">
        <v>343</v>
      </c>
      <c r="I330" s="22">
        <v>3</v>
      </c>
      <c r="J330" s="30" t="s">
        <v>210</v>
      </c>
      <c r="K330" s="24">
        <v>1</v>
      </c>
      <c r="L330" s="25">
        <v>22.4</v>
      </c>
      <c r="M330" s="26">
        <v>22.4</v>
      </c>
      <c r="N330" s="26">
        <v>67.2</v>
      </c>
    </row>
    <row r="331" spans="4:14">
      <c r="D331" s="21">
        <v>46095</v>
      </c>
      <c r="E331" s="22">
        <v>1585999</v>
      </c>
      <c r="F331" s="22" t="s">
        <v>20</v>
      </c>
      <c r="G331" s="22">
        <v>20324637</v>
      </c>
      <c r="H331" s="22" t="s">
        <v>291</v>
      </c>
      <c r="I331" s="22">
        <v>2</v>
      </c>
      <c r="J331" s="30" t="s">
        <v>205</v>
      </c>
      <c r="K331" s="24">
        <v>1</v>
      </c>
      <c r="L331" s="25">
        <v>28</v>
      </c>
      <c r="M331" s="26">
        <v>28</v>
      </c>
      <c r="N331" s="26">
        <v>56</v>
      </c>
    </row>
    <row r="332" spans="4:14">
      <c r="D332" s="21">
        <v>46095</v>
      </c>
      <c r="E332" s="22">
        <v>1585999</v>
      </c>
      <c r="F332" s="22" t="s">
        <v>20</v>
      </c>
      <c r="G332" s="22">
        <v>20330449</v>
      </c>
      <c r="H332" s="22" t="s">
        <v>292</v>
      </c>
      <c r="I332" s="22">
        <v>2</v>
      </c>
      <c r="J332" s="30" t="s">
        <v>210</v>
      </c>
      <c r="K332" s="24">
        <v>1</v>
      </c>
      <c r="L332" s="25">
        <v>22.4</v>
      </c>
      <c r="M332" s="26">
        <v>22.4</v>
      </c>
      <c r="N332" s="26">
        <v>44.8</v>
      </c>
    </row>
    <row r="333" spans="4:14">
      <c r="D333" s="21">
        <v>46095</v>
      </c>
      <c r="E333" s="22">
        <v>1585999</v>
      </c>
      <c r="F333" s="22" t="s">
        <v>20</v>
      </c>
      <c r="G333" s="22">
        <v>20382023</v>
      </c>
      <c r="H333" s="22" t="s">
        <v>393</v>
      </c>
      <c r="I333" s="22">
        <v>1</v>
      </c>
      <c r="J333" s="28" t="s">
        <v>28</v>
      </c>
      <c r="K333" s="24">
        <v>1</v>
      </c>
      <c r="L333" s="25">
        <v>17.6</v>
      </c>
      <c r="M333" s="26">
        <v>17.6</v>
      </c>
      <c r="N333" s="26">
        <v>17.6</v>
      </c>
    </row>
    <row r="334" spans="4:14">
      <c r="D334" s="21">
        <v>46095</v>
      </c>
      <c r="E334" s="22">
        <v>1585999</v>
      </c>
      <c r="F334" s="22" t="s">
        <v>20</v>
      </c>
      <c r="G334" s="22">
        <v>20329253</v>
      </c>
      <c r="H334" s="22" t="s">
        <v>320</v>
      </c>
      <c r="I334" s="22">
        <v>2</v>
      </c>
      <c r="J334" s="28" t="s">
        <v>28</v>
      </c>
      <c r="K334" s="24">
        <v>1</v>
      </c>
      <c r="L334" s="25">
        <v>17.6</v>
      </c>
      <c r="M334" s="26">
        <v>17.6</v>
      </c>
      <c r="N334" s="26">
        <v>35.2</v>
      </c>
    </row>
    <row r="335" spans="4:14">
      <c r="D335" s="21">
        <v>46095</v>
      </c>
      <c r="E335" s="22">
        <v>1585999</v>
      </c>
      <c r="F335" s="22" t="s">
        <v>20</v>
      </c>
      <c r="G335" s="22">
        <v>20324822</v>
      </c>
      <c r="H335" s="22" t="s">
        <v>321</v>
      </c>
      <c r="I335" s="22">
        <v>3</v>
      </c>
      <c r="J335" s="30" t="s">
        <v>205</v>
      </c>
      <c r="K335" s="24">
        <v>1</v>
      </c>
      <c r="L335" s="25">
        <v>28</v>
      </c>
      <c r="M335" s="26">
        <v>28</v>
      </c>
      <c r="N335" s="26">
        <v>84</v>
      </c>
    </row>
    <row r="336" spans="4:14">
      <c r="D336" s="21">
        <v>46095</v>
      </c>
      <c r="E336" s="22">
        <v>1585999</v>
      </c>
      <c r="F336" s="22" t="s">
        <v>20</v>
      </c>
      <c r="G336" s="22">
        <v>20354181</v>
      </c>
      <c r="H336" s="22" t="s">
        <v>344</v>
      </c>
      <c r="I336" s="22">
        <v>1</v>
      </c>
      <c r="J336" s="30" t="s">
        <v>51</v>
      </c>
      <c r="K336" s="24" t="s">
        <v>52</v>
      </c>
      <c r="L336" s="25">
        <v>240</v>
      </c>
      <c r="M336" s="26">
        <v>240</v>
      </c>
      <c r="N336" s="26">
        <v>240</v>
      </c>
    </row>
    <row r="337" spans="4:14">
      <c r="D337" s="21">
        <v>46095</v>
      </c>
      <c r="E337" s="22">
        <v>1585999</v>
      </c>
      <c r="F337" s="22" t="s">
        <v>20</v>
      </c>
      <c r="G337" s="22">
        <v>20416372</v>
      </c>
      <c r="H337" s="22" t="s">
        <v>429</v>
      </c>
      <c r="I337" s="22">
        <v>1</v>
      </c>
      <c r="J337" s="28" t="s">
        <v>28</v>
      </c>
      <c r="K337" s="24">
        <v>1</v>
      </c>
      <c r="L337" s="25">
        <v>17.6</v>
      </c>
      <c r="M337" s="26">
        <v>17.6</v>
      </c>
      <c r="N337" s="26">
        <v>17.6</v>
      </c>
    </row>
    <row r="338" spans="4:14">
      <c r="D338" s="21">
        <v>46095</v>
      </c>
      <c r="E338" s="22">
        <v>1585999</v>
      </c>
      <c r="F338" s="22" t="s">
        <v>20</v>
      </c>
      <c r="G338" s="22">
        <v>20387686</v>
      </c>
      <c r="H338" s="22" t="s">
        <v>371</v>
      </c>
      <c r="I338" s="22">
        <v>2</v>
      </c>
      <c r="J338" s="28" t="s">
        <v>28</v>
      </c>
      <c r="K338" s="24">
        <v>1</v>
      </c>
      <c r="L338" s="25">
        <v>17.6</v>
      </c>
      <c r="M338" s="26">
        <v>17.6</v>
      </c>
      <c r="N338" s="26">
        <v>35.2</v>
      </c>
    </row>
    <row r="339" spans="4:14">
      <c r="D339" s="21">
        <v>46095</v>
      </c>
      <c r="E339" s="22">
        <v>1585999</v>
      </c>
      <c r="F339" s="22" t="s">
        <v>20</v>
      </c>
      <c r="G339" s="22">
        <v>20324635</v>
      </c>
      <c r="H339" s="22" t="s">
        <v>372</v>
      </c>
      <c r="I339" s="22">
        <v>1</v>
      </c>
      <c r="J339" s="30" t="s">
        <v>205</v>
      </c>
      <c r="K339" s="24">
        <v>1</v>
      </c>
      <c r="L339" s="25">
        <v>28</v>
      </c>
      <c r="M339" s="26">
        <v>28</v>
      </c>
      <c r="N339" s="26">
        <v>28</v>
      </c>
    </row>
    <row r="340" spans="4:14">
      <c r="D340" s="21">
        <v>46095</v>
      </c>
      <c r="E340" s="22">
        <v>1585999</v>
      </c>
      <c r="F340" s="22" t="s">
        <v>20</v>
      </c>
      <c r="G340" s="22">
        <v>20324645</v>
      </c>
      <c r="H340" s="22" t="s">
        <v>346</v>
      </c>
      <c r="I340" s="22">
        <v>3</v>
      </c>
      <c r="J340" s="30" t="s">
        <v>210</v>
      </c>
      <c r="K340" s="24">
        <v>1</v>
      </c>
      <c r="L340" s="25">
        <v>22.4</v>
      </c>
      <c r="M340" s="26">
        <v>22.4</v>
      </c>
      <c r="N340" s="26">
        <v>67.2</v>
      </c>
    </row>
    <row r="341" spans="4:14">
      <c r="D341" s="21">
        <v>46095</v>
      </c>
      <c r="E341" s="22">
        <v>1585999</v>
      </c>
      <c r="F341" s="22" t="s">
        <v>20</v>
      </c>
      <c r="G341" s="22">
        <v>20324723</v>
      </c>
      <c r="H341" s="22" t="s">
        <v>330</v>
      </c>
      <c r="I341" s="22">
        <v>2</v>
      </c>
      <c r="J341" s="30" t="s">
        <v>210</v>
      </c>
      <c r="K341" s="24">
        <v>1</v>
      </c>
      <c r="L341" s="25">
        <v>22.4</v>
      </c>
      <c r="M341" s="26">
        <v>22.4</v>
      </c>
      <c r="N341" s="26">
        <v>44.8</v>
      </c>
    </row>
    <row r="342" spans="4:14">
      <c r="D342" s="21">
        <v>46095</v>
      </c>
      <c r="E342" s="22">
        <v>1585999</v>
      </c>
      <c r="F342" s="22" t="s">
        <v>20</v>
      </c>
      <c r="G342" s="22">
        <v>20324636</v>
      </c>
      <c r="H342" s="22" t="s">
        <v>347</v>
      </c>
      <c r="I342" s="22">
        <v>3</v>
      </c>
      <c r="J342" s="30" t="s">
        <v>205</v>
      </c>
      <c r="K342" s="24">
        <v>1</v>
      </c>
      <c r="L342" s="25">
        <v>28</v>
      </c>
      <c r="M342" s="26">
        <v>28</v>
      </c>
      <c r="N342" s="26">
        <v>84</v>
      </c>
    </row>
    <row r="343" spans="4:14">
      <c r="D343" s="21">
        <v>46095</v>
      </c>
      <c r="E343" s="22">
        <v>1585999</v>
      </c>
      <c r="F343" s="22" t="s">
        <v>20</v>
      </c>
      <c r="G343" s="22">
        <v>20324642</v>
      </c>
      <c r="H343" s="22" t="s">
        <v>348</v>
      </c>
      <c r="I343" s="22">
        <v>2</v>
      </c>
      <c r="J343" s="28" t="s">
        <v>28</v>
      </c>
      <c r="K343" s="24">
        <v>1</v>
      </c>
      <c r="L343" s="25">
        <v>17.6</v>
      </c>
      <c r="M343" s="26">
        <v>17.6</v>
      </c>
      <c r="N343" s="26">
        <v>35.2</v>
      </c>
    </row>
    <row r="344" spans="4:14">
      <c r="D344" s="21">
        <v>46095</v>
      </c>
      <c r="E344" s="22">
        <v>1585999</v>
      </c>
      <c r="F344" s="22" t="s">
        <v>20</v>
      </c>
      <c r="G344" s="22">
        <v>20328019</v>
      </c>
      <c r="H344" s="22" t="s">
        <v>374</v>
      </c>
      <c r="I344" s="22">
        <v>1</v>
      </c>
      <c r="J344" s="30" t="s">
        <v>210</v>
      </c>
      <c r="K344" s="24">
        <v>1</v>
      </c>
      <c r="L344" s="25">
        <v>22.4</v>
      </c>
      <c r="M344" s="26">
        <v>22.4</v>
      </c>
      <c r="N344" s="26">
        <v>22.4</v>
      </c>
    </row>
    <row r="345" spans="4:14">
      <c r="D345" s="21">
        <v>46095</v>
      </c>
      <c r="E345" s="22">
        <v>1585999</v>
      </c>
      <c r="F345" s="22" t="s">
        <v>20</v>
      </c>
      <c r="G345" s="22">
        <v>20328119</v>
      </c>
      <c r="H345" s="22" t="s">
        <v>375</v>
      </c>
      <c r="I345" s="22">
        <v>2</v>
      </c>
      <c r="J345" s="28" t="s">
        <v>28</v>
      </c>
      <c r="K345" s="24">
        <v>1</v>
      </c>
      <c r="L345" s="25">
        <v>17.6</v>
      </c>
      <c r="M345" s="26">
        <v>35.2</v>
      </c>
      <c r="N345" s="26">
        <v>70.4</v>
      </c>
    </row>
    <row r="346" spans="4:14">
      <c r="D346" s="21"/>
      <c r="E346" s="22"/>
      <c r="F346" s="22"/>
      <c r="G346" s="22"/>
      <c r="H346" s="22"/>
      <c r="I346" s="22"/>
      <c r="J346" s="28" t="s">
        <v>28</v>
      </c>
      <c r="K346" s="24">
        <v>1</v>
      </c>
      <c r="L346" s="25">
        <v>17.6</v>
      </c>
      <c r="M346" s="26"/>
      <c r="N346" s="26"/>
    </row>
    <row r="347" spans="4:14">
      <c r="D347" s="21">
        <v>46095</v>
      </c>
      <c r="E347" s="22">
        <v>1585999</v>
      </c>
      <c r="F347" s="22" t="s">
        <v>20</v>
      </c>
      <c r="G347" s="22">
        <v>20324813</v>
      </c>
      <c r="H347" s="22" t="s">
        <v>302</v>
      </c>
      <c r="I347" s="22">
        <v>1</v>
      </c>
      <c r="J347" s="30" t="s">
        <v>210</v>
      </c>
      <c r="K347" s="24">
        <v>1</v>
      </c>
      <c r="L347" s="25">
        <v>22.4</v>
      </c>
      <c r="M347" s="26">
        <v>22.4</v>
      </c>
      <c r="N347" s="26">
        <v>22.4</v>
      </c>
    </row>
    <row r="348" spans="4:14">
      <c r="D348" s="21">
        <v>46095</v>
      </c>
      <c r="E348" s="22">
        <v>1585999</v>
      </c>
      <c r="F348" s="22" t="s">
        <v>20</v>
      </c>
      <c r="G348" s="22">
        <v>20324815</v>
      </c>
      <c r="H348" s="22" t="s">
        <v>303</v>
      </c>
      <c r="I348" s="22">
        <v>1</v>
      </c>
      <c r="J348" s="30" t="s">
        <v>205</v>
      </c>
      <c r="K348" s="24">
        <v>1</v>
      </c>
      <c r="L348" s="25">
        <v>28</v>
      </c>
      <c r="M348" s="26">
        <v>28</v>
      </c>
      <c r="N348" s="26">
        <v>28</v>
      </c>
    </row>
    <row r="349" spans="4:14">
      <c r="D349" s="21">
        <v>46095</v>
      </c>
      <c r="E349" s="22">
        <v>1585999</v>
      </c>
      <c r="F349" s="22" t="s">
        <v>20</v>
      </c>
      <c r="G349" s="22">
        <v>20324644</v>
      </c>
      <c r="H349" s="22" t="s">
        <v>304</v>
      </c>
      <c r="I349" s="22">
        <v>4</v>
      </c>
      <c r="J349" s="30" t="s">
        <v>210</v>
      </c>
      <c r="K349" s="24">
        <v>1</v>
      </c>
      <c r="L349" s="25">
        <v>22.4</v>
      </c>
      <c r="M349" s="26">
        <v>22.4</v>
      </c>
      <c r="N349" s="26">
        <v>89.6</v>
      </c>
    </row>
    <row r="350" spans="4:14">
      <c r="D350" s="21">
        <v>46095</v>
      </c>
      <c r="E350" s="22">
        <v>1585999</v>
      </c>
      <c r="F350" s="22" t="s">
        <v>20</v>
      </c>
      <c r="G350" s="22">
        <v>20324814</v>
      </c>
      <c r="H350" s="22" t="s">
        <v>305</v>
      </c>
      <c r="I350" s="22">
        <v>4</v>
      </c>
      <c r="J350" s="30" t="s">
        <v>210</v>
      </c>
      <c r="K350" s="24">
        <v>1</v>
      </c>
      <c r="L350" s="25">
        <v>22.4</v>
      </c>
      <c r="M350" s="26">
        <v>22.4</v>
      </c>
      <c r="N350" s="26">
        <v>89.6</v>
      </c>
    </row>
    <row r="351" spans="4:14">
      <c r="D351" s="21">
        <v>46095</v>
      </c>
      <c r="E351" s="22">
        <v>1585999</v>
      </c>
      <c r="F351" s="22" t="s">
        <v>20</v>
      </c>
      <c r="G351" s="22">
        <v>20324646</v>
      </c>
      <c r="H351" s="22" t="s">
        <v>350</v>
      </c>
      <c r="I351" s="22">
        <v>2</v>
      </c>
      <c r="J351" s="28" t="s">
        <v>295</v>
      </c>
      <c r="K351" s="24">
        <v>1</v>
      </c>
      <c r="L351" s="25">
        <v>20</v>
      </c>
      <c r="M351" s="26">
        <v>20</v>
      </c>
      <c r="N351" s="26">
        <v>40</v>
      </c>
    </row>
    <row r="352" spans="4:14">
      <c r="D352" s="21">
        <v>46095</v>
      </c>
      <c r="E352" s="22">
        <v>1585999</v>
      </c>
      <c r="F352" s="22" t="s">
        <v>20</v>
      </c>
      <c r="G352" s="22">
        <v>20332069</v>
      </c>
      <c r="H352" s="22" t="s">
        <v>209</v>
      </c>
      <c r="I352" s="22">
        <v>1</v>
      </c>
      <c r="J352" s="30" t="s">
        <v>210</v>
      </c>
      <c r="K352" s="24">
        <v>1</v>
      </c>
      <c r="L352" s="25">
        <v>22.4</v>
      </c>
      <c r="M352" s="26">
        <v>22.4</v>
      </c>
      <c r="N352" s="26">
        <v>22.4</v>
      </c>
    </row>
    <row r="353" spans="4:14">
      <c r="D353" s="68">
        <v>46095</v>
      </c>
      <c r="E353" s="69">
        <v>1585999</v>
      </c>
      <c r="F353" s="69" t="s">
        <v>30</v>
      </c>
      <c r="G353" s="70">
        <v>20324638</v>
      </c>
      <c r="H353" s="69" t="s">
        <v>306</v>
      </c>
      <c r="I353" s="70">
        <v>1</v>
      </c>
      <c r="J353" s="71" t="s">
        <v>307</v>
      </c>
      <c r="K353" s="24" t="s">
        <v>308</v>
      </c>
      <c r="L353" s="25">
        <v>22.4</v>
      </c>
      <c r="M353" s="25">
        <f>L353+L354</f>
        <v>30.4</v>
      </c>
      <c r="N353" s="25">
        <f>M353+M354</f>
        <v>30.4</v>
      </c>
    </row>
    <row r="354" spans="4:14">
      <c r="D354" s="72"/>
      <c r="E354" s="73"/>
      <c r="F354" s="73"/>
      <c r="G354" s="74"/>
      <c r="H354" s="73"/>
      <c r="I354" s="74"/>
      <c r="J354" s="75" t="s">
        <v>309</v>
      </c>
      <c r="K354" s="24" t="s">
        <v>308</v>
      </c>
      <c r="L354" s="25">
        <v>8</v>
      </c>
      <c r="M354" s="25"/>
      <c r="N354" s="25"/>
    </row>
    <row r="355" spans="4:14">
      <c r="D355" s="21">
        <v>46096</v>
      </c>
      <c r="E355" s="22">
        <v>1586075</v>
      </c>
      <c r="F355" s="22" t="s">
        <v>16</v>
      </c>
      <c r="G355" s="22">
        <v>20324045</v>
      </c>
      <c r="H355" s="22" t="s">
        <v>281</v>
      </c>
      <c r="I355" s="22">
        <v>2</v>
      </c>
      <c r="J355" s="28" t="s">
        <v>18</v>
      </c>
      <c r="K355" s="24">
        <f>M355/L355</f>
        <v>19</v>
      </c>
      <c r="L355" s="25">
        <v>4.4</v>
      </c>
      <c r="M355" s="26">
        <v>83.6</v>
      </c>
      <c r="N355" s="26">
        <v>167.2</v>
      </c>
    </row>
    <row r="356" spans="4:14">
      <c r="D356" s="21">
        <v>46096</v>
      </c>
      <c r="E356" s="22">
        <v>1586075</v>
      </c>
      <c r="F356" s="22" t="s">
        <v>20</v>
      </c>
      <c r="G356" s="22">
        <v>20324711</v>
      </c>
      <c r="H356" s="22" t="s">
        <v>389</v>
      </c>
      <c r="I356" s="22">
        <v>1</v>
      </c>
      <c r="J356" s="28" t="s">
        <v>18</v>
      </c>
      <c r="K356" s="24">
        <f>M356/L356</f>
        <v>14</v>
      </c>
      <c r="L356" s="25">
        <v>4.4</v>
      </c>
      <c r="M356" s="26">
        <v>61.6</v>
      </c>
      <c r="N356" s="26">
        <v>61.6</v>
      </c>
    </row>
    <row r="357" spans="4:14">
      <c r="D357" s="21">
        <v>46096</v>
      </c>
      <c r="E357" s="22">
        <v>1586075</v>
      </c>
      <c r="F357" s="22" t="s">
        <v>20</v>
      </c>
      <c r="G357" s="22">
        <v>20324699</v>
      </c>
      <c r="H357" s="22" t="s">
        <v>283</v>
      </c>
      <c r="I357" s="22">
        <v>2</v>
      </c>
      <c r="J357" s="28" t="s">
        <v>18</v>
      </c>
      <c r="K357" s="24">
        <f>M357/L357</f>
        <v>5</v>
      </c>
      <c r="L357" s="25">
        <v>4.4</v>
      </c>
      <c r="M357" s="26">
        <v>22</v>
      </c>
      <c r="N357" s="26">
        <v>44</v>
      </c>
    </row>
    <row r="358" spans="4:14">
      <c r="D358" s="21">
        <v>46096</v>
      </c>
      <c r="E358" s="22">
        <v>1586079</v>
      </c>
      <c r="F358" s="22" t="s">
        <v>20</v>
      </c>
      <c r="G358" s="22">
        <v>20366789</v>
      </c>
      <c r="H358" s="22" t="s">
        <v>345</v>
      </c>
      <c r="I358" s="22">
        <v>1</v>
      </c>
      <c r="J358" s="30" t="s">
        <v>205</v>
      </c>
      <c r="K358" s="24">
        <v>1</v>
      </c>
      <c r="L358" s="25">
        <v>28</v>
      </c>
      <c r="M358" s="26">
        <v>28</v>
      </c>
      <c r="N358" s="26">
        <v>28</v>
      </c>
    </row>
    <row r="359" ht="12" customHeight="1" spans="4:14">
      <c r="D359" s="21">
        <v>46096</v>
      </c>
      <c r="E359" s="22">
        <v>1586079</v>
      </c>
      <c r="F359" s="22" t="s">
        <v>20</v>
      </c>
      <c r="G359" s="22">
        <v>20391560</v>
      </c>
      <c r="H359" s="22" t="s">
        <v>342</v>
      </c>
      <c r="I359" s="22">
        <v>1</v>
      </c>
      <c r="J359" s="28" t="s">
        <v>37</v>
      </c>
      <c r="K359" s="24" t="s">
        <v>38</v>
      </c>
      <c r="L359" s="25">
        <v>132</v>
      </c>
      <c r="M359" s="26">
        <v>220</v>
      </c>
      <c r="N359" s="26">
        <v>220</v>
      </c>
    </row>
    <row r="360" spans="4:14">
      <c r="D360" s="21"/>
      <c r="E360" s="22"/>
      <c r="F360" s="22"/>
      <c r="G360" s="22"/>
      <c r="H360" s="22"/>
      <c r="I360" s="22"/>
      <c r="J360" s="30" t="s">
        <v>39</v>
      </c>
      <c r="K360" s="24" t="s">
        <v>40</v>
      </c>
      <c r="L360" s="25">
        <v>70.4</v>
      </c>
      <c r="M360" s="26"/>
      <c r="N360" s="26"/>
    </row>
    <row r="361" spans="4:14">
      <c r="D361" s="21"/>
      <c r="E361" s="22"/>
      <c r="F361" s="22"/>
      <c r="G361" s="22"/>
      <c r="H361" s="22"/>
      <c r="I361" s="22"/>
      <c r="J361" s="28" t="s">
        <v>28</v>
      </c>
      <c r="K361" s="24">
        <v>1</v>
      </c>
      <c r="L361" s="25">
        <v>17.6</v>
      </c>
      <c r="M361" s="26"/>
      <c r="N361" s="26"/>
    </row>
    <row r="362" spans="4:14">
      <c r="D362" s="21">
        <v>46098</v>
      </c>
      <c r="E362" s="22">
        <v>1586474</v>
      </c>
      <c r="F362" s="22" t="s">
        <v>16</v>
      </c>
      <c r="G362" s="22">
        <v>20324463</v>
      </c>
      <c r="H362" s="22" t="s">
        <v>289</v>
      </c>
      <c r="I362" s="22">
        <v>1</v>
      </c>
      <c r="J362" s="28" t="s">
        <v>18</v>
      </c>
      <c r="K362" s="24">
        <f t="shared" ref="K362:K365" si="21">M362/L362</f>
        <v>35</v>
      </c>
      <c r="L362" s="25">
        <v>4.4</v>
      </c>
      <c r="M362" s="26">
        <v>154</v>
      </c>
      <c r="N362" s="26">
        <v>154</v>
      </c>
    </row>
    <row r="363" spans="4:14">
      <c r="D363" s="21">
        <v>46098</v>
      </c>
      <c r="E363" s="22">
        <v>1586474</v>
      </c>
      <c r="F363" s="22" t="s">
        <v>16</v>
      </c>
      <c r="G363" s="22">
        <v>20324039</v>
      </c>
      <c r="H363" s="22" t="s">
        <v>338</v>
      </c>
      <c r="I363" s="22">
        <v>2</v>
      </c>
      <c r="J363" s="28" t="s">
        <v>18</v>
      </c>
      <c r="K363" s="24">
        <f t="shared" si="21"/>
        <v>37</v>
      </c>
      <c r="L363" s="25">
        <v>4.4</v>
      </c>
      <c r="M363" s="26">
        <v>162.8</v>
      </c>
      <c r="N363" s="26">
        <v>325.6</v>
      </c>
    </row>
    <row r="364" spans="4:14">
      <c r="D364" s="21">
        <v>46098</v>
      </c>
      <c r="E364" s="22">
        <v>1586474</v>
      </c>
      <c r="F364" s="22" t="s">
        <v>16</v>
      </c>
      <c r="G364" s="22">
        <v>20324046</v>
      </c>
      <c r="H364" s="22" t="s">
        <v>259</v>
      </c>
      <c r="I364" s="22">
        <v>1</v>
      </c>
      <c r="J364" s="28" t="s">
        <v>18</v>
      </c>
      <c r="K364" s="24">
        <f t="shared" si="21"/>
        <v>49</v>
      </c>
      <c r="L364" s="25">
        <v>4.4</v>
      </c>
      <c r="M364" s="26">
        <v>215.6</v>
      </c>
      <c r="N364" s="26">
        <v>215.6</v>
      </c>
    </row>
    <row r="365" spans="4:14">
      <c r="D365" s="21">
        <v>46098</v>
      </c>
      <c r="E365" s="22">
        <v>1586474</v>
      </c>
      <c r="F365" s="22" t="s">
        <v>16</v>
      </c>
      <c r="G365" s="22">
        <v>20324045</v>
      </c>
      <c r="H365" s="22" t="s">
        <v>281</v>
      </c>
      <c r="I365" s="22">
        <v>2</v>
      </c>
      <c r="J365" s="28" t="s">
        <v>18</v>
      </c>
      <c r="K365" s="24">
        <f t="shared" si="21"/>
        <v>19</v>
      </c>
      <c r="L365" s="25">
        <v>4.4</v>
      </c>
      <c r="M365" s="26">
        <v>83.6</v>
      </c>
      <c r="N365" s="26">
        <v>167.2</v>
      </c>
    </row>
    <row r="366" spans="4:14">
      <c r="D366" s="21">
        <v>46098</v>
      </c>
      <c r="E366" s="22">
        <v>1586474</v>
      </c>
      <c r="F366" s="22" t="s">
        <v>20</v>
      </c>
      <c r="G366" s="22">
        <v>20326197</v>
      </c>
      <c r="H366" s="22" t="s">
        <v>364</v>
      </c>
      <c r="I366" s="22">
        <v>1</v>
      </c>
      <c r="J366" s="27" t="s">
        <v>145</v>
      </c>
      <c r="K366" s="24">
        <f t="shared" ref="K366:K371" si="22">M366/L366</f>
        <v>3</v>
      </c>
      <c r="L366" s="25">
        <v>4.4</v>
      </c>
      <c r="M366" s="26">
        <v>13.2</v>
      </c>
      <c r="N366" s="26">
        <v>13.2</v>
      </c>
    </row>
    <row r="367" spans="4:14">
      <c r="D367" s="21">
        <v>46098</v>
      </c>
      <c r="E367" s="22">
        <v>1586474</v>
      </c>
      <c r="F367" s="22" t="s">
        <v>20</v>
      </c>
      <c r="G367" s="22">
        <v>20358566</v>
      </c>
      <c r="H367" s="22" t="s">
        <v>365</v>
      </c>
      <c r="I367" s="22">
        <v>1</v>
      </c>
      <c r="J367" s="27" t="s">
        <v>145</v>
      </c>
      <c r="K367" s="24">
        <f t="shared" si="22"/>
        <v>4</v>
      </c>
      <c r="L367" s="25">
        <v>4.4</v>
      </c>
      <c r="M367" s="26">
        <v>17.6</v>
      </c>
      <c r="N367" s="26">
        <v>17.6</v>
      </c>
    </row>
    <row r="368" spans="4:14">
      <c r="D368" s="21">
        <v>46098</v>
      </c>
      <c r="E368" s="22">
        <v>1586474</v>
      </c>
      <c r="F368" s="22" t="s">
        <v>20</v>
      </c>
      <c r="G368" s="22">
        <v>20358758</v>
      </c>
      <c r="H368" s="22" t="s">
        <v>367</v>
      </c>
      <c r="I368" s="22">
        <v>1</v>
      </c>
      <c r="J368" s="23" t="s">
        <v>22</v>
      </c>
      <c r="K368" s="24">
        <v>1</v>
      </c>
      <c r="L368" s="25">
        <v>6.4</v>
      </c>
      <c r="M368" s="26">
        <v>6.4</v>
      </c>
      <c r="N368" s="26">
        <v>6.4</v>
      </c>
    </row>
    <row r="369" spans="4:14">
      <c r="D369" s="21">
        <v>46098</v>
      </c>
      <c r="E369" s="22">
        <v>1586474</v>
      </c>
      <c r="F369" s="22" t="s">
        <v>16</v>
      </c>
      <c r="G369" s="22">
        <v>20325204</v>
      </c>
      <c r="H369" s="22" t="s">
        <v>368</v>
      </c>
      <c r="I369" s="22">
        <v>1</v>
      </c>
      <c r="J369" s="28" t="s">
        <v>18</v>
      </c>
      <c r="K369" s="24">
        <f>M369/L369</f>
        <v>13</v>
      </c>
      <c r="L369" s="25">
        <v>4.4</v>
      </c>
      <c r="M369" s="26">
        <v>57.2</v>
      </c>
      <c r="N369" s="26">
        <v>57.2</v>
      </c>
    </row>
    <row r="370" spans="4:14">
      <c r="D370" s="21">
        <v>46098</v>
      </c>
      <c r="E370" s="22">
        <v>1586474</v>
      </c>
      <c r="F370" s="22" t="s">
        <v>20</v>
      </c>
      <c r="G370" s="22">
        <v>20325131</v>
      </c>
      <c r="H370" s="22" t="s">
        <v>369</v>
      </c>
      <c r="I370" s="22">
        <v>1</v>
      </c>
      <c r="J370" s="28" t="s">
        <v>18</v>
      </c>
      <c r="K370" s="24">
        <f>M370/L370</f>
        <v>8</v>
      </c>
      <c r="L370" s="25">
        <v>4.4</v>
      </c>
      <c r="M370" s="26">
        <v>35.2</v>
      </c>
      <c r="N370" s="26">
        <v>35.2</v>
      </c>
    </row>
    <row r="371" spans="4:14">
      <c r="D371" s="21">
        <v>46098</v>
      </c>
      <c r="E371" s="22">
        <v>1586474</v>
      </c>
      <c r="F371" s="22" t="s">
        <v>20</v>
      </c>
      <c r="G371" s="22">
        <v>20324699</v>
      </c>
      <c r="H371" s="22" t="s">
        <v>283</v>
      </c>
      <c r="I371" s="22">
        <v>6</v>
      </c>
      <c r="J371" s="28" t="s">
        <v>18</v>
      </c>
      <c r="K371" s="24">
        <f t="shared" si="22"/>
        <v>5</v>
      </c>
      <c r="L371" s="25">
        <v>4.4</v>
      </c>
      <c r="M371" s="26">
        <v>22</v>
      </c>
      <c r="N371" s="26">
        <v>132</v>
      </c>
    </row>
    <row r="372" spans="4:14">
      <c r="D372" s="21">
        <v>46098</v>
      </c>
      <c r="E372" s="22">
        <v>1586542</v>
      </c>
      <c r="F372" s="22" t="s">
        <v>20</v>
      </c>
      <c r="G372" s="22">
        <v>20324643</v>
      </c>
      <c r="H372" s="22" t="s">
        <v>343</v>
      </c>
      <c r="I372" s="22">
        <v>1</v>
      </c>
      <c r="J372" s="30" t="s">
        <v>210</v>
      </c>
      <c r="K372" s="24">
        <v>1</v>
      </c>
      <c r="L372" s="25">
        <v>22.4</v>
      </c>
      <c r="M372" s="26">
        <v>22.4</v>
      </c>
      <c r="N372" s="26">
        <v>22.4</v>
      </c>
    </row>
    <row r="373" spans="4:14">
      <c r="D373" s="21">
        <v>46098</v>
      </c>
      <c r="E373" s="22">
        <v>1586542</v>
      </c>
      <c r="F373" s="22" t="s">
        <v>20</v>
      </c>
      <c r="G373" s="22">
        <v>20324637</v>
      </c>
      <c r="H373" s="22" t="s">
        <v>291</v>
      </c>
      <c r="I373" s="22">
        <v>1</v>
      </c>
      <c r="J373" s="30" t="s">
        <v>205</v>
      </c>
      <c r="K373" s="24">
        <v>1</v>
      </c>
      <c r="L373" s="25">
        <v>28</v>
      </c>
      <c r="M373" s="26">
        <v>28</v>
      </c>
      <c r="N373" s="26">
        <v>28</v>
      </c>
    </row>
    <row r="374" spans="4:14">
      <c r="D374" s="21">
        <v>46098</v>
      </c>
      <c r="E374" s="22">
        <v>1586542</v>
      </c>
      <c r="F374" s="22" t="s">
        <v>20</v>
      </c>
      <c r="G374" s="22">
        <v>20324645</v>
      </c>
      <c r="H374" s="22" t="s">
        <v>346</v>
      </c>
      <c r="I374" s="22">
        <v>1</v>
      </c>
      <c r="J374" s="30" t="s">
        <v>210</v>
      </c>
      <c r="K374" s="24">
        <v>1</v>
      </c>
      <c r="L374" s="25">
        <v>22.4</v>
      </c>
      <c r="M374" s="26">
        <v>22.4</v>
      </c>
      <c r="N374" s="26">
        <v>22.4</v>
      </c>
    </row>
    <row r="375" spans="4:14">
      <c r="D375" s="21">
        <v>46098</v>
      </c>
      <c r="E375" s="22">
        <v>1586542</v>
      </c>
      <c r="F375" s="22" t="s">
        <v>20</v>
      </c>
      <c r="G375" s="22">
        <v>20324723</v>
      </c>
      <c r="H375" s="22" t="s">
        <v>330</v>
      </c>
      <c r="I375" s="22">
        <v>1</v>
      </c>
      <c r="J375" s="30" t="s">
        <v>210</v>
      </c>
      <c r="K375" s="24">
        <v>1</v>
      </c>
      <c r="L375" s="25">
        <v>22.4</v>
      </c>
      <c r="M375" s="26">
        <v>22.4</v>
      </c>
      <c r="N375" s="26">
        <v>22.4</v>
      </c>
    </row>
    <row r="376" spans="4:14">
      <c r="D376" s="21">
        <v>46098</v>
      </c>
      <c r="E376" s="22">
        <v>1586542</v>
      </c>
      <c r="F376" s="22" t="s">
        <v>20</v>
      </c>
      <c r="G376" s="22">
        <v>20324636</v>
      </c>
      <c r="H376" s="22" t="s">
        <v>347</v>
      </c>
      <c r="I376" s="22">
        <v>1</v>
      </c>
      <c r="J376" s="30" t="s">
        <v>205</v>
      </c>
      <c r="K376" s="24">
        <v>1</v>
      </c>
      <c r="L376" s="25">
        <v>28</v>
      </c>
      <c r="M376" s="26">
        <v>28</v>
      </c>
      <c r="N376" s="26">
        <v>28</v>
      </c>
    </row>
    <row r="377" spans="4:14">
      <c r="D377" s="21">
        <v>46098</v>
      </c>
      <c r="E377" s="22">
        <v>1586542</v>
      </c>
      <c r="F377" s="22" t="s">
        <v>20</v>
      </c>
      <c r="G377" s="22">
        <v>20324642</v>
      </c>
      <c r="H377" s="22" t="s">
        <v>348</v>
      </c>
      <c r="I377" s="22">
        <v>1</v>
      </c>
      <c r="J377" s="28" t="s">
        <v>28</v>
      </c>
      <c r="K377" s="24">
        <v>1</v>
      </c>
      <c r="L377" s="25">
        <v>17.6</v>
      </c>
      <c r="M377" s="26">
        <v>17.6</v>
      </c>
      <c r="N377" s="26">
        <v>17.6</v>
      </c>
    </row>
    <row r="378" spans="4:14">
      <c r="D378" s="21">
        <v>46098</v>
      </c>
      <c r="E378" s="22">
        <v>1586542</v>
      </c>
      <c r="F378" s="22" t="s">
        <v>20</v>
      </c>
      <c r="G378" s="22">
        <v>20324732</v>
      </c>
      <c r="H378" s="22" t="s">
        <v>300</v>
      </c>
      <c r="I378" s="22">
        <v>2</v>
      </c>
      <c r="J378" s="30" t="s">
        <v>210</v>
      </c>
      <c r="K378" s="24">
        <v>1</v>
      </c>
      <c r="L378" s="25">
        <v>22.4</v>
      </c>
      <c r="M378" s="26">
        <v>22.4</v>
      </c>
      <c r="N378" s="26">
        <v>44.8</v>
      </c>
    </row>
    <row r="379" spans="4:14">
      <c r="D379" s="21">
        <v>46098</v>
      </c>
      <c r="E379" s="22">
        <v>1586542</v>
      </c>
      <c r="F379" s="22" t="s">
        <v>20</v>
      </c>
      <c r="G379" s="22">
        <v>20383664</v>
      </c>
      <c r="H379" s="22" t="s">
        <v>394</v>
      </c>
      <c r="I379" s="22">
        <v>1</v>
      </c>
      <c r="J379" s="30" t="s">
        <v>210</v>
      </c>
      <c r="K379" s="24">
        <v>1</v>
      </c>
      <c r="L379" s="25">
        <v>22.4</v>
      </c>
      <c r="M379" s="26">
        <v>22.4</v>
      </c>
      <c r="N379" s="26">
        <v>22.4</v>
      </c>
    </row>
    <row r="380" spans="4:14">
      <c r="D380" s="21">
        <v>46098</v>
      </c>
      <c r="E380" s="22">
        <v>1586542</v>
      </c>
      <c r="F380" s="22" t="s">
        <v>20</v>
      </c>
      <c r="G380" s="22">
        <v>20324644</v>
      </c>
      <c r="H380" s="22" t="s">
        <v>304</v>
      </c>
      <c r="I380" s="22">
        <v>1</v>
      </c>
      <c r="J380" s="30" t="s">
        <v>210</v>
      </c>
      <c r="K380" s="24">
        <v>1</v>
      </c>
      <c r="L380" s="25">
        <v>22.4</v>
      </c>
      <c r="M380" s="26">
        <v>22.4</v>
      </c>
      <c r="N380" s="26">
        <v>22.4</v>
      </c>
    </row>
    <row r="381" spans="4:14">
      <c r="D381" s="21">
        <v>46098</v>
      </c>
      <c r="E381" s="22">
        <v>1586542</v>
      </c>
      <c r="F381" s="22" t="s">
        <v>20</v>
      </c>
      <c r="G381" s="22">
        <v>20324814</v>
      </c>
      <c r="H381" s="22" t="s">
        <v>305</v>
      </c>
      <c r="I381" s="22">
        <v>1</v>
      </c>
      <c r="J381" s="30" t="s">
        <v>210</v>
      </c>
      <c r="K381" s="24">
        <v>1</v>
      </c>
      <c r="L381" s="25">
        <v>22.4</v>
      </c>
      <c r="M381" s="26">
        <v>22.4</v>
      </c>
      <c r="N381" s="26">
        <v>22.4</v>
      </c>
    </row>
    <row r="382" spans="4:14">
      <c r="D382" s="21">
        <v>46098</v>
      </c>
      <c r="E382" s="22">
        <v>1586542</v>
      </c>
      <c r="F382" s="22" t="s">
        <v>20</v>
      </c>
      <c r="G382" s="22">
        <v>20324646</v>
      </c>
      <c r="H382" s="22" t="s">
        <v>350</v>
      </c>
      <c r="I382" s="22">
        <v>1</v>
      </c>
      <c r="J382" s="28" t="s">
        <v>295</v>
      </c>
      <c r="K382" s="24">
        <v>1</v>
      </c>
      <c r="L382" s="25">
        <v>20</v>
      </c>
      <c r="M382" s="26">
        <v>20</v>
      </c>
      <c r="N382" s="26">
        <v>20</v>
      </c>
    </row>
    <row r="383" spans="4:14">
      <c r="D383" s="21">
        <v>46098</v>
      </c>
      <c r="E383" s="22">
        <v>1586542</v>
      </c>
      <c r="F383" s="22" t="s">
        <v>20</v>
      </c>
      <c r="G383" s="22">
        <v>20332069</v>
      </c>
      <c r="H383" s="22" t="s">
        <v>209</v>
      </c>
      <c r="I383" s="22">
        <v>1</v>
      </c>
      <c r="J383" s="30" t="s">
        <v>210</v>
      </c>
      <c r="K383" s="24">
        <v>1</v>
      </c>
      <c r="L383" s="25">
        <v>22.4</v>
      </c>
      <c r="M383" s="26">
        <v>22.4</v>
      </c>
      <c r="N383" s="26">
        <v>22.4</v>
      </c>
    </row>
    <row r="384" spans="4:14">
      <c r="D384" s="21">
        <v>46098</v>
      </c>
      <c r="E384" s="22">
        <v>1586879</v>
      </c>
      <c r="F384" s="22" t="s">
        <v>16</v>
      </c>
      <c r="G384" s="22">
        <v>20324463</v>
      </c>
      <c r="H384" s="22" t="s">
        <v>289</v>
      </c>
      <c r="I384" s="22">
        <v>1</v>
      </c>
      <c r="J384" s="28" t="s">
        <v>18</v>
      </c>
      <c r="K384" s="24">
        <f t="shared" ref="K384:K390" si="23">M384/L384</f>
        <v>35</v>
      </c>
      <c r="L384" s="25">
        <v>4.4</v>
      </c>
      <c r="M384" s="26">
        <v>154</v>
      </c>
      <c r="N384" s="26">
        <v>154</v>
      </c>
    </row>
    <row r="385" spans="4:14">
      <c r="D385" s="21">
        <v>46098</v>
      </c>
      <c r="E385" s="22">
        <v>1586879</v>
      </c>
      <c r="F385" s="22" t="s">
        <v>16</v>
      </c>
      <c r="G385" s="22">
        <v>20324039</v>
      </c>
      <c r="H385" s="22" t="s">
        <v>338</v>
      </c>
      <c r="I385" s="22">
        <v>1</v>
      </c>
      <c r="J385" s="28" t="s">
        <v>18</v>
      </c>
      <c r="K385" s="24">
        <f t="shared" si="23"/>
        <v>37</v>
      </c>
      <c r="L385" s="25">
        <v>4.4</v>
      </c>
      <c r="M385" s="26">
        <v>162.8</v>
      </c>
      <c r="N385" s="26">
        <v>162.8</v>
      </c>
    </row>
    <row r="386" spans="4:14">
      <c r="D386" s="21">
        <v>46098</v>
      </c>
      <c r="E386" s="22">
        <v>1586879</v>
      </c>
      <c r="F386" s="22" t="s">
        <v>16</v>
      </c>
      <c r="G386" s="22">
        <v>20324028</v>
      </c>
      <c r="H386" s="22" t="s">
        <v>386</v>
      </c>
      <c r="I386" s="22">
        <v>2</v>
      </c>
      <c r="J386" s="28" t="s">
        <v>18</v>
      </c>
      <c r="K386" s="24">
        <f t="shared" si="23"/>
        <v>42</v>
      </c>
      <c r="L386" s="25">
        <v>4.4</v>
      </c>
      <c r="M386" s="26">
        <v>184.8</v>
      </c>
      <c r="N386" s="26">
        <v>369.6</v>
      </c>
    </row>
    <row r="387" spans="4:14">
      <c r="D387" s="21">
        <v>46098</v>
      </c>
      <c r="E387" s="22">
        <v>1586879</v>
      </c>
      <c r="F387" s="22" t="s">
        <v>16</v>
      </c>
      <c r="G387" s="22">
        <v>20336544</v>
      </c>
      <c r="H387" s="22" t="s">
        <v>384</v>
      </c>
      <c r="I387" s="22">
        <v>1</v>
      </c>
      <c r="J387" s="28" t="s">
        <v>18</v>
      </c>
      <c r="K387" s="24">
        <f t="shared" si="23"/>
        <v>19</v>
      </c>
      <c r="L387" s="25">
        <v>4.4</v>
      </c>
      <c r="M387" s="26">
        <v>83.6</v>
      </c>
      <c r="N387" s="26">
        <v>83.6</v>
      </c>
    </row>
    <row r="388" spans="4:14">
      <c r="D388" s="21">
        <v>46098</v>
      </c>
      <c r="E388" s="22">
        <v>1586879</v>
      </c>
      <c r="F388" s="22" t="s">
        <v>16</v>
      </c>
      <c r="G388" s="22">
        <v>20324035</v>
      </c>
      <c r="H388" s="22" t="s">
        <v>440</v>
      </c>
      <c r="I388" s="22">
        <v>2</v>
      </c>
      <c r="J388" s="28" t="s">
        <v>18</v>
      </c>
      <c r="K388" s="24">
        <f t="shared" si="23"/>
        <v>50</v>
      </c>
      <c r="L388" s="25">
        <v>4.4</v>
      </c>
      <c r="M388" s="26">
        <v>220</v>
      </c>
      <c r="N388" s="26">
        <v>440</v>
      </c>
    </row>
    <row r="389" spans="4:14">
      <c r="D389" s="21">
        <v>46098</v>
      </c>
      <c r="E389" s="22">
        <v>1586879</v>
      </c>
      <c r="F389" s="22" t="s">
        <v>16</v>
      </c>
      <c r="G389" s="22">
        <v>20324040</v>
      </c>
      <c r="H389" s="22" t="s">
        <v>402</v>
      </c>
      <c r="I389" s="22">
        <v>1</v>
      </c>
      <c r="J389" s="28" t="s">
        <v>18</v>
      </c>
      <c r="K389" s="24">
        <f t="shared" si="23"/>
        <v>47</v>
      </c>
      <c r="L389" s="25">
        <v>4.4</v>
      </c>
      <c r="M389" s="26">
        <v>206.8</v>
      </c>
      <c r="N389" s="26">
        <v>206.8</v>
      </c>
    </row>
    <row r="390" spans="4:14">
      <c r="D390" s="21">
        <v>46098</v>
      </c>
      <c r="E390" s="22">
        <v>1586879</v>
      </c>
      <c r="F390" s="22" t="s">
        <v>16</v>
      </c>
      <c r="G390" s="22">
        <v>20324045</v>
      </c>
      <c r="H390" s="22" t="s">
        <v>281</v>
      </c>
      <c r="I390" s="22">
        <v>4</v>
      </c>
      <c r="J390" s="28" t="s">
        <v>18</v>
      </c>
      <c r="K390" s="24">
        <f t="shared" si="23"/>
        <v>19</v>
      </c>
      <c r="L390" s="25">
        <v>4.4</v>
      </c>
      <c r="M390" s="26">
        <v>83.6</v>
      </c>
      <c r="N390" s="26">
        <v>334.4</v>
      </c>
    </row>
    <row r="391" spans="4:14">
      <c r="D391" s="21">
        <v>46098</v>
      </c>
      <c r="E391" s="22">
        <v>1586879</v>
      </c>
      <c r="F391" s="22" t="s">
        <v>30</v>
      </c>
      <c r="G391" s="22">
        <v>20384646</v>
      </c>
      <c r="H391" s="22" t="s">
        <v>441</v>
      </c>
      <c r="I391" s="22">
        <v>1</v>
      </c>
      <c r="J391" s="28" t="s">
        <v>18</v>
      </c>
      <c r="K391" s="24">
        <f t="shared" ref="K391:K399" si="24">M391/L391</f>
        <v>5</v>
      </c>
      <c r="L391" s="25">
        <v>4.4</v>
      </c>
      <c r="M391" s="26">
        <v>22</v>
      </c>
      <c r="N391" s="26">
        <v>22</v>
      </c>
    </row>
    <row r="392" spans="4:14">
      <c r="D392" s="21">
        <v>46098</v>
      </c>
      <c r="E392" s="22">
        <v>1586879</v>
      </c>
      <c r="F392" s="22" t="s">
        <v>20</v>
      </c>
      <c r="G392" s="22">
        <v>20324367</v>
      </c>
      <c r="H392" s="22" t="s">
        <v>146</v>
      </c>
      <c r="I392" s="22">
        <v>2</v>
      </c>
      <c r="J392" s="23" t="s">
        <v>22</v>
      </c>
      <c r="K392" s="24">
        <v>1</v>
      </c>
      <c r="L392" s="25">
        <v>6.4</v>
      </c>
      <c r="M392" s="26">
        <v>6.4</v>
      </c>
      <c r="N392" s="26">
        <v>12.8</v>
      </c>
    </row>
    <row r="393" spans="4:14">
      <c r="D393" s="21">
        <v>46098</v>
      </c>
      <c r="E393" s="22">
        <v>1586879</v>
      </c>
      <c r="F393" s="22" t="s">
        <v>20</v>
      </c>
      <c r="G393" s="22">
        <v>20324710</v>
      </c>
      <c r="H393" s="22" t="s">
        <v>436</v>
      </c>
      <c r="I393" s="22">
        <v>1</v>
      </c>
      <c r="J393" s="27" t="s">
        <v>145</v>
      </c>
      <c r="K393" s="24">
        <f t="shared" si="24"/>
        <v>4</v>
      </c>
      <c r="L393" s="25">
        <v>4.4</v>
      </c>
      <c r="M393" s="26">
        <v>17.6</v>
      </c>
      <c r="N393" s="26">
        <v>17.6</v>
      </c>
    </row>
    <row r="394" spans="4:14">
      <c r="D394" s="21">
        <v>46098</v>
      </c>
      <c r="E394" s="22">
        <v>1586879</v>
      </c>
      <c r="F394" s="22" t="s">
        <v>20</v>
      </c>
      <c r="G394" s="22">
        <v>20324836</v>
      </c>
      <c r="H394" s="22" t="s">
        <v>442</v>
      </c>
      <c r="I394" s="22">
        <v>1</v>
      </c>
      <c r="J394" s="28" t="s">
        <v>18</v>
      </c>
      <c r="K394" s="24">
        <f t="shared" si="24"/>
        <v>3</v>
      </c>
      <c r="L394" s="25">
        <v>4.4</v>
      </c>
      <c r="M394" s="26">
        <v>13.2</v>
      </c>
      <c r="N394" s="26">
        <v>13.2</v>
      </c>
    </row>
    <row r="395" spans="4:14">
      <c r="D395" s="21">
        <v>46098</v>
      </c>
      <c r="E395" s="22">
        <v>1586879</v>
      </c>
      <c r="F395" s="22" t="s">
        <v>20</v>
      </c>
      <c r="G395" s="22">
        <v>20326917</v>
      </c>
      <c r="H395" s="22" t="s">
        <v>443</v>
      </c>
      <c r="I395" s="22">
        <v>1</v>
      </c>
      <c r="J395" s="28" t="s">
        <v>18</v>
      </c>
      <c r="K395" s="24">
        <f t="shared" si="24"/>
        <v>7</v>
      </c>
      <c r="L395" s="25">
        <v>4.4</v>
      </c>
      <c r="M395" s="26">
        <v>30.8</v>
      </c>
      <c r="N395" s="26">
        <v>30.8</v>
      </c>
    </row>
    <row r="396" spans="4:14">
      <c r="D396" s="21">
        <v>46098</v>
      </c>
      <c r="E396" s="22">
        <v>1586879</v>
      </c>
      <c r="F396" s="22" t="s">
        <v>20</v>
      </c>
      <c r="G396" s="22">
        <v>20329152</v>
      </c>
      <c r="H396" s="22" t="s">
        <v>352</v>
      </c>
      <c r="I396" s="22">
        <v>1</v>
      </c>
      <c r="J396" s="28" t="s">
        <v>18</v>
      </c>
      <c r="K396" s="24">
        <f t="shared" si="24"/>
        <v>11</v>
      </c>
      <c r="L396" s="25">
        <v>4.4</v>
      </c>
      <c r="M396" s="26">
        <v>48.4</v>
      </c>
      <c r="N396" s="26">
        <v>48.4</v>
      </c>
    </row>
    <row r="397" spans="4:14">
      <c r="D397" s="21">
        <v>46098</v>
      </c>
      <c r="E397" s="22">
        <v>1586879</v>
      </c>
      <c r="F397" s="22" t="s">
        <v>20</v>
      </c>
      <c r="G397" s="22">
        <v>20324711</v>
      </c>
      <c r="H397" s="22" t="s">
        <v>389</v>
      </c>
      <c r="I397" s="22">
        <v>1</v>
      </c>
      <c r="J397" s="28" t="s">
        <v>18</v>
      </c>
      <c r="K397" s="24">
        <f t="shared" si="24"/>
        <v>14</v>
      </c>
      <c r="L397" s="25">
        <v>4.4</v>
      </c>
      <c r="M397" s="26">
        <v>61.6</v>
      </c>
      <c r="N397" s="26">
        <v>61.6</v>
      </c>
    </row>
    <row r="398" spans="4:14">
      <c r="D398" s="21">
        <v>46098</v>
      </c>
      <c r="E398" s="22">
        <v>1586879</v>
      </c>
      <c r="F398" s="22" t="s">
        <v>20</v>
      </c>
      <c r="G398" s="22">
        <v>20332488</v>
      </c>
      <c r="H398" s="22" t="s">
        <v>444</v>
      </c>
      <c r="I398" s="22">
        <v>1</v>
      </c>
      <c r="J398" s="28" t="s">
        <v>18</v>
      </c>
      <c r="K398" s="24">
        <f t="shared" si="24"/>
        <v>7</v>
      </c>
      <c r="L398" s="25">
        <v>4.4</v>
      </c>
      <c r="M398" s="26">
        <v>30.8</v>
      </c>
      <c r="N398" s="26">
        <v>30.8</v>
      </c>
    </row>
    <row r="399" spans="4:14">
      <c r="D399" s="21">
        <v>46098</v>
      </c>
      <c r="E399" s="22">
        <v>1586879</v>
      </c>
      <c r="F399" s="22" t="s">
        <v>20</v>
      </c>
      <c r="G399" s="22">
        <v>20324699</v>
      </c>
      <c r="H399" s="22" t="s">
        <v>283</v>
      </c>
      <c r="I399" s="22">
        <v>11</v>
      </c>
      <c r="J399" s="28" t="s">
        <v>18</v>
      </c>
      <c r="K399" s="24">
        <f t="shared" si="24"/>
        <v>5</v>
      </c>
      <c r="L399" s="25">
        <v>4.4</v>
      </c>
      <c r="M399" s="26">
        <v>22</v>
      </c>
      <c r="N399" s="26">
        <v>242</v>
      </c>
    </row>
    <row r="400" spans="4:14">
      <c r="D400" s="21">
        <v>46099</v>
      </c>
      <c r="E400" s="22">
        <v>1586908</v>
      </c>
      <c r="F400" s="22" t="s">
        <v>16</v>
      </c>
      <c r="G400" s="22">
        <v>20324808</v>
      </c>
      <c r="H400" s="22" t="s">
        <v>342</v>
      </c>
      <c r="I400" s="22">
        <v>1</v>
      </c>
      <c r="J400" s="28" t="s">
        <v>37</v>
      </c>
      <c r="K400" s="24" t="s">
        <v>38</v>
      </c>
      <c r="L400" s="25">
        <v>132</v>
      </c>
      <c r="M400" s="26">
        <v>220</v>
      </c>
      <c r="N400" s="26">
        <v>220</v>
      </c>
    </row>
    <row r="401" spans="4:14">
      <c r="D401" s="21"/>
      <c r="E401" s="22"/>
      <c r="F401" s="22"/>
      <c r="G401" s="22"/>
      <c r="H401" s="22"/>
      <c r="I401" s="22"/>
      <c r="J401" s="30" t="s">
        <v>39</v>
      </c>
      <c r="K401" s="24" t="s">
        <v>40</v>
      </c>
      <c r="L401" s="25">
        <v>70.4</v>
      </c>
      <c r="M401" s="26"/>
      <c r="N401" s="26"/>
    </row>
    <row r="402" spans="4:14">
      <c r="D402" s="21"/>
      <c r="E402" s="22"/>
      <c r="F402" s="22"/>
      <c r="G402" s="22"/>
      <c r="H402" s="22"/>
      <c r="I402" s="22"/>
      <c r="J402" s="28" t="s">
        <v>28</v>
      </c>
      <c r="K402" s="24">
        <v>1</v>
      </c>
      <c r="L402" s="25">
        <v>17.6</v>
      </c>
      <c r="M402" s="26"/>
      <c r="N402" s="26"/>
    </row>
    <row r="403" spans="4:14">
      <c r="D403" s="21">
        <v>46099</v>
      </c>
      <c r="E403" s="22">
        <v>1586908</v>
      </c>
      <c r="F403" s="22" t="s">
        <v>20</v>
      </c>
      <c r="G403" s="22">
        <v>20363528</v>
      </c>
      <c r="H403" s="22" t="s">
        <v>424</v>
      </c>
      <c r="I403" s="22">
        <v>1</v>
      </c>
      <c r="J403" s="30" t="s">
        <v>205</v>
      </c>
      <c r="K403" s="24">
        <v>1</v>
      </c>
      <c r="L403" s="25">
        <v>28</v>
      </c>
      <c r="M403" s="26">
        <v>28</v>
      </c>
      <c r="N403" s="26">
        <v>28</v>
      </c>
    </row>
    <row r="404" spans="4:14">
      <c r="D404" s="21">
        <v>46099</v>
      </c>
      <c r="E404" s="22">
        <v>1586908</v>
      </c>
      <c r="F404" s="22" t="s">
        <v>20</v>
      </c>
      <c r="G404" s="22">
        <v>20335838</v>
      </c>
      <c r="H404" s="22" t="s">
        <v>437</v>
      </c>
      <c r="I404" s="22">
        <v>1</v>
      </c>
      <c r="J404" s="30" t="s">
        <v>39</v>
      </c>
      <c r="K404" s="24" t="s">
        <v>40</v>
      </c>
      <c r="L404" s="25">
        <v>70.4</v>
      </c>
      <c r="M404" s="26">
        <v>70.4</v>
      </c>
      <c r="N404" s="26">
        <v>70.4</v>
      </c>
    </row>
    <row r="405" spans="4:14">
      <c r="D405" s="21">
        <v>46099</v>
      </c>
      <c r="E405" s="22">
        <v>1586908</v>
      </c>
      <c r="F405" s="22" t="s">
        <v>20</v>
      </c>
      <c r="G405" s="22">
        <v>20324643</v>
      </c>
      <c r="H405" s="22" t="s">
        <v>343</v>
      </c>
      <c r="I405" s="22">
        <v>1</v>
      </c>
      <c r="J405" s="30" t="s">
        <v>210</v>
      </c>
      <c r="K405" s="24">
        <v>1</v>
      </c>
      <c r="L405" s="25">
        <v>22.4</v>
      </c>
      <c r="M405" s="26">
        <v>22.4</v>
      </c>
      <c r="N405" s="26">
        <v>22.4</v>
      </c>
    </row>
    <row r="406" spans="4:14">
      <c r="D406" s="21">
        <v>46099</v>
      </c>
      <c r="E406" s="22">
        <v>1586908</v>
      </c>
      <c r="F406" s="22" t="s">
        <v>20</v>
      </c>
      <c r="G406" s="22">
        <v>20324637</v>
      </c>
      <c r="H406" s="22" t="s">
        <v>291</v>
      </c>
      <c r="I406" s="22">
        <v>1</v>
      </c>
      <c r="J406" s="30" t="s">
        <v>205</v>
      </c>
      <c r="K406" s="24">
        <v>1</v>
      </c>
      <c r="L406" s="25">
        <v>28</v>
      </c>
      <c r="M406" s="26">
        <v>28</v>
      </c>
      <c r="N406" s="26">
        <v>28</v>
      </c>
    </row>
    <row r="407" spans="4:14">
      <c r="D407" s="21">
        <v>46099</v>
      </c>
      <c r="E407" s="22">
        <v>1586908</v>
      </c>
      <c r="F407" s="22" t="s">
        <v>20</v>
      </c>
      <c r="G407" s="22">
        <v>20330449</v>
      </c>
      <c r="H407" s="22" t="s">
        <v>292</v>
      </c>
      <c r="I407" s="22">
        <v>1</v>
      </c>
      <c r="J407" s="30" t="s">
        <v>210</v>
      </c>
      <c r="K407" s="24">
        <v>1</v>
      </c>
      <c r="L407" s="25">
        <v>22.4</v>
      </c>
      <c r="M407" s="26">
        <v>22.4</v>
      </c>
      <c r="N407" s="26">
        <v>22.4</v>
      </c>
    </row>
    <row r="408" spans="4:14">
      <c r="D408" s="21">
        <v>46099</v>
      </c>
      <c r="E408" s="22">
        <v>1586908</v>
      </c>
      <c r="F408" s="22" t="s">
        <v>20</v>
      </c>
      <c r="G408" s="22">
        <v>20325758</v>
      </c>
      <c r="H408" s="22" t="s">
        <v>427</v>
      </c>
      <c r="I408" s="22">
        <v>2</v>
      </c>
      <c r="J408" s="28" t="s">
        <v>295</v>
      </c>
      <c r="K408" s="24">
        <v>1</v>
      </c>
      <c r="L408" s="25">
        <v>20</v>
      </c>
      <c r="M408" s="26">
        <v>20</v>
      </c>
      <c r="N408" s="26">
        <v>40</v>
      </c>
    </row>
    <row r="409" spans="4:14">
      <c r="D409" s="21">
        <v>46099</v>
      </c>
      <c r="E409" s="22">
        <v>1586908</v>
      </c>
      <c r="F409" s="22" t="s">
        <v>20</v>
      </c>
      <c r="G409" s="22">
        <v>20325443</v>
      </c>
      <c r="H409" s="22" t="s">
        <v>345</v>
      </c>
      <c r="I409" s="22">
        <v>1</v>
      </c>
      <c r="J409" s="30" t="s">
        <v>205</v>
      </c>
      <c r="K409" s="24">
        <v>1</v>
      </c>
      <c r="L409" s="25">
        <v>28</v>
      </c>
      <c r="M409" s="26">
        <v>28</v>
      </c>
      <c r="N409" s="26">
        <v>28</v>
      </c>
    </row>
    <row r="410" spans="4:14">
      <c r="D410" s="21">
        <v>46099</v>
      </c>
      <c r="E410" s="22">
        <v>1586908</v>
      </c>
      <c r="F410" s="22" t="s">
        <v>20</v>
      </c>
      <c r="G410" s="22">
        <v>20324645</v>
      </c>
      <c r="H410" s="22" t="s">
        <v>346</v>
      </c>
      <c r="I410" s="22">
        <v>2</v>
      </c>
      <c r="J410" s="30" t="s">
        <v>210</v>
      </c>
      <c r="K410" s="24">
        <v>1</v>
      </c>
      <c r="L410" s="25">
        <v>22.4</v>
      </c>
      <c r="M410" s="26">
        <v>22.4</v>
      </c>
      <c r="N410" s="26">
        <v>44.8</v>
      </c>
    </row>
    <row r="411" spans="4:14">
      <c r="D411" s="21">
        <v>46099</v>
      </c>
      <c r="E411" s="22">
        <v>1586908</v>
      </c>
      <c r="F411" s="22" t="s">
        <v>20</v>
      </c>
      <c r="G411" s="22">
        <v>20324636</v>
      </c>
      <c r="H411" s="22" t="s">
        <v>347</v>
      </c>
      <c r="I411" s="22">
        <v>1</v>
      </c>
      <c r="J411" s="30" t="s">
        <v>205</v>
      </c>
      <c r="K411" s="24">
        <v>1</v>
      </c>
      <c r="L411" s="25">
        <v>28</v>
      </c>
      <c r="M411" s="26">
        <v>28</v>
      </c>
      <c r="N411" s="26">
        <v>28</v>
      </c>
    </row>
    <row r="412" spans="4:14">
      <c r="D412" s="21">
        <v>46099</v>
      </c>
      <c r="E412" s="22">
        <v>1586908</v>
      </c>
      <c r="F412" s="22" t="s">
        <v>20</v>
      </c>
      <c r="G412" s="22">
        <v>20324732</v>
      </c>
      <c r="H412" s="22" t="s">
        <v>300</v>
      </c>
      <c r="I412" s="22">
        <v>1</v>
      </c>
      <c r="J412" s="30" t="s">
        <v>210</v>
      </c>
      <c r="K412" s="24">
        <v>1</v>
      </c>
      <c r="L412" s="25">
        <v>22.4</v>
      </c>
      <c r="M412" s="26">
        <v>22.4</v>
      </c>
      <c r="N412" s="26">
        <v>22.4</v>
      </c>
    </row>
    <row r="413" spans="4:14">
      <c r="D413" s="21">
        <v>46099</v>
      </c>
      <c r="E413" s="22">
        <v>1586908</v>
      </c>
      <c r="F413" s="22" t="s">
        <v>20</v>
      </c>
      <c r="G413" s="22">
        <v>20324644</v>
      </c>
      <c r="H413" s="22" t="s">
        <v>304</v>
      </c>
      <c r="I413" s="22">
        <v>1</v>
      </c>
      <c r="J413" s="30" t="s">
        <v>210</v>
      </c>
      <c r="K413" s="24">
        <v>1</v>
      </c>
      <c r="L413" s="25">
        <v>22.4</v>
      </c>
      <c r="M413" s="26">
        <v>22.4</v>
      </c>
      <c r="N413" s="26">
        <v>22.4</v>
      </c>
    </row>
    <row r="414" spans="4:14">
      <c r="D414" s="21">
        <v>46099</v>
      </c>
      <c r="E414" s="22">
        <v>1586908</v>
      </c>
      <c r="F414" s="22" t="s">
        <v>20</v>
      </c>
      <c r="G414" s="22">
        <v>20330332</v>
      </c>
      <c r="H414" s="22" t="s">
        <v>349</v>
      </c>
      <c r="I414" s="22">
        <v>2</v>
      </c>
      <c r="J414" s="30" t="s">
        <v>210</v>
      </c>
      <c r="K414" s="24">
        <v>1</v>
      </c>
      <c r="L414" s="25">
        <v>22.4</v>
      </c>
      <c r="M414" s="26">
        <v>22.4</v>
      </c>
      <c r="N414" s="26">
        <v>44.8</v>
      </c>
    </row>
    <row r="415" spans="4:14">
      <c r="D415" s="21">
        <v>46099</v>
      </c>
      <c r="E415" s="22">
        <v>1586908</v>
      </c>
      <c r="F415" s="22" t="s">
        <v>20</v>
      </c>
      <c r="G415" s="22">
        <v>20324814</v>
      </c>
      <c r="H415" s="22" t="s">
        <v>305</v>
      </c>
      <c r="I415" s="22">
        <v>1</v>
      </c>
      <c r="J415" s="30" t="s">
        <v>210</v>
      </c>
      <c r="K415" s="24">
        <v>1</v>
      </c>
      <c r="L415" s="25">
        <v>22.4</v>
      </c>
      <c r="M415" s="26">
        <v>22.4</v>
      </c>
      <c r="N415" s="26">
        <v>22.4</v>
      </c>
    </row>
    <row r="416" spans="4:14">
      <c r="D416" s="68">
        <v>46099</v>
      </c>
      <c r="E416" s="69">
        <v>1586908</v>
      </c>
      <c r="F416" s="69" t="s">
        <v>30</v>
      </c>
      <c r="G416" s="70">
        <v>20324638</v>
      </c>
      <c r="H416" s="69" t="s">
        <v>306</v>
      </c>
      <c r="I416" s="70">
        <v>1</v>
      </c>
      <c r="J416" s="71" t="s">
        <v>307</v>
      </c>
      <c r="K416" s="24" t="s">
        <v>308</v>
      </c>
      <c r="L416" s="25">
        <v>22.4</v>
      </c>
      <c r="M416" s="25">
        <f>L416+L417</f>
        <v>30.4</v>
      </c>
      <c r="N416" s="25">
        <f>M416+M417</f>
        <v>30.4</v>
      </c>
    </row>
    <row r="417" spans="4:14">
      <c r="D417" s="72"/>
      <c r="E417" s="73"/>
      <c r="F417" s="73"/>
      <c r="G417" s="74"/>
      <c r="H417" s="73"/>
      <c r="I417" s="74"/>
      <c r="J417" s="75" t="s">
        <v>309</v>
      </c>
      <c r="K417" s="24" t="s">
        <v>308</v>
      </c>
      <c r="L417" s="25">
        <v>8</v>
      </c>
      <c r="M417" s="25"/>
      <c r="N417" s="25"/>
    </row>
    <row r="418" spans="4:14">
      <c r="D418" s="21">
        <v>46099</v>
      </c>
      <c r="E418" s="22">
        <v>1587181</v>
      </c>
      <c r="F418" s="22" t="s">
        <v>16</v>
      </c>
      <c r="G418" s="22">
        <v>20324463</v>
      </c>
      <c r="H418" s="22" t="s">
        <v>289</v>
      </c>
      <c r="I418" s="22">
        <v>1</v>
      </c>
      <c r="J418" s="28" t="s">
        <v>18</v>
      </c>
      <c r="K418" s="24">
        <f t="shared" ref="K418:K420" si="25">M418/L418</f>
        <v>35</v>
      </c>
      <c r="L418" s="25">
        <v>4.4</v>
      </c>
      <c r="M418" s="26">
        <v>154</v>
      </c>
      <c r="N418" s="26">
        <v>154</v>
      </c>
    </row>
    <row r="419" spans="4:14">
      <c r="D419" s="21">
        <v>46099</v>
      </c>
      <c r="E419" s="22">
        <v>1587181</v>
      </c>
      <c r="F419" s="22" t="s">
        <v>16</v>
      </c>
      <c r="G419" s="22">
        <v>20324028</v>
      </c>
      <c r="H419" s="22" t="s">
        <v>386</v>
      </c>
      <c r="I419" s="22">
        <v>3</v>
      </c>
      <c r="J419" s="28" t="s">
        <v>18</v>
      </c>
      <c r="K419" s="24">
        <f t="shared" si="25"/>
        <v>42</v>
      </c>
      <c r="L419" s="25">
        <v>4.4</v>
      </c>
      <c r="M419" s="26">
        <v>184.8</v>
      </c>
      <c r="N419" s="26">
        <v>554.4</v>
      </c>
    </row>
    <row r="420" spans="4:14">
      <c r="D420" s="21">
        <v>46099</v>
      </c>
      <c r="E420" s="22">
        <v>1587181</v>
      </c>
      <c r="F420" s="22" t="s">
        <v>16</v>
      </c>
      <c r="G420" s="22">
        <v>20324045</v>
      </c>
      <c r="H420" s="22" t="s">
        <v>281</v>
      </c>
      <c r="I420" s="22">
        <v>3</v>
      </c>
      <c r="J420" s="28" t="s">
        <v>18</v>
      </c>
      <c r="K420" s="24">
        <f t="shared" si="25"/>
        <v>19</v>
      </c>
      <c r="L420" s="25">
        <v>4.4</v>
      </c>
      <c r="M420" s="26">
        <v>83.6</v>
      </c>
      <c r="N420" s="26">
        <v>250.8</v>
      </c>
    </row>
    <row r="421" spans="4:14">
      <c r="D421" s="21">
        <v>46099</v>
      </c>
      <c r="E421" s="22">
        <v>1587181</v>
      </c>
      <c r="F421" s="22" t="s">
        <v>20</v>
      </c>
      <c r="G421" s="22">
        <v>20326197</v>
      </c>
      <c r="H421" s="22" t="s">
        <v>364</v>
      </c>
      <c r="I421" s="22">
        <v>1</v>
      </c>
      <c r="J421" s="27" t="s">
        <v>145</v>
      </c>
      <c r="K421" s="24">
        <f t="shared" ref="K421:K428" si="26">M421/L421</f>
        <v>3</v>
      </c>
      <c r="L421" s="25">
        <v>4.4</v>
      </c>
      <c r="M421" s="26">
        <v>13.2</v>
      </c>
      <c r="N421" s="26">
        <v>13.2</v>
      </c>
    </row>
    <row r="422" spans="4:14">
      <c r="D422" s="21">
        <v>46099</v>
      </c>
      <c r="E422" s="22">
        <v>1587181</v>
      </c>
      <c r="F422" s="22" t="s">
        <v>20</v>
      </c>
      <c r="G422" s="22">
        <v>20358566</v>
      </c>
      <c r="H422" s="22" t="s">
        <v>365</v>
      </c>
      <c r="I422" s="22">
        <v>1</v>
      </c>
      <c r="J422" s="27" t="s">
        <v>145</v>
      </c>
      <c r="K422" s="24">
        <f t="shared" si="26"/>
        <v>4</v>
      </c>
      <c r="L422" s="25">
        <v>4.4</v>
      </c>
      <c r="M422" s="26">
        <v>17.6</v>
      </c>
      <c r="N422" s="26">
        <v>17.6</v>
      </c>
    </row>
    <row r="423" spans="4:14">
      <c r="D423" s="21">
        <v>46099</v>
      </c>
      <c r="E423" s="22">
        <v>1587181</v>
      </c>
      <c r="F423" s="22" t="s">
        <v>20</v>
      </c>
      <c r="G423" s="22">
        <v>20358758</v>
      </c>
      <c r="H423" s="22" t="s">
        <v>367</v>
      </c>
      <c r="I423" s="22">
        <v>1</v>
      </c>
      <c r="J423" s="23" t="s">
        <v>22</v>
      </c>
      <c r="K423" s="24">
        <v>1</v>
      </c>
      <c r="L423" s="25">
        <v>6.4</v>
      </c>
      <c r="M423" s="26">
        <v>6.4</v>
      </c>
      <c r="N423" s="26">
        <v>6.4</v>
      </c>
    </row>
    <row r="424" spans="4:14">
      <c r="D424" s="21">
        <v>46099</v>
      </c>
      <c r="E424" s="22">
        <v>1587181</v>
      </c>
      <c r="F424" s="22" t="s">
        <v>16</v>
      </c>
      <c r="G424" s="22">
        <v>20325204</v>
      </c>
      <c r="H424" s="22" t="s">
        <v>368</v>
      </c>
      <c r="I424" s="22">
        <v>1</v>
      </c>
      <c r="J424" s="28" t="s">
        <v>18</v>
      </c>
      <c r="K424" s="24">
        <f>M424/L424</f>
        <v>13</v>
      </c>
      <c r="L424" s="25">
        <v>4.4</v>
      </c>
      <c r="M424" s="26">
        <v>57.2</v>
      </c>
      <c r="N424" s="26">
        <v>57.2</v>
      </c>
    </row>
    <row r="425" spans="4:14">
      <c r="D425" s="21">
        <v>46099</v>
      </c>
      <c r="E425" s="22">
        <v>1587181</v>
      </c>
      <c r="F425" s="22" t="s">
        <v>20</v>
      </c>
      <c r="G425" s="22">
        <v>20324836</v>
      </c>
      <c r="H425" s="22" t="s">
        <v>442</v>
      </c>
      <c r="I425" s="22">
        <v>2</v>
      </c>
      <c r="J425" s="28" t="s">
        <v>18</v>
      </c>
      <c r="K425" s="24">
        <f t="shared" si="26"/>
        <v>3</v>
      </c>
      <c r="L425" s="25">
        <v>4.4</v>
      </c>
      <c r="M425" s="26">
        <v>13.2</v>
      </c>
      <c r="N425" s="26">
        <v>26.4</v>
      </c>
    </row>
    <row r="426" spans="4:14">
      <c r="D426" s="21">
        <v>46099</v>
      </c>
      <c r="E426" s="22">
        <v>1587181</v>
      </c>
      <c r="F426" s="22" t="s">
        <v>20</v>
      </c>
      <c r="G426" s="22">
        <v>20326917</v>
      </c>
      <c r="H426" s="22" t="s">
        <v>443</v>
      </c>
      <c r="I426" s="22">
        <v>2</v>
      </c>
      <c r="J426" s="28" t="s">
        <v>18</v>
      </c>
      <c r="K426" s="24">
        <f t="shared" si="26"/>
        <v>7</v>
      </c>
      <c r="L426" s="25">
        <v>4.4</v>
      </c>
      <c r="M426" s="26">
        <v>30.8</v>
      </c>
      <c r="N426" s="26">
        <v>61.6</v>
      </c>
    </row>
    <row r="427" spans="4:14">
      <c r="D427" s="21">
        <v>46099</v>
      </c>
      <c r="E427" s="22">
        <v>1587181</v>
      </c>
      <c r="F427" s="22" t="s">
        <v>20</v>
      </c>
      <c r="G427" s="22">
        <v>20325131</v>
      </c>
      <c r="H427" s="22" t="s">
        <v>369</v>
      </c>
      <c r="I427" s="22">
        <v>1</v>
      </c>
      <c r="J427" s="28" t="s">
        <v>18</v>
      </c>
      <c r="K427" s="24">
        <f t="shared" si="26"/>
        <v>8</v>
      </c>
      <c r="L427" s="25">
        <v>4.4</v>
      </c>
      <c r="M427" s="26">
        <v>35.2</v>
      </c>
      <c r="N427" s="26">
        <v>35.2</v>
      </c>
    </row>
    <row r="428" spans="4:14">
      <c r="D428" s="21">
        <v>46099</v>
      </c>
      <c r="E428" s="22">
        <v>1587181</v>
      </c>
      <c r="F428" s="22" t="s">
        <v>20</v>
      </c>
      <c r="G428" s="22">
        <v>20324699</v>
      </c>
      <c r="H428" s="22" t="s">
        <v>283</v>
      </c>
      <c r="I428" s="22">
        <v>6</v>
      </c>
      <c r="J428" s="28" t="s">
        <v>18</v>
      </c>
      <c r="K428" s="24">
        <f t="shared" si="26"/>
        <v>5</v>
      </c>
      <c r="L428" s="25">
        <v>4.4</v>
      </c>
      <c r="M428" s="26">
        <v>22</v>
      </c>
      <c r="N428" s="26">
        <v>132</v>
      </c>
    </row>
    <row r="429" spans="4:14">
      <c r="D429" s="21">
        <v>46099</v>
      </c>
      <c r="E429" s="22">
        <v>1587181</v>
      </c>
      <c r="F429" s="22" t="s">
        <v>55</v>
      </c>
      <c r="G429" s="22">
        <v>20354932</v>
      </c>
      <c r="H429" s="22" t="s">
        <v>236</v>
      </c>
      <c r="I429" s="22">
        <v>15</v>
      </c>
      <c r="J429" s="30" t="s">
        <v>57</v>
      </c>
      <c r="K429" s="24">
        <v>1</v>
      </c>
      <c r="L429" s="25">
        <v>3.2</v>
      </c>
      <c r="M429" s="26">
        <v>3.2</v>
      </c>
      <c r="N429" s="26">
        <v>48</v>
      </c>
    </row>
    <row r="430" spans="4:14">
      <c r="D430" s="21">
        <v>46100</v>
      </c>
      <c r="E430" s="22">
        <v>1587267</v>
      </c>
      <c r="F430" s="22" t="s">
        <v>20</v>
      </c>
      <c r="G430" s="22">
        <v>20324643</v>
      </c>
      <c r="H430" s="22" t="s">
        <v>343</v>
      </c>
      <c r="I430" s="22">
        <v>1</v>
      </c>
      <c r="J430" s="30" t="s">
        <v>210</v>
      </c>
      <c r="K430" s="24">
        <v>1</v>
      </c>
      <c r="L430" s="25">
        <v>22.4</v>
      </c>
      <c r="M430" s="26">
        <v>22.4</v>
      </c>
      <c r="N430" s="26">
        <v>22.4</v>
      </c>
    </row>
    <row r="431" spans="4:14">
      <c r="D431" s="21">
        <v>46100</v>
      </c>
      <c r="E431" s="22">
        <v>1587267</v>
      </c>
      <c r="F431" s="22" t="s">
        <v>20</v>
      </c>
      <c r="G431" s="22">
        <v>20324637</v>
      </c>
      <c r="H431" s="22" t="s">
        <v>291</v>
      </c>
      <c r="I431" s="22">
        <v>1</v>
      </c>
      <c r="J431" s="30" t="s">
        <v>205</v>
      </c>
      <c r="K431" s="24">
        <v>1</v>
      </c>
      <c r="L431" s="25">
        <v>28</v>
      </c>
      <c r="M431" s="26">
        <v>28</v>
      </c>
      <c r="N431" s="26">
        <v>28</v>
      </c>
    </row>
    <row r="432" spans="4:14">
      <c r="D432" s="21">
        <v>46100</v>
      </c>
      <c r="E432" s="22">
        <v>1587267</v>
      </c>
      <c r="F432" s="22" t="s">
        <v>20</v>
      </c>
      <c r="G432" s="22">
        <v>20330449</v>
      </c>
      <c r="H432" s="22" t="s">
        <v>292</v>
      </c>
      <c r="I432" s="22">
        <v>1</v>
      </c>
      <c r="J432" s="30" t="s">
        <v>210</v>
      </c>
      <c r="K432" s="24">
        <v>1</v>
      </c>
      <c r="L432" s="25">
        <v>22.4</v>
      </c>
      <c r="M432" s="26">
        <v>22.4</v>
      </c>
      <c r="N432" s="26">
        <v>22.4</v>
      </c>
    </row>
    <row r="433" spans="4:14">
      <c r="D433" s="21">
        <v>46100</v>
      </c>
      <c r="E433" s="22">
        <v>1587267</v>
      </c>
      <c r="F433" s="22" t="s">
        <v>20</v>
      </c>
      <c r="G433" s="22">
        <v>20324822</v>
      </c>
      <c r="H433" s="22" t="s">
        <v>321</v>
      </c>
      <c r="I433" s="22">
        <v>1</v>
      </c>
      <c r="J433" s="30" t="s">
        <v>205</v>
      </c>
      <c r="K433" s="24">
        <v>1</v>
      </c>
      <c r="L433" s="25">
        <v>28</v>
      </c>
      <c r="M433" s="26">
        <v>28</v>
      </c>
      <c r="N433" s="26">
        <v>28</v>
      </c>
    </row>
    <row r="434" spans="4:14">
      <c r="D434" s="21">
        <v>46100</v>
      </c>
      <c r="E434" s="22">
        <v>1587267</v>
      </c>
      <c r="F434" s="22" t="s">
        <v>20</v>
      </c>
      <c r="G434" s="22">
        <v>20324645</v>
      </c>
      <c r="H434" s="22" t="s">
        <v>346</v>
      </c>
      <c r="I434" s="22">
        <v>1</v>
      </c>
      <c r="J434" s="30" t="s">
        <v>210</v>
      </c>
      <c r="K434" s="24">
        <v>1</v>
      </c>
      <c r="L434" s="25">
        <v>22.4</v>
      </c>
      <c r="M434" s="26">
        <v>22.4</v>
      </c>
      <c r="N434" s="26">
        <v>22.4</v>
      </c>
    </row>
    <row r="435" spans="4:14">
      <c r="D435" s="21">
        <v>46100</v>
      </c>
      <c r="E435" s="22">
        <v>1587267</v>
      </c>
      <c r="F435" s="22" t="s">
        <v>20</v>
      </c>
      <c r="G435" s="22">
        <v>20324636</v>
      </c>
      <c r="H435" s="22" t="s">
        <v>347</v>
      </c>
      <c r="I435" s="22">
        <v>1</v>
      </c>
      <c r="J435" s="30" t="s">
        <v>205</v>
      </c>
      <c r="K435" s="24">
        <v>1</v>
      </c>
      <c r="L435" s="25">
        <v>28</v>
      </c>
      <c r="M435" s="26">
        <v>28</v>
      </c>
      <c r="N435" s="26">
        <v>28</v>
      </c>
    </row>
    <row r="436" spans="4:14">
      <c r="D436" s="21">
        <v>46100</v>
      </c>
      <c r="E436" s="22">
        <v>1587267</v>
      </c>
      <c r="F436" s="22" t="s">
        <v>20</v>
      </c>
      <c r="G436" s="22">
        <v>20324642</v>
      </c>
      <c r="H436" s="22" t="s">
        <v>348</v>
      </c>
      <c r="I436" s="22">
        <v>1</v>
      </c>
      <c r="J436" s="28" t="s">
        <v>28</v>
      </c>
      <c r="K436" s="24">
        <v>1</v>
      </c>
      <c r="L436" s="25">
        <v>17.6</v>
      </c>
      <c r="M436" s="26">
        <v>17.6</v>
      </c>
      <c r="N436" s="26">
        <v>17.6</v>
      </c>
    </row>
    <row r="437" spans="4:14">
      <c r="D437" s="21">
        <v>46100</v>
      </c>
      <c r="E437" s="22">
        <v>1587267</v>
      </c>
      <c r="F437" s="22" t="s">
        <v>20</v>
      </c>
      <c r="G437" s="22">
        <v>20324732</v>
      </c>
      <c r="H437" s="22" t="s">
        <v>300</v>
      </c>
      <c r="I437" s="22">
        <v>1</v>
      </c>
      <c r="J437" s="30" t="s">
        <v>210</v>
      </c>
      <c r="K437" s="24">
        <v>1</v>
      </c>
      <c r="L437" s="25">
        <v>22.4</v>
      </c>
      <c r="M437" s="26">
        <v>22.4</v>
      </c>
      <c r="N437" s="26">
        <v>22.4</v>
      </c>
    </row>
    <row r="438" spans="4:14">
      <c r="D438" s="21">
        <v>46100</v>
      </c>
      <c r="E438" s="22">
        <v>1587267</v>
      </c>
      <c r="F438" s="22" t="s">
        <v>20</v>
      </c>
      <c r="G438" s="22">
        <v>20324644</v>
      </c>
      <c r="H438" s="22" t="s">
        <v>304</v>
      </c>
      <c r="I438" s="22">
        <v>1</v>
      </c>
      <c r="J438" s="30" t="s">
        <v>210</v>
      </c>
      <c r="K438" s="24">
        <v>1</v>
      </c>
      <c r="L438" s="25">
        <v>22.4</v>
      </c>
      <c r="M438" s="26">
        <v>22.4</v>
      </c>
      <c r="N438" s="26">
        <v>22.4</v>
      </c>
    </row>
    <row r="439" spans="4:14">
      <c r="D439" s="21">
        <v>46100</v>
      </c>
      <c r="E439" s="22">
        <v>1587267</v>
      </c>
      <c r="F439" s="22" t="s">
        <v>20</v>
      </c>
      <c r="G439" s="22">
        <v>20324814</v>
      </c>
      <c r="H439" s="22" t="s">
        <v>305</v>
      </c>
      <c r="I439" s="22">
        <v>2</v>
      </c>
      <c r="J439" s="30" t="s">
        <v>210</v>
      </c>
      <c r="K439" s="24">
        <v>1</v>
      </c>
      <c r="L439" s="25">
        <v>22.4</v>
      </c>
      <c r="M439" s="26">
        <v>22.4</v>
      </c>
      <c r="N439" s="26">
        <v>44.8</v>
      </c>
    </row>
    <row r="440" spans="4:14">
      <c r="D440" s="21">
        <v>46100</v>
      </c>
      <c r="E440" s="22">
        <v>1587267</v>
      </c>
      <c r="F440" s="22" t="s">
        <v>20</v>
      </c>
      <c r="G440" s="22">
        <v>20324646</v>
      </c>
      <c r="H440" s="22" t="s">
        <v>350</v>
      </c>
      <c r="I440" s="22">
        <v>1</v>
      </c>
      <c r="J440" s="28" t="s">
        <v>295</v>
      </c>
      <c r="K440" s="24">
        <v>1</v>
      </c>
      <c r="L440" s="25">
        <v>20</v>
      </c>
      <c r="M440" s="26">
        <v>20</v>
      </c>
      <c r="N440" s="26">
        <v>20</v>
      </c>
    </row>
    <row r="441" spans="4:14">
      <c r="D441" s="68">
        <v>46100</v>
      </c>
      <c r="E441" s="69">
        <v>1587267</v>
      </c>
      <c r="F441" s="69" t="s">
        <v>30</v>
      </c>
      <c r="G441" s="70">
        <v>20324638</v>
      </c>
      <c r="H441" s="69" t="s">
        <v>306</v>
      </c>
      <c r="I441" s="70">
        <v>1</v>
      </c>
      <c r="J441" s="71" t="s">
        <v>307</v>
      </c>
      <c r="K441" s="24" t="s">
        <v>308</v>
      </c>
      <c r="L441" s="25">
        <v>22.4</v>
      </c>
      <c r="M441" s="25">
        <f>L441+L442</f>
        <v>30.4</v>
      </c>
      <c r="N441" s="25">
        <f>M441+M442</f>
        <v>30.4</v>
      </c>
    </row>
    <row r="442" spans="4:14">
      <c r="D442" s="72"/>
      <c r="E442" s="73"/>
      <c r="F442" s="73"/>
      <c r="G442" s="74"/>
      <c r="H442" s="73"/>
      <c r="I442" s="74"/>
      <c r="J442" s="75" t="s">
        <v>309</v>
      </c>
      <c r="K442" s="24" t="s">
        <v>308</v>
      </c>
      <c r="L442" s="25">
        <v>8</v>
      </c>
      <c r="M442" s="25"/>
      <c r="N442" s="25"/>
    </row>
    <row r="443" spans="4:14">
      <c r="D443" s="21">
        <v>46100</v>
      </c>
      <c r="E443" s="22">
        <v>1587576</v>
      </c>
      <c r="F443" s="22" t="s">
        <v>16</v>
      </c>
      <c r="G443" s="22">
        <v>20324463</v>
      </c>
      <c r="H443" s="22" t="s">
        <v>289</v>
      </c>
      <c r="I443" s="22">
        <v>2</v>
      </c>
      <c r="J443" s="28" t="s">
        <v>18</v>
      </c>
      <c r="K443" s="24">
        <f t="shared" ref="K443:K446" si="27">M443/L443</f>
        <v>35</v>
      </c>
      <c r="L443" s="25">
        <v>4.4</v>
      </c>
      <c r="M443" s="26">
        <v>154</v>
      </c>
      <c r="N443" s="26">
        <v>308</v>
      </c>
    </row>
    <row r="444" spans="4:14">
      <c r="D444" s="21">
        <v>46100</v>
      </c>
      <c r="E444" s="22">
        <v>1587576</v>
      </c>
      <c r="F444" s="22" t="s">
        <v>16</v>
      </c>
      <c r="G444" s="22">
        <v>20324028</v>
      </c>
      <c r="H444" s="22" t="s">
        <v>386</v>
      </c>
      <c r="I444" s="22">
        <v>2</v>
      </c>
      <c r="J444" s="28" t="s">
        <v>18</v>
      </c>
      <c r="K444" s="24">
        <f t="shared" si="27"/>
        <v>42</v>
      </c>
      <c r="L444" s="25">
        <v>4.4</v>
      </c>
      <c r="M444" s="26">
        <v>184.8</v>
      </c>
      <c r="N444" s="26">
        <v>369.6</v>
      </c>
    </row>
    <row r="445" spans="4:14">
      <c r="D445" s="21">
        <v>46100</v>
      </c>
      <c r="E445" s="22">
        <v>1587576</v>
      </c>
      <c r="F445" s="22" t="s">
        <v>16</v>
      </c>
      <c r="G445" s="22">
        <v>20324737</v>
      </c>
      <c r="H445" s="22" t="s">
        <v>387</v>
      </c>
      <c r="I445" s="22">
        <v>1</v>
      </c>
      <c r="J445" s="28" t="s">
        <v>18</v>
      </c>
      <c r="K445" s="24">
        <f t="shared" si="27"/>
        <v>22</v>
      </c>
      <c r="L445" s="25">
        <v>4.4</v>
      </c>
      <c r="M445" s="26">
        <v>96.8</v>
      </c>
      <c r="N445" s="26">
        <v>96.8</v>
      </c>
    </row>
    <row r="446" spans="4:14">
      <c r="D446" s="21">
        <v>46100</v>
      </c>
      <c r="E446" s="22">
        <v>1587576</v>
      </c>
      <c r="F446" s="22" t="s">
        <v>16</v>
      </c>
      <c r="G446" s="22">
        <v>20324045</v>
      </c>
      <c r="H446" s="22" t="s">
        <v>281</v>
      </c>
      <c r="I446" s="22">
        <v>1</v>
      </c>
      <c r="J446" s="28" t="s">
        <v>18</v>
      </c>
      <c r="K446" s="24">
        <f t="shared" si="27"/>
        <v>19</v>
      </c>
      <c r="L446" s="25">
        <v>4.4</v>
      </c>
      <c r="M446" s="26">
        <v>83.6</v>
      </c>
      <c r="N446" s="26">
        <v>83.6</v>
      </c>
    </row>
    <row r="447" spans="4:14">
      <c r="D447" s="21">
        <v>46100</v>
      </c>
      <c r="E447" s="22">
        <v>1587576</v>
      </c>
      <c r="F447" s="22" t="s">
        <v>20</v>
      </c>
      <c r="G447" s="22">
        <v>20349008</v>
      </c>
      <c r="H447" s="22" t="s">
        <v>445</v>
      </c>
      <c r="I447" s="22">
        <v>1</v>
      </c>
      <c r="J447" s="23" t="s">
        <v>22</v>
      </c>
      <c r="K447" s="24">
        <v>1</v>
      </c>
      <c r="L447" s="25">
        <v>6.4</v>
      </c>
      <c r="M447" s="26">
        <v>6.4</v>
      </c>
      <c r="N447" s="26">
        <v>6.4</v>
      </c>
    </row>
    <row r="448" spans="4:14">
      <c r="D448" s="21">
        <v>46100</v>
      </c>
      <c r="E448" s="22">
        <v>1587576</v>
      </c>
      <c r="F448" s="22" t="s">
        <v>20</v>
      </c>
      <c r="G448" s="22">
        <v>20358758</v>
      </c>
      <c r="H448" s="22" t="s">
        <v>367</v>
      </c>
      <c r="I448" s="22">
        <v>1</v>
      </c>
      <c r="J448" s="23" t="s">
        <v>22</v>
      </c>
      <c r="K448" s="24">
        <v>1</v>
      </c>
      <c r="L448" s="25">
        <v>6.4</v>
      </c>
      <c r="M448" s="26">
        <v>6.4</v>
      </c>
      <c r="N448" s="26">
        <v>6.4</v>
      </c>
    </row>
    <row r="449" spans="4:14">
      <c r="D449" s="21">
        <v>46100</v>
      </c>
      <c r="E449" s="22">
        <v>1587576</v>
      </c>
      <c r="F449" s="22" t="s">
        <v>16</v>
      </c>
      <c r="G449" s="22">
        <v>20325204</v>
      </c>
      <c r="H449" s="22" t="s">
        <v>368</v>
      </c>
      <c r="I449" s="22">
        <v>1</v>
      </c>
      <c r="J449" s="28" t="s">
        <v>18</v>
      </c>
      <c r="K449" s="24">
        <f t="shared" ref="K449:K453" si="28">M449/L449</f>
        <v>13</v>
      </c>
      <c r="L449" s="25">
        <v>4.4</v>
      </c>
      <c r="M449" s="26">
        <v>57.2</v>
      </c>
      <c r="N449" s="26">
        <v>57.2</v>
      </c>
    </row>
    <row r="450" spans="4:14">
      <c r="D450" s="21">
        <v>46100</v>
      </c>
      <c r="E450" s="22">
        <v>1587576</v>
      </c>
      <c r="F450" s="22" t="s">
        <v>20</v>
      </c>
      <c r="G450" s="22">
        <v>20325545</v>
      </c>
      <c r="H450" s="22" t="s">
        <v>400</v>
      </c>
      <c r="I450" s="22">
        <v>1</v>
      </c>
      <c r="J450" s="28" t="s">
        <v>18</v>
      </c>
      <c r="K450" s="24">
        <f t="shared" si="28"/>
        <v>3</v>
      </c>
      <c r="L450" s="25">
        <v>4.4</v>
      </c>
      <c r="M450" s="26">
        <v>13.2</v>
      </c>
      <c r="N450" s="26">
        <v>13.2</v>
      </c>
    </row>
    <row r="451" spans="4:14">
      <c r="D451" s="21">
        <v>46100</v>
      </c>
      <c r="E451" s="22">
        <v>1587576</v>
      </c>
      <c r="F451" s="22" t="s">
        <v>20</v>
      </c>
      <c r="G451" s="22">
        <v>20325131</v>
      </c>
      <c r="H451" s="22" t="s">
        <v>369</v>
      </c>
      <c r="I451" s="22">
        <v>1</v>
      </c>
      <c r="J451" s="28" t="s">
        <v>18</v>
      </c>
      <c r="K451" s="24">
        <f t="shared" si="28"/>
        <v>8</v>
      </c>
      <c r="L451" s="25">
        <v>4.4</v>
      </c>
      <c r="M451" s="26">
        <v>35.2</v>
      </c>
      <c r="N451" s="26">
        <v>35.2</v>
      </c>
    </row>
    <row r="452" spans="4:14">
      <c r="D452" s="21">
        <v>46100</v>
      </c>
      <c r="E452" s="22">
        <v>1587576</v>
      </c>
      <c r="F452" s="22" t="s">
        <v>20</v>
      </c>
      <c r="G452" s="22">
        <v>20324711</v>
      </c>
      <c r="H452" s="22" t="s">
        <v>389</v>
      </c>
      <c r="I452" s="22">
        <v>1</v>
      </c>
      <c r="J452" s="28" t="s">
        <v>18</v>
      </c>
      <c r="K452" s="24">
        <f t="shared" si="28"/>
        <v>14</v>
      </c>
      <c r="L452" s="25">
        <v>4.4</v>
      </c>
      <c r="M452" s="26">
        <v>61.6</v>
      </c>
      <c r="N452" s="26">
        <v>61.6</v>
      </c>
    </row>
    <row r="453" spans="4:14">
      <c r="D453" s="21">
        <v>46100</v>
      </c>
      <c r="E453" s="22">
        <v>1587576</v>
      </c>
      <c r="F453" s="22" t="s">
        <v>20</v>
      </c>
      <c r="G453" s="22">
        <v>20325759</v>
      </c>
      <c r="H453" s="22" t="s">
        <v>390</v>
      </c>
      <c r="I453" s="22">
        <v>1</v>
      </c>
      <c r="J453" s="28" t="s">
        <v>18</v>
      </c>
      <c r="K453" s="24">
        <f t="shared" si="28"/>
        <v>9</v>
      </c>
      <c r="L453" s="25">
        <v>4.4</v>
      </c>
      <c r="M453" s="26">
        <v>39.6</v>
      </c>
      <c r="N453" s="26">
        <v>39.6</v>
      </c>
    </row>
    <row r="454" spans="4:14">
      <c r="D454" s="21">
        <v>46100</v>
      </c>
      <c r="E454" s="22">
        <v>1587576</v>
      </c>
      <c r="F454" s="22" t="s">
        <v>20</v>
      </c>
      <c r="G454" s="22">
        <v>20324699</v>
      </c>
      <c r="H454" s="22" t="s">
        <v>283</v>
      </c>
      <c r="I454" s="22">
        <v>5</v>
      </c>
      <c r="J454" s="28" t="s">
        <v>18</v>
      </c>
      <c r="K454" s="24">
        <f t="shared" ref="K454:K459" si="29">M454/L454</f>
        <v>5</v>
      </c>
      <c r="L454" s="25">
        <v>4.4</v>
      </c>
      <c r="M454" s="26">
        <v>22</v>
      </c>
      <c r="N454" s="26">
        <v>110</v>
      </c>
    </row>
    <row r="455" spans="4:14">
      <c r="D455" s="21">
        <v>46100</v>
      </c>
      <c r="E455" s="22">
        <v>1587585</v>
      </c>
      <c r="F455" s="22" t="s">
        <v>16</v>
      </c>
      <c r="G455" s="22">
        <v>20405201</v>
      </c>
      <c r="H455" s="22" t="s">
        <v>340</v>
      </c>
      <c r="I455" s="22">
        <v>1</v>
      </c>
      <c r="J455" s="28" t="s">
        <v>18</v>
      </c>
      <c r="K455" s="24">
        <f t="shared" si="29"/>
        <v>18</v>
      </c>
      <c r="L455" s="25">
        <v>4.4</v>
      </c>
      <c r="M455" s="26">
        <v>79.2</v>
      </c>
      <c r="N455" s="26">
        <v>79.2</v>
      </c>
    </row>
    <row r="456" spans="4:14">
      <c r="D456" s="21">
        <v>46100</v>
      </c>
      <c r="E456" s="22">
        <v>1587585</v>
      </c>
      <c r="F456" s="22" t="s">
        <v>16</v>
      </c>
      <c r="G456" s="22">
        <v>20324045</v>
      </c>
      <c r="H456" s="22" t="s">
        <v>281</v>
      </c>
      <c r="I456" s="22">
        <v>2</v>
      </c>
      <c r="J456" s="28" t="s">
        <v>18</v>
      </c>
      <c r="K456" s="24">
        <f t="shared" si="29"/>
        <v>19</v>
      </c>
      <c r="L456" s="25">
        <v>4.4</v>
      </c>
      <c r="M456" s="26">
        <v>83.6</v>
      </c>
      <c r="N456" s="26">
        <v>167.2</v>
      </c>
    </row>
    <row r="457" spans="4:14">
      <c r="D457" s="21">
        <v>46100</v>
      </c>
      <c r="E457" s="22">
        <v>1587585</v>
      </c>
      <c r="F457" s="22" t="s">
        <v>20</v>
      </c>
      <c r="G457" s="22">
        <v>20358566</v>
      </c>
      <c r="H457" s="22" t="s">
        <v>365</v>
      </c>
      <c r="I457" s="22">
        <v>1</v>
      </c>
      <c r="J457" s="27" t="s">
        <v>145</v>
      </c>
      <c r="K457" s="24">
        <f t="shared" si="29"/>
        <v>4</v>
      </c>
      <c r="L457" s="25">
        <v>4.4</v>
      </c>
      <c r="M457" s="26">
        <v>17.6</v>
      </c>
      <c r="N457" s="26">
        <v>17.6</v>
      </c>
    </row>
    <row r="458" spans="4:14">
      <c r="D458" s="21">
        <v>46100</v>
      </c>
      <c r="E458" s="22">
        <v>1587585</v>
      </c>
      <c r="F458" s="22" t="s">
        <v>20</v>
      </c>
      <c r="G458" s="22">
        <v>20330458</v>
      </c>
      <c r="H458" s="22" t="s">
        <v>341</v>
      </c>
      <c r="I458" s="22">
        <v>1</v>
      </c>
      <c r="J458" s="28" t="s">
        <v>18</v>
      </c>
      <c r="K458" s="24">
        <f t="shared" si="29"/>
        <v>5</v>
      </c>
      <c r="L458" s="25">
        <v>4.4</v>
      </c>
      <c r="M458" s="26">
        <v>22</v>
      </c>
      <c r="N458" s="26">
        <v>22</v>
      </c>
    </row>
    <row r="459" spans="4:14">
      <c r="D459" s="21">
        <v>46100</v>
      </c>
      <c r="E459" s="22">
        <v>1587585</v>
      </c>
      <c r="F459" s="22" t="s">
        <v>20</v>
      </c>
      <c r="G459" s="22">
        <v>20324699</v>
      </c>
      <c r="H459" s="22" t="s">
        <v>283</v>
      </c>
      <c r="I459" s="22">
        <v>2</v>
      </c>
      <c r="J459" s="28" t="s">
        <v>18</v>
      </c>
      <c r="K459" s="24">
        <f t="shared" si="29"/>
        <v>5</v>
      </c>
      <c r="L459" s="25">
        <v>4.4</v>
      </c>
      <c r="M459" s="26">
        <v>22</v>
      </c>
      <c r="N459" s="26">
        <v>44</v>
      </c>
    </row>
    <row r="460" spans="4:14">
      <c r="D460" s="21">
        <v>46101</v>
      </c>
      <c r="E460" s="22">
        <v>1587650</v>
      </c>
      <c r="F460" s="22" t="s">
        <v>20</v>
      </c>
      <c r="G460" s="22">
        <v>20366789</v>
      </c>
      <c r="H460" s="22" t="s">
        <v>345</v>
      </c>
      <c r="I460" s="22">
        <v>1</v>
      </c>
      <c r="J460" s="30" t="s">
        <v>205</v>
      </c>
      <c r="K460" s="24">
        <v>1</v>
      </c>
      <c r="L460" s="25">
        <v>28</v>
      </c>
      <c r="M460" s="26">
        <v>28</v>
      </c>
      <c r="N460" s="26">
        <v>28</v>
      </c>
    </row>
    <row r="461" spans="4:14">
      <c r="D461" s="21">
        <v>46101</v>
      </c>
      <c r="E461" s="22">
        <v>1587650</v>
      </c>
      <c r="F461" s="22" t="s">
        <v>20</v>
      </c>
      <c r="G461" s="22">
        <v>20366790</v>
      </c>
      <c r="H461" s="22" t="s">
        <v>377</v>
      </c>
      <c r="I461" s="22">
        <v>1</v>
      </c>
      <c r="J461" s="28" t="s">
        <v>28</v>
      </c>
      <c r="K461" s="24">
        <v>1</v>
      </c>
      <c r="L461" s="25">
        <v>17.6</v>
      </c>
      <c r="M461" s="26">
        <v>52.8</v>
      </c>
      <c r="N461" s="26">
        <v>52.8</v>
      </c>
    </row>
    <row r="462" spans="4:14">
      <c r="D462" s="21"/>
      <c r="E462" s="22"/>
      <c r="F462" s="22"/>
      <c r="G462" s="22"/>
      <c r="H462" s="22"/>
      <c r="I462" s="22"/>
      <c r="J462" s="28" t="s">
        <v>28</v>
      </c>
      <c r="K462" s="24">
        <v>1</v>
      </c>
      <c r="L462" s="25">
        <v>17.6</v>
      </c>
      <c r="M462" s="26"/>
      <c r="N462" s="26"/>
    </row>
    <row r="463" spans="4:14">
      <c r="D463" s="21"/>
      <c r="E463" s="22"/>
      <c r="F463" s="22"/>
      <c r="G463" s="22"/>
      <c r="H463" s="22"/>
      <c r="I463" s="22"/>
      <c r="J463" s="28" t="s">
        <v>28</v>
      </c>
      <c r="K463" s="24">
        <v>1</v>
      </c>
      <c r="L463" s="25">
        <v>17.6</v>
      </c>
      <c r="M463" s="26"/>
      <c r="N463" s="26"/>
    </row>
    <row r="464" spans="4:14">
      <c r="D464" s="21">
        <v>46101</v>
      </c>
      <c r="E464" s="22">
        <v>1587661</v>
      </c>
      <c r="F464" s="22" t="s">
        <v>16</v>
      </c>
      <c r="G464" s="22">
        <v>20324808</v>
      </c>
      <c r="H464" s="22" t="s">
        <v>342</v>
      </c>
      <c r="I464" s="22">
        <v>1</v>
      </c>
      <c r="J464" s="28" t="s">
        <v>37</v>
      </c>
      <c r="K464" s="24" t="s">
        <v>38</v>
      </c>
      <c r="L464" s="25">
        <v>132</v>
      </c>
      <c r="M464" s="26">
        <v>220</v>
      </c>
      <c r="N464" s="26">
        <v>220</v>
      </c>
    </row>
    <row r="465" spans="4:14">
      <c r="D465" s="21"/>
      <c r="E465" s="22"/>
      <c r="F465" s="22"/>
      <c r="G465" s="22"/>
      <c r="H465" s="22"/>
      <c r="I465" s="22"/>
      <c r="J465" s="30" t="s">
        <v>39</v>
      </c>
      <c r="K465" s="24" t="s">
        <v>40</v>
      </c>
      <c r="L465" s="25">
        <v>70.4</v>
      </c>
      <c r="M465" s="26"/>
      <c r="N465" s="26"/>
    </row>
    <row r="466" spans="4:14">
      <c r="D466" s="21"/>
      <c r="E466" s="22"/>
      <c r="F466" s="22"/>
      <c r="G466" s="22"/>
      <c r="H466" s="22"/>
      <c r="I466" s="22"/>
      <c r="J466" s="28" t="s">
        <v>28</v>
      </c>
      <c r="K466" s="24">
        <v>1</v>
      </c>
      <c r="L466" s="25">
        <v>17.6</v>
      </c>
      <c r="M466" s="26"/>
      <c r="N466" s="26"/>
    </row>
    <row r="467" spans="4:14">
      <c r="D467" s="21">
        <v>46101</v>
      </c>
      <c r="E467" s="22">
        <v>1587661</v>
      </c>
      <c r="F467" s="22" t="s">
        <v>20</v>
      </c>
      <c r="G467" s="22">
        <v>20324643</v>
      </c>
      <c r="H467" s="22" t="s">
        <v>343</v>
      </c>
      <c r="I467" s="22">
        <v>2</v>
      </c>
      <c r="J467" s="30" t="s">
        <v>210</v>
      </c>
      <c r="K467" s="24">
        <v>1</v>
      </c>
      <c r="L467" s="25">
        <v>22.4</v>
      </c>
      <c r="M467" s="26">
        <v>22.4</v>
      </c>
      <c r="N467" s="26">
        <v>44.8</v>
      </c>
    </row>
    <row r="468" spans="4:14">
      <c r="D468" s="21">
        <v>46101</v>
      </c>
      <c r="E468" s="22">
        <v>1587661</v>
      </c>
      <c r="F468" s="22" t="s">
        <v>20</v>
      </c>
      <c r="G468" s="22">
        <v>20324637</v>
      </c>
      <c r="H468" s="22" t="s">
        <v>291</v>
      </c>
      <c r="I468" s="22">
        <v>1</v>
      </c>
      <c r="J468" s="30" t="s">
        <v>205</v>
      </c>
      <c r="K468" s="24">
        <v>1</v>
      </c>
      <c r="L468" s="25">
        <v>28</v>
      </c>
      <c r="M468" s="26">
        <v>28</v>
      </c>
      <c r="N468" s="26">
        <v>28</v>
      </c>
    </row>
    <row r="469" spans="4:14">
      <c r="D469" s="21">
        <v>46101</v>
      </c>
      <c r="E469" s="22">
        <v>1587661</v>
      </c>
      <c r="F469" s="22" t="s">
        <v>20</v>
      </c>
      <c r="G469" s="22">
        <v>20330449</v>
      </c>
      <c r="H469" s="22" t="s">
        <v>292</v>
      </c>
      <c r="I469" s="22">
        <v>1</v>
      </c>
      <c r="J469" s="30" t="s">
        <v>210</v>
      </c>
      <c r="K469" s="24">
        <v>1</v>
      </c>
      <c r="L469" s="25">
        <v>22.4</v>
      </c>
      <c r="M469" s="26">
        <v>22.4</v>
      </c>
      <c r="N469" s="26">
        <v>22.4</v>
      </c>
    </row>
    <row r="470" spans="4:14">
      <c r="D470" s="21">
        <v>46101</v>
      </c>
      <c r="E470" s="22">
        <v>1587661</v>
      </c>
      <c r="F470" s="22" t="s">
        <v>20</v>
      </c>
      <c r="G470" s="22">
        <v>20329253</v>
      </c>
      <c r="H470" s="22" t="s">
        <v>320</v>
      </c>
      <c r="I470" s="22">
        <v>1</v>
      </c>
      <c r="J470" s="28" t="s">
        <v>28</v>
      </c>
      <c r="K470" s="24">
        <v>1</v>
      </c>
      <c r="L470" s="25">
        <v>17.6</v>
      </c>
      <c r="M470" s="26">
        <v>17.6</v>
      </c>
      <c r="N470" s="26">
        <v>17.6</v>
      </c>
    </row>
    <row r="471" spans="4:14">
      <c r="D471" s="21">
        <v>46101</v>
      </c>
      <c r="E471" s="22">
        <v>1587661</v>
      </c>
      <c r="F471" s="22" t="s">
        <v>20</v>
      </c>
      <c r="G471" s="22">
        <v>20324822</v>
      </c>
      <c r="H471" s="22" t="s">
        <v>321</v>
      </c>
      <c r="I471" s="22">
        <v>1</v>
      </c>
      <c r="J471" s="30" t="s">
        <v>205</v>
      </c>
      <c r="K471" s="24">
        <v>1</v>
      </c>
      <c r="L471" s="25">
        <v>28</v>
      </c>
      <c r="M471" s="26">
        <v>28</v>
      </c>
      <c r="N471" s="26">
        <v>28</v>
      </c>
    </row>
    <row r="472" spans="4:14">
      <c r="D472" s="21">
        <v>46101</v>
      </c>
      <c r="E472" s="22">
        <v>1587661</v>
      </c>
      <c r="F472" s="22" t="s">
        <v>20</v>
      </c>
      <c r="G472" s="22">
        <v>20325443</v>
      </c>
      <c r="H472" s="22" t="s">
        <v>345</v>
      </c>
      <c r="I472" s="22">
        <v>1</v>
      </c>
      <c r="J472" s="30" t="s">
        <v>205</v>
      </c>
      <c r="K472" s="24">
        <v>1</v>
      </c>
      <c r="L472" s="25">
        <v>28</v>
      </c>
      <c r="M472" s="26">
        <v>28</v>
      </c>
      <c r="N472" s="26">
        <v>28</v>
      </c>
    </row>
    <row r="473" spans="4:14">
      <c r="D473" s="21">
        <v>46101</v>
      </c>
      <c r="E473" s="22">
        <v>1587661</v>
      </c>
      <c r="F473" s="22" t="s">
        <v>20</v>
      </c>
      <c r="G473" s="22">
        <v>20324645</v>
      </c>
      <c r="H473" s="22" t="s">
        <v>346</v>
      </c>
      <c r="I473" s="22">
        <v>3</v>
      </c>
      <c r="J473" s="30" t="s">
        <v>210</v>
      </c>
      <c r="K473" s="24">
        <v>1</v>
      </c>
      <c r="L473" s="25">
        <v>22.4</v>
      </c>
      <c r="M473" s="26">
        <v>22.4</v>
      </c>
      <c r="N473" s="26">
        <v>67.2</v>
      </c>
    </row>
    <row r="474" spans="4:14">
      <c r="D474" s="21">
        <v>46101</v>
      </c>
      <c r="E474" s="22">
        <v>1587661</v>
      </c>
      <c r="F474" s="22" t="s">
        <v>20</v>
      </c>
      <c r="G474" s="22">
        <v>20329652</v>
      </c>
      <c r="H474" s="22" t="s">
        <v>430</v>
      </c>
      <c r="I474" s="22">
        <v>1</v>
      </c>
      <c r="J474" s="30" t="s">
        <v>210</v>
      </c>
      <c r="K474" s="24">
        <v>1</v>
      </c>
      <c r="L474" s="25">
        <v>22.4</v>
      </c>
      <c r="M474" s="26">
        <v>22.4</v>
      </c>
      <c r="N474" s="26">
        <v>22.4</v>
      </c>
    </row>
    <row r="475" spans="4:14">
      <c r="D475" s="21">
        <v>46101</v>
      </c>
      <c r="E475" s="22">
        <v>1587661</v>
      </c>
      <c r="F475" s="22" t="s">
        <v>20</v>
      </c>
      <c r="G475" s="22">
        <v>20324723</v>
      </c>
      <c r="H475" s="22" t="s">
        <v>330</v>
      </c>
      <c r="I475" s="22">
        <v>1</v>
      </c>
      <c r="J475" s="30" t="s">
        <v>210</v>
      </c>
      <c r="K475" s="24">
        <v>1</v>
      </c>
      <c r="L475" s="25">
        <v>22.4</v>
      </c>
      <c r="M475" s="26">
        <v>22.4</v>
      </c>
      <c r="N475" s="26">
        <v>22.4</v>
      </c>
    </row>
    <row r="476" spans="4:14">
      <c r="D476" s="21">
        <v>46101</v>
      </c>
      <c r="E476" s="22">
        <v>1587661</v>
      </c>
      <c r="F476" s="22" t="s">
        <v>20</v>
      </c>
      <c r="G476" s="22">
        <v>20324636</v>
      </c>
      <c r="H476" s="22" t="s">
        <v>347</v>
      </c>
      <c r="I476" s="22">
        <v>2</v>
      </c>
      <c r="J476" s="30" t="s">
        <v>205</v>
      </c>
      <c r="K476" s="24">
        <v>1</v>
      </c>
      <c r="L476" s="25">
        <v>28</v>
      </c>
      <c r="M476" s="26">
        <v>28</v>
      </c>
      <c r="N476" s="26">
        <v>56</v>
      </c>
    </row>
    <row r="477" spans="4:14">
      <c r="D477" s="21">
        <v>46101</v>
      </c>
      <c r="E477" s="22">
        <v>1587661</v>
      </c>
      <c r="F477" s="22" t="s">
        <v>20</v>
      </c>
      <c r="G477" s="22">
        <v>20324642</v>
      </c>
      <c r="H477" s="22" t="s">
        <v>348</v>
      </c>
      <c r="I477" s="22">
        <v>1</v>
      </c>
      <c r="J477" s="28" t="s">
        <v>28</v>
      </c>
      <c r="K477" s="24">
        <v>1</v>
      </c>
      <c r="L477" s="25">
        <v>17.6</v>
      </c>
      <c r="M477" s="26">
        <v>17.6</v>
      </c>
      <c r="N477" s="26">
        <v>17.6</v>
      </c>
    </row>
    <row r="478" spans="4:14">
      <c r="D478" s="21">
        <v>46101</v>
      </c>
      <c r="E478" s="22">
        <v>1587661</v>
      </c>
      <c r="F478" s="22" t="s">
        <v>20</v>
      </c>
      <c r="G478" s="22">
        <v>20324732</v>
      </c>
      <c r="H478" s="22" t="s">
        <v>300</v>
      </c>
      <c r="I478" s="22">
        <v>1</v>
      </c>
      <c r="J478" s="30" t="s">
        <v>210</v>
      </c>
      <c r="K478" s="24">
        <v>1</v>
      </c>
      <c r="L478" s="25">
        <v>22.4</v>
      </c>
      <c r="M478" s="26">
        <v>22.4</v>
      </c>
      <c r="N478" s="26">
        <v>22.4</v>
      </c>
    </row>
    <row r="479" spans="4:14">
      <c r="D479" s="21">
        <v>46101</v>
      </c>
      <c r="E479" s="22">
        <v>1587661</v>
      </c>
      <c r="F479" s="22" t="s">
        <v>20</v>
      </c>
      <c r="G479" s="22">
        <v>20324644</v>
      </c>
      <c r="H479" s="22" t="s">
        <v>304</v>
      </c>
      <c r="I479" s="22">
        <v>2</v>
      </c>
      <c r="J479" s="30" t="s">
        <v>210</v>
      </c>
      <c r="K479" s="24">
        <v>1</v>
      </c>
      <c r="L479" s="25">
        <v>22.4</v>
      </c>
      <c r="M479" s="26">
        <v>22.4</v>
      </c>
      <c r="N479" s="26">
        <v>44.8</v>
      </c>
    </row>
    <row r="480" spans="4:14">
      <c r="D480" s="21">
        <v>46101</v>
      </c>
      <c r="E480" s="22">
        <v>1587661</v>
      </c>
      <c r="F480" s="22" t="s">
        <v>20</v>
      </c>
      <c r="G480" s="22">
        <v>20330332</v>
      </c>
      <c r="H480" s="22" t="s">
        <v>349</v>
      </c>
      <c r="I480" s="22">
        <v>1</v>
      </c>
      <c r="J480" s="30" t="s">
        <v>210</v>
      </c>
      <c r="K480" s="24">
        <v>1</v>
      </c>
      <c r="L480" s="25">
        <v>22.4</v>
      </c>
      <c r="M480" s="26">
        <v>22.4</v>
      </c>
      <c r="N480" s="26">
        <v>22.4</v>
      </c>
    </row>
    <row r="481" spans="4:14">
      <c r="D481" s="21">
        <v>46101</v>
      </c>
      <c r="E481" s="22">
        <v>1587661</v>
      </c>
      <c r="F481" s="22" t="s">
        <v>20</v>
      </c>
      <c r="G481" s="22">
        <v>20324814</v>
      </c>
      <c r="H481" s="22" t="s">
        <v>305</v>
      </c>
      <c r="I481" s="22">
        <v>2</v>
      </c>
      <c r="J481" s="30" t="s">
        <v>210</v>
      </c>
      <c r="K481" s="24">
        <v>1</v>
      </c>
      <c r="L481" s="25">
        <v>22.4</v>
      </c>
      <c r="M481" s="26">
        <v>22.4</v>
      </c>
      <c r="N481" s="26">
        <v>44.8</v>
      </c>
    </row>
    <row r="482" spans="4:14">
      <c r="D482" s="21">
        <v>46101</v>
      </c>
      <c r="E482" s="22">
        <v>1587661</v>
      </c>
      <c r="F482" s="22" t="s">
        <v>20</v>
      </c>
      <c r="G482" s="22">
        <v>20324646</v>
      </c>
      <c r="H482" s="22" t="s">
        <v>350</v>
      </c>
      <c r="I482" s="22">
        <v>1</v>
      </c>
      <c r="J482" s="28" t="s">
        <v>295</v>
      </c>
      <c r="K482" s="24">
        <v>1</v>
      </c>
      <c r="L482" s="25">
        <v>20</v>
      </c>
      <c r="M482" s="26">
        <v>20</v>
      </c>
      <c r="N482" s="26">
        <v>20</v>
      </c>
    </row>
    <row r="483" spans="4:14">
      <c r="D483" s="68">
        <v>46101</v>
      </c>
      <c r="E483" s="69">
        <v>1587661</v>
      </c>
      <c r="F483" s="69" t="s">
        <v>30</v>
      </c>
      <c r="G483" s="70">
        <v>20324638</v>
      </c>
      <c r="H483" s="69" t="s">
        <v>306</v>
      </c>
      <c r="I483" s="70">
        <v>1</v>
      </c>
      <c r="J483" s="71" t="s">
        <v>307</v>
      </c>
      <c r="K483" s="24" t="s">
        <v>308</v>
      </c>
      <c r="L483" s="25">
        <v>22.4</v>
      </c>
      <c r="M483" s="25">
        <f>L483+L484</f>
        <v>30.4</v>
      </c>
      <c r="N483" s="25">
        <f>M483+M484</f>
        <v>30.4</v>
      </c>
    </row>
    <row r="484" spans="4:14">
      <c r="D484" s="72"/>
      <c r="E484" s="73"/>
      <c r="F484" s="73"/>
      <c r="G484" s="74"/>
      <c r="H484" s="73"/>
      <c r="I484" s="74"/>
      <c r="J484" s="75" t="s">
        <v>309</v>
      </c>
      <c r="K484" s="24" t="s">
        <v>308</v>
      </c>
      <c r="L484" s="25">
        <v>8</v>
      </c>
      <c r="M484" s="25"/>
      <c r="N484" s="25"/>
    </row>
    <row r="485" spans="4:14">
      <c r="D485" s="21">
        <v>46101</v>
      </c>
      <c r="E485" s="22">
        <v>1587934</v>
      </c>
      <c r="F485" s="22" t="s">
        <v>16</v>
      </c>
      <c r="G485" s="22">
        <v>20324463</v>
      </c>
      <c r="H485" s="22" t="s">
        <v>289</v>
      </c>
      <c r="I485" s="22">
        <v>2</v>
      </c>
      <c r="J485" s="28" t="s">
        <v>18</v>
      </c>
      <c r="K485" s="24">
        <f t="shared" ref="K485:K489" si="30">M485/L485</f>
        <v>35</v>
      </c>
      <c r="L485" s="25">
        <v>4.4</v>
      </c>
      <c r="M485" s="26">
        <v>154</v>
      </c>
      <c r="N485" s="26">
        <v>308</v>
      </c>
    </row>
    <row r="486" spans="4:14">
      <c r="D486" s="21">
        <v>46101</v>
      </c>
      <c r="E486" s="22">
        <v>1587934</v>
      </c>
      <c r="F486" s="22" t="s">
        <v>16</v>
      </c>
      <c r="G486" s="22">
        <v>20336544</v>
      </c>
      <c r="H486" s="22" t="s">
        <v>384</v>
      </c>
      <c r="I486" s="22">
        <v>1</v>
      </c>
      <c r="J486" s="28" t="s">
        <v>18</v>
      </c>
      <c r="K486" s="24">
        <f t="shared" si="30"/>
        <v>19</v>
      </c>
      <c r="L486" s="25">
        <v>4.4</v>
      </c>
      <c r="M486" s="26">
        <v>83.6</v>
      </c>
      <c r="N486" s="26">
        <v>83.6</v>
      </c>
    </row>
    <row r="487" spans="4:14">
      <c r="D487" s="21">
        <v>46101</v>
      </c>
      <c r="E487" s="22">
        <v>1587934</v>
      </c>
      <c r="F487" s="22" t="s">
        <v>16</v>
      </c>
      <c r="G487" s="22">
        <v>20324024</v>
      </c>
      <c r="H487" s="22" t="s">
        <v>446</v>
      </c>
      <c r="I487" s="22">
        <v>1</v>
      </c>
      <c r="J487" s="28" t="s">
        <v>18</v>
      </c>
      <c r="K487" s="24">
        <f t="shared" si="30"/>
        <v>27</v>
      </c>
      <c r="L487" s="25">
        <v>4.4</v>
      </c>
      <c r="M487" s="26">
        <v>118.8</v>
      </c>
      <c r="N487" s="26">
        <v>118.8</v>
      </c>
    </row>
    <row r="488" spans="4:14">
      <c r="D488" s="21">
        <v>46101</v>
      </c>
      <c r="E488" s="22">
        <v>1587934</v>
      </c>
      <c r="F488" s="22" t="s">
        <v>16</v>
      </c>
      <c r="G488" s="22">
        <v>20324046</v>
      </c>
      <c r="H488" s="22" t="s">
        <v>259</v>
      </c>
      <c r="I488" s="22">
        <v>1</v>
      </c>
      <c r="J488" s="28" t="s">
        <v>18</v>
      </c>
      <c r="K488" s="24">
        <f t="shared" si="30"/>
        <v>49</v>
      </c>
      <c r="L488" s="25">
        <v>4.4</v>
      </c>
      <c r="M488" s="26">
        <v>215.6</v>
      </c>
      <c r="N488" s="26">
        <v>215.6</v>
      </c>
    </row>
    <row r="489" spans="4:14">
      <c r="D489" s="21">
        <v>46101</v>
      </c>
      <c r="E489" s="22">
        <v>1587934</v>
      </c>
      <c r="F489" s="22" t="s">
        <v>16</v>
      </c>
      <c r="G489" s="22">
        <v>20324045</v>
      </c>
      <c r="H489" s="22" t="s">
        <v>281</v>
      </c>
      <c r="I489" s="22">
        <v>1</v>
      </c>
      <c r="J489" s="28" t="s">
        <v>18</v>
      </c>
      <c r="K489" s="24">
        <f t="shared" si="30"/>
        <v>19</v>
      </c>
      <c r="L489" s="25">
        <v>4.4</v>
      </c>
      <c r="M489" s="26">
        <v>83.6</v>
      </c>
      <c r="N489" s="26">
        <v>83.6</v>
      </c>
    </row>
    <row r="490" spans="4:14">
      <c r="D490" s="21">
        <v>46101</v>
      </c>
      <c r="E490" s="22">
        <v>1587934</v>
      </c>
      <c r="F490" s="22" t="s">
        <v>20</v>
      </c>
      <c r="G490" s="22">
        <v>20324800</v>
      </c>
      <c r="H490" s="22" t="s">
        <v>315</v>
      </c>
      <c r="I490" s="22">
        <v>1</v>
      </c>
      <c r="J490" s="23" t="s">
        <v>22</v>
      </c>
      <c r="K490" s="24">
        <v>1</v>
      </c>
      <c r="L490" s="25">
        <v>6.4</v>
      </c>
      <c r="M490" s="26">
        <v>6.4</v>
      </c>
      <c r="N490" s="26">
        <v>6.4</v>
      </c>
    </row>
    <row r="491" spans="4:14">
      <c r="D491" s="21">
        <v>46101</v>
      </c>
      <c r="E491" s="22">
        <v>1587934</v>
      </c>
      <c r="F491" s="22" t="s">
        <v>20</v>
      </c>
      <c r="G491" s="22">
        <v>20324836</v>
      </c>
      <c r="H491" s="22" t="s">
        <v>442</v>
      </c>
      <c r="I491" s="22">
        <v>1</v>
      </c>
      <c r="J491" s="28" t="s">
        <v>18</v>
      </c>
      <c r="K491" s="24">
        <f t="shared" ref="K491:K496" si="31">M491/L491</f>
        <v>3</v>
      </c>
      <c r="L491" s="25">
        <v>4.4</v>
      </c>
      <c r="M491" s="26">
        <v>13.2</v>
      </c>
      <c r="N491" s="26">
        <v>13.2</v>
      </c>
    </row>
    <row r="492" spans="4:14">
      <c r="D492" s="21">
        <v>46101</v>
      </c>
      <c r="E492" s="22">
        <v>1587934</v>
      </c>
      <c r="F492" s="22" t="s">
        <v>20</v>
      </c>
      <c r="G492" s="22">
        <v>20327775</v>
      </c>
      <c r="H492" s="22" t="s">
        <v>447</v>
      </c>
      <c r="I492" s="22">
        <v>1</v>
      </c>
      <c r="J492" s="28" t="s">
        <v>18</v>
      </c>
      <c r="K492" s="24">
        <f t="shared" si="31"/>
        <v>10</v>
      </c>
      <c r="L492" s="25">
        <v>4.4</v>
      </c>
      <c r="M492" s="26">
        <v>44</v>
      </c>
      <c r="N492" s="26">
        <v>44</v>
      </c>
    </row>
    <row r="493" spans="4:14">
      <c r="D493" s="21">
        <v>46101</v>
      </c>
      <c r="E493" s="22">
        <v>1587934</v>
      </c>
      <c r="F493" s="22" t="s">
        <v>20</v>
      </c>
      <c r="G493" s="22">
        <v>20329152</v>
      </c>
      <c r="H493" s="22" t="s">
        <v>352</v>
      </c>
      <c r="I493" s="22">
        <v>1</v>
      </c>
      <c r="J493" s="28" t="s">
        <v>18</v>
      </c>
      <c r="K493" s="24">
        <f t="shared" si="31"/>
        <v>11</v>
      </c>
      <c r="L493" s="25">
        <v>4.4</v>
      </c>
      <c r="M493" s="26">
        <v>48.4</v>
      </c>
      <c r="N493" s="26">
        <v>48.4</v>
      </c>
    </row>
    <row r="494" spans="4:14">
      <c r="D494" s="21">
        <v>46101</v>
      </c>
      <c r="E494" s="22">
        <v>1587934</v>
      </c>
      <c r="F494" s="22" t="s">
        <v>20</v>
      </c>
      <c r="G494" s="22">
        <v>20372910</v>
      </c>
      <c r="H494" s="22" t="s">
        <v>448</v>
      </c>
      <c r="I494" s="22">
        <v>1</v>
      </c>
      <c r="J494" s="28" t="s">
        <v>18</v>
      </c>
      <c r="K494" s="24">
        <f t="shared" si="31"/>
        <v>46</v>
      </c>
      <c r="L494" s="25">
        <v>4.4</v>
      </c>
      <c r="M494" s="26">
        <v>202.4</v>
      </c>
      <c r="N494" s="26">
        <v>202.4</v>
      </c>
    </row>
    <row r="495" spans="4:14">
      <c r="D495" s="21">
        <v>46101</v>
      </c>
      <c r="E495" s="22">
        <v>1587934</v>
      </c>
      <c r="F495" s="22" t="s">
        <v>20</v>
      </c>
      <c r="G495" s="22">
        <v>20341071</v>
      </c>
      <c r="H495" s="22" t="s">
        <v>449</v>
      </c>
      <c r="I495" s="22">
        <v>1</v>
      </c>
      <c r="J495" s="28" t="s">
        <v>18</v>
      </c>
      <c r="K495" s="24">
        <f t="shared" si="31"/>
        <v>9</v>
      </c>
      <c r="L495" s="25">
        <v>4.4</v>
      </c>
      <c r="M495" s="26">
        <v>39.6</v>
      </c>
      <c r="N495" s="26">
        <v>39.6</v>
      </c>
    </row>
    <row r="496" spans="4:14">
      <c r="D496" s="21">
        <v>46101</v>
      </c>
      <c r="E496" s="22">
        <v>1587934</v>
      </c>
      <c r="F496" s="22" t="s">
        <v>20</v>
      </c>
      <c r="G496" s="22">
        <v>20324699</v>
      </c>
      <c r="H496" s="22" t="s">
        <v>283</v>
      </c>
      <c r="I496" s="22">
        <v>5</v>
      </c>
      <c r="J496" s="28" t="s">
        <v>18</v>
      </c>
      <c r="K496" s="24">
        <f t="shared" si="31"/>
        <v>5</v>
      </c>
      <c r="L496" s="25">
        <v>4.4</v>
      </c>
      <c r="M496" s="26">
        <v>22</v>
      </c>
      <c r="N496" s="26">
        <v>110</v>
      </c>
    </row>
    <row r="497" spans="4:14">
      <c r="D497" s="21">
        <v>46101</v>
      </c>
      <c r="E497" s="22">
        <v>1587934</v>
      </c>
      <c r="F497" s="22" t="s">
        <v>55</v>
      </c>
      <c r="G497" s="22">
        <v>20325312</v>
      </c>
      <c r="H497" s="22" t="s">
        <v>450</v>
      </c>
      <c r="I497" s="22">
        <v>30</v>
      </c>
      <c r="J497" s="28" t="s">
        <v>78</v>
      </c>
      <c r="K497" s="24">
        <v>1</v>
      </c>
      <c r="L497" s="25">
        <v>2</v>
      </c>
      <c r="M497" s="26">
        <v>2</v>
      </c>
      <c r="N497" s="26">
        <v>60</v>
      </c>
    </row>
    <row r="498" spans="4:14">
      <c r="D498" s="21">
        <v>46101</v>
      </c>
      <c r="E498" s="22">
        <v>1587934</v>
      </c>
      <c r="F498" s="22" t="s">
        <v>55</v>
      </c>
      <c r="G498" s="22">
        <v>20354932</v>
      </c>
      <c r="H498" s="22" t="s">
        <v>236</v>
      </c>
      <c r="I498" s="22">
        <v>12</v>
      </c>
      <c r="J498" s="30" t="s">
        <v>57</v>
      </c>
      <c r="K498" s="24">
        <v>1</v>
      </c>
      <c r="L498" s="25">
        <v>3.2</v>
      </c>
      <c r="M498" s="26">
        <v>3.2</v>
      </c>
      <c r="N498" s="26">
        <v>38.4</v>
      </c>
    </row>
    <row r="499" spans="4:14">
      <c r="D499" s="21">
        <v>46102</v>
      </c>
      <c r="E499" s="22">
        <v>1588010</v>
      </c>
      <c r="F499" s="22" t="s">
        <v>16</v>
      </c>
      <c r="G499" s="22">
        <v>20324808</v>
      </c>
      <c r="H499" s="22" t="s">
        <v>342</v>
      </c>
      <c r="I499" s="22">
        <v>1</v>
      </c>
      <c r="J499" s="28" t="s">
        <v>37</v>
      </c>
      <c r="K499" s="24" t="s">
        <v>38</v>
      </c>
      <c r="L499" s="25">
        <v>132</v>
      </c>
      <c r="M499" s="26">
        <v>220</v>
      </c>
      <c r="N499" s="26">
        <v>220</v>
      </c>
    </row>
    <row r="500" spans="4:14">
      <c r="D500" s="21"/>
      <c r="E500" s="22"/>
      <c r="F500" s="22"/>
      <c r="G500" s="22"/>
      <c r="H500" s="22"/>
      <c r="I500" s="22"/>
      <c r="J500" s="30" t="s">
        <v>39</v>
      </c>
      <c r="K500" s="24" t="s">
        <v>40</v>
      </c>
      <c r="L500" s="25">
        <v>70.4</v>
      </c>
      <c r="M500" s="26"/>
      <c r="N500" s="26"/>
    </row>
    <row r="501" spans="4:14">
      <c r="D501" s="21"/>
      <c r="E501" s="22"/>
      <c r="F501" s="22"/>
      <c r="G501" s="22"/>
      <c r="H501" s="22"/>
      <c r="I501" s="22"/>
      <c r="J501" s="28" t="s">
        <v>28</v>
      </c>
      <c r="K501" s="24">
        <v>1</v>
      </c>
      <c r="L501" s="25">
        <v>17.6</v>
      </c>
      <c r="M501" s="26"/>
      <c r="N501" s="26"/>
    </row>
    <row r="502" spans="4:14">
      <c r="D502" s="21">
        <v>46102</v>
      </c>
      <c r="E502" s="22">
        <v>1588010</v>
      </c>
      <c r="F502" s="22" t="s">
        <v>20</v>
      </c>
      <c r="G502" s="22">
        <v>20324643</v>
      </c>
      <c r="H502" s="22" t="s">
        <v>343</v>
      </c>
      <c r="I502" s="22">
        <v>2</v>
      </c>
      <c r="J502" s="30" t="s">
        <v>210</v>
      </c>
      <c r="K502" s="24">
        <v>1</v>
      </c>
      <c r="L502" s="25">
        <v>22.4</v>
      </c>
      <c r="M502" s="26">
        <v>22.4</v>
      </c>
      <c r="N502" s="26">
        <v>44.8</v>
      </c>
    </row>
    <row r="503" spans="4:14">
      <c r="D503" s="21">
        <v>46102</v>
      </c>
      <c r="E503" s="22">
        <v>1588010</v>
      </c>
      <c r="F503" s="22" t="s">
        <v>20</v>
      </c>
      <c r="G503" s="22">
        <v>20324637</v>
      </c>
      <c r="H503" s="22" t="s">
        <v>291</v>
      </c>
      <c r="I503" s="22">
        <v>2</v>
      </c>
      <c r="J503" s="30" t="s">
        <v>205</v>
      </c>
      <c r="K503" s="24">
        <v>1</v>
      </c>
      <c r="L503" s="25">
        <v>28</v>
      </c>
      <c r="M503" s="26">
        <v>28</v>
      </c>
      <c r="N503" s="26">
        <v>56</v>
      </c>
    </row>
    <row r="504" spans="4:14">
      <c r="D504" s="21">
        <v>46102</v>
      </c>
      <c r="E504" s="22">
        <v>1588010</v>
      </c>
      <c r="F504" s="22" t="s">
        <v>20</v>
      </c>
      <c r="G504" s="22">
        <v>20330449</v>
      </c>
      <c r="H504" s="22" t="s">
        <v>292</v>
      </c>
      <c r="I504" s="22">
        <v>1</v>
      </c>
      <c r="J504" s="30" t="s">
        <v>210</v>
      </c>
      <c r="K504" s="24">
        <v>1</v>
      </c>
      <c r="L504" s="25">
        <v>22.4</v>
      </c>
      <c r="M504" s="26">
        <v>22.4</v>
      </c>
      <c r="N504" s="26">
        <v>22.4</v>
      </c>
    </row>
    <row r="505" spans="4:14">
      <c r="D505" s="21">
        <v>46102</v>
      </c>
      <c r="E505" s="22">
        <v>1588010</v>
      </c>
      <c r="F505" s="22" t="s">
        <v>20</v>
      </c>
      <c r="G505" s="22">
        <v>20382023</v>
      </c>
      <c r="H505" s="22" t="s">
        <v>393</v>
      </c>
      <c r="I505" s="22">
        <v>1</v>
      </c>
      <c r="J505" s="28" t="s">
        <v>28</v>
      </c>
      <c r="K505" s="24">
        <v>1</v>
      </c>
      <c r="L505" s="25">
        <v>17.6</v>
      </c>
      <c r="M505" s="26">
        <v>17.6</v>
      </c>
      <c r="N505" s="26">
        <v>17.6</v>
      </c>
    </row>
    <row r="506" spans="4:14">
      <c r="D506" s="21">
        <v>46102</v>
      </c>
      <c r="E506" s="22">
        <v>1588010</v>
      </c>
      <c r="F506" s="22" t="s">
        <v>20</v>
      </c>
      <c r="G506" s="22">
        <v>20324822</v>
      </c>
      <c r="H506" s="22" t="s">
        <v>321</v>
      </c>
      <c r="I506" s="22">
        <v>1</v>
      </c>
      <c r="J506" s="30" t="s">
        <v>205</v>
      </c>
      <c r="K506" s="24">
        <v>1</v>
      </c>
      <c r="L506" s="25">
        <v>28</v>
      </c>
      <c r="M506" s="26">
        <v>28</v>
      </c>
      <c r="N506" s="26">
        <v>28</v>
      </c>
    </row>
    <row r="507" spans="4:14">
      <c r="D507" s="21">
        <v>46102</v>
      </c>
      <c r="E507" s="22">
        <v>1588010</v>
      </c>
      <c r="F507" s="22" t="s">
        <v>20</v>
      </c>
      <c r="G507" s="22">
        <v>20326623</v>
      </c>
      <c r="H507" s="22" t="s">
        <v>363</v>
      </c>
      <c r="I507" s="22">
        <v>2</v>
      </c>
      <c r="J507" s="30" t="s">
        <v>210</v>
      </c>
      <c r="K507" s="24">
        <v>1</v>
      </c>
      <c r="L507" s="25">
        <v>22.4</v>
      </c>
      <c r="M507" s="26">
        <v>22.4</v>
      </c>
      <c r="N507" s="26">
        <v>44.8</v>
      </c>
    </row>
    <row r="508" spans="4:14">
      <c r="D508" s="21">
        <v>46102</v>
      </c>
      <c r="E508" s="22">
        <v>1588010</v>
      </c>
      <c r="F508" s="22" t="s">
        <v>20</v>
      </c>
      <c r="G508" s="22">
        <v>20325443</v>
      </c>
      <c r="H508" s="22" t="s">
        <v>345</v>
      </c>
      <c r="I508" s="22">
        <v>2</v>
      </c>
      <c r="J508" s="30" t="s">
        <v>205</v>
      </c>
      <c r="K508" s="24">
        <v>1</v>
      </c>
      <c r="L508" s="25">
        <v>28</v>
      </c>
      <c r="M508" s="26">
        <v>28</v>
      </c>
      <c r="N508" s="26">
        <v>56</v>
      </c>
    </row>
    <row r="509" spans="4:14">
      <c r="D509" s="21">
        <v>46102</v>
      </c>
      <c r="E509" s="22">
        <v>1588010</v>
      </c>
      <c r="F509" s="22" t="s">
        <v>20</v>
      </c>
      <c r="G509" s="22">
        <v>20324645</v>
      </c>
      <c r="H509" s="22" t="s">
        <v>346</v>
      </c>
      <c r="I509" s="22">
        <v>2</v>
      </c>
      <c r="J509" s="30" t="s">
        <v>210</v>
      </c>
      <c r="K509" s="24">
        <v>1</v>
      </c>
      <c r="L509" s="25">
        <v>22.4</v>
      </c>
      <c r="M509" s="26">
        <v>22.4</v>
      </c>
      <c r="N509" s="26">
        <v>44.8</v>
      </c>
    </row>
    <row r="510" spans="4:14">
      <c r="D510" s="21">
        <v>46102</v>
      </c>
      <c r="E510" s="22">
        <v>1588010</v>
      </c>
      <c r="F510" s="22" t="s">
        <v>20</v>
      </c>
      <c r="G510" s="22">
        <v>20324636</v>
      </c>
      <c r="H510" s="22" t="s">
        <v>347</v>
      </c>
      <c r="I510" s="22">
        <v>2</v>
      </c>
      <c r="J510" s="30" t="s">
        <v>205</v>
      </c>
      <c r="K510" s="24">
        <v>1</v>
      </c>
      <c r="L510" s="25">
        <v>28</v>
      </c>
      <c r="M510" s="26">
        <v>28</v>
      </c>
      <c r="N510" s="26">
        <v>56</v>
      </c>
    </row>
    <row r="511" spans="4:14">
      <c r="D511" s="21">
        <v>46102</v>
      </c>
      <c r="E511" s="22">
        <v>1588010</v>
      </c>
      <c r="F511" s="22" t="s">
        <v>20</v>
      </c>
      <c r="G511" s="22">
        <v>20324642</v>
      </c>
      <c r="H511" s="22" t="s">
        <v>348</v>
      </c>
      <c r="I511" s="22">
        <v>1</v>
      </c>
      <c r="J511" s="28" t="s">
        <v>28</v>
      </c>
      <c r="K511" s="24">
        <v>1</v>
      </c>
      <c r="L511" s="25">
        <v>17.6</v>
      </c>
      <c r="M511" s="26">
        <v>17.6</v>
      </c>
      <c r="N511" s="26">
        <v>17.6</v>
      </c>
    </row>
    <row r="512" spans="4:14">
      <c r="D512" s="21">
        <v>46102</v>
      </c>
      <c r="E512" s="22">
        <v>1588010</v>
      </c>
      <c r="F512" s="22" t="s">
        <v>20</v>
      </c>
      <c r="G512" s="22">
        <v>20324732</v>
      </c>
      <c r="H512" s="22" t="s">
        <v>300</v>
      </c>
      <c r="I512" s="22">
        <v>2</v>
      </c>
      <c r="J512" s="30" t="s">
        <v>210</v>
      </c>
      <c r="K512" s="24">
        <v>1</v>
      </c>
      <c r="L512" s="25">
        <v>22.4</v>
      </c>
      <c r="M512" s="26">
        <v>22.4</v>
      </c>
      <c r="N512" s="26">
        <v>44.8</v>
      </c>
    </row>
    <row r="513" spans="4:14">
      <c r="D513" s="21">
        <v>46102</v>
      </c>
      <c r="E513" s="22">
        <v>1588010</v>
      </c>
      <c r="F513" s="22" t="s">
        <v>20</v>
      </c>
      <c r="G513" s="22">
        <v>20330332</v>
      </c>
      <c r="H513" s="22" t="s">
        <v>349</v>
      </c>
      <c r="I513" s="22">
        <v>1</v>
      </c>
      <c r="J513" s="30" t="s">
        <v>210</v>
      </c>
      <c r="K513" s="24">
        <v>1</v>
      </c>
      <c r="L513" s="25">
        <v>22.4</v>
      </c>
      <c r="M513" s="26">
        <v>22.4</v>
      </c>
      <c r="N513" s="26">
        <v>22.4</v>
      </c>
    </row>
    <row r="514" spans="4:14">
      <c r="D514" s="21">
        <v>46102</v>
      </c>
      <c r="E514" s="22">
        <v>1588010</v>
      </c>
      <c r="F514" s="22" t="s">
        <v>20</v>
      </c>
      <c r="G514" s="22">
        <v>20324814</v>
      </c>
      <c r="H514" s="22" t="s">
        <v>305</v>
      </c>
      <c r="I514" s="22">
        <v>2</v>
      </c>
      <c r="J514" s="30" t="s">
        <v>210</v>
      </c>
      <c r="K514" s="24">
        <v>1</v>
      </c>
      <c r="L514" s="25">
        <v>22.4</v>
      </c>
      <c r="M514" s="26">
        <v>22.4</v>
      </c>
      <c r="N514" s="26">
        <v>44.8</v>
      </c>
    </row>
    <row r="515" spans="4:14">
      <c r="D515" s="21">
        <v>46102</v>
      </c>
      <c r="E515" s="22">
        <v>1588010</v>
      </c>
      <c r="F515" s="22" t="s">
        <v>20</v>
      </c>
      <c r="G515" s="22">
        <v>20324646</v>
      </c>
      <c r="H515" s="22" t="s">
        <v>350</v>
      </c>
      <c r="I515" s="22">
        <v>1</v>
      </c>
      <c r="J515" s="28" t="s">
        <v>295</v>
      </c>
      <c r="K515" s="24">
        <v>1</v>
      </c>
      <c r="L515" s="25">
        <v>20</v>
      </c>
      <c r="M515" s="26">
        <v>20</v>
      </c>
      <c r="N515" s="26">
        <v>20</v>
      </c>
    </row>
    <row r="516" spans="4:14">
      <c r="D516" s="21">
        <v>46102</v>
      </c>
      <c r="E516" s="22">
        <v>1588010</v>
      </c>
      <c r="F516" s="22" t="s">
        <v>20</v>
      </c>
      <c r="G516" s="22">
        <v>20330970</v>
      </c>
      <c r="H516" s="22" t="s">
        <v>451</v>
      </c>
      <c r="I516" s="22">
        <v>1</v>
      </c>
      <c r="J516" s="28" t="s">
        <v>37</v>
      </c>
      <c r="K516" s="24" t="s">
        <v>38</v>
      </c>
      <c r="L516" s="25">
        <v>132</v>
      </c>
      <c r="M516" s="26">
        <v>132</v>
      </c>
      <c r="N516" s="26">
        <v>132</v>
      </c>
    </row>
    <row r="517" spans="4:14">
      <c r="D517" s="68">
        <v>46102</v>
      </c>
      <c r="E517" s="69">
        <v>1588010</v>
      </c>
      <c r="F517" s="69" t="s">
        <v>30</v>
      </c>
      <c r="G517" s="70">
        <v>20324638</v>
      </c>
      <c r="H517" s="69" t="s">
        <v>306</v>
      </c>
      <c r="I517" s="70">
        <v>2</v>
      </c>
      <c r="J517" s="71" t="s">
        <v>307</v>
      </c>
      <c r="K517" s="24" t="s">
        <v>308</v>
      </c>
      <c r="L517" s="25">
        <v>22.4</v>
      </c>
      <c r="M517" s="25">
        <v>30.4</v>
      </c>
      <c r="N517" s="25">
        <f>M517*2</f>
        <v>60.8</v>
      </c>
    </row>
    <row r="518" spans="4:14">
      <c r="D518" s="72"/>
      <c r="E518" s="73"/>
      <c r="F518" s="73"/>
      <c r="G518" s="74"/>
      <c r="H518" s="73"/>
      <c r="I518" s="74"/>
      <c r="J518" s="75" t="s">
        <v>309</v>
      </c>
      <c r="K518" s="24" t="s">
        <v>308</v>
      </c>
      <c r="L518" s="25">
        <v>8</v>
      </c>
      <c r="M518" s="25"/>
      <c r="N518" s="25"/>
    </row>
    <row r="519" spans="4:14">
      <c r="D519" s="21">
        <v>46102</v>
      </c>
      <c r="E519" s="22">
        <v>1588010</v>
      </c>
      <c r="F519" s="22" t="s">
        <v>20</v>
      </c>
      <c r="G519" s="22">
        <v>20337916</v>
      </c>
      <c r="H519" s="22" t="s">
        <v>377</v>
      </c>
      <c r="I519" s="22">
        <v>1</v>
      </c>
      <c r="J519" s="28" t="s">
        <v>28</v>
      </c>
      <c r="K519" s="24">
        <v>1</v>
      </c>
      <c r="L519" s="25">
        <v>17.6</v>
      </c>
      <c r="M519" s="26">
        <v>52.8</v>
      </c>
      <c r="N519" s="26">
        <v>52.8</v>
      </c>
    </row>
    <row r="520" spans="4:14">
      <c r="D520" s="21"/>
      <c r="E520" s="22"/>
      <c r="F520" s="22"/>
      <c r="G520" s="22"/>
      <c r="H520" s="22"/>
      <c r="I520" s="22"/>
      <c r="J520" s="28" t="s">
        <v>28</v>
      </c>
      <c r="K520" s="24">
        <v>1</v>
      </c>
      <c r="L520" s="25">
        <v>17.6</v>
      </c>
      <c r="M520" s="26"/>
      <c r="N520" s="26"/>
    </row>
    <row r="521" spans="4:14">
      <c r="D521" s="21"/>
      <c r="E521" s="22"/>
      <c r="F521" s="22"/>
      <c r="G521" s="22"/>
      <c r="H521" s="22"/>
      <c r="I521" s="22"/>
      <c r="J521" s="28" t="s">
        <v>28</v>
      </c>
      <c r="K521" s="24">
        <v>1</v>
      </c>
      <c r="L521" s="25">
        <v>17.6</v>
      </c>
      <c r="M521" s="26"/>
      <c r="N521" s="26"/>
    </row>
    <row r="522" spans="4:14">
      <c r="D522" s="21">
        <v>46102</v>
      </c>
      <c r="E522" s="22">
        <v>1588062</v>
      </c>
      <c r="F522" s="22" t="s">
        <v>16</v>
      </c>
      <c r="G522" s="22">
        <v>20324028</v>
      </c>
      <c r="H522" s="22" t="s">
        <v>386</v>
      </c>
      <c r="I522" s="22">
        <v>1</v>
      </c>
      <c r="J522" s="28" t="s">
        <v>18</v>
      </c>
      <c r="K522" s="24">
        <f>M522/L522</f>
        <v>42</v>
      </c>
      <c r="L522" s="25">
        <v>4.4</v>
      </c>
      <c r="M522" s="26">
        <v>184.8</v>
      </c>
      <c r="N522" s="26">
        <v>184.8</v>
      </c>
    </row>
    <row r="523" spans="4:14">
      <c r="D523" s="21">
        <v>46102</v>
      </c>
      <c r="E523" s="22">
        <v>1588062</v>
      </c>
      <c r="F523" s="22" t="s">
        <v>30</v>
      </c>
      <c r="G523" s="22">
        <v>20324739</v>
      </c>
      <c r="H523" s="22" t="s">
        <v>435</v>
      </c>
      <c r="I523" s="22">
        <v>2</v>
      </c>
      <c r="J523" s="28" t="s">
        <v>18</v>
      </c>
      <c r="K523" s="24">
        <f>M523/L523</f>
        <v>6</v>
      </c>
      <c r="L523" s="25">
        <v>4.4</v>
      </c>
      <c r="M523" s="26">
        <v>26.4</v>
      </c>
      <c r="N523" s="26">
        <v>52.8</v>
      </c>
    </row>
    <row r="524" spans="4:14">
      <c r="D524" s="21">
        <v>46102</v>
      </c>
      <c r="E524" s="22">
        <v>1588062</v>
      </c>
      <c r="F524" s="22" t="s">
        <v>20</v>
      </c>
      <c r="G524" s="22">
        <v>20330458</v>
      </c>
      <c r="H524" s="22" t="s">
        <v>341</v>
      </c>
      <c r="I524" s="22">
        <v>1</v>
      </c>
      <c r="J524" s="28" t="s">
        <v>18</v>
      </c>
      <c r="K524" s="24">
        <f t="shared" ref="K524:K527" si="32">M524/L524</f>
        <v>5</v>
      </c>
      <c r="L524" s="25">
        <v>4.4</v>
      </c>
      <c r="M524" s="26">
        <v>22</v>
      </c>
      <c r="N524" s="26">
        <v>22</v>
      </c>
    </row>
    <row r="525" spans="4:14">
      <c r="D525" s="21">
        <v>46102</v>
      </c>
      <c r="E525" s="22">
        <v>1588062</v>
      </c>
      <c r="F525" s="22" t="s">
        <v>20</v>
      </c>
      <c r="G525" s="22">
        <v>20324699</v>
      </c>
      <c r="H525" s="22" t="s">
        <v>283</v>
      </c>
      <c r="I525" s="22">
        <v>1</v>
      </c>
      <c r="J525" s="28" t="s">
        <v>18</v>
      </c>
      <c r="K525" s="24">
        <f t="shared" si="32"/>
        <v>5</v>
      </c>
      <c r="L525" s="25">
        <v>4.4</v>
      </c>
      <c r="M525" s="26">
        <v>22</v>
      </c>
      <c r="N525" s="26">
        <v>22</v>
      </c>
    </row>
    <row r="526" spans="4:14">
      <c r="D526" s="21">
        <v>46103</v>
      </c>
      <c r="E526" s="22">
        <v>1588169</v>
      </c>
      <c r="F526" s="22" t="s">
        <v>16</v>
      </c>
      <c r="G526" s="22">
        <v>20324463</v>
      </c>
      <c r="H526" s="22" t="s">
        <v>289</v>
      </c>
      <c r="I526" s="22">
        <v>1</v>
      </c>
      <c r="J526" s="28" t="s">
        <v>18</v>
      </c>
      <c r="K526" s="24">
        <f t="shared" si="32"/>
        <v>35</v>
      </c>
      <c r="L526" s="25">
        <v>4.4</v>
      </c>
      <c r="M526" s="26">
        <v>154</v>
      </c>
      <c r="N526" s="26">
        <v>154</v>
      </c>
    </row>
    <row r="527" spans="4:14">
      <c r="D527" s="21">
        <v>46103</v>
      </c>
      <c r="E527" s="22">
        <v>1588169</v>
      </c>
      <c r="F527" s="22" t="s">
        <v>20</v>
      </c>
      <c r="G527" s="22">
        <v>20324699</v>
      </c>
      <c r="H527" s="22" t="s">
        <v>283</v>
      </c>
      <c r="I527" s="22">
        <v>1</v>
      </c>
      <c r="J527" s="28" t="s">
        <v>18</v>
      </c>
      <c r="K527" s="24">
        <f t="shared" si="32"/>
        <v>5</v>
      </c>
      <c r="L527" s="25">
        <v>4.4</v>
      </c>
      <c r="M527" s="26">
        <v>22</v>
      </c>
      <c r="N527" s="26">
        <v>22</v>
      </c>
    </row>
    <row r="528" spans="4:14">
      <c r="D528" s="21">
        <v>46103</v>
      </c>
      <c r="E528" s="22">
        <v>1588171</v>
      </c>
      <c r="F528" s="22" t="s">
        <v>20</v>
      </c>
      <c r="G528" s="22">
        <v>20328267</v>
      </c>
      <c r="H528" s="22" t="s">
        <v>353</v>
      </c>
      <c r="I528" s="22">
        <v>1</v>
      </c>
      <c r="J528" s="30" t="s">
        <v>210</v>
      </c>
      <c r="K528" s="24">
        <v>1</v>
      </c>
      <c r="L528" s="25">
        <v>22.4</v>
      </c>
      <c r="M528" s="26">
        <v>22.4</v>
      </c>
      <c r="N528" s="26">
        <v>22.4</v>
      </c>
    </row>
    <row r="529" spans="4:14">
      <c r="D529" s="21">
        <v>46103</v>
      </c>
      <c r="E529" s="22">
        <v>1588171</v>
      </c>
      <c r="F529" s="22" t="s">
        <v>20</v>
      </c>
      <c r="G529" s="22">
        <v>20357239</v>
      </c>
      <c r="H529" s="22" t="s">
        <v>354</v>
      </c>
      <c r="I529" s="22">
        <v>1</v>
      </c>
      <c r="J529" s="30" t="s">
        <v>205</v>
      </c>
      <c r="K529" s="24">
        <v>1</v>
      </c>
      <c r="L529" s="25">
        <v>28</v>
      </c>
      <c r="M529" s="26">
        <v>28</v>
      </c>
      <c r="N529" s="26">
        <v>28</v>
      </c>
    </row>
    <row r="530" spans="4:14">
      <c r="D530" s="21">
        <v>46103</v>
      </c>
      <c r="E530" s="22">
        <v>1588171</v>
      </c>
      <c r="F530" s="22" t="s">
        <v>20</v>
      </c>
      <c r="G530" s="22">
        <v>20337525</v>
      </c>
      <c r="H530" s="22" t="s">
        <v>452</v>
      </c>
      <c r="I530" s="22">
        <v>1</v>
      </c>
      <c r="J530" s="30" t="s">
        <v>210</v>
      </c>
      <c r="K530" s="24">
        <v>1</v>
      </c>
      <c r="L530" s="25">
        <v>22.4</v>
      </c>
      <c r="M530" s="26">
        <v>22.4</v>
      </c>
      <c r="N530" s="26">
        <v>22.4</v>
      </c>
    </row>
    <row r="531" spans="4:14">
      <c r="D531" s="21">
        <v>46103</v>
      </c>
      <c r="E531" s="22">
        <v>1588171</v>
      </c>
      <c r="F531" s="22" t="s">
        <v>20</v>
      </c>
      <c r="G531" s="22">
        <v>20345154</v>
      </c>
      <c r="H531" s="22" t="s">
        <v>357</v>
      </c>
      <c r="I531" s="22">
        <v>1</v>
      </c>
      <c r="J531" s="30" t="s">
        <v>210</v>
      </c>
      <c r="K531" s="24">
        <v>1</v>
      </c>
      <c r="L531" s="25">
        <v>22.4</v>
      </c>
      <c r="M531" s="26">
        <v>22.4</v>
      </c>
      <c r="N531" s="26">
        <v>22.4</v>
      </c>
    </row>
    <row r="532" spans="4:14">
      <c r="D532" s="21">
        <v>46103</v>
      </c>
      <c r="E532" s="22">
        <v>1588171</v>
      </c>
      <c r="F532" s="22" t="s">
        <v>20</v>
      </c>
      <c r="G532" s="22">
        <v>20382055</v>
      </c>
      <c r="H532" s="22" t="s">
        <v>330</v>
      </c>
      <c r="I532" s="22">
        <v>1</v>
      </c>
      <c r="J532" s="28" t="s">
        <v>28</v>
      </c>
      <c r="K532" s="24">
        <v>1</v>
      </c>
      <c r="L532" s="25">
        <v>17.6</v>
      </c>
      <c r="M532" s="26">
        <v>17.6</v>
      </c>
      <c r="N532" s="26">
        <v>17.6</v>
      </c>
    </row>
    <row r="533" spans="4:14">
      <c r="D533" s="21">
        <v>46103</v>
      </c>
      <c r="E533" s="22">
        <v>1588171</v>
      </c>
      <c r="F533" s="22" t="s">
        <v>20</v>
      </c>
      <c r="G533" s="22">
        <v>20328266</v>
      </c>
      <c r="H533" s="22" t="s">
        <v>358</v>
      </c>
      <c r="I533" s="22">
        <v>1</v>
      </c>
      <c r="J533" s="30" t="s">
        <v>205</v>
      </c>
      <c r="K533" s="24">
        <v>1</v>
      </c>
      <c r="L533" s="25">
        <v>28</v>
      </c>
      <c r="M533" s="26">
        <v>28</v>
      </c>
      <c r="N533" s="26">
        <v>28</v>
      </c>
    </row>
    <row r="534" spans="4:14">
      <c r="D534" s="21">
        <v>46103</v>
      </c>
      <c r="E534" s="22">
        <v>1588171</v>
      </c>
      <c r="F534" s="22" t="s">
        <v>20</v>
      </c>
      <c r="G534" s="22">
        <v>20338703</v>
      </c>
      <c r="H534" s="22" t="s">
        <v>361</v>
      </c>
      <c r="I534" s="22">
        <v>2</v>
      </c>
      <c r="J534" s="30" t="s">
        <v>210</v>
      </c>
      <c r="K534" s="24">
        <v>1</v>
      </c>
      <c r="L534" s="25">
        <v>22.4</v>
      </c>
      <c r="M534" s="26">
        <v>22.4</v>
      </c>
      <c r="N534" s="26">
        <v>44.8</v>
      </c>
    </row>
    <row r="535" spans="4:14">
      <c r="D535" s="21">
        <v>46103</v>
      </c>
      <c r="E535" s="22">
        <v>1588171</v>
      </c>
      <c r="F535" s="22" t="s">
        <v>20</v>
      </c>
      <c r="G535" s="22">
        <v>20398299</v>
      </c>
      <c r="H535" s="22" t="s">
        <v>453</v>
      </c>
      <c r="I535" s="22">
        <v>1</v>
      </c>
      <c r="J535" s="30" t="s">
        <v>210</v>
      </c>
      <c r="K535" s="24">
        <v>1</v>
      </c>
      <c r="L535" s="25">
        <v>22.4</v>
      </c>
      <c r="M535" s="26">
        <v>22.4</v>
      </c>
      <c r="N535" s="26">
        <v>22.4</v>
      </c>
    </row>
    <row r="536" spans="4:14">
      <c r="D536" s="21">
        <v>46104</v>
      </c>
      <c r="E536" s="22">
        <v>1588483</v>
      </c>
      <c r="F536" s="22" t="s">
        <v>16</v>
      </c>
      <c r="G536" s="22">
        <v>20324463</v>
      </c>
      <c r="H536" s="22" t="s">
        <v>289</v>
      </c>
      <c r="I536" s="22">
        <v>2</v>
      </c>
      <c r="J536" s="28" t="s">
        <v>18</v>
      </c>
      <c r="K536" s="24">
        <f t="shared" ref="K536:K539" si="33">M536/L536</f>
        <v>35</v>
      </c>
      <c r="L536" s="25">
        <v>4.4</v>
      </c>
      <c r="M536" s="26">
        <v>154</v>
      </c>
      <c r="N536" s="26">
        <v>308</v>
      </c>
    </row>
    <row r="537" spans="4:14">
      <c r="D537" s="21">
        <v>46104</v>
      </c>
      <c r="E537" s="22">
        <v>1588483</v>
      </c>
      <c r="F537" s="22" t="s">
        <v>16</v>
      </c>
      <c r="G537" s="22">
        <v>20324039</v>
      </c>
      <c r="H537" s="22" t="s">
        <v>338</v>
      </c>
      <c r="I537" s="22">
        <v>1</v>
      </c>
      <c r="J537" s="28" t="s">
        <v>18</v>
      </c>
      <c r="K537" s="24">
        <f t="shared" si="33"/>
        <v>37</v>
      </c>
      <c r="L537" s="25">
        <v>4.4</v>
      </c>
      <c r="M537" s="26">
        <v>162.8</v>
      </c>
      <c r="N537" s="26">
        <v>162.8</v>
      </c>
    </row>
    <row r="538" spans="4:14">
      <c r="D538" s="21">
        <v>46104</v>
      </c>
      <c r="E538" s="22">
        <v>1588483</v>
      </c>
      <c r="F538" s="22" t="s">
        <v>16</v>
      </c>
      <c r="G538" s="22">
        <v>20324028</v>
      </c>
      <c r="H538" s="22" t="s">
        <v>386</v>
      </c>
      <c r="I538" s="22">
        <v>1</v>
      </c>
      <c r="J538" s="28" t="s">
        <v>18</v>
      </c>
      <c r="K538" s="24">
        <f t="shared" si="33"/>
        <v>42</v>
      </c>
      <c r="L538" s="25">
        <v>4.4</v>
      </c>
      <c r="M538" s="26">
        <v>184.8</v>
      </c>
      <c r="N538" s="26">
        <v>184.8</v>
      </c>
    </row>
    <row r="539" spans="4:14">
      <c r="D539" s="21">
        <v>46104</v>
      </c>
      <c r="E539" s="22">
        <v>1588483</v>
      </c>
      <c r="F539" s="22" t="s">
        <v>16</v>
      </c>
      <c r="G539" s="22">
        <v>20336544</v>
      </c>
      <c r="H539" s="22" t="s">
        <v>384</v>
      </c>
      <c r="I539" s="22">
        <v>1</v>
      </c>
      <c r="J539" s="28" t="s">
        <v>18</v>
      </c>
      <c r="K539" s="24">
        <f t="shared" si="33"/>
        <v>19</v>
      </c>
      <c r="L539" s="25">
        <v>4.4</v>
      </c>
      <c r="M539" s="26">
        <v>83.6</v>
      </c>
      <c r="N539" s="26">
        <v>83.6</v>
      </c>
    </row>
    <row r="540" spans="4:14">
      <c r="D540" s="21">
        <v>46104</v>
      </c>
      <c r="E540" s="22">
        <v>1588483</v>
      </c>
      <c r="F540" s="22" t="s">
        <v>30</v>
      </c>
      <c r="G540" s="22">
        <v>20384646</v>
      </c>
      <c r="H540" s="22" t="s">
        <v>441</v>
      </c>
      <c r="I540" s="22">
        <v>1</v>
      </c>
      <c r="J540" s="28" t="s">
        <v>18</v>
      </c>
      <c r="K540" s="24">
        <f t="shared" ref="K540:K545" si="34">M540/L540</f>
        <v>5</v>
      </c>
      <c r="L540" s="25">
        <v>4.4</v>
      </c>
      <c r="M540" s="26">
        <v>22</v>
      </c>
      <c r="N540" s="26">
        <v>22</v>
      </c>
    </row>
    <row r="541" spans="4:14">
      <c r="D541" s="21">
        <v>46104</v>
      </c>
      <c r="E541" s="22">
        <v>1588483</v>
      </c>
      <c r="F541" s="22" t="s">
        <v>20</v>
      </c>
      <c r="G541" s="22">
        <v>20325760</v>
      </c>
      <c r="H541" s="22" t="s">
        <v>433</v>
      </c>
      <c r="I541" s="22">
        <v>1</v>
      </c>
      <c r="J541" s="27" t="s">
        <v>145</v>
      </c>
      <c r="K541" s="24">
        <f t="shared" si="34"/>
        <v>4</v>
      </c>
      <c r="L541" s="25">
        <v>4.4</v>
      </c>
      <c r="M541" s="26">
        <v>17.6</v>
      </c>
      <c r="N541" s="26">
        <v>17.6</v>
      </c>
    </row>
    <row r="542" spans="4:14">
      <c r="D542" s="21">
        <v>46104</v>
      </c>
      <c r="E542" s="22">
        <v>1588483</v>
      </c>
      <c r="F542" s="22" t="s">
        <v>20</v>
      </c>
      <c r="G542" s="22">
        <v>20325240</v>
      </c>
      <c r="H542" s="22" t="s">
        <v>454</v>
      </c>
      <c r="I542" s="22">
        <v>1</v>
      </c>
      <c r="J542" s="27" t="s">
        <v>25</v>
      </c>
      <c r="K542" s="24">
        <v>1</v>
      </c>
      <c r="L542" s="25">
        <v>8.8</v>
      </c>
      <c r="M542" s="26">
        <v>8.8</v>
      </c>
      <c r="N542" s="26">
        <v>8.8</v>
      </c>
    </row>
    <row r="543" spans="4:14">
      <c r="D543" s="21">
        <v>46104</v>
      </c>
      <c r="E543" s="22">
        <v>1588483</v>
      </c>
      <c r="F543" s="22" t="s">
        <v>20</v>
      </c>
      <c r="G543" s="22">
        <v>20324800</v>
      </c>
      <c r="H543" s="22" t="s">
        <v>315</v>
      </c>
      <c r="I543" s="22">
        <v>1</v>
      </c>
      <c r="J543" s="23" t="s">
        <v>22</v>
      </c>
      <c r="K543" s="24">
        <v>1</v>
      </c>
      <c r="L543" s="25">
        <v>6.4</v>
      </c>
      <c r="M543" s="26">
        <v>6.4</v>
      </c>
      <c r="N543" s="26">
        <v>6.4</v>
      </c>
    </row>
    <row r="544" spans="4:14">
      <c r="D544" s="21">
        <v>46104</v>
      </c>
      <c r="E544" s="22">
        <v>1588483</v>
      </c>
      <c r="F544" s="22" t="s">
        <v>20</v>
      </c>
      <c r="G544" s="22">
        <v>20324367</v>
      </c>
      <c r="H544" s="22" t="s">
        <v>146</v>
      </c>
      <c r="I544" s="22">
        <v>1</v>
      </c>
      <c r="J544" s="23" t="s">
        <v>22</v>
      </c>
      <c r="K544" s="24">
        <v>1</v>
      </c>
      <c r="L544" s="25">
        <v>6.4</v>
      </c>
      <c r="M544" s="26">
        <v>6.4</v>
      </c>
      <c r="N544" s="26">
        <v>6.4</v>
      </c>
    </row>
    <row r="545" spans="4:14">
      <c r="D545" s="21">
        <v>46104</v>
      </c>
      <c r="E545" s="22">
        <v>1588483</v>
      </c>
      <c r="F545" s="22" t="s">
        <v>20</v>
      </c>
      <c r="G545" s="22">
        <v>20327775</v>
      </c>
      <c r="H545" s="22" t="s">
        <v>447</v>
      </c>
      <c r="I545" s="22">
        <v>1</v>
      </c>
      <c r="J545" s="28" t="s">
        <v>18</v>
      </c>
      <c r="K545" s="24">
        <f t="shared" si="34"/>
        <v>10</v>
      </c>
      <c r="L545" s="25">
        <v>4.4</v>
      </c>
      <c r="M545" s="26">
        <v>44</v>
      </c>
      <c r="N545" s="26">
        <v>44</v>
      </c>
    </row>
    <row r="546" spans="4:14">
      <c r="D546" s="21">
        <v>46104</v>
      </c>
      <c r="E546" s="22">
        <v>1588483</v>
      </c>
      <c r="F546" s="22" t="s">
        <v>20</v>
      </c>
      <c r="G546" s="22">
        <v>20345626</v>
      </c>
      <c r="H546" s="22" t="s">
        <v>434</v>
      </c>
      <c r="I546" s="22">
        <v>1</v>
      </c>
      <c r="J546" s="28" t="s">
        <v>18</v>
      </c>
      <c r="K546" s="24">
        <f t="shared" ref="K546:K550" si="35">M546/L546</f>
        <v>3</v>
      </c>
      <c r="L546" s="25">
        <v>4.4</v>
      </c>
      <c r="M546" s="26">
        <v>13.2</v>
      </c>
      <c r="N546" s="26">
        <v>13.2</v>
      </c>
    </row>
    <row r="547" spans="4:14">
      <c r="D547" s="21">
        <v>46104</v>
      </c>
      <c r="E547" s="22">
        <v>1588483</v>
      </c>
      <c r="F547" s="22" t="s">
        <v>20</v>
      </c>
      <c r="G547" s="22">
        <v>20329152</v>
      </c>
      <c r="H547" s="22" t="s">
        <v>352</v>
      </c>
      <c r="I547" s="22">
        <v>1</v>
      </c>
      <c r="J547" s="28" t="s">
        <v>18</v>
      </c>
      <c r="K547" s="24">
        <f t="shared" si="35"/>
        <v>11</v>
      </c>
      <c r="L547" s="25">
        <v>4.4</v>
      </c>
      <c r="M547" s="26">
        <v>48.4</v>
      </c>
      <c r="N547" s="26">
        <v>48.4</v>
      </c>
    </row>
    <row r="548" spans="4:14">
      <c r="D548" s="21">
        <v>46104</v>
      </c>
      <c r="E548" s="22">
        <v>1588483</v>
      </c>
      <c r="F548" s="22" t="s">
        <v>20</v>
      </c>
      <c r="G548" s="22">
        <v>20324711</v>
      </c>
      <c r="H548" s="22" t="s">
        <v>389</v>
      </c>
      <c r="I548" s="22">
        <v>1</v>
      </c>
      <c r="J548" s="28" t="s">
        <v>18</v>
      </c>
      <c r="K548" s="24">
        <f t="shared" si="35"/>
        <v>14</v>
      </c>
      <c r="L548" s="25">
        <v>4.4</v>
      </c>
      <c r="M548" s="26">
        <v>61.6</v>
      </c>
      <c r="N548" s="26">
        <v>61.6</v>
      </c>
    </row>
    <row r="549" spans="4:14">
      <c r="D549" s="21">
        <v>46104</v>
      </c>
      <c r="E549" s="22">
        <v>1588483</v>
      </c>
      <c r="F549" s="22" t="s">
        <v>20</v>
      </c>
      <c r="G549" s="22">
        <v>20324699</v>
      </c>
      <c r="H549" s="22" t="s">
        <v>283</v>
      </c>
      <c r="I549" s="22">
        <v>7</v>
      </c>
      <c r="J549" s="28" t="s">
        <v>18</v>
      </c>
      <c r="K549" s="24">
        <f t="shared" si="35"/>
        <v>5</v>
      </c>
      <c r="L549" s="25">
        <v>4.4</v>
      </c>
      <c r="M549" s="26">
        <v>22</v>
      </c>
      <c r="N549" s="26">
        <v>154</v>
      </c>
    </row>
    <row r="550" spans="4:14">
      <c r="D550" s="21">
        <v>46104</v>
      </c>
      <c r="E550" s="22">
        <v>1588483</v>
      </c>
      <c r="F550" s="22" t="s">
        <v>20</v>
      </c>
      <c r="G550" s="22">
        <v>20325205</v>
      </c>
      <c r="H550" s="22" t="s">
        <v>455</v>
      </c>
      <c r="I550" s="22">
        <v>1</v>
      </c>
      <c r="J550" s="28" t="s">
        <v>18</v>
      </c>
      <c r="K550" s="24">
        <f t="shared" si="35"/>
        <v>6</v>
      </c>
      <c r="L550" s="25">
        <v>4.4</v>
      </c>
      <c r="M550" s="26">
        <v>26.4</v>
      </c>
      <c r="N550" s="26">
        <v>26.4</v>
      </c>
    </row>
    <row r="551" spans="4:14">
      <c r="D551" s="21">
        <v>46105</v>
      </c>
      <c r="E551" s="22">
        <v>1588550</v>
      </c>
      <c r="F551" s="22" t="s">
        <v>20</v>
      </c>
      <c r="G551" s="22">
        <v>20324643</v>
      </c>
      <c r="H551" s="22" t="s">
        <v>343</v>
      </c>
      <c r="I551" s="22">
        <v>2</v>
      </c>
      <c r="J551" s="30" t="s">
        <v>210</v>
      </c>
      <c r="K551" s="24">
        <v>1</v>
      </c>
      <c r="L551" s="25">
        <v>22.4</v>
      </c>
      <c r="M551" s="26">
        <v>22.4</v>
      </c>
      <c r="N551" s="26">
        <v>44.8</v>
      </c>
    </row>
    <row r="552" spans="4:14">
      <c r="D552" s="21">
        <v>46105</v>
      </c>
      <c r="E552" s="22">
        <v>1588550</v>
      </c>
      <c r="F552" s="22" t="s">
        <v>20</v>
      </c>
      <c r="G552" s="22">
        <v>20324637</v>
      </c>
      <c r="H552" s="22" t="s">
        <v>291</v>
      </c>
      <c r="I552" s="22">
        <v>1</v>
      </c>
      <c r="J552" s="30" t="s">
        <v>205</v>
      </c>
      <c r="K552" s="24">
        <v>1</v>
      </c>
      <c r="L552" s="25">
        <v>28</v>
      </c>
      <c r="M552" s="26">
        <v>28</v>
      </c>
      <c r="N552" s="26">
        <v>28</v>
      </c>
    </row>
    <row r="553" spans="4:14">
      <c r="D553" s="21">
        <v>46105</v>
      </c>
      <c r="E553" s="22">
        <v>1588550</v>
      </c>
      <c r="F553" s="22" t="s">
        <v>20</v>
      </c>
      <c r="G553" s="22">
        <v>20330449</v>
      </c>
      <c r="H553" s="22" t="s">
        <v>292</v>
      </c>
      <c r="I553" s="22">
        <v>1</v>
      </c>
      <c r="J553" s="30" t="s">
        <v>210</v>
      </c>
      <c r="K553" s="24">
        <v>1</v>
      </c>
      <c r="L553" s="25">
        <v>22.4</v>
      </c>
      <c r="M553" s="26">
        <v>22.4</v>
      </c>
      <c r="N553" s="26">
        <v>22.4</v>
      </c>
    </row>
    <row r="554" spans="4:14">
      <c r="D554" s="21">
        <v>46105</v>
      </c>
      <c r="E554" s="22">
        <v>1588550</v>
      </c>
      <c r="F554" s="22" t="s">
        <v>20</v>
      </c>
      <c r="G554" s="22">
        <v>20329253</v>
      </c>
      <c r="H554" s="22" t="s">
        <v>320</v>
      </c>
      <c r="I554" s="22">
        <v>1</v>
      </c>
      <c r="J554" s="28" t="s">
        <v>28</v>
      </c>
      <c r="K554" s="24">
        <v>1</v>
      </c>
      <c r="L554" s="25">
        <v>17.6</v>
      </c>
      <c r="M554" s="26">
        <v>17.6</v>
      </c>
      <c r="N554" s="26">
        <v>17.6</v>
      </c>
    </row>
    <row r="555" spans="4:14">
      <c r="D555" s="21">
        <v>46105</v>
      </c>
      <c r="E555" s="22">
        <v>1588550</v>
      </c>
      <c r="F555" s="22" t="s">
        <v>20</v>
      </c>
      <c r="G555" s="22">
        <v>20324822</v>
      </c>
      <c r="H555" s="22" t="s">
        <v>321</v>
      </c>
      <c r="I555" s="22">
        <v>1</v>
      </c>
      <c r="J555" s="30" t="s">
        <v>205</v>
      </c>
      <c r="K555" s="24">
        <v>1</v>
      </c>
      <c r="L555" s="25">
        <v>28</v>
      </c>
      <c r="M555" s="26">
        <v>28</v>
      </c>
      <c r="N555" s="26">
        <v>28</v>
      </c>
    </row>
    <row r="556" spans="4:14">
      <c r="D556" s="21">
        <v>46105</v>
      </c>
      <c r="E556" s="22">
        <v>1588550</v>
      </c>
      <c r="F556" s="22" t="s">
        <v>20</v>
      </c>
      <c r="G556" s="22">
        <v>20325443</v>
      </c>
      <c r="H556" s="22" t="s">
        <v>345</v>
      </c>
      <c r="I556" s="22">
        <v>1</v>
      </c>
      <c r="J556" s="30" t="s">
        <v>205</v>
      </c>
      <c r="K556" s="24">
        <v>1</v>
      </c>
      <c r="L556" s="25">
        <v>28</v>
      </c>
      <c r="M556" s="26">
        <v>28</v>
      </c>
      <c r="N556" s="26">
        <v>28</v>
      </c>
    </row>
    <row r="557" spans="4:14">
      <c r="D557" s="21">
        <v>46105</v>
      </c>
      <c r="E557" s="22">
        <v>1588550</v>
      </c>
      <c r="F557" s="22" t="s">
        <v>20</v>
      </c>
      <c r="G557" s="22">
        <v>20324645</v>
      </c>
      <c r="H557" s="22" t="s">
        <v>346</v>
      </c>
      <c r="I557" s="22">
        <v>2</v>
      </c>
      <c r="J557" s="30" t="s">
        <v>210</v>
      </c>
      <c r="K557" s="24">
        <v>1</v>
      </c>
      <c r="L557" s="25">
        <v>22.4</v>
      </c>
      <c r="M557" s="26">
        <v>22.4</v>
      </c>
      <c r="N557" s="26">
        <v>44.8</v>
      </c>
    </row>
    <row r="558" spans="4:14">
      <c r="D558" s="21">
        <v>46105</v>
      </c>
      <c r="E558" s="22">
        <v>1588550</v>
      </c>
      <c r="F558" s="22" t="s">
        <v>20</v>
      </c>
      <c r="G558" s="22">
        <v>20324636</v>
      </c>
      <c r="H558" s="22" t="s">
        <v>347</v>
      </c>
      <c r="I558" s="22">
        <v>2</v>
      </c>
      <c r="J558" s="30" t="s">
        <v>205</v>
      </c>
      <c r="K558" s="24">
        <v>1</v>
      </c>
      <c r="L558" s="25">
        <v>28</v>
      </c>
      <c r="M558" s="26">
        <v>28</v>
      </c>
      <c r="N558" s="26">
        <v>56</v>
      </c>
    </row>
    <row r="559" spans="4:14">
      <c r="D559" s="21">
        <v>46105</v>
      </c>
      <c r="E559" s="22">
        <v>1588550</v>
      </c>
      <c r="F559" s="22" t="s">
        <v>20</v>
      </c>
      <c r="G559" s="22">
        <v>20324642</v>
      </c>
      <c r="H559" s="22" t="s">
        <v>348</v>
      </c>
      <c r="I559" s="22">
        <v>2</v>
      </c>
      <c r="J559" s="28" t="s">
        <v>28</v>
      </c>
      <c r="K559" s="24">
        <v>1</v>
      </c>
      <c r="L559" s="25">
        <v>17.6</v>
      </c>
      <c r="M559" s="26">
        <v>17.6</v>
      </c>
      <c r="N559" s="26">
        <v>35.2</v>
      </c>
    </row>
    <row r="560" spans="4:14">
      <c r="D560" s="21">
        <v>46105</v>
      </c>
      <c r="E560" s="22">
        <v>1588550</v>
      </c>
      <c r="F560" s="22" t="s">
        <v>20</v>
      </c>
      <c r="G560" s="22">
        <v>20324732</v>
      </c>
      <c r="H560" s="22" t="s">
        <v>300</v>
      </c>
      <c r="I560" s="22">
        <v>2</v>
      </c>
      <c r="J560" s="30" t="s">
        <v>210</v>
      </c>
      <c r="K560" s="24">
        <v>1</v>
      </c>
      <c r="L560" s="25">
        <v>22.4</v>
      </c>
      <c r="M560" s="26">
        <v>22.4</v>
      </c>
      <c r="N560" s="26">
        <v>44.8</v>
      </c>
    </row>
    <row r="561" spans="4:14">
      <c r="D561" s="21">
        <v>46105</v>
      </c>
      <c r="E561" s="22">
        <v>1588550</v>
      </c>
      <c r="F561" s="22" t="s">
        <v>20</v>
      </c>
      <c r="G561" s="22">
        <v>20324644</v>
      </c>
      <c r="H561" s="22" t="s">
        <v>304</v>
      </c>
      <c r="I561" s="22">
        <v>2</v>
      </c>
      <c r="J561" s="30" t="s">
        <v>210</v>
      </c>
      <c r="K561" s="24">
        <v>1</v>
      </c>
      <c r="L561" s="25">
        <v>22.4</v>
      </c>
      <c r="M561" s="26">
        <v>22.4</v>
      </c>
      <c r="N561" s="26">
        <v>44.8</v>
      </c>
    </row>
    <row r="562" spans="4:14">
      <c r="D562" s="21">
        <v>46105</v>
      </c>
      <c r="E562" s="22">
        <v>1588550</v>
      </c>
      <c r="F562" s="22" t="s">
        <v>20</v>
      </c>
      <c r="G562" s="22">
        <v>20324814</v>
      </c>
      <c r="H562" s="22" t="s">
        <v>305</v>
      </c>
      <c r="I562" s="22">
        <v>3</v>
      </c>
      <c r="J562" s="30" t="s">
        <v>210</v>
      </c>
      <c r="K562" s="24">
        <v>1</v>
      </c>
      <c r="L562" s="25">
        <v>22.4</v>
      </c>
      <c r="M562" s="26">
        <v>22.4</v>
      </c>
      <c r="N562" s="26">
        <v>67.2</v>
      </c>
    </row>
    <row r="563" spans="4:14">
      <c r="D563" s="21">
        <v>46105</v>
      </c>
      <c r="E563" s="22">
        <v>1588550</v>
      </c>
      <c r="F563" s="22" t="s">
        <v>20</v>
      </c>
      <c r="G563" s="22">
        <v>20324646</v>
      </c>
      <c r="H563" s="22" t="s">
        <v>350</v>
      </c>
      <c r="I563" s="22">
        <v>2</v>
      </c>
      <c r="J563" s="28" t="s">
        <v>295</v>
      </c>
      <c r="K563" s="24">
        <v>1</v>
      </c>
      <c r="L563" s="25">
        <v>20</v>
      </c>
      <c r="M563" s="26">
        <v>20</v>
      </c>
      <c r="N563" s="26">
        <v>40</v>
      </c>
    </row>
    <row r="564" spans="4:14">
      <c r="D564" s="68">
        <v>46105</v>
      </c>
      <c r="E564" s="69">
        <v>1588550</v>
      </c>
      <c r="F564" s="69" t="s">
        <v>30</v>
      </c>
      <c r="G564" s="70">
        <v>20324638</v>
      </c>
      <c r="H564" s="69" t="s">
        <v>306</v>
      </c>
      <c r="I564" s="70">
        <v>2</v>
      </c>
      <c r="J564" s="71" t="s">
        <v>307</v>
      </c>
      <c r="K564" s="24" t="s">
        <v>308</v>
      </c>
      <c r="L564" s="25">
        <v>22.4</v>
      </c>
      <c r="M564" s="25">
        <f>L564+L565</f>
        <v>30.4</v>
      </c>
      <c r="N564" s="25">
        <f>30.4*2</f>
        <v>60.8</v>
      </c>
    </row>
    <row r="565" spans="4:14">
      <c r="D565" s="72"/>
      <c r="E565" s="73"/>
      <c r="F565" s="73"/>
      <c r="G565" s="74"/>
      <c r="H565" s="73"/>
      <c r="I565" s="74"/>
      <c r="J565" s="75" t="s">
        <v>309</v>
      </c>
      <c r="K565" s="24" t="s">
        <v>308</v>
      </c>
      <c r="L565" s="25">
        <v>8</v>
      </c>
      <c r="M565" s="25"/>
      <c r="N565" s="25"/>
    </row>
    <row r="566" spans="4:14">
      <c r="D566" s="21">
        <v>46106</v>
      </c>
      <c r="E566" s="22">
        <v>1588795</v>
      </c>
      <c r="F566" s="22" t="s">
        <v>16</v>
      </c>
      <c r="G566" s="22">
        <v>20324463</v>
      </c>
      <c r="H566" s="22" t="s">
        <v>289</v>
      </c>
      <c r="I566" s="22">
        <v>2</v>
      </c>
      <c r="J566" s="28" t="s">
        <v>18</v>
      </c>
      <c r="K566" s="24">
        <f t="shared" ref="K566:K571" si="36">M566/L566</f>
        <v>35</v>
      </c>
      <c r="L566" s="25">
        <v>4.4</v>
      </c>
      <c r="M566" s="26">
        <v>154</v>
      </c>
      <c r="N566" s="26">
        <v>308</v>
      </c>
    </row>
    <row r="567" spans="4:14">
      <c r="D567" s="21">
        <v>46106</v>
      </c>
      <c r="E567" s="22">
        <v>1588795</v>
      </c>
      <c r="F567" s="22" t="s">
        <v>16</v>
      </c>
      <c r="G567" s="22">
        <v>20324039</v>
      </c>
      <c r="H567" s="22" t="s">
        <v>338</v>
      </c>
      <c r="I567" s="22">
        <v>1</v>
      </c>
      <c r="J567" s="28" t="s">
        <v>18</v>
      </c>
      <c r="K567" s="24">
        <f t="shared" si="36"/>
        <v>37</v>
      </c>
      <c r="L567" s="25">
        <v>4.4</v>
      </c>
      <c r="M567" s="26">
        <v>162.8</v>
      </c>
      <c r="N567" s="26">
        <v>162.8</v>
      </c>
    </row>
    <row r="568" spans="4:14">
      <c r="D568" s="21">
        <v>46106</v>
      </c>
      <c r="E568" s="22">
        <v>1588795</v>
      </c>
      <c r="F568" s="22" t="s">
        <v>16</v>
      </c>
      <c r="G568" s="22">
        <v>20324028</v>
      </c>
      <c r="H568" s="22" t="s">
        <v>386</v>
      </c>
      <c r="I568" s="22">
        <v>2</v>
      </c>
      <c r="J568" s="28" t="s">
        <v>18</v>
      </c>
      <c r="K568" s="24">
        <f t="shared" si="36"/>
        <v>42</v>
      </c>
      <c r="L568" s="25">
        <v>4.4</v>
      </c>
      <c r="M568" s="26">
        <v>184.8</v>
      </c>
      <c r="N568" s="26">
        <v>369.6</v>
      </c>
    </row>
    <row r="569" spans="4:14">
      <c r="D569" s="21">
        <v>46106</v>
      </c>
      <c r="E569" s="22">
        <v>1588795</v>
      </c>
      <c r="F569" s="22" t="s">
        <v>16</v>
      </c>
      <c r="G569" s="22">
        <v>20405201</v>
      </c>
      <c r="H569" s="22" t="s">
        <v>456</v>
      </c>
      <c r="I569" s="22">
        <v>1</v>
      </c>
      <c r="J569" s="28" t="s">
        <v>18</v>
      </c>
      <c r="K569" s="24">
        <f t="shared" si="36"/>
        <v>17</v>
      </c>
      <c r="L569" s="25">
        <v>4.4</v>
      </c>
      <c r="M569" s="26">
        <v>74.8</v>
      </c>
      <c r="N569" s="26">
        <v>74.8</v>
      </c>
    </row>
    <row r="570" spans="4:14">
      <c r="D570" s="21">
        <v>46106</v>
      </c>
      <c r="E570" s="22">
        <v>1588795</v>
      </c>
      <c r="F570" s="22" t="s">
        <v>16</v>
      </c>
      <c r="G570" s="22">
        <v>20324737</v>
      </c>
      <c r="H570" s="22" t="s">
        <v>387</v>
      </c>
      <c r="I570" s="22">
        <v>1</v>
      </c>
      <c r="J570" s="28" t="s">
        <v>18</v>
      </c>
      <c r="K570" s="24">
        <f t="shared" si="36"/>
        <v>22</v>
      </c>
      <c r="L570" s="25">
        <v>4.4</v>
      </c>
      <c r="M570" s="26">
        <v>96.8</v>
      </c>
      <c r="N570" s="26">
        <v>96.8</v>
      </c>
    </row>
    <row r="571" spans="4:14">
      <c r="D571" s="21">
        <v>46106</v>
      </c>
      <c r="E571" s="22">
        <v>1588795</v>
      </c>
      <c r="F571" s="22" t="s">
        <v>16</v>
      </c>
      <c r="G571" s="22">
        <v>20324045</v>
      </c>
      <c r="H571" s="22" t="s">
        <v>281</v>
      </c>
      <c r="I571" s="22">
        <v>4</v>
      </c>
      <c r="J571" s="28" t="s">
        <v>18</v>
      </c>
      <c r="K571" s="24">
        <f t="shared" si="36"/>
        <v>19</v>
      </c>
      <c r="L571" s="25">
        <v>4.4</v>
      </c>
      <c r="M571" s="26">
        <v>83.6</v>
      </c>
      <c r="N571" s="26">
        <v>334.4</v>
      </c>
    </row>
    <row r="572" spans="4:14">
      <c r="D572" s="21">
        <v>46106</v>
      </c>
      <c r="E572" s="22">
        <v>1588795</v>
      </c>
      <c r="F572" s="22" t="s">
        <v>20</v>
      </c>
      <c r="G572" s="22">
        <v>20324800</v>
      </c>
      <c r="H572" s="22" t="s">
        <v>315</v>
      </c>
      <c r="I572" s="22">
        <v>1</v>
      </c>
      <c r="J572" s="23" t="s">
        <v>22</v>
      </c>
      <c r="K572" s="24">
        <v>1</v>
      </c>
      <c r="L572" s="25">
        <v>6.4</v>
      </c>
      <c r="M572" s="26">
        <v>6.4</v>
      </c>
      <c r="N572" s="26">
        <v>6.4</v>
      </c>
    </row>
    <row r="573" spans="4:14">
      <c r="D573" s="21">
        <v>46106</v>
      </c>
      <c r="E573" s="22">
        <v>1588795</v>
      </c>
      <c r="F573" s="22" t="s">
        <v>20</v>
      </c>
      <c r="G573" s="22">
        <v>20324367</v>
      </c>
      <c r="H573" s="22" t="s">
        <v>146</v>
      </c>
      <c r="I573" s="22">
        <v>1</v>
      </c>
      <c r="J573" s="23" t="s">
        <v>22</v>
      </c>
      <c r="K573" s="24">
        <v>1</v>
      </c>
      <c r="L573" s="25">
        <v>6.4</v>
      </c>
      <c r="M573" s="26">
        <v>6.4</v>
      </c>
      <c r="N573" s="26">
        <v>6.4</v>
      </c>
    </row>
    <row r="574" spans="4:14">
      <c r="D574" s="21">
        <v>46106</v>
      </c>
      <c r="E574" s="22">
        <v>1588795</v>
      </c>
      <c r="F574" s="22" t="s">
        <v>20</v>
      </c>
      <c r="G574" s="22">
        <v>20329152</v>
      </c>
      <c r="H574" s="22" t="s">
        <v>352</v>
      </c>
      <c r="I574" s="22">
        <v>2</v>
      </c>
      <c r="J574" s="28" t="s">
        <v>18</v>
      </c>
      <c r="K574" s="24">
        <f>M574/L574</f>
        <v>11</v>
      </c>
      <c r="L574" s="25">
        <v>4.4</v>
      </c>
      <c r="M574" s="26">
        <v>48.4</v>
      </c>
      <c r="N574" s="26">
        <v>96.8</v>
      </c>
    </row>
    <row r="575" spans="4:14">
      <c r="D575" s="21">
        <v>46106</v>
      </c>
      <c r="E575" s="22">
        <v>1588795</v>
      </c>
      <c r="F575" s="22" t="s">
        <v>20</v>
      </c>
      <c r="G575" s="22">
        <v>20325759</v>
      </c>
      <c r="H575" s="22" t="s">
        <v>390</v>
      </c>
      <c r="I575" s="22">
        <v>1</v>
      </c>
      <c r="J575" s="28" t="s">
        <v>18</v>
      </c>
      <c r="K575" s="24">
        <f>M575/L575</f>
        <v>9</v>
      </c>
      <c r="L575" s="25">
        <v>4.4</v>
      </c>
      <c r="M575" s="26">
        <v>39.6</v>
      </c>
      <c r="N575" s="26">
        <v>39.6</v>
      </c>
    </row>
    <row r="576" spans="4:14">
      <c r="D576" s="21">
        <v>46106</v>
      </c>
      <c r="E576" s="22">
        <v>1588795</v>
      </c>
      <c r="F576" s="22" t="s">
        <v>20</v>
      </c>
      <c r="G576" s="22">
        <v>20324699</v>
      </c>
      <c r="H576" s="22" t="s">
        <v>283</v>
      </c>
      <c r="I576" s="22">
        <v>11</v>
      </c>
      <c r="J576" s="28" t="s">
        <v>18</v>
      </c>
      <c r="K576" s="24">
        <f>M576/L576</f>
        <v>5</v>
      </c>
      <c r="L576" s="25">
        <v>4.4</v>
      </c>
      <c r="M576" s="26">
        <v>22</v>
      </c>
      <c r="N576" s="26">
        <v>242</v>
      </c>
    </row>
    <row r="577" spans="4:14">
      <c r="D577" s="21">
        <v>46106</v>
      </c>
      <c r="E577" s="22">
        <v>1588814</v>
      </c>
      <c r="F577" s="22" t="s">
        <v>20</v>
      </c>
      <c r="G577" s="22">
        <v>20330458</v>
      </c>
      <c r="H577" s="22" t="s">
        <v>341</v>
      </c>
      <c r="I577" s="22">
        <v>1</v>
      </c>
      <c r="J577" s="28" t="s">
        <v>18</v>
      </c>
      <c r="K577" s="24">
        <f>M577/L577</f>
        <v>5</v>
      </c>
      <c r="L577" s="25">
        <v>4.4</v>
      </c>
      <c r="M577" s="26">
        <v>22</v>
      </c>
      <c r="N577" s="26">
        <v>22</v>
      </c>
    </row>
    <row r="578" spans="4:14">
      <c r="D578" s="21">
        <v>46106</v>
      </c>
      <c r="E578" s="22">
        <v>1588882</v>
      </c>
      <c r="F578" s="22" t="s">
        <v>20</v>
      </c>
      <c r="G578" s="22">
        <v>20366789</v>
      </c>
      <c r="H578" s="22" t="s">
        <v>345</v>
      </c>
      <c r="I578" s="22">
        <v>1</v>
      </c>
      <c r="J578" s="30" t="s">
        <v>205</v>
      </c>
      <c r="K578" s="24">
        <v>1</v>
      </c>
      <c r="L578" s="25">
        <v>28</v>
      </c>
      <c r="M578" s="26">
        <v>28</v>
      </c>
      <c r="N578" s="26">
        <v>28</v>
      </c>
    </row>
    <row r="579" spans="4:14">
      <c r="D579" s="21">
        <v>46106</v>
      </c>
      <c r="E579" s="22">
        <v>1588882</v>
      </c>
      <c r="F579" s="22" t="s">
        <v>20</v>
      </c>
      <c r="G579" s="22">
        <v>20366790</v>
      </c>
      <c r="H579" s="22" t="s">
        <v>377</v>
      </c>
      <c r="I579" s="22">
        <v>1</v>
      </c>
      <c r="J579" s="28" t="s">
        <v>28</v>
      </c>
      <c r="K579" s="24">
        <v>1</v>
      </c>
      <c r="L579" s="25">
        <v>17.6</v>
      </c>
      <c r="M579" s="26">
        <v>52.8</v>
      </c>
      <c r="N579" s="26">
        <v>52.8</v>
      </c>
    </row>
    <row r="580" spans="4:14">
      <c r="D580" s="21"/>
      <c r="E580" s="22"/>
      <c r="F580" s="22"/>
      <c r="G580" s="22"/>
      <c r="H580" s="22"/>
      <c r="I580" s="22"/>
      <c r="J580" s="28" t="s">
        <v>28</v>
      </c>
      <c r="K580" s="24">
        <v>1</v>
      </c>
      <c r="L580" s="25">
        <v>17.6</v>
      </c>
      <c r="M580" s="26"/>
      <c r="N580" s="26"/>
    </row>
    <row r="581" spans="4:14">
      <c r="D581" s="21"/>
      <c r="E581" s="22"/>
      <c r="F581" s="22"/>
      <c r="G581" s="22"/>
      <c r="H581" s="22"/>
      <c r="I581" s="22"/>
      <c r="J581" s="28" t="s">
        <v>28</v>
      </c>
      <c r="K581" s="24">
        <v>1</v>
      </c>
      <c r="L581" s="25">
        <v>17.6</v>
      </c>
      <c r="M581" s="26"/>
      <c r="N581" s="26"/>
    </row>
    <row r="582" spans="4:14">
      <c r="D582" s="21">
        <v>46106</v>
      </c>
      <c r="E582" s="22">
        <v>1588882</v>
      </c>
      <c r="F582" s="22" t="s">
        <v>20</v>
      </c>
      <c r="G582" s="22">
        <v>20327630</v>
      </c>
      <c r="H582" s="22" t="s">
        <v>359</v>
      </c>
      <c r="I582" s="22">
        <v>1</v>
      </c>
      <c r="J582" s="30" t="s">
        <v>210</v>
      </c>
      <c r="K582" s="24">
        <v>1</v>
      </c>
      <c r="L582" s="25">
        <v>22.4</v>
      </c>
      <c r="M582" s="26">
        <v>22.4</v>
      </c>
      <c r="N582" s="26">
        <v>22.4</v>
      </c>
    </row>
    <row r="583" spans="4:14">
      <c r="D583" s="21">
        <v>46106</v>
      </c>
      <c r="E583" s="22">
        <v>1588893</v>
      </c>
      <c r="F583" s="22" t="s">
        <v>16</v>
      </c>
      <c r="G583" s="22">
        <v>20324808</v>
      </c>
      <c r="H583" s="22" t="s">
        <v>342</v>
      </c>
      <c r="I583" s="22">
        <v>1</v>
      </c>
      <c r="J583" s="28" t="s">
        <v>37</v>
      </c>
      <c r="K583" s="24" t="s">
        <v>38</v>
      </c>
      <c r="L583" s="25">
        <v>132</v>
      </c>
      <c r="M583" s="26">
        <v>220</v>
      </c>
      <c r="N583" s="26">
        <v>220</v>
      </c>
    </row>
    <row r="584" spans="4:14">
      <c r="D584" s="21"/>
      <c r="E584" s="22"/>
      <c r="F584" s="22"/>
      <c r="G584" s="22"/>
      <c r="H584" s="22"/>
      <c r="I584" s="22"/>
      <c r="J584" s="30" t="s">
        <v>39</v>
      </c>
      <c r="K584" s="24" t="s">
        <v>40</v>
      </c>
      <c r="L584" s="25">
        <v>70.4</v>
      </c>
      <c r="M584" s="26"/>
      <c r="N584" s="26"/>
    </row>
    <row r="585" spans="4:14">
      <c r="D585" s="21"/>
      <c r="E585" s="22"/>
      <c r="F585" s="22"/>
      <c r="G585" s="22"/>
      <c r="H585" s="22"/>
      <c r="I585" s="22"/>
      <c r="J585" s="28" t="s">
        <v>28</v>
      </c>
      <c r="K585" s="24">
        <v>1</v>
      </c>
      <c r="L585" s="25">
        <v>17.6</v>
      </c>
      <c r="M585" s="26"/>
      <c r="N585" s="26"/>
    </row>
    <row r="586" spans="4:14">
      <c r="D586" s="21">
        <v>46106</v>
      </c>
      <c r="E586" s="22">
        <v>1588893</v>
      </c>
      <c r="F586" s="22" t="s">
        <v>20</v>
      </c>
      <c r="G586" s="22">
        <v>20324643</v>
      </c>
      <c r="H586" s="22" t="s">
        <v>343</v>
      </c>
      <c r="I586" s="22">
        <v>2</v>
      </c>
      <c r="J586" s="30" t="s">
        <v>210</v>
      </c>
      <c r="K586" s="24">
        <v>1</v>
      </c>
      <c r="L586" s="25">
        <v>22.4</v>
      </c>
      <c r="M586" s="26">
        <v>22.4</v>
      </c>
      <c r="N586" s="26">
        <v>44.8</v>
      </c>
    </row>
    <row r="587" spans="4:14">
      <c r="D587" s="21">
        <v>46106</v>
      </c>
      <c r="E587" s="22">
        <v>1588893</v>
      </c>
      <c r="F587" s="22" t="s">
        <v>20</v>
      </c>
      <c r="G587" s="22">
        <v>20324637</v>
      </c>
      <c r="H587" s="22" t="s">
        <v>291</v>
      </c>
      <c r="I587" s="22">
        <v>1</v>
      </c>
      <c r="J587" s="30" t="s">
        <v>205</v>
      </c>
      <c r="K587" s="24">
        <v>1</v>
      </c>
      <c r="L587" s="25">
        <v>28</v>
      </c>
      <c r="M587" s="26">
        <v>28</v>
      </c>
      <c r="N587" s="26">
        <v>28</v>
      </c>
    </row>
    <row r="588" spans="4:14">
      <c r="D588" s="21">
        <v>46106</v>
      </c>
      <c r="E588" s="22">
        <v>1588893</v>
      </c>
      <c r="F588" s="22" t="s">
        <v>20</v>
      </c>
      <c r="G588" s="22">
        <v>20382023</v>
      </c>
      <c r="H588" s="22" t="s">
        <v>393</v>
      </c>
      <c r="I588" s="22">
        <v>1</v>
      </c>
      <c r="J588" s="28" t="s">
        <v>28</v>
      </c>
      <c r="K588" s="24">
        <v>1</v>
      </c>
      <c r="L588" s="25">
        <v>17.6</v>
      </c>
      <c r="M588" s="26">
        <v>17.6</v>
      </c>
      <c r="N588" s="26">
        <v>17.6</v>
      </c>
    </row>
    <row r="589" spans="4:14">
      <c r="D589" s="21">
        <v>46106</v>
      </c>
      <c r="E589" s="22">
        <v>1588893</v>
      </c>
      <c r="F589" s="22" t="s">
        <v>20</v>
      </c>
      <c r="G589" s="22">
        <v>20324822</v>
      </c>
      <c r="H589" s="22" t="s">
        <v>321</v>
      </c>
      <c r="I589" s="22">
        <v>1</v>
      </c>
      <c r="J589" s="30" t="s">
        <v>205</v>
      </c>
      <c r="K589" s="24">
        <v>1</v>
      </c>
      <c r="L589" s="25">
        <v>28</v>
      </c>
      <c r="M589" s="26">
        <v>28</v>
      </c>
      <c r="N589" s="26">
        <v>28</v>
      </c>
    </row>
    <row r="590" spans="4:14">
      <c r="D590" s="21">
        <v>46106</v>
      </c>
      <c r="E590" s="22">
        <v>1588893</v>
      </c>
      <c r="F590" s="22" t="s">
        <v>20</v>
      </c>
      <c r="G590" s="22">
        <v>20326623</v>
      </c>
      <c r="H590" s="22" t="s">
        <v>363</v>
      </c>
      <c r="I590" s="22">
        <v>2</v>
      </c>
      <c r="J590" s="30" t="s">
        <v>210</v>
      </c>
      <c r="K590" s="24">
        <v>1</v>
      </c>
      <c r="L590" s="25">
        <v>22.4</v>
      </c>
      <c r="M590" s="26">
        <v>22.4</v>
      </c>
      <c r="N590" s="26">
        <v>44.8</v>
      </c>
    </row>
    <row r="591" spans="4:14">
      <c r="D591" s="21">
        <v>46106</v>
      </c>
      <c r="E591" s="22">
        <v>1588893</v>
      </c>
      <c r="F591" s="22" t="s">
        <v>20</v>
      </c>
      <c r="G591" s="22">
        <v>20325443</v>
      </c>
      <c r="H591" s="22" t="s">
        <v>345</v>
      </c>
      <c r="I591" s="22">
        <v>1</v>
      </c>
      <c r="J591" s="30" t="s">
        <v>205</v>
      </c>
      <c r="K591" s="24">
        <v>1</v>
      </c>
      <c r="L591" s="25">
        <v>28</v>
      </c>
      <c r="M591" s="26">
        <v>28</v>
      </c>
      <c r="N591" s="26">
        <v>28</v>
      </c>
    </row>
    <row r="592" spans="4:14">
      <c r="D592" s="21">
        <v>46106</v>
      </c>
      <c r="E592" s="22">
        <v>1588893</v>
      </c>
      <c r="F592" s="22" t="s">
        <v>20</v>
      </c>
      <c r="G592" s="22">
        <v>20324645</v>
      </c>
      <c r="H592" s="22" t="s">
        <v>346</v>
      </c>
      <c r="I592" s="22">
        <v>1</v>
      </c>
      <c r="J592" s="30" t="s">
        <v>210</v>
      </c>
      <c r="K592" s="24">
        <v>1</v>
      </c>
      <c r="L592" s="25">
        <v>22.4</v>
      </c>
      <c r="M592" s="26">
        <v>22.4</v>
      </c>
      <c r="N592" s="26">
        <v>22.4</v>
      </c>
    </row>
    <row r="593" spans="4:14">
      <c r="D593" s="21">
        <v>46106</v>
      </c>
      <c r="E593" s="22">
        <v>1588893</v>
      </c>
      <c r="F593" s="22" t="s">
        <v>20</v>
      </c>
      <c r="G593" s="22">
        <v>20324723</v>
      </c>
      <c r="H593" s="22" t="s">
        <v>330</v>
      </c>
      <c r="I593" s="22">
        <v>1</v>
      </c>
      <c r="J593" s="30" t="s">
        <v>210</v>
      </c>
      <c r="K593" s="24">
        <v>1</v>
      </c>
      <c r="L593" s="25">
        <v>22.4</v>
      </c>
      <c r="M593" s="26">
        <v>22.4</v>
      </c>
      <c r="N593" s="26">
        <v>22.4</v>
      </c>
    </row>
    <row r="594" spans="4:14">
      <c r="D594" s="21">
        <v>46106</v>
      </c>
      <c r="E594" s="22">
        <v>1588893</v>
      </c>
      <c r="F594" s="22" t="s">
        <v>20</v>
      </c>
      <c r="G594" s="22">
        <v>20324636</v>
      </c>
      <c r="H594" s="22" t="s">
        <v>347</v>
      </c>
      <c r="I594" s="22">
        <v>1</v>
      </c>
      <c r="J594" s="30" t="s">
        <v>205</v>
      </c>
      <c r="K594" s="24">
        <v>1</v>
      </c>
      <c r="L594" s="25">
        <v>28</v>
      </c>
      <c r="M594" s="26">
        <v>28</v>
      </c>
      <c r="N594" s="26">
        <v>28</v>
      </c>
    </row>
    <row r="595" spans="4:14">
      <c r="D595" s="21">
        <v>46106</v>
      </c>
      <c r="E595" s="22">
        <v>1588893</v>
      </c>
      <c r="F595" s="22" t="s">
        <v>20</v>
      </c>
      <c r="G595" s="22">
        <v>20324814</v>
      </c>
      <c r="H595" s="22" t="s">
        <v>305</v>
      </c>
      <c r="I595" s="22">
        <v>1</v>
      </c>
      <c r="J595" s="30" t="s">
        <v>210</v>
      </c>
      <c r="K595" s="24">
        <v>1</v>
      </c>
      <c r="L595" s="25">
        <v>22.4</v>
      </c>
      <c r="M595" s="26">
        <v>22.4</v>
      </c>
      <c r="N595" s="26">
        <v>22.4</v>
      </c>
    </row>
    <row r="596" spans="4:14">
      <c r="D596" s="21">
        <v>46106</v>
      </c>
      <c r="E596" s="22">
        <v>1588893</v>
      </c>
      <c r="F596" s="22" t="s">
        <v>20</v>
      </c>
      <c r="G596" s="22">
        <v>20324646</v>
      </c>
      <c r="H596" s="22" t="s">
        <v>350</v>
      </c>
      <c r="I596" s="22">
        <v>1</v>
      </c>
      <c r="J596" s="28" t="s">
        <v>295</v>
      </c>
      <c r="K596" s="24">
        <v>1</v>
      </c>
      <c r="L596" s="25">
        <v>20</v>
      </c>
      <c r="M596" s="26">
        <v>20</v>
      </c>
      <c r="N596" s="26">
        <v>20</v>
      </c>
    </row>
    <row r="597" spans="4:14">
      <c r="D597" s="21">
        <v>46106</v>
      </c>
      <c r="E597" s="22">
        <v>1589102</v>
      </c>
      <c r="F597" s="22" t="s">
        <v>55</v>
      </c>
      <c r="G597" s="22">
        <v>20354932</v>
      </c>
      <c r="H597" s="22" t="s">
        <v>236</v>
      </c>
      <c r="I597" s="22">
        <v>15</v>
      </c>
      <c r="J597" s="30" t="s">
        <v>57</v>
      </c>
      <c r="K597" s="24">
        <v>1</v>
      </c>
      <c r="L597" s="25">
        <v>3.2</v>
      </c>
      <c r="M597" s="26">
        <v>3.2</v>
      </c>
      <c r="N597" s="26">
        <v>48</v>
      </c>
    </row>
    <row r="598" spans="4:14">
      <c r="D598" s="21">
        <v>46106</v>
      </c>
      <c r="E598" s="22">
        <v>1589132</v>
      </c>
      <c r="F598" s="22" t="s">
        <v>16</v>
      </c>
      <c r="G598" s="22">
        <v>20324463</v>
      </c>
      <c r="H598" s="22" t="s">
        <v>289</v>
      </c>
      <c r="I598" s="22">
        <v>1</v>
      </c>
      <c r="J598" s="28" t="s">
        <v>18</v>
      </c>
      <c r="K598" s="24">
        <f t="shared" ref="K598:K600" si="37">M598/L598</f>
        <v>35</v>
      </c>
      <c r="L598" s="25">
        <v>4.4</v>
      </c>
      <c r="M598" s="26">
        <v>154</v>
      </c>
      <c r="N598" s="26">
        <v>154</v>
      </c>
    </row>
    <row r="599" spans="4:14">
      <c r="D599" s="21">
        <v>46106</v>
      </c>
      <c r="E599" s="22">
        <v>1589132</v>
      </c>
      <c r="F599" s="22" t="s">
        <v>16</v>
      </c>
      <c r="G599" s="22">
        <v>20324049</v>
      </c>
      <c r="H599" s="22" t="s">
        <v>351</v>
      </c>
      <c r="I599" s="22">
        <v>2</v>
      </c>
      <c r="J599" s="28" t="s">
        <v>18</v>
      </c>
      <c r="K599" s="24">
        <f t="shared" si="37"/>
        <v>25</v>
      </c>
      <c r="L599" s="25">
        <v>4.4</v>
      </c>
      <c r="M599" s="26">
        <v>110</v>
      </c>
      <c r="N599" s="26">
        <v>220</v>
      </c>
    </row>
    <row r="600" spans="4:14">
      <c r="D600" s="21">
        <v>46106</v>
      </c>
      <c r="E600" s="22">
        <v>1589132</v>
      </c>
      <c r="F600" s="22" t="s">
        <v>16</v>
      </c>
      <c r="G600" s="22">
        <v>20324045</v>
      </c>
      <c r="H600" s="22" t="s">
        <v>281</v>
      </c>
      <c r="I600" s="22">
        <v>4</v>
      </c>
      <c r="J600" s="28" t="s">
        <v>18</v>
      </c>
      <c r="K600" s="24">
        <f t="shared" si="37"/>
        <v>19</v>
      </c>
      <c r="L600" s="25">
        <v>4.4</v>
      </c>
      <c r="M600" s="26">
        <v>83.6</v>
      </c>
      <c r="N600" s="26">
        <v>334.4</v>
      </c>
    </row>
    <row r="601" spans="4:14">
      <c r="D601" s="21">
        <v>46106</v>
      </c>
      <c r="E601" s="22">
        <v>1589132</v>
      </c>
      <c r="F601" s="22" t="s">
        <v>20</v>
      </c>
      <c r="G601" s="22">
        <v>20325529</v>
      </c>
      <c r="H601" s="22" t="s">
        <v>405</v>
      </c>
      <c r="I601" s="22">
        <v>1</v>
      </c>
      <c r="J601" s="28" t="s">
        <v>18</v>
      </c>
      <c r="K601" s="24">
        <f t="shared" ref="K601:K604" si="38">M601/L601</f>
        <v>4</v>
      </c>
      <c r="L601" s="25">
        <v>4.4</v>
      </c>
      <c r="M601" s="26">
        <v>17.6</v>
      </c>
      <c r="N601" s="26">
        <v>17.6</v>
      </c>
    </row>
    <row r="602" spans="4:14">
      <c r="D602" s="21">
        <v>46106</v>
      </c>
      <c r="E602" s="22">
        <v>1589132</v>
      </c>
      <c r="F602" s="22" t="s">
        <v>20</v>
      </c>
      <c r="G602" s="22">
        <v>20324699</v>
      </c>
      <c r="H602" s="22" t="s">
        <v>283</v>
      </c>
      <c r="I602" s="22">
        <v>5</v>
      </c>
      <c r="J602" s="28" t="s">
        <v>18</v>
      </c>
      <c r="K602" s="24">
        <f t="shared" si="38"/>
        <v>5</v>
      </c>
      <c r="L602" s="25">
        <v>4.4</v>
      </c>
      <c r="M602" s="26">
        <v>22</v>
      </c>
      <c r="N602" s="26">
        <v>110</v>
      </c>
    </row>
    <row r="603" spans="4:14">
      <c r="D603" s="21">
        <v>46106</v>
      </c>
      <c r="E603" s="22">
        <v>1589132</v>
      </c>
      <c r="F603" s="22" t="s">
        <v>20</v>
      </c>
      <c r="G603" s="22">
        <v>20324966</v>
      </c>
      <c r="H603" s="22" t="s">
        <v>391</v>
      </c>
      <c r="I603" s="22">
        <v>1</v>
      </c>
      <c r="J603" s="28" t="s">
        <v>18</v>
      </c>
      <c r="K603" s="24">
        <f t="shared" si="38"/>
        <v>6</v>
      </c>
      <c r="L603" s="25">
        <v>4.4</v>
      </c>
      <c r="M603" s="26">
        <v>26.4</v>
      </c>
      <c r="N603" s="26">
        <v>26.4</v>
      </c>
    </row>
    <row r="604" spans="4:14">
      <c r="D604" s="21">
        <v>46107</v>
      </c>
      <c r="E604" s="22">
        <v>1589216</v>
      </c>
      <c r="F604" s="22" t="s">
        <v>16</v>
      </c>
      <c r="G604" s="22">
        <v>20324045</v>
      </c>
      <c r="H604" s="22" t="s">
        <v>281</v>
      </c>
      <c r="I604" s="22">
        <v>1</v>
      </c>
      <c r="J604" s="28" t="s">
        <v>18</v>
      </c>
      <c r="K604" s="24">
        <f t="shared" si="38"/>
        <v>19</v>
      </c>
      <c r="L604" s="25">
        <v>4.4</v>
      </c>
      <c r="M604" s="26">
        <v>83.6</v>
      </c>
      <c r="N604" s="26">
        <v>83.6</v>
      </c>
    </row>
    <row r="605" spans="4:14">
      <c r="D605" s="21">
        <v>46107</v>
      </c>
      <c r="E605" s="22">
        <v>1589216</v>
      </c>
      <c r="F605" s="22" t="s">
        <v>20</v>
      </c>
      <c r="G605" s="22">
        <v>20324370</v>
      </c>
      <c r="H605" s="22" t="s">
        <v>95</v>
      </c>
      <c r="I605" s="22">
        <v>1</v>
      </c>
      <c r="J605" s="23" t="s">
        <v>22</v>
      </c>
      <c r="K605" s="24">
        <v>1</v>
      </c>
      <c r="L605" s="25">
        <v>6.4</v>
      </c>
      <c r="M605" s="26">
        <v>6.4</v>
      </c>
      <c r="N605" s="26">
        <v>6.4</v>
      </c>
    </row>
    <row r="606" spans="4:14">
      <c r="D606" s="21">
        <v>46107</v>
      </c>
      <c r="E606" s="22">
        <v>1589216</v>
      </c>
      <c r="F606" s="22" t="s">
        <v>20</v>
      </c>
      <c r="G606" s="22">
        <v>20324708</v>
      </c>
      <c r="H606" s="22" t="s">
        <v>457</v>
      </c>
      <c r="I606" s="22">
        <v>1</v>
      </c>
      <c r="J606" s="27" t="s">
        <v>22</v>
      </c>
      <c r="K606" s="24">
        <v>1</v>
      </c>
      <c r="L606" s="25">
        <v>6.4</v>
      </c>
      <c r="M606" s="25">
        <v>10.8</v>
      </c>
      <c r="N606" s="26">
        <v>10.8</v>
      </c>
    </row>
    <row r="607" spans="4:14">
      <c r="D607" s="21"/>
      <c r="E607" s="22"/>
      <c r="F607" s="22"/>
      <c r="G607" s="22"/>
      <c r="H607" s="22"/>
      <c r="I607" s="22"/>
      <c r="J607" s="27" t="s">
        <v>145</v>
      </c>
      <c r="K607" s="24">
        <v>1</v>
      </c>
      <c r="L607" s="25">
        <v>4.4</v>
      </c>
      <c r="M607" s="25"/>
      <c r="N607" s="26"/>
    </row>
    <row r="608" spans="4:14">
      <c r="D608" s="21">
        <v>46107</v>
      </c>
      <c r="E608" s="22">
        <v>1589216</v>
      </c>
      <c r="F608" s="22" t="s">
        <v>20</v>
      </c>
      <c r="G608" s="22">
        <v>20325529</v>
      </c>
      <c r="H608" s="22" t="s">
        <v>405</v>
      </c>
      <c r="I608" s="22">
        <v>1</v>
      </c>
      <c r="J608" s="28" t="s">
        <v>18</v>
      </c>
      <c r="K608" s="24">
        <f>M608/L608</f>
        <v>4</v>
      </c>
      <c r="L608" s="25">
        <v>4.4</v>
      </c>
      <c r="M608" s="26">
        <v>17.6</v>
      </c>
      <c r="N608" s="26">
        <v>17.6</v>
      </c>
    </row>
    <row r="609" spans="4:14">
      <c r="D609" s="21">
        <v>46107</v>
      </c>
      <c r="E609" s="22">
        <v>1589216</v>
      </c>
      <c r="F609" s="22" t="s">
        <v>20</v>
      </c>
      <c r="G609" s="22">
        <v>20324711</v>
      </c>
      <c r="H609" s="22" t="s">
        <v>389</v>
      </c>
      <c r="I609" s="22">
        <v>1</v>
      </c>
      <c r="J609" s="28" t="s">
        <v>18</v>
      </c>
      <c r="K609" s="24">
        <f>M609/L609</f>
        <v>14</v>
      </c>
      <c r="L609" s="25">
        <v>4.4</v>
      </c>
      <c r="M609" s="26">
        <v>61.6</v>
      </c>
      <c r="N609" s="26">
        <v>61.6</v>
      </c>
    </row>
    <row r="610" spans="4:14">
      <c r="D610" s="21">
        <v>46107</v>
      </c>
      <c r="E610" s="22">
        <v>1589216</v>
      </c>
      <c r="F610" s="22" t="s">
        <v>20</v>
      </c>
      <c r="G610" s="22">
        <v>20324699</v>
      </c>
      <c r="H610" s="22" t="s">
        <v>283</v>
      </c>
      <c r="I610" s="22">
        <v>1</v>
      </c>
      <c r="J610" s="28" t="s">
        <v>18</v>
      </c>
      <c r="K610" s="24">
        <f>M610/L610</f>
        <v>5</v>
      </c>
      <c r="L610" s="25">
        <v>4.4</v>
      </c>
      <c r="M610" s="26">
        <v>22</v>
      </c>
      <c r="N610" s="26">
        <v>22</v>
      </c>
    </row>
    <row r="611" spans="4:14">
      <c r="D611" s="21">
        <v>46107</v>
      </c>
      <c r="E611" s="22">
        <v>1589238</v>
      </c>
      <c r="F611" s="22" t="s">
        <v>20</v>
      </c>
      <c r="G611" s="22">
        <v>20336786</v>
      </c>
      <c r="H611" s="22" t="s">
        <v>423</v>
      </c>
      <c r="I611" s="22">
        <v>1</v>
      </c>
      <c r="J611" s="30" t="s">
        <v>39</v>
      </c>
      <c r="K611" s="24" t="s">
        <v>40</v>
      </c>
      <c r="L611" s="25">
        <v>70.4</v>
      </c>
      <c r="M611" s="26">
        <v>70.4</v>
      </c>
      <c r="N611" s="26">
        <v>70.4</v>
      </c>
    </row>
    <row r="612" spans="4:14">
      <c r="D612" s="21">
        <v>46107</v>
      </c>
      <c r="E612" s="22">
        <v>1589238</v>
      </c>
      <c r="F612" s="22" t="s">
        <v>20</v>
      </c>
      <c r="G612" s="22">
        <v>20363528</v>
      </c>
      <c r="H612" s="22" t="s">
        <v>424</v>
      </c>
      <c r="I612" s="22">
        <v>1</v>
      </c>
      <c r="J612" s="30" t="s">
        <v>205</v>
      </c>
      <c r="K612" s="24">
        <v>1</v>
      </c>
      <c r="L612" s="25">
        <v>28</v>
      </c>
      <c r="M612" s="26">
        <v>28</v>
      </c>
      <c r="N612" s="26">
        <v>28</v>
      </c>
    </row>
    <row r="613" spans="4:14">
      <c r="D613" s="21">
        <v>46107</v>
      </c>
      <c r="E613" s="22">
        <v>1589238</v>
      </c>
      <c r="F613" s="22" t="s">
        <v>20</v>
      </c>
      <c r="G613" s="22">
        <v>20328011</v>
      </c>
      <c r="H613" s="22" t="s">
        <v>425</v>
      </c>
      <c r="I613" s="22">
        <v>1</v>
      </c>
      <c r="J613" s="28" t="s">
        <v>28</v>
      </c>
      <c r="K613" s="24">
        <v>1</v>
      </c>
      <c r="L613" s="25">
        <v>17.6</v>
      </c>
      <c r="M613" s="26">
        <v>52.8</v>
      </c>
      <c r="N613" s="26">
        <v>52.8</v>
      </c>
    </row>
    <row r="614" spans="4:14">
      <c r="D614" s="21"/>
      <c r="E614" s="22"/>
      <c r="F614" s="22"/>
      <c r="G614" s="22"/>
      <c r="H614" s="22"/>
      <c r="I614" s="22"/>
      <c r="J614" s="28" t="s">
        <v>28</v>
      </c>
      <c r="K614" s="24">
        <v>1</v>
      </c>
      <c r="L614" s="25">
        <v>17.6</v>
      </c>
      <c r="M614" s="26"/>
      <c r="N614" s="26"/>
    </row>
    <row r="615" spans="4:14">
      <c r="D615" s="21"/>
      <c r="E615" s="22"/>
      <c r="F615" s="22"/>
      <c r="G615" s="22"/>
      <c r="H615" s="22"/>
      <c r="I615" s="22"/>
      <c r="J615" s="28" t="s">
        <v>28</v>
      </c>
      <c r="K615" s="24">
        <v>1</v>
      </c>
      <c r="L615" s="25">
        <v>17.6</v>
      </c>
      <c r="M615" s="26"/>
      <c r="N615" s="26"/>
    </row>
    <row r="616" spans="4:14">
      <c r="D616" s="21">
        <v>46107</v>
      </c>
      <c r="E616" s="22">
        <v>1589238</v>
      </c>
      <c r="F616" s="22" t="s">
        <v>20</v>
      </c>
      <c r="G616" s="22">
        <v>20336785</v>
      </c>
      <c r="H616" s="22" t="s">
        <v>458</v>
      </c>
      <c r="I616" s="22">
        <v>1</v>
      </c>
      <c r="J616" s="30" t="s">
        <v>39</v>
      </c>
      <c r="K616" s="24" t="s">
        <v>40</v>
      </c>
      <c r="L616" s="25">
        <v>70.4</v>
      </c>
      <c r="M616" s="26">
        <v>70.4</v>
      </c>
      <c r="N616" s="26">
        <v>70.4</v>
      </c>
    </row>
    <row r="617" spans="4:14">
      <c r="D617" s="21">
        <v>46107</v>
      </c>
      <c r="E617" s="22">
        <v>1589238</v>
      </c>
      <c r="F617" s="22" t="s">
        <v>20</v>
      </c>
      <c r="G617" s="22">
        <v>20324643</v>
      </c>
      <c r="H617" s="22" t="s">
        <v>343</v>
      </c>
      <c r="I617" s="22">
        <v>1</v>
      </c>
      <c r="J617" s="30" t="s">
        <v>210</v>
      </c>
      <c r="K617" s="24">
        <v>1</v>
      </c>
      <c r="L617" s="25">
        <v>22.4</v>
      </c>
      <c r="M617" s="26">
        <v>22.4</v>
      </c>
      <c r="N617" s="26">
        <v>22.4</v>
      </c>
    </row>
    <row r="618" spans="4:14">
      <c r="D618" s="21">
        <v>46107</v>
      </c>
      <c r="E618" s="22">
        <v>1589238</v>
      </c>
      <c r="F618" s="22" t="s">
        <v>20</v>
      </c>
      <c r="G618" s="22">
        <v>20330449</v>
      </c>
      <c r="H618" s="22" t="s">
        <v>292</v>
      </c>
      <c r="I618" s="22">
        <v>1</v>
      </c>
      <c r="J618" s="30" t="s">
        <v>210</v>
      </c>
      <c r="K618" s="24">
        <v>1</v>
      </c>
      <c r="L618" s="25">
        <v>22.4</v>
      </c>
      <c r="M618" s="26">
        <v>22.4</v>
      </c>
      <c r="N618" s="26">
        <v>22.4</v>
      </c>
    </row>
    <row r="619" spans="4:14">
      <c r="D619" s="21">
        <v>46107</v>
      </c>
      <c r="E619" s="22">
        <v>1589238</v>
      </c>
      <c r="F619" s="22" t="s">
        <v>20</v>
      </c>
      <c r="G619" s="22">
        <v>20335084</v>
      </c>
      <c r="H619" s="22" t="s">
        <v>459</v>
      </c>
      <c r="I619" s="22">
        <v>2</v>
      </c>
      <c r="J619" s="28" t="s">
        <v>28</v>
      </c>
      <c r="K619" s="24">
        <v>1</v>
      </c>
      <c r="L619" s="25">
        <v>17.6</v>
      </c>
      <c r="M619" s="26">
        <v>52.8</v>
      </c>
      <c r="N619" s="26">
        <v>105.6</v>
      </c>
    </row>
    <row r="620" spans="4:14">
      <c r="D620" s="21"/>
      <c r="E620" s="22"/>
      <c r="F620" s="22"/>
      <c r="G620" s="22"/>
      <c r="H620" s="22"/>
      <c r="I620" s="22"/>
      <c r="J620" s="28" t="s">
        <v>28</v>
      </c>
      <c r="K620" s="24">
        <v>1</v>
      </c>
      <c r="L620" s="25">
        <v>17.6</v>
      </c>
      <c r="M620" s="26"/>
      <c r="N620" s="26"/>
    </row>
    <row r="621" spans="4:14">
      <c r="D621" s="21"/>
      <c r="E621" s="22"/>
      <c r="F621" s="22"/>
      <c r="G621" s="22"/>
      <c r="H621" s="22"/>
      <c r="I621" s="22"/>
      <c r="J621" s="28" t="s">
        <v>28</v>
      </c>
      <c r="K621" s="24">
        <v>1</v>
      </c>
      <c r="L621" s="25">
        <v>17.6</v>
      </c>
      <c r="M621" s="26"/>
      <c r="N621" s="26"/>
    </row>
    <row r="622" spans="4:14">
      <c r="D622" s="21">
        <v>46107</v>
      </c>
      <c r="E622" s="22">
        <v>1589238</v>
      </c>
      <c r="F622" s="22" t="s">
        <v>20</v>
      </c>
      <c r="G622" s="22">
        <v>20329253</v>
      </c>
      <c r="H622" s="22" t="s">
        <v>320</v>
      </c>
      <c r="I622" s="22">
        <v>1</v>
      </c>
      <c r="J622" s="28" t="s">
        <v>28</v>
      </c>
      <c r="K622" s="24">
        <v>1</v>
      </c>
      <c r="L622" s="25">
        <v>17.6</v>
      </c>
      <c r="M622" s="26">
        <v>17.6</v>
      </c>
      <c r="N622" s="26">
        <v>17.6</v>
      </c>
    </row>
    <row r="623" spans="4:14">
      <c r="D623" s="21">
        <v>46107</v>
      </c>
      <c r="E623" s="22">
        <v>1589238</v>
      </c>
      <c r="F623" s="22" t="s">
        <v>20</v>
      </c>
      <c r="G623" s="22">
        <v>20324822</v>
      </c>
      <c r="H623" s="22" t="s">
        <v>321</v>
      </c>
      <c r="I623" s="22">
        <v>1</v>
      </c>
      <c r="J623" s="30" t="s">
        <v>205</v>
      </c>
      <c r="K623" s="24">
        <v>1</v>
      </c>
      <c r="L623" s="25">
        <v>28</v>
      </c>
      <c r="M623" s="26">
        <v>28</v>
      </c>
      <c r="N623" s="26">
        <v>28</v>
      </c>
    </row>
    <row r="624" spans="4:14">
      <c r="D624" s="21">
        <v>46107</v>
      </c>
      <c r="E624" s="22">
        <v>1589238</v>
      </c>
      <c r="F624" s="22" t="s">
        <v>20</v>
      </c>
      <c r="G624" s="22">
        <v>20387686</v>
      </c>
      <c r="H624" s="22" t="s">
        <v>371</v>
      </c>
      <c r="I624" s="22">
        <v>1</v>
      </c>
      <c r="J624" s="28" t="s">
        <v>28</v>
      </c>
      <c r="K624" s="24">
        <v>1</v>
      </c>
      <c r="L624" s="25">
        <v>17.6</v>
      </c>
      <c r="M624" s="26">
        <v>17.6</v>
      </c>
      <c r="N624" s="26">
        <v>17.6</v>
      </c>
    </row>
    <row r="625" spans="4:14">
      <c r="D625" s="21">
        <v>46107</v>
      </c>
      <c r="E625" s="22">
        <v>1589238</v>
      </c>
      <c r="F625" s="22" t="s">
        <v>20</v>
      </c>
      <c r="G625" s="22">
        <v>20324635</v>
      </c>
      <c r="H625" s="22" t="s">
        <v>372</v>
      </c>
      <c r="I625" s="22">
        <v>1</v>
      </c>
      <c r="J625" s="30" t="s">
        <v>205</v>
      </c>
      <c r="K625" s="24">
        <v>1</v>
      </c>
      <c r="L625" s="25">
        <v>28</v>
      </c>
      <c r="M625" s="26">
        <v>28</v>
      </c>
      <c r="N625" s="26">
        <v>28</v>
      </c>
    </row>
    <row r="626" spans="4:14">
      <c r="D626" s="21">
        <v>46107</v>
      </c>
      <c r="E626" s="22">
        <v>1589238</v>
      </c>
      <c r="F626" s="22" t="s">
        <v>20</v>
      </c>
      <c r="G626" s="22">
        <v>20324645</v>
      </c>
      <c r="H626" s="22" t="s">
        <v>346</v>
      </c>
      <c r="I626" s="22">
        <v>1</v>
      </c>
      <c r="J626" s="30" t="s">
        <v>210</v>
      </c>
      <c r="K626" s="24">
        <v>1</v>
      </c>
      <c r="L626" s="25">
        <v>22.4</v>
      </c>
      <c r="M626" s="26">
        <v>22.4</v>
      </c>
      <c r="N626" s="26">
        <v>22.4</v>
      </c>
    </row>
    <row r="627" spans="4:14">
      <c r="D627" s="21">
        <v>46107</v>
      </c>
      <c r="E627" s="22">
        <v>1589238</v>
      </c>
      <c r="F627" s="22" t="s">
        <v>20</v>
      </c>
      <c r="G627" s="22">
        <v>20329652</v>
      </c>
      <c r="H627" s="22" t="s">
        <v>430</v>
      </c>
      <c r="I627" s="22">
        <v>1</v>
      </c>
      <c r="J627" s="30" t="s">
        <v>210</v>
      </c>
      <c r="K627" s="24">
        <v>1</v>
      </c>
      <c r="L627" s="25">
        <v>22.4</v>
      </c>
      <c r="M627" s="26">
        <v>22.4</v>
      </c>
      <c r="N627" s="26">
        <v>22.4</v>
      </c>
    </row>
    <row r="628" spans="4:14">
      <c r="D628" s="21">
        <v>46107</v>
      </c>
      <c r="E628" s="22">
        <v>1589238</v>
      </c>
      <c r="F628" s="22" t="s">
        <v>20</v>
      </c>
      <c r="G628" s="22">
        <v>20324723</v>
      </c>
      <c r="H628" s="22" t="s">
        <v>330</v>
      </c>
      <c r="I628" s="22">
        <v>1</v>
      </c>
      <c r="J628" s="30" t="s">
        <v>210</v>
      </c>
      <c r="K628" s="24">
        <v>1</v>
      </c>
      <c r="L628" s="25">
        <v>22.4</v>
      </c>
      <c r="M628" s="26">
        <v>22.4</v>
      </c>
      <c r="N628" s="26">
        <v>22.4</v>
      </c>
    </row>
    <row r="629" spans="4:14">
      <c r="D629" s="21">
        <v>46107</v>
      </c>
      <c r="E629" s="22">
        <v>1589238</v>
      </c>
      <c r="F629" s="22" t="s">
        <v>20</v>
      </c>
      <c r="G629" s="22">
        <v>20324636</v>
      </c>
      <c r="H629" s="22" t="s">
        <v>347</v>
      </c>
      <c r="I629" s="22">
        <v>1</v>
      </c>
      <c r="J629" s="30" t="s">
        <v>205</v>
      </c>
      <c r="K629" s="24">
        <v>1</v>
      </c>
      <c r="L629" s="25">
        <v>28</v>
      </c>
      <c r="M629" s="26">
        <v>28</v>
      </c>
      <c r="N629" s="26">
        <v>28</v>
      </c>
    </row>
    <row r="630" spans="4:14">
      <c r="D630" s="21">
        <v>46107</v>
      </c>
      <c r="E630" s="22">
        <v>1589238</v>
      </c>
      <c r="F630" s="22" t="s">
        <v>20</v>
      </c>
      <c r="G630" s="22">
        <v>20324642</v>
      </c>
      <c r="H630" s="22" t="s">
        <v>348</v>
      </c>
      <c r="I630" s="22">
        <v>1</v>
      </c>
      <c r="J630" s="28" t="s">
        <v>28</v>
      </c>
      <c r="K630" s="24">
        <v>1</v>
      </c>
      <c r="L630" s="25">
        <v>17.6</v>
      </c>
      <c r="M630" s="26">
        <v>17.6</v>
      </c>
      <c r="N630" s="26">
        <v>17.6</v>
      </c>
    </row>
    <row r="631" spans="4:14">
      <c r="D631" s="21">
        <v>46107</v>
      </c>
      <c r="E631" s="22">
        <v>1589238</v>
      </c>
      <c r="F631" s="22" t="s">
        <v>20</v>
      </c>
      <c r="G631" s="22">
        <v>20324644</v>
      </c>
      <c r="H631" s="22" t="s">
        <v>304</v>
      </c>
      <c r="I631" s="22">
        <v>1</v>
      </c>
      <c r="J631" s="30" t="s">
        <v>210</v>
      </c>
      <c r="K631" s="24">
        <v>1</v>
      </c>
      <c r="L631" s="25">
        <v>22.4</v>
      </c>
      <c r="M631" s="26">
        <v>22.4</v>
      </c>
      <c r="N631" s="26">
        <v>22.4</v>
      </c>
    </row>
    <row r="632" spans="4:14">
      <c r="D632" s="21">
        <v>46107</v>
      </c>
      <c r="E632" s="22">
        <v>1589238</v>
      </c>
      <c r="F632" s="22" t="s">
        <v>20</v>
      </c>
      <c r="G632" s="22">
        <v>20324814</v>
      </c>
      <c r="H632" s="22" t="s">
        <v>305</v>
      </c>
      <c r="I632" s="22">
        <v>1</v>
      </c>
      <c r="J632" s="30" t="s">
        <v>210</v>
      </c>
      <c r="K632" s="24">
        <v>1</v>
      </c>
      <c r="L632" s="25">
        <v>22.4</v>
      </c>
      <c r="M632" s="26">
        <v>22.4</v>
      </c>
      <c r="N632" s="26">
        <v>22.4</v>
      </c>
    </row>
    <row r="633" spans="4:14">
      <c r="D633" s="21">
        <v>46107</v>
      </c>
      <c r="E633" s="22">
        <v>1589238</v>
      </c>
      <c r="F633" s="22" t="s">
        <v>20</v>
      </c>
      <c r="G633" s="22">
        <v>20342864</v>
      </c>
      <c r="H633" s="22" t="s">
        <v>460</v>
      </c>
      <c r="I633" s="22">
        <v>1</v>
      </c>
      <c r="J633" s="30" t="s">
        <v>210</v>
      </c>
      <c r="K633" s="24">
        <v>1</v>
      </c>
      <c r="L633" s="25">
        <v>22.4</v>
      </c>
      <c r="M633" s="26">
        <v>22.4</v>
      </c>
      <c r="N633" s="26">
        <v>22.4</v>
      </c>
    </row>
    <row r="634" spans="4:14">
      <c r="D634" s="21">
        <v>46107</v>
      </c>
      <c r="E634" s="22">
        <v>1589252</v>
      </c>
      <c r="F634" s="22" t="s">
        <v>20</v>
      </c>
      <c r="G634" s="22">
        <v>20418835</v>
      </c>
      <c r="H634" s="22" t="s">
        <v>461</v>
      </c>
      <c r="I634" s="22">
        <v>1</v>
      </c>
      <c r="J634" s="28" t="s">
        <v>295</v>
      </c>
      <c r="K634" s="24">
        <v>1</v>
      </c>
      <c r="L634" s="25">
        <v>20</v>
      </c>
      <c r="M634" s="26">
        <v>20</v>
      </c>
      <c r="N634" s="26">
        <v>20</v>
      </c>
    </row>
    <row r="635" spans="4:14">
      <c r="D635" s="21">
        <v>46107</v>
      </c>
      <c r="E635" s="22">
        <v>1589252</v>
      </c>
      <c r="F635" s="22" t="s">
        <v>20</v>
      </c>
      <c r="G635" s="22">
        <v>20360999</v>
      </c>
      <c r="H635" s="22" t="s">
        <v>462</v>
      </c>
      <c r="I635" s="22">
        <v>1</v>
      </c>
      <c r="J635" s="28" t="s">
        <v>28</v>
      </c>
      <c r="K635" s="24">
        <v>1</v>
      </c>
      <c r="L635" s="25">
        <v>17.6</v>
      </c>
      <c r="M635" s="26">
        <v>35.2</v>
      </c>
      <c r="N635" s="26">
        <v>35.2</v>
      </c>
    </row>
    <row r="636" spans="4:14">
      <c r="D636" s="21"/>
      <c r="E636" s="22"/>
      <c r="F636" s="22"/>
      <c r="G636" s="22"/>
      <c r="H636" s="22"/>
      <c r="I636" s="22"/>
      <c r="J636" s="28" t="s">
        <v>28</v>
      </c>
      <c r="K636" s="24">
        <v>1</v>
      </c>
      <c r="L636" s="25">
        <v>17.6</v>
      </c>
      <c r="M636" s="26"/>
      <c r="N636" s="26"/>
    </row>
    <row r="637" spans="4:14">
      <c r="D637" s="21">
        <v>46107</v>
      </c>
      <c r="E637" s="22">
        <v>1589331</v>
      </c>
      <c r="F637" s="22" t="s">
        <v>20</v>
      </c>
      <c r="G637" s="22">
        <v>20358566</v>
      </c>
      <c r="H637" s="22" t="s">
        <v>365</v>
      </c>
      <c r="I637" s="22">
        <v>1</v>
      </c>
      <c r="J637" s="27" t="s">
        <v>145</v>
      </c>
      <c r="K637" s="24">
        <f>M637/L637</f>
        <v>4</v>
      </c>
      <c r="L637" s="25">
        <v>4.4</v>
      </c>
      <c r="M637" s="26">
        <v>17.6</v>
      </c>
      <c r="N637" s="26">
        <v>17.6</v>
      </c>
    </row>
    <row r="638" spans="4:14">
      <c r="D638" s="21">
        <v>46107</v>
      </c>
      <c r="E638" s="22">
        <v>1589331</v>
      </c>
      <c r="F638" s="22" t="s">
        <v>20</v>
      </c>
      <c r="G638" s="22">
        <v>20367310</v>
      </c>
      <c r="H638" s="22" t="s">
        <v>463</v>
      </c>
      <c r="I638" s="22">
        <v>1</v>
      </c>
      <c r="J638" s="23" t="s">
        <v>22</v>
      </c>
      <c r="K638" s="24">
        <v>1</v>
      </c>
      <c r="L638" s="25">
        <v>6.4</v>
      </c>
      <c r="M638" s="26">
        <v>6.4</v>
      </c>
      <c r="N638" s="26">
        <v>6.4</v>
      </c>
    </row>
    <row r="639" spans="4:14">
      <c r="D639" s="21">
        <v>46107</v>
      </c>
      <c r="E639" s="22">
        <v>1589331</v>
      </c>
      <c r="F639" s="22" t="s">
        <v>16</v>
      </c>
      <c r="G639" s="22">
        <v>20325204</v>
      </c>
      <c r="H639" s="22" t="s">
        <v>368</v>
      </c>
      <c r="I639" s="22">
        <v>1</v>
      </c>
      <c r="J639" s="28" t="s">
        <v>18</v>
      </c>
      <c r="K639" s="24">
        <f t="shared" ref="K639:K645" si="39">M639/L639</f>
        <v>13</v>
      </c>
      <c r="L639" s="25">
        <v>4.4</v>
      </c>
      <c r="M639" s="26">
        <v>57.2</v>
      </c>
      <c r="N639" s="26">
        <v>57.2</v>
      </c>
    </row>
    <row r="640" spans="4:14">
      <c r="D640" s="21">
        <v>46107</v>
      </c>
      <c r="E640" s="22">
        <v>1589331</v>
      </c>
      <c r="F640" s="22" t="s">
        <v>20</v>
      </c>
      <c r="G640" s="22">
        <v>20325131</v>
      </c>
      <c r="H640" s="22" t="s">
        <v>369</v>
      </c>
      <c r="I640" s="22">
        <v>1</v>
      </c>
      <c r="J640" s="28" t="s">
        <v>18</v>
      </c>
      <c r="K640" s="24">
        <f t="shared" si="39"/>
        <v>8</v>
      </c>
      <c r="L640" s="25">
        <v>4.4</v>
      </c>
      <c r="M640" s="26">
        <v>35.2</v>
      </c>
      <c r="N640" s="26">
        <v>35.2</v>
      </c>
    </row>
    <row r="641" spans="4:14">
      <c r="D641" s="21">
        <v>46108</v>
      </c>
      <c r="E641" s="22">
        <v>1589544</v>
      </c>
      <c r="F641" s="22" t="s">
        <v>16</v>
      </c>
      <c r="G641" s="22">
        <v>20324039</v>
      </c>
      <c r="H641" s="22" t="s">
        <v>338</v>
      </c>
      <c r="I641" s="22">
        <v>1</v>
      </c>
      <c r="J641" s="28" t="s">
        <v>18</v>
      </c>
      <c r="K641" s="24">
        <f t="shared" si="39"/>
        <v>37</v>
      </c>
      <c r="L641" s="25">
        <v>4.4</v>
      </c>
      <c r="M641" s="26">
        <v>162.8</v>
      </c>
      <c r="N641" s="26">
        <v>162.8</v>
      </c>
    </row>
    <row r="642" spans="4:14">
      <c r="D642" s="21">
        <v>46108</v>
      </c>
      <c r="E642" s="22">
        <v>1589544</v>
      </c>
      <c r="F642" s="22" t="s">
        <v>16</v>
      </c>
      <c r="G642" s="22">
        <v>20405201</v>
      </c>
      <c r="H642" s="22" t="s">
        <v>456</v>
      </c>
      <c r="I642" s="22">
        <v>1</v>
      </c>
      <c r="J642" s="28" t="s">
        <v>18</v>
      </c>
      <c r="K642" s="24">
        <f t="shared" si="39"/>
        <v>17</v>
      </c>
      <c r="L642" s="25">
        <v>4.4</v>
      </c>
      <c r="M642" s="26">
        <v>74.8</v>
      </c>
      <c r="N642" s="26">
        <v>74.8</v>
      </c>
    </row>
    <row r="643" spans="4:14">
      <c r="D643" s="21">
        <v>46108</v>
      </c>
      <c r="E643" s="22">
        <v>1589544</v>
      </c>
      <c r="F643" s="22" t="s">
        <v>16</v>
      </c>
      <c r="G643" s="22">
        <v>20324046</v>
      </c>
      <c r="H643" s="22" t="s">
        <v>259</v>
      </c>
      <c r="I643" s="22">
        <v>1</v>
      </c>
      <c r="J643" s="28" t="s">
        <v>18</v>
      </c>
      <c r="K643" s="24">
        <f t="shared" si="39"/>
        <v>49</v>
      </c>
      <c r="L643" s="25">
        <v>4.4</v>
      </c>
      <c r="M643" s="26">
        <v>215.6</v>
      </c>
      <c r="N643" s="26">
        <v>215.6</v>
      </c>
    </row>
    <row r="644" spans="4:14">
      <c r="D644" s="21">
        <v>46108</v>
      </c>
      <c r="E644" s="22">
        <v>1589544</v>
      </c>
      <c r="F644" s="22" t="s">
        <v>16</v>
      </c>
      <c r="G644" s="22">
        <v>20324045</v>
      </c>
      <c r="H644" s="22" t="s">
        <v>281</v>
      </c>
      <c r="I644" s="22">
        <v>3</v>
      </c>
      <c r="J644" s="28" t="s">
        <v>18</v>
      </c>
      <c r="K644" s="24">
        <f t="shared" si="39"/>
        <v>19</v>
      </c>
      <c r="L644" s="25">
        <v>4.4</v>
      </c>
      <c r="M644" s="26">
        <v>83.6</v>
      </c>
      <c r="N644" s="26">
        <v>250.8</v>
      </c>
    </row>
    <row r="645" spans="4:14">
      <c r="D645" s="21">
        <v>46108</v>
      </c>
      <c r="E645" s="22">
        <v>1589544</v>
      </c>
      <c r="F645" s="22" t="s">
        <v>30</v>
      </c>
      <c r="G645" s="22">
        <v>20363598</v>
      </c>
      <c r="H645" s="22" t="s">
        <v>464</v>
      </c>
      <c r="I645" s="22">
        <v>1</v>
      </c>
      <c r="J645" s="28" t="s">
        <v>18</v>
      </c>
      <c r="K645" s="24">
        <f t="shared" si="39"/>
        <v>7</v>
      </c>
      <c r="L645" s="25">
        <v>4.4</v>
      </c>
      <c r="M645" s="26">
        <v>30.8</v>
      </c>
      <c r="N645" s="26">
        <v>30.8</v>
      </c>
    </row>
    <row r="646" spans="4:14">
      <c r="D646" s="21">
        <v>46108</v>
      </c>
      <c r="E646" s="22">
        <v>1589544</v>
      </c>
      <c r="F646" s="22" t="s">
        <v>30</v>
      </c>
      <c r="G646" s="22">
        <v>20363596</v>
      </c>
      <c r="H646" s="22" t="s">
        <v>465</v>
      </c>
      <c r="I646" s="22">
        <v>1</v>
      </c>
      <c r="J646" s="28" t="s">
        <v>18</v>
      </c>
      <c r="K646" s="24">
        <f t="shared" ref="K646:K655" si="40">M646/L646</f>
        <v>3</v>
      </c>
      <c r="L646" s="25">
        <v>4.4</v>
      </c>
      <c r="M646" s="26">
        <v>13.2</v>
      </c>
      <c r="N646" s="26">
        <v>13.2</v>
      </c>
    </row>
    <row r="647" spans="4:14">
      <c r="D647" s="21">
        <v>46108</v>
      </c>
      <c r="E647" s="22">
        <v>1589544</v>
      </c>
      <c r="F647" s="22" t="s">
        <v>20</v>
      </c>
      <c r="G647" s="22">
        <v>20358566</v>
      </c>
      <c r="H647" s="22" t="s">
        <v>365</v>
      </c>
      <c r="I647" s="22">
        <v>2</v>
      </c>
      <c r="J647" s="27" t="s">
        <v>145</v>
      </c>
      <c r="K647" s="24">
        <f t="shared" si="40"/>
        <v>4</v>
      </c>
      <c r="L647" s="25">
        <v>4.4</v>
      </c>
      <c r="M647" s="26">
        <v>17.6</v>
      </c>
      <c r="N647" s="26">
        <v>35.2</v>
      </c>
    </row>
    <row r="648" spans="4:14">
      <c r="D648" s="21">
        <v>46108</v>
      </c>
      <c r="E648" s="22">
        <v>1589544</v>
      </c>
      <c r="F648" s="22" t="s">
        <v>20</v>
      </c>
      <c r="G648" s="22">
        <v>20358758</v>
      </c>
      <c r="H648" s="22" t="s">
        <v>367</v>
      </c>
      <c r="I648" s="22">
        <v>2</v>
      </c>
      <c r="J648" s="23" t="s">
        <v>22</v>
      </c>
      <c r="K648" s="24">
        <v>1</v>
      </c>
      <c r="L648" s="25">
        <v>6.4</v>
      </c>
      <c r="M648" s="26">
        <v>6.4</v>
      </c>
      <c r="N648" s="26">
        <v>12.8</v>
      </c>
    </row>
    <row r="649" spans="4:14">
      <c r="D649" s="21">
        <v>46108</v>
      </c>
      <c r="E649" s="22">
        <v>1589544</v>
      </c>
      <c r="F649" s="22" t="s">
        <v>16</v>
      </c>
      <c r="G649" s="22">
        <v>20325204</v>
      </c>
      <c r="H649" s="22" t="s">
        <v>368</v>
      </c>
      <c r="I649" s="22">
        <v>2</v>
      </c>
      <c r="J649" s="28" t="s">
        <v>18</v>
      </c>
      <c r="K649" s="24">
        <f>M649/L649</f>
        <v>13</v>
      </c>
      <c r="L649" s="25">
        <v>4.4</v>
      </c>
      <c r="M649" s="26">
        <v>57.2</v>
      </c>
      <c r="N649" s="26">
        <v>114.4</v>
      </c>
    </row>
    <row r="650" spans="4:14">
      <c r="D650" s="21">
        <v>46108</v>
      </c>
      <c r="E650" s="22">
        <v>1589544</v>
      </c>
      <c r="F650" s="22" t="s">
        <v>20</v>
      </c>
      <c r="G650" s="22">
        <v>20325545</v>
      </c>
      <c r="H650" s="22" t="s">
        <v>400</v>
      </c>
      <c r="I650" s="22">
        <v>2</v>
      </c>
      <c r="J650" s="28" t="s">
        <v>18</v>
      </c>
      <c r="K650" s="24">
        <f t="shared" si="40"/>
        <v>3</v>
      </c>
      <c r="L650" s="25">
        <v>4.4</v>
      </c>
      <c r="M650" s="26">
        <v>13.2</v>
      </c>
      <c r="N650" s="26">
        <v>26.4</v>
      </c>
    </row>
    <row r="651" spans="4:14">
      <c r="D651" s="21">
        <v>46108</v>
      </c>
      <c r="E651" s="22">
        <v>1589544</v>
      </c>
      <c r="F651" s="22" t="s">
        <v>20</v>
      </c>
      <c r="G651" s="22">
        <v>20325131</v>
      </c>
      <c r="H651" s="22" t="s">
        <v>369</v>
      </c>
      <c r="I651" s="22">
        <v>1</v>
      </c>
      <c r="J651" s="28" t="s">
        <v>18</v>
      </c>
      <c r="K651" s="24">
        <f t="shared" si="40"/>
        <v>8</v>
      </c>
      <c r="L651" s="25">
        <v>4.4</v>
      </c>
      <c r="M651" s="26">
        <v>35.2</v>
      </c>
      <c r="N651" s="26">
        <v>35.2</v>
      </c>
    </row>
    <row r="652" spans="4:14">
      <c r="D652" s="21">
        <v>46108</v>
      </c>
      <c r="E652" s="22">
        <v>1589544</v>
      </c>
      <c r="F652" s="22" t="s">
        <v>20</v>
      </c>
      <c r="G652" s="22">
        <v>20329152</v>
      </c>
      <c r="H652" s="22" t="s">
        <v>352</v>
      </c>
      <c r="I652" s="22">
        <v>1</v>
      </c>
      <c r="J652" s="28" t="s">
        <v>18</v>
      </c>
      <c r="K652" s="24">
        <f t="shared" si="40"/>
        <v>11</v>
      </c>
      <c r="L652" s="25">
        <v>4.4</v>
      </c>
      <c r="M652" s="26">
        <v>48.4</v>
      </c>
      <c r="N652" s="26">
        <v>48.4</v>
      </c>
    </row>
    <row r="653" spans="4:14">
      <c r="D653" s="21">
        <v>46108</v>
      </c>
      <c r="E653" s="22">
        <v>1589544</v>
      </c>
      <c r="F653" s="22" t="s">
        <v>20</v>
      </c>
      <c r="G653" s="22">
        <v>20324711</v>
      </c>
      <c r="H653" s="22" t="s">
        <v>389</v>
      </c>
      <c r="I653" s="22">
        <v>1</v>
      </c>
      <c r="J653" s="28" t="s">
        <v>18</v>
      </c>
      <c r="K653" s="24">
        <f t="shared" si="40"/>
        <v>14</v>
      </c>
      <c r="L653" s="25">
        <v>4.4</v>
      </c>
      <c r="M653" s="26">
        <v>61.6</v>
      </c>
      <c r="N653" s="26">
        <v>61.6</v>
      </c>
    </row>
    <row r="654" spans="4:14">
      <c r="D654" s="21">
        <v>46108</v>
      </c>
      <c r="E654" s="22">
        <v>1589544</v>
      </c>
      <c r="F654" s="22" t="s">
        <v>20</v>
      </c>
      <c r="G654" s="22">
        <v>20332488</v>
      </c>
      <c r="H654" s="22" t="s">
        <v>444</v>
      </c>
      <c r="I654" s="22">
        <v>1</v>
      </c>
      <c r="J654" s="28" t="s">
        <v>18</v>
      </c>
      <c r="K654" s="24">
        <f t="shared" si="40"/>
        <v>7</v>
      </c>
      <c r="L654" s="25">
        <v>4.4</v>
      </c>
      <c r="M654" s="26">
        <v>30.8</v>
      </c>
      <c r="N654" s="26">
        <v>30.8</v>
      </c>
    </row>
    <row r="655" spans="4:14">
      <c r="D655" s="21">
        <v>46108</v>
      </c>
      <c r="E655" s="22">
        <v>1589544</v>
      </c>
      <c r="F655" s="22" t="s">
        <v>20</v>
      </c>
      <c r="G655" s="22">
        <v>20324699</v>
      </c>
      <c r="H655" s="22" t="s">
        <v>283</v>
      </c>
      <c r="I655" s="22">
        <v>7</v>
      </c>
      <c r="J655" s="28" t="s">
        <v>18</v>
      </c>
      <c r="K655" s="24">
        <f t="shared" si="40"/>
        <v>5</v>
      </c>
      <c r="L655" s="25">
        <v>4.4</v>
      </c>
      <c r="M655" s="26">
        <v>22</v>
      </c>
      <c r="N655" s="26">
        <v>154</v>
      </c>
    </row>
    <row r="656" spans="4:14">
      <c r="D656" s="21">
        <v>46108</v>
      </c>
      <c r="E656" s="22">
        <v>1589624</v>
      </c>
      <c r="F656" s="22" t="s">
        <v>20</v>
      </c>
      <c r="G656" s="22">
        <v>20366789</v>
      </c>
      <c r="H656" s="22" t="s">
        <v>345</v>
      </c>
      <c r="I656" s="22">
        <v>1</v>
      </c>
      <c r="J656" s="30" t="s">
        <v>205</v>
      </c>
      <c r="K656" s="24">
        <v>1</v>
      </c>
      <c r="L656" s="25">
        <v>28</v>
      </c>
      <c r="M656" s="26">
        <v>28</v>
      </c>
      <c r="N656" s="26">
        <v>28</v>
      </c>
    </row>
    <row r="657" spans="4:14">
      <c r="D657" s="21">
        <v>46108</v>
      </c>
      <c r="E657" s="22">
        <v>1589624</v>
      </c>
      <c r="F657" s="22" t="s">
        <v>20</v>
      </c>
      <c r="G657" s="22">
        <v>20366790</v>
      </c>
      <c r="H657" s="22" t="s">
        <v>377</v>
      </c>
      <c r="I657" s="22">
        <v>1</v>
      </c>
      <c r="J657" s="28" t="s">
        <v>28</v>
      </c>
      <c r="K657" s="24">
        <v>1</v>
      </c>
      <c r="L657" s="25">
        <v>17.6</v>
      </c>
      <c r="M657" s="26">
        <v>52.8</v>
      </c>
      <c r="N657" s="26">
        <v>52.8</v>
      </c>
    </row>
    <row r="658" spans="4:14">
      <c r="D658" s="21"/>
      <c r="E658" s="22"/>
      <c r="F658" s="22"/>
      <c r="G658" s="22"/>
      <c r="H658" s="22"/>
      <c r="I658" s="22"/>
      <c r="J658" s="28" t="s">
        <v>28</v>
      </c>
      <c r="K658" s="24">
        <v>1</v>
      </c>
      <c r="L658" s="25">
        <v>17.6</v>
      </c>
      <c r="M658" s="26"/>
      <c r="N658" s="26"/>
    </row>
    <row r="659" spans="4:14">
      <c r="D659" s="21"/>
      <c r="E659" s="22"/>
      <c r="F659" s="22"/>
      <c r="G659" s="22"/>
      <c r="H659" s="22"/>
      <c r="I659" s="22"/>
      <c r="J659" s="28" t="s">
        <v>28</v>
      </c>
      <c r="K659" s="24">
        <v>1</v>
      </c>
      <c r="L659" s="25">
        <v>17.6</v>
      </c>
      <c r="M659" s="26"/>
      <c r="N659" s="26"/>
    </row>
    <row r="660" spans="4:14">
      <c r="D660" s="21">
        <v>46108</v>
      </c>
      <c r="E660" s="22">
        <v>1589636</v>
      </c>
      <c r="F660" s="22" t="s">
        <v>20</v>
      </c>
      <c r="G660" s="22">
        <v>20324635</v>
      </c>
      <c r="H660" s="22" t="s">
        <v>372</v>
      </c>
      <c r="I660" s="22">
        <v>1</v>
      </c>
      <c r="J660" s="30" t="s">
        <v>205</v>
      </c>
      <c r="K660" s="24">
        <v>1</v>
      </c>
      <c r="L660" s="25">
        <v>28</v>
      </c>
      <c r="M660" s="26">
        <v>28</v>
      </c>
      <c r="N660" s="26">
        <v>28</v>
      </c>
    </row>
    <row r="661" spans="4:14">
      <c r="D661" s="21">
        <v>46108</v>
      </c>
      <c r="E661" s="22">
        <v>1589949</v>
      </c>
      <c r="F661" s="22" t="s">
        <v>16</v>
      </c>
      <c r="G661" s="22">
        <v>20324039</v>
      </c>
      <c r="H661" s="22" t="s">
        <v>338</v>
      </c>
      <c r="I661" s="22">
        <v>2</v>
      </c>
      <c r="J661" s="28" t="s">
        <v>18</v>
      </c>
      <c r="K661" s="24">
        <f>M661/L661</f>
        <v>37</v>
      </c>
      <c r="L661" s="25">
        <v>4.4</v>
      </c>
      <c r="M661" s="26">
        <v>162.8</v>
      </c>
      <c r="N661" s="26">
        <v>325.6</v>
      </c>
    </row>
    <row r="662" spans="4:14">
      <c r="D662" s="21">
        <v>46108</v>
      </c>
      <c r="E662" s="22">
        <v>1589949</v>
      </c>
      <c r="F662" s="22" t="s">
        <v>16</v>
      </c>
      <c r="G662" s="22">
        <v>20324045</v>
      </c>
      <c r="H662" s="22" t="s">
        <v>281</v>
      </c>
      <c r="I662" s="22">
        <v>1</v>
      </c>
      <c r="J662" s="28" t="s">
        <v>18</v>
      </c>
      <c r="K662" s="24">
        <f>M662/L662</f>
        <v>19</v>
      </c>
      <c r="L662" s="25">
        <v>4.4</v>
      </c>
      <c r="M662" s="26">
        <v>83.6</v>
      </c>
      <c r="N662" s="26">
        <v>83.6</v>
      </c>
    </row>
    <row r="663" spans="4:14">
      <c r="D663" s="21">
        <v>46108</v>
      </c>
      <c r="E663" s="22">
        <v>1589949</v>
      </c>
      <c r="F663" s="22" t="s">
        <v>20</v>
      </c>
      <c r="G663" s="22">
        <v>20324367</v>
      </c>
      <c r="H663" s="22" t="s">
        <v>146</v>
      </c>
      <c r="I663" s="22">
        <v>1</v>
      </c>
      <c r="J663" s="23" t="s">
        <v>22</v>
      </c>
      <c r="K663" s="24">
        <v>1</v>
      </c>
      <c r="L663" s="25">
        <v>6.4</v>
      </c>
      <c r="M663" s="26">
        <v>6.4</v>
      </c>
      <c r="N663" s="26">
        <v>6.4</v>
      </c>
    </row>
    <row r="664" spans="4:14">
      <c r="D664" s="21">
        <v>46108</v>
      </c>
      <c r="E664" s="22">
        <v>1589949</v>
      </c>
      <c r="F664" s="22" t="s">
        <v>20</v>
      </c>
      <c r="G664" s="22">
        <v>20325529</v>
      </c>
      <c r="H664" s="22" t="s">
        <v>405</v>
      </c>
      <c r="I664" s="22">
        <v>1</v>
      </c>
      <c r="J664" s="28" t="s">
        <v>18</v>
      </c>
      <c r="K664" s="24">
        <f>M664/L664</f>
        <v>4</v>
      </c>
      <c r="L664" s="25">
        <v>4.4</v>
      </c>
      <c r="M664" s="26">
        <v>17.6</v>
      </c>
      <c r="N664" s="26">
        <v>17.6</v>
      </c>
    </row>
    <row r="665" spans="4:14">
      <c r="D665" s="21">
        <v>46108</v>
      </c>
      <c r="E665" s="22">
        <v>1589949</v>
      </c>
      <c r="F665" s="22" t="s">
        <v>20</v>
      </c>
      <c r="G665" s="22">
        <v>20324699</v>
      </c>
      <c r="H665" s="22" t="s">
        <v>283</v>
      </c>
      <c r="I665" s="22">
        <v>3</v>
      </c>
      <c r="J665" s="28" t="s">
        <v>18</v>
      </c>
      <c r="K665" s="24">
        <f>M665/L665</f>
        <v>5</v>
      </c>
      <c r="L665" s="25">
        <v>4.4</v>
      </c>
      <c r="M665" s="26">
        <v>22</v>
      </c>
      <c r="N665" s="26">
        <v>66</v>
      </c>
    </row>
    <row r="666" spans="4:14">
      <c r="D666" s="21">
        <v>46108</v>
      </c>
      <c r="E666" s="22">
        <v>1589949</v>
      </c>
      <c r="F666" s="22" t="s">
        <v>55</v>
      </c>
      <c r="G666" s="22">
        <v>20354932</v>
      </c>
      <c r="H666" s="22" t="s">
        <v>236</v>
      </c>
      <c r="I666" s="22">
        <v>12</v>
      </c>
      <c r="J666" s="30" t="s">
        <v>57</v>
      </c>
      <c r="K666" s="24">
        <v>1</v>
      </c>
      <c r="L666" s="25">
        <v>3.2</v>
      </c>
      <c r="M666" s="26">
        <v>3.2</v>
      </c>
      <c r="N666" s="26">
        <v>38.4</v>
      </c>
    </row>
    <row r="667" spans="4:14">
      <c r="D667" s="21">
        <v>46109</v>
      </c>
      <c r="E667" s="22">
        <v>1590047</v>
      </c>
      <c r="F667" s="22" t="s">
        <v>20</v>
      </c>
      <c r="G667" s="22">
        <v>20342188</v>
      </c>
      <c r="H667" s="22" t="s">
        <v>370</v>
      </c>
      <c r="I667" s="22">
        <v>1</v>
      </c>
      <c r="J667" s="30" t="s">
        <v>210</v>
      </c>
      <c r="K667" s="24">
        <v>1</v>
      </c>
      <c r="L667" s="25">
        <v>22.4</v>
      </c>
      <c r="M667" s="26">
        <v>22.4</v>
      </c>
      <c r="N667" s="26">
        <v>22.4</v>
      </c>
    </row>
    <row r="668" spans="4:14">
      <c r="D668" s="21">
        <v>46109</v>
      </c>
      <c r="E668" s="22">
        <v>1590047</v>
      </c>
      <c r="F668" s="22" t="s">
        <v>20</v>
      </c>
      <c r="G668" s="22">
        <v>20328011</v>
      </c>
      <c r="H668" s="22" t="s">
        <v>425</v>
      </c>
      <c r="I668" s="22">
        <v>1</v>
      </c>
      <c r="J668" s="28" t="s">
        <v>28</v>
      </c>
      <c r="K668" s="24">
        <v>1</v>
      </c>
      <c r="L668" s="25">
        <v>17.6</v>
      </c>
      <c r="M668" s="26">
        <v>52.8</v>
      </c>
      <c r="N668" s="26">
        <v>52.8</v>
      </c>
    </row>
    <row r="669" spans="4:14">
      <c r="D669" s="21"/>
      <c r="E669" s="22"/>
      <c r="F669" s="22"/>
      <c r="G669" s="22"/>
      <c r="H669" s="22"/>
      <c r="I669" s="22"/>
      <c r="J669" s="28" t="s">
        <v>28</v>
      </c>
      <c r="K669" s="24">
        <v>1</v>
      </c>
      <c r="L669" s="25">
        <v>17.6</v>
      </c>
      <c r="M669" s="26"/>
      <c r="N669" s="26"/>
    </row>
    <row r="670" spans="4:14">
      <c r="D670" s="21"/>
      <c r="E670" s="22"/>
      <c r="F670" s="22"/>
      <c r="G670" s="22"/>
      <c r="H670" s="22"/>
      <c r="I670" s="22"/>
      <c r="J670" s="28" t="s">
        <v>28</v>
      </c>
      <c r="K670" s="24">
        <v>1</v>
      </c>
      <c r="L670" s="25">
        <v>17.6</v>
      </c>
      <c r="M670" s="26"/>
      <c r="N670" s="26"/>
    </row>
    <row r="671" spans="4:14">
      <c r="D671" s="21">
        <v>46109</v>
      </c>
      <c r="E671" s="22">
        <v>1590047</v>
      </c>
      <c r="F671" s="22" t="s">
        <v>20</v>
      </c>
      <c r="G671" s="22">
        <v>20325857</v>
      </c>
      <c r="H671" s="22" t="s">
        <v>373</v>
      </c>
      <c r="I671" s="22">
        <v>1</v>
      </c>
      <c r="J671" s="30" t="s">
        <v>210</v>
      </c>
      <c r="K671" s="24">
        <v>1</v>
      </c>
      <c r="L671" s="25">
        <v>22.4</v>
      </c>
      <c r="M671" s="26">
        <v>22.4</v>
      </c>
      <c r="N671" s="26">
        <v>22.4</v>
      </c>
    </row>
    <row r="672" spans="4:14">
      <c r="D672" s="21">
        <v>46112</v>
      </c>
      <c r="E672" s="22">
        <v>1590518</v>
      </c>
      <c r="F672" s="22" t="s">
        <v>16</v>
      </c>
      <c r="G672" s="22">
        <v>20324039</v>
      </c>
      <c r="H672" s="22" t="s">
        <v>338</v>
      </c>
      <c r="I672" s="22">
        <v>2</v>
      </c>
      <c r="J672" s="28" t="s">
        <v>18</v>
      </c>
      <c r="K672" s="24">
        <f t="shared" ref="K672:K676" si="41">M672/L672</f>
        <v>37</v>
      </c>
      <c r="L672" s="25">
        <v>4.4</v>
      </c>
      <c r="M672" s="26">
        <v>162.8</v>
      </c>
      <c r="N672" s="26">
        <v>325.6</v>
      </c>
    </row>
    <row r="673" spans="4:14">
      <c r="D673" s="21">
        <v>46112</v>
      </c>
      <c r="E673" s="22">
        <v>1590518</v>
      </c>
      <c r="F673" s="22" t="s">
        <v>16</v>
      </c>
      <c r="G673" s="22">
        <v>20324049</v>
      </c>
      <c r="H673" s="22" t="s">
        <v>351</v>
      </c>
      <c r="I673" s="22">
        <v>1</v>
      </c>
      <c r="J673" s="28" t="s">
        <v>18</v>
      </c>
      <c r="K673" s="24">
        <f t="shared" si="41"/>
        <v>25</v>
      </c>
      <c r="L673" s="25">
        <v>4.4</v>
      </c>
      <c r="M673" s="26">
        <v>110</v>
      </c>
      <c r="N673" s="26">
        <v>110</v>
      </c>
    </row>
    <row r="674" spans="4:14">
      <c r="D674" s="21">
        <v>46112</v>
      </c>
      <c r="E674" s="22">
        <v>1590518</v>
      </c>
      <c r="F674" s="22" t="s">
        <v>16</v>
      </c>
      <c r="G674" s="22">
        <v>20324045</v>
      </c>
      <c r="H674" s="22" t="s">
        <v>281</v>
      </c>
      <c r="I674" s="22">
        <v>1</v>
      </c>
      <c r="J674" s="28" t="s">
        <v>18</v>
      </c>
      <c r="K674" s="24">
        <f t="shared" si="41"/>
        <v>19</v>
      </c>
      <c r="L674" s="25">
        <v>4.4</v>
      </c>
      <c r="M674" s="26">
        <v>83.6</v>
      </c>
      <c r="N674" s="26">
        <v>83.6</v>
      </c>
    </row>
    <row r="675" spans="4:14">
      <c r="D675" s="21">
        <v>46112</v>
      </c>
      <c r="E675" s="22">
        <v>1590518</v>
      </c>
      <c r="F675" s="22" t="s">
        <v>20</v>
      </c>
      <c r="G675" s="22">
        <v>20326197</v>
      </c>
      <c r="H675" s="22" t="s">
        <v>364</v>
      </c>
      <c r="I675" s="22">
        <v>1</v>
      </c>
      <c r="J675" s="27" t="s">
        <v>145</v>
      </c>
      <c r="K675" s="24">
        <f t="shared" si="41"/>
        <v>3</v>
      </c>
      <c r="L675" s="25">
        <v>4.4</v>
      </c>
      <c r="M675" s="26">
        <v>13.2</v>
      </c>
      <c r="N675" s="26">
        <v>13.2</v>
      </c>
    </row>
    <row r="676" spans="4:14">
      <c r="D676" s="21">
        <v>46112</v>
      </c>
      <c r="E676" s="22">
        <v>1590518</v>
      </c>
      <c r="F676" s="22" t="s">
        <v>20</v>
      </c>
      <c r="G676" s="22">
        <v>20358566</v>
      </c>
      <c r="H676" s="22" t="s">
        <v>365</v>
      </c>
      <c r="I676" s="22">
        <v>1</v>
      </c>
      <c r="J676" s="27" t="s">
        <v>145</v>
      </c>
      <c r="K676" s="24">
        <f t="shared" si="41"/>
        <v>4</v>
      </c>
      <c r="L676" s="25">
        <v>4.4</v>
      </c>
      <c r="M676" s="26">
        <v>17.6</v>
      </c>
      <c r="N676" s="26">
        <v>17.6</v>
      </c>
    </row>
    <row r="677" spans="4:14">
      <c r="D677" s="21">
        <v>46112</v>
      </c>
      <c r="E677" s="22">
        <v>1590518</v>
      </c>
      <c r="F677" s="22" t="s">
        <v>20</v>
      </c>
      <c r="G677" s="22">
        <v>20325179</v>
      </c>
      <c r="H677" s="22" t="s">
        <v>396</v>
      </c>
      <c r="I677" s="22">
        <v>1</v>
      </c>
      <c r="J677" s="27" t="s">
        <v>25</v>
      </c>
      <c r="K677" s="24">
        <v>1</v>
      </c>
      <c r="L677" s="25">
        <v>8.8</v>
      </c>
      <c r="M677" s="25">
        <v>13.2</v>
      </c>
      <c r="N677" s="25">
        <v>13.2</v>
      </c>
    </row>
    <row r="678" spans="4:14">
      <c r="D678" s="21"/>
      <c r="E678" s="22"/>
      <c r="F678" s="22"/>
      <c r="G678" s="22"/>
      <c r="H678" s="22"/>
      <c r="I678" s="22"/>
      <c r="J678" s="27" t="s">
        <v>145</v>
      </c>
      <c r="K678" s="24">
        <v>1</v>
      </c>
      <c r="L678" s="25">
        <v>4.4</v>
      </c>
      <c r="M678" s="25"/>
      <c r="N678" s="25"/>
    </row>
    <row r="679" spans="4:14">
      <c r="D679" s="21">
        <v>46112</v>
      </c>
      <c r="E679" s="22">
        <v>1590518</v>
      </c>
      <c r="F679" s="22" t="s">
        <v>20</v>
      </c>
      <c r="G679" s="22">
        <v>20324367</v>
      </c>
      <c r="H679" s="22" t="s">
        <v>146</v>
      </c>
      <c r="I679" s="22">
        <v>1</v>
      </c>
      <c r="J679" s="23" t="s">
        <v>22</v>
      </c>
      <c r="K679" s="24">
        <v>1</v>
      </c>
      <c r="L679" s="25">
        <v>6.4</v>
      </c>
      <c r="M679" s="26">
        <v>6.4</v>
      </c>
      <c r="N679" s="26">
        <v>6.4</v>
      </c>
    </row>
    <row r="680" spans="4:14">
      <c r="D680" s="21">
        <v>46112</v>
      </c>
      <c r="E680" s="22">
        <v>1590518</v>
      </c>
      <c r="F680" s="22" t="s">
        <v>20</v>
      </c>
      <c r="G680" s="22">
        <v>20358758</v>
      </c>
      <c r="H680" s="22" t="s">
        <v>367</v>
      </c>
      <c r="I680" s="22">
        <v>1</v>
      </c>
      <c r="J680" s="23" t="s">
        <v>22</v>
      </c>
      <c r="K680" s="24">
        <v>1</v>
      </c>
      <c r="L680" s="25">
        <v>6.4</v>
      </c>
      <c r="M680" s="26">
        <v>6.4</v>
      </c>
      <c r="N680" s="26">
        <v>6.4</v>
      </c>
    </row>
    <row r="681" spans="4:14">
      <c r="D681" s="21">
        <v>46112</v>
      </c>
      <c r="E681" s="22">
        <v>1590518</v>
      </c>
      <c r="F681" s="22" t="s">
        <v>16</v>
      </c>
      <c r="G681" s="22">
        <v>20325204</v>
      </c>
      <c r="H681" s="22" t="s">
        <v>368</v>
      </c>
      <c r="I681" s="22">
        <v>1</v>
      </c>
      <c r="J681" s="28" t="s">
        <v>18</v>
      </c>
      <c r="K681" s="24">
        <f t="shared" ref="K681:K687" si="42">M681/L681</f>
        <v>13</v>
      </c>
      <c r="L681" s="25">
        <v>4.4</v>
      </c>
      <c r="M681" s="26">
        <v>57.2</v>
      </c>
      <c r="N681" s="26">
        <v>57.2</v>
      </c>
    </row>
    <row r="682" spans="4:14">
      <c r="D682" s="21">
        <v>46112</v>
      </c>
      <c r="E682" s="22">
        <v>1590518</v>
      </c>
      <c r="F682" s="22" t="s">
        <v>20</v>
      </c>
      <c r="G682" s="22">
        <v>20325131</v>
      </c>
      <c r="H682" s="22" t="s">
        <v>369</v>
      </c>
      <c r="I682" s="22">
        <v>1</v>
      </c>
      <c r="J682" s="28" t="s">
        <v>18</v>
      </c>
      <c r="K682" s="24">
        <f t="shared" si="42"/>
        <v>8</v>
      </c>
      <c r="L682" s="25">
        <v>4.4</v>
      </c>
      <c r="M682" s="26">
        <v>35.2</v>
      </c>
      <c r="N682" s="26">
        <v>35.2</v>
      </c>
    </row>
    <row r="683" spans="4:14">
      <c r="D683" s="21">
        <v>46112</v>
      </c>
      <c r="E683" s="22">
        <v>1590518</v>
      </c>
      <c r="F683" s="22" t="s">
        <v>20</v>
      </c>
      <c r="G683" s="22">
        <v>20324699</v>
      </c>
      <c r="H683" s="22" t="s">
        <v>283</v>
      </c>
      <c r="I683" s="22">
        <v>3</v>
      </c>
      <c r="J683" s="28" t="s">
        <v>18</v>
      </c>
      <c r="K683" s="24">
        <f t="shared" si="42"/>
        <v>5</v>
      </c>
      <c r="L683" s="25">
        <v>4.4</v>
      </c>
      <c r="M683" s="26">
        <v>22</v>
      </c>
      <c r="N683" s="26">
        <v>66</v>
      </c>
    </row>
    <row r="684" spans="4:14">
      <c r="D684" s="21">
        <v>46112</v>
      </c>
      <c r="E684" s="22">
        <v>1590887</v>
      </c>
      <c r="F684" s="22" t="s">
        <v>16</v>
      </c>
      <c r="G684" s="22">
        <v>20324028</v>
      </c>
      <c r="H684" s="22" t="s">
        <v>386</v>
      </c>
      <c r="I684" s="22">
        <v>2</v>
      </c>
      <c r="J684" s="28" t="s">
        <v>18</v>
      </c>
      <c r="K684" s="24">
        <f t="shared" si="42"/>
        <v>42</v>
      </c>
      <c r="L684" s="25">
        <v>4.4</v>
      </c>
      <c r="M684" s="26">
        <v>184.8</v>
      </c>
      <c r="N684" s="26">
        <v>369.6</v>
      </c>
    </row>
    <row r="685" spans="4:14">
      <c r="D685" s="21">
        <v>46112</v>
      </c>
      <c r="E685" s="22">
        <v>1590887</v>
      </c>
      <c r="F685" s="22" t="s">
        <v>16</v>
      </c>
      <c r="G685" s="22">
        <v>20324036</v>
      </c>
      <c r="H685" s="22" t="s">
        <v>439</v>
      </c>
      <c r="I685" s="22">
        <v>1</v>
      </c>
      <c r="J685" s="28" t="s">
        <v>18</v>
      </c>
      <c r="K685" s="24">
        <f t="shared" si="42"/>
        <v>45</v>
      </c>
      <c r="L685" s="25">
        <v>4.4</v>
      </c>
      <c r="M685" s="26">
        <v>198</v>
      </c>
      <c r="N685" s="26">
        <v>198</v>
      </c>
    </row>
    <row r="686" spans="4:14">
      <c r="D686" s="21">
        <v>46112</v>
      </c>
      <c r="E686" s="22">
        <v>1590887</v>
      </c>
      <c r="F686" s="22" t="s">
        <v>16</v>
      </c>
      <c r="G686" s="22">
        <v>20324737</v>
      </c>
      <c r="H686" s="22" t="s">
        <v>387</v>
      </c>
      <c r="I686" s="22">
        <v>1</v>
      </c>
      <c r="J686" s="28" t="s">
        <v>18</v>
      </c>
      <c r="K686" s="24">
        <f t="shared" si="42"/>
        <v>22</v>
      </c>
      <c r="L686" s="25">
        <v>4.4</v>
      </c>
      <c r="M686" s="26">
        <v>96.8</v>
      </c>
      <c r="N686" s="26">
        <v>96.8</v>
      </c>
    </row>
    <row r="687" spans="4:14">
      <c r="D687" s="21">
        <v>46112</v>
      </c>
      <c r="E687" s="22">
        <v>1590887</v>
      </c>
      <c r="F687" s="22" t="s">
        <v>16</v>
      </c>
      <c r="G687" s="22">
        <v>20324045</v>
      </c>
      <c r="H687" s="22" t="s">
        <v>281</v>
      </c>
      <c r="I687" s="22">
        <v>4</v>
      </c>
      <c r="J687" s="28" t="s">
        <v>18</v>
      </c>
      <c r="K687" s="24">
        <f t="shared" si="42"/>
        <v>19</v>
      </c>
      <c r="L687" s="25">
        <v>4.4</v>
      </c>
      <c r="M687" s="26">
        <v>83.6</v>
      </c>
      <c r="N687" s="26">
        <v>334.4</v>
      </c>
    </row>
    <row r="688" spans="4:14">
      <c r="D688" s="21">
        <v>46112</v>
      </c>
      <c r="E688" s="22">
        <v>1590887</v>
      </c>
      <c r="F688" s="22" t="s">
        <v>20</v>
      </c>
      <c r="G688" s="22">
        <v>20325179</v>
      </c>
      <c r="H688" s="22" t="s">
        <v>396</v>
      </c>
      <c r="I688" s="22">
        <v>1</v>
      </c>
      <c r="J688" s="27" t="s">
        <v>25</v>
      </c>
      <c r="K688" s="24">
        <v>1</v>
      </c>
      <c r="L688" s="25">
        <v>8.8</v>
      </c>
      <c r="M688" s="25">
        <v>13.2</v>
      </c>
      <c r="N688" s="25">
        <v>13.2</v>
      </c>
    </row>
    <row r="689" spans="4:14">
      <c r="D689" s="21"/>
      <c r="E689" s="22"/>
      <c r="F689" s="22"/>
      <c r="G689" s="22"/>
      <c r="H689" s="22"/>
      <c r="I689" s="22"/>
      <c r="J689" s="27" t="s">
        <v>145</v>
      </c>
      <c r="K689" s="24">
        <v>1</v>
      </c>
      <c r="L689" s="25">
        <v>4.4</v>
      </c>
      <c r="M689" s="25"/>
      <c r="N689" s="25"/>
    </row>
    <row r="690" spans="4:14">
      <c r="D690" s="21">
        <v>46112</v>
      </c>
      <c r="E690" s="22">
        <v>1590887</v>
      </c>
      <c r="F690" s="22" t="s">
        <v>20</v>
      </c>
      <c r="G690" s="22">
        <v>20325530</v>
      </c>
      <c r="H690" s="22" t="s">
        <v>388</v>
      </c>
      <c r="I690" s="22">
        <v>1</v>
      </c>
      <c r="J690" s="27" t="s">
        <v>25</v>
      </c>
      <c r="K690" s="24">
        <v>1</v>
      </c>
      <c r="L690" s="25">
        <v>8.8</v>
      </c>
      <c r="M690" s="25">
        <v>13.2</v>
      </c>
      <c r="N690" s="25">
        <v>13.2</v>
      </c>
    </row>
    <row r="691" spans="4:14">
      <c r="D691" s="21"/>
      <c r="E691" s="22"/>
      <c r="F691" s="22"/>
      <c r="G691" s="22"/>
      <c r="H691" s="22"/>
      <c r="I691" s="22"/>
      <c r="J691" s="27" t="s">
        <v>145</v>
      </c>
      <c r="K691" s="24">
        <v>1</v>
      </c>
      <c r="L691" s="25">
        <v>4.4</v>
      </c>
      <c r="M691" s="25"/>
      <c r="N691" s="25"/>
    </row>
    <row r="692" spans="4:14">
      <c r="D692" s="21">
        <v>46112</v>
      </c>
      <c r="E692" s="22">
        <v>1590887</v>
      </c>
      <c r="F692" s="22" t="s">
        <v>20</v>
      </c>
      <c r="G692" s="22">
        <v>20324367</v>
      </c>
      <c r="H692" s="22" t="s">
        <v>146</v>
      </c>
      <c r="I692" s="22">
        <v>2</v>
      </c>
      <c r="J692" s="23" t="s">
        <v>22</v>
      </c>
      <c r="K692" s="24">
        <v>1</v>
      </c>
      <c r="L692" s="25">
        <v>6.4</v>
      </c>
      <c r="M692" s="26">
        <v>6.4</v>
      </c>
      <c r="N692" s="26">
        <v>12.8</v>
      </c>
    </row>
    <row r="693" spans="4:14">
      <c r="D693" s="21">
        <v>46112</v>
      </c>
      <c r="E693" s="22">
        <v>1590887</v>
      </c>
      <c r="F693" s="22" t="s">
        <v>20</v>
      </c>
      <c r="G693" s="22">
        <v>20324710</v>
      </c>
      <c r="H693" s="22" t="s">
        <v>436</v>
      </c>
      <c r="I693" s="22">
        <v>1</v>
      </c>
      <c r="J693" s="27" t="s">
        <v>145</v>
      </c>
      <c r="K693" s="24">
        <f t="shared" ref="K693:K696" si="43">M693/L693</f>
        <v>4</v>
      </c>
      <c r="L693" s="25">
        <v>4.4</v>
      </c>
      <c r="M693" s="26">
        <v>17.6</v>
      </c>
      <c r="N693" s="26">
        <v>17.6</v>
      </c>
    </row>
    <row r="694" spans="4:14">
      <c r="D694" s="21">
        <v>46112</v>
      </c>
      <c r="E694" s="22">
        <v>1590887</v>
      </c>
      <c r="F694" s="22" t="s">
        <v>20</v>
      </c>
      <c r="G694" s="22">
        <v>20328020</v>
      </c>
      <c r="H694" s="22" t="s">
        <v>466</v>
      </c>
      <c r="I694" s="22">
        <v>1</v>
      </c>
      <c r="J694" s="28" t="s">
        <v>18</v>
      </c>
      <c r="K694" s="24">
        <f t="shared" si="43"/>
        <v>3</v>
      </c>
      <c r="L694" s="25">
        <v>4.4</v>
      </c>
      <c r="M694" s="26">
        <v>13.2</v>
      </c>
      <c r="N694" s="26">
        <v>13.2</v>
      </c>
    </row>
    <row r="695" spans="4:14">
      <c r="D695" s="21">
        <v>46112</v>
      </c>
      <c r="E695" s="22">
        <v>1590887</v>
      </c>
      <c r="F695" s="22" t="s">
        <v>20</v>
      </c>
      <c r="G695" s="22">
        <v>20329152</v>
      </c>
      <c r="H695" s="22" t="s">
        <v>352</v>
      </c>
      <c r="I695" s="22">
        <v>3</v>
      </c>
      <c r="J695" s="28" t="s">
        <v>18</v>
      </c>
      <c r="K695" s="24">
        <f t="shared" si="43"/>
        <v>11</v>
      </c>
      <c r="L695" s="25">
        <v>4.4</v>
      </c>
      <c r="M695" s="26">
        <v>48.4</v>
      </c>
      <c r="N695" s="26">
        <v>145.2</v>
      </c>
    </row>
    <row r="696" spans="4:14">
      <c r="D696" s="21">
        <v>46112</v>
      </c>
      <c r="E696" s="22">
        <v>1590887</v>
      </c>
      <c r="F696" s="22" t="s">
        <v>20</v>
      </c>
      <c r="G696" s="22">
        <v>20324699</v>
      </c>
      <c r="H696" s="22" t="s">
        <v>283</v>
      </c>
      <c r="I696" s="22">
        <v>10</v>
      </c>
      <c r="J696" s="28" t="s">
        <v>18</v>
      </c>
      <c r="K696" s="24">
        <f t="shared" si="43"/>
        <v>5</v>
      </c>
      <c r="L696" s="25">
        <v>4.4</v>
      </c>
      <c r="M696" s="26">
        <v>22</v>
      </c>
      <c r="N696" s="26">
        <v>220</v>
      </c>
    </row>
    <row r="702" ht="4" customHeight="1"/>
    <row r="703" ht="25" customHeight="1" spans="4:14">
      <c r="D703" s="76" t="s">
        <v>467</v>
      </c>
      <c r="E703" s="76"/>
      <c r="F703" s="76"/>
      <c r="G703" s="76"/>
      <c r="H703" s="76"/>
      <c r="I703" s="76"/>
      <c r="J703" s="76"/>
      <c r="K703" s="76"/>
      <c r="L703" s="76"/>
      <c r="M703" s="76"/>
      <c r="N703" s="76"/>
    </row>
    <row r="704" spans="4:14">
      <c r="D704" s="77" t="s">
        <v>4</v>
      </c>
      <c r="E704" s="77" t="s">
        <v>5</v>
      </c>
      <c r="F704" s="77" t="s">
        <v>6</v>
      </c>
      <c r="G704" s="77" t="s">
        <v>7</v>
      </c>
      <c r="H704" s="77" t="s">
        <v>8</v>
      </c>
      <c r="I704" s="77" t="s">
        <v>9</v>
      </c>
      <c r="J704" s="77" t="s">
        <v>10</v>
      </c>
      <c r="K704" s="78" t="s">
        <v>468</v>
      </c>
      <c r="L704" s="79" t="s">
        <v>12</v>
      </c>
      <c r="M704" s="79" t="s">
        <v>13</v>
      </c>
      <c r="N704" s="79" t="s">
        <v>14</v>
      </c>
    </row>
    <row r="705" spans="4:14">
      <c r="D705" s="80">
        <v>46091</v>
      </c>
      <c r="E705" s="70">
        <v>1583462</v>
      </c>
      <c r="F705" s="70" t="s">
        <v>20</v>
      </c>
      <c r="G705" s="70">
        <v>20337790</v>
      </c>
      <c r="H705" s="69" t="s">
        <v>469</v>
      </c>
      <c r="I705" s="70">
        <v>1</v>
      </c>
      <c r="J705" s="71" t="s">
        <v>307</v>
      </c>
      <c r="K705" s="24" t="s">
        <v>308</v>
      </c>
      <c r="L705" s="25">
        <v>22.4</v>
      </c>
      <c r="M705" s="25">
        <f>L705+L706</f>
        <v>30.4</v>
      </c>
      <c r="N705" s="25">
        <f>M705+M706</f>
        <v>30.4</v>
      </c>
    </row>
    <row r="706" spans="4:14">
      <c r="D706" s="81"/>
      <c r="E706" s="74"/>
      <c r="F706" s="74"/>
      <c r="G706" s="74"/>
      <c r="H706" s="73"/>
      <c r="I706" s="74"/>
      <c r="J706" s="75" t="s">
        <v>309</v>
      </c>
      <c r="K706" s="24" t="s">
        <v>308</v>
      </c>
      <c r="L706" s="25">
        <v>8</v>
      </c>
      <c r="M706" s="25"/>
      <c r="N706" s="25"/>
    </row>
    <row r="707" spans="4:14">
      <c r="D707" s="21">
        <v>46091</v>
      </c>
      <c r="E707" s="22">
        <v>1583462</v>
      </c>
      <c r="F707" s="22" t="s">
        <v>20</v>
      </c>
      <c r="G707" s="22">
        <v>20325959</v>
      </c>
      <c r="H707" s="22" t="s">
        <v>470</v>
      </c>
      <c r="I707" s="22">
        <v>1</v>
      </c>
      <c r="J707" s="30" t="s">
        <v>39</v>
      </c>
      <c r="K707" s="24" t="s">
        <v>40</v>
      </c>
      <c r="L707" s="25">
        <v>70.4</v>
      </c>
      <c r="M707" s="26">
        <v>70.4</v>
      </c>
      <c r="N707" s="26">
        <v>70.4</v>
      </c>
    </row>
    <row r="708" spans="4:14">
      <c r="D708" s="21">
        <v>46091</v>
      </c>
      <c r="E708" s="22">
        <v>1583462</v>
      </c>
      <c r="F708" s="22" t="s">
        <v>20</v>
      </c>
      <c r="G708" s="22">
        <v>20328267</v>
      </c>
      <c r="H708" s="22" t="s">
        <v>353</v>
      </c>
      <c r="I708" s="22">
        <v>1</v>
      </c>
      <c r="J708" s="30" t="s">
        <v>210</v>
      </c>
      <c r="K708" s="24">
        <v>1</v>
      </c>
      <c r="L708" s="25">
        <v>22.4</v>
      </c>
      <c r="M708" s="26">
        <v>22.4</v>
      </c>
      <c r="N708" s="26">
        <v>22.4</v>
      </c>
    </row>
    <row r="709" spans="4:14">
      <c r="D709" s="21">
        <v>46091</v>
      </c>
      <c r="E709" s="22">
        <v>1583462</v>
      </c>
      <c r="F709" s="22" t="s">
        <v>20</v>
      </c>
      <c r="G709" s="22">
        <v>20357239</v>
      </c>
      <c r="H709" s="22" t="s">
        <v>354</v>
      </c>
      <c r="I709" s="22">
        <v>1</v>
      </c>
      <c r="J709" s="30" t="s">
        <v>205</v>
      </c>
      <c r="K709" s="24">
        <v>1</v>
      </c>
      <c r="L709" s="25">
        <v>28</v>
      </c>
      <c r="M709" s="26">
        <v>28</v>
      </c>
      <c r="N709" s="26">
        <v>28</v>
      </c>
    </row>
    <row r="710" spans="4:14">
      <c r="D710" s="21">
        <v>46091</v>
      </c>
      <c r="E710" s="22">
        <v>1583462</v>
      </c>
      <c r="F710" s="22" t="s">
        <v>20</v>
      </c>
      <c r="G710" s="22">
        <v>20380611</v>
      </c>
      <c r="H710" s="22" t="s">
        <v>355</v>
      </c>
      <c r="I710" s="22">
        <v>1</v>
      </c>
      <c r="J710" s="28" t="s">
        <v>28</v>
      </c>
      <c r="K710" s="24">
        <v>1</v>
      </c>
      <c r="L710" s="25">
        <v>17.6</v>
      </c>
      <c r="M710" s="26">
        <v>17.6</v>
      </c>
      <c r="N710" s="26">
        <v>17.6</v>
      </c>
    </row>
    <row r="711" spans="4:14">
      <c r="D711" s="21">
        <v>46091</v>
      </c>
      <c r="E711" s="22">
        <v>1583462</v>
      </c>
      <c r="F711" s="22" t="s">
        <v>20</v>
      </c>
      <c r="G711" s="22">
        <v>20324735</v>
      </c>
      <c r="H711" s="22" t="s">
        <v>471</v>
      </c>
      <c r="I711" s="22">
        <v>2</v>
      </c>
      <c r="J711" s="28" t="s">
        <v>28</v>
      </c>
      <c r="K711" s="24">
        <v>1</v>
      </c>
      <c r="L711" s="25">
        <v>17.6</v>
      </c>
      <c r="M711" s="26">
        <v>17.6</v>
      </c>
      <c r="N711" s="26">
        <v>35.2</v>
      </c>
    </row>
    <row r="712" spans="4:14">
      <c r="D712" s="21">
        <v>46091</v>
      </c>
      <c r="E712" s="22">
        <v>1583462</v>
      </c>
      <c r="F712" s="22" t="s">
        <v>20</v>
      </c>
      <c r="G712" s="22">
        <v>20324891</v>
      </c>
      <c r="H712" s="22" t="s">
        <v>356</v>
      </c>
      <c r="I712" s="22">
        <v>1</v>
      </c>
      <c r="J712" s="30" t="s">
        <v>205</v>
      </c>
      <c r="K712" s="24">
        <v>1</v>
      </c>
      <c r="L712" s="25">
        <v>28</v>
      </c>
      <c r="M712" s="26">
        <v>28</v>
      </c>
      <c r="N712" s="26">
        <v>28</v>
      </c>
    </row>
    <row r="713" spans="4:14">
      <c r="D713" s="21">
        <v>46091</v>
      </c>
      <c r="E713" s="22">
        <v>1583462</v>
      </c>
      <c r="F713" s="22" t="s">
        <v>20</v>
      </c>
      <c r="G713" s="22">
        <v>20345154</v>
      </c>
      <c r="H713" s="22" t="s">
        <v>357</v>
      </c>
      <c r="I713" s="22">
        <v>1</v>
      </c>
      <c r="J713" s="30" t="s">
        <v>210</v>
      </c>
      <c r="K713" s="24">
        <v>1</v>
      </c>
      <c r="L713" s="25">
        <v>22.4</v>
      </c>
      <c r="M713" s="26">
        <v>22.4</v>
      </c>
      <c r="N713" s="26">
        <v>22.4</v>
      </c>
    </row>
    <row r="714" spans="4:14">
      <c r="D714" s="21">
        <v>46091</v>
      </c>
      <c r="E714" s="22">
        <v>1583462</v>
      </c>
      <c r="F714" s="22" t="s">
        <v>20</v>
      </c>
      <c r="G714" s="22">
        <v>20382055</v>
      </c>
      <c r="H714" s="22" t="s">
        <v>330</v>
      </c>
      <c r="I714" s="22">
        <v>1</v>
      </c>
      <c r="J714" s="28" t="s">
        <v>28</v>
      </c>
      <c r="K714" s="24">
        <v>1</v>
      </c>
      <c r="L714" s="25">
        <v>17.6</v>
      </c>
      <c r="M714" s="26">
        <v>17.6</v>
      </c>
      <c r="N714" s="26">
        <v>17.6</v>
      </c>
    </row>
    <row r="715" spans="4:14">
      <c r="D715" s="21">
        <v>46091</v>
      </c>
      <c r="E715" s="22">
        <v>1583462</v>
      </c>
      <c r="F715" s="22" t="s">
        <v>20</v>
      </c>
      <c r="G715" s="22">
        <v>20328266</v>
      </c>
      <c r="H715" s="22" t="s">
        <v>358</v>
      </c>
      <c r="I715" s="22">
        <v>1</v>
      </c>
      <c r="J715" s="30" t="s">
        <v>205</v>
      </c>
      <c r="K715" s="24">
        <v>1</v>
      </c>
      <c r="L715" s="25">
        <v>28</v>
      </c>
      <c r="M715" s="26">
        <v>28</v>
      </c>
      <c r="N715" s="26">
        <v>28</v>
      </c>
    </row>
    <row r="716" spans="4:14">
      <c r="D716" s="21">
        <v>46091</v>
      </c>
      <c r="E716" s="22">
        <v>1583462</v>
      </c>
      <c r="F716" s="22" t="s">
        <v>20</v>
      </c>
      <c r="G716" s="22">
        <v>20341396</v>
      </c>
      <c r="H716" s="22" t="s">
        <v>379</v>
      </c>
      <c r="I716" s="22">
        <v>1</v>
      </c>
      <c r="J716" s="28" t="s">
        <v>28</v>
      </c>
      <c r="K716" s="24">
        <v>1</v>
      </c>
      <c r="L716" s="25">
        <v>17.6</v>
      </c>
      <c r="M716" s="26">
        <v>17.6</v>
      </c>
      <c r="N716" s="26">
        <v>17.6</v>
      </c>
    </row>
    <row r="717" spans="4:14">
      <c r="D717" s="21">
        <v>46091</v>
      </c>
      <c r="E717" s="22">
        <v>1583462</v>
      </c>
      <c r="F717" s="22" t="s">
        <v>20</v>
      </c>
      <c r="G717" s="22">
        <v>20327630</v>
      </c>
      <c r="H717" s="22" t="s">
        <v>359</v>
      </c>
      <c r="I717" s="22">
        <v>1</v>
      </c>
      <c r="J717" s="30" t="s">
        <v>210</v>
      </c>
      <c r="K717" s="24">
        <v>1</v>
      </c>
      <c r="L717" s="25">
        <v>22.4</v>
      </c>
      <c r="M717" s="26">
        <v>22.4</v>
      </c>
      <c r="N717" s="26">
        <v>22.4</v>
      </c>
    </row>
    <row r="718" spans="4:14">
      <c r="D718" s="21">
        <v>46091</v>
      </c>
      <c r="E718" s="22">
        <v>1583462</v>
      </c>
      <c r="F718" s="22" t="s">
        <v>20</v>
      </c>
      <c r="G718" s="22">
        <v>20415174</v>
      </c>
      <c r="H718" s="22" t="s">
        <v>472</v>
      </c>
      <c r="I718" s="22">
        <v>1</v>
      </c>
      <c r="J718" s="30" t="s">
        <v>205</v>
      </c>
      <c r="K718" s="24">
        <v>1</v>
      </c>
      <c r="L718" s="25">
        <v>28</v>
      </c>
      <c r="M718" s="26">
        <v>28</v>
      </c>
      <c r="N718" s="26">
        <v>28</v>
      </c>
    </row>
    <row r="719" spans="4:14">
      <c r="D719" s="21">
        <v>46091</v>
      </c>
      <c r="E719" s="22">
        <v>1583462</v>
      </c>
      <c r="F719" s="22" t="s">
        <v>20</v>
      </c>
      <c r="G719" s="22">
        <v>20364990</v>
      </c>
      <c r="H719" s="22" t="s">
        <v>380</v>
      </c>
      <c r="I719" s="22">
        <v>1</v>
      </c>
      <c r="J719" s="30" t="s">
        <v>210</v>
      </c>
      <c r="K719" s="24">
        <v>1</v>
      </c>
      <c r="L719" s="25">
        <v>22.4</v>
      </c>
      <c r="M719" s="26">
        <v>22.4</v>
      </c>
      <c r="N719" s="26">
        <v>22.4</v>
      </c>
    </row>
    <row r="720" spans="4:14">
      <c r="D720" s="21">
        <v>46091</v>
      </c>
      <c r="E720" s="22">
        <v>1583462</v>
      </c>
      <c r="F720" s="22" t="s">
        <v>20</v>
      </c>
      <c r="G720" s="22">
        <v>20364991</v>
      </c>
      <c r="H720" s="22" t="s">
        <v>381</v>
      </c>
      <c r="I720" s="22">
        <v>1</v>
      </c>
      <c r="J720" s="30" t="s">
        <v>205</v>
      </c>
      <c r="K720" s="24">
        <v>1</v>
      </c>
      <c r="L720" s="25">
        <v>28</v>
      </c>
      <c r="M720" s="26">
        <v>28</v>
      </c>
      <c r="N720" s="26">
        <v>28</v>
      </c>
    </row>
    <row r="721" spans="4:14">
      <c r="D721" s="21">
        <v>46091</v>
      </c>
      <c r="E721" s="22">
        <v>1583462</v>
      </c>
      <c r="F721" s="22" t="s">
        <v>20</v>
      </c>
      <c r="G721" s="22">
        <v>20338703</v>
      </c>
      <c r="H721" s="22" t="s">
        <v>361</v>
      </c>
      <c r="I721" s="22">
        <v>1</v>
      </c>
      <c r="J721" s="30" t="s">
        <v>210</v>
      </c>
      <c r="K721" s="24">
        <v>1</v>
      </c>
      <c r="L721" s="25">
        <v>22.4</v>
      </c>
      <c r="M721" s="26">
        <v>22.4</v>
      </c>
      <c r="N721" s="26">
        <v>22.4</v>
      </c>
    </row>
    <row r="722" spans="4:14">
      <c r="D722" s="21">
        <v>46091</v>
      </c>
      <c r="E722" s="22">
        <v>1583462</v>
      </c>
      <c r="F722" s="22" t="s">
        <v>20</v>
      </c>
      <c r="G722" s="22">
        <v>20350751</v>
      </c>
      <c r="H722" s="22" t="s">
        <v>382</v>
      </c>
      <c r="I722" s="22">
        <v>1</v>
      </c>
      <c r="J722" s="28" t="s">
        <v>295</v>
      </c>
      <c r="K722" s="24">
        <v>1</v>
      </c>
      <c r="L722" s="25">
        <v>20</v>
      </c>
      <c r="M722" s="26">
        <v>20</v>
      </c>
      <c r="N722" s="26">
        <v>20</v>
      </c>
    </row>
    <row r="723" spans="4:14">
      <c r="D723" s="21">
        <v>46091</v>
      </c>
      <c r="E723" s="22">
        <v>1583462</v>
      </c>
      <c r="F723" s="22" t="s">
        <v>20</v>
      </c>
      <c r="G723" s="22">
        <v>20398299</v>
      </c>
      <c r="H723" s="22" t="s">
        <v>453</v>
      </c>
      <c r="I723" s="22">
        <v>1</v>
      </c>
      <c r="J723" s="30" t="s">
        <v>210</v>
      </c>
      <c r="K723" s="24">
        <v>1</v>
      </c>
      <c r="L723" s="25">
        <v>22.4</v>
      </c>
      <c r="M723" s="26">
        <v>22.4</v>
      </c>
      <c r="N723" s="26">
        <v>22.4</v>
      </c>
    </row>
    <row r="724" spans="4:14">
      <c r="D724" s="21">
        <v>46091</v>
      </c>
      <c r="E724" s="22">
        <v>1583463</v>
      </c>
      <c r="F724" s="22" t="s">
        <v>16</v>
      </c>
      <c r="G724" s="22">
        <v>20324463</v>
      </c>
      <c r="H724" s="22" t="s">
        <v>289</v>
      </c>
      <c r="I724" s="22">
        <v>1</v>
      </c>
      <c r="J724" s="28" t="s">
        <v>18</v>
      </c>
      <c r="K724" s="24">
        <f>M724/L724</f>
        <v>35</v>
      </c>
      <c r="L724" s="25">
        <v>4.4</v>
      </c>
      <c r="M724" s="26">
        <v>154</v>
      </c>
      <c r="N724" s="26">
        <v>154</v>
      </c>
    </row>
    <row r="725" spans="4:14">
      <c r="D725" s="21">
        <v>46091</v>
      </c>
      <c r="E725" s="22">
        <v>1583463</v>
      </c>
      <c r="F725" s="22" t="s">
        <v>16</v>
      </c>
      <c r="G725" s="22">
        <v>20324474</v>
      </c>
      <c r="H725" s="22" t="s">
        <v>385</v>
      </c>
      <c r="I725" s="22">
        <v>1</v>
      </c>
      <c r="J725" s="28" t="s">
        <v>18</v>
      </c>
      <c r="K725" s="24">
        <f>M725/L725</f>
        <v>72</v>
      </c>
      <c r="L725" s="25">
        <v>4.4</v>
      </c>
      <c r="M725" s="26">
        <v>316.8</v>
      </c>
      <c r="N725" s="26">
        <v>316.8</v>
      </c>
    </row>
    <row r="726" spans="4:14">
      <c r="D726" s="21">
        <v>46091</v>
      </c>
      <c r="E726" s="22">
        <v>1583463</v>
      </c>
      <c r="F726" s="22" t="s">
        <v>20</v>
      </c>
      <c r="G726" s="22">
        <v>20324836</v>
      </c>
      <c r="H726" s="22" t="s">
        <v>442</v>
      </c>
      <c r="I726" s="22">
        <v>3</v>
      </c>
      <c r="J726" s="28" t="s">
        <v>18</v>
      </c>
      <c r="K726" s="24">
        <f>M726/L726</f>
        <v>3</v>
      </c>
      <c r="L726" s="25">
        <v>4.4</v>
      </c>
      <c r="M726" s="26">
        <v>13.2</v>
      </c>
      <c r="N726" s="26">
        <v>39.6</v>
      </c>
    </row>
    <row r="727" spans="4:14">
      <c r="D727" s="21">
        <v>46091</v>
      </c>
      <c r="E727" s="22">
        <v>1583463</v>
      </c>
      <c r="F727" s="22" t="s">
        <v>20</v>
      </c>
      <c r="G727" s="22">
        <v>20325306</v>
      </c>
      <c r="H727" s="22" t="s">
        <v>473</v>
      </c>
      <c r="I727" s="22">
        <v>1</v>
      </c>
      <c r="J727" s="28" t="s">
        <v>18</v>
      </c>
      <c r="K727" s="24">
        <f>M727/L727</f>
        <v>8</v>
      </c>
      <c r="L727" s="25">
        <v>4.4</v>
      </c>
      <c r="M727" s="26">
        <v>35.2</v>
      </c>
      <c r="N727" s="26">
        <v>35.2</v>
      </c>
    </row>
    <row r="728" spans="4:14">
      <c r="D728" s="21">
        <v>46091</v>
      </c>
      <c r="E728" s="22">
        <v>1583463</v>
      </c>
      <c r="F728" s="22" t="s">
        <v>20</v>
      </c>
      <c r="G728" s="22">
        <v>20324699</v>
      </c>
      <c r="H728" s="29" t="s">
        <v>474</v>
      </c>
      <c r="I728" s="22">
        <v>2</v>
      </c>
      <c r="J728" s="28" t="s">
        <v>18</v>
      </c>
      <c r="K728" s="24">
        <f>M728/L728</f>
        <v>5</v>
      </c>
      <c r="L728" s="25">
        <v>4.4</v>
      </c>
      <c r="M728" s="26">
        <v>22</v>
      </c>
      <c r="N728" s="26">
        <v>44</v>
      </c>
    </row>
    <row r="729" spans="4:14">
      <c r="D729" s="82"/>
      <c r="E729" s="83"/>
      <c r="F729" s="83"/>
      <c r="G729" s="83"/>
      <c r="H729" s="83" t="s">
        <v>475</v>
      </c>
      <c r="I729" s="83"/>
      <c r="J729" s="83"/>
      <c r="K729" s="83"/>
      <c r="L729" s="83"/>
      <c r="M729" s="84"/>
      <c r="N729" s="26">
        <v>1072.8</v>
      </c>
    </row>
    <row r="736" ht="19" customHeight="1"/>
    <row r="737" ht="33" customHeight="1" spans="4:14">
      <c r="D737" s="85" t="s">
        <v>476</v>
      </c>
      <c r="E737" s="85"/>
      <c r="F737" s="85"/>
      <c r="G737" s="85"/>
      <c r="H737" s="85"/>
      <c r="I737" s="85"/>
      <c r="J737" s="85"/>
      <c r="K737" s="85"/>
      <c r="L737" s="85"/>
      <c r="M737" s="85"/>
      <c r="N737" s="85"/>
    </row>
    <row r="738" spans="4:14">
      <c r="D738" s="77" t="s">
        <v>4</v>
      </c>
      <c r="E738" s="77" t="s">
        <v>5</v>
      </c>
      <c r="F738" s="77" t="s">
        <v>6</v>
      </c>
      <c r="G738" s="77" t="s">
        <v>7</v>
      </c>
      <c r="H738" s="77" t="s">
        <v>8</v>
      </c>
      <c r="I738" s="77" t="s">
        <v>9</v>
      </c>
      <c r="J738" s="77" t="s">
        <v>10</v>
      </c>
      <c r="K738" s="78" t="s">
        <v>468</v>
      </c>
      <c r="L738" s="79" t="s">
        <v>12</v>
      </c>
      <c r="M738" s="79" t="s">
        <v>13</v>
      </c>
      <c r="N738" s="79" t="s">
        <v>14</v>
      </c>
    </row>
    <row r="739" spans="4:14">
      <c r="D739" s="21">
        <v>46107</v>
      </c>
      <c r="E739" s="22">
        <v>1589331</v>
      </c>
      <c r="F739" s="22" t="s">
        <v>20</v>
      </c>
      <c r="G739" s="22">
        <v>20325545</v>
      </c>
      <c r="H739" s="22" t="s">
        <v>400</v>
      </c>
      <c r="I739" s="22">
        <v>1</v>
      </c>
      <c r="J739" s="28" t="s">
        <v>18</v>
      </c>
      <c r="K739" s="24">
        <f>M739/L739</f>
        <v>3</v>
      </c>
      <c r="L739" s="25">
        <v>4.4</v>
      </c>
      <c r="M739" s="26">
        <v>13.2</v>
      </c>
      <c r="N739" s="26">
        <v>13.2</v>
      </c>
    </row>
    <row r="740" spans="4:14">
      <c r="D740" s="21">
        <v>46108</v>
      </c>
      <c r="E740" s="22">
        <v>1589624</v>
      </c>
      <c r="F740" s="22" t="s">
        <v>20</v>
      </c>
      <c r="G740" s="22">
        <v>20328267</v>
      </c>
      <c r="H740" s="22" t="s">
        <v>353</v>
      </c>
      <c r="I740" s="22">
        <v>1</v>
      </c>
      <c r="J740" s="30" t="s">
        <v>210</v>
      </c>
      <c r="K740" s="24">
        <v>1</v>
      </c>
      <c r="L740" s="25">
        <v>22.4</v>
      </c>
      <c r="M740" s="26">
        <v>22.4</v>
      </c>
      <c r="N740" s="26">
        <v>22.4</v>
      </c>
    </row>
    <row r="741" spans="4:14">
      <c r="D741" s="21">
        <v>46108</v>
      </c>
      <c r="E741" s="22">
        <v>1589624</v>
      </c>
      <c r="F741" s="22" t="s">
        <v>20</v>
      </c>
      <c r="G741" s="22">
        <v>20357239</v>
      </c>
      <c r="H741" s="22" t="s">
        <v>354</v>
      </c>
      <c r="I741" s="22">
        <v>1</v>
      </c>
      <c r="J741" s="30" t="s">
        <v>205</v>
      </c>
      <c r="K741" s="24">
        <v>1</v>
      </c>
      <c r="L741" s="25">
        <v>28</v>
      </c>
      <c r="M741" s="26">
        <v>28</v>
      </c>
      <c r="N741" s="26">
        <v>28</v>
      </c>
    </row>
    <row r="742" spans="4:14">
      <c r="D742" s="21">
        <v>46108</v>
      </c>
      <c r="E742" s="22">
        <v>1589624</v>
      </c>
      <c r="F742" s="22" t="s">
        <v>20</v>
      </c>
      <c r="G742" s="22">
        <v>20345154</v>
      </c>
      <c r="H742" s="22" t="s">
        <v>357</v>
      </c>
      <c r="I742" s="22">
        <v>2</v>
      </c>
      <c r="J742" s="30" t="s">
        <v>210</v>
      </c>
      <c r="K742" s="24">
        <v>1</v>
      </c>
      <c r="L742" s="25">
        <v>22.4</v>
      </c>
      <c r="M742" s="26">
        <v>22.4</v>
      </c>
      <c r="N742" s="26">
        <v>44.8</v>
      </c>
    </row>
    <row r="743" spans="4:14">
      <c r="D743" s="21">
        <v>46108</v>
      </c>
      <c r="E743" s="22">
        <v>1589624</v>
      </c>
      <c r="F743" s="22" t="s">
        <v>20</v>
      </c>
      <c r="G743" s="22">
        <v>20382055</v>
      </c>
      <c r="H743" s="22" t="s">
        <v>330</v>
      </c>
      <c r="I743" s="22">
        <v>1</v>
      </c>
      <c r="J743" s="28" t="s">
        <v>28</v>
      </c>
      <c r="K743" s="24">
        <v>1</v>
      </c>
      <c r="L743" s="25">
        <v>17.6</v>
      </c>
      <c r="M743" s="26">
        <v>17.6</v>
      </c>
      <c r="N743" s="26">
        <v>17.6</v>
      </c>
    </row>
    <row r="744" spans="4:14">
      <c r="D744" s="21">
        <v>46108</v>
      </c>
      <c r="E744" s="22">
        <v>1589624</v>
      </c>
      <c r="F744" s="22" t="s">
        <v>20</v>
      </c>
      <c r="G744" s="22">
        <v>20328266</v>
      </c>
      <c r="H744" s="22" t="s">
        <v>358</v>
      </c>
      <c r="I744" s="22">
        <v>1</v>
      </c>
      <c r="J744" s="30" t="s">
        <v>205</v>
      </c>
      <c r="K744" s="24">
        <v>1</v>
      </c>
      <c r="L744" s="25">
        <v>28</v>
      </c>
      <c r="M744" s="26">
        <v>28</v>
      </c>
      <c r="N744" s="26">
        <v>28</v>
      </c>
    </row>
    <row r="745" spans="4:14">
      <c r="D745" s="21">
        <v>46108</v>
      </c>
      <c r="E745" s="22">
        <v>1589624</v>
      </c>
      <c r="F745" s="22" t="s">
        <v>20</v>
      </c>
      <c r="G745" s="22">
        <v>20341396</v>
      </c>
      <c r="H745" s="22" t="s">
        <v>379</v>
      </c>
      <c r="I745" s="22">
        <v>1</v>
      </c>
      <c r="J745" s="28" t="s">
        <v>28</v>
      </c>
      <c r="K745" s="24">
        <v>1</v>
      </c>
      <c r="L745" s="25">
        <v>17.6</v>
      </c>
      <c r="M745" s="26">
        <v>17.6</v>
      </c>
      <c r="N745" s="26">
        <v>17.6</v>
      </c>
    </row>
    <row r="746" spans="4:14">
      <c r="D746" s="21">
        <v>46108</v>
      </c>
      <c r="E746" s="22">
        <v>1589624</v>
      </c>
      <c r="F746" s="22" t="s">
        <v>20</v>
      </c>
      <c r="G746" s="22">
        <v>20327630</v>
      </c>
      <c r="H746" s="22" t="s">
        <v>359</v>
      </c>
      <c r="I746" s="22">
        <v>2</v>
      </c>
      <c r="J746" s="30" t="s">
        <v>210</v>
      </c>
      <c r="K746" s="24">
        <v>1</v>
      </c>
      <c r="L746" s="25">
        <v>22.4</v>
      </c>
      <c r="M746" s="26">
        <v>22.4</v>
      </c>
      <c r="N746" s="26">
        <v>44.8</v>
      </c>
    </row>
    <row r="747" spans="4:14">
      <c r="D747" s="21">
        <v>46108</v>
      </c>
      <c r="E747" s="22">
        <v>1589624</v>
      </c>
      <c r="F747" s="22" t="s">
        <v>20</v>
      </c>
      <c r="G747" s="22">
        <v>20338704</v>
      </c>
      <c r="H747" s="22" t="s">
        <v>360</v>
      </c>
      <c r="I747" s="22">
        <v>1</v>
      </c>
      <c r="J747" s="30" t="s">
        <v>210</v>
      </c>
      <c r="K747" s="24">
        <v>1</v>
      </c>
      <c r="L747" s="25">
        <v>22.4</v>
      </c>
      <c r="M747" s="26">
        <v>22.4</v>
      </c>
      <c r="N747" s="26">
        <v>22.4</v>
      </c>
    </row>
    <row r="748" spans="4:14">
      <c r="D748" s="21">
        <v>46108</v>
      </c>
      <c r="E748" s="22">
        <v>1589624</v>
      </c>
      <c r="F748" s="22" t="s">
        <v>20</v>
      </c>
      <c r="G748" s="22">
        <v>20338703</v>
      </c>
      <c r="H748" s="22" t="s">
        <v>361</v>
      </c>
      <c r="I748" s="22">
        <v>2</v>
      </c>
      <c r="J748" s="30" t="s">
        <v>210</v>
      </c>
      <c r="K748" s="24">
        <v>1</v>
      </c>
      <c r="L748" s="25">
        <v>22.4</v>
      </c>
      <c r="M748" s="26">
        <v>22.4</v>
      </c>
      <c r="N748" s="26">
        <v>44.8</v>
      </c>
    </row>
    <row r="749" spans="4:14">
      <c r="D749" s="21">
        <v>46108</v>
      </c>
      <c r="E749" s="22">
        <v>1589624</v>
      </c>
      <c r="F749" s="22" t="s">
        <v>20</v>
      </c>
      <c r="G749" s="22">
        <v>20350751</v>
      </c>
      <c r="H749" s="22" t="s">
        <v>382</v>
      </c>
      <c r="I749" s="22">
        <v>1</v>
      </c>
      <c r="J749" s="28" t="s">
        <v>295</v>
      </c>
      <c r="K749" s="24">
        <v>1</v>
      </c>
      <c r="L749" s="25">
        <v>20</v>
      </c>
      <c r="M749" s="26">
        <v>20</v>
      </c>
      <c r="N749" s="26">
        <v>20</v>
      </c>
    </row>
    <row r="750" spans="4:14">
      <c r="D750" s="21">
        <v>46108</v>
      </c>
      <c r="E750" s="22">
        <v>1589544</v>
      </c>
      <c r="F750" s="22" t="s">
        <v>16</v>
      </c>
      <c r="G750" s="22">
        <v>20324463</v>
      </c>
      <c r="H750" s="22" t="s">
        <v>289</v>
      </c>
      <c r="I750" s="22">
        <v>1</v>
      </c>
      <c r="J750" s="28" t="s">
        <v>18</v>
      </c>
      <c r="K750" s="24">
        <f>M750/L750</f>
        <v>35</v>
      </c>
      <c r="L750" s="25">
        <v>4.4</v>
      </c>
      <c r="M750" s="26">
        <v>154</v>
      </c>
      <c r="N750" s="26">
        <v>154</v>
      </c>
    </row>
    <row r="751" spans="4:14">
      <c r="D751" s="82"/>
      <c r="E751" s="83"/>
      <c r="F751" s="83"/>
      <c r="G751" s="83"/>
      <c r="H751" s="83" t="s">
        <v>475</v>
      </c>
      <c r="I751" s="83"/>
      <c r="J751" s="83"/>
      <c r="K751" s="83"/>
      <c r="L751" s="83"/>
      <c r="M751" s="84"/>
      <c r="N751" s="26">
        <v>457.6</v>
      </c>
    </row>
    <row r="757" spans="4:13">
      <c r="D757" s="86" t="s">
        <v>213</v>
      </c>
      <c r="E757" s="54"/>
      <c r="F757" s="54"/>
      <c r="G757" s="54"/>
      <c r="H757" s="54"/>
      <c r="I757" s="54"/>
      <c r="J757" s="54"/>
      <c r="K757" s="54"/>
      <c r="L757" s="54"/>
      <c r="M757" s="54"/>
    </row>
    <row r="758" spans="4:13">
      <c r="D758" s="54"/>
      <c r="E758" s="54"/>
      <c r="F758" s="54"/>
      <c r="G758" s="54"/>
      <c r="H758" s="54"/>
      <c r="I758" s="54"/>
      <c r="J758" s="54"/>
      <c r="K758" s="54"/>
      <c r="L758" s="54"/>
      <c r="M758" s="54"/>
    </row>
    <row r="759" spans="4:13">
      <c r="D759" s="54"/>
      <c r="E759" s="54"/>
      <c r="F759" s="54"/>
      <c r="G759" s="54"/>
      <c r="H759" s="54"/>
      <c r="I759" s="54"/>
      <c r="J759" s="54"/>
      <c r="K759" s="54"/>
      <c r="L759" s="54"/>
      <c r="M759" s="54"/>
    </row>
    <row r="760" spans="4:13">
      <c r="D760" s="87" t="s">
        <v>214</v>
      </c>
      <c r="E760" s="54"/>
      <c r="F760" s="54"/>
      <c r="G760" s="54"/>
      <c r="H760" s="54"/>
      <c r="I760" s="54"/>
      <c r="J760" s="54"/>
      <c r="K760" s="54"/>
      <c r="L760" s="54"/>
      <c r="M760" s="54"/>
    </row>
    <row r="761" spans="4:13">
      <c r="D761" s="54"/>
      <c r="E761" s="54"/>
      <c r="F761" s="54"/>
      <c r="G761" s="54"/>
      <c r="H761" s="54"/>
      <c r="I761" s="54"/>
      <c r="J761" s="54"/>
      <c r="K761" s="54"/>
      <c r="L761" s="54"/>
      <c r="M761" s="54"/>
    </row>
    <row r="762" spans="4:13">
      <c r="D762" s="88" t="s">
        <v>215</v>
      </c>
      <c r="E762" s="88" t="s">
        <v>216</v>
      </c>
      <c r="F762" s="54"/>
      <c r="G762" s="88" t="s">
        <v>217</v>
      </c>
      <c r="H762" s="88" t="s">
        <v>218</v>
      </c>
      <c r="I762" s="88" t="s">
        <v>7</v>
      </c>
      <c r="J762" s="88" t="s">
        <v>219</v>
      </c>
      <c r="K762" s="54"/>
      <c r="L762" s="88" t="s">
        <v>220</v>
      </c>
    </row>
    <row r="763" ht="15.75" spans="4:13">
      <c r="D763" s="89" t="s">
        <v>3</v>
      </c>
      <c r="E763" s="90" t="s">
        <v>2</v>
      </c>
      <c r="F763" s="90" t="s">
        <v>2</v>
      </c>
      <c r="G763" s="90" t="s">
        <v>2</v>
      </c>
      <c r="H763" s="90" t="s">
        <v>2</v>
      </c>
      <c r="I763" s="90" t="s">
        <v>2</v>
      </c>
      <c r="J763" s="91" t="s">
        <v>2</v>
      </c>
      <c r="K763" s="90" t="s">
        <v>2</v>
      </c>
      <c r="L763" s="92"/>
    </row>
    <row r="764" ht="14.25" spans="4:13">
      <c r="D764" s="93" t="s">
        <v>337</v>
      </c>
      <c r="E764" s="90" t="s">
        <v>2</v>
      </c>
      <c r="F764" s="90" t="s">
        <v>2</v>
      </c>
      <c r="G764" s="90" t="s">
        <v>2</v>
      </c>
      <c r="H764" s="90" t="s">
        <v>2</v>
      </c>
      <c r="I764" s="90" t="s">
        <v>2</v>
      </c>
      <c r="J764" s="94" t="s">
        <v>2</v>
      </c>
      <c r="K764" s="90" t="s">
        <v>2</v>
      </c>
      <c r="L764" s="95">
        <v>-22.4</v>
      </c>
    </row>
    <row r="765" spans="4:13">
      <c r="D765" s="96" t="s">
        <v>20</v>
      </c>
      <c r="E765" s="90" t="s">
        <v>2</v>
      </c>
      <c r="F765" s="90" t="s">
        <v>2</v>
      </c>
      <c r="G765" s="90" t="s">
        <v>2</v>
      </c>
      <c r="H765" s="90" t="s">
        <v>2</v>
      </c>
      <c r="I765" s="90" t="s">
        <v>2</v>
      </c>
      <c r="J765" s="97" t="s">
        <v>2</v>
      </c>
      <c r="K765" s="90" t="s">
        <v>2</v>
      </c>
      <c r="L765" s="98">
        <v>-22.4</v>
      </c>
    </row>
    <row r="766" spans="4:13">
      <c r="D766" s="99">
        <v>3005977525</v>
      </c>
      <c r="E766" s="100">
        <v>46114.4021523495</v>
      </c>
      <c r="F766" s="101" t="s">
        <v>2</v>
      </c>
      <c r="G766" s="102" t="s">
        <v>221</v>
      </c>
      <c r="H766" s="103">
        <v>46087.0887016204</v>
      </c>
      <c r="I766" s="104">
        <v>20325857</v>
      </c>
      <c r="J766" s="104" t="s">
        <v>477</v>
      </c>
      <c r="K766" s="101" t="s">
        <v>2</v>
      </c>
      <c r="L766" s="105">
        <v>-22.4</v>
      </c>
    </row>
  </sheetData>
  <autoFilter xmlns:etc="http://www.wps.cn/officeDocument/2017/etCustomData" ref="A7:N696" etc:filterBottomFollowUsedRange="0">
    <extLst/>
  </autoFilter>
  <mergeCells count="403">
    <mergeCell ref="D8:H8"/>
    <mergeCell ref="D703:N703"/>
    <mergeCell ref="D737:N737"/>
    <mergeCell ref="E762:F762"/>
    <mergeCell ref="J762:K762"/>
    <mergeCell ref="D763:I763"/>
    <mergeCell ref="J763:K763"/>
    <mergeCell ref="D764:I764"/>
    <mergeCell ref="J764:K764"/>
    <mergeCell ref="D765:I765"/>
    <mergeCell ref="J765:K765"/>
    <mergeCell ref="E766:F766"/>
    <mergeCell ref="J766:K766"/>
    <mergeCell ref="C7:C696"/>
    <mergeCell ref="D19:D21"/>
    <mergeCell ref="D36:D37"/>
    <mergeCell ref="D75:D76"/>
    <mergeCell ref="D87:D88"/>
    <mergeCell ref="D93:D95"/>
    <mergeCell ref="D126:D127"/>
    <mergeCell ref="D128:D129"/>
    <mergeCell ref="D134:D136"/>
    <mergeCell ref="D137:D138"/>
    <mergeCell ref="D161:D162"/>
    <mergeCell ref="D163:D165"/>
    <mergeCell ref="D171:D172"/>
    <mergeCell ref="D173:D174"/>
    <mergeCell ref="D197:D198"/>
    <mergeCell ref="D227:D229"/>
    <mergeCell ref="D247:D248"/>
    <mergeCell ref="D259:D260"/>
    <mergeCell ref="D262:D263"/>
    <mergeCell ref="D281:D282"/>
    <mergeCell ref="D296:D297"/>
    <mergeCell ref="D310:D312"/>
    <mergeCell ref="D317:D318"/>
    <mergeCell ref="D327:D329"/>
    <mergeCell ref="D345:D346"/>
    <mergeCell ref="D353:D354"/>
    <mergeCell ref="D359:D361"/>
    <mergeCell ref="D400:D402"/>
    <mergeCell ref="D416:D417"/>
    <mergeCell ref="D441:D442"/>
    <mergeCell ref="D461:D463"/>
    <mergeCell ref="D464:D466"/>
    <mergeCell ref="D483:D484"/>
    <mergeCell ref="D499:D501"/>
    <mergeCell ref="D517:D518"/>
    <mergeCell ref="D519:D521"/>
    <mergeCell ref="D564:D565"/>
    <mergeCell ref="D579:D581"/>
    <mergeCell ref="D583:D585"/>
    <mergeCell ref="D606:D607"/>
    <mergeCell ref="D613:D615"/>
    <mergeCell ref="D619:D621"/>
    <mergeCell ref="D635:D636"/>
    <mergeCell ref="D657:D659"/>
    <mergeCell ref="D668:D670"/>
    <mergeCell ref="D677:D678"/>
    <mergeCell ref="D688:D689"/>
    <mergeCell ref="D690:D691"/>
    <mergeCell ref="D705:D706"/>
    <mergeCell ref="E19:E21"/>
    <mergeCell ref="E36:E37"/>
    <mergeCell ref="E75:E76"/>
    <mergeCell ref="E87:E88"/>
    <mergeCell ref="E93:E95"/>
    <mergeCell ref="E126:E127"/>
    <mergeCell ref="E128:E129"/>
    <mergeCell ref="E134:E136"/>
    <mergeCell ref="E137:E138"/>
    <mergeCell ref="E161:E162"/>
    <mergeCell ref="E163:E165"/>
    <mergeCell ref="E171:E172"/>
    <mergeCell ref="E173:E174"/>
    <mergeCell ref="E197:E198"/>
    <mergeCell ref="E227:E229"/>
    <mergeCell ref="E247:E248"/>
    <mergeCell ref="E259:E260"/>
    <mergeCell ref="E262:E263"/>
    <mergeCell ref="E281:E282"/>
    <mergeCell ref="E296:E297"/>
    <mergeCell ref="E310:E312"/>
    <mergeCell ref="E317:E318"/>
    <mergeCell ref="E327:E329"/>
    <mergeCell ref="E345:E346"/>
    <mergeCell ref="E353:E354"/>
    <mergeCell ref="E359:E361"/>
    <mergeCell ref="E400:E402"/>
    <mergeCell ref="E416:E417"/>
    <mergeCell ref="E441:E442"/>
    <mergeCell ref="E461:E463"/>
    <mergeCell ref="E464:E466"/>
    <mergeCell ref="E483:E484"/>
    <mergeCell ref="E499:E501"/>
    <mergeCell ref="E517:E518"/>
    <mergeCell ref="E519:E521"/>
    <mergeCell ref="E564:E565"/>
    <mergeCell ref="E579:E581"/>
    <mergeCell ref="E583:E585"/>
    <mergeCell ref="E606:E607"/>
    <mergeCell ref="E613:E615"/>
    <mergeCell ref="E619:E621"/>
    <mergeCell ref="E635:E636"/>
    <mergeCell ref="E657:E659"/>
    <mergeCell ref="E668:E670"/>
    <mergeCell ref="E677:E678"/>
    <mergeCell ref="E688:E689"/>
    <mergeCell ref="E690:E691"/>
    <mergeCell ref="E705:E706"/>
    <mergeCell ref="F19:F21"/>
    <mergeCell ref="F36:F37"/>
    <mergeCell ref="F75:F76"/>
    <mergeCell ref="F87:F88"/>
    <mergeCell ref="F93:F95"/>
    <mergeCell ref="F126:F127"/>
    <mergeCell ref="F128:F129"/>
    <mergeCell ref="F134:F136"/>
    <mergeCell ref="F137:F138"/>
    <mergeCell ref="F161:F162"/>
    <mergeCell ref="F163:F165"/>
    <mergeCell ref="F171:F172"/>
    <mergeCell ref="F173:F174"/>
    <mergeCell ref="F197:F198"/>
    <mergeCell ref="F227:F229"/>
    <mergeCell ref="F247:F248"/>
    <mergeCell ref="F259:F260"/>
    <mergeCell ref="F262:F263"/>
    <mergeCell ref="F281:F282"/>
    <mergeCell ref="F296:F297"/>
    <mergeCell ref="F310:F312"/>
    <mergeCell ref="F317:F318"/>
    <mergeCell ref="F327:F329"/>
    <mergeCell ref="F345:F346"/>
    <mergeCell ref="F353:F354"/>
    <mergeCell ref="F359:F361"/>
    <mergeCell ref="F400:F402"/>
    <mergeCell ref="F416:F417"/>
    <mergeCell ref="F441:F442"/>
    <mergeCell ref="F461:F463"/>
    <mergeCell ref="F464:F466"/>
    <mergeCell ref="F483:F484"/>
    <mergeCell ref="F499:F501"/>
    <mergeCell ref="F517:F518"/>
    <mergeCell ref="F519:F521"/>
    <mergeCell ref="F564:F565"/>
    <mergeCell ref="F579:F581"/>
    <mergeCell ref="F583:F585"/>
    <mergeCell ref="F606:F607"/>
    <mergeCell ref="F613:F615"/>
    <mergeCell ref="F619:F621"/>
    <mergeCell ref="F635:F636"/>
    <mergeCell ref="F657:F659"/>
    <mergeCell ref="F668:F670"/>
    <mergeCell ref="F677:F678"/>
    <mergeCell ref="F688:F689"/>
    <mergeCell ref="F690:F691"/>
    <mergeCell ref="F705:F706"/>
    <mergeCell ref="G19:G21"/>
    <mergeCell ref="G36:G37"/>
    <mergeCell ref="G75:G76"/>
    <mergeCell ref="G87:G88"/>
    <mergeCell ref="G93:G95"/>
    <mergeCell ref="G126:G127"/>
    <mergeCell ref="G128:G129"/>
    <mergeCell ref="G134:G136"/>
    <mergeCell ref="G137:G138"/>
    <mergeCell ref="G161:G162"/>
    <mergeCell ref="G163:G165"/>
    <mergeCell ref="G171:G172"/>
    <mergeCell ref="G173:G174"/>
    <mergeCell ref="G197:G198"/>
    <mergeCell ref="G227:G229"/>
    <mergeCell ref="G247:G248"/>
    <mergeCell ref="G259:G260"/>
    <mergeCell ref="G262:G263"/>
    <mergeCell ref="G281:G282"/>
    <mergeCell ref="G296:G297"/>
    <mergeCell ref="G310:G312"/>
    <mergeCell ref="G317:G318"/>
    <mergeCell ref="G327:G329"/>
    <mergeCell ref="G345:G346"/>
    <mergeCell ref="G353:G354"/>
    <mergeCell ref="G359:G361"/>
    <mergeCell ref="G400:G402"/>
    <mergeCell ref="G416:G417"/>
    <mergeCell ref="G441:G442"/>
    <mergeCell ref="G461:G463"/>
    <mergeCell ref="G464:G466"/>
    <mergeCell ref="G483:G484"/>
    <mergeCell ref="G499:G501"/>
    <mergeCell ref="G517:G518"/>
    <mergeCell ref="G519:G521"/>
    <mergeCell ref="G564:G565"/>
    <mergeCell ref="G579:G581"/>
    <mergeCell ref="G583:G585"/>
    <mergeCell ref="G606:G607"/>
    <mergeCell ref="G613:G615"/>
    <mergeCell ref="G619:G621"/>
    <mergeCell ref="G635:G636"/>
    <mergeCell ref="G657:G659"/>
    <mergeCell ref="G668:G670"/>
    <mergeCell ref="G677:G678"/>
    <mergeCell ref="G688:G689"/>
    <mergeCell ref="G690:G691"/>
    <mergeCell ref="G705:G706"/>
    <mergeCell ref="H19:H21"/>
    <mergeCell ref="H36:H37"/>
    <mergeCell ref="H75:H76"/>
    <mergeCell ref="H87:H88"/>
    <mergeCell ref="H93:H95"/>
    <mergeCell ref="H126:H127"/>
    <mergeCell ref="H128:H129"/>
    <mergeCell ref="H134:H136"/>
    <mergeCell ref="H137:H138"/>
    <mergeCell ref="H161:H162"/>
    <mergeCell ref="H163:H165"/>
    <mergeCell ref="H171:H172"/>
    <mergeCell ref="H173:H174"/>
    <mergeCell ref="H197:H198"/>
    <mergeCell ref="H227:H229"/>
    <mergeCell ref="H247:H248"/>
    <mergeCell ref="H259:H260"/>
    <mergeCell ref="H262:H263"/>
    <mergeCell ref="H281:H282"/>
    <mergeCell ref="H296:H297"/>
    <mergeCell ref="H310:H312"/>
    <mergeCell ref="H317:H318"/>
    <mergeCell ref="H327:H329"/>
    <mergeCell ref="H345:H346"/>
    <mergeCell ref="H353:H354"/>
    <mergeCell ref="H359:H361"/>
    <mergeCell ref="H400:H402"/>
    <mergeCell ref="H416:H417"/>
    <mergeCell ref="H441:H442"/>
    <mergeCell ref="H461:H463"/>
    <mergeCell ref="H464:H466"/>
    <mergeCell ref="H483:H484"/>
    <mergeCell ref="H499:H501"/>
    <mergeCell ref="H517:H518"/>
    <mergeCell ref="H519:H521"/>
    <mergeCell ref="H564:H565"/>
    <mergeCell ref="H579:H581"/>
    <mergeCell ref="H583:H585"/>
    <mergeCell ref="H606:H607"/>
    <mergeCell ref="H613:H615"/>
    <mergeCell ref="H619:H621"/>
    <mergeCell ref="H635:H636"/>
    <mergeCell ref="H657:H659"/>
    <mergeCell ref="H668:H670"/>
    <mergeCell ref="H677:H678"/>
    <mergeCell ref="H688:H689"/>
    <mergeCell ref="H690:H691"/>
    <mergeCell ref="H705:H706"/>
    <mergeCell ref="I19:I21"/>
    <mergeCell ref="I36:I37"/>
    <mergeCell ref="I75:I76"/>
    <mergeCell ref="I87:I88"/>
    <mergeCell ref="I93:I95"/>
    <mergeCell ref="I126:I127"/>
    <mergeCell ref="I128:I129"/>
    <mergeCell ref="I134:I136"/>
    <mergeCell ref="I137:I138"/>
    <mergeCell ref="I161:I162"/>
    <mergeCell ref="I163:I165"/>
    <mergeCell ref="I171:I172"/>
    <mergeCell ref="I173:I174"/>
    <mergeCell ref="I197:I198"/>
    <mergeCell ref="I227:I229"/>
    <mergeCell ref="I247:I248"/>
    <mergeCell ref="I259:I260"/>
    <mergeCell ref="I262:I263"/>
    <mergeCell ref="I281:I282"/>
    <mergeCell ref="I296:I297"/>
    <mergeCell ref="I310:I312"/>
    <mergeCell ref="I317:I318"/>
    <mergeCell ref="I327:I329"/>
    <mergeCell ref="I345:I346"/>
    <mergeCell ref="I353:I354"/>
    <mergeCell ref="I359:I361"/>
    <mergeCell ref="I400:I402"/>
    <mergeCell ref="I416:I417"/>
    <mergeCell ref="I441:I442"/>
    <mergeCell ref="I461:I463"/>
    <mergeCell ref="I464:I466"/>
    <mergeCell ref="I483:I484"/>
    <mergeCell ref="I499:I501"/>
    <mergeCell ref="I517:I518"/>
    <mergeCell ref="I519:I521"/>
    <mergeCell ref="I564:I565"/>
    <mergeCell ref="I579:I581"/>
    <mergeCell ref="I583:I585"/>
    <mergeCell ref="I606:I607"/>
    <mergeCell ref="I613:I615"/>
    <mergeCell ref="I619:I621"/>
    <mergeCell ref="I635:I636"/>
    <mergeCell ref="I657:I659"/>
    <mergeCell ref="I668:I670"/>
    <mergeCell ref="I677:I678"/>
    <mergeCell ref="I688:I689"/>
    <mergeCell ref="I690:I691"/>
    <mergeCell ref="I705:I706"/>
    <mergeCell ref="M19:M21"/>
    <mergeCell ref="M36:M37"/>
    <mergeCell ref="M75:M76"/>
    <mergeCell ref="M87:M88"/>
    <mergeCell ref="M93:M95"/>
    <mergeCell ref="M126:M127"/>
    <mergeCell ref="M128:M129"/>
    <mergeCell ref="M134:M136"/>
    <mergeCell ref="M137:M138"/>
    <mergeCell ref="M161:M162"/>
    <mergeCell ref="M163:M165"/>
    <mergeCell ref="M171:M172"/>
    <mergeCell ref="M173:M174"/>
    <mergeCell ref="M197:M198"/>
    <mergeCell ref="M227:M229"/>
    <mergeCell ref="M247:M248"/>
    <mergeCell ref="M259:M260"/>
    <mergeCell ref="M262:M263"/>
    <mergeCell ref="M281:M282"/>
    <mergeCell ref="M296:M297"/>
    <mergeCell ref="M310:M312"/>
    <mergeCell ref="M317:M318"/>
    <mergeCell ref="M327:M329"/>
    <mergeCell ref="M345:M346"/>
    <mergeCell ref="M353:M354"/>
    <mergeCell ref="M359:M361"/>
    <mergeCell ref="M400:M402"/>
    <mergeCell ref="M416:M417"/>
    <mergeCell ref="M441:M442"/>
    <mergeCell ref="M461:M463"/>
    <mergeCell ref="M464:M466"/>
    <mergeCell ref="M483:M484"/>
    <mergeCell ref="M499:M501"/>
    <mergeCell ref="M517:M518"/>
    <mergeCell ref="M519:M521"/>
    <mergeCell ref="M564:M565"/>
    <mergeCell ref="M579:M581"/>
    <mergeCell ref="M583:M585"/>
    <mergeCell ref="M606:M607"/>
    <mergeCell ref="M613:M615"/>
    <mergeCell ref="M619:M621"/>
    <mergeCell ref="M635:M636"/>
    <mergeCell ref="M657:M659"/>
    <mergeCell ref="M668:M670"/>
    <mergeCell ref="M677:M678"/>
    <mergeCell ref="M688:M689"/>
    <mergeCell ref="M690:M691"/>
    <mergeCell ref="M705:M706"/>
    <mergeCell ref="N19:N21"/>
    <mergeCell ref="N36:N37"/>
    <mergeCell ref="N75:N76"/>
    <mergeCell ref="N87:N88"/>
    <mergeCell ref="N93:N95"/>
    <mergeCell ref="N126:N127"/>
    <mergeCell ref="N128:N129"/>
    <mergeCell ref="N134:N136"/>
    <mergeCell ref="N137:N138"/>
    <mergeCell ref="N161:N162"/>
    <mergeCell ref="N163:N165"/>
    <mergeCell ref="N171:N172"/>
    <mergeCell ref="N173:N174"/>
    <mergeCell ref="N197:N198"/>
    <mergeCell ref="N227:N229"/>
    <mergeCell ref="N247:N248"/>
    <mergeCell ref="N259:N260"/>
    <mergeCell ref="N262:N263"/>
    <mergeCell ref="N281:N282"/>
    <mergeCell ref="N296:N297"/>
    <mergeCell ref="N310:N312"/>
    <mergeCell ref="N317:N318"/>
    <mergeCell ref="N327:N329"/>
    <mergeCell ref="N345:N346"/>
    <mergeCell ref="N353:N354"/>
    <mergeCell ref="N359:N361"/>
    <mergeCell ref="N400:N402"/>
    <mergeCell ref="N416:N417"/>
    <mergeCell ref="N441:N442"/>
    <mergeCell ref="N461:N463"/>
    <mergeCell ref="N464:N466"/>
    <mergeCell ref="N483:N484"/>
    <mergeCell ref="N499:N501"/>
    <mergeCell ref="N517:N518"/>
    <mergeCell ref="N519:N521"/>
    <mergeCell ref="N564:N565"/>
    <mergeCell ref="N579:N581"/>
    <mergeCell ref="N583:N585"/>
    <mergeCell ref="N606:N607"/>
    <mergeCell ref="N613:N615"/>
    <mergeCell ref="N619:N621"/>
    <mergeCell ref="N635:N636"/>
    <mergeCell ref="N657:N659"/>
    <mergeCell ref="N668:N670"/>
    <mergeCell ref="N677:N678"/>
    <mergeCell ref="N688:N689"/>
    <mergeCell ref="N690:N691"/>
    <mergeCell ref="N705:N706"/>
    <mergeCell ref="B4:H5"/>
    <mergeCell ref="C1:H2"/>
    <mergeCell ref="A7:B696"/>
    <mergeCell ref="D757:M758"/>
    <mergeCell ref="D760:H761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rowBreaks count="16" manualBreakCount="16">
    <brk id="138" max="16383" man="1"/>
    <brk id="170" max="16383" man="1"/>
    <brk id="200" max="16383" man="1"/>
    <brk id="397" max="16383" man="1"/>
    <brk id="430" max="16383" man="1"/>
    <brk id="463" max="16383" man="1"/>
    <brk id="493" max="16383" man="1"/>
    <brk id="524" max="16383" man="1"/>
    <brk id="587" max="16383" man="1"/>
    <brk id="618" max="16383" man="1"/>
    <brk id="648" max="16383" man="1"/>
    <brk id="681" max="16383" man="1"/>
    <brk id="698" max="16383" man="1"/>
    <brk id="729" max="16383" man="1"/>
    <brk id="754" max="16383" man="1"/>
    <brk id="767" max="16383" man="1"/>
  </row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"/>
  <sheetViews>
    <sheetView view="pageBreakPreview" zoomScaleNormal="100" topLeftCell="A82" workbookViewId="0">
      <selection activeCell="L94" sqref="L94"/>
    </sheetView>
  </sheetViews>
  <sheetFormatPr defaultColWidth="9" defaultRowHeight="13.5"/>
  <cols>
    <col min="1" max="1" width="25.5" style="54" customWidth="1"/>
    <col min="2" max="2" width="11.0083333333333" style="54" customWidth="1"/>
    <col min="3" max="3" width="25.3416666666667" style="54" customWidth="1"/>
    <col min="4" max="4" width="11.3416666666667" style="54" customWidth="1"/>
    <col min="5" max="5" width="10.3416666666667" style="54" customWidth="1"/>
    <col min="6" max="6" width="13.0083333333333" style="54" customWidth="1"/>
    <col min="7" max="13" width="10.3416666666667" style="54" customWidth="1"/>
    <col min="14" max="16" width="14.0083333333333" style="54" customWidth="1"/>
    <col min="17" max="17" width="10.3416666666667" style="54" customWidth="1"/>
    <col min="18" max="16384" width="9" style="54"/>
  </cols>
  <sheetData>
    <row r="1" s="54" customFormat="1" ht="28.5" customHeight="1" spans="1:17">
      <c r="A1" s="55" t="s">
        <v>478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7"/>
    </row>
    <row r="2" s="54" customFormat="1" ht="28.5" customHeight="1" spans="1:17">
      <c r="A2" s="55" t="s">
        <v>479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</row>
    <row r="3" s="54" customFormat="1" ht="22.5" customHeight="1" spans="1:17">
      <c r="A3" s="58" t="s">
        <v>480</v>
      </c>
      <c r="B3" s="58" t="s">
        <v>481</v>
      </c>
      <c r="C3" s="58" t="s">
        <v>8</v>
      </c>
      <c r="D3" s="58" t="s">
        <v>4</v>
      </c>
      <c r="E3" s="58" t="s">
        <v>482</v>
      </c>
      <c r="F3" s="58" t="s">
        <v>483</v>
      </c>
      <c r="G3" s="58" t="s">
        <v>484</v>
      </c>
      <c r="H3" s="59" t="s">
        <v>485</v>
      </c>
      <c r="I3" s="60" t="s">
        <v>486</v>
      </c>
      <c r="J3" s="60" t="s">
        <v>487</v>
      </c>
      <c r="K3" s="60" t="s">
        <v>488</v>
      </c>
      <c r="L3" s="60" t="s">
        <v>489</v>
      </c>
      <c r="M3" s="60" t="s">
        <v>490</v>
      </c>
      <c r="N3" s="60" t="s">
        <v>491</v>
      </c>
      <c r="O3" s="60" t="s">
        <v>492</v>
      </c>
      <c r="P3" s="60" t="s">
        <v>493</v>
      </c>
      <c r="Q3" s="61" t="s">
        <v>494</v>
      </c>
    </row>
    <row r="4" s="54" customFormat="1" ht="22.5" customHeight="1" spans="1:17">
      <c r="A4" s="62" t="s">
        <v>495</v>
      </c>
      <c r="B4" s="62">
        <v>20415164</v>
      </c>
      <c r="C4" s="62" t="s">
        <v>496</v>
      </c>
      <c r="D4" s="63">
        <v>46091.0387941782</v>
      </c>
      <c r="E4" s="62" t="s">
        <v>497</v>
      </c>
      <c r="F4" s="62" t="s">
        <v>498</v>
      </c>
      <c r="G4" s="64">
        <v>11</v>
      </c>
      <c r="H4" s="64">
        <v>11</v>
      </c>
      <c r="I4" s="65">
        <v>4.4</v>
      </c>
      <c r="J4" s="65">
        <f>H4*I4</f>
        <v>48.4</v>
      </c>
      <c r="K4" s="65">
        <v>0</v>
      </c>
      <c r="L4" s="65">
        <v>40</v>
      </c>
      <c r="M4" s="65">
        <f>K4*L4</f>
        <v>0</v>
      </c>
      <c r="N4" s="65">
        <v>0</v>
      </c>
      <c r="O4" s="65">
        <v>120</v>
      </c>
      <c r="P4" s="65">
        <f>N4*O4</f>
        <v>0</v>
      </c>
      <c r="Q4" s="65">
        <f>J4+M4+P4</f>
        <v>48.4</v>
      </c>
    </row>
    <row r="5" s="54" customFormat="1" ht="22.5" customHeight="1" spans="1:17">
      <c r="A5" s="62" t="s">
        <v>495</v>
      </c>
      <c r="B5" s="62">
        <v>20415164</v>
      </c>
      <c r="C5" s="62" t="s">
        <v>496</v>
      </c>
      <c r="D5" s="63">
        <v>46091.0387941782</v>
      </c>
      <c r="E5" s="62" t="s">
        <v>499</v>
      </c>
      <c r="F5" s="62" t="s">
        <v>500</v>
      </c>
      <c r="G5" s="64">
        <v>1</v>
      </c>
      <c r="H5" s="64">
        <v>1</v>
      </c>
      <c r="I5" s="65">
        <v>4.4</v>
      </c>
      <c r="J5" s="65">
        <f t="shared" ref="J5:J36" si="0">H5*I5</f>
        <v>4.4</v>
      </c>
      <c r="K5" s="65">
        <v>0</v>
      </c>
      <c r="L5" s="65">
        <v>40</v>
      </c>
      <c r="M5" s="65">
        <f t="shared" ref="M5:M36" si="1">K5*L5</f>
        <v>0</v>
      </c>
      <c r="N5" s="65">
        <v>0</v>
      </c>
      <c r="O5" s="65">
        <v>120</v>
      </c>
      <c r="P5" s="65">
        <f t="shared" ref="P5:P36" si="2">N5*O5</f>
        <v>0</v>
      </c>
      <c r="Q5" s="65">
        <f t="shared" ref="Q5:Q36" si="3">J5+M5+P5</f>
        <v>4.4</v>
      </c>
    </row>
    <row r="6" s="54" customFormat="1" ht="22.5" customHeight="1" spans="1:17">
      <c r="A6" s="62" t="s">
        <v>495</v>
      </c>
      <c r="B6" s="62">
        <v>20415169</v>
      </c>
      <c r="C6" s="62" t="s">
        <v>501</v>
      </c>
      <c r="D6" s="63">
        <v>46091.0387941782</v>
      </c>
      <c r="E6" s="62" t="s">
        <v>499</v>
      </c>
      <c r="F6" s="62" t="s">
        <v>500</v>
      </c>
      <c r="G6" s="64">
        <v>1</v>
      </c>
      <c r="H6" s="64">
        <v>1</v>
      </c>
      <c r="I6" s="65">
        <v>4.4</v>
      </c>
      <c r="J6" s="65">
        <f t="shared" si="0"/>
        <v>4.4</v>
      </c>
      <c r="K6" s="65">
        <v>0</v>
      </c>
      <c r="L6" s="65">
        <v>40</v>
      </c>
      <c r="M6" s="65">
        <f t="shared" si="1"/>
        <v>0</v>
      </c>
      <c r="N6" s="65">
        <v>0</v>
      </c>
      <c r="O6" s="65">
        <v>120</v>
      </c>
      <c r="P6" s="65">
        <f t="shared" si="2"/>
        <v>0</v>
      </c>
      <c r="Q6" s="65">
        <f t="shared" si="3"/>
        <v>4.4</v>
      </c>
    </row>
    <row r="7" s="54" customFormat="1" ht="22.5" customHeight="1" spans="1:17">
      <c r="A7" s="62" t="s">
        <v>495</v>
      </c>
      <c r="B7" s="62">
        <v>20415169</v>
      </c>
      <c r="C7" s="62" t="s">
        <v>501</v>
      </c>
      <c r="D7" s="63">
        <v>46091.0387941782</v>
      </c>
      <c r="E7" s="62" t="s">
        <v>497</v>
      </c>
      <c r="F7" s="62" t="s">
        <v>498</v>
      </c>
      <c r="G7" s="64">
        <v>22</v>
      </c>
      <c r="H7" s="64">
        <v>22</v>
      </c>
      <c r="I7" s="65">
        <v>4.4</v>
      </c>
      <c r="J7" s="65">
        <f t="shared" si="0"/>
        <v>96.8</v>
      </c>
      <c r="K7" s="65">
        <v>0</v>
      </c>
      <c r="L7" s="65">
        <v>40</v>
      </c>
      <c r="M7" s="65">
        <f t="shared" si="1"/>
        <v>0</v>
      </c>
      <c r="N7" s="65">
        <v>0</v>
      </c>
      <c r="O7" s="65">
        <v>120</v>
      </c>
      <c r="P7" s="65">
        <f t="shared" si="2"/>
        <v>0</v>
      </c>
      <c r="Q7" s="65">
        <f t="shared" si="3"/>
        <v>96.8</v>
      </c>
    </row>
    <row r="8" s="54" customFormat="1" ht="22.5" customHeight="1" spans="1:17">
      <c r="A8" s="62" t="s">
        <v>495</v>
      </c>
      <c r="B8" s="62">
        <v>20415165</v>
      </c>
      <c r="C8" s="62" t="s">
        <v>502</v>
      </c>
      <c r="D8" s="63">
        <v>46091.0387966435</v>
      </c>
      <c r="E8" s="62" t="s">
        <v>497</v>
      </c>
      <c r="F8" s="62" t="s">
        <v>498</v>
      </c>
      <c r="G8" s="64">
        <v>19</v>
      </c>
      <c r="H8" s="64">
        <v>19</v>
      </c>
      <c r="I8" s="65">
        <v>4.4</v>
      </c>
      <c r="J8" s="65">
        <f t="shared" si="0"/>
        <v>83.6</v>
      </c>
      <c r="K8" s="65">
        <v>0</v>
      </c>
      <c r="L8" s="65">
        <v>40</v>
      </c>
      <c r="M8" s="65">
        <f t="shared" si="1"/>
        <v>0</v>
      </c>
      <c r="N8" s="65">
        <v>0</v>
      </c>
      <c r="O8" s="65">
        <v>120</v>
      </c>
      <c r="P8" s="65">
        <f t="shared" si="2"/>
        <v>0</v>
      </c>
      <c r="Q8" s="65">
        <f t="shared" si="3"/>
        <v>83.6</v>
      </c>
    </row>
    <row r="9" s="54" customFormat="1" ht="22.5" customHeight="1" spans="1:17">
      <c r="A9" s="62" t="s">
        <v>495</v>
      </c>
      <c r="B9" s="62">
        <v>20415165</v>
      </c>
      <c r="C9" s="62" t="s">
        <v>502</v>
      </c>
      <c r="D9" s="63">
        <v>46091.0387966435</v>
      </c>
      <c r="E9" s="62" t="s">
        <v>499</v>
      </c>
      <c r="F9" s="62" t="s">
        <v>500</v>
      </c>
      <c r="G9" s="64">
        <v>1</v>
      </c>
      <c r="H9" s="64">
        <v>1</v>
      </c>
      <c r="I9" s="65">
        <v>4.4</v>
      </c>
      <c r="J9" s="65">
        <f t="shared" si="0"/>
        <v>4.4</v>
      </c>
      <c r="K9" s="65">
        <v>0</v>
      </c>
      <c r="L9" s="65">
        <v>40</v>
      </c>
      <c r="M9" s="65">
        <f t="shared" si="1"/>
        <v>0</v>
      </c>
      <c r="N9" s="65">
        <v>0</v>
      </c>
      <c r="O9" s="65">
        <v>120</v>
      </c>
      <c r="P9" s="65">
        <f t="shared" si="2"/>
        <v>0</v>
      </c>
      <c r="Q9" s="65">
        <f t="shared" si="3"/>
        <v>4.4</v>
      </c>
    </row>
    <row r="10" s="54" customFormat="1" ht="22.5" customHeight="1" spans="1:17">
      <c r="A10" s="62" t="s">
        <v>495</v>
      </c>
      <c r="B10" s="62">
        <v>20415170</v>
      </c>
      <c r="C10" s="62" t="s">
        <v>503</v>
      </c>
      <c r="D10" s="63">
        <v>46091.0387966435</v>
      </c>
      <c r="E10" s="62" t="s">
        <v>497</v>
      </c>
      <c r="F10" s="62" t="s">
        <v>498</v>
      </c>
      <c r="G10" s="64">
        <v>34</v>
      </c>
      <c r="H10" s="64">
        <v>34</v>
      </c>
      <c r="I10" s="65">
        <v>4.4</v>
      </c>
      <c r="J10" s="65">
        <f t="shared" si="0"/>
        <v>149.6</v>
      </c>
      <c r="K10" s="65">
        <v>0</v>
      </c>
      <c r="L10" s="65">
        <v>40</v>
      </c>
      <c r="M10" s="65">
        <f t="shared" si="1"/>
        <v>0</v>
      </c>
      <c r="N10" s="65">
        <v>0</v>
      </c>
      <c r="O10" s="65">
        <v>120</v>
      </c>
      <c r="P10" s="65">
        <f t="shared" si="2"/>
        <v>0</v>
      </c>
      <c r="Q10" s="65">
        <f t="shared" si="3"/>
        <v>149.6</v>
      </c>
    </row>
    <row r="11" s="54" customFormat="1" ht="22.5" customHeight="1" spans="1:17">
      <c r="A11" s="62" t="s">
        <v>495</v>
      </c>
      <c r="B11" s="62">
        <v>20415170</v>
      </c>
      <c r="C11" s="62" t="s">
        <v>503</v>
      </c>
      <c r="D11" s="63">
        <v>46091.0387966435</v>
      </c>
      <c r="E11" s="62" t="s">
        <v>499</v>
      </c>
      <c r="F11" s="62" t="s">
        <v>500</v>
      </c>
      <c r="G11" s="64">
        <v>1</v>
      </c>
      <c r="H11" s="64">
        <v>1</v>
      </c>
      <c r="I11" s="65">
        <v>4.4</v>
      </c>
      <c r="J11" s="65">
        <f t="shared" si="0"/>
        <v>4.4</v>
      </c>
      <c r="K11" s="65">
        <v>0</v>
      </c>
      <c r="L11" s="65">
        <v>40</v>
      </c>
      <c r="M11" s="65">
        <f t="shared" si="1"/>
        <v>0</v>
      </c>
      <c r="N11" s="65">
        <v>0</v>
      </c>
      <c r="O11" s="65">
        <v>120</v>
      </c>
      <c r="P11" s="65">
        <f t="shared" si="2"/>
        <v>0</v>
      </c>
      <c r="Q11" s="65">
        <f t="shared" si="3"/>
        <v>4.4</v>
      </c>
    </row>
    <row r="12" s="54" customFormat="1" ht="22.5" customHeight="1" spans="1:17">
      <c r="A12" s="62" t="s">
        <v>495</v>
      </c>
      <c r="B12" s="62">
        <v>20415166</v>
      </c>
      <c r="C12" s="62" t="s">
        <v>504</v>
      </c>
      <c r="D12" s="63">
        <v>46091.0387990394</v>
      </c>
      <c r="E12" s="62" t="s">
        <v>497</v>
      </c>
      <c r="F12" s="62" t="s">
        <v>498</v>
      </c>
      <c r="G12" s="64">
        <v>12</v>
      </c>
      <c r="H12" s="64">
        <v>12</v>
      </c>
      <c r="I12" s="65">
        <v>4.4</v>
      </c>
      <c r="J12" s="65">
        <f t="shared" si="0"/>
        <v>52.8</v>
      </c>
      <c r="K12" s="65">
        <v>0</v>
      </c>
      <c r="L12" s="65">
        <v>40</v>
      </c>
      <c r="M12" s="65">
        <f t="shared" si="1"/>
        <v>0</v>
      </c>
      <c r="N12" s="65">
        <v>0</v>
      </c>
      <c r="O12" s="65">
        <v>120</v>
      </c>
      <c r="P12" s="65">
        <f t="shared" si="2"/>
        <v>0</v>
      </c>
      <c r="Q12" s="65">
        <f t="shared" si="3"/>
        <v>52.8</v>
      </c>
    </row>
    <row r="13" s="54" customFormat="1" ht="22.5" customHeight="1" spans="1:17">
      <c r="A13" s="62" t="s">
        <v>495</v>
      </c>
      <c r="B13" s="62">
        <v>20415166</v>
      </c>
      <c r="C13" s="62" t="s">
        <v>504</v>
      </c>
      <c r="D13" s="63">
        <v>46091.0387990394</v>
      </c>
      <c r="E13" s="62" t="s">
        <v>499</v>
      </c>
      <c r="F13" s="62" t="s">
        <v>500</v>
      </c>
      <c r="G13" s="64">
        <v>1</v>
      </c>
      <c r="H13" s="64">
        <v>1</v>
      </c>
      <c r="I13" s="65">
        <v>4.4</v>
      </c>
      <c r="J13" s="65">
        <f t="shared" si="0"/>
        <v>4.4</v>
      </c>
      <c r="K13" s="65">
        <v>0</v>
      </c>
      <c r="L13" s="65">
        <v>40</v>
      </c>
      <c r="M13" s="65">
        <f t="shared" si="1"/>
        <v>0</v>
      </c>
      <c r="N13" s="65">
        <v>0</v>
      </c>
      <c r="O13" s="65">
        <v>120</v>
      </c>
      <c r="P13" s="65">
        <f t="shared" si="2"/>
        <v>0</v>
      </c>
      <c r="Q13" s="65">
        <f t="shared" si="3"/>
        <v>4.4</v>
      </c>
    </row>
    <row r="14" s="54" customFormat="1" ht="22.5" customHeight="1" spans="1:17">
      <c r="A14" s="62" t="s">
        <v>495</v>
      </c>
      <c r="B14" s="62">
        <v>20415171</v>
      </c>
      <c r="C14" s="62" t="s">
        <v>505</v>
      </c>
      <c r="D14" s="63">
        <v>46091.0387990394</v>
      </c>
      <c r="E14" s="62" t="s">
        <v>497</v>
      </c>
      <c r="F14" s="62" t="s">
        <v>498</v>
      </c>
      <c r="G14" s="64">
        <v>9</v>
      </c>
      <c r="H14" s="64">
        <v>9</v>
      </c>
      <c r="I14" s="65">
        <v>4.4</v>
      </c>
      <c r="J14" s="65">
        <f t="shared" si="0"/>
        <v>39.6</v>
      </c>
      <c r="K14" s="65">
        <v>0</v>
      </c>
      <c r="L14" s="65">
        <v>40</v>
      </c>
      <c r="M14" s="65">
        <f t="shared" si="1"/>
        <v>0</v>
      </c>
      <c r="N14" s="65">
        <v>0</v>
      </c>
      <c r="O14" s="65">
        <v>120</v>
      </c>
      <c r="P14" s="65">
        <f t="shared" si="2"/>
        <v>0</v>
      </c>
      <c r="Q14" s="65">
        <f t="shared" si="3"/>
        <v>39.6</v>
      </c>
    </row>
    <row r="15" s="54" customFormat="1" ht="22.5" customHeight="1" spans="1:17">
      <c r="A15" s="62" t="s">
        <v>495</v>
      </c>
      <c r="B15" s="62">
        <v>20415167</v>
      </c>
      <c r="C15" s="62" t="s">
        <v>506</v>
      </c>
      <c r="D15" s="63">
        <v>46091.0388014699</v>
      </c>
      <c r="E15" s="62" t="s">
        <v>497</v>
      </c>
      <c r="F15" s="62" t="s">
        <v>498</v>
      </c>
      <c r="G15" s="64">
        <v>21</v>
      </c>
      <c r="H15" s="64">
        <v>21</v>
      </c>
      <c r="I15" s="65">
        <v>4.4</v>
      </c>
      <c r="J15" s="65">
        <f t="shared" si="0"/>
        <v>92.4</v>
      </c>
      <c r="K15" s="65">
        <v>0</v>
      </c>
      <c r="L15" s="65">
        <v>40</v>
      </c>
      <c r="M15" s="65">
        <f t="shared" si="1"/>
        <v>0</v>
      </c>
      <c r="N15" s="65">
        <v>0</v>
      </c>
      <c r="O15" s="65">
        <v>120</v>
      </c>
      <c r="P15" s="65">
        <f t="shared" si="2"/>
        <v>0</v>
      </c>
      <c r="Q15" s="65">
        <f t="shared" si="3"/>
        <v>92.4</v>
      </c>
    </row>
    <row r="16" s="54" customFormat="1" ht="22.5" customHeight="1" spans="1:17">
      <c r="A16" s="62" t="s">
        <v>495</v>
      </c>
      <c r="B16" s="62">
        <v>20415167</v>
      </c>
      <c r="C16" s="62" t="s">
        <v>506</v>
      </c>
      <c r="D16" s="63">
        <v>46091.0388014699</v>
      </c>
      <c r="E16" s="62" t="s">
        <v>499</v>
      </c>
      <c r="F16" s="62" t="s">
        <v>500</v>
      </c>
      <c r="G16" s="64">
        <v>1</v>
      </c>
      <c r="H16" s="64">
        <v>1</v>
      </c>
      <c r="I16" s="65">
        <v>4.4</v>
      </c>
      <c r="J16" s="65">
        <f t="shared" si="0"/>
        <v>4.4</v>
      </c>
      <c r="K16" s="65">
        <v>0</v>
      </c>
      <c r="L16" s="65">
        <v>40</v>
      </c>
      <c r="M16" s="65">
        <f t="shared" si="1"/>
        <v>0</v>
      </c>
      <c r="N16" s="65">
        <v>0</v>
      </c>
      <c r="O16" s="65">
        <v>120</v>
      </c>
      <c r="P16" s="65">
        <f t="shared" si="2"/>
        <v>0</v>
      </c>
      <c r="Q16" s="65">
        <f t="shared" si="3"/>
        <v>4.4</v>
      </c>
    </row>
    <row r="17" s="54" customFormat="1" ht="22.5" customHeight="1" spans="1:17">
      <c r="A17" s="62" t="s">
        <v>495</v>
      </c>
      <c r="B17" s="62">
        <v>20415168</v>
      </c>
      <c r="C17" s="62" t="s">
        <v>507</v>
      </c>
      <c r="D17" s="63">
        <v>46091.0388042477</v>
      </c>
      <c r="E17" s="62" t="s">
        <v>499</v>
      </c>
      <c r="F17" s="62" t="s">
        <v>500</v>
      </c>
      <c r="G17" s="64">
        <v>1</v>
      </c>
      <c r="H17" s="64">
        <v>1</v>
      </c>
      <c r="I17" s="65">
        <v>4.4</v>
      </c>
      <c r="J17" s="65">
        <f t="shared" si="0"/>
        <v>4.4</v>
      </c>
      <c r="K17" s="65">
        <v>0</v>
      </c>
      <c r="L17" s="65">
        <v>40</v>
      </c>
      <c r="M17" s="65">
        <f t="shared" si="1"/>
        <v>0</v>
      </c>
      <c r="N17" s="65">
        <v>0</v>
      </c>
      <c r="O17" s="65">
        <v>120</v>
      </c>
      <c r="P17" s="65">
        <f t="shared" si="2"/>
        <v>0</v>
      </c>
      <c r="Q17" s="65">
        <f t="shared" si="3"/>
        <v>4.4</v>
      </c>
    </row>
    <row r="18" s="54" customFormat="1" ht="22.5" customHeight="1" spans="1:17">
      <c r="A18" s="62" t="s">
        <v>495</v>
      </c>
      <c r="B18" s="62">
        <v>20415168</v>
      </c>
      <c r="C18" s="62" t="s">
        <v>507</v>
      </c>
      <c r="D18" s="63">
        <v>46091.0388042477</v>
      </c>
      <c r="E18" s="62" t="s">
        <v>497</v>
      </c>
      <c r="F18" s="62" t="s">
        <v>498</v>
      </c>
      <c r="G18" s="64">
        <v>16</v>
      </c>
      <c r="H18" s="64">
        <v>16</v>
      </c>
      <c r="I18" s="65">
        <v>4.4</v>
      </c>
      <c r="J18" s="65">
        <f t="shared" si="0"/>
        <v>70.4</v>
      </c>
      <c r="K18" s="65">
        <v>0</v>
      </c>
      <c r="L18" s="65">
        <v>40</v>
      </c>
      <c r="M18" s="65">
        <f t="shared" si="1"/>
        <v>0</v>
      </c>
      <c r="N18" s="65">
        <v>0</v>
      </c>
      <c r="O18" s="65">
        <v>120</v>
      </c>
      <c r="P18" s="65">
        <f t="shared" si="2"/>
        <v>0</v>
      </c>
      <c r="Q18" s="65">
        <f t="shared" si="3"/>
        <v>70.4</v>
      </c>
    </row>
    <row r="19" s="54" customFormat="1" ht="22.5" customHeight="1" spans="1:17">
      <c r="A19" s="62" t="s">
        <v>495</v>
      </c>
      <c r="B19" s="62">
        <v>20416861</v>
      </c>
      <c r="C19" s="62" t="s">
        <v>508</v>
      </c>
      <c r="D19" s="63">
        <v>46094.0800266551</v>
      </c>
      <c r="E19" s="62" t="s">
        <v>497</v>
      </c>
      <c r="F19" s="62" t="s">
        <v>498</v>
      </c>
      <c r="G19" s="64">
        <v>2</v>
      </c>
      <c r="H19" s="64">
        <v>2</v>
      </c>
      <c r="I19" s="65">
        <v>4.4</v>
      </c>
      <c r="J19" s="65">
        <f t="shared" si="0"/>
        <v>8.8</v>
      </c>
      <c r="K19" s="65">
        <v>0</v>
      </c>
      <c r="L19" s="65">
        <v>40</v>
      </c>
      <c r="M19" s="65">
        <f t="shared" si="1"/>
        <v>0</v>
      </c>
      <c r="N19" s="65">
        <v>0</v>
      </c>
      <c r="O19" s="65">
        <v>120</v>
      </c>
      <c r="P19" s="65">
        <f t="shared" si="2"/>
        <v>0</v>
      </c>
      <c r="Q19" s="65">
        <f t="shared" si="3"/>
        <v>8.8</v>
      </c>
    </row>
    <row r="20" s="54" customFormat="1" ht="22.5" customHeight="1" spans="1:17">
      <c r="A20" s="62" t="s">
        <v>495</v>
      </c>
      <c r="B20" s="62">
        <v>20416856</v>
      </c>
      <c r="C20" s="62" t="s">
        <v>509</v>
      </c>
      <c r="D20" s="63">
        <v>46094.0800266551</v>
      </c>
      <c r="E20" s="62" t="s">
        <v>499</v>
      </c>
      <c r="F20" s="62" t="s">
        <v>510</v>
      </c>
      <c r="G20" s="64">
        <v>1</v>
      </c>
      <c r="H20" s="64">
        <v>1</v>
      </c>
      <c r="I20" s="65">
        <v>4.4</v>
      </c>
      <c r="J20" s="65">
        <f t="shared" si="0"/>
        <v>4.4</v>
      </c>
      <c r="K20" s="65">
        <v>0</v>
      </c>
      <c r="L20" s="65">
        <v>40</v>
      </c>
      <c r="M20" s="65">
        <f t="shared" si="1"/>
        <v>0</v>
      </c>
      <c r="N20" s="65">
        <v>0</v>
      </c>
      <c r="O20" s="65">
        <v>120</v>
      </c>
      <c r="P20" s="65">
        <f t="shared" si="2"/>
        <v>0</v>
      </c>
      <c r="Q20" s="65">
        <f t="shared" si="3"/>
        <v>4.4</v>
      </c>
    </row>
    <row r="21" s="54" customFormat="1" ht="22.5" customHeight="1" spans="1:17">
      <c r="A21" s="62" t="s">
        <v>495</v>
      </c>
      <c r="B21" s="62">
        <v>20416856</v>
      </c>
      <c r="C21" s="62" t="s">
        <v>509</v>
      </c>
      <c r="D21" s="63">
        <v>46094.0800266551</v>
      </c>
      <c r="E21" s="62" t="s">
        <v>497</v>
      </c>
      <c r="F21" s="62" t="s">
        <v>498</v>
      </c>
      <c r="G21" s="64">
        <v>14</v>
      </c>
      <c r="H21" s="64">
        <v>14</v>
      </c>
      <c r="I21" s="65">
        <v>4.4</v>
      </c>
      <c r="J21" s="65">
        <f t="shared" si="0"/>
        <v>61.6</v>
      </c>
      <c r="K21" s="65">
        <v>0</v>
      </c>
      <c r="L21" s="65">
        <v>40</v>
      </c>
      <c r="M21" s="65">
        <f t="shared" si="1"/>
        <v>0</v>
      </c>
      <c r="N21" s="65">
        <v>0</v>
      </c>
      <c r="O21" s="65">
        <v>120</v>
      </c>
      <c r="P21" s="65">
        <f t="shared" si="2"/>
        <v>0</v>
      </c>
      <c r="Q21" s="65">
        <f t="shared" si="3"/>
        <v>61.6</v>
      </c>
    </row>
    <row r="22" s="54" customFormat="1" ht="22.5" customHeight="1" spans="1:17">
      <c r="A22" s="62" t="s">
        <v>495</v>
      </c>
      <c r="B22" s="62">
        <v>20416862</v>
      </c>
      <c r="C22" s="62" t="s">
        <v>511</v>
      </c>
      <c r="D22" s="63">
        <v>46094.0800290162</v>
      </c>
      <c r="E22" s="62" t="s">
        <v>499</v>
      </c>
      <c r="F22" s="62" t="s">
        <v>512</v>
      </c>
      <c r="G22" s="64">
        <v>1</v>
      </c>
      <c r="H22" s="64">
        <v>1</v>
      </c>
      <c r="I22" s="65">
        <v>4.4</v>
      </c>
      <c r="J22" s="65">
        <f t="shared" si="0"/>
        <v>4.4</v>
      </c>
      <c r="K22" s="65">
        <v>0</v>
      </c>
      <c r="L22" s="65">
        <v>40</v>
      </c>
      <c r="M22" s="65">
        <f t="shared" si="1"/>
        <v>0</v>
      </c>
      <c r="N22" s="65">
        <v>0</v>
      </c>
      <c r="O22" s="65">
        <v>120</v>
      </c>
      <c r="P22" s="65">
        <f t="shared" si="2"/>
        <v>0</v>
      </c>
      <c r="Q22" s="65">
        <f t="shared" si="3"/>
        <v>4.4</v>
      </c>
    </row>
    <row r="23" s="54" customFormat="1" ht="22.5" customHeight="1" spans="1:17">
      <c r="A23" s="62" t="s">
        <v>495</v>
      </c>
      <c r="B23" s="62">
        <v>20416862</v>
      </c>
      <c r="C23" s="62" t="s">
        <v>511</v>
      </c>
      <c r="D23" s="63">
        <v>46094.0800290162</v>
      </c>
      <c r="E23" s="62" t="s">
        <v>497</v>
      </c>
      <c r="F23" s="62" t="s">
        <v>498</v>
      </c>
      <c r="G23" s="64">
        <v>7</v>
      </c>
      <c r="H23" s="64">
        <v>7</v>
      </c>
      <c r="I23" s="65">
        <v>4.4</v>
      </c>
      <c r="J23" s="65">
        <f t="shared" si="0"/>
        <v>30.8</v>
      </c>
      <c r="K23" s="65">
        <v>0</v>
      </c>
      <c r="L23" s="65">
        <v>40</v>
      </c>
      <c r="M23" s="65">
        <f t="shared" si="1"/>
        <v>0</v>
      </c>
      <c r="N23" s="65">
        <v>0</v>
      </c>
      <c r="O23" s="65">
        <v>120</v>
      </c>
      <c r="P23" s="65">
        <f t="shared" si="2"/>
        <v>0</v>
      </c>
      <c r="Q23" s="65">
        <f t="shared" si="3"/>
        <v>30.8</v>
      </c>
    </row>
    <row r="24" s="54" customFormat="1" ht="22.5" customHeight="1" spans="1:17">
      <c r="A24" s="62" t="s">
        <v>495</v>
      </c>
      <c r="B24" s="62">
        <v>20416857</v>
      </c>
      <c r="C24" s="62" t="s">
        <v>513</v>
      </c>
      <c r="D24" s="63">
        <v>46094.0800290162</v>
      </c>
      <c r="E24" s="62" t="s">
        <v>497</v>
      </c>
      <c r="F24" s="62" t="s">
        <v>498</v>
      </c>
      <c r="G24" s="64">
        <v>16</v>
      </c>
      <c r="H24" s="64">
        <v>16</v>
      </c>
      <c r="I24" s="65">
        <v>4.4</v>
      </c>
      <c r="J24" s="65">
        <f t="shared" si="0"/>
        <v>70.4</v>
      </c>
      <c r="K24" s="65">
        <v>0</v>
      </c>
      <c r="L24" s="65">
        <v>40</v>
      </c>
      <c r="M24" s="65">
        <f t="shared" si="1"/>
        <v>0</v>
      </c>
      <c r="N24" s="65">
        <v>0</v>
      </c>
      <c r="O24" s="65">
        <v>120</v>
      </c>
      <c r="P24" s="65">
        <f t="shared" si="2"/>
        <v>0</v>
      </c>
      <c r="Q24" s="65">
        <f t="shared" si="3"/>
        <v>70.4</v>
      </c>
    </row>
    <row r="25" s="54" customFormat="1" ht="22.5" customHeight="1" spans="1:17">
      <c r="A25" s="62" t="s">
        <v>495</v>
      </c>
      <c r="B25" s="62">
        <v>20416857</v>
      </c>
      <c r="C25" s="62" t="s">
        <v>513</v>
      </c>
      <c r="D25" s="63">
        <v>46094.0800290162</v>
      </c>
      <c r="E25" s="62" t="s">
        <v>499</v>
      </c>
      <c r="F25" s="62" t="s">
        <v>510</v>
      </c>
      <c r="G25" s="64">
        <v>1</v>
      </c>
      <c r="H25" s="64">
        <v>1</v>
      </c>
      <c r="I25" s="65">
        <v>4.4</v>
      </c>
      <c r="J25" s="65">
        <f t="shared" si="0"/>
        <v>4.4</v>
      </c>
      <c r="K25" s="65">
        <v>0</v>
      </c>
      <c r="L25" s="65">
        <v>40</v>
      </c>
      <c r="M25" s="65">
        <f t="shared" si="1"/>
        <v>0</v>
      </c>
      <c r="N25" s="65">
        <v>0</v>
      </c>
      <c r="O25" s="65">
        <v>120</v>
      </c>
      <c r="P25" s="65">
        <f t="shared" si="2"/>
        <v>0</v>
      </c>
      <c r="Q25" s="65">
        <f t="shared" si="3"/>
        <v>4.4</v>
      </c>
    </row>
    <row r="26" s="54" customFormat="1" ht="22.5" customHeight="1" spans="1:17">
      <c r="A26" s="62" t="s">
        <v>495</v>
      </c>
      <c r="B26" s="62">
        <v>20416858</v>
      </c>
      <c r="C26" s="62" t="s">
        <v>514</v>
      </c>
      <c r="D26" s="63">
        <v>46094.0800308218</v>
      </c>
      <c r="E26" s="62" t="s">
        <v>499</v>
      </c>
      <c r="F26" s="62" t="s">
        <v>510</v>
      </c>
      <c r="G26" s="64">
        <v>1</v>
      </c>
      <c r="H26" s="64">
        <v>1</v>
      </c>
      <c r="I26" s="65">
        <v>4.4</v>
      </c>
      <c r="J26" s="65">
        <f t="shared" si="0"/>
        <v>4.4</v>
      </c>
      <c r="K26" s="65">
        <v>0</v>
      </c>
      <c r="L26" s="65">
        <v>40</v>
      </c>
      <c r="M26" s="65">
        <f t="shared" si="1"/>
        <v>0</v>
      </c>
      <c r="N26" s="65">
        <v>0</v>
      </c>
      <c r="O26" s="65">
        <v>120</v>
      </c>
      <c r="P26" s="65">
        <f t="shared" si="2"/>
        <v>0</v>
      </c>
      <c r="Q26" s="65">
        <f t="shared" si="3"/>
        <v>4.4</v>
      </c>
    </row>
    <row r="27" s="54" customFormat="1" ht="22.5" customHeight="1" spans="1:17">
      <c r="A27" s="62" t="s">
        <v>495</v>
      </c>
      <c r="B27" s="62">
        <v>20416858</v>
      </c>
      <c r="C27" s="62" t="s">
        <v>514</v>
      </c>
      <c r="D27" s="63">
        <v>46094.0800308218</v>
      </c>
      <c r="E27" s="62" t="s">
        <v>497</v>
      </c>
      <c r="F27" s="62" t="s">
        <v>498</v>
      </c>
      <c r="G27" s="64">
        <v>26</v>
      </c>
      <c r="H27" s="64">
        <v>26</v>
      </c>
      <c r="I27" s="65">
        <v>4.4</v>
      </c>
      <c r="J27" s="65">
        <f t="shared" si="0"/>
        <v>114.4</v>
      </c>
      <c r="K27" s="65">
        <v>0</v>
      </c>
      <c r="L27" s="65">
        <v>40</v>
      </c>
      <c r="M27" s="65">
        <f t="shared" si="1"/>
        <v>0</v>
      </c>
      <c r="N27" s="65">
        <v>0</v>
      </c>
      <c r="O27" s="65">
        <v>120</v>
      </c>
      <c r="P27" s="65">
        <f t="shared" si="2"/>
        <v>0</v>
      </c>
      <c r="Q27" s="65">
        <f t="shared" si="3"/>
        <v>114.4</v>
      </c>
    </row>
    <row r="28" s="54" customFormat="1" ht="22.5" customHeight="1" spans="1:17">
      <c r="A28" s="62" t="s">
        <v>495</v>
      </c>
      <c r="B28" s="62">
        <v>20416859</v>
      </c>
      <c r="C28" s="62" t="s">
        <v>515</v>
      </c>
      <c r="D28" s="63">
        <v>46094.0800326389</v>
      </c>
      <c r="E28" s="62" t="s">
        <v>497</v>
      </c>
      <c r="F28" s="62" t="s">
        <v>498</v>
      </c>
      <c r="G28" s="64">
        <v>13</v>
      </c>
      <c r="H28" s="64">
        <v>13</v>
      </c>
      <c r="I28" s="65">
        <v>4.4</v>
      </c>
      <c r="J28" s="65">
        <f t="shared" si="0"/>
        <v>57.2</v>
      </c>
      <c r="K28" s="65">
        <v>0</v>
      </c>
      <c r="L28" s="65">
        <v>40</v>
      </c>
      <c r="M28" s="65">
        <f t="shared" si="1"/>
        <v>0</v>
      </c>
      <c r="N28" s="65">
        <v>0</v>
      </c>
      <c r="O28" s="65">
        <v>120</v>
      </c>
      <c r="P28" s="65">
        <f t="shared" si="2"/>
        <v>0</v>
      </c>
      <c r="Q28" s="65">
        <f t="shared" si="3"/>
        <v>57.2</v>
      </c>
    </row>
    <row r="29" s="54" customFormat="1" ht="22.5" customHeight="1" spans="1:17">
      <c r="A29" s="62" t="s">
        <v>495</v>
      </c>
      <c r="B29" s="62">
        <v>20416859</v>
      </c>
      <c r="C29" s="62" t="s">
        <v>515</v>
      </c>
      <c r="D29" s="63">
        <v>46094.0800326389</v>
      </c>
      <c r="E29" s="62" t="s">
        <v>499</v>
      </c>
      <c r="F29" s="62" t="s">
        <v>510</v>
      </c>
      <c r="G29" s="64">
        <v>1</v>
      </c>
      <c r="H29" s="64">
        <v>1</v>
      </c>
      <c r="I29" s="65">
        <v>4.4</v>
      </c>
      <c r="J29" s="65">
        <f t="shared" si="0"/>
        <v>4.4</v>
      </c>
      <c r="K29" s="65">
        <v>0</v>
      </c>
      <c r="L29" s="65">
        <v>40</v>
      </c>
      <c r="M29" s="65">
        <f t="shared" si="1"/>
        <v>0</v>
      </c>
      <c r="N29" s="65">
        <v>0</v>
      </c>
      <c r="O29" s="65">
        <v>120</v>
      </c>
      <c r="P29" s="65">
        <f t="shared" si="2"/>
        <v>0</v>
      </c>
      <c r="Q29" s="65">
        <f t="shared" si="3"/>
        <v>4.4</v>
      </c>
    </row>
    <row r="30" s="54" customFormat="1" ht="22.5" customHeight="1" spans="1:17">
      <c r="A30" s="62" t="s">
        <v>495</v>
      </c>
      <c r="B30" s="62">
        <v>20416860</v>
      </c>
      <c r="C30" s="62" t="s">
        <v>516</v>
      </c>
      <c r="D30" s="63">
        <v>46094.080034456</v>
      </c>
      <c r="E30" s="62" t="s">
        <v>497</v>
      </c>
      <c r="F30" s="62" t="s">
        <v>498</v>
      </c>
      <c r="G30" s="64">
        <v>23</v>
      </c>
      <c r="H30" s="64">
        <v>23</v>
      </c>
      <c r="I30" s="65">
        <v>4.4</v>
      </c>
      <c r="J30" s="65">
        <f t="shared" si="0"/>
        <v>101.2</v>
      </c>
      <c r="K30" s="65">
        <v>0</v>
      </c>
      <c r="L30" s="65">
        <v>40</v>
      </c>
      <c r="M30" s="65">
        <f t="shared" si="1"/>
        <v>0</v>
      </c>
      <c r="N30" s="65">
        <v>0</v>
      </c>
      <c r="O30" s="65">
        <v>120</v>
      </c>
      <c r="P30" s="65">
        <f t="shared" si="2"/>
        <v>0</v>
      </c>
      <c r="Q30" s="65">
        <f t="shared" si="3"/>
        <v>101.2</v>
      </c>
    </row>
    <row r="31" s="54" customFormat="1" ht="22.5" customHeight="1" spans="1:17">
      <c r="A31" s="62" t="s">
        <v>495</v>
      </c>
      <c r="B31" s="62">
        <v>20416860</v>
      </c>
      <c r="C31" s="62" t="s">
        <v>516</v>
      </c>
      <c r="D31" s="63">
        <v>46094.080034456</v>
      </c>
      <c r="E31" s="62" t="s">
        <v>499</v>
      </c>
      <c r="F31" s="62" t="s">
        <v>510</v>
      </c>
      <c r="G31" s="64">
        <v>1</v>
      </c>
      <c r="H31" s="64">
        <v>1</v>
      </c>
      <c r="I31" s="65">
        <v>4.4</v>
      </c>
      <c r="J31" s="65">
        <f t="shared" si="0"/>
        <v>4.4</v>
      </c>
      <c r="K31" s="65">
        <v>0</v>
      </c>
      <c r="L31" s="65">
        <v>40</v>
      </c>
      <c r="M31" s="65">
        <f t="shared" si="1"/>
        <v>0</v>
      </c>
      <c r="N31" s="65">
        <v>0</v>
      </c>
      <c r="O31" s="65">
        <v>120</v>
      </c>
      <c r="P31" s="65">
        <f t="shared" si="2"/>
        <v>0</v>
      </c>
      <c r="Q31" s="65">
        <f t="shared" si="3"/>
        <v>4.4</v>
      </c>
    </row>
    <row r="32" s="54" customFormat="1" ht="22.5" customHeight="1" spans="1:17">
      <c r="A32" s="62" t="s">
        <v>495</v>
      </c>
      <c r="B32" s="62">
        <v>20417040</v>
      </c>
      <c r="C32" s="62" t="s">
        <v>517</v>
      </c>
      <c r="D32" s="63">
        <v>46095.0797495718</v>
      </c>
      <c r="E32" s="62" t="s">
        <v>499</v>
      </c>
      <c r="F32" s="62" t="s">
        <v>512</v>
      </c>
      <c r="G32" s="64">
        <v>1</v>
      </c>
      <c r="H32" s="64">
        <v>1</v>
      </c>
      <c r="I32" s="65">
        <v>4.4</v>
      </c>
      <c r="J32" s="65">
        <f t="shared" si="0"/>
        <v>4.4</v>
      </c>
      <c r="K32" s="65">
        <v>0</v>
      </c>
      <c r="L32" s="65">
        <v>40</v>
      </c>
      <c r="M32" s="65">
        <f t="shared" si="1"/>
        <v>0</v>
      </c>
      <c r="N32" s="65">
        <v>0</v>
      </c>
      <c r="O32" s="65">
        <v>120</v>
      </c>
      <c r="P32" s="65">
        <f t="shared" si="2"/>
        <v>0</v>
      </c>
      <c r="Q32" s="65">
        <f t="shared" si="3"/>
        <v>4.4</v>
      </c>
    </row>
    <row r="33" s="54" customFormat="1" ht="22.5" customHeight="1" spans="1:17">
      <c r="A33" s="62" t="s">
        <v>495</v>
      </c>
      <c r="B33" s="62">
        <v>20417040</v>
      </c>
      <c r="C33" s="62" t="s">
        <v>517</v>
      </c>
      <c r="D33" s="63">
        <v>46095.0797495718</v>
      </c>
      <c r="E33" s="62" t="s">
        <v>497</v>
      </c>
      <c r="F33" s="62" t="s">
        <v>518</v>
      </c>
      <c r="G33" s="64">
        <v>45</v>
      </c>
      <c r="H33" s="64">
        <v>45</v>
      </c>
      <c r="I33" s="65">
        <v>4.4</v>
      </c>
      <c r="J33" s="65">
        <f t="shared" si="0"/>
        <v>198</v>
      </c>
      <c r="K33" s="65">
        <v>0</v>
      </c>
      <c r="L33" s="65">
        <v>40</v>
      </c>
      <c r="M33" s="65">
        <f t="shared" si="1"/>
        <v>0</v>
      </c>
      <c r="N33" s="65">
        <v>0</v>
      </c>
      <c r="O33" s="65">
        <v>120</v>
      </c>
      <c r="P33" s="65">
        <f t="shared" si="2"/>
        <v>0</v>
      </c>
      <c r="Q33" s="65">
        <f t="shared" si="3"/>
        <v>198</v>
      </c>
    </row>
    <row r="34" s="54" customFormat="1" ht="22.5" customHeight="1" spans="1:17">
      <c r="A34" s="62" t="s">
        <v>495</v>
      </c>
      <c r="B34" s="62">
        <v>20417042</v>
      </c>
      <c r="C34" s="62" t="s">
        <v>519</v>
      </c>
      <c r="D34" s="63">
        <v>46095.0797515046</v>
      </c>
      <c r="E34" s="62" t="s">
        <v>497</v>
      </c>
      <c r="F34" s="62" t="s">
        <v>520</v>
      </c>
      <c r="G34" s="64">
        <v>25</v>
      </c>
      <c r="H34" s="64">
        <v>25</v>
      </c>
      <c r="I34" s="65">
        <v>4.4</v>
      </c>
      <c r="J34" s="65">
        <f t="shared" si="0"/>
        <v>110</v>
      </c>
      <c r="K34" s="65">
        <v>0</v>
      </c>
      <c r="L34" s="65">
        <v>40</v>
      </c>
      <c r="M34" s="65">
        <f t="shared" si="1"/>
        <v>0</v>
      </c>
      <c r="N34" s="65">
        <v>0</v>
      </c>
      <c r="O34" s="65">
        <v>120</v>
      </c>
      <c r="P34" s="65">
        <f t="shared" si="2"/>
        <v>0</v>
      </c>
      <c r="Q34" s="65">
        <f t="shared" si="3"/>
        <v>110</v>
      </c>
    </row>
    <row r="35" s="54" customFormat="1" ht="22.5" customHeight="1" spans="1:17">
      <c r="A35" s="62" t="s">
        <v>495</v>
      </c>
      <c r="B35" s="62">
        <v>20417042</v>
      </c>
      <c r="C35" s="62" t="s">
        <v>519</v>
      </c>
      <c r="D35" s="63">
        <v>46095.0797515046</v>
      </c>
      <c r="E35" s="62" t="s">
        <v>499</v>
      </c>
      <c r="F35" s="62" t="s">
        <v>512</v>
      </c>
      <c r="G35" s="64">
        <v>1</v>
      </c>
      <c r="H35" s="64">
        <v>1</v>
      </c>
      <c r="I35" s="65">
        <v>4.4</v>
      </c>
      <c r="J35" s="65">
        <f t="shared" si="0"/>
        <v>4.4</v>
      </c>
      <c r="K35" s="65">
        <v>0</v>
      </c>
      <c r="L35" s="65">
        <v>40</v>
      </c>
      <c r="M35" s="65">
        <f t="shared" si="1"/>
        <v>0</v>
      </c>
      <c r="N35" s="65">
        <v>0</v>
      </c>
      <c r="O35" s="65">
        <v>120</v>
      </c>
      <c r="P35" s="65">
        <f t="shared" si="2"/>
        <v>0</v>
      </c>
      <c r="Q35" s="65">
        <f t="shared" si="3"/>
        <v>4.4</v>
      </c>
    </row>
    <row r="36" s="54" customFormat="1" ht="22.5" customHeight="1" spans="1:17">
      <c r="A36" s="62" t="s">
        <v>495</v>
      </c>
      <c r="B36" s="62">
        <v>20417043</v>
      </c>
      <c r="C36" s="62" t="s">
        <v>521</v>
      </c>
      <c r="D36" s="63">
        <v>46095.079753206</v>
      </c>
      <c r="E36" s="62" t="s">
        <v>499</v>
      </c>
      <c r="F36" s="62" t="s">
        <v>512</v>
      </c>
      <c r="G36" s="64">
        <v>1</v>
      </c>
      <c r="H36" s="64">
        <v>1</v>
      </c>
      <c r="I36" s="65">
        <v>4.4</v>
      </c>
      <c r="J36" s="65">
        <f t="shared" si="0"/>
        <v>4.4</v>
      </c>
      <c r="K36" s="65">
        <v>0</v>
      </c>
      <c r="L36" s="65">
        <v>40</v>
      </c>
      <c r="M36" s="65">
        <f t="shared" si="1"/>
        <v>0</v>
      </c>
      <c r="N36" s="65">
        <v>0</v>
      </c>
      <c r="O36" s="65">
        <v>120</v>
      </c>
      <c r="P36" s="65">
        <f t="shared" si="2"/>
        <v>0</v>
      </c>
      <c r="Q36" s="65">
        <f t="shared" si="3"/>
        <v>4.4</v>
      </c>
    </row>
    <row r="37" s="54" customFormat="1" ht="22.5" customHeight="1" spans="1:17">
      <c r="A37" s="62" t="s">
        <v>495</v>
      </c>
      <c r="B37" s="62">
        <v>20417043</v>
      </c>
      <c r="C37" s="62" t="s">
        <v>521</v>
      </c>
      <c r="D37" s="63">
        <v>46095.079753206</v>
      </c>
      <c r="E37" s="62" t="s">
        <v>497</v>
      </c>
      <c r="F37" s="62" t="s">
        <v>520</v>
      </c>
      <c r="G37" s="64">
        <v>24</v>
      </c>
      <c r="H37" s="64">
        <v>24</v>
      </c>
      <c r="I37" s="65">
        <v>4.4</v>
      </c>
      <c r="J37" s="65">
        <f t="shared" ref="J37:J54" si="4">H37*I37</f>
        <v>105.6</v>
      </c>
      <c r="K37" s="65">
        <v>0</v>
      </c>
      <c r="L37" s="65">
        <v>40</v>
      </c>
      <c r="M37" s="65">
        <f t="shared" ref="M37:M54" si="5">K37*L37</f>
        <v>0</v>
      </c>
      <c r="N37" s="65">
        <v>0</v>
      </c>
      <c r="O37" s="65">
        <v>120</v>
      </c>
      <c r="P37" s="65">
        <f t="shared" ref="P37:P54" si="6">N37*O37</f>
        <v>0</v>
      </c>
      <c r="Q37" s="65">
        <f t="shared" ref="Q37:Q69" si="7">J37+M37+P37</f>
        <v>105.6</v>
      </c>
    </row>
    <row r="38" s="54" customFormat="1" ht="22.5" customHeight="1" spans="1:17">
      <c r="A38" s="62" t="s">
        <v>495</v>
      </c>
      <c r="B38" s="62">
        <v>20417041</v>
      </c>
      <c r="C38" s="62" t="s">
        <v>522</v>
      </c>
      <c r="D38" s="63">
        <v>46095.0813086458</v>
      </c>
      <c r="E38" s="62" t="s">
        <v>497</v>
      </c>
      <c r="F38" s="62" t="s">
        <v>520</v>
      </c>
      <c r="G38" s="64">
        <v>18</v>
      </c>
      <c r="H38" s="64">
        <v>18</v>
      </c>
      <c r="I38" s="65">
        <v>4.4</v>
      </c>
      <c r="J38" s="65">
        <f t="shared" si="4"/>
        <v>79.2</v>
      </c>
      <c r="K38" s="65">
        <v>0</v>
      </c>
      <c r="L38" s="65">
        <v>40</v>
      </c>
      <c r="M38" s="65">
        <f t="shared" si="5"/>
        <v>0</v>
      </c>
      <c r="N38" s="65">
        <v>0</v>
      </c>
      <c r="O38" s="65">
        <v>120</v>
      </c>
      <c r="P38" s="65">
        <f t="shared" si="6"/>
        <v>0</v>
      </c>
      <c r="Q38" s="65">
        <f t="shared" si="7"/>
        <v>79.2</v>
      </c>
    </row>
    <row r="39" s="54" customFormat="1" ht="22.5" customHeight="1" spans="1:17">
      <c r="A39" s="62" t="s">
        <v>495</v>
      </c>
      <c r="B39" s="62">
        <v>20417041</v>
      </c>
      <c r="C39" s="62" t="s">
        <v>522</v>
      </c>
      <c r="D39" s="63">
        <v>46095.0813086458</v>
      </c>
      <c r="E39" s="62" t="s">
        <v>499</v>
      </c>
      <c r="F39" s="62" t="s">
        <v>512</v>
      </c>
      <c r="G39" s="64">
        <v>1</v>
      </c>
      <c r="H39" s="64">
        <v>1</v>
      </c>
      <c r="I39" s="65">
        <v>4.4</v>
      </c>
      <c r="J39" s="65">
        <f t="shared" si="4"/>
        <v>4.4</v>
      </c>
      <c r="K39" s="65">
        <v>0</v>
      </c>
      <c r="L39" s="65">
        <v>40</v>
      </c>
      <c r="M39" s="65">
        <f t="shared" si="5"/>
        <v>0</v>
      </c>
      <c r="N39" s="65">
        <v>0</v>
      </c>
      <c r="O39" s="65">
        <v>120</v>
      </c>
      <c r="P39" s="65">
        <f t="shared" si="6"/>
        <v>0</v>
      </c>
      <c r="Q39" s="65">
        <f t="shared" si="7"/>
        <v>4.4</v>
      </c>
    </row>
    <row r="40" s="54" customFormat="1" ht="22.5" customHeight="1" spans="1:17">
      <c r="A40" s="62" t="s">
        <v>495</v>
      </c>
      <c r="B40" s="62">
        <v>20417307</v>
      </c>
      <c r="C40" s="62" t="s">
        <v>523</v>
      </c>
      <c r="D40" s="63">
        <v>46098.039328206</v>
      </c>
      <c r="E40" s="62" t="s">
        <v>497</v>
      </c>
      <c r="F40" s="62" t="s">
        <v>498</v>
      </c>
      <c r="G40" s="64">
        <v>4</v>
      </c>
      <c r="H40" s="64">
        <v>4</v>
      </c>
      <c r="I40" s="65">
        <v>4.4</v>
      </c>
      <c r="J40" s="65">
        <f t="shared" si="4"/>
        <v>17.6</v>
      </c>
      <c r="K40" s="65">
        <v>0</v>
      </c>
      <c r="L40" s="65">
        <v>40</v>
      </c>
      <c r="M40" s="65">
        <f t="shared" si="5"/>
        <v>0</v>
      </c>
      <c r="N40" s="65">
        <v>0</v>
      </c>
      <c r="O40" s="65">
        <v>120</v>
      </c>
      <c r="P40" s="65">
        <f t="shared" si="6"/>
        <v>0</v>
      </c>
      <c r="Q40" s="65">
        <f t="shared" si="7"/>
        <v>17.6</v>
      </c>
    </row>
    <row r="41" s="54" customFormat="1" ht="22.5" customHeight="1" spans="1:17">
      <c r="A41" s="62" t="s">
        <v>495</v>
      </c>
      <c r="B41" s="62">
        <v>20417302</v>
      </c>
      <c r="C41" s="62" t="s">
        <v>524</v>
      </c>
      <c r="D41" s="63">
        <v>46098.039328206</v>
      </c>
      <c r="E41" s="62" t="s">
        <v>497</v>
      </c>
      <c r="F41" s="62" t="s">
        <v>498</v>
      </c>
      <c r="G41" s="64">
        <v>16</v>
      </c>
      <c r="H41" s="64">
        <v>16</v>
      </c>
      <c r="I41" s="65">
        <v>4.4</v>
      </c>
      <c r="J41" s="65">
        <f t="shared" si="4"/>
        <v>70.4</v>
      </c>
      <c r="K41" s="65">
        <v>0</v>
      </c>
      <c r="L41" s="65">
        <v>40</v>
      </c>
      <c r="M41" s="65">
        <f t="shared" si="5"/>
        <v>0</v>
      </c>
      <c r="N41" s="65">
        <v>0</v>
      </c>
      <c r="O41" s="65">
        <v>120</v>
      </c>
      <c r="P41" s="65">
        <f t="shared" si="6"/>
        <v>0</v>
      </c>
      <c r="Q41" s="65">
        <f t="shared" si="7"/>
        <v>70.4</v>
      </c>
    </row>
    <row r="42" s="54" customFormat="1" ht="22.5" customHeight="1" spans="1:17">
      <c r="A42" s="62" t="s">
        <v>495</v>
      </c>
      <c r="B42" s="62">
        <v>20417302</v>
      </c>
      <c r="C42" s="62" t="s">
        <v>524</v>
      </c>
      <c r="D42" s="63">
        <v>46098.039328206</v>
      </c>
      <c r="E42" s="62" t="s">
        <v>499</v>
      </c>
      <c r="F42" s="62" t="s">
        <v>510</v>
      </c>
      <c r="G42" s="64">
        <v>1</v>
      </c>
      <c r="H42" s="64">
        <v>1</v>
      </c>
      <c r="I42" s="65">
        <v>4.4</v>
      </c>
      <c r="J42" s="65">
        <f t="shared" si="4"/>
        <v>4.4</v>
      </c>
      <c r="K42" s="65">
        <v>0</v>
      </c>
      <c r="L42" s="65">
        <v>40</v>
      </c>
      <c r="M42" s="65">
        <f t="shared" si="5"/>
        <v>0</v>
      </c>
      <c r="N42" s="65">
        <v>0</v>
      </c>
      <c r="O42" s="65">
        <v>120</v>
      </c>
      <c r="P42" s="65">
        <f t="shared" si="6"/>
        <v>0</v>
      </c>
      <c r="Q42" s="65">
        <f t="shared" si="7"/>
        <v>4.4</v>
      </c>
    </row>
    <row r="43" s="54" customFormat="1" ht="22.5" customHeight="1" spans="1:17">
      <c r="A43" s="62" t="s">
        <v>495</v>
      </c>
      <c r="B43" s="62">
        <v>20417303</v>
      </c>
      <c r="C43" s="62" t="s">
        <v>525</v>
      </c>
      <c r="D43" s="63">
        <v>46098.0393304745</v>
      </c>
      <c r="E43" s="62" t="s">
        <v>499</v>
      </c>
      <c r="F43" s="62" t="s">
        <v>510</v>
      </c>
      <c r="G43" s="64">
        <v>1</v>
      </c>
      <c r="H43" s="64">
        <v>1</v>
      </c>
      <c r="I43" s="65">
        <v>4.4</v>
      </c>
      <c r="J43" s="65">
        <f t="shared" si="4"/>
        <v>4.4</v>
      </c>
      <c r="K43" s="65">
        <v>0</v>
      </c>
      <c r="L43" s="65">
        <v>40</v>
      </c>
      <c r="M43" s="65">
        <f t="shared" si="5"/>
        <v>0</v>
      </c>
      <c r="N43" s="65">
        <v>0</v>
      </c>
      <c r="O43" s="65">
        <v>120</v>
      </c>
      <c r="P43" s="65">
        <f t="shared" si="6"/>
        <v>0</v>
      </c>
      <c r="Q43" s="65">
        <f t="shared" si="7"/>
        <v>4.4</v>
      </c>
    </row>
    <row r="44" s="54" customFormat="1" ht="22.5" customHeight="1" spans="1:17">
      <c r="A44" s="62" t="s">
        <v>495</v>
      </c>
      <c r="B44" s="62">
        <v>20417303</v>
      </c>
      <c r="C44" s="62" t="s">
        <v>525</v>
      </c>
      <c r="D44" s="63">
        <v>46098.0393304745</v>
      </c>
      <c r="E44" s="62" t="s">
        <v>497</v>
      </c>
      <c r="F44" s="62" t="s">
        <v>498</v>
      </c>
      <c r="G44" s="64">
        <v>15</v>
      </c>
      <c r="H44" s="64">
        <v>15</v>
      </c>
      <c r="I44" s="65">
        <v>4.4</v>
      </c>
      <c r="J44" s="65">
        <f t="shared" si="4"/>
        <v>66</v>
      </c>
      <c r="K44" s="65">
        <v>0</v>
      </c>
      <c r="L44" s="65">
        <v>40</v>
      </c>
      <c r="M44" s="65">
        <f t="shared" si="5"/>
        <v>0</v>
      </c>
      <c r="N44" s="65">
        <v>0</v>
      </c>
      <c r="O44" s="65">
        <v>120</v>
      </c>
      <c r="P44" s="65">
        <f t="shared" si="6"/>
        <v>0</v>
      </c>
      <c r="Q44" s="65">
        <f t="shared" si="7"/>
        <v>66</v>
      </c>
    </row>
    <row r="45" s="54" customFormat="1" ht="22.5" customHeight="1" spans="1:17">
      <c r="A45" s="62" t="s">
        <v>495</v>
      </c>
      <c r="B45" s="62">
        <v>20417304</v>
      </c>
      <c r="C45" s="62" t="s">
        <v>526</v>
      </c>
      <c r="D45" s="63">
        <v>46098.0393327894</v>
      </c>
      <c r="E45" s="62" t="s">
        <v>499</v>
      </c>
      <c r="F45" s="62" t="s">
        <v>510</v>
      </c>
      <c r="G45" s="64">
        <v>1</v>
      </c>
      <c r="H45" s="64">
        <v>1</v>
      </c>
      <c r="I45" s="65">
        <v>4.4</v>
      </c>
      <c r="J45" s="65">
        <f t="shared" si="4"/>
        <v>4.4</v>
      </c>
      <c r="K45" s="65">
        <v>0</v>
      </c>
      <c r="L45" s="65">
        <v>40</v>
      </c>
      <c r="M45" s="65">
        <f t="shared" si="5"/>
        <v>0</v>
      </c>
      <c r="N45" s="65">
        <v>0</v>
      </c>
      <c r="O45" s="65">
        <v>120</v>
      </c>
      <c r="P45" s="65">
        <f t="shared" si="6"/>
        <v>0</v>
      </c>
      <c r="Q45" s="65">
        <f t="shared" si="7"/>
        <v>4.4</v>
      </c>
    </row>
    <row r="46" s="54" customFormat="1" ht="22.5" customHeight="1" spans="1:17">
      <c r="A46" s="62" t="s">
        <v>495</v>
      </c>
      <c r="B46" s="62">
        <v>20417304</v>
      </c>
      <c r="C46" s="62" t="s">
        <v>526</v>
      </c>
      <c r="D46" s="63">
        <v>46098.0393327894</v>
      </c>
      <c r="E46" s="62" t="s">
        <v>497</v>
      </c>
      <c r="F46" s="62" t="s">
        <v>498</v>
      </c>
      <c r="G46" s="64">
        <v>13</v>
      </c>
      <c r="H46" s="64">
        <v>13</v>
      </c>
      <c r="I46" s="65">
        <v>4.4</v>
      </c>
      <c r="J46" s="65">
        <f t="shared" si="4"/>
        <v>57.2</v>
      </c>
      <c r="K46" s="65">
        <v>0</v>
      </c>
      <c r="L46" s="65">
        <v>40</v>
      </c>
      <c r="M46" s="65">
        <f t="shared" si="5"/>
        <v>0</v>
      </c>
      <c r="N46" s="65">
        <v>0</v>
      </c>
      <c r="O46" s="65">
        <v>120</v>
      </c>
      <c r="P46" s="65">
        <f t="shared" si="6"/>
        <v>0</v>
      </c>
      <c r="Q46" s="65">
        <f t="shared" si="7"/>
        <v>57.2</v>
      </c>
    </row>
    <row r="47" s="54" customFormat="1" ht="22.5" customHeight="1" spans="1:17">
      <c r="A47" s="62" t="s">
        <v>495</v>
      </c>
      <c r="B47" s="62">
        <v>20417305</v>
      </c>
      <c r="C47" s="62" t="s">
        <v>527</v>
      </c>
      <c r="D47" s="63">
        <v>46098.0393351042</v>
      </c>
      <c r="E47" s="62" t="s">
        <v>497</v>
      </c>
      <c r="F47" s="62" t="s">
        <v>498</v>
      </c>
      <c r="G47" s="64">
        <v>23</v>
      </c>
      <c r="H47" s="64">
        <v>23</v>
      </c>
      <c r="I47" s="65">
        <v>4.4</v>
      </c>
      <c r="J47" s="65">
        <f t="shared" si="4"/>
        <v>101.2</v>
      </c>
      <c r="K47" s="65">
        <v>0</v>
      </c>
      <c r="L47" s="65">
        <v>40</v>
      </c>
      <c r="M47" s="65">
        <f t="shared" si="5"/>
        <v>0</v>
      </c>
      <c r="N47" s="65">
        <v>0</v>
      </c>
      <c r="O47" s="65">
        <v>120</v>
      </c>
      <c r="P47" s="65">
        <f t="shared" si="6"/>
        <v>0</v>
      </c>
      <c r="Q47" s="65">
        <f t="shared" si="7"/>
        <v>101.2</v>
      </c>
    </row>
    <row r="48" s="54" customFormat="1" ht="22.5" customHeight="1" spans="1:17">
      <c r="A48" s="62" t="s">
        <v>495</v>
      </c>
      <c r="B48" s="62">
        <v>20417305</v>
      </c>
      <c r="C48" s="62" t="s">
        <v>527</v>
      </c>
      <c r="D48" s="63">
        <v>46098.0393351042</v>
      </c>
      <c r="E48" s="62" t="s">
        <v>499</v>
      </c>
      <c r="F48" s="62" t="s">
        <v>510</v>
      </c>
      <c r="G48" s="64">
        <v>1</v>
      </c>
      <c r="H48" s="64">
        <v>1</v>
      </c>
      <c r="I48" s="65">
        <v>4.4</v>
      </c>
      <c r="J48" s="65">
        <f t="shared" si="4"/>
        <v>4.4</v>
      </c>
      <c r="K48" s="65">
        <v>0</v>
      </c>
      <c r="L48" s="65">
        <v>40</v>
      </c>
      <c r="M48" s="65">
        <f t="shared" si="5"/>
        <v>0</v>
      </c>
      <c r="N48" s="65">
        <v>0</v>
      </c>
      <c r="O48" s="65">
        <v>120</v>
      </c>
      <c r="P48" s="65">
        <f t="shared" si="6"/>
        <v>0</v>
      </c>
      <c r="Q48" s="65">
        <f t="shared" si="7"/>
        <v>4.4</v>
      </c>
    </row>
    <row r="49" s="54" customFormat="1" ht="22.5" customHeight="1" spans="1:17">
      <c r="A49" s="62" t="s">
        <v>495</v>
      </c>
      <c r="B49" s="62">
        <v>20417306</v>
      </c>
      <c r="C49" s="62" t="s">
        <v>528</v>
      </c>
      <c r="D49" s="63">
        <v>46098.0393379282</v>
      </c>
      <c r="E49" s="62" t="s">
        <v>497</v>
      </c>
      <c r="F49" s="62" t="s">
        <v>498</v>
      </c>
      <c r="G49" s="64">
        <v>26</v>
      </c>
      <c r="H49" s="64">
        <v>26</v>
      </c>
      <c r="I49" s="65">
        <v>4.4</v>
      </c>
      <c r="J49" s="65">
        <f t="shared" si="4"/>
        <v>114.4</v>
      </c>
      <c r="K49" s="65">
        <v>0</v>
      </c>
      <c r="L49" s="65">
        <v>40</v>
      </c>
      <c r="M49" s="65">
        <f t="shared" si="5"/>
        <v>0</v>
      </c>
      <c r="N49" s="65">
        <v>0</v>
      </c>
      <c r="O49" s="65">
        <v>120</v>
      </c>
      <c r="P49" s="65">
        <f t="shared" si="6"/>
        <v>0</v>
      </c>
      <c r="Q49" s="65">
        <f t="shared" si="7"/>
        <v>114.4</v>
      </c>
    </row>
    <row r="50" s="54" customFormat="1" ht="22.5" customHeight="1" spans="1:17">
      <c r="A50" s="62" t="s">
        <v>495</v>
      </c>
      <c r="B50" s="62">
        <v>20417306</v>
      </c>
      <c r="C50" s="62" t="s">
        <v>528</v>
      </c>
      <c r="D50" s="63">
        <v>46098.0393379282</v>
      </c>
      <c r="E50" s="62" t="s">
        <v>499</v>
      </c>
      <c r="F50" s="62" t="s">
        <v>510</v>
      </c>
      <c r="G50" s="64">
        <v>1</v>
      </c>
      <c r="H50" s="64">
        <v>1</v>
      </c>
      <c r="I50" s="65">
        <v>4.4</v>
      </c>
      <c r="J50" s="65">
        <f t="shared" si="4"/>
        <v>4.4</v>
      </c>
      <c r="K50" s="65">
        <v>0</v>
      </c>
      <c r="L50" s="65">
        <v>40</v>
      </c>
      <c r="M50" s="65">
        <f t="shared" si="5"/>
        <v>0</v>
      </c>
      <c r="N50" s="65">
        <v>0</v>
      </c>
      <c r="O50" s="65">
        <v>120</v>
      </c>
      <c r="P50" s="65">
        <f t="shared" si="6"/>
        <v>0</v>
      </c>
      <c r="Q50" s="65">
        <f t="shared" si="7"/>
        <v>4.4</v>
      </c>
    </row>
    <row r="51" s="54" customFormat="1" ht="22.5" customHeight="1" spans="1:17">
      <c r="A51" s="62" t="s">
        <v>495</v>
      </c>
      <c r="B51" s="62">
        <v>20417535</v>
      </c>
      <c r="C51" s="62" t="s">
        <v>529</v>
      </c>
      <c r="D51" s="63">
        <v>46099.0160228009</v>
      </c>
      <c r="E51" s="62" t="s">
        <v>497</v>
      </c>
      <c r="F51" s="62" t="s">
        <v>530</v>
      </c>
      <c r="G51" s="64">
        <v>4</v>
      </c>
      <c r="H51" s="64">
        <v>4</v>
      </c>
      <c r="I51" s="65">
        <v>4.4</v>
      </c>
      <c r="J51" s="65">
        <f t="shared" si="4"/>
        <v>17.6</v>
      </c>
      <c r="K51" s="65">
        <v>0</v>
      </c>
      <c r="L51" s="65">
        <v>40</v>
      </c>
      <c r="M51" s="65">
        <f t="shared" si="5"/>
        <v>0</v>
      </c>
      <c r="N51" s="65">
        <v>0</v>
      </c>
      <c r="O51" s="65">
        <v>120</v>
      </c>
      <c r="P51" s="65">
        <f t="shared" si="6"/>
        <v>0</v>
      </c>
      <c r="Q51" s="65">
        <f t="shared" si="7"/>
        <v>17.6</v>
      </c>
    </row>
    <row r="52" s="54" customFormat="1" ht="22.5" customHeight="1" spans="1:17">
      <c r="A52" s="62" t="s">
        <v>495</v>
      </c>
      <c r="B52" s="62">
        <v>20417530</v>
      </c>
      <c r="C52" s="62" t="s">
        <v>531</v>
      </c>
      <c r="D52" s="63">
        <v>46099.0160228009</v>
      </c>
      <c r="E52" s="62" t="s">
        <v>499</v>
      </c>
      <c r="F52" s="62" t="s">
        <v>510</v>
      </c>
      <c r="G52" s="64">
        <v>1</v>
      </c>
      <c r="H52" s="64">
        <v>1</v>
      </c>
      <c r="I52" s="65">
        <v>4.4</v>
      </c>
      <c r="J52" s="65">
        <f t="shared" si="4"/>
        <v>4.4</v>
      </c>
      <c r="K52" s="65">
        <v>0</v>
      </c>
      <c r="L52" s="65">
        <v>40</v>
      </c>
      <c r="M52" s="65">
        <f t="shared" si="5"/>
        <v>0</v>
      </c>
      <c r="N52" s="65">
        <v>0</v>
      </c>
      <c r="O52" s="65">
        <v>120</v>
      </c>
      <c r="P52" s="65">
        <f t="shared" si="6"/>
        <v>0</v>
      </c>
      <c r="Q52" s="65">
        <f t="shared" si="7"/>
        <v>4.4</v>
      </c>
    </row>
    <row r="53" s="54" customFormat="1" ht="22.5" customHeight="1" spans="1:17">
      <c r="A53" s="62" t="s">
        <v>495</v>
      </c>
      <c r="B53" s="62">
        <v>20417530</v>
      </c>
      <c r="C53" s="62" t="s">
        <v>531</v>
      </c>
      <c r="D53" s="63">
        <v>46099.0160228009</v>
      </c>
      <c r="E53" s="62" t="s">
        <v>497</v>
      </c>
      <c r="F53" s="62" t="s">
        <v>530</v>
      </c>
      <c r="G53" s="64">
        <v>15</v>
      </c>
      <c r="H53" s="64">
        <v>15</v>
      </c>
      <c r="I53" s="65">
        <v>4.4</v>
      </c>
      <c r="J53" s="65">
        <f t="shared" si="4"/>
        <v>66</v>
      </c>
      <c r="K53" s="65">
        <v>0</v>
      </c>
      <c r="L53" s="65">
        <v>40</v>
      </c>
      <c r="M53" s="65">
        <f t="shared" si="5"/>
        <v>0</v>
      </c>
      <c r="N53" s="65">
        <v>0</v>
      </c>
      <c r="O53" s="65">
        <v>120</v>
      </c>
      <c r="P53" s="65">
        <f t="shared" si="6"/>
        <v>0</v>
      </c>
      <c r="Q53" s="65">
        <f t="shared" si="7"/>
        <v>66</v>
      </c>
    </row>
    <row r="54" s="54" customFormat="1" ht="22.5" customHeight="1" spans="1:17">
      <c r="A54" s="62" t="s">
        <v>495</v>
      </c>
      <c r="B54" s="62">
        <v>20417530</v>
      </c>
      <c r="C54" s="62" t="s">
        <v>531</v>
      </c>
      <c r="D54" s="63">
        <v>46099.0160228009</v>
      </c>
      <c r="E54" s="62" t="s">
        <v>497</v>
      </c>
      <c r="F54" s="62" t="s">
        <v>532</v>
      </c>
      <c r="G54" s="64">
        <v>5</v>
      </c>
      <c r="H54" s="62">
        <v>0</v>
      </c>
      <c r="I54" s="65">
        <v>4.4</v>
      </c>
      <c r="J54" s="65">
        <f t="shared" si="4"/>
        <v>0</v>
      </c>
      <c r="K54" s="65">
        <v>1</v>
      </c>
      <c r="L54" s="65">
        <v>40</v>
      </c>
      <c r="M54" s="65">
        <f t="shared" si="5"/>
        <v>40</v>
      </c>
      <c r="N54" s="65">
        <v>1</v>
      </c>
      <c r="O54" s="65">
        <v>120</v>
      </c>
      <c r="P54" s="65">
        <f t="shared" si="6"/>
        <v>120</v>
      </c>
      <c r="Q54" s="65">
        <f t="shared" si="7"/>
        <v>160</v>
      </c>
    </row>
    <row r="55" s="54" customFormat="1" ht="22.5" customHeight="1" spans="1:17">
      <c r="A55" s="62" t="s">
        <v>495</v>
      </c>
      <c r="B55" s="62">
        <v>20417531</v>
      </c>
      <c r="C55" s="62" t="s">
        <v>533</v>
      </c>
      <c r="D55" s="63">
        <v>46099.0160256944</v>
      </c>
      <c r="E55" s="62" t="s">
        <v>499</v>
      </c>
      <c r="F55" s="62" t="s">
        <v>510</v>
      </c>
      <c r="G55" s="64">
        <v>1</v>
      </c>
      <c r="H55" s="64">
        <v>1</v>
      </c>
      <c r="I55" s="65">
        <v>4.4</v>
      </c>
      <c r="J55" s="65">
        <f t="shared" ref="J55:J69" si="8">H55*I55</f>
        <v>4.4</v>
      </c>
      <c r="K55" s="65">
        <v>0</v>
      </c>
      <c r="L55" s="65">
        <v>40</v>
      </c>
      <c r="M55" s="65">
        <f t="shared" ref="M55:M69" si="9">K55*L55</f>
        <v>0</v>
      </c>
      <c r="N55" s="65">
        <v>0</v>
      </c>
      <c r="O55" s="65">
        <v>120</v>
      </c>
      <c r="P55" s="65">
        <f t="shared" ref="P55:P69" si="10">N55*O55</f>
        <v>0</v>
      </c>
      <c r="Q55" s="65">
        <f t="shared" si="7"/>
        <v>4.4</v>
      </c>
    </row>
    <row r="56" s="54" customFormat="1" ht="22.5" customHeight="1" spans="1:17">
      <c r="A56" s="62" t="s">
        <v>495</v>
      </c>
      <c r="B56" s="62">
        <v>20417531</v>
      </c>
      <c r="C56" s="62" t="s">
        <v>533</v>
      </c>
      <c r="D56" s="63">
        <v>46099.0160256944</v>
      </c>
      <c r="E56" s="62" t="s">
        <v>497</v>
      </c>
      <c r="F56" s="62" t="s">
        <v>530</v>
      </c>
      <c r="G56" s="64">
        <v>23</v>
      </c>
      <c r="H56" s="64">
        <v>23</v>
      </c>
      <c r="I56" s="65">
        <v>4.4</v>
      </c>
      <c r="J56" s="65">
        <f t="shared" si="8"/>
        <v>101.2</v>
      </c>
      <c r="K56" s="65">
        <v>0</v>
      </c>
      <c r="L56" s="65">
        <v>40</v>
      </c>
      <c r="M56" s="65">
        <f t="shared" si="9"/>
        <v>0</v>
      </c>
      <c r="N56" s="65">
        <v>0</v>
      </c>
      <c r="O56" s="65">
        <v>120</v>
      </c>
      <c r="P56" s="65">
        <f t="shared" si="10"/>
        <v>0</v>
      </c>
      <c r="Q56" s="65">
        <f t="shared" si="7"/>
        <v>101.2</v>
      </c>
    </row>
    <row r="57" s="54" customFormat="1" ht="22.5" customHeight="1" spans="1:17">
      <c r="A57" s="62" t="s">
        <v>495</v>
      </c>
      <c r="B57" s="62">
        <v>20417532</v>
      </c>
      <c r="C57" s="62" t="s">
        <v>534</v>
      </c>
      <c r="D57" s="63">
        <v>46099.0160283218</v>
      </c>
      <c r="E57" s="62" t="s">
        <v>497</v>
      </c>
      <c r="F57" s="62" t="s">
        <v>530</v>
      </c>
      <c r="G57" s="64">
        <v>16</v>
      </c>
      <c r="H57" s="64">
        <v>16</v>
      </c>
      <c r="I57" s="65">
        <v>4.4</v>
      </c>
      <c r="J57" s="65">
        <f t="shared" si="8"/>
        <v>70.4</v>
      </c>
      <c r="K57" s="65">
        <v>0</v>
      </c>
      <c r="L57" s="65">
        <v>40</v>
      </c>
      <c r="M57" s="65">
        <f t="shared" si="9"/>
        <v>0</v>
      </c>
      <c r="N57" s="65">
        <v>0</v>
      </c>
      <c r="O57" s="65">
        <v>120</v>
      </c>
      <c r="P57" s="65">
        <f t="shared" si="10"/>
        <v>0</v>
      </c>
      <c r="Q57" s="65">
        <f t="shared" si="7"/>
        <v>70.4</v>
      </c>
    </row>
    <row r="58" s="54" customFormat="1" ht="22.5" customHeight="1" spans="1:17">
      <c r="A58" s="62" t="s">
        <v>495</v>
      </c>
      <c r="B58" s="62">
        <v>20417532</v>
      </c>
      <c r="C58" s="62" t="s">
        <v>534</v>
      </c>
      <c r="D58" s="63">
        <v>46099.0160283218</v>
      </c>
      <c r="E58" s="62" t="s">
        <v>499</v>
      </c>
      <c r="F58" s="62" t="s">
        <v>510</v>
      </c>
      <c r="G58" s="64">
        <v>1</v>
      </c>
      <c r="H58" s="64">
        <v>1</v>
      </c>
      <c r="I58" s="65">
        <v>4.4</v>
      </c>
      <c r="J58" s="65">
        <f t="shared" si="8"/>
        <v>4.4</v>
      </c>
      <c r="K58" s="65">
        <v>0</v>
      </c>
      <c r="L58" s="65">
        <v>40</v>
      </c>
      <c r="M58" s="65">
        <f t="shared" si="9"/>
        <v>0</v>
      </c>
      <c r="N58" s="65">
        <v>0</v>
      </c>
      <c r="O58" s="65">
        <v>120</v>
      </c>
      <c r="P58" s="65">
        <f t="shared" si="10"/>
        <v>0</v>
      </c>
      <c r="Q58" s="65">
        <f t="shared" si="7"/>
        <v>4.4</v>
      </c>
    </row>
    <row r="59" s="54" customFormat="1" ht="22.5" customHeight="1" spans="1:17">
      <c r="A59" s="62" t="s">
        <v>495</v>
      </c>
      <c r="B59" s="62">
        <v>20417533</v>
      </c>
      <c r="C59" s="62" t="s">
        <v>535</v>
      </c>
      <c r="D59" s="63">
        <v>46099.0160312153</v>
      </c>
      <c r="E59" s="62" t="s">
        <v>499</v>
      </c>
      <c r="F59" s="62" t="s">
        <v>510</v>
      </c>
      <c r="G59" s="64">
        <v>1</v>
      </c>
      <c r="H59" s="64">
        <v>1</v>
      </c>
      <c r="I59" s="65">
        <v>4.4</v>
      </c>
      <c r="J59" s="65">
        <f t="shared" si="8"/>
        <v>4.4</v>
      </c>
      <c r="K59" s="65">
        <v>0</v>
      </c>
      <c r="L59" s="65">
        <v>40</v>
      </c>
      <c r="M59" s="65">
        <f t="shared" si="9"/>
        <v>0</v>
      </c>
      <c r="N59" s="65">
        <v>0</v>
      </c>
      <c r="O59" s="65">
        <v>120</v>
      </c>
      <c r="P59" s="65">
        <f t="shared" si="10"/>
        <v>0</v>
      </c>
      <c r="Q59" s="65">
        <f t="shared" si="7"/>
        <v>4.4</v>
      </c>
    </row>
    <row r="60" s="54" customFormat="1" ht="22.5" customHeight="1" spans="1:17">
      <c r="A60" s="62" t="s">
        <v>495</v>
      </c>
      <c r="B60" s="62">
        <v>20417533</v>
      </c>
      <c r="C60" s="62" t="s">
        <v>535</v>
      </c>
      <c r="D60" s="63">
        <v>46099.0160312153</v>
      </c>
      <c r="E60" s="62" t="s">
        <v>497</v>
      </c>
      <c r="F60" s="62" t="s">
        <v>530</v>
      </c>
      <c r="G60" s="64">
        <v>26</v>
      </c>
      <c r="H60" s="64">
        <v>26</v>
      </c>
      <c r="I60" s="65">
        <v>4.4</v>
      </c>
      <c r="J60" s="65">
        <f t="shared" si="8"/>
        <v>114.4</v>
      </c>
      <c r="K60" s="65">
        <v>0</v>
      </c>
      <c r="L60" s="65">
        <v>40</v>
      </c>
      <c r="M60" s="65">
        <f t="shared" si="9"/>
        <v>0</v>
      </c>
      <c r="N60" s="65">
        <v>0</v>
      </c>
      <c r="O60" s="65">
        <v>120</v>
      </c>
      <c r="P60" s="65">
        <f t="shared" si="10"/>
        <v>0</v>
      </c>
      <c r="Q60" s="65">
        <f t="shared" si="7"/>
        <v>114.4</v>
      </c>
    </row>
    <row r="61" s="54" customFormat="1" ht="22.5" customHeight="1" spans="1:17">
      <c r="A61" s="62" t="s">
        <v>495</v>
      </c>
      <c r="B61" s="62">
        <v>20417534</v>
      </c>
      <c r="C61" s="62" t="s">
        <v>536</v>
      </c>
      <c r="D61" s="63">
        <v>46099.0160342593</v>
      </c>
      <c r="E61" s="62" t="s">
        <v>497</v>
      </c>
      <c r="F61" s="62" t="s">
        <v>530</v>
      </c>
      <c r="G61" s="64">
        <v>13</v>
      </c>
      <c r="H61" s="64">
        <v>13</v>
      </c>
      <c r="I61" s="65">
        <v>4.4</v>
      </c>
      <c r="J61" s="65">
        <f t="shared" si="8"/>
        <v>57.2</v>
      </c>
      <c r="K61" s="65">
        <v>0</v>
      </c>
      <c r="L61" s="65">
        <v>40</v>
      </c>
      <c r="M61" s="65">
        <f t="shared" si="9"/>
        <v>0</v>
      </c>
      <c r="N61" s="65">
        <v>0</v>
      </c>
      <c r="O61" s="65">
        <v>120</v>
      </c>
      <c r="P61" s="65">
        <f t="shared" si="10"/>
        <v>0</v>
      </c>
      <c r="Q61" s="65">
        <f t="shared" si="7"/>
        <v>57.2</v>
      </c>
    </row>
    <row r="62" s="54" customFormat="1" ht="22.5" customHeight="1" spans="1:17">
      <c r="A62" s="62" t="s">
        <v>495</v>
      </c>
      <c r="B62" s="62">
        <v>20417534</v>
      </c>
      <c r="C62" s="62" t="s">
        <v>536</v>
      </c>
      <c r="D62" s="63">
        <v>46099.0160342593</v>
      </c>
      <c r="E62" s="62" t="s">
        <v>499</v>
      </c>
      <c r="F62" s="62" t="s">
        <v>510</v>
      </c>
      <c r="G62" s="64">
        <v>1</v>
      </c>
      <c r="H62" s="64">
        <v>1</v>
      </c>
      <c r="I62" s="65">
        <v>4.4</v>
      </c>
      <c r="J62" s="65">
        <f t="shared" si="8"/>
        <v>4.4</v>
      </c>
      <c r="K62" s="65">
        <v>0</v>
      </c>
      <c r="L62" s="65">
        <v>40</v>
      </c>
      <c r="M62" s="65">
        <f t="shared" si="9"/>
        <v>0</v>
      </c>
      <c r="N62" s="65">
        <v>0</v>
      </c>
      <c r="O62" s="65">
        <v>120</v>
      </c>
      <c r="P62" s="65">
        <f t="shared" si="10"/>
        <v>0</v>
      </c>
      <c r="Q62" s="65">
        <f t="shared" si="7"/>
        <v>4.4</v>
      </c>
    </row>
    <row r="63" s="54" customFormat="1" ht="22.5" customHeight="1" spans="1:17">
      <c r="A63" s="62" t="s">
        <v>495</v>
      </c>
      <c r="B63" s="62">
        <v>20418026</v>
      </c>
      <c r="C63" s="62" t="s">
        <v>537</v>
      </c>
      <c r="D63" s="63">
        <v>46101.5332635417</v>
      </c>
      <c r="E63" s="62" t="s">
        <v>497</v>
      </c>
      <c r="F63" s="62" t="s">
        <v>498</v>
      </c>
      <c r="G63" s="64">
        <v>17</v>
      </c>
      <c r="H63" s="64">
        <v>17</v>
      </c>
      <c r="I63" s="65">
        <v>4.4</v>
      </c>
      <c r="J63" s="65">
        <f t="shared" si="8"/>
        <v>74.8</v>
      </c>
      <c r="K63" s="65">
        <v>0</v>
      </c>
      <c r="L63" s="65">
        <v>40</v>
      </c>
      <c r="M63" s="65">
        <f t="shared" si="9"/>
        <v>0</v>
      </c>
      <c r="N63" s="65">
        <v>0</v>
      </c>
      <c r="O63" s="65">
        <v>120</v>
      </c>
      <c r="P63" s="65">
        <f t="shared" si="10"/>
        <v>0</v>
      </c>
      <c r="Q63" s="65">
        <f t="shared" si="7"/>
        <v>74.8</v>
      </c>
    </row>
    <row r="64" s="54" customFormat="1" ht="22.5" customHeight="1" spans="1:17">
      <c r="A64" s="62" t="s">
        <v>495</v>
      </c>
      <c r="B64" s="62">
        <v>20418026</v>
      </c>
      <c r="C64" s="62" t="s">
        <v>537</v>
      </c>
      <c r="D64" s="63">
        <v>46101.5332635417</v>
      </c>
      <c r="E64" s="62" t="s">
        <v>497</v>
      </c>
      <c r="F64" s="62" t="s">
        <v>538</v>
      </c>
      <c r="G64" s="64">
        <v>3</v>
      </c>
      <c r="H64" s="64">
        <v>3</v>
      </c>
      <c r="I64" s="65">
        <v>4.4</v>
      </c>
      <c r="J64" s="65">
        <f t="shared" si="8"/>
        <v>13.2</v>
      </c>
      <c r="K64" s="65">
        <v>0</v>
      </c>
      <c r="L64" s="65">
        <v>40</v>
      </c>
      <c r="M64" s="65">
        <f t="shared" si="9"/>
        <v>0</v>
      </c>
      <c r="N64" s="65">
        <v>0</v>
      </c>
      <c r="O64" s="65">
        <v>120</v>
      </c>
      <c r="P64" s="65">
        <f t="shared" si="10"/>
        <v>0</v>
      </c>
      <c r="Q64" s="65">
        <f t="shared" si="7"/>
        <v>13.2</v>
      </c>
    </row>
    <row r="65" s="54" customFormat="1" ht="22.5" customHeight="1" spans="1:17">
      <c r="A65" s="62" t="s">
        <v>495</v>
      </c>
      <c r="B65" s="62">
        <v>20418026</v>
      </c>
      <c r="C65" s="62" t="s">
        <v>537</v>
      </c>
      <c r="D65" s="63">
        <v>46101.5332635417</v>
      </c>
      <c r="E65" s="62" t="s">
        <v>499</v>
      </c>
      <c r="F65" s="62" t="s">
        <v>510</v>
      </c>
      <c r="G65" s="64">
        <v>1</v>
      </c>
      <c r="H65" s="64">
        <v>1</v>
      </c>
      <c r="I65" s="65">
        <v>4.4</v>
      </c>
      <c r="J65" s="65">
        <f t="shared" si="8"/>
        <v>4.4</v>
      </c>
      <c r="K65" s="65">
        <v>0</v>
      </c>
      <c r="L65" s="65">
        <v>40</v>
      </c>
      <c r="M65" s="65">
        <f t="shared" si="9"/>
        <v>0</v>
      </c>
      <c r="N65" s="65">
        <v>0</v>
      </c>
      <c r="O65" s="65">
        <v>120</v>
      </c>
      <c r="P65" s="65">
        <f t="shared" si="10"/>
        <v>0</v>
      </c>
      <c r="Q65" s="65">
        <f t="shared" si="7"/>
        <v>4.4</v>
      </c>
    </row>
    <row r="66" s="54" customFormat="1" ht="22.5" customHeight="1" spans="1:17">
      <c r="A66" s="62" t="s">
        <v>495</v>
      </c>
      <c r="B66" s="62">
        <v>20418028</v>
      </c>
      <c r="C66" s="62" t="s">
        <v>539</v>
      </c>
      <c r="D66" s="63">
        <v>46101.5332670486</v>
      </c>
      <c r="E66" s="62" t="s">
        <v>497</v>
      </c>
      <c r="F66" s="62" t="s">
        <v>532</v>
      </c>
      <c r="G66" s="64">
        <v>149</v>
      </c>
      <c r="H66" s="65">
        <v>0</v>
      </c>
      <c r="I66" s="65">
        <v>4.4</v>
      </c>
      <c r="J66" s="65">
        <f t="shared" si="8"/>
        <v>0</v>
      </c>
      <c r="K66" s="65">
        <v>1</v>
      </c>
      <c r="L66" s="65">
        <v>40</v>
      </c>
      <c r="M66" s="65">
        <f t="shared" si="9"/>
        <v>40</v>
      </c>
      <c r="N66" s="65">
        <v>1</v>
      </c>
      <c r="O66" s="65">
        <v>120</v>
      </c>
      <c r="P66" s="65">
        <f t="shared" si="10"/>
        <v>120</v>
      </c>
      <c r="Q66" s="65">
        <f t="shared" si="7"/>
        <v>160</v>
      </c>
    </row>
    <row r="67" s="54" customFormat="1" ht="22.5" customHeight="1" spans="1:17">
      <c r="A67" s="62" t="s">
        <v>495</v>
      </c>
      <c r="B67" s="62">
        <v>20418029</v>
      </c>
      <c r="C67" s="62" t="s">
        <v>540</v>
      </c>
      <c r="D67" s="63">
        <v>46101.5332704514</v>
      </c>
      <c r="E67" s="62" t="s">
        <v>499</v>
      </c>
      <c r="F67" s="62" t="s">
        <v>510</v>
      </c>
      <c r="G67" s="64">
        <v>1</v>
      </c>
      <c r="H67" s="64">
        <v>1</v>
      </c>
      <c r="I67" s="65">
        <v>4.4</v>
      </c>
      <c r="J67" s="65">
        <f t="shared" si="8"/>
        <v>4.4</v>
      </c>
      <c r="K67" s="65">
        <v>0</v>
      </c>
      <c r="L67" s="65">
        <v>40</v>
      </c>
      <c r="M67" s="65">
        <f t="shared" si="9"/>
        <v>0</v>
      </c>
      <c r="N67" s="65">
        <v>0</v>
      </c>
      <c r="O67" s="65">
        <v>120</v>
      </c>
      <c r="P67" s="65">
        <f t="shared" si="10"/>
        <v>0</v>
      </c>
      <c r="Q67" s="65">
        <f t="shared" si="7"/>
        <v>4.4</v>
      </c>
    </row>
    <row r="68" s="54" customFormat="1" ht="22.5" customHeight="1" spans="1:17">
      <c r="A68" s="62" t="s">
        <v>495</v>
      </c>
      <c r="B68" s="62">
        <v>20418029</v>
      </c>
      <c r="C68" s="62" t="s">
        <v>540</v>
      </c>
      <c r="D68" s="63">
        <v>46101.5332704514</v>
      </c>
      <c r="E68" s="62" t="s">
        <v>497</v>
      </c>
      <c r="F68" s="62" t="s">
        <v>498</v>
      </c>
      <c r="G68" s="64">
        <v>30</v>
      </c>
      <c r="H68" s="64">
        <v>30</v>
      </c>
      <c r="I68" s="65">
        <v>4.4</v>
      </c>
      <c r="J68" s="65">
        <f t="shared" si="8"/>
        <v>132</v>
      </c>
      <c r="K68" s="65">
        <v>0</v>
      </c>
      <c r="L68" s="65">
        <v>40</v>
      </c>
      <c r="M68" s="65">
        <f t="shared" si="9"/>
        <v>0</v>
      </c>
      <c r="N68" s="65">
        <v>0</v>
      </c>
      <c r="O68" s="65">
        <v>120</v>
      </c>
      <c r="P68" s="65">
        <f t="shared" si="10"/>
        <v>0</v>
      </c>
      <c r="Q68" s="65">
        <f t="shared" si="7"/>
        <v>132</v>
      </c>
    </row>
    <row r="69" s="54" customFormat="1" ht="22.5" customHeight="1" spans="1:17">
      <c r="A69" s="62" t="s">
        <v>495</v>
      </c>
      <c r="B69" s="62">
        <v>20418029</v>
      </c>
      <c r="C69" s="62" t="s">
        <v>540</v>
      </c>
      <c r="D69" s="63">
        <v>46101.5332704514</v>
      </c>
      <c r="E69" s="62" t="s">
        <v>497</v>
      </c>
      <c r="F69" s="62" t="s">
        <v>532</v>
      </c>
      <c r="G69" s="64">
        <v>37</v>
      </c>
      <c r="H69" s="65">
        <v>0</v>
      </c>
      <c r="I69" s="65">
        <v>4.4</v>
      </c>
      <c r="J69" s="65">
        <f t="shared" si="8"/>
        <v>0</v>
      </c>
      <c r="K69" s="65">
        <v>1</v>
      </c>
      <c r="L69" s="65">
        <v>40</v>
      </c>
      <c r="M69" s="65">
        <f t="shared" si="9"/>
        <v>40</v>
      </c>
      <c r="N69" s="65">
        <v>0</v>
      </c>
      <c r="O69" s="65">
        <v>120</v>
      </c>
      <c r="P69" s="65">
        <f t="shared" si="10"/>
        <v>0</v>
      </c>
      <c r="Q69" s="65">
        <f t="shared" si="7"/>
        <v>40</v>
      </c>
    </row>
    <row r="70" ht="22.5" customHeight="1" spans="1:17">
      <c r="A70" s="65"/>
      <c r="B70" s="65"/>
      <c r="C70" s="65" t="s">
        <v>475</v>
      </c>
      <c r="D70" s="65"/>
      <c r="E70" s="65"/>
      <c r="F70" s="65"/>
      <c r="G70" s="65">
        <f t="shared" ref="G70:Q70" si="11">SUM(G4:G69)</f>
        <v>821</v>
      </c>
      <c r="H70" s="65">
        <f t="shared" si="11"/>
        <v>630</v>
      </c>
      <c r="I70" s="65">
        <f t="shared" si="11"/>
        <v>290.4</v>
      </c>
      <c r="J70" s="65">
        <f t="shared" si="11"/>
        <v>2772</v>
      </c>
      <c r="K70" s="65">
        <f t="shared" si="11"/>
        <v>3</v>
      </c>
      <c r="L70" s="65">
        <f t="shared" si="11"/>
        <v>2640</v>
      </c>
      <c r="M70" s="65">
        <f t="shared" si="11"/>
        <v>120</v>
      </c>
      <c r="N70" s="65">
        <f t="shared" si="11"/>
        <v>2</v>
      </c>
      <c r="O70" s="65">
        <f t="shared" si="11"/>
        <v>7920</v>
      </c>
      <c r="P70" s="65">
        <f t="shared" si="11"/>
        <v>240</v>
      </c>
      <c r="Q70" s="65">
        <f t="shared" si="11"/>
        <v>3132</v>
      </c>
    </row>
    <row r="79" ht="28.5" customHeight="1" spans="1:17">
      <c r="A79" s="55" t="s">
        <v>541</v>
      </c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7"/>
    </row>
    <row r="80" ht="22.5" customHeight="1" spans="1:17">
      <c r="A80" s="58" t="s">
        <v>480</v>
      </c>
      <c r="B80" s="58" t="s">
        <v>481</v>
      </c>
      <c r="C80" s="58" t="s">
        <v>8</v>
      </c>
      <c r="D80" s="58" t="s">
        <v>4</v>
      </c>
      <c r="E80" s="58" t="s">
        <v>482</v>
      </c>
      <c r="F80" s="58" t="s">
        <v>483</v>
      </c>
      <c r="G80" s="58" t="s">
        <v>484</v>
      </c>
      <c r="H80" s="59" t="s">
        <v>485</v>
      </c>
      <c r="I80" s="60" t="s">
        <v>486</v>
      </c>
      <c r="J80" s="60" t="s">
        <v>487</v>
      </c>
      <c r="K80" s="60" t="s">
        <v>488</v>
      </c>
      <c r="L80" s="60" t="s">
        <v>489</v>
      </c>
      <c r="M80" s="60" t="s">
        <v>490</v>
      </c>
      <c r="N80" s="60" t="s">
        <v>491</v>
      </c>
      <c r="O80" s="60" t="s">
        <v>492</v>
      </c>
      <c r="P80" s="60" t="s">
        <v>493</v>
      </c>
      <c r="Q80" s="61" t="s">
        <v>494</v>
      </c>
    </row>
    <row r="81" ht="22.5" customHeight="1" spans="1:17">
      <c r="A81" s="62" t="s">
        <v>542</v>
      </c>
      <c r="B81" s="62">
        <v>20418100</v>
      </c>
      <c r="C81" s="62" t="s">
        <v>543</v>
      </c>
      <c r="D81" s="66">
        <v>46101.9442515046</v>
      </c>
      <c r="E81" s="62" t="s">
        <v>497</v>
      </c>
      <c r="F81" s="62" t="s">
        <v>538</v>
      </c>
      <c r="G81" s="62">
        <v>22</v>
      </c>
      <c r="H81" s="65">
        <v>22</v>
      </c>
      <c r="I81" s="65">
        <v>4.4</v>
      </c>
      <c r="J81" s="65">
        <f t="shared" ref="J81:J86" si="12">H81*I81</f>
        <v>96.8</v>
      </c>
      <c r="K81" s="65">
        <v>0</v>
      </c>
      <c r="L81" s="65">
        <v>40</v>
      </c>
      <c r="M81" s="65">
        <f t="shared" ref="M81:M86" si="13">K81*L81</f>
        <v>0</v>
      </c>
      <c r="N81" s="65">
        <v>0</v>
      </c>
      <c r="O81" s="65">
        <v>120</v>
      </c>
      <c r="P81" s="65">
        <f t="shared" ref="P81:P86" si="14">N81*O81</f>
        <v>0</v>
      </c>
      <c r="Q81" s="65">
        <f t="shared" ref="Q81:Q86" si="15">J81+M81+P81</f>
        <v>96.8</v>
      </c>
    </row>
    <row r="82" ht="22.5" customHeight="1" spans="1:17">
      <c r="A82" s="62" t="s">
        <v>542</v>
      </c>
      <c r="B82" s="62">
        <v>20418100</v>
      </c>
      <c r="C82" s="62" t="s">
        <v>543</v>
      </c>
      <c r="D82" s="66">
        <v>46101.9442515046</v>
      </c>
      <c r="E82" s="62" t="s">
        <v>499</v>
      </c>
      <c r="F82" s="62" t="s">
        <v>510</v>
      </c>
      <c r="G82" s="62">
        <v>1</v>
      </c>
      <c r="H82" s="65">
        <v>1</v>
      </c>
      <c r="I82" s="65">
        <v>4.4</v>
      </c>
      <c r="J82" s="65">
        <f t="shared" si="12"/>
        <v>4.4</v>
      </c>
      <c r="K82" s="65">
        <v>0</v>
      </c>
      <c r="L82" s="65">
        <v>40</v>
      </c>
      <c r="M82" s="65">
        <f t="shared" si="13"/>
        <v>0</v>
      </c>
      <c r="N82" s="65">
        <v>0</v>
      </c>
      <c r="O82" s="65">
        <v>120</v>
      </c>
      <c r="P82" s="65">
        <f t="shared" si="14"/>
        <v>0</v>
      </c>
      <c r="Q82" s="65">
        <f t="shared" si="15"/>
        <v>4.4</v>
      </c>
    </row>
    <row r="83" ht="22.5" customHeight="1" spans="1:17">
      <c r="A83" s="62" t="s">
        <v>542</v>
      </c>
      <c r="B83" s="62">
        <v>20418100</v>
      </c>
      <c r="C83" s="62" t="s">
        <v>543</v>
      </c>
      <c r="D83" s="66">
        <v>46101.9442515046</v>
      </c>
      <c r="E83" s="62" t="s">
        <v>497</v>
      </c>
      <c r="F83" s="62" t="s">
        <v>520</v>
      </c>
      <c r="G83" s="62">
        <v>24</v>
      </c>
      <c r="H83" s="65">
        <v>24</v>
      </c>
      <c r="I83" s="65">
        <v>4.4</v>
      </c>
      <c r="J83" s="65">
        <f t="shared" si="12"/>
        <v>105.6</v>
      </c>
      <c r="K83" s="65">
        <v>0</v>
      </c>
      <c r="L83" s="65">
        <v>40</v>
      </c>
      <c r="M83" s="65">
        <f t="shared" si="13"/>
        <v>0</v>
      </c>
      <c r="N83" s="65">
        <v>0</v>
      </c>
      <c r="O83" s="65">
        <v>120</v>
      </c>
      <c r="P83" s="65">
        <f t="shared" si="14"/>
        <v>0</v>
      </c>
      <c r="Q83" s="65">
        <f t="shared" si="15"/>
        <v>105.6</v>
      </c>
    </row>
    <row r="84" ht="22.5" customHeight="1" spans="1:17">
      <c r="A84" s="62" t="s">
        <v>542</v>
      </c>
      <c r="B84" s="62">
        <v>20418100</v>
      </c>
      <c r="C84" s="62" t="s">
        <v>543</v>
      </c>
      <c r="D84" s="66">
        <v>46101.9442515046</v>
      </c>
      <c r="E84" s="62" t="s">
        <v>497</v>
      </c>
      <c r="F84" s="62" t="s">
        <v>532</v>
      </c>
      <c r="G84" s="62">
        <v>106</v>
      </c>
      <c r="H84" s="65">
        <v>0</v>
      </c>
      <c r="I84" s="65">
        <v>4.4</v>
      </c>
      <c r="J84" s="65">
        <f t="shared" si="12"/>
        <v>0</v>
      </c>
      <c r="K84" s="65">
        <v>1</v>
      </c>
      <c r="L84" s="65">
        <v>40</v>
      </c>
      <c r="M84" s="65">
        <f t="shared" si="13"/>
        <v>40</v>
      </c>
      <c r="N84" s="65">
        <v>1</v>
      </c>
      <c r="O84" s="65">
        <v>120</v>
      </c>
      <c r="P84" s="65">
        <f t="shared" si="14"/>
        <v>120</v>
      </c>
      <c r="Q84" s="65">
        <f t="shared" si="15"/>
        <v>160</v>
      </c>
    </row>
    <row r="85" ht="22.5" customHeight="1" spans="1:17">
      <c r="A85" s="62" t="s">
        <v>542</v>
      </c>
      <c r="B85" s="62">
        <v>20418809</v>
      </c>
      <c r="C85" s="62" t="s">
        <v>544</v>
      </c>
      <c r="D85" s="66">
        <v>46107.0464743056</v>
      </c>
      <c r="E85" s="62" t="s">
        <v>497</v>
      </c>
      <c r="F85" s="62" t="s">
        <v>498</v>
      </c>
      <c r="G85" s="62">
        <v>3</v>
      </c>
      <c r="H85" s="65">
        <v>3</v>
      </c>
      <c r="I85" s="65">
        <v>4.4</v>
      </c>
      <c r="J85" s="65">
        <f t="shared" si="12"/>
        <v>13.2</v>
      </c>
      <c r="K85" s="65">
        <v>0</v>
      </c>
      <c r="L85" s="65">
        <v>40</v>
      </c>
      <c r="M85" s="65">
        <f t="shared" si="13"/>
        <v>0</v>
      </c>
      <c r="N85" s="65">
        <v>0</v>
      </c>
      <c r="O85" s="65">
        <v>120</v>
      </c>
      <c r="P85" s="65">
        <f t="shared" si="14"/>
        <v>0</v>
      </c>
      <c r="Q85" s="65">
        <f t="shared" si="15"/>
        <v>13.2</v>
      </c>
    </row>
    <row r="86" ht="22.5" customHeight="1" spans="1:17">
      <c r="A86" s="62" t="s">
        <v>542</v>
      </c>
      <c r="B86" s="62">
        <v>20418901</v>
      </c>
      <c r="C86" s="62" t="s">
        <v>545</v>
      </c>
      <c r="D86" s="66">
        <v>46107.5197115394</v>
      </c>
      <c r="E86" s="62" t="s">
        <v>497</v>
      </c>
      <c r="F86" s="62" t="s">
        <v>520</v>
      </c>
      <c r="G86" s="62">
        <v>3</v>
      </c>
      <c r="H86" s="65">
        <v>3</v>
      </c>
      <c r="I86" s="65">
        <v>4.4</v>
      </c>
      <c r="J86" s="65">
        <f t="shared" si="12"/>
        <v>13.2</v>
      </c>
      <c r="K86" s="65">
        <v>0</v>
      </c>
      <c r="L86" s="65">
        <v>40</v>
      </c>
      <c r="M86" s="65">
        <f t="shared" si="13"/>
        <v>0</v>
      </c>
      <c r="N86" s="65">
        <v>0</v>
      </c>
      <c r="O86" s="65">
        <v>120</v>
      </c>
      <c r="P86" s="65">
        <f t="shared" si="14"/>
        <v>0</v>
      </c>
      <c r="Q86" s="65">
        <f t="shared" si="15"/>
        <v>13.2</v>
      </c>
    </row>
    <row r="87" ht="22.5" customHeight="1" spans="1:17">
      <c r="A87" s="65"/>
      <c r="B87" s="65"/>
      <c r="C87" s="65" t="s">
        <v>475</v>
      </c>
      <c r="D87" s="65"/>
      <c r="E87" s="65"/>
      <c r="F87" s="65"/>
      <c r="G87" s="65">
        <f t="shared" ref="G87:Q87" si="16">SUM(G81:G86)</f>
        <v>159</v>
      </c>
      <c r="H87" s="65">
        <f t="shared" si="16"/>
        <v>53</v>
      </c>
      <c r="I87" s="65">
        <f t="shared" si="16"/>
        <v>26.4</v>
      </c>
      <c r="J87" s="65">
        <f t="shared" si="16"/>
        <v>233.2</v>
      </c>
      <c r="K87" s="65">
        <f t="shared" si="16"/>
        <v>1</v>
      </c>
      <c r="L87" s="65">
        <f t="shared" si="16"/>
        <v>240</v>
      </c>
      <c r="M87" s="65">
        <f t="shared" si="16"/>
        <v>40</v>
      </c>
      <c r="N87" s="65">
        <f t="shared" si="16"/>
        <v>1</v>
      </c>
      <c r="O87" s="65">
        <f t="shared" si="16"/>
        <v>720</v>
      </c>
      <c r="P87" s="65">
        <f t="shared" si="16"/>
        <v>120</v>
      </c>
      <c r="Q87" s="65">
        <f t="shared" si="16"/>
        <v>393.2</v>
      </c>
    </row>
    <row r="98" ht="24.5" customHeight="1" spans="1:17">
      <c r="A98" s="55" t="s">
        <v>546</v>
      </c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7"/>
    </row>
    <row r="99" ht="18.5" customHeight="1" spans="1:17">
      <c r="A99" s="58" t="s">
        <v>480</v>
      </c>
      <c r="B99" s="58" t="s">
        <v>481</v>
      </c>
      <c r="C99" s="58" t="s">
        <v>8</v>
      </c>
      <c r="D99" s="58" t="s">
        <v>4</v>
      </c>
      <c r="E99" s="58" t="s">
        <v>482</v>
      </c>
      <c r="F99" s="58" t="s">
        <v>483</v>
      </c>
      <c r="G99" s="58" t="s">
        <v>484</v>
      </c>
      <c r="H99" s="59" t="s">
        <v>485</v>
      </c>
      <c r="I99" s="60" t="s">
        <v>486</v>
      </c>
      <c r="J99" s="60" t="s">
        <v>487</v>
      </c>
      <c r="K99" s="60" t="s">
        <v>488</v>
      </c>
      <c r="L99" s="60" t="s">
        <v>489</v>
      </c>
      <c r="M99" s="60" t="s">
        <v>490</v>
      </c>
      <c r="N99" s="60" t="s">
        <v>491</v>
      </c>
      <c r="O99" s="60" t="s">
        <v>492</v>
      </c>
      <c r="P99" s="60" t="s">
        <v>493</v>
      </c>
      <c r="Q99" s="61" t="s">
        <v>494</v>
      </c>
    </row>
    <row r="100" ht="18.5" customHeight="1" spans="1:17">
      <c r="A100" s="62" t="s">
        <v>547</v>
      </c>
      <c r="B100" s="62">
        <v>20418821</v>
      </c>
      <c r="C100" s="62" t="s">
        <v>548</v>
      </c>
      <c r="D100" s="66">
        <v>46107.0614976042</v>
      </c>
      <c r="E100" s="62" t="s">
        <v>499</v>
      </c>
      <c r="F100" s="62" t="s">
        <v>510</v>
      </c>
      <c r="G100" s="62">
        <v>1</v>
      </c>
      <c r="H100" s="65">
        <v>1</v>
      </c>
      <c r="I100" s="65">
        <v>4.4</v>
      </c>
      <c r="J100" s="65">
        <f>H100*I100</f>
        <v>4.4</v>
      </c>
      <c r="K100" s="65">
        <v>0</v>
      </c>
      <c r="L100" s="65">
        <v>40</v>
      </c>
      <c r="M100" s="65">
        <f>K100*L100</f>
        <v>0</v>
      </c>
      <c r="N100" s="65">
        <v>0</v>
      </c>
      <c r="O100" s="65">
        <v>120</v>
      </c>
      <c r="P100" s="65">
        <f>N100*O100</f>
        <v>0</v>
      </c>
      <c r="Q100" s="65">
        <f>J100+M100+P100</f>
        <v>4.4</v>
      </c>
    </row>
    <row r="101" ht="18.5" customHeight="1" spans="1:17">
      <c r="A101" s="62" t="s">
        <v>547</v>
      </c>
      <c r="B101" s="62">
        <v>20418821</v>
      </c>
      <c r="C101" s="62" t="s">
        <v>548</v>
      </c>
      <c r="D101" s="66">
        <v>46107.0614976042</v>
      </c>
      <c r="E101" s="62" t="s">
        <v>497</v>
      </c>
      <c r="F101" s="62" t="s">
        <v>498</v>
      </c>
      <c r="G101" s="62">
        <v>14</v>
      </c>
      <c r="H101" s="65">
        <v>14</v>
      </c>
      <c r="I101" s="65">
        <v>4.4</v>
      </c>
      <c r="J101" s="65">
        <f>H101*I101</f>
        <v>61.6</v>
      </c>
      <c r="K101" s="65">
        <v>0</v>
      </c>
      <c r="L101" s="65">
        <v>40</v>
      </c>
      <c r="M101" s="65">
        <f>K101*L101</f>
        <v>0</v>
      </c>
      <c r="N101" s="65">
        <v>0</v>
      </c>
      <c r="O101" s="65">
        <v>120</v>
      </c>
      <c r="P101" s="65">
        <f>N101*O101</f>
        <v>0</v>
      </c>
      <c r="Q101" s="65">
        <f>J101+M101+P101</f>
        <v>61.6</v>
      </c>
    </row>
    <row r="102" ht="18.5" customHeight="1" spans="1:17">
      <c r="A102" s="62" t="s">
        <v>547</v>
      </c>
      <c r="B102" s="62">
        <v>20418822</v>
      </c>
      <c r="C102" s="62" t="s">
        <v>549</v>
      </c>
      <c r="D102" s="66">
        <v>46107.0614992245</v>
      </c>
      <c r="E102" s="62" t="s">
        <v>497</v>
      </c>
      <c r="F102" s="62" t="s">
        <v>498</v>
      </c>
      <c r="G102" s="62">
        <v>33</v>
      </c>
      <c r="H102" s="65">
        <v>33</v>
      </c>
      <c r="I102" s="65">
        <v>4.4</v>
      </c>
      <c r="J102" s="65">
        <f>H102*I102</f>
        <v>145.2</v>
      </c>
      <c r="K102" s="65">
        <v>0</v>
      </c>
      <c r="L102" s="65">
        <v>40</v>
      </c>
      <c r="M102" s="65">
        <f>K102*L102</f>
        <v>0</v>
      </c>
      <c r="N102" s="65">
        <v>0</v>
      </c>
      <c r="O102" s="65">
        <v>120</v>
      </c>
      <c r="P102" s="65">
        <f>N102*O102</f>
        <v>0</v>
      </c>
      <c r="Q102" s="65">
        <f>J102+M102+P102</f>
        <v>145.2</v>
      </c>
    </row>
    <row r="103" ht="18.5" customHeight="1" spans="1:17">
      <c r="A103" s="62" t="s">
        <v>547</v>
      </c>
      <c r="B103" s="62">
        <v>20418822</v>
      </c>
      <c r="C103" s="62" t="s">
        <v>549</v>
      </c>
      <c r="D103" s="66">
        <v>46107.0614992245</v>
      </c>
      <c r="E103" s="62" t="s">
        <v>499</v>
      </c>
      <c r="F103" s="62" t="s">
        <v>510</v>
      </c>
      <c r="G103" s="62">
        <v>1</v>
      </c>
      <c r="H103" s="65">
        <v>1</v>
      </c>
      <c r="I103" s="65">
        <v>4.4</v>
      </c>
      <c r="J103" s="65">
        <f>H103*I103</f>
        <v>4.4</v>
      </c>
      <c r="K103" s="65">
        <v>0</v>
      </c>
      <c r="L103" s="65">
        <v>40</v>
      </c>
      <c r="M103" s="65">
        <f>K103*L103</f>
        <v>0</v>
      </c>
      <c r="N103" s="65">
        <v>0</v>
      </c>
      <c r="O103" s="65">
        <v>120</v>
      </c>
      <c r="P103" s="65">
        <f>N103*O103</f>
        <v>0</v>
      </c>
      <c r="Q103" s="65">
        <f>J103+M103+P103</f>
        <v>4.4</v>
      </c>
    </row>
    <row r="104" ht="18.5" customHeight="1" spans="1:17">
      <c r="A104" s="62" t="s">
        <v>547</v>
      </c>
      <c r="B104" s="62">
        <v>20418820</v>
      </c>
      <c r="C104" s="62" t="s">
        <v>550</v>
      </c>
      <c r="D104" s="66">
        <v>46107.0939701389</v>
      </c>
      <c r="E104" s="62" t="s">
        <v>497</v>
      </c>
      <c r="F104" s="62" t="s">
        <v>498</v>
      </c>
      <c r="G104" s="62">
        <v>1</v>
      </c>
      <c r="H104" s="65">
        <v>1</v>
      </c>
      <c r="I104" s="65">
        <v>20</v>
      </c>
      <c r="J104" s="65">
        <f>H104*I104</f>
        <v>20</v>
      </c>
      <c r="K104" s="65">
        <v>0</v>
      </c>
      <c r="L104" s="65">
        <v>40</v>
      </c>
      <c r="M104" s="65">
        <f>K104*L104</f>
        <v>0</v>
      </c>
      <c r="N104" s="65">
        <v>0</v>
      </c>
      <c r="O104" s="65">
        <v>120</v>
      </c>
      <c r="P104" s="65">
        <f>N104*O104</f>
        <v>0</v>
      </c>
      <c r="Q104" s="65">
        <f>J104+M104+P104</f>
        <v>20</v>
      </c>
    </row>
    <row r="105" ht="18.5" customHeight="1" spans="1:17">
      <c r="A105" s="65"/>
      <c r="B105" s="65"/>
      <c r="C105" s="65" t="s">
        <v>475</v>
      </c>
      <c r="D105" s="65"/>
      <c r="E105" s="65"/>
      <c r="F105" s="65"/>
      <c r="G105" s="65">
        <f t="shared" ref="G105:Q105" si="17">SUM(G100:G104)</f>
        <v>50</v>
      </c>
      <c r="H105" s="65">
        <f t="shared" si="17"/>
        <v>50</v>
      </c>
      <c r="I105" s="65">
        <f t="shared" si="17"/>
        <v>37.6</v>
      </c>
      <c r="J105" s="65">
        <f t="shared" si="17"/>
        <v>235.6</v>
      </c>
      <c r="K105" s="65">
        <f t="shared" si="17"/>
        <v>0</v>
      </c>
      <c r="L105" s="65">
        <f t="shared" si="17"/>
        <v>200</v>
      </c>
      <c r="M105" s="65">
        <f t="shared" si="17"/>
        <v>0</v>
      </c>
      <c r="N105" s="65">
        <f t="shared" si="17"/>
        <v>0</v>
      </c>
      <c r="O105" s="65">
        <f t="shared" si="17"/>
        <v>600</v>
      </c>
      <c r="P105" s="65">
        <f t="shared" si="17"/>
        <v>0</v>
      </c>
      <c r="Q105" s="65">
        <f t="shared" si="17"/>
        <v>235.6</v>
      </c>
    </row>
  </sheetData>
  <autoFilter xmlns:etc="http://www.wps.cn/officeDocument/2017/etCustomData" ref="A3:Q70" etc:filterBottomFollowUsedRange="0">
    <extLst/>
  </autoFilter>
  <mergeCells count="4">
    <mergeCell ref="A1:Q1"/>
    <mergeCell ref="A2:Q2"/>
    <mergeCell ref="A79:Q79"/>
    <mergeCell ref="A98:Q98"/>
  </mergeCells>
  <pageMargins left="0.25" right="0.25" top="0.75" bottom="0.75" header="0.298611111111111" footer="0.298611111111111"/>
  <pageSetup paperSize="9" scale="65" orientation="landscape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4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5" customWidth="1"/>
    <col min="12" max="12" width="12.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551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49</v>
      </c>
      <c r="J8" s="13"/>
      <c r="K8" s="14"/>
      <c r="L8" s="14"/>
      <c r="M8" s="14"/>
      <c r="N8" s="14">
        <v>2379.2</v>
      </c>
    </row>
    <row r="9" spans="1:14">
      <c r="D9" s="15">
        <v>46084</v>
      </c>
      <c r="E9" s="16">
        <v>1581868</v>
      </c>
      <c r="F9" s="16" t="s">
        <v>16</v>
      </c>
      <c r="G9" s="16">
        <v>20324731</v>
      </c>
      <c r="H9" s="16" t="s">
        <v>552</v>
      </c>
      <c r="I9" s="16">
        <v>1</v>
      </c>
      <c r="J9" s="32" t="s">
        <v>18</v>
      </c>
      <c r="K9" s="18">
        <f>M9/L9</f>
        <v>10</v>
      </c>
      <c r="L9" s="19">
        <v>4.4</v>
      </c>
      <c r="M9" s="20">
        <v>44</v>
      </c>
      <c r="N9" s="20">
        <v>44</v>
      </c>
    </row>
    <row r="10" spans="1:14">
      <c r="D10" s="21">
        <v>46085</v>
      </c>
      <c r="E10" s="22">
        <v>1582178</v>
      </c>
      <c r="F10" s="22" t="s">
        <v>20</v>
      </c>
      <c r="G10" s="22">
        <v>20324716</v>
      </c>
      <c r="H10" s="22" t="s">
        <v>278</v>
      </c>
      <c r="I10" s="22">
        <v>1</v>
      </c>
      <c r="J10" s="27" t="s">
        <v>22</v>
      </c>
      <c r="K10" s="24">
        <v>1</v>
      </c>
      <c r="L10" s="25">
        <v>6.4</v>
      </c>
      <c r="M10" s="25">
        <v>10.8</v>
      </c>
      <c r="N10" s="25">
        <v>10.8</v>
      </c>
    </row>
    <row r="11" spans="1:14">
      <c r="D11" s="21"/>
      <c r="E11" s="22"/>
      <c r="F11" s="22"/>
      <c r="G11" s="22"/>
      <c r="H11" s="22"/>
      <c r="I11" s="22"/>
      <c r="J11" s="27" t="s">
        <v>145</v>
      </c>
      <c r="K11" s="24">
        <v>1</v>
      </c>
      <c r="L11" s="25">
        <v>4.4</v>
      </c>
      <c r="M11" s="25"/>
      <c r="N11" s="25"/>
    </row>
    <row r="12" spans="1:14">
      <c r="D12" s="21">
        <v>46085</v>
      </c>
      <c r="E12" s="22">
        <v>1582178</v>
      </c>
      <c r="F12" s="22" t="s">
        <v>16</v>
      </c>
      <c r="G12" s="22">
        <v>20324379</v>
      </c>
      <c r="H12" s="22" t="s">
        <v>553</v>
      </c>
      <c r="I12" s="22">
        <v>1</v>
      </c>
      <c r="J12" s="28" t="s">
        <v>18</v>
      </c>
      <c r="K12" s="24">
        <f t="shared" ref="K12:K16" si="0">M12/L12</f>
        <v>24</v>
      </c>
      <c r="L12" s="25">
        <v>4.4</v>
      </c>
      <c r="M12" s="26">
        <v>105.6</v>
      </c>
      <c r="N12" s="26">
        <v>105.6</v>
      </c>
    </row>
    <row r="13" spans="1:14">
      <c r="D13" s="21">
        <v>46087</v>
      </c>
      <c r="E13" s="22">
        <v>1582864</v>
      </c>
      <c r="F13" s="22" t="s">
        <v>20</v>
      </c>
      <c r="G13" s="22">
        <v>20324716</v>
      </c>
      <c r="H13" s="22" t="s">
        <v>278</v>
      </c>
      <c r="I13" s="22">
        <v>2</v>
      </c>
      <c r="J13" s="27" t="s">
        <v>22</v>
      </c>
      <c r="K13" s="24">
        <v>1</v>
      </c>
      <c r="L13" s="25">
        <v>6.4</v>
      </c>
      <c r="M13" s="25">
        <v>10.8</v>
      </c>
      <c r="N13" s="26">
        <v>21.6</v>
      </c>
    </row>
    <row r="14" spans="1:14">
      <c r="D14" s="21"/>
      <c r="E14" s="22"/>
      <c r="F14" s="22"/>
      <c r="G14" s="22"/>
      <c r="H14" s="22"/>
      <c r="I14" s="22"/>
      <c r="J14" s="27" t="s">
        <v>145</v>
      </c>
      <c r="K14" s="24">
        <v>1</v>
      </c>
      <c r="L14" s="25">
        <v>4.4</v>
      </c>
      <c r="M14" s="25"/>
      <c r="N14" s="26"/>
    </row>
    <row r="15" spans="1:14">
      <c r="D15" s="21">
        <v>46087</v>
      </c>
      <c r="E15" s="22">
        <v>1582864</v>
      </c>
      <c r="F15" s="22" t="s">
        <v>16</v>
      </c>
      <c r="G15" s="22">
        <v>20324731</v>
      </c>
      <c r="H15" s="22" t="s">
        <v>552</v>
      </c>
      <c r="I15" s="22">
        <v>2</v>
      </c>
      <c r="J15" s="28" t="s">
        <v>18</v>
      </c>
      <c r="K15" s="24">
        <f t="shared" si="0"/>
        <v>10</v>
      </c>
      <c r="L15" s="25">
        <v>4.4</v>
      </c>
      <c r="M15" s="26">
        <v>44</v>
      </c>
      <c r="N15" s="26">
        <v>88</v>
      </c>
    </row>
    <row r="16" spans="1:14">
      <c r="D16" s="21">
        <v>46087</v>
      </c>
      <c r="E16" s="22">
        <v>1582864</v>
      </c>
      <c r="F16" s="22" t="s">
        <v>16</v>
      </c>
      <c r="G16" s="22">
        <v>20324379</v>
      </c>
      <c r="H16" s="22" t="s">
        <v>553</v>
      </c>
      <c r="I16" s="22">
        <v>1</v>
      </c>
      <c r="J16" s="28" t="s">
        <v>18</v>
      </c>
      <c r="K16" s="24">
        <f t="shared" si="0"/>
        <v>24</v>
      </c>
      <c r="L16" s="25">
        <v>4.4</v>
      </c>
      <c r="M16" s="26">
        <v>105.6</v>
      </c>
      <c r="N16" s="26">
        <v>105.6</v>
      </c>
    </row>
    <row r="17" spans="4:14">
      <c r="D17" s="21">
        <v>46090</v>
      </c>
      <c r="E17" s="22">
        <v>1583387</v>
      </c>
      <c r="F17" s="22" t="s">
        <v>20</v>
      </c>
      <c r="G17" s="22">
        <v>20324716</v>
      </c>
      <c r="H17" s="22" t="s">
        <v>278</v>
      </c>
      <c r="I17" s="22">
        <v>1</v>
      </c>
      <c r="J17" s="27" t="s">
        <v>22</v>
      </c>
      <c r="K17" s="24">
        <v>1</v>
      </c>
      <c r="L17" s="25">
        <v>6.4</v>
      </c>
      <c r="M17" s="25">
        <v>10.8</v>
      </c>
      <c r="N17" s="25">
        <v>10.8</v>
      </c>
    </row>
    <row r="18" spans="4:14">
      <c r="D18" s="21"/>
      <c r="E18" s="22"/>
      <c r="F18" s="22"/>
      <c r="G18" s="22"/>
      <c r="H18" s="22"/>
      <c r="I18" s="22"/>
      <c r="J18" s="27" t="s">
        <v>145</v>
      </c>
      <c r="K18" s="24">
        <v>1</v>
      </c>
      <c r="L18" s="25">
        <v>4.4</v>
      </c>
      <c r="M18" s="25"/>
      <c r="N18" s="25"/>
    </row>
    <row r="19" spans="4:14">
      <c r="D19" s="21">
        <v>46090</v>
      </c>
      <c r="E19" s="22">
        <v>1583387</v>
      </c>
      <c r="F19" s="22" t="s">
        <v>16</v>
      </c>
      <c r="G19" s="22">
        <v>20324731</v>
      </c>
      <c r="H19" s="22" t="s">
        <v>552</v>
      </c>
      <c r="I19" s="22">
        <v>1</v>
      </c>
      <c r="J19" s="28" t="s">
        <v>18</v>
      </c>
      <c r="K19" s="24">
        <f>M19/L19</f>
        <v>10</v>
      </c>
      <c r="L19" s="25">
        <v>4.4</v>
      </c>
      <c r="M19" s="26">
        <v>44</v>
      </c>
      <c r="N19" s="26">
        <v>44</v>
      </c>
    </row>
    <row r="20" spans="4:14">
      <c r="D20" s="21">
        <v>46090</v>
      </c>
      <c r="E20" s="22">
        <v>1583387</v>
      </c>
      <c r="F20" s="22" t="s">
        <v>16</v>
      </c>
      <c r="G20" s="22">
        <v>20324379</v>
      </c>
      <c r="H20" s="22" t="s">
        <v>553</v>
      </c>
      <c r="I20" s="22">
        <v>1</v>
      </c>
      <c r="J20" s="28" t="s">
        <v>18</v>
      </c>
      <c r="K20" s="24">
        <f>M20/L20</f>
        <v>24</v>
      </c>
      <c r="L20" s="25">
        <v>4.4</v>
      </c>
      <c r="M20" s="26">
        <v>105.6</v>
      </c>
      <c r="N20" s="26">
        <v>105.6</v>
      </c>
    </row>
    <row r="21" spans="4:14">
      <c r="D21" s="21">
        <v>46092</v>
      </c>
      <c r="E21" s="22">
        <v>1585143</v>
      </c>
      <c r="F21" s="22" t="s">
        <v>20</v>
      </c>
      <c r="G21" s="22">
        <v>20324415</v>
      </c>
      <c r="H21" s="22" t="s">
        <v>554</v>
      </c>
      <c r="I21" s="22">
        <v>1</v>
      </c>
      <c r="J21" s="27" t="s">
        <v>25</v>
      </c>
      <c r="K21" s="24">
        <v>1</v>
      </c>
      <c r="L21" s="25">
        <v>8.8</v>
      </c>
      <c r="M21" s="25">
        <v>13.2</v>
      </c>
      <c r="N21" s="25">
        <v>13.2</v>
      </c>
    </row>
    <row r="22" spans="4:14">
      <c r="D22" s="21"/>
      <c r="E22" s="22"/>
      <c r="F22" s="22"/>
      <c r="G22" s="22"/>
      <c r="H22" s="22"/>
      <c r="I22" s="22"/>
      <c r="J22" s="27" t="s">
        <v>145</v>
      </c>
      <c r="K22" s="24">
        <v>1</v>
      </c>
      <c r="L22" s="25">
        <v>4.4</v>
      </c>
      <c r="M22" s="25"/>
      <c r="N22" s="25"/>
    </row>
    <row r="23" spans="4:14">
      <c r="D23" s="21">
        <v>46092</v>
      </c>
      <c r="E23" s="22">
        <v>1585143</v>
      </c>
      <c r="F23" s="22" t="s">
        <v>20</v>
      </c>
      <c r="G23" s="22">
        <v>20324716</v>
      </c>
      <c r="H23" s="22" t="s">
        <v>278</v>
      </c>
      <c r="I23" s="22">
        <v>1</v>
      </c>
      <c r="J23" s="27" t="s">
        <v>22</v>
      </c>
      <c r="K23" s="24">
        <v>1</v>
      </c>
      <c r="L23" s="25">
        <v>6.4</v>
      </c>
      <c r="M23" s="25">
        <v>10.8</v>
      </c>
      <c r="N23" s="25">
        <v>10.8</v>
      </c>
    </row>
    <row r="24" spans="4:14">
      <c r="D24" s="21"/>
      <c r="E24" s="22"/>
      <c r="F24" s="22"/>
      <c r="G24" s="22"/>
      <c r="H24" s="22"/>
      <c r="I24" s="22"/>
      <c r="J24" s="27" t="s">
        <v>145</v>
      </c>
      <c r="K24" s="24">
        <v>1</v>
      </c>
      <c r="L24" s="25">
        <v>4.4</v>
      </c>
      <c r="M24" s="25"/>
      <c r="N24" s="25"/>
    </row>
    <row r="25" spans="4:14">
      <c r="D25" s="21">
        <v>46092</v>
      </c>
      <c r="E25" s="22">
        <v>1585143</v>
      </c>
      <c r="F25" s="22" t="s">
        <v>16</v>
      </c>
      <c r="G25" s="22">
        <v>20324731</v>
      </c>
      <c r="H25" s="22" t="s">
        <v>552</v>
      </c>
      <c r="I25" s="22">
        <v>1</v>
      </c>
      <c r="J25" s="28" t="s">
        <v>18</v>
      </c>
      <c r="K25" s="24">
        <f t="shared" ref="K25:K30" si="1">M25/L25</f>
        <v>10</v>
      </c>
      <c r="L25" s="25">
        <v>4.4</v>
      </c>
      <c r="M25" s="26">
        <v>44</v>
      </c>
      <c r="N25" s="26">
        <v>44</v>
      </c>
    </row>
    <row r="26" spans="4:14">
      <c r="D26" s="21">
        <v>46092</v>
      </c>
      <c r="E26" s="22">
        <v>1585143</v>
      </c>
      <c r="F26" s="22" t="s">
        <v>16</v>
      </c>
      <c r="G26" s="22">
        <v>20324379</v>
      </c>
      <c r="H26" s="22" t="s">
        <v>553</v>
      </c>
      <c r="I26" s="22">
        <v>1</v>
      </c>
      <c r="J26" s="28" t="s">
        <v>18</v>
      </c>
      <c r="K26" s="24">
        <f t="shared" si="1"/>
        <v>24</v>
      </c>
      <c r="L26" s="25">
        <v>4.4</v>
      </c>
      <c r="M26" s="26">
        <v>105.6</v>
      </c>
      <c r="N26" s="26">
        <v>105.6</v>
      </c>
    </row>
    <row r="27" spans="4:14">
      <c r="D27" s="21">
        <v>46095</v>
      </c>
      <c r="E27" s="22">
        <v>1585924</v>
      </c>
      <c r="F27" s="22" t="s">
        <v>20</v>
      </c>
      <c r="G27" s="22">
        <v>20324716</v>
      </c>
      <c r="H27" s="22" t="s">
        <v>278</v>
      </c>
      <c r="I27" s="22">
        <v>1</v>
      </c>
      <c r="J27" s="27" t="s">
        <v>22</v>
      </c>
      <c r="K27" s="24">
        <v>1</v>
      </c>
      <c r="L27" s="25">
        <v>6.4</v>
      </c>
      <c r="M27" s="25">
        <v>10.8</v>
      </c>
      <c r="N27" s="25">
        <v>10.8</v>
      </c>
    </row>
    <row r="28" spans="4:14">
      <c r="D28" s="21"/>
      <c r="E28" s="22"/>
      <c r="F28" s="22"/>
      <c r="G28" s="22"/>
      <c r="H28" s="22"/>
      <c r="I28" s="22"/>
      <c r="J28" s="27" t="s">
        <v>145</v>
      </c>
      <c r="K28" s="24">
        <v>1</v>
      </c>
      <c r="L28" s="25">
        <v>4.4</v>
      </c>
      <c r="M28" s="25"/>
      <c r="N28" s="25"/>
    </row>
    <row r="29" spans="4:14">
      <c r="D29" s="21">
        <v>46095</v>
      </c>
      <c r="E29" s="22">
        <v>1585924</v>
      </c>
      <c r="F29" s="22" t="s">
        <v>16</v>
      </c>
      <c r="G29" s="22">
        <v>20324731</v>
      </c>
      <c r="H29" s="22" t="s">
        <v>552</v>
      </c>
      <c r="I29" s="22">
        <v>2</v>
      </c>
      <c r="J29" s="28" t="s">
        <v>18</v>
      </c>
      <c r="K29" s="24">
        <f t="shared" si="1"/>
        <v>10</v>
      </c>
      <c r="L29" s="25">
        <v>4.4</v>
      </c>
      <c r="M29" s="26">
        <v>44</v>
      </c>
      <c r="N29" s="26">
        <v>88</v>
      </c>
    </row>
    <row r="30" spans="4:14">
      <c r="D30" s="21">
        <v>46095</v>
      </c>
      <c r="E30" s="22">
        <v>1585924</v>
      </c>
      <c r="F30" s="22" t="s">
        <v>16</v>
      </c>
      <c r="G30" s="22">
        <v>20324379</v>
      </c>
      <c r="H30" s="22" t="s">
        <v>553</v>
      </c>
      <c r="I30" s="22">
        <v>2</v>
      </c>
      <c r="J30" s="28" t="s">
        <v>18</v>
      </c>
      <c r="K30" s="24">
        <f t="shared" si="1"/>
        <v>24</v>
      </c>
      <c r="L30" s="25">
        <v>4.4</v>
      </c>
      <c r="M30" s="26">
        <v>105.6</v>
      </c>
      <c r="N30" s="26">
        <v>211.2</v>
      </c>
    </row>
    <row r="31" spans="4:14">
      <c r="D31" s="21">
        <v>46098</v>
      </c>
      <c r="E31" s="22">
        <v>1586475</v>
      </c>
      <c r="F31" s="22" t="s">
        <v>20</v>
      </c>
      <c r="G31" s="22">
        <v>20324415</v>
      </c>
      <c r="H31" s="22" t="s">
        <v>554</v>
      </c>
      <c r="I31" s="22">
        <v>1</v>
      </c>
      <c r="J31" s="27" t="s">
        <v>25</v>
      </c>
      <c r="K31" s="24">
        <v>1</v>
      </c>
      <c r="L31" s="25">
        <v>8.8</v>
      </c>
      <c r="M31" s="25">
        <v>13.2</v>
      </c>
      <c r="N31" s="25">
        <v>13.2</v>
      </c>
    </row>
    <row r="32" spans="4:14">
      <c r="D32" s="21"/>
      <c r="E32" s="22"/>
      <c r="F32" s="22"/>
      <c r="G32" s="22"/>
      <c r="H32" s="22"/>
      <c r="I32" s="22"/>
      <c r="J32" s="27" t="s">
        <v>145</v>
      </c>
      <c r="K32" s="24">
        <v>1</v>
      </c>
      <c r="L32" s="25">
        <v>4.4</v>
      </c>
      <c r="M32" s="25"/>
      <c r="N32" s="25"/>
    </row>
    <row r="33" spans="4:14">
      <c r="D33" s="21">
        <v>46098</v>
      </c>
      <c r="E33" s="22">
        <v>1586475</v>
      </c>
      <c r="F33" s="22" t="s">
        <v>20</v>
      </c>
      <c r="G33" s="22">
        <v>20324415</v>
      </c>
      <c r="H33" s="22" t="s">
        <v>554</v>
      </c>
      <c r="I33" s="22">
        <v>1</v>
      </c>
      <c r="J33" s="27" t="s">
        <v>25</v>
      </c>
      <c r="K33" s="24">
        <v>1</v>
      </c>
      <c r="L33" s="25">
        <v>8.8</v>
      </c>
      <c r="M33" s="25">
        <v>13.2</v>
      </c>
      <c r="N33" s="25">
        <v>13.2</v>
      </c>
    </row>
    <row r="34" spans="4:14">
      <c r="D34" s="21"/>
      <c r="E34" s="22"/>
      <c r="F34" s="22"/>
      <c r="G34" s="22"/>
      <c r="H34" s="22"/>
      <c r="I34" s="22"/>
      <c r="J34" s="27" t="s">
        <v>145</v>
      </c>
      <c r="K34" s="24">
        <v>1</v>
      </c>
      <c r="L34" s="25">
        <v>4.4</v>
      </c>
      <c r="M34" s="25"/>
      <c r="N34" s="25"/>
    </row>
    <row r="35" spans="4:14">
      <c r="D35" s="21">
        <v>46098</v>
      </c>
      <c r="E35" s="22">
        <v>1586475</v>
      </c>
      <c r="F35" s="22" t="s">
        <v>20</v>
      </c>
      <c r="G35" s="22">
        <v>20324716</v>
      </c>
      <c r="H35" s="22" t="s">
        <v>278</v>
      </c>
      <c r="I35" s="22">
        <v>1</v>
      </c>
      <c r="J35" s="27" t="s">
        <v>22</v>
      </c>
      <c r="K35" s="24">
        <v>1</v>
      </c>
      <c r="L35" s="25">
        <v>6.4</v>
      </c>
      <c r="M35" s="25">
        <v>10.8</v>
      </c>
      <c r="N35" s="25">
        <v>10.8</v>
      </c>
    </row>
    <row r="36" spans="4:14">
      <c r="D36" s="21"/>
      <c r="E36" s="22"/>
      <c r="F36" s="22"/>
      <c r="G36" s="22"/>
      <c r="H36" s="22"/>
      <c r="I36" s="22"/>
      <c r="J36" s="27" t="s">
        <v>145</v>
      </c>
      <c r="K36" s="24">
        <v>1</v>
      </c>
      <c r="L36" s="25">
        <v>4.4</v>
      </c>
      <c r="M36" s="25"/>
      <c r="N36" s="25"/>
    </row>
    <row r="37" spans="4:14">
      <c r="D37" s="21">
        <v>46098</v>
      </c>
      <c r="E37" s="22">
        <v>1586475</v>
      </c>
      <c r="F37" s="22" t="s">
        <v>20</v>
      </c>
      <c r="G37" s="22">
        <v>20324363</v>
      </c>
      <c r="H37" s="22" t="s">
        <v>91</v>
      </c>
      <c r="I37" s="22">
        <v>2</v>
      </c>
      <c r="J37" s="23" t="s">
        <v>22</v>
      </c>
      <c r="K37" s="24">
        <v>1</v>
      </c>
      <c r="L37" s="25">
        <v>6.4</v>
      </c>
      <c r="M37" s="26">
        <v>6.4</v>
      </c>
      <c r="N37" s="26">
        <v>12.8</v>
      </c>
    </row>
    <row r="38" spans="4:14">
      <c r="D38" s="21">
        <v>46098</v>
      </c>
      <c r="E38" s="22">
        <v>1586475</v>
      </c>
      <c r="F38" s="22" t="s">
        <v>16</v>
      </c>
      <c r="G38" s="22">
        <v>20324731</v>
      </c>
      <c r="H38" s="22" t="s">
        <v>552</v>
      </c>
      <c r="I38" s="22">
        <v>1</v>
      </c>
      <c r="J38" s="28" t="s">
        <v>18</v>
      </c>
      <c r="K38" s="24">
        <f t="shared" ref="K38:K43" si="2">M38/L38</f>
        <v>10</v>
      </c>
      <c r="L38" s="25">
        <v>4.4</v>
      </c>
      <c r="M38" s="26">
        <v>44</v>
      </c>
      <c r="N38" s="26">
        <v>44</v>
      </c>
    </row>
    <row r="39" spans="4:14">
      <c r="D39" s="21">
        <v>46098</v>
      </c>
      <c r="E39" s="22">
        <v>1586475</v>
      </c>
      <c r="F39" s="22" t="s">
        <v>16</v>
      </c>
      <c r="G39" s="22">
        <v>20324379</v>
      </c>
      <c r="H39" s="22" t="s">
        <v>553</v>
      </c>
      <c r="I39" s="22">
        <v>1</v>
      </c>
      <c r="J39" s="28" t="s">
        <v>18</v>
      </c>
      <c r="K39" s="24">
        <f t="shared" si="2"/>
        <v>24</v>
      </c>
      <c r="L39" s="25">
        <v>4.4</v>
      </c>
      <c r="M39" s="26">
        <v>105.6</v>
      </c>
      <c r="N39" s="26">
        <v>105.6</v>
      </c>
    </row>
    <row r="40" spans="4:14">
      <c r="D40" s="21">
        <v>46098</v>
      </c>
      <c r="E40" s="22">
        <v>1586880</v>
      </c>
      <c r="F40" s="22" t="s">
        <v>20</v>
      </c>
      <c r="G40" s="22">
        <v>20324415</v>
      </c>
      <c r="H40" s="22" t="s">
        <v>554</v>
      </c>
      <c r="I40" s="22">
        <v>1</v>
      </c>
      <c r="J40" s="27" t="s">
        <v>25</v>
      </c>
      <c r="K40" s="24">
        <v>1</v>
      </c>
      <c r="L40" s="25">
        <v>8.8</v>
      </c>
      <c r="M40" s="25">
        <v>13.2</v>
      </c>
      <c r="N40" s="25">
        <v>13.2</v>
      </c>
    </row>
    <row r="41" spans="4:14">
      <c r="D41" s="21"/>
      <c r="E41" s="22"/>
      <c r="F41" s="22"/>
      <c r="G41" s="22"/>
      <c r="H41" s="22"/>
      <c r="I41" s="22"/>
      <c r="J41" s="27" t="s">
        <v>145</v>
      </c>
      <c r="K41" s="24">
        <v>1</v>
      </c>
      <c r="L41" s="25">
        <v>4.4</v>
      </c>
      <c r="M41" s="25"/>
      <c r="N41" s="25"/>
    </row>
    <row r="42" spans="4:14">
      <c r="D42" s="21">
        <v>46098</v>
      </c>
      <c r="E42" s="22">
        <v>1586880</v>
      </c>
      <c r="F42" s="22" t="s">
        <v>20</v>
      </c>
      <c r="G42" s="22">
        <v>20324363</v>
      </c>
      <c r="H42" s="22" t="s">
        <v>91</v>
      </c>
      <c r="I42" s="22">
        <v>1</v>
      </c>
      <c r="J42" s="23" t="s">
        <v>22</v>
      </c>
      <c r="K42" s="24">
        <v>1</v>
      </c>
      <c r="L42" s="25">
        <v>6.4</v>
      </c>
      <c r="M42" s="26">
        <v>6.4</v>
      </c>
      <c r="N42" s="26">
        <v>6.4</v>
      </c>
    </row>
    <row r="43" spans="4:14">
      <c r="D43" s="21">
        <v>46098</v>
      </c>
      <c r="E43" s="22">
        <v>1586880</v>
      </c>
      <c r="F43" s="22" t="s">
        <v>16</v>
      </c>
      <c r="G43" s="22">
        <v>20324731</v>
      </c>
      <c r="H43" s="22" t="s">
        <v>552</v>
      </c>
      <c r="I43" s="22">
        <v>1</v>
      </c>
      <c r="J43" s="28" t="s">
        <v>18</v>
      </c>
      <c r="K43" s="24">
        <f t="shared" si="2"/>
        <v>10</v>
      </c>
      <c r="L43" s="25">
        <v>4.4</v>
      </c>
      <c r="M43" s="26">
        <v>44</v>
      </c>
      <c r="N43" s="26">
        <v>44</v>
      </c>
    </row>
    <row r="44" spans="4:14">
      <c r="D44" s="21">
        <v>46100</v>
      </c>
      <c r="E44" s="22">
        <v>1587577</v>
      </c>
      <c r="F44" s="22" t="s">
        <v>20</v>
      </c>
      <c r="G44" s="22">
        <v>20324716</v>
      </c>
      <c r="H44" s="22" t="s">
        <v>278</v>
      </c>
      <c r="I44" s="22">
        <v>1</v>
      </c>
      <c r="J44" s="27" t="s">
        <v>22</v>
      </c>
      <c r="K44" s="24">
        <v>1</v>
      </c>
      <c r="L44" s="25">
        <v>6.4</v>
      </c>
      <c r="M44" s="25">
        <v>10.8</v>
      </c>
      <c r="N44" s="25">
        <v>10.8</v>
      </c>
    </row>
    <row r="45" spans="4:14">
      <c r="D45" s="21"/>
      <c r="E45" s="22"/>
      <c r="F45" s="22"/>
      <c r="G45" s="22"/>
      <c r="H45" s="22"/>
      <c r="I45" s="22"/>
      <c r="J45" s="27" t="s">
        <v>145</v>
      </c>
      <c r="K45" s="24">
        <v>1</v>
      </c>
      <c r="L45" s="25">
        <v>4.4</v>
      </c>
      <c r="M45" s="25"/>
      <c r="N45" s="25"/>
    </row>
    <row r="46" spans="4:14">
      <c r="D46" s="21">
        <v>46100</v>
      </c>
      <c r="E46" s="22">
        <v>1587577</v>
      </c>
      <c r="F46" s="22" t="s">
        <v>16</v>
      </c>
      <c r="G46" s="22">
        <v>20324731</v>
      </c>
      <c r="H46" s="22" t="s">
        <v>552</v>
      </c>
      <c r="I46" s="22">
        <v>2</v>
      </c>
      <c r="J46" s="28" t="s">
        <v>18</v>
      </c>
      <c r="K46" s="24">
        <f t="shared" ref="K46:K51" si="3">M46/L46</f>
        <v>10</v>
      </c>
      <c r="L46" s="25">
        <v>4.4</v>
      </c>
      <c r="M46" s="26">
        <v>44</v>
      </c>
      <c r="N46" s="26">
        <v>88</v>
      </c>
    </row>
    <row r="47" spans="4:14">
      <c r="D47" s="21">
        <v>46100</v>
      </c>
      <c r="E47" s="22">
        <v>1587577</v>
      </c>
      <c r="F47" s="22" t="s">
        <v>16</v>
      </c>
      <c r="G47" s="22">
        <v>20324379</v>
      </c>
      <c r="H47" s="22" t="s">
        <v>553</v>
      </c>
      <c r="I47" s="22">
        <v>1</v>
      </c>
      <c r="J47" s="28" t="s">
        <v>18</v>
      </c>
      <c r="K47" s="24">
        <f t="shared" si="3"/>
        <v>24</v>
      </c>
      <c r="L47" s="25">
        <v>4.4</v>
      </c>
      <c r="M47" s="26">
        <v>105.6</v>
      </c>
      <c r="N47" s="26">
        <v>105.6</v>
      </c>
    </row>
    <row r="48" spans="4:14">
      <c r="D48" s="21">
        <v>46104</v>
      </c>
      <c r="E48" s="22">
        <v>1588484</v>
      </c>
      <c r="F48" s="22" t="s">
        <v>20</v>
      </c>
      <c r="G48" s="22">
        <v>20324716</v>
      </c>
      <c r="H48" s="22" t="s">
        <v>278</v>
      </c>
      <c r="I48" s="22">
        <v>1</v>
      </c>
      <c r="J48" s="27" t="s">
        <v>22</v>
      </c>
      <c r="K48" s="24">
        <v>1</v>
      </c>
      <c r="L48" s="25">
        <v>6.4</v>
      </c>
      <c r="M48" s="25">
        <v>10.8</v>
      </c>
      <c r="N48" s="25">
        <v>10.8</v>
      </c>
    </row>
    <row r="49" spans="4:14">
      <c r="D49" s="21"/>
      <c r="E49" s="22"/>
      <c r="F49" s="22"/>
      <c r="G49" s="22"/>
      <c r="H49" s="22"/>
      <c r="I49" s="22"/>
      <c r="J49" s="27" t="s">
        <v>145</v>
      </c>
      <c r="K49" s="24">
        <v>1</v>
      </c>
      <c r="L49" s="25">
        <v>4.4</v>
      </c>
      <c r="M49" s="25"/>
      <c r="N49" s="25"/>
    </row>
    <row r="50" spans="4:14">
      <c r="D50" s="21">
        <v>46104</v>
      </c>
      <c r="E50" s="22">
        <v>1588484</v>
      </c>
      <c r="F50" s="22" t="s">
        <v>16</v>
      </c>
      <c r="G50" s="22">
        <v>20324731</v>
      </c>
      <c r="H50" s="22" t="s">
        <v>552</v>
      </c>
      <c r="I50" s="22">
        <v>1</v>
      </c>
      <c r="J50" s="28" t="s">
        <v>18</v>
      </c>
      <c r="K50" s="24">
        <f t="shared" si="3"/>
        <v>10</v>
      </c>
      <c r="L50" s="25">
        <v>4.4</v>
      </c>
      <c r="M50" s="26">
        <v>44</v>
      </c>
      <c r="N50" s="26">
        <v>44</v>
      </c>
    </row>
    <row r="51" spans="4:14">
      <c r="D51" s="21">
        <v>46104</v>
      </c>
      <c r="E51" s="22">
        <v>1588484</v>
      </c>
      <c r="F51" s="22" t="s">
        <v>16</v>
      </c>
      <c r="G51" s="22">
        <v>20324379</v>
      </c>
      <c r="H51" s="22" t="s">
        <v>553</v>
      </c>
      <c r="I51" s="22">
        <v>1</v>
      </c>
      <c r="J51" s="28" t="s">
        <v>18</v>
      </c>
      <c r="K51" s="24">
        <f t="shared" si="3"/>
        <v>24</v>
      </c>
      <c r="L51" s="25">
        <v>4.4</v>
      </c>
      <c r="M51" s="26">
        <v>105.6</v>
      </c>
      <c r="N51" s="26">
        <v>105.6</v>
      </c>
    </row>
    <row r="52" spans="4:14">
      <c r="D52" s="21">
        <v>46106</v>
      </c>
      <c r="E52" s="22">
        <v>1588815</v>
      </c>
      <c r="F52" s="22" t="s">
        <v>20</v>
      </c>
      <c r="G52" s="22">
        <v>20324716</v>
      </c>
      <c r="H52" s="22" t="s">
        <v>278</v>
      </c>
      <c r="I52" s="22">
        <v>2</v>
      </c>
      <c r="J52" s="27" t="s">
        <v>22</v>
      </c>
      <c r="K52" s="24">
        <v>1</v>
      </c>
      <c r="L52" s="25">
        <v>6.4</v>
      </c>
      <c r="M52" s="25">
        <v>10.8</v>
      </c>
      <c r="N52" s="26">
        <v>21.6</v>
      </c>
    </row>
    <row r="53" spans="4:14">
      <c r="D53" s="21"/>
      <c r="E53" s="22"/>
      <c r="F53" s="22"/>
      <c r="G53" s="22"/>
      <c r="H53" s="22"/>
      <c r="I53" s="22"/>
      <c r="J53" s="27" t="s">
        <v>145</v>
      </c>
      <c r="K53" s="24">
        <v>1</v>
      </c>
      <c r="L53" s="25">
        <v>4.4</v>
      </c>
      <c r="M53" s="25"/>
      <c r="N53" s="26"/>
    </row>
    <row r="54" spans="4:14">
      <c r="D54" s="21">
        <v>46106</v>
      </c>
      <c r="E54" s="22">
        <v>1588815</v>
      </c>
      <c r="F54" s="22" t="s">
        <v>16</v>
      </c>
      <c r="G54" s="22">
        <v>20324379</v>
      </c>
      <c r="H54" s="22" t="s">
        <v>553</v>
      </c>
      <c r="I54" s="22">
        <v>3</v>
      </c>
      <c r="J54" s="28" t="s">
        <v>18</v>
      </c>
      <c r="K54" s="24">
        <f>M54/L54</f>
        <v>24</v>
      </c>
      <c r="L54" s="25">
        <v>4.4</v>
      </c>
      <c r="M54" s="26">
        <v>105.6</v>
      </c>
      <c r="N54" s="26">
        <v>316.8</v>
      </c>
    </row>
    <row r="55" spans="4:14">
      <c r="D55" s="21">
        <v>46106</v>
      </c>
      <c r="E55" s="22">
        <v>1589146</v>
      </c>
      <c r="F55" s="22" t="s">
        <v>20</v>
      </c>
      <c r="G55" s="22">
        <v>20324716</v>
      </c>
      <c r="H55" s="22" t="s">
        <v>278</v>
      </c>
      <c r="I55" s="22">
        <v>1</v>
      </c>
      <c r="J55" s="27" t="s">
        <v>22</v>
      </c>
      <c r="K55" s="24">
        <v>1</v>
      </c>
      <c r="L55" s="25">
        <v>6.4</v>
      </c>
      <c r="M55" s="25">
        <v>10.8</v>
      </c>
      <c r="N55" s="25">
        <v>10.8</v>
      </c>
    </row>
    <row r="56" spans="4:14">
      <c r="D56" s="21"/>
      <c r="E56" s="22"/>
      <c r="F56" s="22"/>
      <c r="G56" s="22"/>
      <c r="H56" s="22"/>
      <c r="I56" s="22"/>
      <c r="J56" s="27" t="s">
        <v>145</v>
      </c>
      <c r="K56" s="24">
        <v>1</v>
      </c>
      <c r="L56" s="25">
        <v>4.4</v>
      </c>
      <c r="M56" s="25"/>
      <c r="N56" s="25"/>
    </row>
    <row r="57" spans="4:14">
      <c r="D57" s="21">
        <v>46106</v>
      </c>
      <c r="E57" s="22">
        <v>1589146</v>
      </c>
      <c r="F57" s="22" t="s">
        <v>16</v>
      </c>
      <c r="G57" s="22">
        <v>20324379</v>
      </c>
      <c r="H57" s="22" t="s">
        <v>553</v>
      </c>
      <c r="I57" s="22">
        <v>1</v>
      </c>
      <c r="J57" s="28" t="s">
        <v>18</v>
      </c>
      <c r="K57" s="24">
        <f>M57/L57</f>
        <v>24</v>
      </c>
      <c r="L57" s="25">
        <v>4.4</v>
      </c>
      <c r="M57" s="26">
        <v>105.6</v>
      </c>
      <c r="N57" s="26">
        <v>105.6</v>
      </c>
    </row>
    <row r="58" spans="4:14">
      <c r="D58" s="21">
        <v>46108</v>
      </c>
      <c r="E58" s="22">
        <v>1589950</v>
      </c>
      <c r="F58" s="22" t="s">
        <v>20</v>
      </c>
      <c r="G58" s="22">
        <v>20324716</v>
      </c>
      <c r="H58" s="22" t="s">
        <v>278</v>
      </c>
      <c r="I58" s="22">
        <v>1</v>
      </c>
      <c r="J58" s="27" t="s">
        <v>22</v>
      </c>
      <c r="K58" s="24">
        <v>1</v>
      </c>
      <c r="L58" s="25">
        <v>6.4</v>
      </c>
      <c r="M58" s="25">
        <v>10.8</v>
      </c>
      <c r="N58" s="25">
        <v>10.8</v>
      </c>
    </row>
    <row r="59" spans="4:14">
      <c r="D59" s="21"/>
      <c r="E59" s="22"/>
      <c r="F59" s="22"/>
      <c r="G59" s="22"/>
      <c r="H59" s="22"/>
      <c r="I59" s="22"/>
      <c r="J59" s="27" t="s">
        <v>145</v>
      </c>
      <c r="K59" s="24">
        <v>1</v>
      </c>
      <c r="L59" s="25">
        <v>4.4</v>
      </c>
      <c r="M59" s="25"/>
      <c r="N59" s="25"/>
    </row>
    <row r="60" spans="4:14">
      <c r="D60" s="21">
        <v>46108</v>
      </c>
      <c r="E60" s="22">
        <v>1589950</v>
      </c>
      <c r="F60" s="22" t="s">
        <v>16</v>
      </c>
      <c r="G60" s="22">
        <v>20324379</v>
      </c>
      <c r="H60" s="22" t="s">
        <v>553</v>
      </c>
      <c r="I60" s="22">
        <v>1</v>
      </c>
      <c r="J60" s="28" t="s">
        <v>18</v>
      </c>
      <c r="K60" s="24">
        <f t="shared" ref="K60:K64" si="4">M60/L60</f>
        <v>24</v>
      </c>
      <c r="L60" s="25">
        <v>4.4</v>
      </c>
      <c r="M60" s="26">
        <v>105.6</v>
      </c>
      <c r="N60" s="26">
        <v>105.6</v>
      </c>
    </row>
    <row r="61" spans="4:14">
      <c r="D61" s="21">
        <v>46111</v>
      </c>
      <c r="E61" s="22">
        <v>1590449</v>
      </c>
      <c r="F61" s="22" t="s">
        <v>20</v>
      </c>
      <c r="G61" s="22">
        <v>20324716</v>
      </c>
      <c r="H61" s="22" t="s">
        <v>278</v>
      </c>
      <c r="I61" s="22">
        <v>1</v>
      </c>
      <c r="J61" s="27" t="s">
        <v>22</v>
      </c>
      <c r="K61" s="24">
        <v>1</v>
      </c>
      <c r="L61" s="25">
        <v>6.4</v>
      </c>
      <c r="M61" s="25">
        <v>10.8</v>
      </c>
      <c r="N61" s="25">
        <v>10.8</v>
      </c>
    </row>
    <row r="62" spans="4:14">
      <c r="D62" s="21"/>
      <c r="E62" s="22"/>
      <c r="F62" s="22"/>
      <c r="G62" s="22"/>
      <c r="H62" s="22"/>
      <c r="I62" s="22"/>
      <c r="J62" s="27" t="s">
        <v>145</v>
      </c>
      <c r="K62" s="24">
        <v>1</v>
      </c>
      <c r="L62" s="25">
        <v>4.4</v>
      </c>
      <c r="M62" s="25"/>
      <c r="N62" s="25"/>
    </row>
    <row r="63" spans="4:14">
      <c r="D63" s="21">
        <v>46111</v>
      </c>
      <c r="E63" s="22">
        <v>1590449</v>
      </c>
      <c r="F63" s="22" t="s">
        <v>16</v>
      </c>
      <c r="G63" s="22">
        <v>20324731</v>
      </c>
      <c r="H63" s="22" t="s">
        <v>552</v>
      </c>
      <c r="I63" s="22">
        <v>1</v>
      </c>
      <c r="J63" s="28" t="s">
        <v>18</v>
      </c>
      <c r="K63" s="24">
        <f t="shared" si="4"/>
        <v>10</v>
      </c>
      <c r="L63" s="25">
        <v>4.4</v>
      </c>
      <c r="M63" s="26">
        <v>44</v>
      </c>
      <c r="N63" s="26">
        <v>44</v>
      </c>
    </row>
    <row r="64" spans="4:14">
      <c r="D64" s="21">
        <v>46111</v>
      </c>
      <c r="E64" s="22">
        <v>1590449</v>
      </c>
      <c r="F64" s="22" t="s">
        <v>16</v>
      </c>
      <c r="G64" s="22">
        <v>20324379</v>
      </c>
      <c r="H64" s="22" t="s">
        <v>553</v>
      </c>
      <c r="I64" s="22">
        <v>1</v>
      </c>
      <c r="J64" s="28" t="s">
        <v>18</v>
      </c>
      <c r="K64" s="24">
        <f t="shared" si="4"/>
        <v>24</v>
      </c>
      <c r="L64" s="25">
        <v>4.4</v>
      </c>
      <c r="M64" s="26">
        <v>105.6</v>
      </c>
      <c r="N64" s="26">
        <v>105.6</v>
      </c>
    </row>
  </sheetData>
  <autoFilter xmlns:etc="http://www.wps.cn/officeDocument/2017/etCustomData" ref="A7:N64" etc:filterBottomFollowUsedRange="0">
    <extLst/>
  </autoFilter>
  <mergeCells count="133">
    <mergeCell ref="D8:H8"/>
    <mergeCell ref="C7:C64"/>
    <mergeCell ref="D10:D11"/>
    <mergeCell ref="D13:D14"/>
    <mergeCell ref="D17:D18"/>
    <mergeCell ref="D21:D22"/>
    <mergeCell ref="D23:D24"/>
    <mergeCell ref="D27:D28"/>
    <mergeCell ref="D31:D32"/>
    <mergeCell ref="D33:D34"/>
    <mergeCell ref="D35:D36"/>
    <mergeCell ref="D40:D41"/>
    <mergeCell ref="D44:D45"/>
    <mergeCell ref="D48:D49"/>
    <mergeCell ref="D52:D53"/>
    <mergeCell ref="D55:D56"/>
    <mergeCell ref="D58:D59"/>
    <mergeCell ref="D61:D62"/>
    <mergeCell ref="E10:E11"/>
    <mergeCell ref="E13:E14"/>
    <mergeCell ref="E17:E18"/>
    <mergeCell ref="E21:E22"/>
    <mergeCell ref="E23:E24"/>
    <mergeCell ref="E27:E28"/>
    <mergeCell ref="E31:E32"/>
    <mergeCell ref="E33:E34"/>
    <mergeCell ref="E35:E36"/>
    <mergeCell ref="E40:E41"/>
    <mergeCell ref="E44:E45"/>
    <mergeCell ref="E48:E49"/>
    <mergeCell ref="E52:E53"/>
    <mergeCell ref="E55:E56"/>
    <mergeCell ref="E58:E59"/>
    <mergeCell ref="E61:E62"/>
    <mergeCell ref="F10:F11"/>
    <mergeCell ref="F13:F14"/>
    <mergeCell ref="F17:F18"/>
    <mergeCell ref="F21:F22"/>
    <mergeCell ref="F23:F24"/>
    <mergeCell ref="F27:F28"/>
    <mergeCell ref="F31:F32"/>
    <mergeCell ref="F33:F34"/>
    <mergeCell ref="F35:F36"/>
    <mergeCell ref="F40:F41"/>
    <mergeCell ref="F44:F45"/>
    <mergeCell ref="F48:F49"/>
    <mergeCell ref="F52:F53"/>
    <mergeCell ref="F55:F56"/>
    <mergeCell ref="F58:F59"/>
    <mergeCell ref="F61:F62"/>
    <mergeCell ref="G10:G11"/>
    <mergeCell ref="G13:G14"/>
    <mergeCell ref="G17:G18"/>
    <mergeCell ref="G21:G22"/>
    <mergeCell ref="G23:G24"/>
    <mergeCell ref="G27:G28"/>
    <mergeCell ref="G31:G32"/>
    <mergeCell ref="G33:G34"/>
    <mergeCell ref="G35:G36"/>
    <mergeCell ref="G40:G41"/>
    <mergeCell ref="G44:G45"/>
    <mergeCell ref="G48:G49"/>
    <mergeCell ref="G52:G53"/>
    <mergeCell ref="G55:G56"/>
    <mergeCell ref="G58:G59"/>
    <mergeCell ref="G61:G62"/>
    <mergeCell ref="H10:H11"/>
    <mergeCell ref="H13:H14"/>
    <mergeCell ref="H17:H18"/>
    <mergeCell ref="H21:H22"/>
    <mergeCell ref="H23:H24"/>
    <mergeCell ref="H27:H28"/>
    <mergeCell ref="H31:H32"/>
    <mergeCell ref="H33:H34"/>
    <mergeCell ref="H35:H36"/>
    <mergeCell ref="H40:H41"/>
    <mergeCell ref="H44:H45"/>
    <mergeCell ref="H48:H49"/>
    <mergeCell ref="H52:H53"/>
    <mergeCell ref="H55:H56"/>
    <mergeCell ref="H58:H59"/>
    <mergeCell ref="H61:H62"/>
    <mergeCell ref="I10:I11"/>
    <mergeCell ref="I13:I14"/>
    <mergeCell ref="I17:I18"/>
    <mergeCell ref="I21:I22"/>
    <mergeCell ref="I23:I24"/>
    <mergeCell ref="I27:I28"/>
    <mergeCell ref="I31:I32"/>
    <mergeCell ref="I33:I34"/>
    <mergeCell ref="I35:I36"/>
    <mergeCell ref="I40:I41"/>
    <mergeCell ref="I44:I45"/>
    <mergeCell ref="I48:I49"/>
    <mergeCell ref="I52:I53"/>
    <mergeCell ref="I55:I56"/>
    <mergeCell ref="I58:I59"/>
    <mergeCell ref="I61:I62"/>
    <mergeCell ref="M10:M11"/>
    <mergeCell ref="M13:M14"/>
    <mergeCell ref="M17:M18"/>
    <mergeCell ref="M21:M22"/>
    <mergeCell ref="M23:M24"/>
    <mergeCell ref="M27:M28"/>
    <mergeCell ref="M31:M32"/>
    <mergeCell ref="M33:M34"/>
    <mergeCell ref="M35:M36"/>
    <mergeCell ref="M40:M41"/>
    <mergeCell ref="M44:M45"/>
    <mergeCell ref="M48:M49"/>
    <mergeCell ref="M52:M53"/>
    <mergeCell ref="M55:M56"/>
    <mergeCell ref="M58:M59"/>
    <mergeCell ref="M61:M62"/>
    <mergeCell ref="N10:N11"/>
    <mergeCell ref="N13:N14"/>
    <mergeCell ref="N17:N18"/>
    <mergeCell ref="N21:N22"/>
    <mergeCell ref="N23:N24"/>
    <mergeCell ref="N27:N28"/>
    <mergeCell ref="N31:N32"/>
    <mergeCell ref="N33:N34"/>
    <mergeCell ref="N35:N36"/>
    <mergeCell ref="N40:N41"/>
    <mergeCell ref="N44:N45"/>
    <mergeCell ref="N48:N49"/>
    <mergeCell ref="N52:N53"/>
    <mergeCell ref="N55:N56"/>
    <mergeCell ref="N58:N59"/>
    <mergeCell ref="N61:N62"/>
    <mergeCell ref="B4:H5"/>
    <mergeCell ref="C1:H2"/>
    <mergeCell ref="A7:B64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showGridLines="0" view="pageBreakPreview" zoomScaleNormal="100" workbookViewId="0">
      <pane ySplit="6" topLeftCell="A49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5" customWidth="1"/>
    <col min="12" max="12" width="12.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555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85</v>
      </c>
      <c r="J8" s="13"/>
      <c r="K8" s="14"/>
      <c r="L8" s="14"/>
      <c r="M8" s="14"/>
      <c r="N8" s="14">
        <v>2956.4</v>
      </c>
    </row>
    <row r="9" spans="1:14">
      <c r="D9" s="15">
        <v>46083</v>
      </c>
      <c r="E9" s="16">
        <v>1581557</v>
      </c>
      <c r="F9" s="16" t="s">
        <v>16</v>
      </c>
      <c r="G9" s="16">
        <v>20324423</v>
      </c>
      <c r="H9" s="16" t="s">
        <v>156</v>
      </c>
      <c r="I9" s="16">
        <v>2</v>
      </c>
      <c r="J9" s="32" t="s">
        <v>18</v>
      </c>
      <c r="K9" s="18">
        <f>M9/L9</f>
        <v>18</v>
      </c>
      <c r="L9" s="19">
        <v>4.4</v>
      </c>
      <c r="M9" s="20">
        <v>79.2</v>
      </c>
      <c r="N9" s="20">
        <v>158.4</v>
      </c>
    </row>
    <row r="10" spans="1:14">
      <c r="D10" s="21">
        <v>46083</v>
      </c>
      <c r="E10" s="22">
        <v>1581557</v>
      </c>
      <c r="F10" s="22" t="s">
        <v>16</v>
      </c>
      <c r="G10" s="22">
        <v>20324420</v>
      </c>
      <c r="H10" s="27" t="s">
        <v>556</v>
      </c>
      <c r="I10" s="22">
        <v>1</v>
      </c>
      <c r="J10" s="30" t="s">
        <v>18</v>
      </c>
      <c r="K10" s="24">
        <v>3</v>
      </c>
      <c r="L10" s="25">
        <v>4.4</v>
      </c>
      <c r="M10" s="25">
        <v>22</v>
      </c>
      <c r="N10" s="25">
        <f>M10*I10</f>
        <v>22</v>
      </c>
    </row>
    <row r="11" spans="1:14">
      <c r="D11" s="21"/>
      <c r="E11" s="22"/>
      <c r="F11" s="22"/>
      <c r="G11" s="22"/>
      <c r="H11" s="27"/>
      <c r="I11" s="22"/>
      <c r="J11" s="28" t="s">
        <v>557</v>
      </c>
      <c r="K11" s="24">
        <v>1</v>
      </c>
      <c r="L11" s="25">
        <v>8.8</v>
      </c>
      <c r="M11" s="25"/>
      <c r="N11" s="25"/>
    </row>
    <row r="12" spans="1:14">
      <c r="D12" s="21">
        <v>46083</v>
      </c>
      <c r="E12" s="22">
        <v>1581557</v>
      </c>
      <c r="F12" s="22" t="s">
        <v>20</v>
      </c>
      <c r="G12" s="22">
        <v>20324421</v>
      </c>
      <c r="H12" s="22" t="s">
        <v>558</v>
      </c>
      <c r="I12" s="22">
        <v>1</v>
      </c>
      <c r="J12" s="28" t="s">
        <v>18</v>
      </c>
      <c r="K12" s="24">
        <f>M12/L12</f>
        <v>3</v>
      </c>
      <c r="L12" s="25">
        <v>4.4</v>
      </c>
      <c r="M12" s="26">
        <v>13.2</v>
      </c>
      <c r="N12" s="26">
        <v>13.2</v>
      </c>
    </row>
    <row r="13" spans="1:14">
      <c r="D13" s="21">
        <v>46084</v>
      </c>
      <c r="E13" s="22">
        <v>1581869</v>
      </c>
      <c r="F13" s="22" t="s">
        <v>16</v>
      </c>
      <c r="G13" s="22">
        <v>20324420</v>
      </c>
      <c r="H13" s="27" t="s">
        <v>556</v>
      </c>
      <c r="I13" s="22">
        <v>1</v>
      </c>
      <c r="J13" s="30" t="s">
        <v>18</v>
      </c>
      <c r="K13" s="24">
        <v>3</v>
      </c>
      <c r="L13" s="25">
        <v>4.4</v>
      </c>
      <c r="M13" s="25">
        <v>22</v>
      </c>
      <c r="N13" s="25">
        <f>M13*I13</f>
        <v>22</v>
      </c>
    </row>
    <row r="14" spans="1:14">
      <c r="D14" s="21"/>
      <c r="E14" s="22"/>
      <c r="F14" s="22"/>
      <c r="G14" s="22"/>
      <c r="H14" s="27"/>
      <c r="I14" s="22"/>
      <c r="J14" s="28" t="s">
        <v>557</v>
      </c>
      <c r="K14" s="24">
        <v>1</v>
      </c>
      <c r="L14" s="25">
        <v>8.8</v>
      </c>
      <c r="M14" s="25"/>
      <c r="N14" s="25"/>
    </row>
    <row r="15" spans="1:14">
      <c r="D15" s="21">
        <v>46084</v>
      </c>
      <c r="E15" s="22">
        <v>1581869</v>
      </c>
      <c r="F15" s="22" t="s">
        <v>20</v>
      </c>
      <c r="G15" s="22">
        <v>20324421</v>
      </c>
      <c r="H15" s="22" t="s">
        <v>558</v>
      </c>
      <c r="I15" s="22">
        <v>1</v>
      </c>
      <c r="J15" s="28" t="s">
        <v>18</v>
      </c>
      <c r="K15" s="24">
        <f>M15/L15</f>
        <v>3</v>
      </c>
      <c r="L15" s="25">
        <v>4.4</v>
      </c>
      <c r="M15" s="26">
        <v>13.2</v>
      </c>
      <c r="N15" s="26">
        <v>13.2</v>
      </c>
    </row>
    <row r="16" spans="1:14">
      <c r="D16" s="21">
        <v>46085</v>
      </c>
      <c r="E16" s="22">
        <v>1582179</v>
      </c>
      <c r="F16" s="22" t="s">
        <v>16</v>
      </c>
      <c r="G16" s="22">
        <v>20324423</v>
      </c>
      <c r="H16" s="22" t="s">
        <v>156</v>
      </c>
      <c r="I16" s="22">
        <v>1</v>
      </c>
      <c r="J16" s="28" t="s">
        <v>18</v>
      </c>
      <c r="K16" s="24">
        <f>M16/L16</f>
        <v>18</v>
      </c>
      <c r="L16" s="25">
        <v>4.4</v>
      </c>
      <c r="M16" s="26">
        <v>79.2</v>
      </c>
      <c r="N16" s="26">
        <v>79.2</v>
      </c>
    </row>
    <row r="17" spans="4:14">
      <c r="D17" s="21">
        <v>46087</v>
      </c>
      <c r="E17" s="22">
        <v>1582863</v>
      </c>
      <c r="F17" s="22" t="s">
        <v>16</v>
      </c>
      <c r="G17" s="22">
        <v>20324423</v>
      </c>
      <c r="H17" s="22" t="s">
        <v>156</v>
      </c>
      <c r="I17" s="22">
        <v>2</v>
      </c>
      <c r="J17" s="28" t="s">
        <v>18</v>
      </c>
      <c r="K17" s="24">
        <f>M17/L17</f>
        <v>18</v>
      </c>
      <c r="L17" s="25">
        <v>4.4</v>
      </c>
      <c r="M17" s="26">
        <v>79.2</v>
      </c>
      <c r="N17" s="26">
        <v>158.4</v>
      </c>
    </row>
    <row r="18" spans="4:14">
      <c r="D18" s="21">
        <v>46090</v>
      </c>
      <c r="E18" s="22">
        <v>1583388</v>
      </c>
      <c r="F18" s="22" t="s">
        <v>16</v>
      </c>
      <c r="G18" s="22">
        <v>20324420</v>
      </c>
      <c r="H18" s="27" t="s">
        <v>556</v>
      </c>
      <c r="I18" s="22">
        <v>2</v>
      </c>
      <c r="J18" s="30" t="s">
        <v>18</v>
      </c>
      <c r="K18" s="24">
        <v>3</v>
      </c>
      <c r="L18" s="25">
        <v>4.4</v>
      </c>
      <c r="M18" s="25">
        <v>22</v>
      </c>
      <c r="N18" s="25">
        <f>M18*I18</f>
        <v>44</v>
      </c>
    </row>
    <row r="19" spans="4:14">
      <c r="D19" s="21"/>
      <c r="E19" s="22"/>
      <c r="F19" s="22"/>
      <c r="G19" s="22"/>
      <c r="H19" s="27"/>
      <c r="I19" s="22"/>
      <c r="J19" s="28" t="s">
        <v>557</v>
      </c>
      <c r="K19" s="24">
        <v>1</v>
      </c>
      <c r="L19" s="25">
        <v>8.8</v>
      </c>
      <c r="M19" s="25"/>
      <c r="N19" s="25"/>
    </row>
    <row r="20" spans="4:14">
      <c r="D20" s="21">
        <v>46090</v>
      </c>
      <c r="E20" s="22">
        <v>1583388</v>
      </c>
      <c r="F20" s="22" t="s">
        <v>20</v>
      </c>
      <c r="G20" s="22">
        <v>20324421</v>
      </c>
      <c r="H20" s="22" t="s">
        <v>558</v>
      </c>
      <c r="I20" s="22">
        <v>2</v>
      </c>
      <c r="J20" s="28" t="s">
        <v>18</v>
      </c>
      <c r="K20" s="24">
        <f>M20/L20</f>
        <v>3</v>
      </c>
      <c r="L20" s="25">
        <v>4.4</v>
      </c>
      <c r="M20" s="26">
        <v>13.2</v>
      </c>
      <c r="N20" s="26">
        <v>26.4</v>
      </c>
    </row>
    <row r="21" spans="4:14">
      <c r="D21" s="21">
        <v>46092</v>
      </c>
      <c r="E21" s="22">
        <v>1584760</v>
      </c>
      <c r="F21" s="22" t="s">
        <v>16</v>
      </c>
      <c r="G21" s="22">
        <v>20324420</v>
      </c>
      <c r="H21" s="27" t="s">
        <v>556</v>
      </c>
      <c r="I21" s="22">
        <v>2</v>
      </c>
      <c r="J21" s="30" t="s">
        <v>18</v>
      </c>
      <c r="K21" s="24">
        <v>3</v>
      </c>
      <c r="L21" s="25">
        <v>4.4</v>
      </c>
      <c r="M21" s="25">
        <v>22</v>
      </c>
      <c r="N21" s="25">
        <f>M21*I21</f>
        <v>44</v>
      </c>
    </row>
    <row r="22" spans="4:14">
      <c r="D22" s="21"/>
      <c r="E22" s="22"/>
      <c r="F22" s="22"/>
      <c r="G22" s="22"/>
      <c r="H22" s="27"/>
      <c r="I22" s="22"/>
      <c r="J22" s="28" t="s">
        <v>557</v>
      </c>
      <c r="K22" s="24">
        <v>1</v>
      </c>
      <c r="L22" s="25">
        <v>8.8</v>
      </c>
      <c r="M22" s="25"/>
      <c r="N22" s="25"/>
    </row>
    <row r="23" spans="4:14">
      <c r="D23" s="21">
        <v>46092</v>
      </c>
      <c r="E23" s="22">
        <v>1584760</v>
      </c>
      <c r="F23" s="22" t="s">
        <v>20</v>
      </c>
      <c r="G23" s="22">
        <v>20324421</v>
      </c>
      <c r="H23" s="22" t="s">
        <v>558</v>
      </c>
      <c r="I23" s="22">
        <v>2</v>
      </c>
      <c r="J23" s="28" t="s">
        <v>18</v>
      </c>
      <c r="K23" s="24">
        <f>M23/L23</f>
        <v>3</v>
      </c>
      <c r="L23" s="25">
        <v>4.4</v>
      </c>
      <c r="M23" s="26">
        <v>13.2</v>
      </c>
      <c r="N23" s="26">
        <v>26.4</v>
      </c>
    </row>
    <row r="24" spans="4:14">
      <c r="D24" s="21">
        <v>46092</v>
      </c>
      <c r="E24" s="22">
        <v>1585144</v>
      </c>
      <c r="F24" s="22" t="s">
        <v>16</v>
      </c>
      <c r="G24" s="22">
        <v>20324423</v>
      </c>
      <c r="H24" s="22" t="s">
        <v>156</v>
      </c>
      <c r="I24" s="22">
        <v>1</v>
      </c>
      <c r="J24" s="28" t="s">
        <v>18</v>
      </c>
      <c r="K24" s="24">
        <f>M24/L24</f>
        <v>18</v>
      </c>
      <c r="L24" s="25">
        <v>4.4</v>
      </c>
      <c r="M24" s="26">
        <v>79.2</v>
      </c>
      <c r="N24" s="26">
        <v>79.2</v>
      </c>
    </row>
    <row r="25" spans="4:14">
      <c r="D25" s="21">
        <v>46092</v>
      </c>
      <c r="E25" s="22">
        <v>1585144</v>
      </c>
      <c r="F25" s="22" t="s">
        <v>16</v>
      </c>
      <c r="G25" s="22">
        <v>20324420</v>
      </c>
      <c r="H25" s="27" t="s">
        <v>556</v>
      </c>
      <c r="I25" s="22">
        <v>1</v>
      </c>
      <c r="J25" s="30" t="s">
        <v>18</v>
      </c>
      <c r="K25" s="24">
        <v>3</v>
      </c>
      <c r="L25" s="25">
        <v>4.4</v>
      </c>
      <c r="M25" s="25">
        <v>22</v>
      </c>
      <c r="N25" s="25">
        <f>M25*I25</f>
        <v>22</v>
      </c>
    </row>
    <row r="26" spans="4:14">
      <c r="D26" s="21"/>
      <c r="E26" s="22"/>
      <c r="F26" s="22"/>
      <c r="G26" s="22"/>
      <c r="H26" s="27"/>
      <c r="I26" s="22"/>
      <c r="J26" s="28" t="s">
        <v>557</v>
      </c>
      <c r="K26" s="24">
        <v>1</v>
      </c>
      <c r="L26" s="25">
        <v>8.8</v>
      </c>
      <c r="M26" s="25"/>
      <c r="N26" s="25"/>
    </row>
    <row r="27" spans="4:14">
      <c r="D27" s="21">
        <v>46092</v>
      </c>
      <c r="E27" s="22">
        <v>1585144</v>
      </c>
      <c r="F27" s="22" t="s">
        <v>20</v>
      </c>
      <c r="G27" s="22">
        <v>20324421</v>
      </c>
      <c r="H27" s="22" t="s">
        <v>558</v>
      </c>
      <c r="I27" s="22">
        <v>1</v>
      </c>
      <c r="J27" s="28" t="s">
        <v>18</v>
      </c>
      <c r="K27" s="24">
        <f>M27/L27</f>
        <v>3</v>
      </c>
      <c r="L27" s="25">
        <v>4.4</v>
      </c>
      <c r="M27" s="26">
        <v>13.2</v>
      </c>
      <c r="N27" s="26">
        <v>13.2</v>
      </c>
    </row>
    <row r="28" spans="4:14">
      <c r="D28" s="21">
        <v>46095</v>
      </c>
      <c r="E28" s="22">
        <v>1585925</v>
      </c>
      <c r="F28" s="22" t="s">
        <v>16</v>
      </c>
      <c r="G28" s="22">
        <v>20324423</v>
      </c>
      <c r="H28" s="22" t="s">
        <v>156</v>
      </c>
      <c r="I28" s="22">
        <v>1</v>
      </c>
      <c r="J28" s="28" t="s">
        <v>18</v>
      </c>
      <c r="K28" s="24">
        <f>M28/L28</f>
        <v>18</v>
      </c>
      <c r="L28" s="25">
        <v>4.4</v>
      </c>
      <c r="M28" s="26">
        <v>79.2</v>
      </c>
      <c r="N28" s="26">
        <v>79.2</v>
      </c>
    </row>
    <row r="29" spans="4:14">
      <c r="D29" s="21">
        <v>46095</v>
      </c>
      <c r="E29" s="22">
        <v>1585925</v>
      </c>
      <c r="F29" s="22" t="s">
        <v>20</v>
      </c>
      <c r="G29" s="22">
        <v>20324363</v>
      </c>
      <c r="H29" s="22" t="s">
        <v>91</v>
      </c>
      <c r="I29" s="22">
        <v>1</v>
      </c>
      <c r="J29" s="23" t="s">
        <v>22</v>
      </c>
      <c r="K29" s="24">
        <v>1</v>
      </c>
      <c r="L29" s="25">
        <v>6.4</v>
      </c>
      <c r="M29" s="26">
        <v>6.4</v>
      </c>
      <c r="N29" s="26">
        <v>6.4</v>
      </c>
    </row>
    <row r="30" spans="4:14">
      <c r="D30" s="21">
        <v>46097</v>
      </c>
      <c r="E30" s="22">
        <v>1586445</v>
      </c>
      <c r="F30" s="22" t="s">
        <v>16</v>
      </c>
      <c r="G30" s="22">
        <v>20324423</v>
      </c>
      <c r="H30" s="22" t="s">
        <v>156</v>
      </c>
      <c r="I30" s="22">
        <v>3</v>
      </c>
      <c r="J30" s="28" t="s">
        <v>18</v>
      </c>
      <c r="K30" s="24">
        <f>M30/L30</f>
        <v>18</v>
      </c>
      <c r="L30" s="25">
        <v>4.4</v>
      </c>
      <c r="M30" s="26">
        <v>79.2</v>
      </c>
      <c r="N30" s="26">
        <v>237.6</v>
      </c>
    </row>
    <row r="31" spans="4:14">
      <c r="D31" s="21">
        <v>46098</v>
      </c>
      <c r="E31" s="22">
        <v>1586543</v>
      </c>
      <c r="F31" s="22" t="s">
        <v>20</v>
      </c>
      <c r="G31" s="22">
        <v>20326777</v>
      </c>
      <c r="H31" s="22" t="s">
        <v>160</v>
      </c>
      <c r="I31" s="22">
        <v>1</v>
      </c>
      <c r="J31" s="28" t="s">
        <v>28</v>
      </c>
      <c r="K31" s="24">
        <v>1</v>
      </c>
      <c r="L31" s="25">
        <v>17.6</v>
      </c>
      <c r="M31" s="26">
        <v>17.6</v>
      </c>
      <c r="N31" s="26">
        <v>17.6</v>
      </c>
    </row>
    <row r="32" spans="4:14">
      <c r="D32" s="21">
        <v>46098</v>
      </c>
      <c r="E32" s="22">
        <v>1586881</v>
      </c>
      <c r="F32" s="22" t="s">
        <v>16</v>
      </c>
      <c r="G32" s="22">
        <v>20324423</v>
      </c>
      <c r="H32" s="22" t="s">
        <v>156</v>
      </c>
      <c r="I32" s="22">
        <v>1</v>
      </c>
      <c r="J32" s="28" t="s">
        <v>18</v>
      </c>
      <c r="K32" s="24">
        <f>M32/L32</f>
        <v>18</v>
      </c>
      <c r="L32" s="25">
        <v>4.4</v>
      </c>
      <c r="M32" s="26">
        <v>79.2</v>
      </c>
      <c r="N32" s="26">
        <v>79.2</v>
      </c>
    </row>
    <row r="33" spans="4:14">
      <c r="D33" s="21">
        <v>46098</v>
      </c>
      <c r="E33" s="22">
        <v>1586881</v>
      </c>
      <c r="F33" s="22" t="s">
        <v>16</v>
      </c>
      <c r="G33" s="22">
        <v>20324420</v>
      </c>
      <c r="H33" s="27" t="s">
        <v>556</v>
      </c>
      <c r="I33" s="22">
        <v>4</v>
      </c>
      <c r="J33" s="30" t="s">
        <v>18</v>
      </c>
      <c r="K33" s="24">
        <v>3</v>
      </c>
      <c r="L33" s="25">
        <v>4.4</v>
      </c>
      <c r="M33" s="25">
        <v>22</v>
      </c>
      <c r="N33" s="25">
        <f>M33*I33</f>
        <v>88</v>
      </c>
    </row>
    <row r="34" spans="4:14">
      <c r="D34" s="21"/>
      <c r="E34" s="22"/>
      <c r="F34" s="22"/>
      <c r="G34" s="22"/>
      <c r="H34" s="27"/>
      <c r="I34" s="22"/>
      <c r="J34" s="28" t="s">
        <v>557</v>
      </c>
      <c r="K34" s="24">
        <v>1</v>
      </c>
      <c r="L34" s="25">
        <v>8.8</v>
      </c>
      <c r="M34" s="25"/>
      <c r="N34" s="25"/>
    </row>
    <row r="35" spans="4:14">
      <c r="D35" s="21">
        <v>46098</v>
      </c>
      <c r="E35" s="22">
        <v>1586881</v>
      </c>
      <c r="F35" s="22" t="s">
        <v>20</v>
      </c>
      <c r="G35" s="22">
        <v>20324421</v>
      </c>
      <c r="H35" s="22" t="s">
        <v>558</v>
      </c>
      <c r="I35" s="22">
        <v>4</v>
      </c>
      <c r="J35" s="28" t="s">
        <v>18</v>
      </c>
      <c r="K35" s="24">
        <f>M35/L35</f>
        <v>3</v>
      </c>
      <c r="L35" s="25">
        <v>4.4</v>
      </c>
      <c r="M35" s="26">
        <v>13.2</v>
      </c>
      <c r="N35" s="26">
        <v>52.8</v>
      </c>
    </row>
    <row r="36" spans="4:14">
      <c r="D36" s="21">
        <v>46099</v>
      </c>
      <c r="E36" s="22">
        <v>1587137</v>
      </c>
      <c r="F36" s="22" t="s">
        <v>16</v>
      </c>
      <c r="G36" s="22">
        <v>20324423</v>
      </c>
      <c r="H36" s="22" t="s">
        <v>156</v>
      </c>
      <c r="I36" s="22">
        <v>2</v>
      </c>
      <c r="J36" s="28" t="s">
        <v>18</v>
      </c>
      <c r="K36" s="24">
        <f>M36/L36</f>
        <v>18</v>
      </c>
      <c r="L36" s="25">
        <v>4.4</v>
      </c>
      <c r="M36" s="26">
        <v>79.2</v>
      </c>
      <c r="N36" s="26">
        <v>158.4</v>
      </c>
    </row>
    <row r="37" spans="4:14">
      <c r="D37" s="21">
        <v>46099</v>
      </c>
      <c r="E37" s="22">
        <v>1587137</v>
      </c>
      <c r="F37" s="22" t="s">
        <v>20</v>
      </c>
      <c r="G37" s="22">
        <v>20324363</v>
      </c>
      <c r="H37" s="22" t="s">
        <v>91</v>
      </c>
      <c r="I37" s="22">
        <v>1</v>
      </c>
      <c r="J37" s="23" t="s">
        <v>22</v>
      </c>
      <c r="K37" s="24">
        <v>1</v>
      </c>
      <c r="L37" s="25">
        <v>6.4</v>
      </c>
      <c r="M37" s="26">
        <v>6.4</v>
      </c>
      <c r="N37" s="26">
        <v>6.4</v>
      </c>
    </row>
    <row r="38" spans="4:14">
      <c r="D38" s="21">
        <v>46099</v>
      </c>
      <c r="E38" s="22">
        <v>1587137</v>
      </c>
      <c r="F38" s="22" t="s">
        <v>16</v>
      </c>
      <c r="G38" s="22">
        <v>20324420</v>
      </c>
      <c r="H38" s="27" t="s">
        <v>556</v>
      </c>
      <c r="I38" s="22">
        <v>2</v>
      </c>
      <c r="J38" s="30" t="s">
        <v>18</v>
      </c>
      <c r="K38" s="24">
        <v>3</v>
      </c>
      <c r="L38" s="25">
        <v>4.4</v>
      </c>
      <c r="M38" s="25">
        <v>22</v>
      </c>
      <c r="N38" s="25">
        <f>M38*I38</f>
        <v>44</v>
      </c>
    </row>
    <row r="39" spans="4:14">
      <c r="D39" s="21"/>
      <c r="E39" s="22"/>
      <c r="F39" s="22"/>
      <c r="G39" s="22"/>
      <c r="H39" s="27"/>
      <c r="I39" s="22"/>
      <c r="J39" s="28" t="s">
        <v>557</v>
      </c>
      <c r="K39" s="24">
        <v>1</v>
      </c>
      <c r="L39" s="25">
        <v>8.8</v>
      </c>
      <c r="M39" s="25"/>
      <c r="N39" s="25"/>
    </row>
    <row r="40" spans="4:14">
      <c r="D40" s="21">
        <v>46099</v>
      </c>
      <c r="E40" s="22">
        <v>1587137</v>
      </c>
      <c r="F40" s="22" t="s">
        <v>20</v>
      </c>
      <c r="G40" s="22">
        <v>20324421</v>
      </c>
      <c r="H40" s="22" t="s">
        <v>558</v>
      </c>
      <c r="I40" s="22">
        <v>2</v>
      </c>
      <c r="J40" s="28" t="s">
        <v>18</v>
      </c>
      <c r="K40" s="24">
        <f t="shared" ref="K40:K43" si="0">M40/L40</f>
        <v>3</v>
      </c>
      <c r="L40" s="25">
        <v>4.4</v>
      </c>
      <c r="M40" s="26">
        <v>13.2</v>
      </c>
      <c r="N40" s="26">
        <v>26.4</v>
      </c>
    </row>
    <row r="41" spans="4:14">
      <c r="D41" s="21">
        <v>46100</v>
      </c>
      <c r="E41" s="22">
        <v>1587578</v>
      </c>
      <c r="F41" s="22" t="s">
        <v>16</v>
      </c>
      <c r="G41" s="22">
        <v>20324423</v>
      </c>
      <c r="H41" s="22" t="s">
        <v>156</v>
      </c>
      <c r="I41" s="22">
        <v>1</v>
      </c>
      <c r="J41" s="28" t="s">
        <v>18</v>
      </c>
      <c r="K41" s="24">
        <f t="shared" si="0"/>
        <v>18</v>
      </c>
      <c r="L41" s="25">
        <v>4.4</v>
      </c>
      <c r="M41" s="26">
        <v>79.2</v>
      </c>
      <c r="N41" s="26">
        <v>79.2</v>
      </c>
    </row>
    <row r="42" spans="4:14">
      <c r="D42" s="21">
        <v>46101</v>
      </c>
      <c r="E42" s="22">
        <v>1587662</v>
      </c>
      <c r="F42" s="22" t="s">
        <v>20</v>
      </c>
      <c r="G42" s="22">
        <v>20326777</v>
      </c>
      <c r="H42" s="22" t="s">
        <v>160</v>
      </c>
      <c r="I42" s="22">
        <v>1</v>
      </c>
      <c r="J42" s="28" t="s">
        <v>28</v>
      </c>
      <c r="K42" s="24">
        <v>1</v>
      </c>
      <c r="L42" s="25">
        <v>17.6</v>
      </c>
      <c r="M42" s="26">
        <v>17.6</v>
      </c>
      <c r="N42" s="26">
        <v>17.6</v>
      </c>
    </row>
    <row r="43" spans="4:14">
      <c r="D43" s="21">
        <v>46101</v>
      </c>
      <c r="E43" s="22">
        <v>1587935</v>
      </c>
      <c r="F43" s="22" t="s">
        <v>16</v>
      </c>
      <c r="G43" s="22">
        <v>20324423</v>
      </c>
      <c r="H43" s="22" t="s">
        <v>156</v>
      </c>
      <c r="I43" s="22">
        <v>2</v>
      </c>
      <c r="J43" s="28" t="s">
        <v>18</v>
      </c>
      <c r="K43" s="24">
        <f t="shared" si="0"/>
        <v>18</v>
      </c>
      <c r="L43" s="25">
        <v>4.4</v>
      </c>
      <c r="M43" s="26">
        <v>79.2</v>
      </c>
      <c r="N43" s="26">
        <v>158.4</v>
      </c>
    </row>
    <row r="44" spans="4:14">
      <c r="D44" s="21">
        <v>46101</v>
      </c>
      <c r="E44" s="22">
        <v>1587935</v>
      </c>
      <c r="F44" s="22" t="s">
        <v>16</v>
      </c>
      <c r="G44" s="22">
        <v>20324420</v>
      </c>
      <c r="H44" s="27" t="s">
        <v>556</v>
      </c>
      <c r="I44" s="22">
        <v>1</v>
      </c>
      <c r="J44" s="30" t="s">
        <v>18</v>
      </c>
      <c r="K44" s="24">
        <v>3</v>
      </c>
      <c r="L44" s="25">
        <v>4.4</v>
      </c>
      <c r="M44" s="25">
        <v>22</v>
      </c>
      <c r="N44" s="25">
        <f>M44*I44</f>
        <v>22</v>
      </c>
    </row>
    <row r="45" spans="4:14">
      <c r="D45" s="21"/>
      <c r="E45" s="22"/>
      <c r="F45" s="22"/>
      <c r="G45" s="22"/>
      <c r="H45" s="27"/>
      <c r="I45" s="22"/>
      <c r="J45" s="28" t="s">
        <v>557</v>
      </c>
      <c r="K45" s="24">
        <v>1</v>
      </c>
      <c r="L45" s="25">
        <v>8.8</v>
      </c>
      <c r="M45" s="25"/>
      <c r="N45" s="25"/>
    </row>
    <row r="46" spans="4:14">
      <c r="D46" s="21">
        <v>46101</v>
      </c>
      <c r="E46" s="22">
        <v>1587935</v>
      </c>
      <c r="F46" s="22" t="s">
        <v>20</v>
      </c>
      <c r="G46" s="22">
        <v>20324421</v>
      </c>
      <c r="H46" s="22" t="s">
        <v>558</v>
      </c>
      <c r="I46" s="22">
        <v>1</v>
      </c>
      <c r="J46" s="28" t="s">
        <v>18</v>
      </c>
      <c r="K46" s="24">
        <f>M46/L46</f>
        <v>3</v>
      </c>
      <c r="L46" s="25">
        <v>4.4</v>
      </c>
      <c r="M46" s="26">
        <v>13.2</v>
      </c>
      <c r="N46" s="26">
        <v>13.2</v>
      </c>
    </row>
    <row r="47" spans="4:14">
      <c r="D47" s="21">
        <v>46102</v>
      </c>
      <c r="E47" s="22">
        <v>1588011</v>
      </c>
      <c r="F47" s="22" t="s">
        <v>20</v>
      </c>
      <c r="G47" s="22">
        <v>20326777</v>
      </c>
      <c r="H47" s="22" t="s">
        <v>160</v>
      </c>
      <c r="I47" s="22">
        <v>3</v>
      </c>
      <c r="J47" s="28" t="s">
        <v>28</v>
      </c>
      <c r="K47" s="24">
        <v>1</v>
      </c>
      <c r="L47" s="25">
        <v>17.6</v>
      </c>
      <c r="M47" s="26">
        <v>17.6</v>
      </c>
      <c r="N47" s="26">
        <v>52.8</v>
      </c>
    </row>
    <row r="48" spans="4:14">
      <c r="D48" s="21">
        <v>46104</v>
      </c>
      <c r="E48" s="22">
        <v>1588485</v>
      </c>
      <c r="F48" s="22" t="s">
        <v>16</v>
      </c>
      <c r="G48" s="22">
        <v>20324423</v>
      </c>
      <c r="H48" s="22" t="s">
        <v>156</v>
      </c>
      <c r="I48" s="22">
        <v>2</v>
      </c>
      <c r="J48" s="28" t="s">
        <v>18</v>
      </c>
      <c r="K48" s="24">
        <f>M48/L48</f>
        <v>18</v>
      </c>
      <c r="L48" s="25">
        <v>4.4</v>
      </c>
      <c r="M48" s="26">
        <v>79.2</v>
      </c>
      <c r="N48" s="26">
        <v>158.4</v>
      </c>
    </row>
    <row r="49" spans="4:14">
      <c r="D49" s="21">
        <v>46104</v>
      </c>
      <c r="E49" s="22">
        <v>1588485</v>
      </c>
      <c r="F49" s="22" t="s">
        <v>16</v>
      </c>
      <c r="G49" s="22">
        <v>20324420</v>
      </c>
      <c r="H49" s="27" t="s">
        <v>556</v>
      </c>
      <c r="I49" s="22">
        <v>2</v>
      </c>
      <c r="J49" s="30" t="s">
        <v>18</v>
      </c>
      <c r="K49" s="24">
        <v>3</v>
      </c>
      <c r="L49" s="25">
        <v>4.4</v>
      </c>
      <c r="M49" s="25">
        <v>22</v>
      </c>
      <c r="N49" s="25">
        <f>M49*I49</f>
        <v>44</v>
      </c>
    </row>
    <row r="50" spans="4:14">
      <c r="D50" s="21"/>
      <c r="E50" s="22"/>
      <c r="F50" s="22"/>
      <c r="G50" s="22"/>
      <c r="H50" s="27"/>
      <c r="I50" s="22"/>
      <c r="J50" s="28" t="s">
        <v>557</v>
      </c>
      <c r="K50" s="24">
        <v>1</v>
      </c>
      <c r="L50" s="25">
        <v>8.8</v>
      </c>
      <c r="M50" s="25"/>
      <c r="N50" s="25"/>
    </row>
    <row r="51" spans="4:14">
      <c r="D51" s="21">
        <v>46104</v>
      </c>
      <c r="E51" s="22">
        <v>1588485</v>
      </c>
      <c r="F51" s="22" t="s">
        <v>20</v>
      </c>
      <c r="G51" s="22">
        <v>20324421</v>
      </c>
      <c r="H51" s="22" t="s">
        <v>558</v>
      </c>
      <c r="I51" s="22">
        <v>2</v>
      </c>
      <c r="J51" s="28" t="s">
        <v>18</v>
      </c>
      <c r="K51" s="24">
        <f>M51/L51</f>
        <v>3</v>
      </c>
      <c r="L51" s="25">
        <v>4.4</v>
      </c>
      <c r="M51" s="26">
        <v>13.2</v>
      </c>
      <c r="N51" s="26">
        <v>26.4</v>
      </c>
    </row>
    <row r="52" customHeight="1" spans="4:14">
      <c r="D52" s="21">
        <v>46105</v>
      </c>
      <c r="E52" s="22">
        <v>1588551</v>
      </c>
      <c r="F52" s="22" t="s">
        <v>20</v>
      </c>
      <c r="G52" s="22">
        <v>20326777</v>
      </c>
      <c r="H52" s="22" t="s">
        <v>160</v>
      </c>
      <c r="I52" s="22">
        <v>2</v>
      </c>
      <c r="J52" s="28" t="s">
        <v>28</v>
      </c>
      <c r="K52" s="24">
        <v>1</v>
      </c>
      <c r="L52" s="25">
        <v>17.6</v>
      </c>
      <c r="M52" s="26">
        <v>17.6</v>
      </c>
      <c r="N52" s="26">
        <v>35.2</v>
      </c>
    </row>
    <row r="53" customHeight="1" spans="4:14">
      <c r="D53" s="21">
        <v>46106</v>
      </c>
      <c r="E53" s="22">
        <v>1588816</v>
      </c>
      <c r="F53" s="22" t="s">
        <v>16</v>
      </c>
      <c r="G53" s="22">
        <v>20324423</v>
      </c>
      <c r="H53" s="22" t="s">
        <v>156</v>
      </c>
      <c r="I53" s="22">
        <v>3</v>
      </c>
      <c r="J53" s="28" t="s">
        <v>18</v>
      </c>
      <c r="K53" s="24">
        <f>M53/L53</f>
        <v>18</v>
      </c>
      <c r="L53" s="25">
        <v>4.4</v>
      </c>
      <c r="M53" s="26">
        <v>79.2</v>
      </c>
      <c r="N53" s="26">
        <v>237.6</v>
      </c>
    </row>
    <row r="54" customHeight="1" spans="4:14">
      <c r="D54" s="21">
        <v>46106</v>
      </c>
      <c r="E54" s="22">
        <v>1588816</v>
      </c>
      <c r="F54" s="22" t="s">
        <v>16</v>
      </c>
      <c r="G54" s="22">
        <v>20324420</v>
      </c>
      <c r="H54" s="27" t="s">
        <v>556</v>
      </c>
      <c r="I54" s="22">
        <v>1</v>
      </c>
      <c r="J54" s="30" t="s">
        <v>18</v>
      </c>
      <c r="K54" s="24">
        <v>3</v>
      </c>
      <c r="L54" s="25">
        <v>4.4</v>
      </c>
      <c r="M54" s="25">
        <v>22</v>
      </c>
      <c r="N54" s="25">
        <f>M54*I54</f>
        <v>22</v>
      </c>
    </row>
    <row r="55" spans="4:14">
      <c r="D55" s="21"/>
      <c r="E55" s="22"/>
      <c r="F55" s="22"/>
      <c r="G55" s="22"/>
      <c r="H55" s="27"/>
      <c r="I55" s="22"/>
      <c r="J55" s="28" t="s">
        <v>557</v>
      </c>
      <c r="K55" s="24">
        <v>1</v>
      </c>
      <c r="L55" s="25">
        <v>8.8</v>
      </c>
      <c r="M55" s="25"/>
      <c r="N55" s="25"/>
    </row>
    <row r="56" spans="4:14">
      <c r="D56" s="21">
        <v>46106</v>
      </c>
      <c r="E56" s="22">
        <v>1588816</v>
      </c>
      <c r="F56" s="22" t="s">
        <v>20</v>
      </c>
      <c r="G56" s="22">
        <v>20324421</v>
      </c>
      <c r="H56" s="22" t="s">
        <v>558</v>
      </c>
      <c r="I56" s="22">
        <v>1</v>
      </c>
      <c r="J56" s="28" t="s">
        <v>18</v>
      </c>
      <c r="K56" s="24">
        <f>M56/L56</f>
        <v>3</v>
      </c>
      <c r="L56" s="25">
        <v>4.4</v>
      </c>
      <c r="M56" s="26">
        <v>13.2</v>
      </c>
      <c r="N56" s="26">
        <v>13.2</v>
      </c>
    </row>
    <row r="57" spans="4:14">
      <c r="D57" s="21">
        <v>46106</v>
      </c>
      <c r="E57" s="22">
        <v>1588894</v>
      </c>
      <c r="F57" s="22" t="s">
        <v>20</v>
      </c>
      <c r="G57" s="22">
        <v>20326777</v>
      </c>
      <c r="H57" s="22" t="s">
        <v>160</v>
      </c>
      <c r="I57" s="22">
        <v>2</v>
      </c>
      <c r="J57" s="28" t="s">
        <v>28</v>
      </c>
      <c r="K57" s="24">
        <v>1</v>
      </c>
      <c r="L57" s="25">
        <v>17.6</v>
      </c>
      <c r="M57" s="26">
        <v>17.6</v>
      </c>
      <c r="N57" s="26">
        <v>35.2</v>
      </c>
    </row>
    <row r="58" spans="4:14">
      <c r="D58" s="21">
        <v>46106</v>
      </c>
      <c r="E58" s="22">
        <v>1589147</v>
      </c>
      <c r="F58" s="22" t="s">
        <v>16</v>
      </c>
      <c r="G58" s="22">
        <v>20324423</v>
      </c>
      <c r="H58" s="22" t="s">
        <v>156</v>
      </c>
      <c r="I58" s="22">
        <v>2</v>
      </c>
      <c r="J58" s="28" t="s">
        <v>18</v>
      </c>
      <c r="K58" s="24">
        <f>M58/L58</f>
        <v>18</v>
      </c>
      <c r="L58" s="25">
        <v>4.4</v>
      </c>
      <c r="M58" s="26">
        <v>79.2</v>
      </c>
      <c r="N58" s="26">
        <v>158.4</v>
      </c>
    </row>
    <row r="59" spans="4:14">
      <c r="D59" s="21">
        <v>46106</v>
      </c>
      <c r="E59" s="22">
        <v>1589147</v>
      </c>
      <c r="F59" s="22" t="s">
        <v>16</v>
      </c>
      <c r="G59" s="22">
        <v>20324420</v>
      </c>
      <c r="H59" s="27" t="s">
        <v>556</v>
      </c>
      <c r="I59" s="22">
        <v>1</v>
      </c>
      <c r="J59" s="30" t="s">
        <v>18</v>
      </c>
      <c r="K59" s="24">
        <v>3</v>
      </c>
      <c r="L59" s="25">
        <v>4.4</v>
      </c>
      <c r="M59" s="25">
        <v>22</v>
      </c>
      <c r="N59" s="25">
        <f>M59*I59</f>
        <v>22</v>
      </c>
    </row>
    <row r="60" spans="4:14">
      <c r="D60" s="21"/>
      <c r="E60" s="22"/>
      <c r="F60" s="22"/>
      <c r="G60" s="22"/>
      <c r="H60" s="27"/>
      <c r="I60" s="22"/>
      <c r="J60" s="28" t="s">
        <v>557</v>
      </c>
      <c r="K60" s="24">
        <v>1</v>
      </c>
      <c r="L60" s="25">
        <v>8.8</v>
      </c>
      <c r="M60" s="25"/>
      <c r="N60" s="25"/>
    </row>
    <row r="61" spans="4:14">
      <c r="D61" s="21">
        <v>46106</v>
      </c>
      <c r="E61" s="22">
        <v>1589147</v>
      </c>
      <c r="F61" s="22" t="s">
        <v>20</v>
      </c>
      <c r="G61" s="22">
        <v>20324421</v>
      </c>
      <c r="H61" s="22" t="s">
        <v>558</v>
      </c>
      <c r="I61" s="22">
        <v>1</v>
      </c>
      <c r="J61" s="28" t="s">
        <v>18</v>
      </c>
      <c r="K61" s="24">
        <f>M61/L61</f>
        <v>3</v>
      </c>
      <c r="L61" s="25">
        <v>4.4</v>
      </c>
      <c r="M61" s="26">
        <v>13.2</v>
      </c>
      <c r="N61" s="26">
        <v>13.2</v>
      </c>
    </row>
    <row r="62" spans="4:14">
      <c r="D62" s="21">
        <v>46107</v>
      </c>
      <c r="E62" s="22">
        <v>1589239</v>
      </c>
      <c r="F62" s="22" t="s">
        <v>20</v>
      </c>
      <c r="G62" s="22">
        <v>20326777</v>
      </c>
      <c r="H62" s="22" t="s">
        <v>160</v>
      </c>
      <c r="I62" s="22">
        <v>1</v>
      </c>
      <c r="J62" s="28" t="s">
        <v>28</v>
      </c>
      <c r="K62" s="24">
        <v>1</v>
      </c>
      <c r="L62" s="25">
        <v>17.6</v>
      </c>
      <c r="M62" s="26">
        <v>17.6</v>
      </c>
      <c r="N62" s="26">
        <v>17.6</v>
      </c>
    </row>
    <row r="63" spans="4:14">
      <c r="D63" s="21">
        <v>46111</v>
      </c>
      <c r="E63" s="22">
        <v>1590450</v>
      </c>
      <c r="F63" s="22" t="s">
        <v>16</v>
      </c>
      <c r="G63" s="22">
        <v>20324423</v>
      </c>
      <c r="H63" s="22" t="s">
        <v>156</v>
      </c>
      <c r="I63" s="22">
        <v>1</v>
      </c>
      <c r="J63" s="28" t="s">
        <v>18</v>
      </c>
      <c r="K63" s="24">
        <f>M63/L63</f>
        <v>18</v>
      </c>
      <c r="L63" s="25">
        <v>4.4</v>
      </c>
      <c r="M63" s="26">
        <v>79.2</v>
      </c>
      <c r="N63" s="26">
        <v>79.2</v>
      </c>
    </row>
    <row r="64" spans="4:14">
      <c r="D64" s="21">
        <v>46111</v>
      </c>
      <c r="E64" s="22">
        <v>1590450</v>
      </c>
      <c r="F64" s="22" t="s">
        <v>16</v>
      </c>
      <c r="G64" s="22">
        <v>20324420</v>
      </c>
      <c r="H64" s="27" t="s">
        <v>556</v>
      </c>
      <c r="I64" s="22">
        <v>5</v>
      </c>
      <c r="J64" s="30" t="s">
        <v>18</v>
      </c>
      <c r="K64" s="24">
        <v>3</v>
      </c>
      <c r="L64" s="25">
        <v>4.4</v>
      </c>
      <c r="M64" s="25">
        <v>22</v>
      </c>
      <c r="N64" s="25">
        <f>M64*I64</f>
        <v>110</v>
      </c>
    </row>
    <row r="65" spans="4:14">
      <c r="D65" s="21"/>
      <c r="E65" s="22"/>
      <c r="F65" s="22"/>
      <c r="G65" s="22"/>
      <c r="H65" s="27"/>
      <c r="I65" s="22"/>
      <c r="J65" s="28" t="s">
        <v>557</v>
      </c>
      <c r="K65" s="24">
        <v>1</v>
      </c>
      <c r="L65" s="25">
        <v>8.8</v>
      </c>
      <c r="M65" s="25"/>
      <c r="N65" s="25"/>
    </row>
    <row r="66" spans="4:14">
      <c r="D66" s="21">
        <v>46111</v>
      </c>
      <c r="E66" s="22">
        <v>1590450</v>
      </c>
      <c r="F66" s="22" t="s">
        <v>20</v>
      </c>
      <c r="G66" s="22">
        <v>20324421</v>
      </c>
      <c r="H66" s="22" t="s">
        <v>558</v>
      </c>
      <c r="I66" s="22">
        <v>4</v>
      </c>
      <c r="J66" s="28" t="s">
        <v>18</v>
      </c>
      <c r="K66" s="24">
        <f>M66/L66</f>
        <v>3</v>
      </c>
      <c r="L66" s="25">
        <v>4.4</v>
      </c>
      <c r="M66" s="26">
        <v>13.2</v>
      </c>
      <c r="N66" s="26">
        <v>52.8</v>
      </c>
    </row>
    <row r="67" spans="4:14">
      <c r="D67" s="21">
        <v>46112</v>
      </c>
      <c r="E67" s="22">
        <v>1590567</v>
      </c>
      <c r="F67" s="22" t="s">
        <v>20</v>
      </c>
      <c r="G67" s="22">
        <v>20326777</v>
      </c>
      <c r="H67" s="22" t="s">
        <v>160</v>
      </c>
      <c r="I67" s="22">
        <v>2</v>
      </c>
      <c r="J67" s="28" t="s">
        <v>28</v>
      </c>
      <c r="K67" s="24">
        <v>1</v>
      </c>
      <c r="L67" s="25">
        <v>17.6</v>
      </c>
      <c r="M67" s="26">
        <v>17.6</v>
      </c>
      <c r="N67" s="26">
        <v>35.2</v>
      </c>
    </row>
    <row r="68" spans="4:14">
      <c r="D68" s="21">
        <v>46112</v>
      </c>
      <c r="E68" s="22">
        <v>1590888</v>
      </c>
      <c r="F68" s="22" t="s">
        <v>16</v>
      </c>
      <c r="G68" s="22">
        <v>20324420</v>
      </c>
      <c r="H68" s="27" t="s">
        <v>556</v>
      </c>
      <c r="I68" s="22">
        <v>1</v>
      </c>
      <c r="J68" s="30" t="s">
        <v>18</v>
      </c>
      <c r="K68" s="24">
        <v>3</v>
      </c>
      <c r="L68" s="25">
        <v>4.4</v>
      </c>
      <c r="M68" s="25">
        <v>22</v>
      </c>
      <c r="N68" s="25">
        <f>M68*I68</f>
        <v>22</v>
      </c>
    </row>
    <row r="69" spans="4:14">
      <c r="D69" s="21"/>
      <c r="E69" s="22"/>
      <c r="F69" s="22"/>
      <c r="G69" s="22"/>
      <c r="H69" s="27"/>
      <c r="I69" s="22"/>
      <c r="J69" s="28" t="s">
        <v>557</v>
      </c>
      <c r="K69" s="24">
        <v>1</v>
      </c>
      <c r="L69" s="25">
        <v>8.8</v>
      </c>
      <c r="M69" s="25"/>
      <c r="N69" s="25"/>
    </row>
    <row r="70" spans="4:14">
      <c r="D70" s="21">
        <v>46112</v>
      </c>
      <c r="E70" s="22">
        <v>1590888</v>
      </c>
      <c r="F70" s="22" t="s">
        <v>20</v>
      </c>
      <c r="G70" s="22">
        <v>20324421</v>
      </c>
      <c r="H70" s="22" t="s">
        <v>558</v>
      </c>
      <c r="I70" s="22">
        <v>1</v>
      </c>
      <c r="J70" s="28" t="s">
        <v>18</v>
      </c>
      <c r="K70" s="24">
        <f>M70/L70</f>
        <v>3</v>
      </c>
      <c r="L70" s="25">
        <v>4.4</v>
      </c>
      <c r="M70" s="26">
        <v>13.2</v>
      </c>
      <c r="N70" s="26">
        <v>13.2</v>
      </c>
    </row>
  </sheetData>
  <autoFilter xmlns:etc="http://www.wps.cn/officeDocument/2017/etCustomData" ref="A7:N70" etc:filterBottomFollowUsedRange="0">
    <extLst/>
  </autoFilter>
  <mergeCells count="109">
    <mergeCell ref="D8:H8"/>
    <mergeCell ref="C7:C70"/>
    <mergeCell ref="D10:D11"/>
    <mergeCell ref="D13:D14"/>
    <mergeCell ref="D18:D19"/>
    <mergeCell ref="D21:D22"/>
    <mergeCell ref="D25:D26"/>
    <mergeCell ref="D33:D34"/>
    <mergeCell ref="D38:D39"/>
    <mergeCell ref="D44:D45"/>
    <mergeCell ref="D49:D50"/>
    <mergeCell ref="D54:D55"/>
    <mergeCell ref="D59:D60"/>
    <mergeCell ref="D64:D65"/>
    <mergeCell ref="D68:D69"/>
    <mergeCell ref="E10:E11"/>
    <mergeCell ref="E13:E14"/>
    <mergeCell ref="E18:E19"/>
    <mergeCell ref="E21:E22"/>
    <mergeCell ref="E25:E26"/>
    <mergeCell ref="E33:E34"/>
    <mergeCell ref="E38:E39"/>
    <mergeCell ref="E44:E45"/>
    <mergeCell ref="E49:E50"/>
    <mergeCell ref="E54:E55"/>
    <mergeCell ref="E59:E60"/>
    <mergeCell ref="E64:E65"/>
    <mergeCell ref="E68:E69"/>
    <mergeCell ref="F10:F11"/>
    <mergeCell ref="F13:F14"/>
    <mergeCell ref="F18:F19"/>
    <mergeCell ref="F21:F22"/>
    <mergeCell ref="F25:F26"/>
    <mergeCell ref="F33:F34"/>
    <mergeCell ref="F38:F39"/>
    <mergeCell ref="F44:F45"/>
    <mergeCell ref="F49:F50"/>
    <mergeCell ref="F54:F55"/>
    <mergeCell ref="F59:F60"/>
    <mergeCell ref="F64:F65"/>
    <mergeCell ref="F68:F69"/>
    <mergeCell ref="G10:G11"/>
    <mergeCell ref="G13:G14"/>
    <mergeCell ref="G18:G19"/>
    <mergeCell ref="G21:G22"/>
    <mergeCell ref="G25:G26"/>
    <mergeCell ref="G33:G34"/>
    <mergeCell ref="G38:G39"/>
    <mergeCell ref="G44:G45"/>
    <mergeCell ref="G49:G50"/>
    <mergeCell ref="G54:G55"/>
    <mergeCell ref="G59:G60"/>
    <mergeCell ref="G64:G65"/>
    <mergeCell ref="G68:G69"/>
    <mergeCell ref="H10:H11"/>
    <mergeCell ref="H13:H14"/>
    <mergeCell ref="H18:H19"/>
    <mergeCell ref="H21:H22"/>
    <mergeCell ref="H25:H26"/>
    <mergeCell ref="H33:H34"/>
    <mergeCell ref="H38:H39"/>
    <mergeCell ref="H44:H45"/>
    <mergeCell ref="H49:H50"/>
    <mergeCell ref="H54:H55"/>
    <mergeCell ref="H59:H60"/>
    <mergeCell ref="H64:H65"/>
    <mergeCell ref="H68:H69"/>
    <mergeCell ref="I10:I11"/>
    <mergeCell ref="I13:I14"/>
    <mergeCell ref="I18:I19"/>
    <mergeCell ref="I21:I22"/>
    <mergeCell ref="I25:I26"/>
    <mergeCell ref="I33:I34"/>
    <mergeCell ref="I38:I39"/>
    <mergeCell ref="I44:I45"/>
    <mergeCell ref="I49:I50"/>
    <mergeCell ref="I54:I55"/>
    <mergeCell ref="I59:I60"/>
    <mergeCell ref="I64:I65"/>
    <mergeCell ref="I68:I69"/>
    <mergeCell ref="M10:M11"/>
    <mergeCell ref="M13:M14"/>
    <mergeCell ref="M18:M19"/>
    <mergeCell ref="M21:M22"/>
    <mergeCell ref="M25:M26"/>
    <mergeCell ref="M33:M34"/>
    <mergeCell ref="M38:M39"/>
    <mergeCell ref="M44:M45"/>
    <mergeCell ref="M49:M50"/>
    <mergeCell ref="M54:M55"/>
    <mergeCell ref="M59:M60"/>
    <mergeCell ref="M64:M65"/>
    <mergeCell ref="M68:M69"/>
    <mergeCell ref="N10:N11"/>
    <mergeCell ref="N13:N14"/>
    <mergeCell ref="N18:N19"/>
    <mergeCell ref="N21:N22"/>
    <mergeCell ref="N25:N26"/>
    <mergeCell ref="N33:N34"/>
    <mergeCell ref="N38:N39"/>
    <mergeCell ref="N44:N45"/>
    <mergeCell ref="N49:N50"/>
    <mergeCell ref="N54:N55"/>
    <mergeCell ref="N59:N60"/>
    <mergeCell ref="N64:N65"/>
    <mergeCell ref="N68:N69"/>
    <mergeCell ref="B4:H5"/>
    <mergeCell ref="C1:H2"/>
    <mergeCell ref="A7:B70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rowBreaks count="1" manualBreakCount="1">
    <brk id="37" max="16383" man="1"/>
  </row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5" customWidth="1"/>
    <col min="12" max="12" width="12.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559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12</v>
      </c>
      <c r="J8" s="13"/>
      <c r="K8" s="14"/>
      <c r="L8" s="14"/>
      <c r="M8" s="14"/>
      <c r="N8" s="14">
        <v>124.4</v>
      </c>
    </row>
    <row r="9" spans="1:14">
      <c r="D9" s="15">
        <v>46092</v>
      </c>
      <c r="E9" s="16">
        <v>1584761</v>
      </c>
      <c r="F9" s="16" t="s">
        <v>20</v>
      </c>
      <c r="G9" s="16">
        <v>20333369</v>
      </c>
      <c r="H9" s="16" t="s">
        <v>560</v>
      </c>
      <c r="I9" s="16">
        <v>1</v>
      </c>
      <c r="J9" s="31" t="s">
        <v>25</v>
      </c>
      <c r="K9" s="18">
        <v>1</v>
      </c>
      <c r="L9" s="19">
        <v>8.8</v>
      </c>
      <c r="M9" s="19">
        <v>13.2</v>
      </c>
      <c r="N9" s="19">
        <v>13.2</v>
      </c>
    </row>
    <row r="10" spans="1:14">
      <c r="D10" s="21"/>
      <c r="E10" s="22"/>
      <c r="F10" s="22"/>
      <c r="G10" s="22"/>
      <c r="H10" s="22"/>
      <c r="I10" s="22"/>
      <c r="J10" s="27" t="s">
        <v>145</v>
      </c>
      <c r="K10" s="24">
        <v>1</v>
      </c>
      <c r="L10" s="25">
        <v>4.4</v>
      </c>
      <c r="M10" s="25"/>
      <c r="N10" s="25"/>
    </row>
    <row r="11" spans="1:14">
      <c r="D11" s="21">
        <v>46095</v>
      </c>
      <c r="E11" s="22">
        <v>1585926</v>
      </c>
      <c r="F11" s="22" t="s">
        <v>20</v>
      </c>
      <c r="G11" s="22">
        <v>20333369</v>
      </c>
      <c r="H11" s="22" t="s">
        <v>560</v>
      </c>
      <c r="I11" s="22">
        <v>1</v>
      </c>
      <c r="J11" s="27" t="s">
        <v>25</v>
      </c>
      <c r="K11" s="24">
        <v>1</v>
      </c>
      <c r="L11" s="25">
        <v>8.8</v>
      </c>
      <c r="M11" s="25">
        <v>13.2</v>
      </c>
      <c r="N11" s="25">
        <v>13.2</v>
      </c>
    </row>
    <row r="12" spans="1:14">
      <c r="D12" s="21"/>
      <c r="E12" s="22"/>
      <c r="F12" s="22"/>
      <c r="G12" s="22"/>
      <c r="H12" s="22"/>
      <c r="I12" s="22"/>
      <c r="J12" s="27" t="s">
        <v>145</v>
      </c>
      <c r="K12" s="24">
        <v>1</v>
      </c>
      <c r="L12" s="25">
        <v>4.4</v>
      </c>
      <c r="M12" s="25"/>
      <c r="N12" s="25"/>
    </row>
    <row r="13" spans="1:14">
      <c r="D13" s="21">
        <v>46095</v>
      </c>
      <c r="E13" s="22">
        <v>1585926</v>
      </c>
      <c r="F13" s="22" t="s">
        <v>20</v>
      </c>
      <c r="G13" s="22">
        <v>20338571</v>
      </c>
      <c r="H13" s="22" t="s">
        <v>561</v>
      </c>
      <c r="I13" s="22">
        <v>2</v>
      </c>
      <c r="J13" s="27" t="s">
        <v>145</v>
      </c>
      <c r="K13" s="24">
        <f>M13/L13</f>
        <v>3</v>
      </c>
      <c r="L13" s="25">
        <v>4.4</v>
      </c>
      <c r="M13" s="26">
        <v>13.2</v>
      </c>
      <c r="N13" s="26">
        <v>26.4</v>
      </c>
    </row>
    <row r="14" spans="1:14">
      <c r="D14" s="21">
        <v>46098</v>
      </c>
      <c r="E14" s="22">
        <v>1586476</v>
      </c>
      <c r="F14" s="22" t="s">
        <v>20</v>
      </c>
      <c r="G14" s="22">
        <v>20358759</v>
      </c>
      <c r="H14" s="22" t="s">
        <v>177</v>
      </c>
      <c r="I14" s="22">
        <v>1</v>
      </c>
      <c r="J14" s="23" t="s">
        <v>22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46098</v>
      </c>
      <c r="E15" s="22">
        <v>1586476</v>
      </c>
      <c r="F15" s="22" t="s">
        <v>20</v>
      </c>
      <c r="G15" s="22">
        <v>20338571</v>
      </c>
      <c r="H15" s="22" t="s">
        <v>561</v>
      </c>
      <c r="I15" s="22">
        <v>1</v>
      </c>
      <c r="J15" s="27" t="s">
        <v>145</v>
      </c>
      <c r="K15" s="24">
        <f>M15/L15</f>
        <v>3</v>
      </c>
      <c r="L15" s="25">
        <v>4.4</v>
      </c>
      <c r="M15" s="26">
        <v>13.2</v>
      </c>
      <c r="N15" s="26">
        <v>13.2</v>
      </c>
    </row>
    <row r="16" spans="1:14">
      <c r="D16" s="21">
        <v>46098</v>
      </c>
      <c r="E16" s="22">
        <v>1586882</v>
      </c>
      <c r="F16" s="22" t="s">
        <v>20</v>
      </c>
      <c r="G16" s="22">
        <v>20351731</v>
      </c>
      <c r="H16" s="22" t="s">
        <v>562</v>
      </c>
      <c r="I16" s="22">
        <v>1</v>
      </c>
      <c r="J16" s="23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46099</v>
      </c>
      <c r="E17" s="22">
        <v>1587138</v>
      </c>
      <c r="F17" s="22" t="s">
        <v>20</v>
      </c>
      <c r="G17" s="22">
        <v>20324363</v>
      </c>
      <c r="H17" s="22" t="s">
        <v>91</v>
      </c>
      <c r="I17" s="22">
        <v>1</v>
      </c>
      <c r="J17" s="23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46100</v>
      </c>
      <c r="E18" s="22">
        <v>1587579</v>
      </c>
      <c r="F18" s="22" t="s">
        <v>20</v>
      </c>
      <c r="G18" s="22">
        <v>20324363</v>
      </c>
      <c r="H18" s="22" t="s">
        <v>91</v>
      </c>
      <c r="I18" s="22">
        <v>1</v>
      </c>
      <c r="J18" s="23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46104</v>
      </c>
      <c r="E19" s="22">
        <v>1588486</v>
      </c>
      <c r="F19" s="22" t="s">
        <v>20</v>
      </c>
      <c r="G19" s="22">
        <v>20358759</v>
      </c>
      <c r="H19" s="22" t="s">
        <v>177</v>
      </c>
      <c r="I19" s="22">
        <v>1</v>
      </c>
      <c r="J19" s="23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46104</v>
      </c>
      <c r="E20" s="22">
        <v>1588486</v>
      </c>
      <c r="F20" s="22" t="s">
        <v>20</v>
      </c>
      <c r="G20" s="22">
        <v>20333369</v>
      </c>
      <c r="H20" s="22" t="s">
        <v>560</v>
      </c>
      <c r="I20" s="22">
        <v>1</v>
      </c>
      <c r="J20" s="27" t="s">
        <v>25</v>
      </c>
      <c r="K20" s="24">
        <v>1</v>
      </c>
      <c r="L20" s="25">
        <v>8.8</v>
      </c>
      <c r="M20" s="25">
        <v>13.2</v>
      </c>
      <c r="N20" s="25">
        <v>13.2</v>
      </c>
    </row>
    <row r="21" spans="4:14">
      <c r="D21" s="21"/>
      <c r="E21" s="22"/>
      <c r="F21" s="22"/>
      <c r="G21" s="22"/>
      <c r="H21" s="22"/>
      <c r="I21" s="22"/>
      <c r="J21" s="27" t="s">
        <v>145</v>
      </c>
      <c r="K21" s="24">
        <v>1</v>
      </c>
      <c r="L21" s="25">
        <v>4.4</v>
      </c>
      <c r="M21" s="25"/>
      <c r="N21" s="25"/>
    </row>
    <row r="22" spans="4:14">
      <c r="D22" s="21">
        <v>46106</v>
      </c>
      <c r="E22" s="22">
        <v>1589148</v>
      </c>
      <c r="F22" s="22" t="s">
        <v>20</v>
      </c>
      <c r="G22" s="22">
        <v>20333369</v>
      </c>
      <c r="H22" s="22" t="s">
        <v>560</v>
      </c>
      <c r="I22" s="22">
        <v>1</v>
      </c>
      <c r="J22" s="27" t="s">
        <v>25</v>
      </c>
      <c r="K22" s="24">
        <v>1</v>
      </c>
      <c r="L22" s="25">
        <v>8.8</v>
      </c>
      <c r="M22" s="25">
        <v>13.2</v>
      </c>
      <c r="N22" s="25">
        <v>13.2</v>
      </c>
    </row>
    <row r="23" spans="4:14">
      <c r="D23" s="21"/>
      <c r="E23" s="22"/>
      <c r="F23" s="22"/>
      <c r="G23" s="22"/>
      <c r="H23" s="22"/>
      <c r="I23" s="22"/>
      <c r="J23" s="27" t="s">
        <v>145</v>
      </c>
      <c r="K23" s="24">
        <v>1</v>
      </c>
      <c r="L23" s="25">
        <v>4.4</v>
      </c>
      <c r="M23" s="25"/>
      <c r="N23" s="25"/>
    </row>
  </sheetData>
  <autoFilter xmlns:etc="http://www.wps.cn/officeDocument/2017/etCustomData" ref="A7:N23" etc:filterBottomFollowUsedRange="0">
    <extLst/>
  </autoFilter>
  <mergeCells count="37">
    <mergeCell ref="D8:H8"/>
    <mergeCell ref="C7:C22"/>
    <mergeCell ref="D9:D10"/>
    <mergeCell ref="D11:D12"/>
    <mergeCell ref="D20:D21"/>
    <mergeCell ref="D22:D23"/>
    <mergeCell ref="E9:E10"/>
    <mergeCell ref="E11:E12"/>
    <mergeCell ref="E20:E21"/>
    <mergeCell ref="E22:E23"/>
    <mergeCell ref="F9:F10"/>
    <mergeCell ref="F11:F12"/>
    <mergeCell ref="F20:F21"/>
    <mergeCell ref="F22:F23"/>
    <mergeCell ref="G9:G10"/>
    <mergeCell ref="G11:G12"/>
    <mergeCell ref="G20:G21"/>
    <mergeCell ref="G22:G23"/>
    <mergeCell ref="H9:H10"/>
    <mergeCell ref="H11:H12"/>
    <mergeCell ref="H20:H21"/>
    <mergeCell ref="H22:H23"/>
    <mergeCell ref="I9:I10"/>
    <mergeCell ref="I11:I12"/>
    <mergeCell ref="I20:I21"/>
    <mergeCell ref="I22:I23"/>
    <mergeCell ref="M9:M10"/>
    <mergeCell ref="M11:M12"/>
    <mergeCell ref="M20:M21"/>
    <mergeCell ref="M22:M23"/>
    <mergeCell ref="N9:N10"/>
    <mergeCell ref="N11:N12"/>
    <mergeCell ref="N20:N21"/>
    <mergeCell ref="N22:N23"/>
    <mergeCell ref="B4:H5"/>
    <mergeCell ref="C1:H2"/>
    <mergeCell ref="A7:B2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2.125" customWidth="1"/>
    <col min="11" max="11" width="18.5" customWidth="1"/>
    <col min="12" max="12" width="12.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563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99</v>
      </c>
      <c r="J8" s="13"/>
      <c r="K8" s="14"/>
      <c r="L8" s="14"/>
      <c r="M8" s="14"/>
      <c r="N8" s="14">
        <v>385.2</v>
      </c>
    </row>
    <row r="9" spans="1:14">
      <c r="D9" s="15">
        <v>46090</v>
      </c>
      <c r="E9" s="16">
        <v>1583184</v>
      </c>
      <c r="F9" s="16" t="s">
        <v>20</v>
      </c>
      <c r="G9" s="16">
        <v>20324413</v>
      </c>
      <c r="H9" s="16" t="s">
        <v>43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46090</v>
      </c>
      <c r="E10" s="22">
        <v>1583184</v>
      </c>
      <c r="F10" s="22" t="s">
        <v>20</v>
      </c>
      <c r="G10" s="22">
        <v>20324364</v>
      </c>
      <c r="H10" s="22" t="s">
        <v>23</v>
      </c>
      <c r="I10" s="22">
        <v>3</v>
      </c>
      <c r="J10" s="23" t="s">
        <v>22</v>
      </c>
      <c r="K10" s="24">
        <v>1</v>
      </c>
      <c r="L10" s="25">
        <v>6.4</v>
      </c>
      <c r="M10" s="26">
        <v>6.4</v>
      </c>
      <c r="N10" s="26">
        <v>19.2</v>
      </c>
    </row>
    <row r="11" spans="1:14">
      <c r="D11" s="21">
        <v>46090</v>
      </c>
      <c r="E11" s="22">
        <v>1583184</v>
      </c>
      <c r="F11" s="22" t="s">
        <v>20</v>
      </c>
      <c r="G11" s="22">
        <v>20324418</v>
      </c>
      <c r="H11" s="22" t="s">
        <v>564</v>
      </c>
      <c r="I11" s="22">
        <v>3</v>
      </c>
      <c r="J11" s="23" t="s">
        <v>22</v>
      </c>
      <c r="K11" s="24">
        <v>1</v>
      </c>
      <c r="L11" s="25">
        <v>6.4</v>
      </c>
      <c r="M11" s="26">
        <v>6.4</v>
      </c>
      <c r="N11" s="26">
        <v>19.2</v>
      </c>
    </row>
    <row r="12" spans="1:14">
      <c r="D12" s="21">
        <v>46090</v>
      </c>
      <c r="E12" s="22">
        <v>1583184</v>
      </c>
      <c r="F12" s="22" t="s">
        <v>20</v>
      </c>
      <c r="G12" s="22">
        <v>20324533</v>
      </c>
      <c r="H12" s="22" t="s">
        <v>84</v>
      </c>
      <c r="I12" s="22">
        <v>2</v>
      </c>
      <c r="J12" s="23" t="s">
        <v>22</v>
      </c>
      <c r="K12" s="24">
        <v>1</v>
      </c>
      <c r="L12" s="25">
        <v>6.4</v>
      </c>
      <c r="M12" s="26">
        <v>6.4</v>
      </c>
      <c r="N12" s="26">
        <v>12.8</v>
      </c>
    </row>
    <row r="13" spans="1:14">
      <c r="D13" s="21">
        <v>46090</v>
      </c>
      <c r="E13" s="22">
        <v>1583184</v>
      </c>
      <c r="F13" s="22" t="s">
        <v>20</v>
      </c>
      <c r="G13" s="22">
        <v>20324363</v>
      </c>
      <c r="H13" s="22" t="s">
        <v>91</v>
      </c>
      <c r="I13" s="22">
        <v>5</v>
      </c>
      <c r="J13" s="23" t="s">
        <v>22</v>
      </c>
      <c r="K13" s="24">
        <v>1</v>
      </c>
      <c r="L13" s="25">
        <v>6.4</v>
      </c>
      <c r="M13" s="26">
        <v>6.4</v>
      </c>
      <c r="N13" s="26">
        <v>32</v>
      </c>
    </row>
    <row r="14" spans="1:14">
      <c r="D14" s="21">
        <v>46092</v>
      </c>
      <c r="E14" s="22">
        <v>1585145</v>
      </c>
      <c r="F14" s="22" t="s">
        <v>20</v>
      </c>
      <c r="G14" s="22">
        <v>20324364</v>
      </c>
      <c r="H14" s="22" t="s">
        <v>23</v>
      </c>
      <c r="I14" s="22">
        <v>3</v>
      </c>
      <c r="J14" s="23" t="s">
        <v>22</v>
      </c>
      <c r="K14" s="24">
        <v>1</v>
      </c>
      <c r="L14" s="25">
        <v>6.4</v>
      </c>
      <c r="M14" s="26">
        <v>6.4</v>
      </c>
      <c r="N14" s="26">
        <v>19.2</v>
      </c>
    </row>
    <row r="15" spans="1:14">
      <c r="D15" s="21">
        <v>46092</v>
      </c>
      <c r="E15" s="22">
        <v>1585145</v>
      </c>
      <c r="F15" s="22" t="s">
        <v>20</v>
      </c>
      <c r="G15" s="22">
        <v>20324405</v>
      </c>
      <c r="H15" s="22" t="s">
        <v>26</v>
      </c>
      <c r="I15" s="22">
        <v>1</v>
      </c>
      <c r="J15" s="27" t="s">
        <v>25</v>
      </c>
      <c r="K15" s="24">
        <v>1</v>
      </c>
      <c r="L15" s="25">
        <v>8.8</v>
      </c>
      <c r="M15" s="26">
        <v>8.8</v>
      </c>
      <c r="N15" s="26">
        <v>8.8</v>
      </c>
    </row>
    <row r="16" spans="1:14">
      <c r="D16" s="21">
        <v>46092</v>
      </c>
      <c r="E16" s="22">
        <v>1585145</v>
      </c>
      <c r="F16" s="22" t="s">
        <v>20</v>
      </c>
      <c r="G16" s="22">
        <v>20324485</v>
      </c>
      <c r="H16" s="22" t="s">
        <v>41</v>
      </c>
      <c r="I16" s="22">
        <v>1</v>
      </c>
      <c r="J16" s="23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46095</v>
      </c>
      <c r="E17" s="22">
        <v>1585927</v>
      </c>
      <c r="F17" s="22" t="s">
        <v>20</v>
      </c>
      <c r="G17" s="22">
        <v>20324364</v>
      </c>
      <c r="H17" s="22" t="s">
        <v>23</v>
      </c>
      <c r="I17" s="22">
        <v>3</v>
      </c>
      <c r="J17" s="23" t="s">
        <v>22</v>
      </c>
      <c r="K17" s="24">
        <v>1</v>
      </c>
      <c r="L17" s="25">
        <v>6.4</v>
      </c>
      <c r="M17" s="26">
        <v>6.4</v>
      </c>
      <c r="N17" s="26">
        <v>19.2</v>
      </c>
    </row>
    <row r="18" spans="4:14">
      <c r="D18" s="21">
        <v>46095</v>
      </c>
      <c r="E18" s="22">
        <v>1585937</v>
      </c>
      <c r="F18" s="22" t="s">
        <v>55</v>
      </c>
      <c r="G18" s="22">
        <v>20417059</v>
      </c>
      <c r="H18" s="22" t="s">
        <v>565</v>
      </c>
      <c r="I18" s="22">
        <v>51</v>
      </c>
      <c r="J18" s="28" t="s">
        <v>78</v>
      </c>
      <c r="K18" s="24">
        <v>1</v>
      </c>
      <c r="L18" s="25">
        <v>2</v>
      </c>
      <c r="M18" s="26">
        <v>2</v>
      </c>
      <c r="N18" s="26">
        <v>102</v>
      </c>
    </row>
    <row r="19" spans="4:14">
      <c r="D19" s="21">
        <v>46095</v>
      </c>
      <c r="E19" s="22">
        <v>1585937</v>
      </c>
      <c r="F19" s="22" t="s">
        <v>55</v>
      </c>
      <c r="G19" s="22">
        <v>20417060</v>
      </c>
      <c r="H19" s="22" t="s">
        <v>566</v>
      </c>
      <c r="I19" s="22">
        <v>6</v>
      </c>
      <c r="J19" s="28" t="s">
        <v>78</v>
      </c>
      <c r="K19" s="24">
        <v>1</v>
      </c>
      <c r="L19" s="25">
        <v>2</v>
      </c>
      <c r="M19" s="26">
        <v>2</v>
      </c>
      <c r="N19" s="26">
        <v>12</v>
      </c>
    </row>
    <row r="20" spans="4:14">
      <c r="D20" s="21">
        <v>46096</v>
      </c>
      <c r="E20" s="22">
        <v>1586135</v>
      </c>
      <c r="F20" s="22" t="s">
        <v>20</v>
      </c>
      <c r="G20" s="22">
        <v>20324557</v>
      </c>
      <c r="H20" s="22" t="s">
        <v>137</v>
      </c>
      <c r="I20" s="22">
        <v>1</v>
      </c>
      <c r="J20" s="23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46104</v>
      </c>
      <c r="E21" s="22">
        <v>1588487</v>
      </c>
      <c r="F21" s="22" t="s">
        <v>20</v>
      </c>
      <c r="G21" s="22">
        <v>20324413</v>
      </c>
      <c r="H21" s="22" t="s">
        <v>43</v>
      </c>
      <c r="I21" s="22">
        <v>2</v>
      </c>
      <c r="J21" s="23" t="s">
        <v>22</v>
      </c>
      <c r="K21" s="24">
        <v>1</v>
      </c>
      <c r="L21" s="25">
        <v>6.4</v>
      </c>
      <c r="M21" s="26">
        <v>6.4</v>
      </c>
      <c r="N21" s="26">
        <v>12.8</v>
      </c>
    </row>
    <row r="22" spans="4:14">
      <c r="D22" s="21">
        <v>46104</v>
      </c>
      <c r="E22" s="22">
        <v>1588487</v>
      </c>
      <c r="F22" s="22" t="s">
        <v>20</v>
      </c>
      <c r="G22" s="22">
        <v>20324364</v>
      </c>
      <c r="H22" s="22" t="s">
        <v>23</v>
      </c>
      <c r="I22" s="22">
        <v>5</v>
      </c>
      <c r="J22" s="23" t="s">
        <v>22</v>
      </c>
      <c r="K22" s="24">
        <v>1</v>
      </c>
      <c r="L22" s="25">
        <v>6.4</v>
      </c>
      <c r="M22" s="26">
        <v>6.4</v>
      </c>
      <c r="N22" s="26">
        <v>32</v>
      </c>
    </row>
    <row r="23" spans="4:14">
      <c r="D23" s="21">
        <v>46104</v>
      </c>
      <c r="E23" s="22">
        <v>1588487</v>
      </c>
      <c r="F23" s="22" t="s">
        <v>20</v>
      </c>
      <c r="G23" s="22">
        <v>20324418</v>
      </c>
      <c r="H23" s="22" t="s">
        <v>564</v>
      </c>
      <c r="I23" s="22">
        <v>1</v>
      </c>
      <c r="J23" s="23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46104</v>
      </c>
      <c r="E24" s="22">
        <v>1588487</v>
      </c>
      <c r="F24" s="22" t="s">
        <v>20</v>
      </c>
      <c r="G24" s="22">
        <v>20324363</v>
      </c>
      <c r="H24" s="22" t="s">
        <v>91</v>
      </c>
      <c r="I24" s="22">
        <v>5</v>
      </c>
      <c r="J24" s="23" t="s">
        <v>22</v>
      </c>
      <c r="K24" s="24">
        <v>1</v>
      </c>
      <c r="L24" s="25">
        <v>6.4</v>
      </c>
      <c r="M24" s="26">
        <v>6.4</v>
      </c>
      <c r="N24" s="26">
        <v>32</v>
      </c>
    </row>
    <row r="25" spans="4:14">
      <c r="D25" s="21">
        <v>46111</v>
      </c>
      <c r="E25" s="22">
        <v>1590451</v>
      </c>
      <c r="F25" s="22" t="s">
        <v>20</v>
      </c>
      <c r="G25" s="22">
        <v>20324364</v>
      </c>
      <c r="H25" s="22" t="s">
        <v>23</v>
      </c>
      <c r="I25" s="22">
        <v>3</v>
      </c>
      <c r="J25" s="23" t="s">
        <v>22</v>
      </c>
      <c r="K25" s="24">
        <v>1</v>
      </c>
      <c r="L25" s="25">
        <v>6.4</v>
      </c>
      <c r="M25" s="26">
        <v>6.4</v>
      </c>
      <c r="N25" s="26">
        <v>19.2</v>
      </c>
    </row>
    <row r="26" spans="4:14">
      <c r="D26" s="21">
        <v>46111</v>
      </c>
      <c r="E26" s="22">
        <v>1590451</v>
      </c>
      <c r="F26" s="22" t="s">
        <v>20</v>
      </c>
      <c r="G26" s="22">
        <v>20324363</v>
      </c>
      <c r="H26" s="22" t="s">
        <v>91</v>
      </c>
      <c r="I26" s="22">
        <v>2</v>
      </c>
      <c r="J26" s="23" t="s">
        <v>22</v>
      </c>
      <c r="K26" s="24">
        <v>1</v>
      </c>
      <c r="L26" s="25">
        <v>6.4</v>
      </c>
      <c r="M26" s="26">
        <v>6.4</v>
      </c>
      <c r="N26" s="26">
        <v>12.8</v>
      </c>
    </row>
    <row r="27" ht="0.05" customHeight="1"/>
  </sheetData>
  <autoFilter xmlns:etc="http://www.wps.cn/officeDocument/2017/etCustomData" ref="A7:N26" etc:filterBottomFollowUsedRange="0"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K34" sqref="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5" customWidth="1"/>
    <col min="12" max="12" width="12.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567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</v>
      </c>
      <c r="J8" s="13"/>
      <c r="K8" s="14"/>
      <c r="L8" s="14"/>
      <c r="M8" s="14"/>
      <c r="N8" s="14">
        <v>15.2</v>
      </c>
    </row>
    <row r="9" spans="1:14">
      <c r="D9" s="15">
        <v>46107</v>
      </c>
      <c r="E9" s="16">
        <v>1589537</v>
      </c>
      <c r="F9" s="16" t="s">
        <v>20</v>
      </c>
      <c r="G9" s="16">
        <v>20324557</v>
      </c>
      <c r="H9" s="16" t="s">
        <v>137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46107</v>
      </c>
      <c r="E10" s="22">
        <v>1589537</v>
      </c>
      <c r="F10" s="22" t="s">
        <v>20</v>
      </c>
      <c r="G10" s="22">
        <v>20324559</v>
      </c>
      <c r="H10" s="22" t="s">
        <v>138</v>
      </c>
      <c r="I10" s="22">
        <v>1</v>
      </c>
      <c r="J10" s="27" t="s">
        <v>25</v>
      </c>
      <c r="K10" s="24">
        <v>1</v>
      </c>
      <c r="L10" s="25">
        <v>8.8</v>
      </c>
      <c r="M10" s="26">
        <v>8.8</v>
      </c>
      <c r="N10" s="26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8.5" customWidth="1"/>
    <col min="12" max="12" width="12.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568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</v>
      </c>
      <c r="J8" s="13"/>
      <c r="K8" s="14"/>
      <c r="L8" s="14"/>
      <c r="M8" s="14"/>
      <c r="N8" s="14">
        <v>15.2</v>
      </c>
    </row>
    <row r="9" spans="1:14">
      <c r="D9" s="15">
        <v>46086</v>
      </c>
      <c r="E9" s="16">
        <v>1582551</v>
      </c>
      <c r="F9" s="16" t="s">
        <v>20</v>
      </c>
      <c r="G9" s="16">
        <v>20324557</v>
      </c>
      <c r="H9" s="16" t="s">
        <v>137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46086</v>
      </c>
      <c r="E10" s="22">
        <v>1582551</v>
      </c>
      <c r="F10" s="22" t="s">
        <v>20</v>
      </c>
      <c r="G10" s="22">
        <v>20324559</v>
      </c>
      <c r="H10" s="22" t="s">
        <v>138</v>
      </c>
      <c r="I10" s="22">
        <v>1</v>
      </c>
      <c r="J10" s="27" t="s">
        <v>25</v>
      </c>
      <c r="K10" s="24">
        <v>1</v>
      </c>
      <c r="L10" s="25">
        <v>8.8</v>
      </c>
      <c r="M10" s="26">
        <v>8.8</v>
      </c>
      <c r="N10" s="26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topLeftCell="B1" workbookViewId="0">
      <pane ySplit="6" topLeftCell="A7" activePane="bottomLeft" state="frozen"/>
      <selection/>
      <selection pane="bottomLeft" activeCell="L39" sqref="L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5" customWidth="1"/>
    <col min="12" max="12" width="12.625" customWidth="1"/>
    <col min="13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47" t="s">
        <v>4</v>
      </c>
      <c r="E7" s="47" t="s">
        <v>5</v>
      </c>
      <c r="F7" s="47" t="s">
        <v>6</v>
      </c>
      <c r="G7" s="47" t="s">
        <v>7</v>
      </c>
      <c r="H7" s="47" t="s">
        <v>8</v>
      </c>
      <c r="I7" s="47" t="s">
        <v>9</v>
      </c>
      <c r="J7" s="27" t="s">
        <v>10</v>
      </c>
      <c r="K7" s="35" t="s">
        <v>11</v>
      </c>
      <c r="L7" s="36" t="s">
        <v>12</v>
      </c>
      <c r="M7" s="48" t="s">
        <v>13</v>
      </c>
      <c r="N7" s="48" t="s">
        <v>14</v>
      </c>
    </row>
    <row r="8" ht="14.25" spans="1:14">
      <c r="D8" s="49" t="s">
        <v>569</v>
      </c>
      <c r="E8" s="50" t="s">
        <v>2</v>
      </c>
      <c r="F8" s="50" t="s">
        <v>2</v>
      </c>
      <c r="G8" s="50" t="s">
        <v>2</v>
      </c>
      <c r="H8" s="50" t="s">
        <v>2</v>
      </c>
      <c r="I8" s="49">
        <v>1</v>
      </c>
      <c r="J8" s="51"/>
      <c r="K8" s="14"/>
      <c r="L8" s="14"/>
      <c r="M8" s="14"/>
      <c r="N8" s="14">
        <v>6.4</v>
      </c>
    </row>
    <row r="9" spans="1:14">
      <c r="D9" s="52">
        <v>46106</v>
      </c>
      <c r="E9" s="53">
        <v>1588817</v>
      </c>
      <c r="F9" s="53" t="s">
        <v>20</v>
      </c>
      <c r="G9" s="53">
        <v>20324557</v>
      </c>
      <c r="H9" s="53" t="s">
        <v>137</v>
      </c>
      <c r="I9" s="53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3.25" customWidth="1"/>
    <col min="11" max="11" width="17.5" customWidth="1"/>
    <col min="12" max="12" width="12.625" customWidth="1"/>
    <col min="13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570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21</v>
      </c>
      <c r="J8" s="13"/>
      <c r="K8" s="14"/>
      <c r="L8" s="14"/>
      <c r="M8" s="14"/>
      <c r="N8" s="14">
        <v>64</v>
      </c>
    </row>
    <row r="9" spans="1:14">
      <c r="D9" s="15">
        <v>46086</v>
      </c>
      <c r="E9" s="16">
        <v>1582552</v>
      </c>
      <c r="F9" s="16" t="s">
        <v>55</v>
      </c>
      <c r="G9" s="16">
        <v>20324519</v>
      </c>
      <c r="H9" s="16" t="s">
        <v>571</v>
      </c>
      <c r="I9" s="16">
        <v>16</v>
      </c>
      <c r="J9" s="32" t="s">
        <v>78</v>
      </c>
      <c r="K9" s="18">
        <v>1</v>
      </c>
      <c r="L9" s="19">
        <v>2</v>
      </c>
      <c r="M9" s="20">
        <v>2</v>
      </c>
      <c r="N9" s="20">
        <v>32</v>
      </c>
    </row>
    <row r="10" spans="1:14">
      <c r="D10" s="21">
        <v>46092</v>
      </c>
      <c r="E10" s="22">
        <v>1585146</v>
      </c>
      <c r="F10" s="22" t="s">
        <v>20</v>
      </c>
      <c r="G10" s="22">
        <v>20324364</v>
      </c>
      <c r="H10" s="22" t="s">
        <v>23</v>
      </c>
      <c r="I10" s="22">
        <v>1</v>
      </c>
      <c r="J10" s="23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46098</v>
      </c>
      <c r="E11" s="22">
        <v>1586883</v>
      </c>
      <c r="F11" s="22" t="s">
        <v>20</v>
      </c>
      <c r="G11" s="22">
        <v>20324364</v>
      </c>
      <c r="H11" s="22" t="s">
        <v>23</v>
      </c>
      <c r="I11" s="22">
        <v>2</v>
      </c>
      <c r="J11" s="23" t="s">
        <v>22</v>
      </c>
      <c r="K11" s="24">
        <v>1</v>
      </c>
      <c r="L11" s="25">
        <v>6.4</v>
      </c>
      <c r="M11" s="26">
        <v>6.4</v>
      </c>
      <c r="N11" s="26">
        <v>12.8</v>
      </c>
    </row>
    <row r="12" spans="1:14">
      <c r="D12" s="21">
        <v>46106</v>
      </c>
      <c r="E12" s="22">
        <v>1589149</v>
      </c>
      <c r="F12" s="22" t="s">
        <v>20</v>
      </c>
      <c r="G12" s="22">
        <v>20324364</v>
      </c>
      <c r="H12" s="22" t="s">
        <v>23</v>
      </c>
      <c r="I12" s="22">
        <v>2</v>
      </c>
      <c r="J12" s="23" t="s">
        <v>22</v>
      </c>
      <c r="K12" s="24">
        <v>1</v>
      </c>
      <c r="L12" s="25">
        <v>6.4</v>
      </c>
      <c r="M12" s="26">
        <v>6.4</v>
      </c>
      <c r="N12" s="26">
        <v>12.8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showGridLines="0" view="pageBreakPreview" zoomScaleNormal="100" workbookViewId="0">
      <pane ySplit="6" topLeftCell="A19" activePane="bottomLeft" state="frozen"/>
      <selection/>
      <selection pane="bottomLeft" activeCell="N9" sqref="N9:N4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5" customWidth="1"/>
    <col min="12" max="12" width="12.625" customWidth="1"/>
    <col min="13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572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66</v>
      </c>
      <c r="J8" s="13"/>
      <c r="K8" s="14"/>
      <c r="L8" s="14"/>
      <c r="M8" s="14"/>
      <c r="N8" s="14">
        <v>2220.4</v>
      </c>
    </row>
    <row r="9" spans="1:14">
      <c r="D9" s="15">
        <v>46086</v>
      </c>
      <c r="E9" s="16">
        <v>1582553</v>
      </c>
      <c r="F9" s="16" t="s">
        <v>20</v>
      </c>
      <c r="G9" s="16">
        <v>20352347</v>
      </c>
      <c r="H9" s="16" t="s">
        <v>573</v>
      </c>
      <c r="I9" s="16">
        <v>1</v>
      </c>
      <c r="J9" s="45" t="s">
        <v>62</v>
      </c>
      <c r="K9" s="18">
        <v>1</v>
      </c>
      <c r="L9" s="19">
        <v>12.8</v>
      </c>
      <c r="M9" s="20">
        <v>12.8</v>
      </c>
      <c r="N9" s="20">
        <v>12.8</v>
      </c>
    </row>
    <row r="10" spans="1:14">
      <c r="D10" s="21">
        <v>46086</v>
      </c>
      <c r="E10" s="22">
        <v>1582553</v>
      </c>
      <c r="F10" s="22" t="s">
        <v>20</v>
      </c>
      <c r="G10" s="22">
        <v>20324560</v>
      </c>
      <c r="H10" s="22" t="s">
        <v>574</v>
      </c>
      <c r="I10" s="22">
        <v>2</v>
      </c>
      <c r="J10" s="23" t="s">
        <v>22</v>
      </c>
      <c r="K10" s="24">
        <v>1</v>
      </c>
      <c r="L10" s="25">
        <v>6.4</v>
      </c>
      <c r="M10" s="26">
        <v>6.4</v>
      </c>
      <c r="N10" s="26">
        <v>12.8</v>
      </c>
    </row>
    <row r="11" spans="1:14">
      <c r="D11" s="21">
        <v>46086</v>
      </c>
      <c r="E11" s="22">
        <v>1582553</v>
      </c>
      <c r="F11" s="22" t="s">
        <v>16</v>
      </c>
      <c r="G11" s="22">
        <v>20324552</v>
      </c>
      <c r="H11" s="22" t="s">
        <v>575</v>
      </c>
      <c r="I11" s="22">
        <v>2</v>
      </c>
      <c r="J11" s="28" t="s">
        <v>18</v>
      </c>
      <c r="K11" s="24">
        <f>M11/L11</f>
        <v>19</v>
      </c>
      <c r="L11" s="25">
        <v>4.4</v>
      </c>
      <c r="M11" s="26">
        <v>83.6</v>
      </c>
      <c r="N11" s="26">
        <v>167.2</v>
      </c>
    </row>
    <row r="12" spans="1:14">
      <c r="D12" s="21">
        <v>46086</v>
      </c>
      <c r="E12" s="22">
        <v>1582553</v>
      </c>
      <c r="F12" s="22" t="s">
        <v>20</v>
      </c>
      <c r="G12" s="22">
        <v>20363586</v>
      </c>
      <c r="H12" s="22" t="s">
        <v>576</v>
      </c>
      <c r="I12" s="22">
        <v>4</v>
      </c>
      <c r="J12" s="28" t="s">
        <v>18</v>
      </c>
      <c r="K12" s="24">
        <f t="shared" ref="K12:K17" si="0">M12/L12</f>
        <v>3</v>
      </c>
      <c r="L12" s="25">
        <v>4.4</v>
      </c>
      <c r="M12" s="26">
        <v>13.2</v>
      </c>
      <c r="N12" s="26">
        <v>52.8</v>
      </c>
    </row>
    <row r="13" spans="1:14">
      <c r="D13" s="21">
        <v>46086</v>
      </c>
      <c r="E13" s="22">
        <v>1582553</v>
      </c>
      <c r="F13" s="22" t="s">
        <v>20</v>
      </c>
      <c r="G13" s="22">
        <v>20324369</v>
      </c>
      <c r="H13" s="22" t="s">
        <v>169</v>
      </c>
      <c r="I13" s="22">
        <v>1</v>
      </c>
      <c r="J13" s="28" t="s">
        <v>18</v>
      </c>
      <c r="K13" s="24">
        <f t="shared" si="0"/>
        <v>3</v>
      </c>
      <c r="L13" s="25">
        <v>4.4</v>
      </c>
      <c r="M13" s="26">
        <v>13.2</v>
      </c>
      <c r="N13" s="26">
        <v>13.2</v>
      </c>
    </row>
    <row r="14" spans="1:14">
      <c r="D14" s="21">
        <v>46090</v>
      </c>
      <c r="E14" s="22">
        <v>1583389</v>
      </c>
      <c r="F14" s="22" t="s">
        <v>20</v>
      </c>
      <c r="G14" s="22">
        <v>20352347</v>
      </c>
      <c r="H14" s="22" t="s">
        <v>573</v>
      </c>
      <c r="I14" s="22">
        <v>1</v>
      </c>
      <c r="J14" s="46" t="s">
        <v>62</v>
      </c>
      <c r="K14" s="24">
        <v>1</v>
      </c>
      <c r="L14" s="25">
        <v>12.8</v>
      </c>
      <c r="M14" s="26">
        <v>12.8</v>
      </c>
      <c r="N14" s="26">
        <v>12.8</v>
      </c>
    </row>
    <row r="15" spans="1:14">
      <c r="D15" s="21">
        <v>46090</v>
      </c>
      <c r="E15" s="22">
        <v>1583389</v>
      </c>
      <c r="F15" s="22" t="s">
        <v>20</v>
      </c>
      <c r="G15" s="22">
        <v>20324938</v>
      </c>
      <c r="H15" s="22" t="s">
        <v>85</v>
      </c>
      <c r="I15" s="22">
        <v>1</v>
      </c>
      <c r="J15" s="27" t="s">
        <v>25</v>
      </c>
      <c r="K15" s="24">
        <v>1</v>
      </c>
      <c r="L15" s="25">
        <v>8.8</v>
      </c>
      <c r="M15" s="26">
        <v>8.8</v>
      </c>
      <c r="N15" s="26">
        <v>8.8</v>
      </c>
    </row>
    <row r="16" spans="1:14">
      <c r="D16" s="21">
        <v>46090</v>
      </c>
      <c r="E16" s="22">
        <v>1583389</v>
      </c>
      <c r="F16" s="22" t="s">
        <v>16</v>
      </c>
      <c r="G16" s="22">
        <v>20324552</v>
      </c>
      <c r="H16" s="22" t="s">
        <v>575</v>
      </c>
      <c r="I16" s="22">
        <v>1</v>
      </c>
      <c r="J16" s="28" t="s">
        <v>18</v>
      </c>
      <c r="K16" s="24">
        <f>M16/L16</f>
        <v>19</v>
      </c>
      <c r="L16" s="25">
        <v>4.4</v>
      </c>
      <c r="M16" s="26">
        <v>83.6</v>
      </c>
      <c r="N16" s="26">
        <v>83.6</v>
      </c>
    </row>
    <row r="17" spans="4:14">
      <c r="D17" s="21">
        <v>46090</v>
      </c>
      <c r="E17" s="22">
        <v>1583389</v>
      </c>
      <c r="F17" s="22" t="s">
        <v>20</v>
      </c>
      <c r="G17" s="22">
        <v>20363586</v>
      </c>
      <c r="H17" s="22" t="s">
        <v>576</v>
      </c>
      <c r="I17" s="22">
        <v>4</v>
      </c>
      <c r="J17" s="28" t="s">
        <v>18</v>
      </c>
      <c r="K17" s="24">
        <f t="shared" si="0"/>
        <v>3</v>
      </c>
      <c r="L17" s="25">
        <v>4.4</v>
      </c>
      <c r="M17" s="26">
        <v>13.2</v>
      </c>
      <c r="N17" s="26">
        <v>52.8</v>
      </c>
    </row>
    <row r="18" spans="4:14">
      <c r="D18" s="21">
        <v>46092</v>
      </c>
      <c r="E18" s="22">
        <v>1584762</v>
      </c>
      <c r="F18" s="22" t="s">
        <v>20</v>
      </c>
      <c r="G18" s="22">
        <v>20324560</v>
      </c>
      <c r="H18" s="22" t="s">
        <v>574</v>
      </c>
      <c r="I18" s="22">
        <v>3</v>
      </c>
      <c r="J18" s="23" t="s">
        <v>22</v>
      </c>
      <c r="K18" s="24">
        <v>1</v>
      </c>
      <c r="L18" s="25">
        <v>6.4</v>
      </c>
      <c r="M18" s="26">
        <v>6.4</v>
      </c>
      <c r="N18" s="26">
        <v>19.2</v>
      </c>
    </row>
    <row r="19" spans="4:14">
      <c r="D19" s="21">
        <v>46092</v>
      </c>
      <c r="E19" s="22">
        <v>1584762</v>
      </c>
      <c r="F19" s="22" t="s">
        <v>16</v>
      </c>
      <c r="G19" s="22">
        <v>20324552</v>
      </c>
      <c r="H19" s="22" t="s">
        <v>575</v>
      </c>
      <c r="I19" s="22">
        <v>3</v>
      </c>
      <c r="J19" s="28" t="s">
        <v>18</v>
      </c>
      <c r="K19" s="24">
        <f>M19/L19</f>
        <v>19</v>
      </c>
      <c r="L19" s="25">
        <v>4.4</v>
      </c>
      <c r="M19" s="26">
        <v>83.6</v>
      </c>
      <c r="N19" s="26">
        <v>250.8</v>
      </c>
    </row>
    <row r="20" spans="4:14">
      <c r="D20" s="21">
        <v>46097</v>
      </c>
      <c r="E20" s="22">
        <v>1586446</v>
      </c>
      <c r="F20" s="22" t="s">
        <v>20</v>
      </c>
      <c r="G20" s="22">
        <v>20324401</v>
      </c>
      <c r="H20" s="22" t="s">
        <v>61</v>
      </c>
      <c r="I20" s="22">
        <v>4</v>
      </c>
      <c r="J20" s="46" t="s">
        <v>62</v>
      </c>
      <c r="K20" s="24">
        <v>1</v>
      </c>
      <c r="L20" s="25">
        <v>12.8</v>
      </c>
      <c r="M20" s="26">
        <v>12.8</v>
      </c>
      <c r="N20" s="26">
        <v>51.2</v>
      </c>
    </row>
    <row r="21" spans="4:14">
      <c r="D21" s="21">
        <v>46097</v>
      </c>
      <c r="E21" s="22">
        <v>1586446</v>
      </c>
      <c r="F21" s="22" t="s">
        <v>20</v>
      </c>
      <c r="G21" s="22">
        <v>20377992</v>
      </c>
      <c r="H21" s="22" t="s">
        <v>577</v>
      </c>
      <c r="I21" s="22">
        <v>1</v>
      </c>
      <c r="J21" s="23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46097</v>
      </c>
      <c r="E22" s="22">
        <v>1586446</v>
      </c>
      <c r="F22" s="22" t="s">
        <v>16</v>
      </c>
      <c r="G22" s="22">
        <v>20324552</v>
      </c>
      <c r="H22" s="22" t="s">
        <v>575</v>
      </c>
      <c r="I22" s="22">
        <v>2</v>
      </c>
      <c r="J22" s="28" t="s">
        <v>18</v>
      </c>
      <c r="K22" s="24">
        <f t="shared" ref="K22:K25" si="1">M22/L22</f>
        <v>19</v>
      </c>
      <c r="L22" s="25">
        <v>4.4</v>
      </c>
      <c r="M22" s="26">
        <v>83.6</v>
      </c>
      <c r="N22" s="26">
        <v>167.2</v>
      </c>
    </row>
    <row r="23" spans="4:14">
      <c r="D23" s="21">
        <v>46097</v>
      </c>
      <c r="E23" s="22">
        <v>1586446</v>
      </c>
      <c r="F23" s="22" t="s">
        <v>20</v>
      </c>
      <c r="G23" s="22">
        <v>20409662</v>
      </c>
      <c r="H23" s="22" t="s">
        <v>578</v>
      </c>
      <c r="I23" s="22">
        <v>1</v>
      </c>
      <c r="J23" s="28" t="s">
        <v>18</v>
      </c>
      <c r="K23" s="24">
        <f t="shared" si="1"/>
        <v>3</v>
      </c>
      <c r="L23" s="25">
        <v>4.4</v>
      </c>
      <c r="M23" s="26">
        <v>13.2</v>
      </c>
      <c r="N23" s="26">
        <v>13.2</v>
      </c>
    </row>
    <row r="24" spans="4:14">
      <c r="D24" s="21">
        <v>46098</v>
      </c>
      <c r="E24" s="22">
        <v>1586884</v>
      </c>
      <c r="F24" s="22" t="s">
        <v>20</v>
      </c>
      <c r="G24" s="22">
        <v>20324560</v>
      </c>
      <c r="H24" s="22" t="s">
        <v>574</v>
      </c>
      <c r="I24" s="22">
        <v>2</v>
      </c>
      <c r="J24" s="23" t="s">
        <v>22</v>
      </c>
      <c r="K24" s="24">
        <v>1</v>
      </c>
      <c r="L24" s="25">
        <v>6.4</v>
      </c>
      <c r="M24" s="26">
        <v>6.4</v>
      </c>
      <c r="N24" s="26">
        <v>12.8</v>
      </c>
    </row>
    <row r="25" spans="4:14">
      <c r="D25" s="21">
        <v>46098</v>
      </c>
      <c r="E25" s="22">
        <v>1586884</v>
      </c>
      <c r="F25" s="22" t="s">
        <v>16</v>
      </c>
      <c r="G25" s="22">
        <v>20324552</v>
      </c>
      <c r="H25" s="22" t="s">
        <v>575</v>
      </c>
      <c r="I25" s="22">
        <v>2</v>
      </c>
      <c r="J25" s="28" t="s">
        <v>18</v>
      </c>
      <c r="K25" s="24">
        <f t="shared" si="1"/>
        <v>19</v>
      </c>
      <c r="L25" s="25">
        <v>4.4</v>
      </c>
      <c r="M25" s="26">
        <v>83.6</v>
      </c>
      <c r="N25" s="26">
        <v>167.2</v>
      </c>
    </row>
    <row r="26" spans="4:14">
      <c r="D26" s="21">
        <v>46101</v>
      </c>
      <c r="E26" s="22">
        <v>1587936</v>
      </c>
      <c r="F26" s="22" t="s">
        <v>20</v>
      </c>
      <c r="G26" s="22">
        <v>20324560</v>
      </c>
      <c r="H26" s="22" t="s">
        <v>574</v>
      </c>
      <c r="I26" s="22">
        <v>3</v>
      </c>
      <c r="J26" s="23" t="s">
        <v>22</v>
      </c>
      <c r="K26" s="24">
        <v>1</v>
      </c>
      <c r="L26" s="25">
        <v>6.4</v>
      </c>
      <c r="M26" s="26">
        <v>6.4</v>
      </c>
      <c r="N26" s="26">
        <v>19.2</v>
      </c>
    </row>
    <row r="27" spans="4:14">
      <c r="D27" s="21">
        <v>46101</v>
      </c>
      <c r="E27" s="22">
        <v>1587936</v>
      </c>
      <c r="F27" s="22" t="s">
        <v>20</v>
      </c>
      <c r="G27" s="22">
        <v>20324557</v>
      </c>
      <c r="H27" s="22" t="s">
        <v>137</v>
      </c>
      <c r="I27" s="22">
        <v>1</v>
      </c>
      <c r="J27" s="23" t="s">
        <v>22</v>
      </c>
      <c r="K27" s="24">
        <v>1</v>
      </c>
      <c r="L27" s="25">
        <v>6.4</v>
      </c>
      <c r="M27" s="26">
        <v>6.4</v>
      </c>
      <c r="N27" s="26">
        <v>6.4</v>
      </c>
    </row>
    <row r="28" spans="4:14">
      <c r="D28" s="21">
        <v>46101</v>
      </c>
      <c r="E28" s="22">
        <v>1587936</v>
      </c>
      <c r="F28" s="22" t="s">
        <v>20</v>
      </c>
      <c r="G28" s="22">
        <v>20324559</v>
      </c>
      <c r="H28" s="22" t="s">
        <v>138</v>
      </c>
      <c r="I28" s="22">
        <v>1</v>
      </c>
      <c r="J28" s="27" t="s">
        <v>25</v>
      </c>
      <c r="K28" s="24">
        <v>1</v>
      </c>
      <c r="L28" s="25">
        <v>8.8</v>
      </c>
      <c r="M28" s="26">
        <v>8.8</v>
      </c>
      <c r="N28" s="26">
        <v>8.8</v>
      </c>
    </row>
    <row r="29" spans="4:14">
      <c r="D29" s="21">
        <v>46101</v>
      </c>
      <c r="E29" s="22">
        <v>1587936</v>
      </c>
      <c r="F29" s="22" t="s">
        <v>16</v>
      </c>
      <c r="G29" s="22">
        <v>20324552</v>
      </c>
      <c r="H29" s="22" t="s">
        <v>575</v>
      </c>
      <c r="I29" s="22">
        <v>2</v>
      </c>
      <c r="J29" s="28" t="s">
        <v>18</v>
      </c>
      <c r="K29" s="24">
        <f t="shared" ref="K29:K35" si="2">M29/L29</f>
        <v>19</v>
      </c>
      <c r="L29" s="25">
        <v>4.4</v>
      </c>
      <c r="M29" s="26">
        <v>83.6</v>
      </c>
      <c r="N29" s="26">
        <v>167.2</v>
      </c>
    </row>
    <row r="30" spans="4:14">
      <c r="D30" s="21">
        <v>46106</v>
      </c>
      <c r="E30" s="22">
        <v>1588818</v>
      </c>
      <c r="F30" s="22" t="s">
        <v>20</v>
      </c>
      <c r="G30" s="22">
        <v>20352347</v>
      </c>
      <c r="H30" s="22" t="s">
        <v>573</v>
      </c>
      <c r="I30" s="22">
        <v>1</v>
      </c>
      <c r="J30" s="46" t="s">
        <v>62</v>
      </c>
      <c r="K30" s="24">
        <v>1</v>
      </c>
      <c r="L30" s="25">
        <v>12.8</v>
      </c>
      <c r="M30" s="26">
        <v>12.8</v>
      </c>
      <c r="N30" s="26">
        <v>12.8</v>
      </c>
    </row>
    <row r="31" spans="4:14">
      <c r="D31" s="21">
        <v>46106</v>
      </c>
      <c r="E31" s="22">
        <v>1588818</v>
      </c>
      <c r="F31" s="22" t="s">
        <v>20</v>
      </c>
      <c r="G31" s="22">
        <v>20324560</v>
      </c>
      <c r="H31" s="22" t="s">
        <v>574</v>
      </c>
      <c r="I31" s="22">
        <v>2</v>
      </c>
      <c r="J31" s="23" t="s">
        <v>22</v>
      </c>
      <c r="K31" s="24">
        <v>1</v>
      </c>
      <c r="L31" s="25">
        <v>6.4</v>
      </c>
      <c r="M31" s="26">
        <v>6.4</v>
      </c>
      <c r="N31" s="26">
        <v>12.8</v>
      </c>
    </row>
    <row r="32" spans="4:14">
      <c r="D32" s="21">
        <v>46106</v>
      </c>
      <c r="E32" s="22">
        <v>1588818</v>
      </c>
      <c r="F32" s="22" t="s">
        <v>20</v>
      </c>
      <c r="G32" s="22">
        <v>20324401</v>
      </c>
      <c r="H32" s="22" t="s">
        <v>61</v>
      </c>
      <c r="I32" s="22">
        <v>4</v>
      </c>
      <c r="J32" s="46" t="s">
        <v>62</v>
      </c>
      <c r="K32" s="24">
        <v>1</v>
      </c>
      <c r="L32" s="25">
        <v>12.8</v>
      </c>
      <c r="M32" s="26">
        <v>12.8</v>
      </c>
      <c r="N32" s="26">
        <v>51.2</v>
      </c>
    </row>
    <row r="33" spans="4:14">
      <c r="D33" s="21">
        <v>46106</v>
      </c>
      <c r="E33" s="22">
        <v>1588818</v>
      </c>
      <c r="F33" s="22" t="s">
        <v>16</v>
      </c>
      <c r="G33" s="22">
        <v>20324552</v>
      </c>
      <c r="H33" s="22" t="s">
        <v>575</v>
      </c>
      <c r="I33" s="22">
        <v>2</v>
      </c>
      <c r="J33" s="28" t="s">
        <v>18</v>
      </c>
      <c r="K33" s="24">
        <f t="shared" si="2"/>
        <v>19</v>
      </c>
      <c r="L33" s="25">
        <v>4.4</v>
      </c>
      <c r="M33" s="26">
        <v>83.6</v>
      </c>
      <c r="N33" s="26">
        <v>167.2</v>
      </c>
    </row>
    <row r="34" spans="4:14">
      <c r="D34" s="21">
        <v>46107</v>
      </c>
      <c r="E34" s="22">
        <v>1589340</v>
      </c>
      <c r="F34" s="22" t="s">
        <v>16</v>
      </c>
      <c r="G34" s="22">
        <v>20324552</v>
      </c>
      <c r="H34" s="22" t="s">
        <v>575</v>
      </c>
      <c r="I34" s="22">
        <v>2</v>
      </c>
      <c r="J34" s="28" t="s">
        <v>18</v>
      </c>
      <c r="K34" s="24">
        <f t="shared" si="2"/>
        <v>19</v>
      </c>
      <c r="L34" s="25">
        <v>4.4</v>
      </c>
      <c r="M34" s="26">
        <v>83.6</v>
      </c>
      <c r="N34" s="26">
        <v>167.2</v>
      </c>
    </row>
    <row r="35" spans="4:14">
      <c r="D35" s="21">
        <v>46107</v>
      </c>
      <c r="E35" s="22">
        <v>1589366</v>
      </c>
      <c r="F35" s="22" t="s">
        <v>16</v>
      </c>
      <c r="G35" s="22">
        <v>20324552</v>
      </c>
      <c r="H35" s="22" t="s">
        <v>575</v>
      </c>
      <c r="I35" s="22">
        <v>1</v>
      </c>
      <c r="J35" s="28" t="s">
        <v>18</v>
      </c>
      <c r="K35" s="24">
        <f t="shared" si="2"/>
        <v>19</v>
      </c>
      <c r="L35" s="25">
        <v>4.4</v>
      </c>
      <c r="M35" s="26">
        <v>83.6</v>
      </c>
      <c r="N35" s="26">
        <v>83.6</v>
      </c>
    </row>
    <row r="36" spans="4:14">
      <c r="D36" s="21">
        <v>46112</v>
      </c>
      <c r="E36" s="22">
        <v>1590519</v>
      </c>
      <c r="F36" s="22" t="s">
        <v>20</v>
      </c>
      <c r="G36" s="22">
        <v>20352347</v>
      </c>
      <c r="H36" s="22" t="s">
        <v>573</v>
      </c>
      <c r="I36" s="22">
        <v>1</v>
      </c>
      <c r="J36" s="46" t="s">
        <v>62</v>
      </c>
      <c r="K36" s="24">
        <v>1</v>
      </c>
      <c r="L36" s="25">
        <v>12.8</v>
      </c>
      <c r="M36" s="26">
        <v>12.8</v>
      </c>
      <c r="N36" s="26">
        <v>12.8</v>
      </c>
    </row>
    <row r="37" spans="4:14">
      <c r="D37" s="21">
        <v>46112</v>
      </c>
      <c r="E37" s="22">
        <v>1590519</v>
      </c>
      <c r="F37" s="22" t="s">
        <v>16</v>
      </c>
      <c r="G37" s="22">
        <v>20324552</v>
      </c>
      <c r="H37" s="22" t="s">
        <v>575</v>
      </c>
      <c r="I37" s="22">
        <v>2</v>
      </c>
      <c r="J37" s="28" t="s">
        <v>18</v>
      </c>
      <c r="K37" s="24">
        <f t="shared" ref="K37:K40" si="3">M37/L37</f>
        <v>19</v>
      </c>
      <c r="L37" s="25">
        <v>4.4</v>
      </c>
      <c r="M37" s="26">
        <v>83.6</v>
      </c>
      <c r="N37" s="26">
        <v>167.2</v>
      </c>
    </row>
    <row r="38" spans="4:14">
      <c r="D38" s="21">
        <v>46112</v>
      </c>
      <c r="E38" s="22">
        <v>1590519</v>
      </c>
      <c r="F38" s="22" t="s">
        <v>20</v>
      </c>
      <c r="G38" s="22">
        <v>20363586</v>
      </c>
      <c r="H38" s="22" t="s">
        <v>576</v>
      </c>
      <c r="I38" s="22">
        <v>4</v>
      </c>
      <c r="J38" s="28" t="s">
        <v>18</v>
      </c>
      <c r="K38" s="24">
        <f t="shared" si="3"/>
        <v>3</v>
      </c>
      <c r="L38" s="25">
        <v>4.4</v>
      </c>
      <c r="M38" s="26">
        <v>13.2</v>
      </c>
      <c r="N38" s="26">
        <v>52.8</v>
      </c>
    </row>
    <row r="39" spans="4:14">
      <c r="D39" s="21">
        <v>46112</v>
      </c>
      <c r="E39" s="22">
        <v>1590889</v>
      </c>
      <c r="F39" s="22" t="s">
        <v>20</v>
      </c>
      <c r="G39" s="22">
        <v>20324560</v>
      </c>
      <c r="H39" s="22" t="s">
        <v>574</v>
      </c>
      <c r="I39" s="22">
        <v>3</v>
      </c>
      <c r="J39" s="23" t="s">
        <v>22</v>
      </c>
      <c r="K39" s="24">
        <v>1</v>
      </c>
      <c r="L39" s="25">
        <v>6.4</v>
      </c>
      <c r="M39" s="26">
        <v>6.4</v>
      </c>
      <c r="N39" s="26">
        <v>19.2</v>
      </c>
    </row>
    <row r="40" spans="4:14">
      <c r="D40" s="21">
        <v>46112</v>
      </c>
      <c r="E40" s="22">
        <v>1590889</v>
      </c>
      <c r="F40" s="22" t="s">
        <v>16</v>
      </c>
      <c r="G40" s="22">
        <v>20324552</v>
      </c>
      <c r="H40" s="22" t="s">
        <v>575</v>
      </c>
      <c r="I40" s="22">
        <v>2</v>
      </c>
      <c r="J40" s="28" t="s">
        <v>18</v>
      </c>
      <c r="K40" s="24">
        <f t="shared" si="3"/>
        <v>19</v>
      </c>
      <c r="L40" s="25">
        <v>4.4</v>
      </c>
      <c r="M40" s="26">
        <v>83.6</v>
      </c>
      <c r="N40" s="26">
        <v>167.2</v>
      </c>
    </row>
    <row r="41" ht="0.05" customHeight="1"/>
  </sheetData>
  <autoFilter xmlns:etc="http://www.wps.cn/officeDocument/2017/etCustomData" ref="A7:N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5" customWidth="1"/>
    <col min="12" max="12" width="12.625" customWidth="1"/>
    <col min="13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579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15</v>
      </c>
      <c r="J8" s="13"/>
      <c r="K8" s="14"/>
      <c r="L8" s="14"/>
      <c r="M8" s="14"/>
      <c r="N8" s="14">
        <v>962.8</v>
      </c>
    </row>
    <row r="9" spans="1:14">
      <c r="D9" s="15">
        <v>46084</v>
      </c>
      <c r="E9" s="16">
        <v>1581870</v>
      </c>
      <c r="F9" s="16" t="s">
        <v>20</v>
      </c>
      <c r="G9" s="16">
        <v>20329168</v>
      </c>
      <c r="H9" s="16" t="s">
        <v>580</v>
      </c>
      <c r="I9" s="16">
        <v>1</v>
      </c>
      <c r="J9" s="32" t="s">
        <v>18</v>
      </c>
      <c r="K9" s="18">
        <f t="shared" ref="K9:K15" si="0">M9/L9</f>
        <v>21</v>
      </c>
      <c r="L9" s="19">
        <v>4.4</v>
      </c>
      <c r="M9" s="20">
        <v>92.4</v>
      </c>
      <c r="N9" s="20">
        <v>92.4</v>
      </c>
    </row>
    <row r="10" spans="1:14">
      <c r="D10" s="21">
        <v>46090</v>
      </c>
      <c r="E10" s="22">
        <v>1583390</v>
      </c>
      <c r="F10" s="22" t="s">
        <v>20</v>
      </c>
      <c r="G10" s="22">
        <v>20329168</v>
      </c>
      <c r="H10" s="22" t="s">
        <v>580</v>
      </c>
      <c r="I10" s="22">
        <v>1</v>
      </c>
      <c r="J10" s="28" t="s">
        <v>18</v>
      </c>
      <c r="K10" s="24">
        <f t="shared" si="0"/>
        <v>21</v>
      </c>
      <c r="L10" s="25">
        <v>4.4</v>
      </c>
      <c r="M10" s="26">
        <v>92.4</v>
      </c>
      <c r="N10" s="26">
        <v>92.4</v>
      </c>
    </row>
    <row r="11" spans="1:14">
      <c r="D11" s="21">
        <v>46090</v>
      </c>
      <c r="E11" s="22">
        <v>1583390</v>
      </c>
      <c r="F11" s="22" t="s">
        <v>20</v>
      </c>
      <c r="G11" s="22">
        <v>20324369</v>
      </c>
      <c r="H11" s="22" t="s">
        <v>169</v>
      </c>
      <c r="I11" s="22">
        <v>1</v>
      </c>
      <c r="J11" s="28" t="s">
        <v>18</v>
      </c>
      <c r="K11" s="24">
        <f t="shared" si="0"/>
        <v>3</v>
      </c>
      <c r="L11" s="25">
        <v>4.4</v>
      </c>
      <c r="M11" s="26">
        <v>13.2</v>
      </c>
      <c r="N11" s="26">
        <v>13.2</v>
      </c>
    </row>
    <row r="12" spans="1:14">
      <c r="D12" s="21">
        <v>46092</v>
      </c>
      <c r="E12" s="22">
        <v>1584798</v>
      </c>
      <c r="F12" s="22" t="s">
        <v>20</v>
      </c>
      <c r="G12" s="22">
        <v>20329168</v>
      </c>
      <c r="H12" s="22" t="s">
        <v>580</v>
      </c>
      <c r="I12" s="22">
        <v>1</v>
      </c>
      <c r="J12" s="28" t="s">
        <v>18</v>
      </c>
      <c r="K12" s="24">
        <f t="shared" si="0"/>
        <v>21</v>
      </c>
      <c r="L12" s="25">
        <v>4.4</v>
      </c>
      <c r="M12" s="26">
        <v>92.4</v>
      </c>
      <c r="N12" s="26">
        <v>92.4</v>
      </c>
    </row>
    <row r="13" spans="1:14">
      <c r="D13" s="21">
        <v>46095</v>
      </c>
      <c r="E13" s="22">
        <v>1585928</v>
      </c>
      <c r="F13" s="22" t="s">
        <v>20</v>
      </c>
      <c r="G13" s="22">
        <v>20329168</v>
      </c>
      <c r="H13" s="22" t="s">
        <v>580</v>
      </c>
      <c r="I13" s="22">
        <v>1</v>
      </c>
      <c r="J13" s="28" t="s">
        <v>18</v>
      </c>
      <c r="K13" s="24">
        <f t="shared" si="0"/>
        <v>21</v>
      </c>
      <c r="L13" s="25">
        <v>4.4</v>
      </c>
      <c r="M13" s="26">
        <v>92.4</v>
      </c>
      <c r="N13" s="26">
        <v>92.4</v>
      </c>
    </row>
    <row r="14" spans="1:14">
      <c r="D14" s="21">
        <v>46097</v>
      </c>
      <c r="E14" s="22">
        <v>1586447</v>
      </c>
      <c r="F14" s="22" t="s">
        <v>20</v>
      </c>
      <c r="G14" s="22">
        <v>20329168</v>
      </c>
      <c r="H14" s="22" t="s">
        <v>580</v>
      </c>
      <c r="I14" s="22">
        <v>1</v>
      </c>
      <c r="J14" s="28" t="s">
        <v>18</v>
      </c>
      <c r="K14" s="24">
        <f t="shared" si="0"/>
        <v>21</v>
      </c>
      <c r="L14" s="25">
        <v>4.4</v>
      </c>
      <c r="M14" s="26">
        <v>92.4</v>
      </c>
      <c r="N14" s="26">
        <v>92.4</v>
      </c>
    </row>
    <row r="15" spans="1:14">
      <c r="D15" s="21">
        <v>46100</v>
      </c>
      <c r="E15" s="22">
        <v>1587580</v>
      </c>
      <c r="F15" s="22" t="s">
        <v>20</v>
      </c>
      <c r="G15" s="22">
        <v>20329168</v>
      </c>
      <c r="H15" s="22" t="s">
        <v>580</v>
      </c>
      <c r="I15" s="22">
        <v>1</v>
      </c>
      <c r="J15" s="28" t="s">
        <v>18</v>
      </c>
      <c r="K15" s="24">
        <f t="shared" si="0"/>
        <v>21</v>
      </c>
      <c r="L15" s="25">
        <v>4.4</v>
      </c>
      <c r="M15" s="26">
        <v>92.4</v>
      </c>
      <c r="N15" s="26">
        <v>92.4</v>
      </c>
    </row>
    <row r="16" spans="1:14">
      <c r="D16" s="21">
        <v>46104</v>
      </c>
      <c r="E16" s="22">
        <v>1588488</v>
      </c>
      <c r="F16" s="22" t="s">
        <v>20</v>
      </c>
      <c r="G16" s="22">
        <v>20329068</v>
      </c>
      <c r="H16" s="22" t="s">
        <v>581</v>
      </c>
      <c r="I16" s="22">
        <v>1</v>
      </c>
      <c r="J16" s="23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46104</v>
      </c>
      <c r="E17" s="22">
        <v>1588488</v>
      </c>
      <c r="F17" s="22" t="s">
        <v>20</v>
      </c>
      <c r="G17" s="22">
        <v>20329168</v>
      </c>
      <c r="H17" s="22" t="s">
        <v>580</v>
      </c>
      <c r="I17" s="22">
        <v>1</v>
      </c>
      <c r="J17" s="28" t="s">
        <v>18</v>
      </c>
      <c r="K17" s="24">
        <f t="shared" ref="K17:K23" si="1">M17/L17</f>
        <v>21</v>
      </c>
      <c r="L17" s="25">
        <v>4.4</v>
      </c>
      <c r="M17" s="26">
        <v>92.4</v>
      </c>
      <c r="N17" s="26">
        <v>92.4</v>
      </c>
    </row>
    <row r="18" spans="4:14">
      <c r="D18" s="21">
        <v>46106</v>
      </c>
      <c r="E18" s="22">
        <v>1589150</v>
      </c>
      <c r="F18" s="22" t="s">
        <v>20</v>
      </c>
      <c r="G18" s="22">
        <v>20329068</v>
      </c>
      <c r="H18" s="22" t="s">
        <v>581</v>
      </c>
      <c r="I18" s="22">
        <v>1</v>
      </c>
      <c r="J18" s="23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46106</v>
      </c>
      <c r="E19" s="22">
        <v>1589150</v>
      </c>
      <c r="F19" s="22" t="s">
        <v>20</v>
      </c>
      <c r="G19" s="22">
        <v>20329168</v>
      </c>
      <c r="H19" s="22" t="s">
        <v>580</v>
      </c>
      <c r="I19" s="22">
        <v>1</v>
      </c>
      <c r="J19" s="28" t="s">
        <v>18</v>
      </c>
      <c r="K19" s="24">
        <f t="shared" si="1"/>
        <v>21</v>
      </c>
      <c r="L19" s="25">
        <v>4.4</v>
      </c>
      <c r="M19" s="26">
        <v>92.4</v>
      </c>
      <c r="N19" s="26">
        <v>92.4</v>
      </c>
    </row>
    <row r="20" spans="4:14">
      <c r="D20" s="21">
        <v>46110</v>
      </c>
      <c r="E20" s="22">
        <v>1590186</v>
      </c>
      <c r="F20" s="22" t="s">
        <v>20</v>
      </c>
      <c r="G20" s="22">
        <v>20329068</v>
      </c>
      <c r="H20" s="22" t="s">
        <v>581</v>
      </c>
      <c r="I20" s="22">
        <v>1</v>
      </c>
      <c r="J20" s="23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46110</v>
      </c>
      <c r="E21" s="22">
        <v>1590186</v>
      </c>
      <c r="F21" s="22" t="s">
        <v>20</v>
      </c>
      <c r="G21" s="22">
        <v>20324533</v>
      </c>
      <c r="H21" s="22" t="s">
        <v>84</v>
      </c>
      <c r="I21" s="22">
        <v>1</v>
      </c>
      <c r="J21" s="23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46110</v>
      </c>
      <c r="E22" s="22">
        <v>1590186</v>
      </c>
      <c r="F22" s="22" t="s">
        <v>20</v>
      </c>
      <c r="G22" s="22">
        <v>20329168</v>
      </c>
      <c r="H22" s="22" t="s">
        <v>580</v>
      </c>
      <c r="I22" s="22">
        <v>1</v>
      </c>
      <c r="J22" s="28" t="s">
        <v>18</v>
      </c>
      <c r="K22" s="24">
        <f t="shared" si="1"/>
        <v>21</v>
      </c>
      <c r="L22" s="25">
        <v>4.4</v>
      </c>
      <c r="M22" s="26">
        <v>92.4</v>
      </c>
      <c r="N22" s="26">
        <v>92.4</v>
      </c>
    </row>
    <row r="23" spans="4:14">
      <c r="D23" s="21">
        <v>46112</v>
      </c>
      <c r="E23" s="22">
        <v>1590520</v>
      </c>
      <c r="F23" s="22" t="s">
        <v>20</v>
      </c>
      <c r="G23" s="22">
        <v>20329168</v>
      </c>
      <c r="H23" s="22" t="s">
        <v>580</v>
      </c>
      <c r="I23" s="22">
        <v>1</v>
      </c>
      <c r="J23" s="28" t="s">
        <v>18</v>
      </c>
      <c r="K23" s="24">
        <f t="shared" si="1"/>
        <v>21</v>
      </c>
      <c r="L23" s="25">
        <v>4.4</v>
      </c>
      <c r="M23" s="26">
        <v>92.4</v>
      </c>
      <c r="N23" s="26">
        <v>92.4</v>
      </c>
    </row>
    <row r="24" ht="0.05" customHeight="1"/>
  </sheetData>
  <autoFilter xmlns:etc="http://www.wps.cn/officeDocument/2017/etCustomData" ref="A7:N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5" customWidth="1"/>
    <col min="12" max="12" width="12.625" customWidth="1"/>
    <col min="13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27" t="s">
        <v>10</v>
      </c>
      <c r="K7" s="35" t="s">
        <v>11</v>
      </c>
      <c r="L7" s="36" t="s">
        <v>12</v>
      </c>
      <c r="M7" s="37" t="s">
        <v>13</v>
      </c>
      <c r="N7" s="37" t="s">
        <v>14</v>
      </c>
    </row>
    <row r="8" ht="14.25" spans="1:14">
      <c r="D8" s="38" t="s">
        <v>582</v>
      </c>
      <c r="E8" s="39" t="s">
        <v>2</v>
      </c>
      <c r="F8" s="39" t="s">
        <v>2</v>
      </c>
      <c r="G8" s="39" t="s">
        <v>2</v>
      </c>
      <c r="H8" s="39" t="s">
        <v>2</v>
      </c>
      <c r="I8" s="38">
        <v>28</v>
      </c>
      <c r="J8" s="40"/>
      <c r="K8" s="41"/>
      <c r="L8" s="41"/>
      <c r="M8" s="41"/>
      <c r="N8" s="41">
        <v>589.2</v>
      </c>
    </row>
    <row r="9" spans="1:14">
      <c r="D9" s="33">
        <v>46085</v>
      </c>
      <c r="E9" s="34">
        <v>1582180</v>
      </c>
      <c r="F9" s="34" t="s">
        <v>20</v>
      </c>
      <c r="G9" s="34">
        <v>20324364</v>
      </c>
      <c r="H9" s="34" t="s">
        <v>23</v>
      </c>
      <c r="I9" s="34">
        <v>2</v>
      </c>
      <c r="J9" s="23" t="s">
        <v>22</v>
      </c>
      <c r="K9" s="24">
        <v>1</v>
      </c>
      <c r="L9" s="25">
        <v>6.4</v>
      </c>
      <c r="M9" s="26">
        <v>6.4</v>
      </c>
      <c r="N9" s="26">
        <v>12.8</v>
      </c>
    </row>
    <row r="10" spans="1:14">
      <c r="D10" s="33">
        <v>46085</v>
      </c>
      <c r="E10" s="34">
        <v>1582180</v>
      </c>
      <c r="F10" s="34" t="s">
        <v>20</v>
      </c>
      <c r="G10" s="34">
        <v>20324562</v>
      </c>
      <c r="H10" s="34" t="s">
        <v>583</v>
      </c>
      <c r="I10" s="34">
        <v>2</v>
      </c>
      <c r="J10" s="23" t="s">
        <v>22</v>
      </c>
      <c r="K10" s="24">
        <v>1</v>
      </c>
      <c r="L10" s="25">
        <v>6.4</v>
      </c>
      <c r="M10" s="26">
        <v>6.4</v>
      </c>
      <c r="N10" s="26">
        <v>12.8</v>
      </c>
    </row>
    <row r="11" spans="1:14">
      <c r="D11" s="33">
        <v>46085</v>
      </c>
      <c r="E11" s="34">
        <v>1582180</v>
      </c>
      <c r="F11" s="34" t="s">
        <v>20</v>
      </c>
      <c r="G11" s="34">
        <v>20325191</v>
      </c>
      <c r="H11" s="34" t="s">
        <v>584</v>
      </c>
      <c r="I11" s="34">
        <v>1</v>
      </c>
      <c r="J11" s="28" t="s">
        <v>18</v>
      </c>
      <c r="K11" s="24">
        <f t="shared" ref="K11:K14" si="0">M11/L11</f>
        <v>11</v>
      </c>
      <c r="L11" s="25">
        <v>4.4</v>
      </c>
      <c r="M11" s="26">
        <v>48.4</v>
      </c>
      <c r="N11" s="26">
        <v>48.4</v>
      </c>
    </row>
    <row r="12" spans="1:14">
      <c r="D12" s="33">
        <v>46085</v>
      </c>
      <c r="E12" s="34">
        <v>1582180</v>
      </c>
      <c r="F12" s="34" t="s">
        <v>20</v>
      </c>
      <c r="G12" s="34">
        <v>20324369</v>
      </c>
      <c r="H12" s="34" t="s">
        <v>169</v>
      </c>
      <c r="I12" s="34">
        <v>1</v>
      </c>
      <c r="J12" s="28" t="s">
        <v>18</v>
      </c>
      <c r="K12" s="24">
        <f t="shared" si="0"/>
        <v>3</v>
      </c>
      <c r="L12" s="25">
        <v>4.4</v>
      </c>
      <c r="M12" s="26">
        <v>13.2</v>
      </c>
      <c r="N12" s="26">
        <v>13.2</v>
      </c>
    </row>
    <row r="13" spans="1:14">
      <c r="D13" s="33">
        <v>46087</v>
      </c>
      <c r="E13" s="34">
        <v>1582867</v>
      </c>
      <c r="F13" s="34" t="s">
        <v>20</v>
      </c>
      <c r="G13" s="34">
        <v>20325191</v>
      </c>
      <c r="H13" s="34" t="s">
        <v>584</v>
      </c>
      <c r="I13" s="34">
        <v>1</v>
      </c>
      <c r="J13" s="28" t="s">
        <v>18</v>
      </c>
      <c r="K13" s="24">
        <f t="shared" si="0"/>
        <v>11</v>
      </c>
      <c r="L13" s="25">
        <v>4.4</v>
      </c>
      <c r="M13" s="26">
        <v>48.4</v>
      </c>
      <c r="N13" s="26">
        <v>48.4</v>
      </c>
    </row>
    <row r="14" spans="1:14">
      <c r="D14" s="33">
        <v>46087</v>
      </c>
      <c r="E14" s="34">
        <v>1582867</v>
      </c>
      <c r="F14" s="34" t="s">
        <v>20</v>
      </c>
      <c r="G14" s="34">
        <v>20324369</v>
      </c>
      <c r="H14" s="34" t="s">
        <v>169</v>
      </c>
      <c r="I14" s="34">
        <v>1</v>
      </c>
      <c r="J14" s="28" t="s">
        <v>18</v>
      </c>
      <c r="K14" s="24">
        <f t="shared" si="0"/>
        <v>3</v>
      </c>
      <c r="L14" s="25">
        <v>4.4</v>
      </c>
      <c r="M14" s="26">
        <v>13.2</v>
      </c>
      <c r="N14" s="26">
        <v>13.2</v>
      </c>
    </row>
    <row r="15" spans="1:14">
      <c r="D15" s="33">
        <v>46092</v>
      </c>
      <c r="E15" s="34">
        <v>1584763</v>
      </c>
      <c r="F15" s="34" t="s">
        <v>20</v>
      </c>
      <c r="G15" s="34">
        <v>20324364</v>
      </c>
      <c r="H15" s="34" t="s">
        <v>23</v>
      </c>
      <c r="I15" s="34">
        <v>1</v>
      </c>
      <c r="J15" s="23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33">
        <v>46092</v>
      </c>
      <c r="E16" s="34">
        <v>1584763</v>
      </c>
      <c r="F16" s="34" t="s">
        <v>20</v>
      </c>
      <c r="G16" s="34">
        <v>20329068</v>
      </c>
      <c r="H16" s="34" t="s">
        <v>581</v>
      </c>
      <c r="I16" s="34">
        <v>3</v>
      </c>
      <c r="J16" s="23" t="s">
        <v>22</v>
      </c>
      <c r="K16" s="24">
        <v>1</v>
      </c>
      <c r="L16" s="25">
        <v>6.4</v>
      </c>
      <c r="M16" s="26">
        <v>6.4</v>
      </c>
      <c r="N16" s="26">
        <v>19.2</v>
      </c>
    </row>
    <row r="17" spans="4:14">
      <c r="D17" s="33">
        <v>46092</v>
      </c>
      <c r="E17" s="34">
        <v>1584763</v>
      </c>
      <c r="F17" s="34" t="s">
        <v>20</v>
      </c>
      <c r="G17" s="34">
        <v>20324562</v>
      </c>
      <c r="H17" s="34" t="s">
        <v>583</v>
      </c>
      <c r="I17" s="34">
        <v>1</v>
      </c>
      <c r="J17" s="23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33">
        <v>46092</v>
      </c>
      <c r="E18" s="34">
        <v>1584763</v>
      </c>
      <c r="F18" s="34" t="s">
        <v>20</v>
      </c>
      <c r="G18" s="34">
        <v>20325191</v>
      </c>
      <c r="H18" s="34" t="s">
        <v>584</v>
      </c>
      <c r="I18" s="34">
        <v>1</v>
      </c>
      <c r="J18" s="28" t="s">
        <v>18</v>
      </c>
      <c r="K18" s="24">
        <f t="shared" ref="K18:K21" si="1">M18/L18</f>
        <v>11</v>
      </c>
      <c r="L18" s="25">
        <v>4.4</v>
      </c>
      <c r="M18" s="26">
        <v>48.4</v>
      </c>
      <c r="N18" s="26">
        <v>48.4</v>
      </c>
    </row>
    <row r="19" spans="4:14">
      <c r="D19" s="33">
        <v>46092</v>
      </c>
      <c r="E19" s="34">
        <v>1584763</v>
      </c>
      <c r="F19" s="34" t="s">
        <v>20</v>
      </c>
      <c r="G19" s="34">
        <v>20324369</v>
      </c>
      <c r="H19" s="34" t="s">
        <v>169</v>
      </c>
      <c r="I19" s="34">
        <v>1</v>
      </c>
      <c r="J19" s="28" t="s">
        <v>18</v>
      </c>
      <c r="K19" s="24">
        <f t="shared" si="1"/>
        <v>3</v>
      </c>
      <c r="L19" s="25">
        <v>4.4</v>
      </c>
      <c r="M19" s="26">
        <v>13.2</v>
      </c>
      <c r="N19" s="26">
        <v>13.2</v>
      </c>
    </row>
    <row r="20" spans="4:14">
      <c r="D20" s="33">
        <v>46094</v>
      </c>
      <c r="E20" s="34">
        <v>1585565</v>
      </c>
      <c r="F20" s="34" t="s">
        <v>20</v>
      </c>
      <c r="G20" s="34">
        <v>20325191</v>
      </c>
      <c r="H20" s="34" t="s">
        <v>584</v>
      </c>
      <c r="I20" s="34">
        <v>1</v>
      </c>
      <c r="J20" s="28" t="s">
        <v>18</v>
      </c>
      <c r="K20" s="24">
        <f t="shared" si="1"/>
        <v>11</v>
      </c>
      <c r="L20" s="25">
        <v>4.4</v>
      </c>
      <c r="M20" s="26">
        <v>48.4</v>
      </c>
      <c r="N20" s="26">
        <v>48.4</v>
      </c>
    </row>
    <row r="21" spans="4:14">
      <c r="D21" s="33">
        <v>46097</v>
      </c>
      <c r="E21" s="34">
        <v>1586448</v>
      </c>
      <c r="F21" s="34" t="s">
        <v>20</v>
      </c>
      <c r="G21" s="34">
        <v>20325191</v>
      </c>
      <c r="H21" s="34" t="s">
        <v>584</v>
      </c>
      <c r="I21" s="34">
        <v>1</v>
      </c>
      <c r="J21" s="28" t="s">
        <v>18</v>
      </c>
      <c r="K21" s="24">
        <f t="shared" si="1"/>
        <v>11</v>
      </c>
      <c r="L21" s="25">
        <v>4.4</v>
      </c>
      <c r="M21" s="26">
        <v>48.4</v>
      </c>
      <c r="N21" s="26">
        <v>48.4</v>
      </c>
    </row>
    <row r="22" spans="4:14">
      <c r="D22" s="33">
        <v>46097</v>
      </c>
      <c r="E22" s="34">
        <v>1586448</v>
      </c>
      <c r="F22" s="34" t="s">
        <v>20</v>
      </c>
      <c r="G22" s="34">
        <v>20324369</v>
      </c>
      <c r="H22" s="34" t="s">
        <v>169</v>
      </c>
      <c r="I22" s="34">
        <v>1</v>
      </c>
      <c r="J22" s="28" t="s">
        <v>18</v>
      </c>
      <c r="K22" s="24">
        <f t="shared" ref="K22:K27" si="2">M22/L22</f>
        <v>3</v>
      </c>
      <c r="L22" s="25">
        <v>4.4</v>
      </c>
      <c r="M22" s="26">
        <v>13.2</v>
      </c>
      <c r="N22" s="26">
        <v>13.2</v>
      </c>
    </row>
    <row r="23" spans="4:14">
      <c r="D23" s="33">
        <v>46104</v>
      </c>
      <c r="E23" s="34">
        <v>1588489</v>
      </c>
      <c r="F23" s="34" t="s">
        <v>20</v>
      </c>
      <c r="G23" s="34">
        <v>20329068</v>
      </c>
      <c r="H23" s="34" t="s">
        <v>581</v>
      </c>
      <c r="I23" s="34">
        <v>1</v>
      </c>
      <c r="J23" s="23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33">
        <v>46104</v>
      </c>
      <c r="E24" s="34">
        <v>1588489</v>
      </c>
      <c r="F24" s="34" t="s">
        <v>20</v>
      </c>
      <c r="G24" s="34">
        <v>20325191</v>
      </c>
      <c r="H24" s="34" t="s">
        <v>584</v>
      </c>
      <c r="I24" s="34">
        <v>1</v>
      </c>
      <c r="J24" s="28" t="s">
        <v>18</v>
      </c>
      <c r="K24" s="24">
        <f t="shared" si="2"/>
        <v>11</v>
      </c>
      <c r="L24" s="25">
        <v>4.4</v>
      </c>
      <c r="M24" s="26">
        <v>48.4</v>
      </c>
      <c r="N24" s="26">
        <v>48.4</v>
      </c>
    </row>
    <row r="25" spans="4:14">
      <c r="D25" s="33">
        <v>46106</v>
      </c>
      <c r="E25" s="34">
        <v>1588819</v>
      </c>
      <c r="F25" s="34" t="s">
        <v>20</v>
      </c>
      <c r="G25" s="34">
        <v>20324560</v>
      </c>
      <c r="H25" s="34" t="s">
        <v>574</v>
      </c>
      <c r="I25" s="34">
        <v>1</v>
      </c>
      <c r="J25" s="23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33">
        <v>46106</v>
      </c>
      <c r="E26" s="34">
        <v>1588819</v>
      </c>
      <c r="F26" s="34" t="s">
        <v>20</v>
      </c>
      <c r="G26" s="34">
        <v>20329068</v>
      </c>
      <c r="H26" s="34" t="s">
        <v>581</v>
      </c>
      <c r="I26" s="34">
        <v>1</v>
      </c>
      <c r="J26" s="23" t="s">
        <v>22</v>
      </c>
      <c r="K26" s="24">
        <v>1</v>
      </c>
      <c r="L26" s="25">
        <v>6.4</v>
      </c>
      <c r="M26" s="26">
        <v>6.4</v>
      </c>
      <c r="N26" s="26">
        <v>6.4</v>
      </c>
    </row>
    <row r="27" spans="4:14">
      <c r="D27" s="33">
        <v>46106</v>
      </c>
      <c r="E27" s="34">
        <v>1588819</v>
      </c>
      <c r="F27" s="34" t="s">
        <v>20</v>
      </c>
      <c r="G27" s="34">
        <v>20418609</v>
      </c>
      <c r="H27" s="34" t="s">
        <v>585</v>
      </c>
      <c r="I27" s="34">
        <v>1</v>
      </c>
      <c r="J27" s="28" t="s">
        <v>18</v>
      </c>
      <c r="K27" s="24">
        <f t="shared" si="2"/>
        <v>10</v>
      </c>
      <c r="L27" s="25">
        <v>4.4</v>
      </c>
      <c r="M27" s="26">
        <v>44</v>
      </c>
      <c r="N27" s="26">
        <v>44</v>
      </c>
    </row>
    <row r="28" spans="4:14">
      <c r="D28" s="33">
        <v>46106</v>
      </c>
      <c r="E28" s="34">
        <v>1588819</v>
      </c>
      <c r="F28" s="34" t="s">
        <v>20</v>
      </c>
      <c r="G28" s="34">
        <v>20324369</v>
      </c>
      <c r="H28" s="34" t="s">
        <v>169</v>
      </c>
      <c r="I28" s="34">
        <v>1</v>
      </c>
      <c r="J28" s="28" t="s">
        <v>18</v>
      </c>
      <c r="K28" s="24">
        <f t="shared" ref="K28:K32" si="3">M28/L28</f>
        <v>3</v>
      </c>
      <c r="L28" s="25">
        <v>4.4</v>
      </c>
      <c r="M28" s="26">
        <v>13.2</v>
      </c>
      <c r="N28" s="26">
        <v>13.2</v>
      </c>
    </row>
    <row r="29" spans="4:14">
      <c r="D29" s="33">
        <v>46107</v>
      </c>
      <c r="E29" s="34">
        <v>1589538</v>
      </c>
      <c r="F29" s="34" t="s">
        <v>20</v>
      </c>
      <c r="G29" s="34">
        <v>20325191</v>
      </c>
      <c r="H29" s="34" t="s">
        <v>584</v>
      </c>
      <c r="I29" s="34">
        <v>1</v>
      </c>
      <c r="J29" s="28" t="s">
        <v>18</v>
      </c>
      <c r="K29" s="24">
        <f t="shared" si="3"/>
        <v>11</v>
      </c>
      <c r="L29" s="25">
        <v>4.4</v>
      </c>
      <c r="M29" s="26">
        <v>48.4</v>
      </c>
      <c r="N29" s="26">
        <v>48.4</v>
      </c>
    </row>
    <row r="30" spans="4:14">
      <c r="D30" s="33">
        <v>46112</v>
      </c>
      <c r="E30" s="34">
        <v>1590521</v>
      </c>
      <c r="F30" s="34" t="s">
        <v>20</v>
      </c>
      <c r="G30" s="34">
        <v>20329068</v>
      </c>
      <c r="H30" s="34" t="s">
        <v>581</v>
      </c>
      <c r="I30" s="34">
        <v>1</v>
      </c>
      <c r="J30" s="23" t="s">
        <v>22</v>
      </c>
      <c r="K30" s="24">
        <v>1</v>
      </c>
      <c r="L30" s="25">
        <v>6.4</v>
      </c>
      <c r="M30" s="26">
        <v>6.4</v>
      </c>
      <c r="N30" s="26">
        <v>6.4</v>
      </c>
    </row>
    <row r="31" spans="4:14">
      <c r="D31" s="33">
        <v>46112</v>
      </c>
      <c r="E31" s="34">
        <v>1590521</v>
      </c>
      <c r="F31" s="34" t="s">
        <v>20</v>
      </c>
      <c r="G31" s="34">
        <v>20418609</v>
      </c>
      <c r="H31" s="34" t="s">
        <v>585</v>
      </c>
      <c r="I31" s="34">
        <v>1</v>
      </c>
      <c r="J31" s="28" t="s">
        <v>18</v>
      </c>
      <c r="K31" s="24">
        <f t="shared" si="3"/>
        <v>10</v>
      </c>
      <c r="L31" s="25">
        <v>4.4</v>
      </c>
      <c r="M31" s="26">
        <v>44</v>
      </c>
      <c r="N31" s="26">
        <v>44</v>
      </c>
    </row>
    <row r="32" spans="4:14">
      <c r="D32" s="42">
        <v>46112</v>
      </c>
      <c r="E32" s="43">
        <v>1590521</v>
      </c>
      <c r="F32" s="43" t="s">
        <v>20</v>
      </c>
      <c r="G32" s="44">
        <v>20324369</v>
      </c>
      <c r="H32" s="43" t="s">
        <v>169</v>
      </c>
      <c r="I32" s="34">
        <v>1</v>
      </c>
      <c r="J32" s="28" t="s">
        <v>18</v>
      </c>
      <c r="K32" s="24">
        <f t="shared" si="3"/>
        <v>3</v>
      </c>
      <c r="L32" s="25">
        <v>4.4</v>
      </c>
      <c r="M32" s="26">
        <v>13.2</v>
      </c>
      <c r="N32" s="26">
        <v>13.2</v>
      </c>
    </row>
    <row r="33" ht="0.05" customHeight="1"/>
  </sheetData>
  <autoFilter xmlns:etc="http://www.wps.cn/officeDocument/2017/etCustomData" ref="A7:N32" etc:filterBottomFollowUsedRange="0">
    <extLst/>
  </autoFilter>
  <mergeCells count="5">
    <mergeCell ref="D8:H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8" activePane="bottomLeft" state="frozen"/>
      <selection/>
      <selection pane="bottomLeft" activeCell="N9" sqref="N9:O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5" customWidth="1"/>
    <col min="12" max="12" width="12.625" customWidth="1"/>
    <col min="13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586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42</v>
      </c>
      <c r="J8" s="13"/>
      <c r="K8" s="14"/>
      <c r="L8" s="14"/>
      <c r="M8" s="14"/>
      <c r="N8" s="14">
        <v>601.2</v>
      </c>
    </row>
    <row r="9" spans="1:14">
      <c r="D9" s="15">
        <v>46086</v>
      </c>
      <c r="E9" s="16">
        <v>1582554</v>
      </c>
      <c r="F9" s="16" t="s">
        <v>20</v>
      </c>
      <c r="G9" s="16">
        <v>20326195</v>
      </c>
      <c r="H9" s="16" t="s">
        <v>587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46086</v>
      </c>
      <c r="E10" s="22">
        <v>1582554</v>
      </c>
      <c r="F10" s="22" t="s">
        <v>20</v>
      </c>
      <c r="G10" s="22">
        <v>20338947</v>
      </c>
      <c r="H10" s="22" t="s">
        <v>588</v>
      </c>
      <c r="I10" s="22">
        <v>1</v>
      </c>
      <c r="J10" s="23" t="s">
        <v>22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46086</v>
      </c>
      <c r="E11" s="22">
        <v>1582554</v>
      </c>
      <c r="F11" s="22" t="s">
        <v>20</v>
      </c>
      <c r="G11" s="22">
        <v>20324562</v>
      </c>
      <c r="H11" s="22" t="s">
        <v>583</v>
      </c>
      <c r="I11" s="22">
        <v>2</v>
      </c>
      <c r="J11" s="23" t="s">
        <v>22</v>
      </c>
      <c r="K11" s="24">
        <v>1</v>
      </c>
      <c r="L11" s="25">
        <v>6.4</v>
      </c>
      <c r="M11" s="26">
        <v>6.4</v>
      </c>
      <c r="N11" s="26">
        <v>12.8</v>
      </c>
    </row>
    <row r="12" spans="1:14">
      <c r="D12" s="21">
        <v>46086</v>
      </c>
      <c r="E12" s="22">
        <v>1582554</v>
      </c>
      <c r="F12" s="22" t="s">
        <v>16</v>
      </c>
      <c r="G12" s="22">
        <v>20324523</v>
      </c>
      <c r="H12" s="22" t="s">
        <v>589</v>
      </c>
      <c r="I12" s="22">
        <v>1</v>
      </c>
      <c r="J12" s="28" t="s">
        <v>18</v>
      </c>
      <c r="K12" s="24">
        <f>M12/L12</f>
        <v>6</v>
      </c>
      <c r="L12" s="25">
        <v>4.4</v>
      </c>
      <c r="M12" s="26">
        <v>26.4</v>
      </c>
      <c r="N12" s="26">
        <v>26.4</v>
      </c>
    </row>
    <row r="13" spans="1:14">
      <c r="D13" s="21">
        <v>46086</v>
      </c>
      <c r="E13" s="22">
        <v>1582554</v>
      </c>
      <c r="F13" s="22" t="s">
        <v>16</v>
      </c>
      <c r="G13" s="22">
        <v>20324530</v>
      </c>
      <c r="H13" s="22" t="s">
        <v>590</v>
      </c>
      <c r="I13" s="22">
        <v>1</v>
      </c>
      <c r="J13" s="28" t="s">
        <v>18</v>
      </c>
      <c r="K13" s="24">
        <f>M13/L13</f>
        <v>9</v>
      </c>
      <c r="L13" s="25">
        <v>4.4</v>
      </c>
      <c r="M13" s="26">
        <v>39.6</v>
      </c>
      <c r="N13" s="26">
        <v>39.6</v>
      </c>
    </row>
    <row r="14" spans="1:14">
      <c r="D14" s="21">
        <v>46086</v>
      </c>
      <c r="E14" s="22">
        <v>1582554</v>
      </c>
      <c r="F14" s="22" t="s">
        <v>20</v>
      </c>
      <c r="G14" s="22">
        <v>20325943</v>
      </c>
      <c r="H14" s="22" t="s">
        <v>591</v>
      </c>
      <c r="I14" s="22">
        <v>1</v>
      </c>
      <c r="J14" s="28" t="s">
        <v>18</v>
      </c>
      <c r="K14" s="24">
        <f t="shared" ref="K14:K17" si="0">M14/L14</f>
        <v>3</v>
      </c>
      <c r="L14" s="25">
        <v>4.4</v>
      </c>
      <c r="M14" s="26">
        <v>13.2</v>
      </c>
      <c r="N14" s="26">
        <v>13.2</v>
      </c>
    </row>
    <row r="15" spans="1:14">
      <c r="D15" s="21">
        <v>46086</v>
      </c>
      <c r="E15" s="22">
        <v>1582554</v>
      </c>
      <c r="F15" s="22" t="s">
        <v>20</v>
      </c>
      <c r="G15" s="22">
        <v>20383301</v>
      </c>
      <c r="H15" s="22" t="s">
        <v>592</v>
      </c>
      <c r="I15" s="22">
        <v>2</v>
      </c>
      <c r="J15" s="28" t="s">
        <v>18</v>
      </c>
      <c r="K15" s="24">
        <f t="shared" si="0"/>
        <v>3</v>
      </c>
      <c r="L15" s="25">
        <v>4.4</v>
      </c>
      <c r="M15" s="26">
        <v>13.2</v>
      </c>
      <c r="N15" s="26">
        <v>26.4</v>
      </c>
    </row>
    <row r="16" spans="1:14">
      <c r="D16" s="21">
        <v>46090</v>
      </c>
      <c r="E16" s="22">
        <v>1583391</v>
      </c>
      <c r="F16" s="22" t="s">
        <v>16</v>
      </c>
      <c r="G16" s="22">
        <v>20324523</v>
      </c>
      <c r="H16" s="22" t="s">
        <v>589</v>
      </c>
      <c r="I16" s="22">
        <v>1</v>
      </c>
      <c r="J16" s="28" t="s">
        <v>18</v>
      </c>
      <c r="K16" s="24">
        <f t="shared" si="0"/>
        <v>6</v>
      </c>
      <c r="L16" s="25">
        <v>4.4</v>
      </c>
      <c r="M16" s="26">
        <v>26.4</v>
      </c>
      <c r="N16" s="26">
        <v>26.4</v>
      </c>
    </row>
    <row r="17" spans="4:14">
      <c r="D17" s="21">
        <v>46090</v>
      </c>
      <c r="E17" s="22">
        <v>1583391</v>
      </c>
      <c r="F17" s="22" t="s">
        <v>20</v>
      </c>
      <c r="G17" s="22">
        <v>20383301</v>
      </c>
      <c r="H17" s="22" t="s">
        <v>592</v>
      </c>
      <c r="I17" s="22">
        <v>6</v>
      </c>
      <c r="J17" s="28" t="s">
        <v>18</v>
      </c>
      <c r="K17" s="24">
        <f t="shared" si="0"/>
        <v>3</v>
      </c>
      <c r="L17" s="25">
        <v>4.4</v>
      </c>
      <c r="M17" s="26">
        <v>13.2</v>
      </c>
      <c r="N17" s="26">
        <v>79.2</v>
      </c>
    </row>
    <row r="18" spans="4:14">
      <c r="D18" s="21">
        <v>46100</v>
      </c>
      <c r="E18" s="22">
        <v>1587581</v>
      </c>
      <c r="F18" s="22" t="s">
        <v>20</v>
      </c>
      <c r="G18" s="22">
        <v>20338947</v>
      </c>
      <c r="H18" s="22" t="s">
        <v>588</v>
      </c>
      <c r="I18" s="22">
        <v>1</v>
      </c>
      <c r="J18" s="23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46100</v>
      </c>
      <c r="E19" s="22">
        <v>1587581</v>
      </c>
      <c r="F19" s="22" t="s">
        <v>16</v>
      </c>
      <c r="G19" s="22">
        <v>20324531</v>
      </c>
      <c r="H19" s="22" t="s">
        <v>593</v>
      </c>
      <c r="I19" s="22">
        <v>1</v>
      </c>
      <c r="J19" s="28" t="s">
        <v>18</v>
      </c>
      <c r="K19" s="24">
        <f>M19/L19</f>
        <v>8</v>
      </c>
      <c r="L19" s="25">
        <v>4.4</v>
      </c>
      <c r="M19" s="26">
        <v>35.2</v>
      </c>
      <c r="N19" s="26">
        <v>35.2</v>
      </c>
    </row>
    <row r="20" spans="4:14">
      <c r="D20" s="21">
        <v>46100</v>
      </c>
      <c r="E20" s="22">
        <v>1587581</v>
      </c>
      <c r="F20" s="22" t="s">
        <v>20</v>
      </c>
      <c r="G20" s="22">
        <v>20325943</v>
      </c>
      <c r="H20" s="22" t="s">
        <v>591</v>
      </c>
      <c r="I20" s="22">
        <v>1</v>
      </c>
      <c r="J20" s="28" t="s">
        <v>18</v>
      </c>
      <c r="K20" s="24">
        <f t="shared" ref="K20:K22" si="1">M20/L20</f>
        <v>3</v>
      </c>
      <c r="L20" s="25">
        <v>4.4</v>
      </c>
      <c r="M20" s="26">
        <v>13.2</v>
      </c>
      <c r="N20" s="26">
        <v>13.2</v>
      </c>
    </row>
    <row r="21" spans="4:14">
      <c r="D21" s="21">
        <v>46100</v>
      </c>
      <c r="E21" s="22">
        <v>1587586</v>
      </c>
      <c r="F21" s="22" t="s">
        <v>20</v>
      </c>
      <c r="G21" s="22">
        <v>20383301</v>
      </c>
      <c r="H21" s="22" t="s">
        <v>592</v>
      </c>
      <c r="I21" s="22">
        <v>4</v>
      </c>
      <c r="J21" s="28" t="s">
        <v>18</v>
      </c>
      <c r="K21" s="24">
        <f t="shared" si="1"/>
        <v>3</v>
      </c>
      <c r="L21" s="25">
        <v>4.4</v>
      </c>
      <c r="M21" s="26">
        <v>13.2</v>
      </c>
      <c r="N21" s="26">
        <v>52.8</v>
      </c>
    </row>
    <row r="22" spans="4:14">
      <c r="D22" s="21">
        <v>46106</v>
      </c>
      <c r="E22" s="22">
        <v>1588820</v>
      </c>
      <c r="F22" s="22" t="s">
        <v>20</v>
      </c>
      <c r="G22" s="22">
        <v>20383301</v>
      </c>
      <c r="H22" s="22" t="s">
        <v>592</v>
      </c>
      <c r="I22" s="22">
        <v>4</v>
      </c>
      <c r="J22" s="28" t="s">
        <v>18</v>
      </c>
      <c r="K22" s="24">
        <f t="shared" si="1"/>
        <v>3</v>
      </c>
      <c r="L22" s="25">
        <v>4.4</v>
      </c>
      <c r="M22" s="26">
        <v>13.2</v>
      </c>
      <c r="N22" s="26">
        <v>52.8</v>
      </c>
    </row>
    <row r="23" spans="4:14">
      <c r="D23" s="21">
        <v>46106</v>
      </c>
      <c r="E23" s="22">
        <v>1589151</v>
      </c>
      <c r="F23" s="22" t="s">
        <v>20</v>
      </c>
      <c r="G23" s="22">
        <v>20396533</v>
      </c>
      <c r="H23" s="22" t="s">
        <v>594</v>
      </c>
      <c r="I23" s="22">
        <v>2</v>
      </c>
      <c r="J23" s="23" t="s">
        <v>22</v>
      </c>
      <c r="K23" s="24">
        <v>1</v>
      </c>
      <c r="L23" s="25">
        <v>6.4</v>
      </c>
      <c r="M23" s="26">
        <v>6.4</v>
      </c>
      <c r="N23" s="26">
        <v>12.8</v>
      </c>
    </row>
    <row r="24" spans="4:14">
      <c r="D24" s="21">
        <v>46106</v>
      </c>
      <c r="E24" s="22">
        <v>1589151</v>
      </c>
      <c r="F24" s="22" t="s">
        <v>16</v>
      </c>
      <c r="G24" s="22">
        <v>20324523</v>
      </c>
      <c r="H24" s="22" t="s">
        <v>589</v>
      </c>
      <c r="I24" s="22">
        <v>2</v>
      </c>
      <c r="J24" s="28" t="s">
        <v>18</v>
      </c>
      <c r="K24" s="24">
        <f>M24/L24</f>
        <v>6</v>
      </c>
      <c r="L24" s="25">
        <v>4.4</v>
      </c>
      <c r="M24" s="26">
        <v>26.4</v>
      </c>
      <c r="N24" s="26">
        <v>52.8</v>
      </c>
    </row>
    <row r="25" spans="4:14">
      <c r="D25" s="21">
        <v>46106</v>
      </c>
      <c r="E25" s="22">
        <v>1589151</v>
      </c>
      <c r="F25" s="22" t="s">
        <v>20</v>
      </c>
      <c r="G25" s="22">
        <v>20383301</v>
      </c>
      <c r="H25" s="22" t="s">
        <v>592</v>
      </c>
      <c r="I25" s="22">
        <v>1</v>
      </c>
      <c r="J25" s="28" t="s">
        <v>18</v>
      </c>
      <c r="K25" s="24">
        <f t="shared" ref="K25:K27" si="2">M25/L25</f>
        <v>3</v>
      </c>
      <c r="L25" s="25">
        <v>4.4</v>
      </c>
      <c r="M25" s="26">
        <v>13.2</v>
      </c>
      <c r="N25" s="26">
        <v>13.2</v>
      </c>
    </row>
    <row r="26" spans="4:14">
      <c r="D26" s="21">
        <v>46107</v>
      </c>
      <c r="E26" s="22">
        <v>1589540</v>
      </c>
      <c r="F26" s="22" t="s">
        <v>20</v>
      </c>
      <c r="G26" s="22">
        <v>20383301</v>
      </c>
      <c r="H26" s="22" t="s">
        <v>592</v>
      </c>
      <c r="I26" s="22">
        <v>4</v>
      </c>
      <c r="J26" s="28" t="s">
        <v>18</v>
      </c>
      <c r="K26" s="24">
        <f t="shared" si="2"/>
        <v>3</v>
      </c>
      <c r="L26" s="25">
        <v>4.4</v>
      </c>
      <c r="M26" s="26">
        <v>13.2</v>
      </c>
      <c r="N26" s="26">
        <v>52.8</v>
      </c>
    </row>
    <row r="27" spans="4:14">
      <c r="D27" s="33">
        <v>46111</v>
      </c>
      <c r="E27" s="34">
        <v>1590452</v>
      </c>
      <c r="F27" s="34" t="s">
        <v>20</v>
      </c>
      <c r="G27" s="34">
        <v>20383301</v>
      </c>
      <c r="H27" s="34" t="s">
        <v>592</v>
      </c>
      <c r="I27" s="34">
        <v>5</v>
      </c>
      <c r="J27" s="28" t="s">
        <v>18</v>
      </c>
      <c r="K27" s="24">
        <f t="shared" si="2"/>
        <v>3</v>
      </c>
      <c r="L27" s="25">
        <v>4.4</v>
      </c>
      <c r="M27" s="26">
        <v>13.2</v>
      </c>
      <c r="N27" s="26">
        <v>66</v>
      </c>
    </row>
  </sheetData>
  <autoFilter xmlns:etc="http://www.wps.cn/officeDocument/2017/etCustomData" ref="A7:N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5" customWidth="1"/>
    <col min="12" max="12" width="12.625" customWidth="1"/>
    <col min="13" max="13" width="12.2083333333333" customWidth="1"/>
    <col min="14" max="14" width="12.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595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36</v>
      </c>
      <c r="J8" s="13"/>
      <c r="K8" s="14"/>
      <c r="L8" s="14"/>
      <c r="M8" s="14"/>
      <c r="N8" s="14">
        <v>475.2</v>
      </c>
    </row>
    <row r="9" spans="1:14">
      <c r="D9" s="15">
        <v>46086</v>
      </c>
      <c r="E9" s="16">
        <v>1582555</v>
      </c>
      <c r="F9" s="16" t="s">
        <v>20</v>
      </c>
      <c r="G9" s="16">
        <v>20383301</v>
      </c>
      <c r="H9" s="16" t="s">
        <v>592</v>
      </c>
      <c r="I9" s="16">
        <v>7</v>
      </c>
      <c r="J9" s="32" t="s">
        <v>18</v>
      </c>
      <c r="K9" s="18">
        <f t="shared" ref="K9:K12" si="0">M9/L9</f>
        <v>3</v>
      </c>
      <c r="L9" s="19">
        <v>4.4</v>
      </c>
      <c r="M9" s="20">
        <v>13.2</v>
      </c>
      <c r="N9" s="20">
        <v>92.4</v>
      </c>
    </row>
    <row r="10" spans="1:14">
      <c r="D10" s="21">
        <v>46090</v>
      </c>
      <c r="E10" s="22">
        <v>1583392</v>
      </c>
      <c r="F10" s="22" t="s">
        <v>20</v>
      </c>
      <c r="G10" s="22">
        <v>20383301</v>
      </c>
      <c r="H10" s="22" t="s">
        <v>592</v>
      </c>
      <c r="I10" s="22">
        <v>7</v>
      </c>
      <c r="J10" s="28" t="s">
        <v>18</v>
      </c>
      <c r="K10" s="24">
        <f t="shared" si="0"/>
        <v>3</v>
      </c>
      <c r="L10" s="25">
        <v>4.4</v>
      </c>
      <c r="M10" s="26">
        <v>13.2</v>
      </c>
      <c r="N10" s="26">
        <v>92.4</v>
      </c>
    </row>
    <row r="11" spans="1:14">
      <c r="D11" s="21">
        <v>46099</v>
      </c>
      <c r="E11" s="22">
        <v>1587139</v>
      </c>
      <c r="F11" s="22" t="s">
        <v>20</v>
      </c>
      <c r="G11" s="22">
        <v>20383301</v>
      </c>
      <c r="H11" s="22" t="s">
        <v>592</v>
      </c>
      <c r="I11" s="22">
        <v>9</v>
      </c>
      <c r="J11" s="28" t="s">
        <v>18</v>
      </c>
      <c r="K11" s="24">
        <f t="shared" si="0"/>
        <v>3</v>
      </c>
      <c r="L11" s="25">
        <v>4.4</v>
      </c>
      <c r="M11" s="26">
        <v>13.2</v>
      </c>
      <c r="N11" s="26">
        <v>118.8</v>
      </c>
    </row>
    <row r="12" spans="1:14">
      <c r="D12" s="21">
        <v>46107</v>
      </c>
      <c r="E12" s="22">
        <v>1589539</v>
      </c>
      <c r="F12" s="22" t="s">
        <v>20</v>
      </c>
      <c r="G12" s="22">
        <v>20383301</v>
      </c>
      <c r="H12" s="22" t="s">
        <v>592</v>
      </c>
      <c r="I12" s="22">
        <v>13</v>
      </c>
      <c r="J12" s="28" t="s">
        <v>18</v>
      </c>
      <c r="K12" s="24">
        <f t="shared" si="0"/>
        <v>3</v>
      </c>
      <c r="L12" s="25">
        <v>4.4</v>
      </c>
      <c r="M12" s="26">
        <v>13.2</v>
      </c>
      <c r="N12" s="26">
        <v>171.6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875" customWidth="1"/>
    <col min="12" max="12" width="14.62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596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</v>
      </c>
      <c r="J8" s="13"/>
      <c r="K8" s="14"/>
      <c r="L8" s="14"/>
      <c r="M8" s="14"/>
      <c r="N8" s="14">
        <v>13.2</v>
      </c>
    </row>
    <row r="9" spans="1:14">
      <c r="D9" s="15">
        <v>46083</v>
      </c>
      <c r="E9" s="16">
        <v>1581566</v>
      </c>
      <c r="F9" s="16" t="s">
        <v>20</v>
      </c>
      <c r="G9" s="16">
        <v>20333384</v>
      </c>
      <c r="H9" s="16" t="s">
        <v>597</v>
      </c>
      <c r="I9" s="16">
        <v>1</v>
      </c>
      <c r="J9" s="31" t="s">
        <v>145</v>
      </c>
      <c r="K9" s="18">
        <f>M9/L9</f>
        <v>3</v>
      </c>
      <c r="L9" s="19">
        <v>4.4</v>
      </c>
      <c r="M9" s="20">
        <v>13.2</v>
      </c>
      <c r="N9" s="20">
        <v>13.2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L23" sqref="L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875" customWidth="1"/>
    <col min="12" max="12" width="14.62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598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</v>
      </c>
      <c r="J8" s="13"/>
      <c r="K8" s="14"/>
      <c r="L8" s="14"/>
      <c r="M8" s="14"/>
      <c r="N8" s="14">
        <v>15.2</v>
      </c>
    </row>
    <row r="9" spans="1:14">
      <c r="D9" s="15">
        <v>46086</v>
      </c>
      <c r="E9" s="16">
        <v>1582556</v>
      </c>
      <c r="F9" s="16" t="s">
        <v>20</v>
      </c>
      <c r="G9" s="16">
        <v>20324557</v>
      </c>
      <c r="H9" s="16" t="s">
        <v>137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46086</v>
      </c>
      <c r="E10" s="22">
        <v>1582556</v>
      </c>
      <c r="F10" s="22" t="s">
        <v>20</v>
      </c>
      <c r="G10" s="22">
        <v>20324559</v>
      </c>
      <c r="H10" s="22" t="s">
        <v>138</v>
      </c>
      <c r="I10" s="22">
        <v>1</v>
      </c>
      <c r="J10" s="27" t="s">
        <v>25</v>
      </c>
      <c r="K10" s="24">
        <v>1</v>
      </c>
      <c r="L10" s="25">
        <v>8.8</v>
      </c>
      <c r="M10" s="26">
        <v>8.8</v>
      </c>
      <c r="N10" s="26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topLeftCell="C1" workbookViewId="0">
      <pane ySplit="6" topLeftCell="A7" activePane="bottomLeft" state="frozen"/>
      <selection/>
      <selection pane="bottomLeft" activeCell="N9" sqref="N9:N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3.25" customWidth="1"/>
    <col min="11" max="11" width="19.875" customWidth="1"/>
    <col min="12" max="12" width="14.62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599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248</v>
      </c>
      <c r="J8" s="13"/>
      <c r="K8" s="14"/>
      <c r="L8" s="14"/>
      <c r="M8" s="14"/>
      <c r="N8" s="14">
        <v>1439.6</v>
      </c>
    </row>
    <row r="9" spans="1:14">
      <c r="D9" s="15">
        <v>46083</v>
      </c>
      <c r="E9" s="16">
        <v>1581567</v>
      </c>
      <c r="F9" s="16" t="s">
        <v>20</v>
      </c>
      <c r="G9" s="16">
        <v>20324557</v>
      </c>
      <c r="H9" s="16" t="s">
        <v>137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46083</v>
      </c>
      <c r="E10" s="22">
        <v>1581567</v>
      </c>
      <c r="F10" s="22" t="s">
        <v>20</v>
      </c>
      <c r="G10" s="22">
        <v>20329256</v>
      </c>
      <c r="H10" s="22" t="s">
        <v>600</v>
      </c>
      <c r="I10" s="22">
        <v>15</v>
      </c>
      <c r="J10" s="28" t="s">
        <v>18</v>
      </c>
      <c r="K10" s="24">
        <f t="shared" ref="K10:K12" si="0">M10/L10</f>
        <v>3</v>
      </c>
      <c r="L10" s="25">
        <v>4.4</v>
      </c>
      <c r="M10" s="26">
        <v>13.2</v>
      </c>
      <c r="N10" s="26">
        <v>198</v>
      </c>
    </row>
    <row r="11" spans="1:14">
      <c r="D11" s="21">
        <v>46087</v>
      </c>
      <c r="E11" s="22">
        <v>1582866</v>
      </c>
      <c r="F11" s="22" t="s">
        <v>20</v>
      </c>
      <c r="G11" s="22">
        <v>20329256</v>
      </c>
      <c r="H11" s="22" t="s">
        <v>600</v>
      </c>
      <c r="I11" s="22">
        <v>8</v>
      </c>
      <c r="J11" s="28" t="s">
        <v>18</v>
      </c>
      <c r="K11" s="24">
        <f t="shared" si="0"/>
        <v>3</v>
      </c>
      <c r="L11" s="25">
        <v>4.4</v>
      </c>
      <c r="M11" s="26">
        <v>13.2</v>
      </c>
      <c r="N11" s="26">
        <v>105.6</v>
      </c>
    </row>
    <row r="12" spans="1:14">
      <c r="D12" s="21">
        <v>46095</v>
      </c>
      <c r="E12" s="22">
        <v>1585929</v>
      </c>
      <c r="F12" s="22" t="s">
        <v>20</v>
      </c>
      <c r="G12" s="22">
        <v>20329256</v>
      </c>
      <c r="H12" s="22" t="s">
        <v>600</v>
      </c>
      <c r="I12" s="22">
        <v>6</v>
      </c>
      <c r="J12" s="28" t="s">
        <v>18</v>
      </c>
      <c r="K12" s="24">
        <f t="shared" si="0"/>
        <v>3</v>
      </c>
      <c r="L12" s="25">
        <v>4.4</v>
      </c>
      <c r="M12" s="26">
        <v>13.2</v>
      </c>
      <c r="N12" s="26">
        <v>79.2</v>
      </c>
    </row>
    <row r="13" spans="1:14">
      <c r="D13" s="21">
        <v>46095</v>
      </c>
      <c r="E13" s="22">
        <v>1585938</v>
      </c>
      <c r="F13" s="22" t="s">
        <v>20</v>
      </c>
      <c r="G13" s="22">
        <v>20324557</v>
      </c>
      <c r="H13" s="22" t="s">
        <v>137</v>
      </c>
      <c r="I13" s="22">
        <v>1</v>
      </c>
      <c r="J13" s="23" t="s">
        <v>22</v>
      </c>
      <c r="K13" s="24">
        <v>1</v>
      </c>
      <c r="L13" s="25">
        <v>6.4</v>
      </c>
      <c r="M13" s="26">
        <v>6.4</v>
      </c>
      <c r="N13" s="26">
        <v>6.4</v>
      </c>
    </row>
    <row r="14" spans="1:14">
      <c r="D14" s="21">
        <v>46095</v>
      </c>
      <c r="E14" s="22">
        <v>1585938</v>
      </c>
      <c r="F14" s="22" t="s">
        <v>20</v>
      </c>
      <c r="G14" s="22">
        <v>20324559</v>
      </c>
      <c r="H14" s="22" t="s">
        <v>138</v>
      </c>
      <c r="I14" s="22">
        <v>2</v>
      </c>
      <c r="J14" s="27" t="s">
        <v>25</v>
      </c>
      <c r="K14" s="24">
        <v>1</v>
      </c>
      <c r="L14" s="25">
        <v>8.8</v>
      </c>
      <c r="M14" s="26">
        <v>8.8</v>
      </c>
      <c r="N14" s="26">
        <v>17.6</v>
      </c>
    </row>
    <row r="15" spans="1:14">
      <c r="D15" s="21">
        <v>46095</v>
      </c>
      <c r="E15" s="22">
        <v>1585963</v>
      </c>
      <c r="F15" s="22" t="s">
        <v>20</v>
      </c>
      <c r="G15" s="22">
        <v>20324413</v>
      </c>
      <c r="H15" s="22" t="s">
        <v>43</v>
      </c>
      <c r="I15" s="22">
        <v>5</v>
      </c>
      <c r="J15" s="23" t="s">
        <v>22</v>
      </c>
      <c r="K15" s="24">
        <v>1</v>
      </c>
      <c r="L15" s="25">
        <v>6.4</v>
      </c>
      <c r="M15" s="26">
        <v>6.4</v>
      </c>
      <c r="N15" s="26">
        <v>32</v>
      </c>
    </row>
    <row r="16" spans="1:14">
      <c r="D16" s="21">
        <v>46095</v>
      </c>
      <c r="E16" s="22">
        <v>1585963</v>
      </c>
      <c r="F16" s="22" t="s">
        <v>20</v>
      </c>
      <c r="G16" s="22">
        <v>20324364</v>
      </c>
      <c r="H16" s="22" t="s">
        <v>23</v>
      </c>
      <c r="I16" s="22">
        <v>1</v>
      </c>
      <c r="J16" s="23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46095</v>
      </c>
      <c r="E17" s="22">
        <v>1586000</v>
      </c>
      <c r="F17" s="29" t="s">
        <v>20</v>
      </c>
      <c r="G17" s="22">
        <v>20332947</v>
      </c>
      <c r="H17" s="22" t="s">
        <v>601</v>
      </c>
      <c r="I17" s="22">
        <v>1</v>
      </c>
      <c r="J17" s="30" t="s">
        <v>205</v>
      </c>
      <c r="K17" s="24">
        <v>1</v>
      </c>
      <c r="L17" s="25">
        <v>28</v>
      </c>
      <c r="M17" s="26">
        <v>28</v>
      </c>
      <c r="N17" s="26">
        <v>28</v>
      </c>
    </row>
    <row r="18" spans="4:14">
      <c r="D18" s="21">
        <v>46101</v>
      </c>
      <c r="E18" s="22">
        <v>1587937</v>
      </c>
      <c r="F18" s="22" t="s">
        <v>20</v>
      </c>
      <c r="G18" s="22">
        <v>20338571</v>
      </c>
      <c r="H18" s="22" t="s">
        <v>561</v>
      </c>
      <c r="I18" s="22">
        <v>2</v>
      </c>
      <c r="J18" s="27" t="s">
        <v>145</v>
      </c>
      <c r="K18" s="24">
        <f t="shared" ref="K18:K22" si="1">M18/L18</f>
        <v>3</v>
      </c>
      <c r="L18" s="25">
        <v>4.4</v>
      </c>
      <c r="M18" s="26">
        <v>13.2</v>
      </c>
      <c r="N18" s="26">
        <v>26.4</v>
      </c>
    </row>
    <row r="19" spans="4:14">
      <c r="D19" s="21">
        <v>46101</v>
      </c>
      <c r="E19" s="22">
        <v>1587937</v>
      </c>
      <c r="F19" s="22" t="s">
        <v>20</v>
      </c>
      <c r="G19" s="22">
        <v>20324559</v>
      </c>
      <c r="H19" s="22" t="s">
        <v>138</v>
      </c>
      <c r="I19" s="22">
        <v>1</v>
      </c>
      <c r="J19" s="27" t="s">
        <v>25</v>
      </c>
      <c r="K19" s="24">
        <v>1</v>
      </c>
      <c r="L19" s="25">
        <v>8.8</v>
      </c>
      <c r="M19" s="26">
        <v>8.8</v>
      </c>
      <c r="N19" s="26">
        <v>8.8</v>
      </c>
    </row>
    <row r="20" spans="4:14">
      <c r="D20" s="21">
        <v>46101</v>
      </c>
      <c r="E20" s="22">
        <v>1587937</v>
      </c>
      <c r="F20" s="22" t="s">
        <v>20</v>
      </c>
      <c r="G20" s="22">
        <v>20329256</v>
      </c>
      <c r="H20" s="22" t="s">
        <v>600</v>
      </c>
      <c r="I20" s="22">
        <v>14</v>
      </c>
      <c r="J20" s="28" t="s">
        <v>18</v>
      </c>
      <c r="K20" s="24">
        <f t="shared" si="1"/>
        <v>3</v>
      </c>
      <c r="L20" s="25">
        <v>4.4</v>
      </c>
      <c r="M20" s="26">
        <v>13.2</v>
      </c>
      <c r="N20" s="26">
        <v>184.8</v>
      </c>
    </row>
    <row r="21" spans="4:14">
      <c r="D21" s="21">
        <v>46106</v>
      </c>
      <c r="E21" s="22">
        <v>1589152</v>
      </c>
      <c r="F21" s="22" t="s">
        <v>20</v>
      </c>
      <c r="G21" s="22">
        <v>20324364</v>
      </c>
      <c r="H21" s="22" t="s">
        <v>23</v>
      </c>
      <c r="I21" s="22">
        <v>1</v>
      </c>
      <c r="J21" s="23" t="s">
        <v>22</v>
      </c>
      <c r="K21" s="24">
        <v>1</v>
      </c>
      <c r="L21" s="25">
        <v>6.4</v>
      </c>
      <c r="M21" s="26">
        <v>6.4</v>
      </c>
      <c r="N21" s="26">
        <v>6.4</v>
      </c>
    </row>
    <row r="22" spans="4:14">
      <c r="D22" s="21">
        <v>46106</v>
      </c>
      <c r="E22" s="22">
        <v>1589152</v>
      </c>
      <c r="F22" s="22" t="s">
        <v>20</v>
      </c>
      <c r="G22" s="22">
        <v>20329256</v>
      </c>
      <c r="H22" s="22" t="s">
        <v>600</v>
      </c>
      <c r="I22" s="22">
        <v>15</v>
      </c>
      <c r="J22" s="28" t="s">
        <v>18</v>
      </c>
      <c r="K22" s="24">
        <f t="shared" si="1"/>
        <v>3</v>
      </c>
      <c r="L22" s="25">
        <v>4.4</v>
      </c>
      <c r="M22" s="26">
        <v>13.2</v>
      </c>
      <c r="N22" s="26">
        <v>198</v>
      </c>
    </row>
    <row r="23" spans="4:14">
      <c r="D23" s="21">
        <v>46111</v>
      </c>
      <c r="E23" s="22">
        <v>1590441</v>
      </c>
      <c r="F23" s="22" t="s">
        <v>55</v>
      </c>
      <c r="G23" s="22">
        <v>20324850</v>
      </c>
      <c r="H23" s="22" t="s">
        <v>602</v>
      </c>
      <c r="I23" s="22">
        <v>156</v>
      </c>
      <c r="J23" s="28" t="s">
        <v>78</v>
      </c>
      <c r="K23" s="24">
        <v>1</v>
      </c>
      <c r="L23" s="25">
        <v>2</v>
      </c>
      <c r="M23" s="26">
        <v>2</v>
      </c>
      <c r="N23" s="26">
        <v>312</v>
      </c>
    </row>
    <row r="24" spans="4:14">
      <c r="D24" s="21">
        <v>46112</v>
      </c>
      <c r="E24" s="22">
        <v>1590522</v>
      </c>
      <c r="F24" s="22" t="s">
        <v>20</v>
      </c>
      <c r="G24" s="22">
        <v>20324413</v>
      </c>
      <c r="H24" s="22" t="s">
        <v>43</v>
      </c>
      <c r="I24" s="22">
        <v>1</v>
      </c>
      <c r="J24" s="23" t="s">
        <v>22</v>
      </c>
      <c r="K24" s="24">
        <v>1</v>
      </c>
      <c r="L24" s="25">
        <v>6.4</v>
      </c>
      <c r="M24" s="26">
        <v>6.4</v>
      </c>
      <c r="N24" s="26">
        <v>6.4</v>
      </c>
    </row>
    <row r="25" spans="4:14">
      <c r="D25" s="21">
        <v>46112</v>
      </c>
      <c r="E25" s="22">
        <v>1590522</v>
      </c>
      <c r="F25" s="22" t="s">
        <v>20</v>
      </c>
      <c r="G25" s="22">
        <v>20324557</v>
      </c>
      <c r="H25" s="22" t="s">
        <v>137</v>
      </c>
      <c r="I25" s="22">
        <v>1</v>
      </c>
      <c r="J25" s="23" t="s">
        <v>22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21">
        <v>46112</v>
      </c>
      <c r="E26" s="22">
        <v>1590522</v>
      </c>
      <c r="F26" s="22" t="s">
        <v>20</v>
      </c>
      <c r="G26" s="22">
        <v>20324363</v>
      </c>
      <c r="H26" s="22" t="s">
        <v>91</v>
      </c>
      <c r="I26" s="22">
        <v>1</v>
      </c>
      <c r="J26" s="23" t="s">
        <v>22</v>
      </c>
      <c r="K26" s="24">
        <v>1</v>
      </c>
      <c r="L26" s="25">
        <v>6.4</v>
      </c>
      <c r="M26" s="26">
        <v>6.4</v>
      </c>
      <c r="N26" s="26">
        <v>6.4</v>
      </c>
    </row>
    <row r="27" spans="4:14">
      <c r="D27" s="21">
        <v>46112</v>
      </c>
      <c r="E27" s="22">
        <v>1590522</v>
      </c>
      <c r="F27" s="22" t="s">
        <v>20</v>
      </c>
      <c r="G27" s="22">
        <v>20329256</v>
      </c>
      <c r="H27" s="22" t="s">
        <v>600</v>
      </c>
      <c r="I27" s="22">
        <v>15</v>
      </c>
      <c r="J27" s="28" t="s">
        <v>18</v>
      </c>
      <c r="K27" s="24">
        <f>M27/L27</f>
        <v>3</v>
      </c>
      <c r="L27" s="25">
        <v>4.4</v>
      </c>
      <c r="M27" s="26">
        <v>13.2</v>
      </c>
      <c r="N27" s="26">
        <v>198</v>
      </c>
    </row>
  </sheetData>
  <autoFilter xmlns:etc="http://www.wps.cn/officeDocument/2017/etCustomData" ref="A7:N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92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875" customWidth="1"/>
    <col min="12" max="12" width="14.62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603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29</v>
      </c>
      <c r="J8" s="13"/>
      <c r="K8" s="14"/>
      <c r="L8" s="14"/>
      <c r="M8" s="14"/>
      <c r="N8" s="14">
        <v>413.2</v>
      </c>
    </row>
    <row r="9" spans="1:14">
      <c r="D9" s="15">
        <v>46083</v>
      </c>
      <c r="E9" s="16">
        <v>1581559</v>
      </c>
      <c r="F9" s="16" t="s">
        <v>20</v>
      </c>
      <c r="G9" s="16">
        <v>20324364</v>
      </c>
      <c r="H9" s="16" t="s">
        <v>23</v>
      </c>
      <c r="I9" s="16">
        <v>2</v>
      </c>
      <c r="J9" s="17" t="s">
        <v>22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46085</v>
      </c>
      <c r="E10" s="22">
        <v>1582181</v>
      </c>
      <c r="F10" s="22" t="s">
        <v>16</v>
      </c>
      <c r="G10" s="22">
        <v>20324065</v>
      </c>
      <c r="H10" s="22" t="s">
        <v>604</v>
      </c>
      <c r="I10" s="22">
        <v>1</v>
      </c>
      <c r="J10" s="28" t="s">
        <v>18</v>
      </c>
      <c r="K10" s="24">
        <f>M10/L10</f>
        <v>14</v>
      </c>
      <c r="L10" s="25">
        <v>4.4</v>
      </c>
      <c r="M10" s="26">
        <v>61.6</v>
      </c>
      <c r="N10" s="26">
        <v>61.6</v>
      </c>
    </row>
    <row r="11" spans="1:14">
      <c r="D11" s="21">
        <v>46085</v>
      </c>
      <c r="E11" s="22">
        <v>1582181</v>
      </c>
      <c r="F11" s="22" t="s">
        <v>20</v>
      </c>
      <c r="G11" s="22">
        <v>20324364</v>
      </c>
      <c r="H11" s="22" t="s">
        <v>23</v>
      </c>
      <c r="I11" s="22">
        <v>2</v>
      </c>
      <c r="J11" s="23" t="s">
        <v>22</v>
      </c>
      <c r="K11" s="24">
        <v>1</v>
      </c>
      <c r="L11" s="25">
        <v>6.4</v>
      </c>
      <c r="M11" s="26">
        <v>6.4</v>
      </c>
      <c r="N11" s="26">
        <v>12.8</v>
      </c>
    </row>
    <row r="12" spans="1:14">
      <c r="D12" s="21">
        <v>46085</v>
      </c>
      <c r="E12" s="22">
        <v>1582181</v>
      </c>
      <c r="F12" s="22" t="s">
        <v>20</v>
      </c>
      <c r="G12" s="22">
        <v>20337431</v>
      </c>
      <c r="H12" s="22" t="s">
        <v>605</v>
      </c>
      <c r="I12" s="22">
        <v>1</v>
      </c>
      <c r="J12" s="23" t="s">
        <v>22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21">
        <v>46085</v>
      </c>
      <c r="E13" s="22">
        <v>1582181</v>
      </c>
      <c r="F13" s="22" t="s">
        <v>16</v>
      </c>
      <c r="G13" s="22">
        <v>20327184</v>
      </c>
      <c r="H13" s="22" t="s">
        <v>606</v>
      </c>
      <c r="I13" s="22">
        <v>1</v>
      </c>
      <c r="J13" s="28" t="s">
        <v>18</v>
      </c>
      <c r="K13" s="24">
        <f>M13/L13</f>
        <v>15</v>
      </c>
      <c r="L13" s="25">
        <v>4.4</v>
      </c>
      <c r="M13" s="26">
        <v>66</v>
      </c>
      <c r="N13" s="26">
        <v>66</v>
      </c>
    </row>
    <row r="14" spans="1:14">
      <c r="D14" s="21">
        <v>46090</v>
      </c>
      <c r="E14" s="22">
        <v>1583393</v>
      </c>
      <c r="F14" s="22" t="s">
        <v>20</v>
      </c>
      <c r="G14" s="22">
        <v>20324364</v>
      </c>
      <c r="H14" s="22" t="s">
        <v>23</v>
      </c>
      <c r="I14" s="22">
        <v>2</v>
      </c>
      <c r="J14" s="23" t="s">
        <v>22</v>
      </c>
      <c r="K14" s="24">
        <v>1</v>
      </c>
      <c r="L14" s="25">
        <v>6.4</v>
      </c>
      <c r="M14" s="26">
        <v>6.4</v>
      </c>
      <c r="N14" s="26">
        <v>12.8</v>
      </c>
    </row>
    <row r="15" spans="1:14">
      <c r="D15" s="21">
        <v>46092</v>
      </c>
      <c r="E15" s="22">
        <v>1585147</v>
      </c>
      <c r="F15" s="22" t="s">
        <v>20</v>
      </c>
      <c r="G15" s="22">
        <v>20324364</v>
      </c>
      <c r="H15" s="22" t="s">
        <v>23</v>
      </c>
      <c r="I15" s="22">
        <v>1</v>
      </c>
      <c r="J15" s="23" t="s">
        <v>22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21">
        <v>46092</v>
      </c>
      <c r="E16" s="22">
        <v>1585147</v>
      </c>
      <c r="F16" s="22" t="s">
        <v>20</v>
      </c>
      <c r="G16" s="22">
        <v>20324363</v>
      </c>
      <c r="H16" s="22" t="s">
        <v>91</v>
      </c>
      <c r="I16" s="22">
        <v>1</v>
      </c>
      <c r="J16" s="23" t="s">
        <v>22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46095</v>
      </c>
      <c r="E17" s="22">
        <v>1585930</v>
      </c>
      <c r="F17" s="22" t="s">
        <v>20</v>
      </c>
      <c r="G17" s="22">
        <v>20324364</v>
      </c>
      <c r="H17" s="22" t="s">
        <v>23</v>
      </c>
      <c r="I17" s="22">
        <v>2</v>
      </c>
      <c r="J17" s="23" t="s">
        <v>22</v>
      </c>
      <c r="K17" s="24">
        <v>1</v>
      </c>
      <c r="L17" s="25">
        <v>6.4</v>
      </c>
      <c r="M17" s="26">
        <v>6.4</v>
      </c>
      <c r="N17" s="26">
        <v>12.8</v>
      </c>
    </row>
    <row r="18" spans="4:14">
      <c r="D18" s="21">
        <v>46098</v>
      </c>
      <c r="E18" s="22">
        <v>1586885</v>
      </c>
      <c r="F18" s="22" t="s">
        <v>20</v>
      </c>
      <c r="G18" s="22">
        <v>20324364</v>
      </c>
      <c r="H18" s="22" t="s">
        <v>23</v>
      </c>
      <c r="I18" s="22">
        <v>1</v>
      </c>
      <c r="J18" s="23" t="s">
        <v>22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46098</v>
      </c>
      <c r="E19" s="22">
        <v>1586885</v>
      </c>
      <c r="F19" s="22" t="s">
        <v>20</v>
      </c>
      <c r="G19" s="22">
        <v>20324363</v>
      </c>
      <c r="H19" s="22" t="s">
        <v>91</v>
      </c>
      <c r="I19" s="22">
        <v>1</v>
      </c>
      <c r="J19" s="23" t="s">
        <v>22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46099</v>
      </c>
      <c r="E20" s="22">
        <v>1587182</v>
      </c>
      <c r="F20" s="22" t="s">
        <v>20</v>
      </c>
      <c r="G20" s="22">
        <v>20324364</v>
      </c>
      <c r="H20" s="22" t="s">
        <v>23</v>
      </c>
      <c r="I20" s="22">
        <v>1</v>
      </c>
      <c r="J20" s="23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46099</v>
      </c>
      <c r="E21" s="22">
        <v>1587182</v>
      </c>
      <c r="F21" s="22" t="s">
        <v>20</v>
      </c>
      <c r="G21" s="22">
        <v>20324938</v>
      </c>
      <c r="H21" s="22" t="s">
        <v>85</v>
      </c>
      <c r="I21" s="22">
        <v>1</v>
      </c>
      <c r="J21" s="27" t="s">
        <v>25</v>
      </c>
      <c r="K21" s="24">
        <v>1</v>
      </c>
      <c r="L21" s="25">
        <v>8.8</v>
      </c>
      <c r="M21" s="26">
        <v>8.8</v>
      </c>
      <c r="N21" s="26">
        <v>8.8</v>
      </c>
    </row>
    <row r="22" spans="4:14">
      <c r="D22" s="21">
        <v>46100</v>
      </c>
      <c r="E22" s="22">
        <v>1587582</v>
      </c>
      <c r="F22" s="22" t="s">
        <v>20</v>
      </c>
      <c r="G22" s="22">
        <v>20324364</v>
      </c>
      <c r="H22" s="22" t="s">
        <v>23</v>
      </c>
      <c r="I22" s="22">
        <v>2</v>
      </c>
      <c r="J22" s="23" t="s">
        <v>22</v>
      </c>
      <c r="K22" s="24">
        <v>1</v>
      </c>
      <c r="L22" s="25">
        <v>6.4</v>
      </c>
      <c r="M22" s="26">
        <v>6.4</v>
      </c>
      <c r="N22" s="26">
        <v>12.8</v>
      </c>
    </row>
    <row r="23" spans="4:14">
      <c r="D23" s="21">
        <v>46100</v>
      </c>
      <c r="E23" s="22">
        <v>1587582</v>
      </c>
      <c r="F23" s="22" t="s">
        <v>20</v>
      </c>
      <c r="G23" s="22">
        <v>20324533</v>
      </c>
      <c r="H23" s="22" t="s">
        <v>84</v>
      </c>
      <c r="I23" s="22">
        <v>1</v>
      </c>
      <c r="J23" s="23" t="s">
        <v>22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46100</v>
      </c>
      <c r="E24" s="22">
        <v>1587582</v>
      </c>
      <c r="F24" s="22" t="s">
        <v>20</v>
      </c>
      <c r="G24" s="22">
        <v>20324363</v>
      </c>
      <c r="H24" s="22" t="s">
        <v>91</v>
      </c>
      <c r="I24" s="22">
        <v>1</v>
      </c>
      <c r="J24" s="23" t="s">
        <v>22</v>
      </c>
      <c r="K24" s="24">
        <v>1</v>
      </c>
      <c r="L24" s="25">
        <v>6.4</v>
      </c>
      <c r="M24" s="26">
        <v>6.4</v>
      </c>
      <c r="N24" s="26">
        <v>6.4</v>
      </c>
    </row>
    <row r="25" spans="4:14">
      <c r="D25" s="21">
        <v>46101</v>
      </c>
      <c r="E25" s="22">
        <v>1587938</v>
      </c>
      <c r="F25" s="22" t="s">
        <v>16</v>
      </c>
      <c r="G25" s="22">
        <v>20327130</v>
      </c>
      <c r="H25" s="22" t="s">
        <v>607</v>
      </c>
      <c r="I25" s="22">
        <v>1</v>
      </c>
      <c r="J25" s="28" t="s">
        <v>18</v>
      </c>
      <c r="K25" s="24">
        <f>M25/L25</f>
        <v>14</v>
      </c>
      <c r="L25" s="25">
        <v>4.4</v>
      </c>
      <c r="M25" s="26">
        <v>61.6</v>
      </c>
      <c r="N25" s="26">
        <v>61.6</v>
      </c>
    </row>
    <row r="26" spans="4:14">
      <c r="D26" s="21">
        <v>46104</v>
      </c>
      <c r="E26" s="22">
        <v>1588490</v>
      </c>
      <c r="F26" s="22" t="s">
        <v>16</v>
      </c>
      <c r="G26" s="22">
        <v>20324065</v>
      </c>
      <c r="H26" s="22" t="s">
        <v>604</v>
      </c>
      <c r="I26" s="22">
        <v>1</v>
      </c>
      <c r="J26" s="28" t="s">
        <v>18</v>
      </c>
      <c r="K26" s="24">
        <f>M26/L26</f>
        <v>14</v>
      </c>
      <c r="L26" s="25">
        <v>4.4</v>
      </c>
      <c r="M26" s="26">
        <v>61.6</v>
      </c>
      <c r="N26" s="26">
        <v>61.6</v>
      </c>
    </row>
    <row r="27" spans="4:14">
      <c r="D27" s="21">
        <v>46104</v>
      </c>
      <c r="E27" s="22">
        <v>1588490</v>
      </c>
      <c r="F27" s="22" t="s">
        <v>20</v>
      </c>
      <c r="G27" s="22">
        <v>20324364</v>
      </c>
      <c r="H27" s="22" t="s">
        <v>23</v>
      </c>
      <c r="I27" s="22">
        <v>1</v>
      </c>
      <c r="J27" s="23" t="s">
        <v>22</v>
      </c>
      <c r="K27" s="24">
        <v>1</v>
      </c>
      <c r="L27" s="25">
        <v>6.4</v>
      </c>
      <c r="M27" s="26">
        <v>6.4</v>
      </c>
      <c r="N27" s="26">
        <v>6.4</v>
      </c>
    </row>
    <row r="28" spans="4:14">
      <c r="D28" s="21">
        <v>46106</v>
      </c>
      <c r="E28" s="22">
        <v>1589153</v>
      </c>
      <c r="F28" s="22" t="s">
        <v>20</v>
      </c>
      <c r="G28" s="22">
        <v>20324533</v>
      </c>
      <c r="H28" s="22" t="s">
        <v>84</v>
      </c>
      <c r="I28" s="22">
        <v>2</v>
      </c>
      <c r="J28" s="23" t="s">
        <v>22</v>
      </c>
      <c r="K28" s="24">
        <v>1</v>
      </c>
      <c r="L28" s="25">
        <v>6.4</v>
      </c>
      <c r="M28" s="26">
        <v>6.4</v>
      </c>
      <c r="N28" s="26">
        <v>12.8</v>
      </c>
    </row>
    <row r="29" spans="4:14">
      <c r="D29" s="21">
        <v>46106</v>
      </c>
      <c r="E29" s="22">
        <v>1589153</v>
      </c>
      <c r="F29" s="22" t="s">
        <v>20</v>
      </c>
      <c r="G29" s="22">
        <v>20324363</v>
      </c>
      <c r="H29" s="22" t="s">
        <v>91</v>
      </c>
      <c r="I29" s="22">
        <v>1</v>
      </c>
      <c r="J29" s="23" t="s">
        <v>22</v>
      </c>
      <c r="K29" s="24">
        <v>1</v>
      </c>
      <c r="L29" s="25">
        <v>6.4</v>
      </c>
      <c r="M29" s="26">
        <v>6.4</v>
      </c>
      <c r="N29" s="26">
        <v>6.4</v>
      </c>
    </row>
    <row r="30" spans="4:14">
      <c r="D30" s="21">
        <v>46111</v>
      </c>
      <c r="E30" s="22">
        <v>1590453</v>
      </c>
      <c r="F30" s="22" t="s">
        <v>20</v>
      </c>
      <c r="G30" s="22">
        <v>20324364</v>
      </c>
      <c r="H30" s="22" t="s">
        <v>23</v>
      </c>
      <c r="I30" s="22">
        <v>2</v>
      </c>
      <c r="J30" s="23" t="s">
        <v>22</v>
      </c>
      <c r="K30" s="24">
        <v>1</v>
      </c>
      <c r="L30" s="25">
        <v>6.4</v>
      </c>
      <c r="M30" s="26">
        <v>6.4</v>
      </c>
      <c r="N30" s="26">
        <v>12.8</v>
      </c>
    </row>
  </sheetData>
  <autoFilter xmlns:etc="http://www.wps.cn/officeDocument/2017/etCustomData" ref="A7:N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showGridLines="0" view="pageBreakPreview" zoomScaleNormal="100" workbookViewId="0">
      <pane ySplit="6" topLeftCell="A7" activePane="bottomLeft" state="frozen"/>
      <selection/>
      <selection pane="bottomLeft" activeCell="N9" sqref="N9:N6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875" customWidth="1"/>
    <col min="12" max="12" width="14.625" customWidth="1"/>
    <col min="13" max="13" width="12.2083333333333" customWidth="1"/>
    <col min="14" max="14" width="12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608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113</v>
      </c>
      <c r="J8" s="13"/>
      <c r="K8" s="14"/>
      <c r="L8" s="14"/>
      <c r="M8" s="14"/>
      <c r="N8" s="14">
        <v>806.4</v>
      </c>
    </row>
    <row r="9" spans="1:14">
      <c r="D9" s="15">
        <v>46083</v>
      </c>
      <c r="E9" s="16">
        <v>1581568</v>
      </c>
      <c r="F9" s="16" t="s">
        <v>20</v>
      </c>
      <c r="G9" s="16">
        <v>20324370</v>
      </c>
      <c r="H9" s="16" t="s">
        <v>95</v>
      </c>
      <c r="I9" s="16">
        <v>1</v>
      </c>
      <c r="J9" s="17" t="s">
        <v>22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46083</v>
      </c>
      <c r="E10" s="22">
        <v>1581568</v>
      </c>
      <c r="F10" s="22" t="s">
        <v>20</v>
      </c>
      <c r="G10" s="22">
        <v>20324364</v>
      </c>
      <c r="H10" s="22" t="s">
        <v>23</v>
      </c>
      <c r="I10" s="22">
        <v>6</v>
      </c>
      <c r="J10" s="23" t="s">
        <v>22</v>
      </c>
      <c r="K10" s="24">
        <v>1</v>
      </c>
      <c r="L10" s="25">
        <v>6.4</v>
      </c>
      <c r="M10" s="26">
        <v>6.4</v>
      </c>
      <c r="N10" s="26">
        <v>38.4</v>
      </c>
    </row>
    <row r="11" spans="1:14">
      <c r="D11" s="21">
        <v>46083</v>
      </c>
      <c r="E11" s="22">
        <v>1581568</v>
      </c>
      <c r="F11" s="22" t="s">
        <v>20</v>
      </c>
      <c r="G11" s="22">
        <v>20324414</v>
      </c>
      <c r="H11" s="22" t="s">
        <v>609</v>
      </c>
      <c r="I11" s="22">
        <v>1</v>
      </c>
      <c r="J11" s="27" t="s">
        <v>145</v>
      </c>
      <c r="K11" s="24">
        <f>M11/L11</f>
        <v>3</v>
      </c>
      <c r="L11" s="25">
        <v>4.4</v>
      </c>
      <c r="M11" s="26">
        <v>13.2</v>
      </c>
      <c r="N11" s="26">
        <v>13.2</v>
      </c>
    </row>
    <row r="12" spans="1:14">
      <c r="D12" s="21">
        <v>46083</v>
      </c>
      <c r="E12" s="22">
        <v>1581568</v>
      </c>
      <c r="F12" s="22" t="s">
        <v>20</v>
      </c>
      <c r="G12" s="22">
        <v>20324707</v>
      </c>
      <c r="H12" s="22" t="s">
        <v>610</v>
      </c>
      <c r="I12" s="22">
        <v>2</v>
      </c>
      <c r="J12" s="23" t="s">
        <v>22</v>
      </c>
      <c r="K12" s="24">
        <v>1</v>
      </c>
      <c r="L12" s="25">
        <v>6.4</v>
      </c>
      <c r="M12" s="26">
        <v>6.4</v>
      </c>
      <c r="N12" s="26">
        <v>12.8</v>
      </c>
    </row>
    <row r="13" spans="1:14">
      <c r="D13" s="21">
        <v>46085</v>
      </c>
      <c r="E13" s="22">
        <v>1582182</v>
      </c>
      <c r="F13" s="22" t="s">
        <v>20</v>
      </c>
      <c r="G13" s="22">
        <v>20324364</v>
      </c>
      <c r="H13" s="22" t="s">
        <v>23</v>
      </c>
      <c r="I13" s="22">
        <v>5</v>
      </c>
      <c r="J13" s="23" t="s">
        <v>22</v>
      </c>
      <c r="K13" s="24">
        <v>1</v>
      </c>
      <c r="L13" s="25">
        <v>6.4</v>
      </c>
      <c r="M13" s="26">
        <v>6.4</v>
      </c>
      <c r="N13" s="26">
        <v>32</v>
      </c>
    </row>
    <row r="14" spans="1:14">
      <c r="D14" s="21">
        <v>46085</v>
      </c>
      <c r="E14" s="22">
        <v>1582182</v>
      </c>
      <c r="F14" s="22" t="s">
        <v>20</v>
      </c>
      <c r="G14" s="22">
        <v>20324707</v>
      </c>
      <c r="H14" s="22" t="s">
        <v>610</v>
      </c>
      <c r="I14" s="22">
        <v>2</v>
      </c>
      <c r="J14" s="23" t="s">
        <v>22</v>
      </c>
      <c r="K14" s="24">
        <v>1</v>
      </c>
      <c r="L14" s="25">
        <v>6.4</v>
      </c>
      <c r="M14" s="26">
        <v>6.4</v>
      </c>
      <c r="N14" s="26">
        <v>12.8</v>
      </c>
    </row>
    <row r="15" spans="1:14">
      <c r="D15" s="21">
        <v>46087</v>
      </c>
      <c r="E15" s="22">
        <v>1582865</v>
      </c>
      <c r="F15" s="22" t="s">
        <v>20</v>
      </c>
      <c r="G15" s="22">
        <v>20324364</v>
      </c>
      <c r="H15" s="22" t="s">
        <v>23</v>
      </c>
      <c r="I15" s="22">
        <v>3</v>
      </c>
      <c r="J15" s="23" t="s">
        <v>22</v>
      </c>
      <c r="K15" s="24">
        <v>1</v>
      </c>
      <c r="L15" s="25">
        <v>6.4</v>
      </c>
      <c r="M15" s="26">
        <v>6.4</v>
      </c>
      <c r="N15" s="26">
        <v>19.2</v>
      </c>
    </row>
    <row r="16" spans="1:14">
      <c r="D16" s="21">
        <v>46087</v>
      </c>
      <c r="E16" s="22">
        <v>1582865</v>
      </c>
      <c r="F16" s="22" t="s">
        <v>20</v>
      </c>
      <c r="G16" s="22">
        <v>20324414</v>
      </c>
      <c r="H16" s="22" t="s">
        <v>609</v>
      </c>
      <c r="I16" s="22">
        <v>1</v>
      </c>
      <c r="J16" s="27" t="s">
        <v>145</v>
      </c>
      <c r="K16" s="24">
        <f>M16/L16</f>
        <v>3</v>
      </c>
      <c r="L16" s="25">
        <v>4.4</v>
      </c>
      <c r="M16" s="26">
        <v>13.2</v>
      </c>
      <c r="N16" s="26">
        <v>13.2</v>
      </c>
    </row>
    <row r="17" spans="4:14">
      <c r="D17" s="21">
        <v>46087</v>
      </c>
      <c r="E17" s="22">
        <v>1582865</v>
      </c>
      <c r="F17" s="22" t="s">
        <v>20</v>
      </c>
      <c r="G17" s="22">
        <v>20324707</v>
      </c>
      <c r="H17" s="22" t="s">
        <v>610</v>
      </c>
      <c r="I17" s="22">
        <v>1</v>
      </c>
      <c r="J17" s="23" t="s">
        <v>22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46092</v>
      </c>
      <c r="E18" s="22">
        <v>1584764</v>
      </c>
      <c r="F18" s="22" t="s">
        <v>20</v>
      </c>
      <c r="G18" s="22">
        <v>20324364</v>
      </c>
      <c r="H18" s="22" t="s">
        <v>23</v>
      </c>
      <c r="I18" s="22">
        <v>3</v>
      </c>
      <c r="J18" s="23" t="s">
        <v>22</v>
      </c>
      <c r="K18" s="24">
        <v>1</v>
      </c>
      <c r="L18" s="25">
        <v>6.4</v>
      </c>
      <c r="M18" s="26">
        <v>6.4</v>
      </c>
      <c r="N18" s="26">
        <v>19.2</v>
      </c>
    </row>
    <row r="19" spans="4:14">
      <c r="D19" s="21">
        <v>46092</v>
      </c>
      <c r="E19" s="22">
        <v>1584764</v>
      </c>
      <c r="F19" s="22" t="s">
        <v>20</v>
      </c>
      <c r="G19" s="22">
        <v>20324367</v>
      </c>
      <c r="H19" s="22" t="s">
        <v>146</v>
      </c>
      <c r="I19" s="22">
        <v>3</v>
      </c>
      <c r="J19" s="23" t="s">
        <v>22</v>
      </c>
      <c r="K19" s="24">
        <v>1</v>
      </c>
      <c r="L19" s="25">
        <v>6.4</v>
      </c>
      <c r="M19" s="26">
        <v>6.4</v>
      </c>
      <c r="N19" s="26">
        <v>19.2</v>
      </c>
    </row>
    <row r="20" spans="4:14">
      <c r="D20" s="21">
        <v>46092</v>
      </c>
      <c r="E20" s="22">
        <v>1584764</v>
      </c>
      <c r="F20" s="22" t="s">
        <v>20</v>
      </c>
      <c r="G20" s="22">
        <v>20324707</v>
      </c>
      <c r="H20" s="22" t="s">
        <v>610</v>
      </c>
      <c r="I20" s="22">
        <v>1</v>
      </c>
      <c r="J20" s="23" t="s">
        <v>22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46092</v>
      </c>
      <c r="E21" s="22">
        <v>1584764</v>
      </c>
      <c r="F21" s="22" t="s">
        <v>20</v>
      </c>
      <c r="G21" s="22">
        <v>20325606</v>
      </c>
      <c r="H21" s="22" t="s">
        <v>611</v>
      </c>
      <c r="I21" s="22">
        <v>4</v>
      </c>
      <c r="J21" s="27" t="s">
        <v>25</v>
      </c>
      <c r="K21" s="24">
        <v>1</v>
      </c>
      <c r="L21" s="25">
        <v>8.8</v>
      </c>
      <c r="M21" s="26">
        <v>8.8</v>
      </c>
      <c r="N21" s="26">
        <v>35.2</v>
      </c>
    </row>
    <row r="22" spans="4:14">
      <c r="D22" s="21">
        <v>46092</v>
      </c>
      <c r="E22" s="22">
        <v>1585148</v>
      </c>
      <c r="F22" s="22" t="s">
        <v>20</v>
      </c>
      <c r="G22" s="22">
        <v>20324370</v>
      </c>
      <c r="H22" s="22" t="s">
        <v>95</v>
      </c>
      <c r="I22" s="22">
        <v>2</v>
      </c>
      <c r="J22" s="23" t="s">
        <v>22</v>
      </c>
      <c r="K22" s="24">
        <v>1</v>
      </c>
      <c r="L22" s="25">
        <v>6.4</v>
      </c>
      <c r="M22" s="26">
        <v>6.4</v>
      </c>
      <c r="N22" s="26">
        <v>12.8</v>
      </c>
    </row>
    <row r="23" spans="4:14">
      <c r="D23" s="21">
        <v>46092</v>
      </c>
      <c r="E23" s="22">
        <v>1585148</v>
      </c>
      <c r="F23" s="22" t="s">
        <v>20</v>
      </c>
      <c r="G23" s="22">
        <v>20324364</v>
      </c>
      <c r="H23" s="22" t="s">
        <v>23</v>
      </c>
      <c r="I23" s="22">
        <v>2</v>
      </c>
      <c r="J23" s="23" t="s">
        <v>22</v>
      </c>
      <c r="K23" s="24">
        <v>1</v>
      </c>
      <c r="L23" s="25">
        <v>6.4</v>
      </c>
      <c r="M23" s="26">
        <v>6.4</v>
      </c>
      <c r="N23" s="26">
        <v>12.8</v>
      </c>
    </row>
    <row r="24" spans="4:14">
      <c r="D24" s="21">
        <v>46092</v>
      </c>
      <c r="E24" s="22">
        <v>1585148</v>
      </c>
      <c r="F24" s="22" t="s">
        <v>20</v>
      </c>
      <c r="G24" s="22">
        <v>20324414</v>
      </c>
      <c r="H24" s="22" t="s">
        <v>609</v>
      </c>
      <c r="I24" s="22">
        <v>1</v>
      </c>
      <c r="J24" s="27" t="s">
        <v>145</v>
      </c>
      <c r="K24" s="24">
        <f>M24/L24</f>
        <v>3</v>
      </c>
      <c r="L24" s="25">
        <v>4.4</v>
      </c>
      <c r="M24" s="26">
        <v>13.2</v>
      </c>
      <c r="N24" s="26">
        <v>13.2</v>
      </c>
    </row>
    <row r="25" spans="4:14">
      <c r="D25" s="21">
        <v>46092</v>
      </c>
      <c r="E25" s="22">
        <v>1585148</v>
      </c>
      <c r="F25" s="22" t="s">
        <v>20</v>
      </c>
      <c r="G25" s="22">
        <v>20325606</v>
      </c>
      <c r="H25" s="22" t="s">
        <v>611</v>
      </c>
      <c r="I25" s="22">
        <v>1</v>
      </c>
      <c r="J25" s="27" t="s">
        <v>25</v>
      </c>
      <c r="K25" s="24">
        <v>1</v>
      </c>
      <c r="L25" s="25">
        <v>8.8</v>
      </c>
      <c r="M25" s="26">
        <v>8.8</v>
      </c>
      <c r="N25" s="26">
        <v>8.8</v>
      </c>
    </row>
    <row r="26" spans="4:14">
      <c r="D26" s="21">
        <v>46092</v>
      </c>
      <c r="E26" s="22">
        <v>1585148</v>
      </c>
      <c r="F26" s="22" t="s">
        <v>20</v>
      </c>
      <c r="G26" s="22">
        <v>20324363</v>
      </c>
      <c r="H26" s="22" t="s">
        <v>91</v>
      </c>
      <c r="I26" s="22">
        <v>2</v>
      </c>
      <c r="J26" s="23" t="s">
        <v>22</v>
      </c>
      <c r="K26" s="24">
        <v>1</v>
      </c>
      <c r="L26" s="25">
        <v>6.4</v>
      </c>
      <c r="M26" s="26">
        <v>6.4</v>
      </c>
      <c r="N26" s="26">
        <v>12.8</v>
      </c>
    </row>
    <row r="27" spans="4:14">
      <c r="D27" s="21">
        <v>46095</v>
      </c>
      <c r="E27" s="22">
        <v>1585931</v>
      </c>
      <c r="F27" s="22" t="s">
        <v>20</v>
      </c>
      <c r="G27" s="22">
        <v>20324364</v>
      </c>
      <c r="H27" s="22" t="s">
        <v>23</v>
      </c>
      <c r="I27" s="22">
        <v>3</v>
      </c>
      <c r="J27" s="23" t="s">
        <v>22</v>
      </c>
      <c r="K27" s="24">
        <v>1</v>
      </c>
      <c r="L27" s="25">
        <v>6.4</v>
      </c>
      <c r="M27" s="26">
        <v>6.4</v>
      </c>
      <c r="N27" s="26">
        <v>19.2</v>
      </c>
    </row>
    <row r="28" spans="4:14">
      <c r="D28" s="21">
        <v>46095</v>
      </c>
      <c r="E28" s="22">
        <v>1585931</v>
      </c>
      <c r="F28" s="22" t="s">
        <v>20</v>
      </c>
      <c r="G28" s="22">
        <v>20324414</v>
      </c>
      <c r="H28" s="22" t="s">
        <v>609</v>
      </c>
      <c r="I28" s="22">
        <v>1</v>
      </c>
      <c r="J28" s="27" t="s">
        <v>145</v>
      </c>
      <c r="K28" s="24">
        <f>M28/L28</f>
        <v>3</v>
      </c>
      <c r="L28" s="25">
        <v>4.4</v>
      </c>
      <c r="M28" s="26">
        <v>13.2</v>
      </c>
      <c r="N28" s="26">
        <v>13.2</v>
      </c>
    </row>
    <row r="29" spans="4:14">
      <c r="D29" s="21">
        <v>46095</v>
      </c>
      <c r="E29" s="22">
        <v>1585931</v>
      </c>
      <c r="F29" s="22" t="s">
        <v>20</v>
      </c>
      <c r="G29" s="22">
        <v>20324367</v>
      </c>
      <c r="H29" s="22" t="s">
        <v>146</v>
      </c>
      <c r="I29" s="22">
        <v>1</v>
      </c>
      <c r="J29" s="23" t="s">
        <v>22</v>
      </c>
      <c r="K29" s="24">
        <v>1</v>
      </c>
      <c r="L29" s="25">
        <v>6.4</v>
      </c>
      <c r="M29" s="26">
        <v>6.4</v>
      </c>
      <c r="N29" s="26">
        <v>6.4</v>
      </c>
    </row>
    <row r="30" spans="4:14">
      <c r="D30" s="21">
        <v>46095</v>
      </c>
      <c r="E30" s="22">
        <v>1585931</v>
      </c>
      <c r="F30" s="22" t="s">
        <v>20</v>
      </c>
      <c r="G30" s="22">
        <v>20324707</v>
      </c>
      <c r="H30" s="22" t="s">
        <v>610</v>
      </c>
      <c r="I30" s="22">
        <v>3</v>
      </c>
      <c r="J30" s="23" t="s">
        <v>22</v>
      </c>
      <c r="K30" s="24">
        <v>1</v>
      </c>
      <c r="L30" s="25">
        <v>6.4</v>
      </c>
      <c r="M30" s="26">
        <v>6.4</v>
      </c>
      <c r="N30" s="26">
        <v>19.2</v>
      </c>
    </row>
    <row r="31" spans="4:14">
      <c r="D31" s="21">
        <v>46095</v>
      </c>
      <c r="E31" s="22">
        <v>1585931</v>
      </c>
      <c r="F31" s="22" t="s">
        <v>20</v>
      </c>
      <c r="G31" s="22">
        <v>20325637</v>
      </c>
      <c r="H31" s="22" t="s">
        <v>612</v>
      </c>
      <c r="I31" s="22">
        <v>1</v>
      </c>
      <c r="J31" s="23" t="s">
        <v>22</v>
      </c>
      <c r="K31" s="24">
        <v>1</v>
      </c>
      <c r="L31" s="25">
        <v>6.4</v>
      </c>
      <c r="M31" s="26">
        <v>6.4</v>
      </c>
      <c r="N31" s="26">
        <v>6.4</v>
      </c>
    </row>
    <row r="32" spans="4:14">
      <c r="D32" s="21">
        <v>46097</v>
      </c>
      <c r="E32" s="22">
        <v>1586449</v>
      </c>
      <c r="F32" s="22" t="s">
        <v>20</v>
      </c>
      <c r="G32" s="22">
        <v>20324364</v>
      </c>
      <c r="H32" s="22" t="s">
        <v>23</v>
      </c>
      <c r="I32" s="22">
        <v>1</v>
      </c>
      <c r="J32" s="23" t="s">
        <v>22</v>
      </c>
      <c r="K32" s="24">
        <v>1</v>
      </c>
      <c r="L32" s="25">
        <v>6.4</v>
      </c>
      <c r="M32" s="26">
        <v>6.4</v>
      </c>
      <c r="N32" s="26">
        <v>6.4</v>
      </c>
    </row>
    <row r="33" spans="4:14">
      <c r="D33" s="21">
        <v>46097</v>
      </c>
      <c r="E33" s="22">
        <v>1586449</v>
      </c>
      <c r="F33" s="22" t="s">
        <v>20</v>
      </c>
      <c r="G33" s="22">
        <v>20324414</v>
      </c>
      <c r="H33" s="22" t="s">
        <v>609</v>
      </c>
      <c r="I33" s="22">
        <v>1</v>
      </c>
      <c r="J33" s="27" t="s">
        <v>145</v>
      </c>
      <c r="K33" s="24">
        <f>M33/L33</f>
        <v>3</v>
      </c>
      <c r="L33" s="25">
        <v>4.4</v>
      </c>
      <c r="M33" s="26">
        <v>13.2</v>
      </c>
      <c r="N33" s="26">
        <v>13.2</v>
      </c>
    </row>
    <row r="34" spans="4:14">
      <c r="D34" s="21">
        <v>46097</v>
      </c>
      <c r="E34" s="22">
        <v>1586449</v>
      </c>
      <c r="F34" s="22" t="s">
        <v>20</v>
      </c>
      <c r="G34" s="22">
        <v>20324707</v>
      </c>
      <c r="H34" s="22" t="s">
        <v>610</v>
      </c>
      <c r="I34" s="22">
        <v>2</v>
      </c>
      <c r="J34" s="23" t="s">
        <v>22</v>
      </c>
      <c r="K34" s="24">
        <v>1</v>
      </c>
      <c r="L34" s="25">
        <v>6.4</v>
      </c>
      <c r="M34" s="26">
        <v>6.4</v>
      </c>
      <c r="N34" s="26">
        <v>12.8</v>
      </c>
    </row>
    <row r="35" spans="4:14">
      <c r="D35" s="21">
        <v>46097</v>
      </c>
      <c r="E35" s="22">
        <v>1586449</v>
      </c>
      <c r="F35" s="22" t="s">
        <v>20</v>
      </c>
      <c r="G35" s="22">
        <v>20325606</v>
      </c>
      <c r="H35" s="22" t="s">
        <v>611</v>
      </c>
      <c r="I35" s="22">
        <v>1</v>
      </c>
      <c r="J35" s="27" t="s">
        <v>25</v>
      </c>
      <c r="K35" s="24">
        <v>1</v>
      </c>
      <c r="L35" s="25">
        <v>8.8</v>
      </c>
      <c r="M35" s="26">
        <v>8.8</v>
      </c>
      <c r="N35" s="26">
        <v>8.8</v>
      </c>
    </row>
    <row r="36" spans="4:14">
      <c r="D36" s="21">
        <v>46098</v>
      </c>
      <c r="E36" s="22">
        <v>1586886</v>
      </c>
      <c r="F36" s="22" t="s">
        <v>20</v>
      </c>
      <c r="G36" s="22">
        <v>20324364</v>
      </c>
      <c r="H36" s="22" t="s">
        <v>23</v>
      </c>
      <c r="I36" s="22">
        <v>3</v>
      </c>
      <c r="J36" s="23" t="s">
        <v>22</v>
      </c>
      <c r="K36" s="24">
        <v>1</v>
      </c>
      <c r="L36" s="25">
        <v>6.4</v>
      </c>
      <c r="M36" s="26">
        <v>6.4</v>
      </c>
      <c r="N36" s="26">
        <v>19.2</v>
      </c>
    </row>
    <row r="37" spans="4:14">
      <c r="D37" s="21">
        <v>46098</v>
      </c>
      <c r="E37" s="22">
        <v>1586886</v>
      </c>
      <c r="F37" s="22" t="s">
        <v>20</v>
      </c>
      <c r="G37" s="22">
        <v>20324707</v>
      </c>
      <c r="H37" s="22" t="s">
        <v>610</v>
      </c>
      <c r="I37" s="22">
        <v>2</v>
      </c>
      <c r="J37" s="23" t="s">
        <v>22</v>
      </c>
      <c r="K37" s="24">
        <v>1</v>
      </c>
      <c r="L37" s="25">
        <v>6.4</v>
      </c>
      <c r="M37" s="26">
        <v>6.4</v>
      </c>
      <c r="N37" s="26">
        <v>12.8</v>
      </c>
    </row>
    <row r="38" spans="4:14">
      <c r="D38" s="21">
        <v>46098</v>
      </c>
      <c r="E38" s="22">
        <v>1586886</v>
      </c>
      <c r="F38" s="22" t="s">
        <v>20</v>
      </c>
      <c r="G38" s="22">
        <v>20325606</v>
      </c>
      <c r="H38" s="22" t="s">
        <v>611</v>
      </c>
      <c r="I38" s="22">
        <v>2</v>
      </c>
      <c r="J38" s="27" t="s">
        <v>25</v>
      </c>
      <c r="K38" s="24">
        <v>1</v>
      </c>
      <c r="L38" s="25">
        <v>8.8</v>
      </c>
      <c r="M38" s="26">
        <v>8.8</v>
      </c>
      <c r="N38" s="26">
        <v>17.6</v>
      </c>
    </row>
    <row r="39" spans="4:14">
      <c r="D39" s="21">
        <v>46100</v>
      </c>
      <c r="E39" s="22">
        <v>1587583</v>
      </c>
      <c r="F39" s="22" t="s">
        <v>20</v>
      </c>
      <c r="G39" s="22">
        <v>20324414</v>
      </c>
      <c r="H39" s="22" t="s">
        <v>609</v>
      </c>
      <c r="I39" s="22">
        <v>1</v>
      </c>
      <c r="J39" s="27" t="s">
        <v>145</v>
      </c>
      <c r="K39" s="24">
        <f>M39/L39</f>
        <v>3</v>
      </c>
      <c r="L39" s="25">
        <v>4.4</v>
      </c>
      <c r="M39" s="26">
        <v>13.2</v>
      </c>
      <c r="N39" s="26">
        <v>13.2</v>
      </c>
    </row>
    <row r="40" spans="4:14">
      <c r="D40" s="21">
        <v>46100</v>
      </c>
      <c r="E40" s="22">
        <v>1587583</v>
      </c>
      <c r="F40" s="22" t="s">
        <v>20</v>
      </c>
      <c r="G40" s="22">
        <v>20324707</v>
      </c>
      <c r="H40" s="22" t="s">
        <v>610</v>
      </c>
      <c r="I40" s="22">
        <v>2</v>
      </c>
      <c r="J40" s="23" t="s">
        <v>22</v>
      </c>
      <c r="K40" s="24">
        <v>1</v>
      </c>
      <c r="L40" s="25">
        <v>6.4</v>
      </c>
      <c r="M40" s="26">
        <v>6.4</v>
      </c>
      <c r="N40" s="26">
        <v>12.8</v>
      </c>
    </row>
    <row r="41" spans="4:14">
      <c r="D41" s="21">
        <v>46104</v>
      </c>
      <c r="E41" s="22">
        <v>1588491</v>
      </c>
      <c r="F41" s="22" t="s">
        <v>20</v>
      </c>
      <c r="G41" s="22">
        <v>20324364</v>
      </c>
      <c r="H41" s="22" t="s">
        <v>23</v>
      </c>
      <c r="I41" s="22">
        <v>4</v>
      </c>
      <c r="J41" s="23" t="s">
        <v>22</v>
      </c>
      <c r="K41" s="24">
        <v>1</v>
      </c>
      <c r="L41" s="25">
        <v>6.4</v>
      </c>
      <c r="M41" s="26">
        <v>6.4</v>
      </c>
      <c r="N41" s="26">
        <v>25.6</v>
      </c>
    </row>
    <row r="42" spans="4:14">
      <c r="D42" s="21">
        <v>46104</v>
      </c>
      <c r="E42" s="22">
        <v>1588491</v>
      </c>
      <c r="F42" s="22" t="s">
        <v>20</v>
      </c>
      <c r="G42" s="22">
        <v>20325606</v>
      </c>
      <c r="H42" s="22" t="s">
        <v>611</v>
      </c>
      <c r="I42" s="22">
        <v>1</v>
      </c>
      <c r="J42" s="27" t="s">
        <v>25</v>
      </c>
      <c r="K42" s="24">
        <v>1</v>
      </c>
      <c r="L42" s="25">
        <v>8.8</v>
      </c>
      <c r="M42" s="26">
        <v>8.8</v>
      </c>
      <c r="N42" s="26">
        <v>8.8</v>
      </c>
    </row>
    <row r="43" spans="4:14">
      <c r="D43" s="21">
        <v>46104</v>
      </c>
      <c r="E43" s="22">
        <v>1588491</v>
      </c>
      <c r="F43" s="22" t="s">
        <v>20</v>
      </c>
      <c r="G43" s="22">
        <v>20324363</v>
      </c>
      <c r="H43" s="22" t="s">
        <v>91</v>
      </c>
      <c r="I43" s="22">
        <v>2</v>
      </c>
      <c r="J43" s="23" t="s">
        <v>22</v>
      </c>
      <c r="K43" s="24">
        <v>1</v>
      </c>
      <c r="L43" s="25">
        <v>6.4</v>
      </c>
      <c r="M43" s="26">
        <v>6.4</v>
      </c>
      <c r="N43" s="26">
        <v>12.8</v>
      </c>
    </row>
    <row r="44" spans="4:14">
      <c r="D44" s="21">
        <v>46106</v>
      </c>
      <c r="E44" s="22">
        <v>1588796</v>
      </c>
      <c r="F44" s="22" t="s">
        <v>20</v>
      </c>
      <c r="G44" s="22">
        <v>20380302</v>
      </c>
      <c r="H44" s="22" t="s">
        <v>613</v>
      </c>
      <c r="I44" s="22">
        <v>1</v>
      </c>
      <c r="J44" s="23" t="s">
        <v>22</v>
      </c>
      <c r="K44" s="24">
        <v>1</v>
      </c>
      <c r="L44" s="25">
        <v>6.4</v>
      </c>
      <c r="M44" s="26">
        <v>6.4</v>
      </c>
      <c r="N44" s="26">
        <v>6.4</v>
      </c>
    </row>
    <row r="45" spans="4:14">
      <c r="D45" s="21">
        <v>46106</v>
      </c>
      <c r="E45" s="22">
        <v>1588796</v>
      </c>
      <c r="F45" s="22" t="s">
        <v>20</v>
      </c>
      <c r="G45" s="22">
        <v>20324370</v>
      </c>
      <c r="H45" s="22" t="s">
        <v>95</v>
      </c>
      <c r="I45" s="22">
        <v>1</v>
      </c>
      <c r="J45" s="23" t="s">
        <v>22</v>
      </c>
      <c r="K45" s="24">
        <v>1</v>
      </c>
      <c r="L45" s="25">
        <v>6.4</v>
      </c>
      <c r="M45" s="26">
        <v>6.4</v>
      </c>
      <c r="N45" s="26">
        <v>6.4</v>
      </c>
    </row>
    <row r="46" spans="4:14">
      <c r="D46" s="21">
        <v>46106</v>
      </c>
      <c r="E46" s="22">
        <v>1588796</v>
      </c>
      <c r="F46" s="22" t="s">
        <v>20</v>
      </c>
      <c r="G46" s="22">
        <v>20324364</v>
      </c>
      <c r="H46" s="22" t="s">
        <v>23</v>
      </c>
      <c r="I46" s="22">
        <v>2</v>
      </c>
      <c r="J46" s="23" t="s">
        <v>22</v>
      </c>
      <c r="K46" s="24">
        <v>1</v>
      </c>
      <c r="L46" s="25">
        <v>6.4</v>
      </c>
      <c r="M46" s="26">
        <v>6.4</v>
      </c>
      <c r="N46" s="26">
        <v>12.8</v>
      </c>
    </row>
    <row r="47" spans="4:14">
      <c r="D47" s="21">
        <v>46106</v>
      </c>
      <c r="E47" s="22">
        <v>1588796</v>
      </c>
      <c r="F47" s="22" t="s">
        <v>20</v>
      </c>
      <c r="G47" s="22">
        <v>20324367</v>
      </c>
      <c r="H47" s="22" t="s">
        <v>146</v>
      </c>
      <c r="I47" s="22">
        <v>1</v>
      </c>
      <c r="J47" s="23" t="s">
        <v>22</v>
      </c>
      <c r="K47" s="24">
        <v>1</v>
      </c>
      <c r="L47" s="25">
        <v>6.4</v>
      </c>
      <c r="M47" s="26">
        <v>6.4</v>
      </c>
      <c r="N47" s="26">
        <v>6.4</v>
      </c>
    </row>
    <row r="48" spans="4:14">
      <c r="D48" s="21">
        <v>46106</v>
      </c>
      <c r="E48" s="22">
        <v>1588796</v>
      </c>
      <c r="F48" s="22" t="s">
        <v>20</v>
      </c>
      <c r="G48" s="22">
        <v>20325606</v>
      </c>
      <c r="H48" s="22" t="s">
        <v>611</v>
      </c>
      <c r="I48" s="22">
        <v>1</v>
      </c>
      <c r="J48" s="27" t="s">
        <v>25</v>
      </c>
      <c r="K48" s="24">
        <v>1</v>
      </c>
      <c r="L48" s="25">
        <v>8.8</v>
      </c>
      <c r="M48" s="26">
        <v>8.8</v>
      </c>
      <c r="N48" s="26">
        <v>8.8</v>
      </c>
    </row>
    <row r="49" spans="4:14">
      <c r="D49" s="21">
        <v>46106</v>
      </c>
      <c r="E49" s="22">
        <v>1588796</v>
      </c>
      <c r="F49" s="22" t="s">
        <v>20</v>
      </c>
      <c r="G49" s="22">
        <v>20324363</v>
      </c>
      <c r="H49" s="22" t="s">
        <v>91</v>
      </c>
      <c r="I49" s="22">
        <v>2</v>
      </c>
      <c r="J49" s="23" t="s">
        <v>22</v>
      </c>
      <c r="K49" s="24">
        <v>1</v>
      </c>
      <c r="L49" s="25">
        <v>6.4</v>
      </c>
      <c r="M49" s="26">
        <v>6.4</v>
      </c>
      <c r="N49" s="26">
        <v>12.8</v>
      </c>
    </row>
    <row r="50" spans="4:14">
      <c r="D50" s="21">
        <v>46106</v>
      </c>
      <c r="E50" s="22">
        <v>1589154</v>
      </c>
      <c r="F50" s="22" t="s">
        <v>20</v>
      </c>
      <c r="G50" s="22">
        <v>20324370</v>
      </c>
      <c r="H50" s="22" t="s">
        <v>95</v>
      </c>
      <c r="I50" s="22">
        <v>1</v>
      </c>
      <c r="J50" s="23" t="s">
        <v>22</v>
      </c>
      <c r="K50" s="24">
        <v>1</v>
      </c>
      <c r="L50" s="25">
        <v>6.4</v>
      </c>
      <c r="M50" s="26">
        <v>6.4</v>
      </c>
      <c r="N50" s="26">
        <v>6.4</v>
      </c>
    </row>
    <row r="51" spans="4:14">
      <c r="D51" s="21">
        <v>46106</v>
      </c>
      <c r="E51" s="22">
        <v>1589154</v>
      </c>
      <c r="F51" s="22" t="s">
        <v>20</v>
      </c>
      <c r="G51" s="22">
        <v>20324364</v>
      </c>
      <c r="H51" s="22" t="s">
        <v>23</v>
      </c>
      <c r="I51" s="22">
        <v>4</v>
      </c>
      <c r="J51" s="23" t="s">
        <v>22</v>
      </c>
      <c r="K51" s="24">
        <v>1</v>
      </c>
      <c r="L51" s="25">
        <v>6.4</v>
      </c>
      <c r="M51" s="26">
        <v>6.4</v>
      </c>
      <c r="N51" s="26">
        <v>25.6</v>
      </c>
    </row>
    <row r="52" spans="4:14">
      <c r="D52" s="21">
        <v>46106</v>
      </c>
      <c r="E52" s="22">
        <v>1589154</v>
      </c>
      <c r="F52" s="22" t="s">
        <v>20</v>
      </c>
      <c r="G52" s="22">
        <v>20324417</v>
      </c>
      <c r="H52" s="22" t="s">
        <v>188</v>
      </c>
      <c r="I52" s="22">
        <v>1</v>
      </c>
      <c r="J52" s="23" t="s">
        <v>22</v>
      </c>
      <c r="K52" s="24">
        <v>1</v>
      </c>
      <c r="L52" s="25">
        <v>6.4</v>
      </c>
      <c r="M52" s="26">
        <v>6.4</v>
      </c>
      <c r="N52" s="26">
        <v>6.4</v>
      </c>
    </row>
    <row r="53" spans="4:14">
      <c r="D53" s="21">
        <v>46106</v>
      </c>
      <c r="E53" s="22">
        <v>1589154</v>
      </c>
      <c r="F53" s="22" t="s">
        <v>20</v>
      </c>
      <c r="G53" s="22">
        <v>20324707</v>
      </c>
      <c r="H53" s="22" t="s">
        <v>610</v>
      </c>
      <c r="I53" s="22">
        <v>1</v>
      </c>
      <c r="J53" s="23" t="s">
        <v>22</v>
      </c>
      <c r="K53" s="24">
        <v>1</v>
      </c>
      <c r="L53" s="25">
        <v>6.4</v>
      </c>
      <c r="M53" s="26">
        <v>6.4</v>
      </c>
      <c r="N53" s="26">
        <v>6.4</v>
      </c>
    </row>
    <row r="54" spans="4:14">
      <c r="D54" s="21">
        <v>46108</v>
      </c>
      <c r="E54" s="22">
        <v>1589951</v>
      </c>
      <c r="F54" s="22" t="s">
        <v>20</v>
      </c>
      <c r="G54" s="22">
        <v>20324364</v>
      </c>
      <c r="H54" s="22" t="s">
        <v>23</v>
      </c>
      <c r="I54" s="22">
        <v>4</v>
      </c>
      <c r="J54" s="23" t="s">
        <v>22</v>
      </c>
      <c r="K54" s="24">
        <v>1</v>
      </c>
      <c r="L54" s="25">
        <v>6.4</v>
      </c>
      <c r="M54" s="26">
        <v>6.4</v>
      </c>
      <c r="N54" s="26">
        <v>25.6</v>
      </c>
    </row>
    <row r="55" spans="4:14">
      <c r="D55" s="21">
        <v>46108</v>
      </c>
      <c r="E55" s="22">
        <v>1589951</v>
      </c>
      <c r="F55" s="22" t="s">
        <v>20</v>
      </c>
      <c r="G55" s="22">
        <v>20324414</v>
      </c>
      <c r="H55" s="22" t="s">
        <v>609</v>
      </c>
      <c r="I55" s="22">
        <v>2</v>
      </c>
      <c r="J55" s="27" t="s">
        <v>145</v>
      </c>
      <c r="K55" s="24">
        <f>M55/L55</f>
        <v>3</v>
      </c>
      <c r="L55" s="25">
        <v>4.4</v>
      </c>
      <c r="M55" s="26">
        <v>13.2</v>
      </c>
      <c r="N55" s="26">
        <v>26.4</v>
      </c>
    </row>
    <row r="56" spans="4:14">
      <c r="D56" s="21">
        <v>46108</v>
      </c>
      <c r="E56" s="22">
        <v>1589951</v>
      </c>
      <c r="F56" s="22" t="s">
        <v>20</v>
      </c>
      <c r="G56" s="22">
        <v>20324707</v>
      </c>
      <c r="H56" s="22" t="s">
        <v>610</v>
      </c>
      <c r="I56" s="22">
        <v>4</v>
      </c>
      <c r="J56" s="23" t="s">
        <v>22</v>
      </c>
      <c r="K56" s="24">
        <v>1</v>
      </c>
      <c r="L56" s="25">
        <v>6.4</v>
      </c>
      <c r="M56" s="26">
        <v>6.4</v>
      </c>
      <c r="N56" s="26">
        <v>25.6</v>
      </c>
    </row>
    <row r="57" spans="4:14">
      <c r="D57" s="21">
        <v>46111</v>
      </c>
      <c r="E57" s="22">
        <v>1590454</v>
      </c>
      <c r="F57" s="22" t="s">
        <v>20</v>
      </c>
      <c r="G57" s="22">
        <v>20324364</v>
      </c>
      <c r="H57" s="22" t="s">
        <v>23</v>
      </c>
      <c r="I57" s="22">
        <v>6</v>
      </c>
      <c r="J57" s="23" t="s">
        <v>22</v>
      </c>
      <c r="K57" s="24">
        <v>1</v>
      </c>
      <c r="L57" s="25">
        <v>6.4</v>
      </c>
      <c r="M57" s="26">
        <v>6.4</v>
      </c>
      <c r="N57" s="26">
        <v>38.4</v>
      </c>
    </row>
    <row r="58" spans="4:14">
      <c r="D58" s="21">
        <v>46111</v>
      </c>
      <c r="E58" s="22">
        <v>1590454</v>
      </c>
      <c r="F58" s="22" t="s">
        <v>20</v>
      </c>
      <c r="G58" s="22">
        <v>20325606</v>
      </c>
      <c r="H58" s="22" t="s">
        <v>611</v>
      </c>
      <c r="I58" s="22">
        <v>1</v>
      </c>
      <c r="J58" s="27" t="s">
        <v>25</v>
      </c>
      <c r="K58" s="24">
        <v>1</v>
      </c>
      <c r="L58" s="25">
        <v>8.8</v>
      </c>
      <c r="M58" s="26">
        <v>8.8</v>
      </c>
      <c r="N58" s="26">
        <v>8.8</v>
      </c>
    </row>
    <row r="59" spans="4:14">
      <c r="D59" s="21">
        <v>46111</v>
      </c>
      <c r="E59" s="22">
        <v>1590454</v>
      </c>
      <c r="F59" s="22" t="s">
        <v>20</v>
      </c>
      <c r="G59" s="22">
        <v>20324363</v>
      </c>
      <c r="H59" s="22" t="s">
        <v>91</v>
      </c>
      <c r="I59" s="22">
        <v>1</v>
      </c>
      <c r="J59" s="23" t="s">
        <v>22</v>
      </c>
      <c r="K59" s="24">
        <v>1</v>
      </c>
      <c r="L59" s="25">
        <v>6.4</v>
      </c>
      <c r="M59" s="26">
        <v>6.4</v>
      </c>
      <c r="N59" s="26">
        <v>6.4</v>
      </c>
    </row>
    <row r="60" spans="4:14">
      <c r="D60" s="21">
        <v>46112</v>
      </c>
      <c r="E60" s="22">
        <v>1590890</v>
      </c>
      <c r="F60" s="22" t="s">
        <v>20</v>
      </c>
      <c r="G60" s="22">
        <v>20324364</v>
      </c>
      <c r="H60" s="22" t="s">
        <v>23</v>
      </c>
      <c r="I60" s="22">
        <v>6</v>
      </c>
      <c r="J60" s="23" t="s">
        <v>22</v>
      </c>
      <c r="K60" s="24">
        <v>1</v>
      </c>
      <c r="L60" s="25">
        <v>6.4</v>
      </c>
      <c r="M60" s="26">
        <v>6.4</v>
      </c>
      <c r="N60" s="26">
        <v>38.4</v>
      </c>
    </row>
    <row r="61" spans="4:14">
      <c r="D61" s="21">
        <v>46112</v>
      </c>
      <c r="E61" s="22">
        <v>1590890</v>
      </c>
      <c r="F61" s="22" t="s">
        <v>20</v>
      </c>
      <c r="G61" s="22">
        <v>20324707</v>
      </c>
      <c r="H61" s="22" t="s">
        <v>610</v>
      </c>
      <c r="I61" s="22">
        <v>1</v>
      </c>
      <c r="J61" s="23" t="s">
        <v>22</v>
      </c>
      <c r="K61" s="24">
        <v>1</v>
      </c>
      <c r="L61" s="25">
        <v>6.4</v>
      </c>
      <c r="M61" s="26">
        <v>6.4</v>
      </c>
      <c r="N61" s="26">
        <v>6.4</v>
      </c>
    </row>
    <row r="62" spans="4:14">
      <c r="D62" s="21">
        <v>46112</v>
      </c>
      <c r="E62" s="22">
        <v>1590890</v>
      </c>
      <c r="F62" s="22" t="s">
        <v>20</v>
      </c>
      <c r="G62" s="22">
        <v>20325606</v>
      </c>
      <c r="H62" s="22" t="s">
        <v>611</v>
      </c>
      <c r="I62" s="22">
        <v>1</v>
      </c>
      <c r="J62" s="27" t="s">
        <v>25</v>
      </c>
      <c r="K62" s="24">
        <v>1</v>
      </c>
      <c r="L62" s="25">
        <v>8.8</v>
      </c>
      <c r="M62" s="26">
        <v>8.8</v>
      </c>
      <c r="N62" s="26">
        <v>8.8</v>
      </c>
    </row>
  </sheetData>
  <autoFilter xmlns:etc="http://www.wps.cn/officeDocument/2017/etCustomData" ref="A7:N62" etc:filterBottomFollowUsedRange="0">
    <extLst/>
  </autoFilter>
  <mergeCells count="5">
    <mergeCell ref="D8:H8"/>
    <mergeCell ref="C7:C62"/>
    <mergeCell ref="B4:H5"/>
    <mergeCell ref="A7:B62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8:47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47</vt:i4>
      </vt:variant>
    </vt:vector>
  </HeadingPairs>
  <TitlesOfParts>
    <vt:vector size="47" baseType="lpstr">
      <vt:lpstr>产科门诊236</vt:lpstr>
      <vt:lpstr>超声</vt:lpstr>
      <vt:lpstr>耳鼻喉病房</vt:lpstr>
      <vt:lpstr>耳鼻喉门诊</vt:lpstr>
      <vt:lpstr>风湿科</vt:lpstr>
      <vt:lpstr>妇二</vt:lpstr>
      <vt:lpstr>妇二门诊561</vt:lpstr>
      <vt:lpstr>妇科门诊</vt:lpstr>
      <vt:lpstr>妇三</vt:lpstr>
      <vt:lpstr>妇一</vt:lpstr>
      <vt:lpstr>肛肠科</vt:lpstr>
      <vt:lpstr>肛肠门诊</vt:lpstr>
      <vt:lpstr>宫腔镜</vt:lpstr>
      <vt:lpstr>骨三</vt:lpstr>
      <vt:lpstr>急诊</vt:lpstr>
      <vt:lpstr>计划生育手术室</vt:lpstr>
      <vt:lpstr>介入科</vt:lpstr>
      <vt:lpstr>静配中心</vt:lpstr>
      <vt:lpstr>康复一</vt:lpstr>
      <vt:lpstr>口腔科</vt:lpstr>
      <vt:lpstr>门诊手术室</vt:lpstr>
      <vt:lpstr>内镜诊疗室</vt:lpstr>
      <vt:lpstr>皮肤科</vt:lpstr>
      <vt:lpstr>清洁区（手术室）</vt:lpstr>
      <vt:lpstr>肾病二科</vt:lpstr>
      <vt:lpstr>肾病一科</vt:lpstr>
      <vt:lpstr>手术室(二区)</vt:lpstr>
      <vt:lpstr>手术室(一区)</vt:lpstr>
      <vt:lpstr>外来器械</vt:lpstr>
      <vt:lpstr>透析</vt:lpstr>
      <vt:lpstr>外二</vt:lpstr>
      <vt:lpstr>外三</vt:lpstr>
      <vt:lpstr>外一</vt:lpstr>
      <vt:lpstr>消化二科</vt:lpstr>
      <vt:lpstr>消化一</vt:lpstr>
      <vt:lpstr>心内五</vt:lpstr>
      <vt:lpstr>血液</vt:lpstr>
      <vt:lpstr>眼科病房</vt:lpstr>
      <vt:lpstr>眼科门诊322</vt:lpstr>
      <vt:lpstr>眼科门诊357</vt:lpstr>
      <vt:lpstr>眼科门诊手术室（二）</vt:lpstr>
      <vt:lpstr>眼科门诊手术室（一）</vt:lpstr>
      <vt:lpstr>针灸四</vt:lpstr>
      <vt:lpstr>针灸五</vt:lpstr>
      <vt:lpstr>重症医学科</vt:lpstr>
      <vt:lpstr>周围血管二</vt:lpstr>
      <vt:lpstr>周围血管一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2026-04-01T00:48:00Z</dcterms:created>
  <dcterms:modified xsi:type="dcterms:W3CDTF">2026-04-02T07:13:59Z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9366D1F68F9A40B89325A690E0521912_12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