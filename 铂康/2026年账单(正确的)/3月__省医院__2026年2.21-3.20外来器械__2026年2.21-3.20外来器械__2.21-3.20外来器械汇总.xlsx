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 activeTab="19"/>
  </bookViews>
  <sheets>
    <sheet name="2.23" sheetId="1" r:id="rId1"/>
    <sheet name="2.24" sheetId="2" r:id="rId2"/>
    <sheet name="2.25" sheetId="3" r:id="rId3"/>
    <sheet name="2.26" sheetId="4" r:id="rId4"/>
    <sheet name="2.27" sheetId="5" r:id="rId5"/>
    <sheet name="2.28" sheetId="6" r:id="rId6"/>
    <sheet name="3.2" sheetId="7" r:id="rId7"/>
    <sheet name="3.3" sheetId="8" r:id="rId8"/>
    <sheet name="3.4" sheetId="9" r:id="rId9"/>
    <sheet name="3.5" sheetId="10" r:id="rId10"/>
    <sheet name="3.6" sheetId="11" r:id="rId11"/>
    <sheet name="3.9" sheetId="12" r:id="rId12"/>
    <sheet name="3.10" sheetId="13" r:id="rId13"/>
    <sheet name="3.11" sheetId="14" r:id="rId14"/>
    <sheet name="3.12-3.15" sheetId="15" r:id="rId15"/>
    <sheet name="3.16" sheetId="16" r:id="rId16"/>
    <sheet name="3.17" sheetId="17" r:id="rId17"/>
    <sheet name="3.18" sheetId="18" r:id="rId18"/>
    <sheet name="3.19" sheetId="19" r:id="rId19"/>
    <sheet name="3.20" sheetId="20" r:id="rId20"/>
  </sheets>
  <definedNames>
    <definedName name="_xlnm._FilterDatabase" localSheetId="1" hidden="1">'2.24'!$A$1:$P$17</definedName>
    <definedName name="_xlnm._FilterDatabase" localSheetId="2" hidden="1">'2.25'!$A$1:$P$24</definedName>
    <definedName name="_xlnm._FilterDatabase" localSheetId="3" hidden="1">'2.26'!$A$1:$P$42</definedName>
    <definedName name="_xlnm._FilterDatabase" localSheetId="4" hidden="1">'2.27'!$A$1:$P$24</definedName>
    <definedName name="_xlnm._FilterDatabase" localSheetId="6" hidden="1">'3.2'!$A$1:$P$22</definedName>
    <definedName name="_xlnm._FilterDatabase" localSheetId="8" hidden="1">'3.4'!$A$1:$P$27</definedName>
    <definedName name="_xlnm._FilterDatabase" localSheetId="10" hidden="1">'3.6'!$A$1:$A$22</definedName>
    <definedName name="_xlnm._FilterDatabase" localSheetId="11" hidden="1">'3.9'!$A$1:$P$20</definedName>
    <definedName name="_xlnm._FilterDatabase" localSheetId="12" hidden="1">'3.10'!$A$1:$P$47</definedName>
    <definedName name="_xlnm._FilterDatabase" localSheetId="15" hidden="1">'3.16'!$A$1:$P$42</definedName>
    <definedName name="_xlnm._FilterDatabase" localSheetId="16" hidden="1">'3.17'!$A$1:$P$35</definedName>
    <definedName name="_xlnm._FilterDatabase" localSheetId="19" hidden="1">'3.20'!$A$1:$P$21</definedName>
    <definedName name="_xlnm._FilterDatabase" localSheetId="14" hidden="1">'3.12-3.15'!$C:$C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<sst xmlns="http://schemas.openxmlformats.org/spreadsheetml/2006/main" count="4370" uniqueCount="316">
  <si>
    <t>客户名称</t>
  </si>
  <si>
    <t>运送点名称</t>
  </si>
  <si>
    <t>包名</t>
  </si>
  <si>
    <t>带量器械名称</t>
  </si>
  <si>
    <t>发货日期</t>
  </si>
  <si>
    <t>组件类型</t>
  </si>
  <si>
    <t>组件名</t>
  </si>
  <si>
    <t>组件数量</t>
  </si>
  <si>
    <t>单价</t>
  </si>
  <si>
    <t>金额</t>
  </si>
  <si>
    <t>省医院集采数量</t>
  </si>
  <si>
    <t>省医院集采金额</t>
  </si>
  <si>
    <t>厂家自付数量</t>
  </si>
  <si>
    <t>厂家自付金额</t>
  </si>
  <si>
    <t>科室</t>
  </si>
  <si>
    <t>医生</t>
  </si>
  <si>
    <t>黑龙江省耀旭科技有限公司</t>
  </si>
  <si>
    <t>省医院（香坊）</t>
  </si>
  <si>
    <t>程之德-股骨转子间骨折4/4</t>
  </si>
  <si>
    <t>半髋</t>
  </si>
  <si>
    <t>器械-器皿</t>
  </si>
  <si>
    <t>自带篮筐</t>
  </si>
  <si>
    <t>骨二</t>
  </si>
  <si>
    <t>黄志</t>
  </si>
  <si>
    <t>器械</t>
  </si>
  <si>
    <t>外来器械组件</t>
  </si>
  <si>
    <t>程之德-股骨转子间骨折3/4</t>
  </si>
  <si>
    <t>程之德-股骨转子间骨折2/4</t>
  </si>
  <si>
    <t>程之德-股骨转子间骨折1/4</t>
  </si>
  <si>
    <t>合计</t>
  </si>
  <si>
    <t>国药器械黑龙江科学器材有限公司</t>
  </si>
  <si>
    <t>黑龙江省医院（南岗分院）</t>
  </si>
  <si>
    <t>潘力-右股骨粗隆间骨折  1/5</t>
  </si>
  <si>
    <t>股骨髓内钉</t>
  </si>
  <si>
    <t>南岗骨科</t>
  </si>
  <si>
    <t>刘喜庆</t>
  </si>
  <si>
    <t xml:space="preserve">植入物 </t>
  </si>
  <si>
    <t>潘力-右股骨粗隆间骨折  2/5</t>
  </si>
  <si>
    <t>潘力-右股骨粗隆间骨折  3/5</t>
  </si>
  <si>
    <t>潘力-右股骨粗隆间骨折  4/5</t>
  </si>
  <si>
    <t>潘力-右股骨粗隆间骨折  5/5</t>
  </si>
  <si>
    <t xml:space="preserve">植入物-钉 </t>
  </si>
  <si>
    <t>黑龙江省医院（香坊总院）</t>
  </si>
  <si>
    <t>姜懿轩-趾骨骨折  1/1</t>
  </si>
  <si>
    <t>2.5空心钉</t>
  </si>
  <si>
    <t>骨一</t>
  </si>
  <si>
    <t>崔巍</t>
  </si>
  <si>
    <t>l刘振萍-腓骨骨折1/1</t>
  </si>
  <si>
    <t>上肢</t>
  </si>
  <si>
    <t xml:space="preserve">植入物-板 </t>
  </si>
  <si>
    <t>冷秀兰-股骨粗隆间骨折 1/8</t>
  </si>
  <si>
    <t>骨三</t>
  </si>
  <si>
    <t>王岩</t>
  </si>
  <si>
    <t>冷秀兰-股骨粗隆间骨折 2/8</t>
  </si>
  <si>
    <t>冷秀兰-股骨粗隆间骨折 3/8</t>
  </si>
  <si>
    <t>冷秀兰-股骨粗隆间骨折 4/8</t>
  </si>
  <si>
    <t>冷秀兰-股骨粗隆间骨折 7/8</t>
  </si>
  <si>
    <t>冷秀兰-股骨粗隆间骨折 5/8</t>
  </si>
  <si>
    <t>植入物 -钉</t>
  </si>
  <si>
    <t>冷秀兰-股骨粗隆间骨折 6/8</t>
  </si>
  <si>
    <t>冷秀兰-股骨粗隆间骨折 8/8</t>
  </si>
  <si>
    <t>黑龙江琅华商贸有限公司</t>
  </si>
  <si>
    <t>省医院（香坊总院）</t>
  </si>
  <si>
    <t>刘富明-股骨颈骨折  1/2</t>
  </si>
  <si>
    <t>刘富明-股骨颈骨折  2/2</t>
  </si>
  <si>
    <t>李昕航-取除骨折内固定  1/1</t>
  </si>
  <si>
    <t>齐齐哈尔锋润佳医疗器械有限公司</t>
  </si>
  <si>
    <t>黑龙江省医院（香坊）</t>
  </si>
  <si>
    <t>计成琦-锁骨骨折  1/4</t>
  </si>
  <si>
    <t>上肢+3.5-4.0空心钉</t>
  </si>
  <si>
    <t>张钊</t>
  </si>
  <si>
    <t>计成琦-锁骨骨折  2/4</t>
  </si>
  <si>
    <t>计成琦-锁骨骨折  3/4</t>
  </si>
  <si>
    <t>计成琦-锁骨骨折  4/4</t>
  </si>
  <si>
    <t>梁金环-桡骨远端骨折1/1</t>
  </si>
  <si>
    <t>2.7器械</t>
  </si>
  <si>
    <t xml:space="preserve">组件-1 </t>
  </si>
  <si>
    <t>李加龙</t>
  </si>
  <si>
    <t>石晶-踝关节骨折  1/5</t>
  </si>
  <si>
    <t>上肢+3.0/4.0空心钉</t>
  </si>
  <si>
    <t>石晶-踝关节骨折  2/5</t>
  </si>
  <si>
    <t>石晶-踝关节骨折  3/5</t>
  </si>
  <si>
    <t>石晶-踝关节骨折  4/5</t>
  </si>
  <si>
    <t>石晶-踝关节骨折  5/5</t>
  </si>
  <si>
    <t>省医院（南岗）</t>
  </si>
  <si>
    <t>于桂英-股骨假体周围骨折  1/1</t>
  </si>
  <si>
    <t>下肢</t>
  </si>
  <si>
    <t>曲建波</t>
  </si>
  <si>
    <t>于桂英-股骨假体周围骨折1/6</t>
  </si>
  <si>
    <t>全髋+下肢</t>
  </si>
  <si>
    <t>于桂英-股骨假体周围骨折2/6</t>
  </si>
  <si>
    <t>于桂英-股骨假体周围骨折3/6</t>
  </si>
  <si>
    <t>于桂英-股骨假体周围骨折4/6</t>
  </si>
  <si>
    <t>于桂英-股骨假体周围骨折5/6</t>
  </si>
  <si>
    <t>于桂英-股骨假体周围骨折6/6</t>
  </si>
  <si>
    <t>王淑艳-股骨颈骨折1/3</t>
  </si>
  <si>
    <t>全髋</t>
  </si>
  <si>
    <t>王淑艳-股骨颈骨折2/3</t>
  </si>
  <si>
    <t>王淑艳-股骨颈骨折3/3</t>
  </si>
  <si>
    <t>计成琦-锁骨骨折  1/1</t>
  </si>
  <si>
    <t>张磊-胫骨骨折  1/2</t>
  </si>
  <si>
    <t>上肢+下肢</t>
  </si>
  <si>
    <t>张磊-胫骨骨折  2/2</t>
  </si>
  <si>
    <t>罗超-踝关节骨折3/3</t>
  </si>
  <si>
    <t>上肢+2.4器械</t>
  </si>
  <si>
    <t>罗超-踝关节骨折1/3</t>
  </si>
  <si>
    <t>罗超-踝关节骨折2/3</t>
  </si>
  <si>
    <t>陈喜波-股骨头无菌性坏死1/4</t>
  </si>
  <si>
    <t>陈喜波-股骨头无菌性坏死2/4</t>
  </si>
  <si>
    <t>陈喜波-股骨头无菌性坏死3/4</t>
  </si>
  <si>
    <t>陈喜波-股骨头无菌性坏死4/4</t>
  </si>
  <si>
    <t>李红-颈椎病  2/4</t>
  </si>
  <si>
    <t>颈椎前路+后路+融合*2</t>
  </si>
  <si>
    <t>王友成</t>
  </si>
  <si>
    <t>李红-颈椎病  1/4</t>
  </si>
  <si>
    <t>李红-颈椎病  3/4</t>
  </si>
  <si>
    <t>李红-颈椎病  4/4</t>
  </si>
  <si>
    <t>李红-颈椎病  1/1</t>
  </si>
  <si>
    <t>范亚芝-股骨颈骨折1/2</t>
  </si>
  <si>
    <t>范亚芝-股骨颈骨折2/2</t>
  </si>
  <si>
    <t>于德君-胸椎间盘突出伴脊髓病2/3</t>
  </si>
  <si>
    <t>钉棒+融合</t>
  </si>
  <si>
    <t>于德君-胸椎间盘突出伴脊髓病3/3</t>
  </si>
  <si>
    <t>于德君-胸椎间盘突出伴脊髓病1/3</t>
  </si>
  <si>
    <t>牛玉芹-股骨转之间骨折1/4</t>
  </si>
  <si>
    <t>半髋+下肢</t>
  </si>
  <si>
    <t>牛玉芹-股骨转之间骨折2/4</t>
  </si>
  <si>
    <t>牛玉芹-股骨转之间骨折3/4</t>
  </si>
  <si>
    <t>牛玉芹-股骨转之间骨折4/4</t>
  </si>
  <si>
    <t>黑龙江巨松科技有限公司</t>
  </si>
  <si>
    <t>董桂苍-股骨头缺血性坏死  1/4</t>
  </si>
  <si>
    <t>董桂苍-股骨头缺血性坏死  2/4</t>
  </si>
  <si>
    <t>董桂苍-股骨头缺血性坏死  3/4</t>
  </si>
  <si>
    <t>董桂苍-股骨头缺血性坏死  4/4</t>
  </si>
  <si>
    <t>黑龙江省高德医疗科技有限责任公司</t>
  </si>
  <si>
    <t>于倩-腰椎间盘突出伴神经根病 （镜头）</t>
  </si>
  <si>
    <t>UBE</t>
  </si>
  <si>
    <t>组件X1</t>
  </si>
  <si>
    <t>于倩-腰椎间盘突出伴神经根病  1/1</t>
  </si>
  <si>
    <t>李冬凌-手术后恢复期   1/1</t>
  </si>
  <si>
    <t>付明</t>
  </si>
  <si>
    <t>邵林堂-股骨骨折  1/1</t>
  </si>
  <si>
    <t>田方遒</t>
  </si>
  <si>
    <t>师玉环-股骨骨折  1/8</t>
  </si>
  <si>
    <t>师玉环-股骨骨折  2/8</t>
  </si>
  <si>
    <t>师玉环-股骨骨折  3/8</t>
  </si>
  <si>
    <t>师玉环-股骨骨折  4/8</t>
  </si>
  <si>
    <t>师玉环-股骨骨折  5/8</t>
  </si>
  <si>
    <t>师玉环-股骨骨折  6/8</t>
  </si>
  <si>
    <t>师玉环-股骨骨折  7/8</t>
  </si>
  <si>
    <t>师玉环-股骨骨折  8/8</t>
  </si>
  <si>
    <t>王红博-取除骨折内固定  1/2</t>
  </si>
  <si>
    <t>取出</t>
  </si>
  <si>
    <t>王红博-取除骨折内固定  2/2</t>
  </si>
  <si>
    <t>张琨-股骨颈骨折 1/3</t>
  </si>
  <si>
    <t>张琨-股骨颈骨折 2/3</t>
  </si>
  <si>
    <t>张琨-股骨颈骨折 3/3</t>
  </si>
  <si>
    <t>兰方-股骨颈骨折1/2</t>
  </si>
  <si>
    <t>兰方-股骨颈骨折2/2</t>
  </si>
  <si>
    <t>王凤芝-骨关节病1/4</t>
  </si>
  <si>
    <t>全膝</t>
  </si>
  <si>
    <t>王凤芝-骨关节病2/4</t>
  </si>
  <si>
    <t>王凤芝-骨关节病3/4</t>
  </si>
  <si>
    <t>王凤芝-骨关节病4/4</t>
  </si>
  <si>
    <t>郑静-桡骨骨折  1/3</t>
  </si>
  <si>
    <t>上肢+空心钉+指掌骨</t>
  </si>
  <si>
    <t>郑静-桡骨骨折  3/3</t>
  </si>
  <si>
    <t>郑静-桡骨骨折  2/3</t>
  </si>
  <si>
    <t>孙磊-膝关节扭伤  1/2</t>
  </si>
  <si>
    <t>膝关节</t>
  </si>
  <si>
    <t>孙磊-膝关节扭伤    2/2</t>
  </si>
  <si>
    <t>付延山-股骨颈骨折 1/2</t>
  </si>
  <si>
    <t>付延山-股骨颈骨折 2/2</t>
  </si>
  <si>
    <t>赵淑芹-桡骨远端骨折  1/1</t>
  </si>
  <si>
    <t>2.4系统</t>
  </si>
  <si>
    <t>康雪峰</t>
  </si>
  <si>
    <t>于长庆-骨关节病1/4</t>
  </si>
  <si>
    <t>于长庆-骨关节病2/4</t>
  </si>
  <si>
    <t>于长庆-骨关节病3/4</t>
  </si>
  <si>
    <t>于长庆-骨关节病4/4</t>
  </si>
  <si>
    <t>李桂珍-尺骨鹰嘴骨折1/1</t>
  </si>
  <si>
    <t>刘助生-踝关节骨折  1/2</t>
  </si>
  <si>
    <t>上肢+2.7器械</t>
  </si>
  <si>
    <t>刘助生-踝关节骨折  2/2</t>
  </si>
  <si>
    <t>刘助生-踝关节骨折1/2</t>
  </si>
  <si>
    <t>刘助生-踝关节骨折2/2</t>
  </si>
  <si>
    <t>关淑珍-股骨颈骨折1/2</t>
  </si>
  <si>
    <t>关淑珍-股骨颈骨折2/2</t>
  </si>
  <si>
    <t>陈福江-股骨头无菌性坏死1/5</t>
  </si>
  <si>
    <t>陈福江-股骨头无菌性坏死2/5</t>
  </si>
  <si>
    <t>陈福江-股骨头无菌性坏死3/5</t>
  </si>
  <si>
    <t>陈福江-股骨头无菌性坏死4/5</t>
  </si>
  <si>
    <t>陈福江-股骨头无菌性坏死5/5</t>
  </si>
  <si>
    <t>李丽-取出内固定装置1/1</t>
  </si>
  <si>
    <t>李志伟-跖骨基底骨折1/2</t>
  </si>
  <si>
    <t>无头钉+空心钉</t>
  </si>
  <si>
    <t>李志伟-跖骨基底骨折2/2</t>
  </si>
  <si>
    <t>王喜环-股骨颈骨折  1/5</t>
  </si>
  <si>
    <t>王喜环-股骨颈骨折  2/5</t>
  </si>
  <si>
    <t>王喜环-股骨颈骨折  3/5</t>
  </si>
  <si>
    <t>王喜环-股骨颈骨折  4/5</t>
  </si>
  <si>
    <t>王喜环-股骨颈骨折  5/5</t>
  </si>
  <si>
    <t>杨淑媛-股骨转子间骨折1/5</t>
  </si>
  <si>
    <t>杨淑媛-股骨转子间骨折2/5</t>
  </si>
  <si>
    <t>杨淑媛-股骨转子间骨折3/5</t>
  </si>
  <si>
    <t>杨淑媛-股骨转子间骨折4/5</t>
  </si>
  <si>
    <t>杨淑媛-股骨转子间骨折5/5</t>
  </si>
  <si>
    <t>李桂珍-尺骨鹰嘴骨折  1/1</t>
  </si>
  <si>
    <t>刘淑范-股骨转子间骨折 1/4</t>
  </si>
  <si>
    <t>刘淑范-股骨转子间骨折 2/4</t>
  </si>
  <si>
    <t>刘淑范-股骨转子间骨折 3/4</t>
  </si>
  <si>
    <t>刘淑范-股骨转子间骨折 4/4</t>
  </si>
  <si>
    <t>国颖-桡骨远端骨折  1/1</t>
  </si>
  <si>
    <t>2.4-2.7器械</t>
  </si>
  <si>
    <t>刘玉玲-骨关节病  1/7</t>
  </si>
  <si>
    <t>全膝关节</t>
  </si>
  <si>
    <t>刘玉玲-骨关节病  2/7</t>
  </si>
  <si>
    <t>刘玉玲-骨关节病  3/7</t>
  </si>
  <si>
    <t>刘玉玲-骨关节病  4/7</t>
  </si>
  <si>
    <t>刘玉玲-骨关节病5/7</t>
  </si>
  <si>
    <t>刘玉玲-骨关节病6/7</t>
  </si>
  <si>
    <t>刘玉玲-骨关节病7/7</t>
  </si>
  <si>
    <t>滕桂荣-开放性骨折1/3</t>
  </si>
  <si>
    <t>上肢+2.7器械+4.0空心钉</t>
  </si>
  <si>
    <t>滕桂荣-开放性骨折2/3</t>
  </si>
  <si>
    <t>滕桂荣-开放性骨折3/3</t>
  </si>
  <si>
    <t>王丽娟-肩袖损伤1/1</t>
  </si>
  <si>
    <t>肩关节镜</t>
  </si>
  <si>
    <t>肖青祥-股骨骨折1/6</t>
  </si>
  <si>
    <t>肖青祥-股骨骨折2/6</t>
  </si>
  <si>
    <t>肖青祥-股骨骨折3/6</t>
  </si>
  <si>
    <t>肖青祥-股骨骨折4/6</t>
  </si>
  <si>
    <t>肖青祥-股骨骨折5/6</t>
  </si>
  <si>
    <t>肖青祥-股骨骨折6/6</t>
  </si>
  <si>
    <t>赵文彬-锁骨骨折  1/2</t>
  </si>
  <si>
    <t>赵文彬-锁骨骨折  2/2</t>
  </si>
  <si>
    <t>李桂林-股骨颈骨折  1/2</t>
  </si>
  <si>
    <t>李桂林-股骨颈骨折  2/2</t>
  </si>
  <si>
    <t>任兰茹-股骨颈骨折  1/2</t>
  </si>
  <si>
    <t>任兰茹-股骨颈骨折  2/2</t>
  </si>
  <si>
    <t>叶淑云-桡骨骨折  1/1</t>
  </si>
  <si>
    <t>任兰茹-股骨颈骨折1/7</t>
  </si>
  <si>
    <t>半髋+胫骨髓内钉</t>
  </si>
  <si>
    <t>任兰茹-股骨颈骨折2/7</t>
  </si>
  <si>
    <t>任兰茹-股骨颈骨折3/7</t>
  </si>
  <si>
    <t>任兰茹-股骨颈骨折4/7</t>
  </si>
  <si>
    <t>任兰茹-股骨颈骨折5/7</t>
  </si>
  <si>
    <t>任兰茹-股骨颈骨折6/7</t>
  </si>
  <si>
    <t>任兰茹-股骨颈骨折7/7</t>
  </si>
  <si>
    <t>宋新华-肱骨近端骨折1/2</t>
  </si>
  <si>
    <t>宋新华-肱骨近端骨折2/2</t>
  </si>
  <si>
    <t>王凤波-股骨头缺血性坏死  1/3</t>
  </si>
  <si>
    <t>王凤波-股骨头缺血性坏死  2/3</t>
  </si>
  <si>
    <t>王凤波-股骨头缺血性坏死  3/3</t>
  </si>
  <si>
    <t>肖青祥-股骨骨折1/1</t>
  </si>
  <si>
    <t>赵虹-踝关节骨折 1/1</t>
  </si>
  <si>
    <t>朱江涛-股骨远端骨折1/4</t>
  </si>
  <si>
    <t>上肢+下肢+空心钉</t>
  </si>
  <si>
    <t>朱江涛-股骨远端骨折2/4</t>
  </si>
  <si>
    <t>朱江涛-股骨远端骨折3/4</t>
  </si>
  <si>
    <t>朱江涛-股骨远端骨折4/4</t>
  </si>
  <si>
    <t>上海制圣商贸有限公司</t>
  </si>
  <si>
    <t>关慧琴-颅骨缺损修补1/1</t>
  </si>
  <si>
    <t>PEEK</t>
  </si>
  <si>
    <t>神外一</t>
  </si>
  <si>
    <t>孙国章</t>
  </si>
  <si>
    <t>石秀玉-股骨头缺血性坏死  1/5</t>
  </si>
  <si>
    <t>石秀玉-股骨头缺血性坏死  2/5</t>
  </si>
  <si>
    <t>石秀玉-股骨头缺血性坏死  3/5</t>
  </si>
  <si>
    <t>石秀玉-股骨头缺血性坏死  4/5</t>
  </si>
  <si>
    <t>石秀玉-股骨头缺血性坏死  5/5</t>
  </si>
  <si>
    <t>黑龙江省尊泰科技有限公司</t>
  </si>
  <si>
    <t>上肢+3.5空心钉</t>
  </si>
  <si>
    <t>张文-尺骨茎突骨折伴桡骨远端骨折1/1</t>
  </si>
  <si>
    <t>刘娜-胫腓骨下端骨折  1/3</t>
  </si>
  <si>
    <t>刘娜-胫腓骨下端骨折  2/3</t>
  </si>
  <si>
    <t>刘娜-胫腓骨下端骨折  3/3</t>
  </si>
  <si>
    <t>崔玉珍-股骨转子间骨折 1/2</t>
  </si>
  <si>
    <t>崔玉珍-股骨转子间骨折 2/2</t>
  </si>
  <si>
    <t>何春华-左踝关节大骨节病  1/2</t>
  </si>
  <si>
    <t>何春华-左踝关节大骨节病  2/2</t>
  </si>
  <si>
    <t>李世军-股骨颈骨折  1/5</t>
  </si>
  <si>
    <t>李世军-股骨颈骨折  2/5</t>
  </si>
  <si>
    <t>李世军-股骨颈骨折  3/5</t>
  </si>
  <si>
    <t>李世军-股骨颈骨折  4/5</t>
  </si>
  <si>
    <t>李世军-股骨颈骨折  5/5</t>
  </si>
  <si>
    <t>聂桂芝假体周围骨折  1/1</t>
  </si>
  <si>
    <t>石阳-指骨骨折  1/1</t>
  </si>
  <si>
    <t>指掌骨</t>
  </si>
  <si>
    <t>王淑芝-双侧膝关节骨性关节病  1/5</t>
  </si>
  <si>
    <t>王淑芝-双侧膝关节骨性关节病  2/5</t>
  </si>
  <si>
    <t>王淑芝-双侧膝关节骨性关节病  3/5</t>
  </si>
  <si>
    <t>王淑芝-双侧膝关节骨性关节病  4/5</t>
  </si>
  <si>
    <t>王淑芝-双侧膝关节骨性关节病  5/5</t>
  </si>
  <si>
    <t>许彦学-胫骨平台骨折  1/2</t>
  </si>
  <si>
    <t>许彦学-胫骨平台骨折  2/2</t>
  </si>
  <si>
    <t>洪福德-股骨头无菌性坏死  1/3</t>
  </si>
  <si>
    <t>洪福德-股骨头无菌性坏死  2/3</t>
  </si>
  <si>
    <t>洪福德-股骨头无菌性坏死  3/3</t>
  </si>
  <si>
    <t>胡芝-腰推间盘退行性病变1/4</t>
  </si>
  <si>
    <t>胡芝-腰推间盘退行性病变2/4-低温</t>
  </si>
  <si>
    <t>胡芝-腰推间盘退行性病变3/4-低温</t>
  </si>
  <si>
    <t>胡芝-腰推间盘退行性病变4/4-低温</t>
  </si>
  <si>
    <t>王艳秋-膝关节（低温）-1件/双/Z1035</t>
  </si>
  <si>
    <t>膝关节镜</t>
  </si>
  <si>
    <t>王艳秋-膝关节前十字韧带损伤  1/1</t>
  </si>
  <si>
    <t>李勇果-股骨转子间骨折  1/4</t>
  </si>
  <si>
    <t>李勇果-股骨转子间骨折  2/4</t>
  </si>
  <si>
    <t>李勇果-股骨转子间骨折  3/4</t>
  </si>
  <si>
    <t>李勇果-股骨转子间骨折  4/4</t>
  </si>
  <si>
    <t>刘金梅-胫骨远端骨折伴腓骨骨折1/5</t>
  </si>
  <si>
    <t>上肢+胫骨髓内钉</t>
  </si>
  <si>
    <t>刘金梅-胫骨远端骨折伴腓骨骨折2/5</t>
  </si>
  <si>
    <t>刘金梅-胫骨远端骨折伴腓骨骨折3/5</t>
  </si>
  <si>
    <t>刘金梅-胫骨远端骨折伴腓骨骨折4/5</t>
  </si>
  <si>
    <t>刘金梅-胫骨远端骨折伴腓骨骨折5/5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</si>
</sst>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yyyy/m/d;@"/>
    <numFmt numFmtId="178" formatCode="#,##0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4D4D4D"/>
      <name val="Microsoft YaHei"/>
      <charset val="134"/>
    </font>
    <font>
      <sz val="10"/>
      <color theme="1"/>
      <name val="Microsoft YaHei"/>
      <charset val="134"/>
    </font>
    <font>
      <sz val="11"/>
      <name val="宋体"/>
      <charset val="134"/>
      <scheme val="minor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6" fillId="0" borderId="0"/>
  </cellStyleXfs>
  <cellXfs count="33">
    <xf numFmtId="0" fontId="0" fillId="0" borderId="0" xfId="0" applyAlignment="1">
      <alignment vertical="center"/>
    </xf>
    <xf numFmtId="0" fontId="1" fillId="2" borderId="1" xfId="49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 readingOrder="1"/>
    </xf>
    <xf numFmtId="176" fontId="3" fillId="0" borderId="1" xfId="49" applyNumberFormat="1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5" fillId="0" borderId="0" xfId="49" applyFont="1" applyFill="1" applyBorder="1" applyAlignment="1"/>
    <xf numFmtId="177" fontId="3" fillId="0" borderId="1" xfId="49" applyNumberFormat="1" applyFont="1" applyFill="1" applyBorder="1" applyAlignment="1">
      <alignment horizontal="center" vertical="center" wrapText="1" readingOrder="1"/>
    </xf>
    <xf numFmtId="0" fontId="6" fillId="0" borderId="1" xfId="49" applyNumberFormat="1" applyFont="1" applyFill="1" applyBorder="1" applyAlignment="1">
      <alignment horizontal="center" vertical="center" wrapText="1"/>
    </xf>
    <xf numFmtId="0" fontId="5" fillId="0" borderId="1" xfId="49" applyFont="1" applyFill="1" applyBorder="1" applyAlignment="1"/>
    <xf numFmtId="0" fontId="6" fillId="0" borderId="1" xfId="49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/>
    <xf numFmtId="0" fontId="5" fillId="0" borderId="0" xfId="49" applyNumberFormat="1" applyFont="1" applyFill="1" applyBorder="1" applyAlignment="1"/>
    <xf numFmtId="0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 applyAlignment="1">
      <alignment vertical="center"/>
    </xf>
    <xf numFmtId="0" fontId="5" fillId="0" borderId="0" xfId="0" applyFont="1" applyFill="1" applyBorder="1" applyAlignment="1"/>
    <xf numFmtId="0" fontId="1" fillId="2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/>
    <xf numFmtId="0" fontId="5" fillId="0" borderId="1" xfId="0" applyNumberFormat="1" applyFont="1" applyFill="1" applyBorder="1" applyAlignment="1"/>
    <xf numFmtId="0" fontId="5" fillId="0" borderId="0" xfId="0" applyNumberFormat="1" applyFont="1" applyFill="1" applyBorder="1" applyAlignment="1"/>
    <xf numFmtId="178" fontId="3" fillId="0" borderId="1" xfId="49" applyNumberFormat="1" applyFont="1" applyFill="1" applyBorder="1" applyAlignment="1">
      <alignment horizontal="center" vertical="center" wrapText="1" readingOrder="1"/>
    </xf>
    <xf numFmtId="178" fontId="3" fillId="0" borderId="1" xfId="0" applyNumberFormat="1" applyFont="1" applyFill="1" applyBorder="1" applyAlignment="1">
      <alignment horizontal="center" vertical="center" wrapText="1" readingOrder="1"/>
    </xf>
    <xf numFmtId="0" fontId="3" fillId="3" borderId="1" xfId="49" applyNumberFormat="1" applyFont="1" applyFill="1" applyBorder="1" applyAlignment="1">
      <alignment horizontal="center" vertical="center" wrapText="1" readingOrder="1"/>
    </xf>
    <xf numFmtId="176" fontId="3" fillId="3" borderId="1" xfId="49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opLeftCell="B1" workbookViewId="0">
      <selection activeCell="D1" sqref="D1:P1"/>
    </sheetView>
  </sheetViews>
  <sheetFormatPr defaultColWidth="9" defaultRowHeight="13.5"/>
  <cols>
    <col min="1" max="1" width="30.0083333333333" customWidth="1"/>
    <col min="2" max="3" width="27.0083333333333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18</v>
      </c>
      <c r="D2" s="5" t="s">
        <v>19</v>
      </c>
      <c r="E2" s="8">
        <v>46076.5039117708</v>
      </c>
      <c r="F2" s="4" t="s">
        <v>20</v>
      </c>
      <c r="G2" s="4" t="s">
        <v>21</v>
      </c>
      <c r="H2" s="4">
        <v>1</v>
      </c>
      <c r="I2" s="14">
        <v>3.3</v>
      </c>
      <c r="J2" s="14">
        <f t="shared" ref="J2:J9" si="0">H2*I2</f>
        <v>3.3</v>
      </c>
      <c r="K2" s="14"/>
      <c r="L2" s="14"/>
      <c r="M2" s="14">
        <v>1</v>
      </c>
      <c r="N2" s="14">
        <v>3.3</v>
      </c>
      <c r="O2" s="6" t="s">
        <v>22</v>
      </c>
      <c r="P2" s="6" t="s">
        <v>23</v>
      </c>
    </row>
    <row r="3" ht="22.5" customHeight="1" spans="1:16">
      <c r="A3" s="4" t="s">
        <v>16</v>
      </c>
      <c r="B3" s="4" t="s">
        <v>17</v>
      </c>
      <c r="C3" s="4" t="s">
        <v>18</v>
      </c>
      <c r="D3" s="5" t="s">
        <v>19</v>
      </c>
      <c r="E3" s="8">
        <v>46076.5039117708</v>
      </c>
      <c r="F3" s="4" t="s">
        <v>24</v>
      </c>
      <c r="G3" s="4" t="s">
        <v>25</v>
      </c>
      <c r="H3" s="4">
        <v>9</v>
      </c>
      <c r="I3" s="14">
        <v>3.3</v>
      </c>
      <c r="J3" s="14">
        <f t="shared" si="0"/>
        <v>29.7</v>
      </c>
      <c r="K3" s="14">
        <v>1</v>
      </c>
      <c r="L3" s="14">
        <v>3.3</v>
      </c>
      <c r="M3" s="14">
        <v>8</v>
      </c>
      <c r="N3" s="14">
        <f>M3*3.3</f>
        <v>26.4</v>
      </c>
      <c r="O3" s="6" t="s">
        <v>22</v>
      </c>
      <c r="P3" s="6" t="s">
        <v>23</v>
      </c>
    </row>
    <row r="4" ht="22.5" customHeight="1" spans="1:16">
      <c r="A4" s="4" t="s">
        <v>16</v>
      </c>
      <c r="B4" s="4" t="s">
        <v>17</v>
      </c>
      <c r="C4" s="4" t="s">
        <v>26</v>
      </c>
      <c r="D4" s="5" t="s">
        <v>19</v>
      </c>
      <c r="E4" s="8">
        <v>46076.503915162</v>
      </c>
      <c r="F4" s="4" t="s">
        <v>20</v>
      </c>
      <c r="G4" s="4" t="s">
        <v>21</v>
      </c>
      <c r="H4" s="4">
        <v>1</v>
      </c>
      <c r="I4" s="14">
        <v>3.3</v>
      </c>
      <c r="J4" s="14">
        <f t="shared" si="0"/>
        <v>3.3</v>
      </c>
      <c r="K4" s="14"/>
      <c r="L4" s="14"/>
      <c r="M4" s="14">
        <v>1</v>
      </c>
      <c r="N4" s="14">
        <v>3.3</v>
      </c>
      <c r="O4" s="6" t="s">
        <v>22</v>
      </c>
      <c r="P4" s="6" t="s">
        <v>23</v>
      </c>
    </row>
    <row r="5" ht="22.5" customHeight="1" spans="1:16">
      <c r="A5" s="4" t="s">
        <v>16</v>
      </c>
      <c r="B5" s="4" t="s">
        <v>17</v>
      </c>
      <c r="C5" s="4" t="s">
        <v>26</v>
      </c>
      <c r="D5" s="5" t="s">
        <v>19</v>
      </c>
      <c r="E5" s="8">
        <v>46076.503915162</v>
      </c>
      <c r="F5" s="4" t="s">
        <v>24</v>
      </c>
      <c r="G5" s="4" t="s">
        <v>25</v>
      </c>
      <c r="H5" s="4">
        <v>37</v>
      </c>
      <c r="I5" s="14">
        <v>3.3</v>
      </c>
      <c r="J5" s="14">
        <f t="shared" si="0"/>
        <v>122.1</v>
      </c>
      <c r="K5" s="14">
        <v>37</v>
      </c>
      <c r="L5" s="14">
        <v>122.1</v>
      </c>
      <c r="M5" s="14"/>
      <c r="N5" s="14"/>
      <c r="O5" s="6" t="s">
        <v>22</v>
      </c>
      <c r="P5" s="6" t="s">
        <v>23</v>
      </c>
    </row>
    <row r="6" ht="22.5" customHeight="1" spans="1:16">
      <c r="A6" s="4" t="s">
        <v>16</v>
      </c>
      <c r="B6" s="4" t="s">
        <v>17</v>
      </c>
      <c r="C6" s="4" t="s">
        <v>27</v>
      </c>
      <c r="D6" s="5" t="s">
        <v>19</v>
      </c>
      <c r="E6" s="8">
        <v>46076.5039169329</v>
      </c>
      <c r="F6" s="4" t="s">
        <v>20</v>
      </c>
      <c r="G6" s="4" t="s">
        <v>21</v>
      </c>
      <c r="H6" s="4">
        <v>1</v>
      </c>
      <c r="I6" s="14">
        <v>3.3</v>
      </c>
      <c r="J6" s="14">
        <f t="shared" si="0"/>
        <v>3.3</v>
      </c>
      <c r="K6" s="14"/>
      <c r="L6" s="14"/>
      <c r="M6" s="14">
        <v>1</v>
      </c>
      <c r="N6" s="14">
        <v>3.3</v>
      </c>
      <c r="O6" s="6" t="s">
        <v>22</v>
      </c>
      <c r="P6" s="6" t="s">
        <v>23</v>
      </c>
    </row>
    <row r="7" ht="22.5" customHeight="1" spans="1:16">
      <c r="A7" s="4" t="s">
        <v>16</v>
      </c>
      <c r="B7" s="4" t="s">
        <v>17</v>
      </c>
      <c r="C7" s="4" t="s">
        <v>27</v>
      </c>
      <c r="D7" s="5" t="s">
        <v>19</v>
      </c>
      <c r="E7" s="8">
        <v>46076.5039169329</v>
      </c>
      <c r="F7" s="4" t="s">
        <v>24</v>
      </c>
      <c r="G7" s="4" t="s">
        <v>25</v>
      </c>
      <c r="H7" s="4">
        <v>19</v>
      </c>
      <c r="I7" s="14">
        <v>3.3</v>
      </c>
      <c r="J7" s="14">
        <f t="shared" si="0"/>
        <v>62.7</v>
      </c>
      <c r="K7" s="14">
        <v>19</v>
      </c>
      <c r="L7" s="14">
        <v>62.7</v>
      </c>
      <c r="M7" s="14"/>
      <c r="N7" s="14"/>
      <c r="O7" s="6" t="s">
        <v>22</v>
      </c>
      <c r="P7" s="6" t="s">
        <v>23</v>
      </c>
    </row>
    <row r="8" ht="22.5" customHeight="1" spans="1:16">
      <c r="A8" s="4" t="s">
        <v>16</v>
      </c>
      <c r="B8" s="4" t="s">
        <v>17</v>
      </c>
      <c r="C8" s="4" t="s">
        <v>28</v>
      </c>
      <c r="D8" s="5" t="s">
        <v>19</v>
      </c>
      <c r="E8" s="8">
        <v>46076.5039188657</v>
      </c>
      <c r="F8" s="4" t="s">
        <v>20</v>
      </c>
      <c r="G8" s="4" t="s">
        <v>21</v>
      </c>
      <c r="H8" s="4">
        <v>1</v>
      </c>
      <c r="I8" s="14">
        <v>3.3</v>
      </c>
      <c r="J8" s="14">
        <f t="shared" si="0"/>
        <v>3.3</v>
      </c>
      <c r="K8" s="14"/>
      <c r="L8" s="14"/>
      <c r="M8" s="14">
        <v>1</v>
      </c>
      <c r="N8" s="14">
        <v>3.3</v>
      </c>
      <c r="O8" s="6" t="s">
        <v>22</v>
      </c>
      <c r="P8" s="6" t="s">
        <v>23</v>
      </c>
    </row>
    <row r="9" ht="22.5" customHeight="1" spans="1:16">
      <c r="A9" s="4" t="s">
        <v>16</v>
      </c>
      <c r="B9" s="4" t="s">
        <v>17</v>
      </c>
      <c r="C9" s="4" t="s">
        <v>28</v>
      </c>
      <c r="D9" s="5" t="s">
        <v>19</v>
      </c>
      <c r="E9" s="8">
        <v>46076.5039188657</v>
      </c>
      <c r="F9" s="4" t="s">
        <v>24</v>
      </c>
      <c r="G9" s="4" t="s">
        <v>25</v>
      </c>
      <c r="H9" s="4">
        <v>28</v>
      </c>
      <c r="I9" s="14">
        <v>3.3</v>
      </c>
      <c r="J9" s="14">
        <f t="shared" si="0"/>
        <v>92.4</v>
      </c>
      <c r="K9" s="14">
        <v>28</v>
      </c>
      <c r="L9" s="14">
        <v>92.4</v>
      </c>
      <c r="M9" s="14"/>
      <c r="N9" s="14"/>
      <c r="O9" s="6" t="s">
        <v>22</v>
      </c>
      <c r="P9" s="6" t="s">
        <v>23</v>
      </c>
    </row>
    <row r="10" customFormat="1" spans="1:16">
      <c r="C10" t="s">
        <v>29</v>
      </c>
      <c r="H10" s="17">
        <f t="shared" ref="H10:N10" si="1">SUM(H2:H9)</f>
        <v>97</v>
      </c>
      <c r="I10" s="17">
        <f t="shared" si="1"/>
        <v>26.4</v>
      </c>
      <c r="J10" s="17">
        <f t="shared" si="1"/>
        <v>320.1</v>
      </c>
      <c r="K10" s="17">
        <f t="shared" si="1"/>
        <v>85</v>
      </c>
      <c r="L10" s="17">
        <f t="shared" si="1"/>
        <v>280.5</v>
      </c>
      <c r="M10" s="17">
        <f t="shared" si="1"/>
        <v>12</v>
      </c>
      <c r="N10" s="17">
        <f t="shared" si="1"/>
        <v>39.6</v>
      </c>
    </row>
    <row r="11" customFormat="1" spans="1:16">
      <c r="H11" s="17"/>
      <c r="I11" s="17"/>
      <c r="J11" s="17"/>
      <c r="K11" s="17"/>
      <c r="L11" s="17"/>
      <c r="M11" s="17"/>
      <c r="N11" s="17"/>
    </row>
    <row r="12" customFormat="1" spans="1:16">
      <c r="H12" s="17"/>
      <c r="I12" s="17"/>
      <c r="J12" s="17"/>
      <c r="K12" s="17"/>
      <c r="L12" s="17"/>
      <c r="M12" s="17"/>
      <c r="N12" s="1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D1" sqref="D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26.0083333333333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9" t="s">
        <v>0</v>
      </c>
      <c r="B1" s="19" t="s">
        <v>1</v>
      </c>
      <c r="C1" s="1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20" t="s">
        <v>30</v>
      </c>
      <c r="B2" s="20" t="s">
        <v>31</v>
      </c>
      <c r="C2" s="20" t="s">
        <v>32</v>
      </c>
      <c r="D2" s="21" t="s">
        <v>33</v>
      </c>
      <c r="E2" s="21">
        <v>46077.5702702199</v>
      </c>
      <c r="F2" s="20" t="s">
        <v>24</v>
      </c>
      <c r="G2" s="20" t="s">
        <v>25</v>
      </c>
      <c r="H2" s="20">
        <v>10</v>
      </c>
      <c r="I2" s="6">
        <v>3.3</v>
      </c>
      <c r="J2" s="6">
        <f t="shared" ref="J2:J10" si="0">H2*I2</f>
        <v>33</v>
      </c>
      <c r="K2" s="6">
        <v>10</v>
      </c>
      <c r="L2" s="6">
        <v>33</v>
      </c>
      <c r="M2" s="6"/>
      <c r="N2" s="6"/>
      <c r="O2" s="6" t="s">
        <v>34</v>
      </c>
      <c r="P2" s="6" t="s">
        <v>35</v>
      </c>
    </row>
    <row r="3" ht="22.5" customHeight="1" spans="1:16">
      <c r="A3" s="20" t="s">
        <v>30</v>
      </c>
      <c r="B3" s="20" t="s">
        <v>31</v>
      </c>
      <c r="C3" s="20" t="s">
        <v>32</v>
      </c>
      <c r="D3" s="21" t="s">
        <v>33</v>
      </c>
      <c r="E3" s="21">
        <v>46077.5702702199</v>
      </c>
      <c r="F3" s="20" t="s">
        <v>20</v>
      </c>
      <c r="G3" s="20" t="s">
        <v>21</v>
      </c>
      <c r="H3" s="20">
        <v>1</v>
      </c>
      <c r="I3" s="6">
        <v>3.3</v>
      </c>
      <c r="J3" s="6">
        <f t="shared" si="0"/>
        <v>3.3</v>
      </c>
      <c r="K3" s="6">
        <v>1</v>
      </c>
      <c r="L3" s="6">
        <v>3.3</v>
      </c>
      <c r="M3" s="6"/>
      <c r="N3" s="6"/>
      <c r="O3" s="6" t="s">
        <v>34</v>
      </c>
      <c r="P3" s="6" t="s">
        <v>35</v>
      </c>
    </row>
    <row r="4" ht="22.5" customHeight="1" spans="1:16">
      <c r="A4" s="20" t="s">
        <v>30</v>
      </c>
      <c r="B4" s="20" t="s">
        <v>31</v>
      </c>
      <c r="C4" s="20" t="s">
        <v>32</v>
      </c>
      <c r="D4" s="21" t="s">
        <v>33</v>
      </c>
      <c r="E4" s="21">
        <v>46077.5702702199</v>
      </c>
      <c r="F4" s="20" t="s">
        <v>24</v>
      </c>
      <c r="G4" s="20" t="s">
        <v>36</v>
      </c>
      <c r="H4" s="20">
        <v>8</v>
      </c>
      <c r="I4" s="6">
        <v>3.3</v>
      </c>
      <c r="J4" s="6">
        <f t="shared" si="0"/>
        <v>26.4</v>
      </c>
      <c r="K4" s="6">
        <v>8</v>
      </c>
      <c r="L4" s="6">
        <v>26.4</v>
      </c>
      <c r="M4" s="6"/>
      <c r="N4" s="6"/>
      <c r="O4" s="6" t="s">
        <v>34</v>
      </c>
      <c r="P4" s="6" t="s">
        <v>35</v>
      </c>
    </row>
    <row r="5" ht="22.5" customHeight="1" spans="1:16">
      <c r="A5" s="20" t="s">
        <v>30</v>
      </c>
      <c r="B5" s="20" t="s">
        <v>31</v>
      </c>
      <c r="C5" s="20" t="s">
        <v>37</v>
      </c>
      <c r="D5" s="21" t="s">
        <v>33</v>
      </c>
      <c r="E5" s="21">
        <v>46077.5702736458</v>
      </c>
      <c r="F5" s="20" t="s">
        <v>20</v>
      </c>
      <c r="G5" s="20" t="s">
        <v>21</v>
      </c>
      <c r="H5" s="20">
        <v>1</v>
      </c>
      <c r="I5" s="6">
        <v>3.3</v>
      </c>
      <c r="J5" s="6">
        <f t="shared" si="0"/>
        <v>3.3</v>
      </c>
      <c r="K5" s="6">
        <v>1</v>
      </c>
      <c r="L5" s="6">
        <v>3.3</v>
      </c>
      <c r="M5" s="6"/>
      <c r="N5" s="6"/>
      <c r="O5" s="6" t="s">
        <v>34</v>
      </c>
      <c r="P5" s="6" t="s">
        <v>35</v>
      </c>
    </row>
    <row r="6" ht="22.5" customHeight="1" spans="1:16">
      <c r="A6" s="20" t="s">
        <v>30</v>
      </c>
      <c r="B6" s="20" t="s">
        <v>31</v>
      </c>
      <c r="C6" s="20" t="s">
        <v>37</v>
      </c>
      <c r="D6" s="21" t="s">
        <v>33</v>
      </c>
      <c r="E6" s="21">
        <v>46077.5702736458</v>
      </c>
      <c r="F6" s="20" t="s">
        <v>24</v>
      </c>
      <c r="G6" s="20" t="s">
        <v>25</v>
      </c>
      <c r="H6" s="20">
        <v>11</v>
      </c>
      <c r="I6" s="6">
        <v>3.3</v>
      </c>
      <c r="J6" s="6">
        <f t="shared" si="0"/>
        <v>36.3</v>
      </c>
      <c r="K6" s="6">
        <v>11</v>
      </c>
      <c r="L6" s="6">
        <v>36.3</v>
      </c>
      <c r="M6" s="6"/>
      <c r="N6" s="6"/>
      <c r="O6" s="6" t="s">
        <v>34</v>
      </c>
      <c r="P6" s="6" t="s">
        <v>35</v>
      </c>
    </row>
    <row r="7" ht="22.5" customHeight="1" spans="1:16">
      <c r="A7" s="20" t="s">
        <v>30</v>
      </c>
      <c r="B7" s="20" t="s">
        <v>31</v>
      </c>
      <c r="C7" s="20" t="s">
        <v>38</v>
      </c>
      <c r="D7" s="21" t="s">
        <v>33</v>
      </c>
      <c r="E7" s="21">
        <v>46077.570275081</v>
      </c>
      <c r="F7" s="20" t="s">
        <v>20</v>
      </c>
      <c r="G7" s="20" t="s">
        <v>21</v>
      </c>
      <c r="H7" s="20">
        <v>1</v>
      </c>
      <c r="I7" s="6">
        <v>3.3</v>
      </c>
      <c r="J7" s="6">
        <f t="shared" si="0"/>
        <v>3.3</v>
      </c>
      <c r="K7" s="6">
        <v>1</v>
      </c>
      <c r="L7" s="6">
        <v>3.3</v>
      </c>
      <c r="M7" s="6"/>
      <c r="N7" s="6"/>
      <c r="O7" s="6" t="s">
        <v>34</v>
      </c>
      <c r="P7" s="6" t="s">
        <v>35</v>
      </c>
    </row>
    <row r="8" ht="22.5" customHeight="1" spans="1:16">
      <c r="A8" s="20" t="s">
        <v>30</v>
      </c>
      <c r="B8" s="20" t="s">
        <v>31</v>
      </c>
      <c r="C8" s="20" t="s">
        <v>38</v>
      </c>
      <c r="D8" s="21" t="s">
        <v>33</v>
      </c>
      <c r="E8" s="21">
        <v>46077.570275081</v>
      </c>
      <c r="F8" s="20" t="s">
        <v>24</v>
      </c>
      <c r="G8" s="20" t="s">
        <v>25</v>
      </c>
      <c r="H8" s="20">
        <v>10</v>
      </c>
      <c r="I8" s="6">
        <v>3.3</v>
      </c>
      <c r="J8" s="6">
        <f t="shared" si="0"/>
        <v>33</v>
      </c>
      <c r="K8" s="6">
        <v>10</v>
      </c>
      <c r="L8" s="6">
        <v>33</v>
      </c>
      <c r="M8" s="6"/>
      <c r="N8" s="6"/>
      <c r="O8" s="6" t="s">
        <v>34</v>
      </c>
      <c r="P8" s="6" t="s">
        <v>35</v>
      </c>
    </row>
    <row r="9" ht="22.5" customHeight="1" spans="1:16">
      <c r="A9" s="20" t="s">
        <v>30</v>
      </c>
      <c r="B9" s="20" t="s">
        <v>31</v>
      </c>
      <c r="C9" s="20" t="s">
        <v>39</v>
      </c>
      <c r="D9" s="21" t="s">
        <v>33</v>
      </c>
      <c r="E9" s="21">
        <v>46077.5702765394</v>
      </c>
      <c r="F9" s="20" t="s">
        <v>24</v>
      </c>
      <c r="G9" s="20" t="s">
        <v>25</v>
      </c>
      <c r="H9" s="20">
        <v>12</v>
      </c>
      <c r="I9" s="6">
        <v>3.3</v>
      </c>
      <c r="J9" s="6">
        <f t="shared" si="0"/>
        <v>39.6</v>
      </c>
      <c r="K9" s="6">
        <v>12</v>
      </c>
      <c r="L9" s="6">
        <v>39.6</v>
      </c>
      <c r="M9" s="6"/>
      <c r="N9" s="6"/>
      <c r="O9" s="6" t="s">
        <v>34</v>
      </c>
      <c r="P9" s="6" t="s">
        <v>35</v>
      </c>
    </row>
    <row r="10" ht="22.5" customHeight="1" spans="1:16">
      <c r="A10" s="20" t="s">
        <v>30</v>
      </c>
      <c r="B10" s="20" t="s">
        <v>31</v>
      </c>
      <c r="C10" s="20" t="s">
        <v>39</v>
      </c>
      <c r="D10" s="21" t="s">
        <v>33</v>
      </c>
      <c r="E10" s="21">
        <v>46077.5702765394</v>
      </c>
      <c r="F10" s="20" t="s">
        <v>20</v>
      </c>
      <c r="G10" s="20" t="s">
        <v>21</v>
      </c>
      <c r="H10" s="20">
        <v>1</v>
      </c>
      <c r="I10" s="6">
        <v>3.3</v>
      </c>
      <c r="J10" s="6">
        <f t="shared" si="0"/>
        <v>3.3</v>
      </c>
      <c r="K10" s="6">
        <v>1</v>
      </c>
      <c r="L10" s="6">
        <v>3.3</v>
      </c>
      <c r="M10" s="6"/>
      <c r="N10" s="6"/>
      <c r="O10" s="6" t="s">
        <v>34</v>
      </c>
      <c r="P10" s="6" t="s">
        <v>35</v>
      </c>
    </row>
    <row r="11" ht="22.5" customHeight="1" spans="1:16">
      <c r="A11" s="20" t="s">
        <v>30</v>
      </c>
      <c r="B11" s="20" t="s">
        <v>31</v>
      </c>
      <c r="C11" s="20" t="s">
        <v>40</v>
      </c>
      <c r="D11" s="21" t="s">
        <v>33</v>
      </c>
      <c r="E11" s="21">
        <v>46077.5702781597</v>
      </c>
      <c r="F11" s="20" t="s">
        <v>24</v>
      </c>
      <c r="G11" s="20" t="s">
        <v>41</v>
      </c>
      <c r="H11" s="20">
        <v>45</v>
      </c>
      <c r="I11" s="6">
        <v>120</v>
      </c>
      <c r="J11" s="6">
        <v>120</v>
      </c>
      <c r="K11" s="6">
        <v>45</v>
      </c>
      <c r="L11" s="6">
        <v>120</v>
      </c>
      <c r="M11" s="6"/>
      <c r="N11" s="6"/>
      <c r="O11" s="6" t="s">
        <v>34</v>
      </c>
      <c r="P11" s="6" t="s">
        <v>35</v>
      </c>
    </row>
    <row r="12" ht="22.5" customHeight="1" spans="1:16">
      <c r="A12" s="20" t="s">
        <v>30</v>
      </c>
      <c r="B12" s="20" t="s">
        <v>31</v>
      </c>
      <c r="C12" s="20" t="s">
        <v>40</v>
      </c>
      <c r="D12" s="21" t="s">
        <v>33</v>
      </c>
      <c r="E12" s="21">
        <v>46077.5702781597</v>
      </c>
      <c r="F12" s="20" t="s">
        <v>20</v>
      </c>
      <c r="G12" s="20" t="s">
        <v>21</v>
      </c>
      <c r="H12" s="20">
        <v>1</v>
      </c>
      <c r="I12" s="6">
        <v>3.3</v>
      </c>
      <c r="J12" s="6">
        <f>H12*I12</f>
        <v>3.3</v>
      </c>
      <c r="K12" s="6">
        <v>1</v>
      </c>
      <c r="L12" s="6">
        <v>3.3</v>
      </c>
      <c r="M12" s="6"/>
      <c r="N12" s="6"/>
      <c r="O12" s="6" t="s">
        <v>34</v>
      </c>
      <c r="P12" s="6" t="s">
        <v>35</v>
      </c>
    </row>
    <row r="13" ht="22.5" customHeight="1" spans="1:16">
      <c r="A13" s="20" t="s">
        <v>30</v>
      </c>
      <c r="B13" s="20" t="s">
        <v>42</v>
      </c>
      <c r="C13" s="20" t="s">
        <v>43</v>
      </c>
      <c r="D13" s="21" t="s">
        <v>44</v>
      </c>
      <c r="E13" s="21">
        <v>46077.4469758449</v>
      </c>
      <c r="F13" s="20" t="s">
        <v>24</v>
      </c>
      <c r="G13" s="20" t="s">
        <v>41</v>
      </c>
      <c r="H13" s="20">
        <v>30</v>
      </c>
      <c r="I13" s="6">
        <v>120</v>
      </c>
      <c r="J13" s="6">
        <v>120</v>
      </c>
      <c r="K13" s="6">
        <v>30</v>
      </c>
      <c r="L13" s="6">
        <v>120</v>
      </c>
      <c r="M13" s="6"/>
      <c r="N13" s="6"/>
      <c r="O13" s="6" t="s">
        <v>45</v>
      </c>
      <c r="P13" s="6" t="s">
        <v>46</v>
      </c>
    </row>
    <row r="14" ht="22.5" customHeight="1" spans="1:16">
      <c r="A14" s="20" t="s">
        <v>30</v>
      </c>
      <c r="B14" s="20" t="s">
        <v>42</v>
      </c>
      <c r="C14" s="20" t="s">
        <v>43</v>
      </c>
      <c r="D14" s="21" t="s">
        <v>44</v>
      </c>
      <c r="E14" s="21">
        <v>46077.4469758449</v>
      </c>
      <c r="F14" s="20" t="s">
        <v>20</v>
      </c>
      <c r="G14" s="20" t="s">
        <v>21</v>
      </c>
      <c r="H14" s="20">
        <v>1</v>
      </c>
      <c r="I14" s="6">
        <v>3.3</v>
      </c>
      <c r="J14" s="6">
        <f>H14*I14</f>
        <v>3.3</v>
      </c>
      <c r="K14" s="6">
        <v>1</v>
      </c>
      <c r="L14" s="6">
        <v>3.3</v>
      </c>
      <c r="M14" s="6"/>
      <c r="N14" s="6"/>
      <c r="O14" s="6" t="s">
        <v>45</v>
      </c>
      <c r="P14" s="6" t="s">
        <v>46</v>
      </c>
    </row>
    <row r="15" ht="22.5" customHeight="1" spans="1:16">
      <c r="A15" s="20" t="s">
        <v>30</v>
      </c>
      <c r="B15" s="20" t="s">
        <v>42</v>
      </c>
      <c r="C15" s="20" t="s">
        <v>43</v>
      </c>
      <c r="D15" s="21" t="s">
        <v>44</v>
      </c>
      <c r="E15" s="21">
        <v>46077.4469758449</v>
      </c>
      <c r="F15" s="20" t="s">
        <v>24</v>
      </c>
      <c r="G15" s="20" t="s">
        <v>25</v>
      </c>
      <c r="H15" s="20">
        <v>8</v>
      </c>
      <c r="I15" s="6">
        <v>3.3</v>
      </c>
      <c r="J15" s="6">
        <f>H15*I15</f>
        <v>26.4</v>
      </c>
      <c r="K15" s="6">
        <v>8</v>
      </c>
      <c r="L15" s="6">
        <v>26.4</v>
      </c>
      <c r="M15" s="6"/>
      <c r="N15" s="6"/>
      <c r="O15" s="6" t="s">
        <v>45</v>
      </c>
      <c r="P15" s="6" t="s">
        <v>46</v>
      </c>
    </row>
    <row r="16" ht="22.5" customHeight="1" spans="1:16">
      <c r="A16" s="20" t="s">
        <v>30</v>
      </c>
      <c r="B16" s="20" t="s">
        <v>42</v>
      </c>
      <c r="C16" s="20" t="s">
        <v>47</v>
      </c>
      <c r="D16" s="21" t="s">
        <v>48</v>
      </c>
      <c r="E16" s="21">
        <v>46077.5835802431</v>
      </c>
      <c r="F16" s="20" t="s">
        <v>24</v>
      </c>
      <c r="G16" s="20" t="s">
        <v>49</v>
      </c>
      <c r="H16" s="20">
        <v>5</v>
      </c>
      <c r="I16" s="6">
        <v>3.3</v>
      </c>
      <c r="J16" s="6">
        <f>H16*I16</f>
        <v>16.5</v>
      </c>
      <c r="K16" s="6">
        <v>5</v>
      </c>
      <c r="L16" s="6">
        <v>16.5</v>
      </c>
      <c r="M16" s="6"/>
      <c r="N16" s="6"/>
      <c r="O16" s="6" t="s">
        <v>45</v>
      </c>
      <c r="P16" s="6" t="s">
        <v>46</v>
      </c>
    </row>
    <row r="17" spans="1:16">
      <c r="A17" s="25"/>
      <c r="B17" s="25"/>
      <c r="C17" s="25"/>
      <c r="D17" s="25"/>
      <c r="E17" s="25"/>
      <c r="F17" s="25"/>
      <c r="G17" s="25"/>
      <c r="H17" s="25">
        <f t="shared" ref="H17:N17" si="1">SUM(H2:H16)</f>
        <v>145</v>
      </c>
      <c r="I17" s="15">
        <f t="shared" si="1"/>
        <v>282.9</v>
      </c>
      <c r="J17" s="15">
        <f t="shared" si="1"/>
        <v>471</v>
      </c>
      <c r="K17" s="15">
        <f t="shared" si="1"/>
        <v>145</v>
      </c>
      <c r="L17" s="15">
        <f t="shared" si="1"/>
        <v>471</v>
      </c>
      <c r="M17" s="15">
        <f t="shared" si="1"/>
        <v>0</v>
      </c>
      <c r="N17" s="15">
        <f t="shared" si="1"/>
        <v>0</v>
      </c>
      <c r="O17" s="15"/>
      <c r="P17" s="15"/>
    </row>
  </sheetData>
  <autoFilter xmlns:etc="http://www.wps.cn/officeDocument/2017/etCustomData" ref="A1:P17" etc:filterBottomFollowUsedRange="0">
    <extLst/>
  </autoFilter>
  <sortState ref="A2:P17">
    <sortCondition ref="B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opLeftCell="C1" workbookViewId="0">
      <selection activeCell="D1" sqref="D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27.5083333333333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30</v>
      </c>
      <c r="B2" s="4" t="s">
        <v>42</v>
      </c>
      <c r="C2" s="4" t="s">
        <v>50</v>
      </c>
      <c r="D2" s="5" t="s">
        <v>33</v>
      </c>
      <c r="E2" s="5">
        <v>46078.5664077546</v>
      </c>
      <c r="F2" s="4" t="s">
        <v>20</v>
      </c>
      <c r="G2" s="4" t="s">
        <v>21</v>
      </c>
      <c r="H2" s="4">
        <v>1</v>
      </c>
      <c r="I2" s="6">
        <v>3.3</v>
      </c>
      <c r="J2" s="6">
        <f>H2*I2</f>
        <v>3.3</v>
      </c>
      <c r="K2" s="6">
        <v>1</v>
      </c>
      <c r="L2" s="6">
        <v>3.3</v>
      </c>
      <c r="M2" s="6"/>
      <c r="N2" s="6"/>
      <c r="O2" s="6" t="s">
        <v>51</v>
      </c>
      <c r="P2" s="6" t="s">
        <v>52</v>
      </c>
    </row>
    <row r="3" ht="22.5" customHeight="1" spans="1:16">
      <c r="A3" s="4" t="s">
        <v>30</v>
      </c>
      <c r="B3" s="4" t="s">
        <v>42</v>
      </c>
      <c r="C3" s="4" t="s">
        <v>50</v>
      </c>
      <c r="D3" s="5" t="s">
        <v>33</v>
      </c>
      <c r="E3" s="5">
        <v>46078.5664077546</v>
      </c>
      <c r="F3" s="4" t="s">
        <v>24</v>
      </c>
      <c r="G3" s="4" t="s">
        <v>25</v>
      </c>
      <c r="H3" s="4">
        <v>8</v>
      </c>
      <c r="I3" s="6">
        <v>3.3</v>
      </c>
      <c r="J3" s="6">
        <f t="shared" ref="J3:J16" si="0">H3*I3</f>
        <v>26.4</v>
      </c>
      <c r="K3" s="6">
        <v>8</v>
      </c>
      <c r="L3" s="6">
        <v>26.4</v>
      </c>
      <c r="M3" s="6"/>
      <c r="N3" s="6"/>
      <c r="O3" s="6" t="s">
        <v>51</v>
      </c>
      <c r="P3" s="6" t="s">
        <v>52</v>
      </c>
    </row>
    <row r="4" ht="22.5" customHeight="1" spans="1:16">
      <c r="A4" s="4" t="s">
        <v>30</v>
      </c>
      <c r="B4" s="4" t="s">
        <v>42</v>
      </c>
      <c r="C4" s="4" t="s">
        <v>53</v>
      </c>
      <c r="D4" s="5" t="s">
        <v>33</v>
      </c>
      <c r="E4" s="5">
        <v>46078.5664121181</v>
      </c>
      <c r="F4" s="4" t="s">
        <v>24</v>
      </c>
      <c r="G4" s="4" t="s">
        <v>25</v>
      </c>
      <c r="H4" s="4">
        <v>11</v>
      </c>
      <c r="I4" s="6">
        <v>3.3</v>
      </c>
      <c r="J4" s="6">
        <f t="shared" si="0"/>
        <v>36.3</v>
      </c>
      <c r="K4" s="6">
        <v>11</v>
      </c>
      <c r="L4" s="6">
        <v>36.3</v>
      </c>
      <c r="M4" s="6"/>
      <c r="N4" s="6"/>
      <c r="O4" s="6" t="s">
        <v>51</v>
      </c>
      <c r="P4" s="6" t="s">
        <v>52</v>
      </c>
    </row>
    <row r="5" ht="22.5" customHeight="1" spans="1:16">
      <c r="A5" s="4" t="s">
        <v>30</v>
      </c>
      <c r="B5" s="4" t="s">
        <v>42</v>
      </c>
      <c r="C5" s="4" t="s">
        <v>53</v>
      </c>
      <c r="D5" s="5" t="s">
        <v>33</v>
      </c>
      <c r="E5" s="5">
        <v>46078.5664121181</v>
      </c>
      <c r="F5" s="4" t="s">
        <v>20</v>
      </c>
      <c r="G5" s="4" t="s">
        <v>21</v>
      </c>
      <c r="H5" s="4">
        <v>1</v>
      </c>
      <c r="I5" s="6">
        <v>3.3</v>
      </c>
      <c r="J5" s="6">
        <f t="shared" si="0"/>
        <v>3.3</v>
      </c>
      <c r="K5" s="6">
        <v>1</v>
      </c>
      <c r="L5" s="6">
        <v>3.3</v>
      </c>
      <c r="M5" s="6"/>
      <c r="N5" s="6"/>
      <c r="O5" s="6" t="s">
        <v>51</v>
      </c>
      <c r="P5" s="6" t="s">
        <v>52</v>
      </c>
    </row>
    <row r="6" ht="22.5" customHeight="1" spans="1:16">
      <c r="A6" s="4" t="s">
        <v>30</v>
      </c>
      <c r="B6" s="4" t="s">
        <v>42</v>
      </c>
      <c r="C6" s="4" t="s">
        <v>54</v>
      </c>
      <c r="D6" s="5" t="s">
        <v>33</v>
      </c>
      <c r="E6" s="5">
        <v>46078.5664165509</v>
      </c>
      <c r="F6" s="4" t="s">
        <v>20</v>
      </c>
      <c r="G6" s="4" t="s">
        <v>21</v>
      </c>
      <c r="H6" s="4">
        <v>1</v>
      </c>
      <c r="I6" s="6">
        <v>3.3</v>
      </c>
      <c r="J6" s="6">
        <f t="shared" si="0"/>
        <v>3.3</v>
      </c>
      <c r="K6" s="6">
        <v>1</v>
      </c>
      <c r="L6" s="6">
        <v>3.3</v>
      </c>
      <c r="M6" s="6"/>
      <c r="N6" s="6"/>
      <c r="O6" s="6" t="s">
        <v>51</v>
      </c>
      <c r="P6" s="6" t="s">
        <v>52</v>
      </c>
    </row>
    <row r="7" ht="22.5" customHeight="1" spans="1:16">
      <c r="A7" s="4" t="s">
        <v>30</v>
      </c>
      <c r="B7" s="4" t="s">
        <v>42</v>
      </c>
      <c r="C7" s="4" t="s">
        <v>54</v>
      </c>
      <c r="D7" s="5" t="s">
        <v>33</v>
      </c>
      <c r="E7" s="5">
        <v>46078.5664165509</v>
      </c>
      <c r="F7" s="4" t="s">
        <v>24</v>
      </c>
      <c r="G7" s="4" t="s">
        <v>25</v>
      </c>
      <c r="H7" s="4">
        <v>11</v>
      </c>
      <c r="I7" s="6">
        <v>3.3</v>
      </c>
      <c r="J7" s="6">
        <f t="shared" si="0"/>
        <v>36.3</v>
      </c>
      <c r="K7" s="6">
        <v>11</v>
      </c>
      <c r="L7" s="6">
        <v>36.3</v>
      </c>
      <c r="M7" s="6"/>
      <c r="N7" s="6"/>
      <c r="O7" s="6" t="s">
        <v>51</v>
      </c>
      <c r="P7" s="6" t="s">
        <v>52</v>
      </c>
    </row>
    <row r="8" ht="22.5" customHeight="1" spans="1:16">
      <c r="A8" s="4" t="s">
        <v>30</v>
      </c>
      <c r="B8" s="4" t="s">
        <v>42</v>
      </c>
      <c r="C8" s="4" t="s">
        <v>55</v>
      </c>
      <c r="D8" s="5" t="s">
        <v>33</v>
      </c>
      <c r="E8" s="5">
        <v>46078.5664210995</v>
      </c>
      <c r="F8" s="4" t="s">
        <v>24</v>
      </c>
      <c r="G8" s="4" t="s">
        <v>25</v>
      </c>
      <c r="H8" s="4">
        <v>8</v>
      </c>
      <c r="I8" s="6">
        <v>3.3</v>
      </c>
      <c r="J8" s="6">
        <f t="shared" si="0"/>
        <v>26.4</v>
      </c>
      <c r="K8" s="6">
        <v>8</v>
      </c>
      <c r="L8" s="6">
        <v>26.4</v>
      </c>
      <c r="M8" s="6"/>
      <c r="N8" s="6"/>
      <c r="O8" s="6" t="s">
        <v>51</v>
      </c>
      <c r="P8" s="6" t="s">
        <v>52</v>
      </c>
    </row>
    <row r="9" ht="22.5" customHeight="1" spans="1:16">
      <c r="A9" s="4" t="s">
        <v>30</v>
      </c>
      <c r="B9" s="4" t="s">
        <v>42</v>
      </c>
      <c r="C9" s="4" t="s">
        <v>55</v>
      </c>
      <c r="D9" s="5" t="s">
        <v>33</v>
      </c>
      <c r="E9" s="5">
        <v>46078.5664210995</v>
      </c>
      <c r="F9" s="4" t="s">
        <v>20</v>
      </c>
      <c r="G9" s="4" t="s">
        <v>21</v>
      </c>
      <c r="H9" s="4">
        <v>1</v>
      </c>
      <c r="I9" s="6">
        <v>3.3</v>
      </c>
      <c r="J9" s="6">
        <f t="shared" si="0"/>
        <v>3.3</v>
      </c>
      <c r="K9" s="6">
        <v>1</v>
      </c>
      <c r="L9" s="6">
        <v>3.3</v>
      </c>
      <c r="M9" s="6"/>
      <c r="N9" s="6"/>
      <c r="O9" s="6" t="s">
        <v>51</v>
      </c>
      <c r="P9" s="6" t="s">
        <v>52</v>
      </c>
    </row>
    <row r="10" ht="22.5" customHeight="1" spans="1:16">
      <c r="A10" s="4" t="s">
        <v>30</v>
      </c>
      <c r="B10" s="4" t="s">
        <v>42</v>
      </c>
      <c r="C10" s="4" t="s">
        <v>55</v>
      </c>
      <c r="D10" s="5" t="s">
        <v>33</v>
      </c>
      <c r="E10" s="5">
        <v>46078.5664210995</v>
      </c>
      <c r="F10" s="4" t="s">
        <v>24</v>
      </c>
      <c r="G10" s="4" t="s">
        <v>36</v>
      </c>
      <c r="H10" s="4">
        <v>8</v>
      </c>
      <c r="I10" s="6">
        <v>3.3</v>
      </c>
      <c r="J10" s="6">
        <f t="shared" si="0"/>
        <v>26.4</v>
      </c>
      <c r="K10" s="6">
        <v>8</v>
      </c>
      <c r="L10" s="6">
        <v>26.4</v>
      </c>
      <c r="M10" s="6"/>
      <c r="N10" s="6"/>
      <c r="O10" s="6" t="s">
        <v>51</v>
      </c>
      <c r="P10" s="6" t="s">
        <v>52</v>
      </c>
    </row>
    <row r="11" ht="22.5" customHeight="1" spans="1:16">
      <c r="A11" s="4" t="s">
        <v>30</v>
      </c>
      <c r="B11" s="4" t="s">
        <v>42</v>
      </c>
      <c r="C11" s="4" t="s">
        <v>56</v>
      </c>
      <c r="D11" s="5" t="s">
        <v>33</v>
      </c>
      <c r="E11" s="5">
        <v>46078.5664256134</v>
      </c>
      <c r="F11" s="4" t="s">
        <v>20</v>
      </c>
      <c r="G11" s="4" t="s">
        <v>21</v>
      </c>
      <c r="H11" s="4">
        <v>1</v>
      </c>
      <c r="I11" s="6">
        <v>3.3</v>
      </c>
      <c r="J11" s="6">
        <f t="shared" si="0"/>
        <v>3.3</v>
      </c>
      <c r="K11" s="6">
        <v>1</v>
      </c>
      <c r="L11" s="6">
        <v>3.3</v>
      </c>
      <c r="M11" s="6"/>
      <c r="N11" s="6"/>
      <c r="O11" s="6" t="s">
        <v>51</v>
      </c>
      <c r="P11" s="6" t="s">
        <v>52</v>
      </c>
    </row>
    <row r="12" ht="22.5" customHeight="1" spans="1:16">
      <c r="A12" s="4" t="s">
        <v>30</v>
      </c>
      <c r="B12" s="4" t="s">
        <v>42</v>
      </c>
      <c r="C12" s="4" t="s">
        <v>56</v>
      </c>
      <c r="D12" s="5" t="s">
        <v>33</v>
      </c>
      <c r="E12" s="5">
        <v>46078.5664256134</v>
      </c>
      <c r="F12" s="4" t="s">
        <v>24</v>
      </c>
      <c r="G12" s="4" t="s">
        <v>25</v>
      </c>
      <c r="H12" s="4">
        <v>13</v>
      </c>
      <c r="I12" s="6">
        <v>3.3</v>
      </c>
      <c r="J12" s="6">
        <f t="shared" si="0"/>
        <v>42.9</v>
      </c>
      <c r="K12" s="6">
        <v>13</v>
      </c>
      <c r="L12" s="6">
        <v>42.9</v>
      </c>
      <c r="M12" s="6"/>
      <c r="N12" s="6"/>
      <c r="O12" s="6" t="s">
        <v>51</v>
      </c>
      <c r="P12" s="6" t="s">
        <v>52</v>
      </c>
    </row>
    <row r="13" ht="22.5" customHeight="1" spans="1:16">
      <c r="A13" s="4" t="s">
        <v>30</v>
      </c>
      <c r="B13" s="4" t="s">
        <v>42</v>
      </c>
      <c r="C13" s="4" t="s">
        <v>57</v>
      </c>
      <c r="D13" s="5" t="s">
        <v>33</v>
      </c>
      <c r="E13" s="5">
        <v>46078.6101550579</v>
      </c>
      <c r="F13" s="4" t="s">
        <v>20</v>
      </c>
      <c r="G13" s="4" t="s">
        <v>21</v>
      </c>
      <c r="H13" s="4">
        <v>1</v>
      </c>
      <c r="I13" s="6">
        <v>3.3</v>
      </c>
      <c r="J13" s="6">
        <f t="shared" si="0"/>
        <v>3.3</v>
      </c>
      <c r="K13" s="6">
        <v>1</v>
      </c>
      <c r="L13" s="6">
        <v>3.3</v>
      </c>
      <c r="M13" s="6"/>
      <c r="N13" s="6"/>
      <c r="O13" s="6" t="s">
        <v>51</v>
      </c>
      <c r="P13" s="6" t="s">
        <v>52</v>
      </c>
    </row>
    <row r="14" ht="22.5" customHeight="1" spans="1:16">
      <c r="A14" s="4" t="s">
        <v>30</v>
      </c>
      <c r="B14" s="4" t="s">
        <v>42</v>
      </c>
      <c r="C14" s="4" t="s">
        <v>57</v>
      </c>
      <c r="D14" s="5" t="s">
        <v>33</v>
      </c>
      <c r="E14" s="5">
        <v>46078.6101550579</v>
      </c>
      <c r="F14" s="4" t="s">
        <v>24</v>
      </c>
      <c r="G14" s="4" t="s">
        <v>58</v>
      </c>
      <c r="H14" s="4">
        <v>23</v>
      </c>
      <c r="I14" s="6">
        <v>30</v>
      </c>
      <c r="J14" s="6">
        <v>30</v>
      </c>
      <c r="K14" s="6">
        <v>23</v>
      </c>
      <c r="L14" s="6">
        <v>30</v>
      </c>
      <c r="M14" s="6"/>
      <c r="N14" s="6"/>
      <c r="O14" s="6" t="s">
        <v>51</v>
      </c>
      <c r="P14" s="6" t="s">
        <v>52</v>
      </c>
    </row>
    <row r="15" ht="22.5" customHeight="1" spans="1:16">
      <c r="A15" s="4" t="s">
        <v>30</v>
      </c>
      <c r="B15" s="4" t="s">
        <v>42</v>
      </c>
      <c r="C15" s="4" t="s">
        <v>59</v>
      </c>
      <c r="D15" s="5" t="s">
        <v>33</v>
      </c>
      <c r="E15" s="5">
        <v>46078.6101577199</v>
      </c>
      <c r="F15" s="4" t="s">
        <v>20</v>
      </c>
      <c r="G15" s="4" t="s">
        <v>21</v>
      </c>
      <c r="H15" s="4">
        <v>1</v>
      </c>
      <c r="I15" s="6">
        <v>3.3</v>
      </c>
      <c r="J15" s="6">
        <f t="shared" si="0"/>
        <v>3.3</v>
      </c>
      <c r="K15" s="6">
        <v>1</v>
      </c>
      <c r="L15" s="6">
        <v>3.3</v>
      </c>
      <c r="M15" s="6"/>
      <c r="N15" s="6"/>
      <c r="O15" s="6" t="s">
        <v>51</v>
      </c>
      <c r="P15" s="6" t="s">
        <v>52</v>
      </c>
    </row>
    <row r="16" ht="22.5" customHeight="1" spans="1:16">
      <c r="A16" s="4" t="s">
        <v>30</v>
      </c>
      <c r="B16" s="4" t="s">
        <v>42</v>
      </c>
      <c r="C16" s="4" t="s">
        <v>59</v>
      </c>
      <c r="D16" s="5" t="s">
        <v>33</v>
      </c>
      <c r="E16" s="5">
        <v>46078.6101577199</v>
      </c>
      <c r="F16" s="4" t="s">
        <v>24</v>
      </c>
      <c r="G16" s="4" t="s">
        <v>25</v>
      </c>
      <c r="H16" s="4">
        <v>12</v>
      </c>
      <c r="I16" s="6">
        <v>3.3</v>
      </c>
      <c r="J16" s="6">
        <f t="shared" si="0"/>
        <v>39.6</v>
      </c>
      <c r="K16" s="6">
        <v>12</v>
      </c>
      <c r="L16" s="6">
        <v>39.6</v>
      </c>
      <c r="M16" s="6"/>
      <c r="N16" s="6"/>
      <c r="O16" s="6" t="s">
        <v>51</v>
      </c>
      <c r="P16" s="6" t="s">
        <v>52</v>
      </c>
    </row>
    <row r="17" ht="22.5" customHeight="1" spans="1:16">
      <c r="A17" s="4" t="s">
        <v>30</v>
      </c>
      <c r="B17" s="4" t="s">
        <v>42</v>
      </c>
      <c r="C17" s="4" t="s">
        <v>60</v>
      </c>
      <c r="D17" s="5" t="s">
        <v>33</v>
      </c>
      <c r="E17" s="5">
        <v>46078.6101604167</v>
      </c>
      <c r="F17" s="4" t="s">
        <v>24</v>
      </c>
      <c r="G17" s="4" t="s">
        <v>41</v>
      </c>
      <c r="H17" s="4">
        <v>45</v>
      </c>
      <c r="I17" s="6">
        <v>120</v>
      </c>
      <c r="J17" s="6">
        <v>120</v>
      </c>
      <c r="K17" s="6">
        <v>45</v>
      </c>
      <c r="L17" s="6">
        <v>120</v>
      </c>
      <c r="M17" s="6"/>
      <c r="N17" s="6"/>
      <c r="O17" s="6" t="s">
        <v>51</v>
      </c>
      <c r="P17" s="6" t="s">
        <v>52</v>
      </c>
    </row>
    <row r="18" ht="22.5" customHeight="1" spans="1:16">
      <c r="A18" s="4" t="s">
        <v>61</v>
      </c>
      <c r="B18" s="4" t="s">
        <v>62</v>
      </c>
      <c r="C18" s="4" t="s">
        <v>63</v>
      </c>
      <c r="D18" s="5" t="s">
        <v>19</v>
      </c>
      <c r="E18" s="5">
        <v>46078.610231331</v>
      </c>
      <c r="F18" s="4" t="s">
        <v>20</v>
      </c>
      <c r="G18" s="4" t="s">
        <v>21</v>
      </c>
      <c r="H18" s="4">
        <v>1</v>
      </c>
      <c r="I18" s="6">
        <v>3.3</v>
      </c>
      <c r="J18" s="6">
        <f t="shared" ref="J18:J23" si="1">H18*I18</f>
        <v>3.3</v>
      </c>
      <c r="K18" s="6">
        <v>1</v>
      </c>
      <c r="L18" s="6">
        <v>3.3</v>
      </c>
      <c r="M18" s="6"/>
      <c r="N18" s="6"/>
      <c r="O18" s="6" t="s">
        <v>22</v>
      </c>
      <c r="P18" s="6" t="s">
        <v>23</v>
      </c>
    </row>
    <row r="19" ht="22.5" customHeight="1" spans="1:16">
      <c r="A19" s="4" t="s">
        <v>61</v>
      </c>
      <c r="B19" s="4" t="s">
        <v>62</v>
      </c>
      <c r="C19" s="4" t="s">
        <v>63</v>
      </c>
      <c r="D19" s="5" t="s">
        <v>19</v>
      </c>
      <c r="E19" s="5">
        <v>46078.610231331</v>
      </c>
      <c r="F19" s="4" t="s">
        <v>24</v>
      </c>
      <c r="G19" s="4" t="s">
        <v>25</v>
      </c>
      <c r="H19" s="4">
        <v>29</v>
      </c>
      <c r="I19" s="6">
        <v>3.3</v>
      </c>
      <c r="J19" s="6">
        <f t="shared" si="1"/>
        <v>95.7</v>
      </c>
      <c r="K19" s="6">
        <v>20</v>
      </c>
      <c r="L19" s="6">
        <f>K19*3.3</f>
        <v>66</v>
      </c>
      <c r="M19" s="6">
        <v>9</v>
      </c>
      <c r="N19" s="6">
        <f>M19*3.3</f>
        <v>29.7</v>
      </c>
      <c r="O19" s="6" t="s">
        <v>22</v>
      </c>
      <c r="P19" s="6" t="s">
        <v>23</v>
      </c>
    </row>
    <row r="20" ht="22.5" customHeight="1" spans="1:16">
      <c r="A20" s="4" t="s">
        <v>61</v>
      </c>
      <c r="B20" s="4" t="s">
        <v>62</v>
      </c>
      <c r="C20" s="4" t="s">
        <v>64</v>
      </c>
      <c r="D20" s="5" t="s">
        <v>19</v>
      </c>
      <c r="E20" s="5">
        <v>46078.6102341088</v>
      </c>
      <c r="F20" s="4" t="s">
        <v>24</v>
      </c>
      <c r="G20" s="4" t="s">
        <v>25</v>
      </c>
      <c r="H20" s="4">
        <v>18</v>
      </c>
      <c r="I20" s="6">
        <v>3.3</v>
      </c>
      <c r="J20" s="6">
        <f t="shared" si="1"/>
        <v>59.4</v>
      </c>
      <c r="K20" s="6">
        <v>18</v>
      </c>
      <c r="L20" s="6">
        <v>59.4</v>
      </c>
      <c r="M20" s="6"/>
      <c r="N20" s="6"/>
      <c r="O20" s="6" t="s">
        <v>22</v>
      </c>
      <c r="P20" s="6" t="s">
        <v>23</v>
      </c>
    </row>
    <row r="21" ht="22.5" customHeight="1" spans="1:16">
      <c r="A21" s="4" t="s">
        <v>61</v>
      </c>
      <c r="B21" s="4" t="s">
        <v>62</v>
      </c>
      <c r="C21" s="4" t="s">
        <v>64</v>
      </c>
      <c r="D21" s="5" t="s">
        <v>19</v>
      </c>
      <c r="E21" s="5">
        <v>46078.6102341088</v>
      </c>
      <c r="F21" s="4" t="s">
        <v>20</v>
      </c>
      <c r="G21" s="4" t="s">
        <v>21</v>
      </c>
      <c r="H21" s="4">
        <v>1</v>
      </c>
      <c r="I21" s="6">
        <v>3.3</v>
      </c>
      <c r="J21" s="6">
        <f t="shared" si="1"/>
        <v>3.3</v>
      </c>
      <c r="K21" s="6">
        <v>1</v>
      </c>
      <c r="L21" s="6">
        <v>3.3</v>
      </c>
      <c r="M21" s="6"/>
      <c r="N21" s="6"/>
      <c r="O21" s="6" t="s">
        <v>22</v>
      </c>
      <c r="P21" s="6" t="s">
        <v>23</v>
      </c>
    </row>
    <row r="22" ht="22.5" customHeight="1" spans="1:16">
      <c r="A22" s="30" t="s">
        <v>16</v>
      </c>
      <c r="B22" s="30" t="s">
        <v>17</v>
      </c>
      <c r="C22" s="30" t="s">
        <v>65</v>
      </c>
      <c r="D22" s="31" t="s">
        <v>48</v>
      </c>
      <c r="E22" s="31">
        <v>46078.6103082986</v>
      </c>
      <c r="F22" s="30" t="s">
        <v>20</v>
      </c>
      <c r="G22" s="30" t="s">
        <v>21</v>
      </c>
      <c r="H22" s="30">
        <v>1</v>
      </c>
      <c r="I22" s="32">
        <v>3.3</v>
      </c>
      <c r="J22" s="32">
        <f t="shared" si="1"/>
        <v>3.3</v>
      </c>
      <c r="K22" s="32">
        <v>1</v>
      </c>
      <c r="L22" s="32">
        <v>3.3</v>
      </c>
      <c r="M22" s="32"/>
      <c r="N22" s="32"/>
      <c r="O22" s="32" t="s">
        <v>22</v>
      </c>
      <c r="P22" s="32" t="s">
        <v>23</v>
      </c>
    </row>
    <row r="23" ht="22.5" customHeight="1" spans="1:16">
      <c r="A23" s="30" t="s">
        <v>16</v>
      </c>
      <c r="B23" s="30" t="s">
        <v>17</v>
      </c>
      <c r="C23" s="30" t="s">
        <v>65</v>
      </c>
      <c r="D23" s="31" t="s">
        <v>48</v>
      </c>
      <c r="E23" s="31">
        <v>46078.6103082986</v>
      </c>
      <c r="F23" s="30" t="s">
        <v>24</v>
      </c>
      <c r="G23" s="30" t="s">
        <v>25</v>
      </c>
      <c r="H23" s="30">
        <v>4</v>
      </c>
      <c r="I23" s="32">
        <v>3.3</v>
      </c>
      <c r="J23" s="32">
        <f t="shared" si="1"/>
        <v>13.2</v>
      </c>
      <c r="K23" s="32">
        <v>4</v>
      </c>
      <c r="L23" s="32">
        <v>13.2</v>
      </c>
      <c r="M23" s="32"/>
      <c r="N23" s="32"/>
      <c r="O23" s="32" t="s">
        <v>22</v>
      </c>
      <c r="P23" s="32" t="s">
        <v>23</v>
      </c>
    </row>
    <row r="24" spans="1:16">
      <c r="A24" s="15"/>
      <c r="B24" s="15"/>
      <c r="C24" s="15"/>
      <c r="D24" s="15"/>
      <c r="E24" s="15"/>
      <c r="F24" s="15"/>
      <c r="G24" s="15"/>
      <c r="H24" s="15">
        <f t="shared" ref="H24:N24" si="2">SUM(H2:H23)</f>
        <v>200</v>
      </c>
      <c r="I24" s="15">
        <f t="shared" si="2"/>
        <v>216</v>
      </c>
      <c r="J24" s="15">
        <f t="shared" si="2"/>
        <v>585.6</v>
      </c>
      <c r="K24" s="15">
        <f t="shared" si="2"/>
        <v>191</v>
      </c>
      <c r="L24" s="15">
        <f t="shared" si="2"/>
        <v>555.9</v>
      </c>
      <c r="M24" s="15">
        <f t="shared" si="2"/>
        <v>9</v>
      </c>
      <c r="N24" s="15">
        <f t="shared" si="2"/>
        <v>29.7</v>
      </c>
      <c r="O24" s="15"/>
      <c r="P24" s="15"/>
    </row>
  </sheetData>
  <autoFilter xmlns:etc="http://www.wps.cn/officeDocument/2017/etCustomData" ref="A1:P2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topLeftCell="C33" workbookViewId="0">
      <selection activeCell="A28" sqref="A28:P29"/>
    </sheetView>
  </sheetViews>
  <sheetFormatPr defaultColWidth="9" defaultRowHeight="13.5"/>
  <cols>
    <col min="1" max="1" width="30.0083333333333" style="7" customWidth="1"/>
    <col min="2" max="2" width="27.0083333333333" style="7" customWidth="1"/>
    <col min="3" max="3" width="27.675" style="7" customWidth="1"/>
    <col min="4" max="4" width="16.0083333333333" style="7" customWidth="1"/>
    <col min="5" max="5" width="13.3416666666667" style="7" customWidth="1"/>
    <col min="6" max="6" width="12.3416666666667" style="7" customWidth="1"/>
    <col min="7" max="7" width="15.0083333333333" style="7" customWidth="1"/>
    <col min="8" max="8" width="12.3416666666667" style="7" customWidth="1"/>
    <col min="9" max="10" width="8.675" style="7" customWidth="1"/>
    <col min="11" max="12" width="17.8416666666667" style="7" customWidth="1"/>
    <col min="13" max="14" width="16.0083333333333" style="7" customWidth="1"/>
    <col min="15" max="16" width="8.675" style="7" customWidth="1"/>
    <col min="17" max="16384" width="9" style="7"/>
  </cols>
  <sheetData>
    <row r="1" s="7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="7" customFormat="1" ht="22.5" customHeight="1" spans="1:16">
      <c r="A2" s="4" t="s">
        <v>66</v>
      </c>
      <c r="B2" s="4" t="s">
        <v>67</v>
      </c>
      <c r="C2" s="4" t="s">
        <v>68</v>
      </c>
      <c r="D2" s="5" t="s">
        <v>69</v>
      </c>
      <c r="E2" s="8">
        <v>46079.8250752662</v>
      </c>
      <c r="F2" s="4" t="s">
        <v>24</v>
      </c>
      <c r="G2" s="4" t="s">
        <v>49</v>
      </c>
      <c r="H2" s="4">
        <v>23</v>
      </c>
      <c r="I2" s="11">
        <v>3.3</v>
      </c>
      <c r="J2" s="11">
        <f>H2*I2</f>
        <v>75.9</v>
      </c>
      <c r="K2" s="11">
        <v>23</v>
      </c>
      <c r="L2" s="11">
        <v>75.9</v>
      </c>
      <c r="M2" s="11"/>
      <c r="N2" s="11"/>
      <c r="O2" s="11" t="s">
        <v>45</v>
      </c>
      <c r="P2" s="11" t="s">
        <v>70</v>
      </c>
    </row>
    <row r="3" s="7" customFormat="1" ht="22.5" customHeight="1" spans="1:16">
      <c r="A3" s="4" t="s">
        <v>66</v>
      </c>
      <c r="B3" s="4" t="s">
        <v>67</v>
      </c>
      <c r="C3" s="4" t="s">
        <v>68</v>
      </c>
      <c r="D3" s="5" t="s">
        <v>69</v>
      </c>
      <c r="E3" s="8">
        <v>46079.8250752662</v>
      </c>
      <c r="F3" s="4" t="s">
        <v>24</v>
      </c>
      <c r="G3" s="4" t="s">
        <v>41</v>
      </c>
      <c r="H3" s="4">
        <v>44</v>
      </c>
      <c r="I3" s="11">
        <v>30</v>
      </c>
      <c r="J3" s="11">
        <v>30</v>
      </c>
      <c r="K3" s="11">
        <v>33</v>
      </c>
      <c r="L3" s="11">
        <v>30</v>
      </c>
      <c r="M3" s="11">
        <v>11</v>
      </c>
      <c r="N3" s="11">
        <v>0</v>
      </c>
      <c r="O3" s="11" t="s">
        <v>45</v>
      </c>
      <c r="P3" s="11" t="s">
        <v>70</v>
      </c>
    </row>
    <row r="4" s="7" customFormat="1" ht="22.5" customHeight="1" spans="1:16">
      <c r="A4" s="4" t="s">
        <v>66</v>
      </c>
      <c r="B4" s="4" t="s">
        <v>67</v>
      </c>
      <c r="C4" s="4" t="s">
        <v>68</v>
      </c>
      <c r="D4" s="5" t="s">
        <v>69</v>
      </c>
      <c r="E4" s="8">
        <v>46079.8250752662</v>
      </c>
      <c r="F4" s="4" t="s">
        <v>24</v>
      </c>
      <c r="G4" s="4" t="s">
        <v>25</v>
      </c>
      <c r="H4" s="4">
        <v>23</v>
      </c>
      <c r="I4" s="11">
        <v>3.3</v>
      </c>
      <c r="J4" s="11">
        <f t="shared" ref="J4:J9" si="0">H4*I4</f>
        <v>75.9</v>
      </c>
      <c r="K4" s="11">
        <v>23</v>
      </c>
      <c r="L4" s="11">
        <v>75.9</v>
      </c>
      <c r="M4" s="11"/>
      <c r="N4" s="11"/>
      <c r="O4" s="11" t="s">
        <v>45</v>
      </c>
      <c r="P4" s="11" t="s">
        <v>70</v>
      </c>
    </row>
    <row r="5" s="7" customFormat="1" ht="22.5" customHeight="1" spans="1:16">
      <c r="A5" s="4" t="s">
        <v>66</v>
      </c>
      <c r="B5" s="4" t="s">
        <v>67</v>
      </c>
      <c r="C5" s="4" t="s">
        <v>68</v>
      </c>
      <c r="D5" s="5" t="s">
        <v>69</v>
      </c>
      <c r="E5" s="8">
        <v>46079.8250752662</v>
      </c>
      <c r="F5" s="4" t="s">
        <v>20</v>
      </c>
      <c r="G5" s="4" t="s">
        <v>21</v>
      </c>
      <c r="H5" s="4">
        <v>1</v>
      </c>
      <c r="I5" s="11">
        <v>3.3</v>
      </c>
      <c r="J5" s="11">
        <f t="shared" si="0"/>
        <v>3.3</v>
      </c>
      <c r="K5" s="11">
        <v>1</v>
      </c>
      <c r="L5" s="11">
        <v>3.3</v>
      </c>
      <c r="M5" s="11"/>
      <c r="N5" s="11"/>
      <c r="O5" s="11" t="s">
        <v>45</v>
      </c>
      <c r="P5" s="11" t="s">
        <v>70</v>
      </c>
    </row>
    <row r="6" s="7" customFormat="1" ht="22.5" customHeight="1" spans="1:16">
      <c r="A6" s="4" t="s">
        <v>66</v>
      </c>
      <c r="B6" s="4" t="s">
        <v>67</v>
      </c>
      <c r="C6" s="4" t="s">
        <v>71</v>
      </c>
      <c r="D6" s="5" t="s">
        <v>69</v>
      </c>
      <c r="E6" s="8">
        <v>46079.8250708681</v>
      </c>
      <c r="F6" s="4" t="s">
        <v>24</v>
      </c>
      <c r="G6" s="4" t="s">
        <v>25</v>
      </c>
      <c r="H6" s="4">
        <v>5</v>
      </c>
      <c r="I6" s="11">
        <v>3.3</v>
      </c>
      <c r="J6" s="11">
        <f t="shared" si="0"/>
        <v>16.5</v>
      </c>
      <c r="K6" s="11">
        <v>5</v>
      </c>
      <c r="L6" s="11">
        <v>16.5</v>
      </c>
      <c r="M6" s="11"/>
      <c r="N6" s="11"/>
      <c r="O6" s="11" t="s">
        <v>45</v>
      </c>
      <c r="P6" s="11" t="s">
        <v>70</v>
      </c>
    </row>
    <row r="7" s="7" customFormat="1" ht="22.5" customHeight="1" spans="1:16">
      <c r="A7" s="4" t="s">
        <v>66</v>
      </c>
      <c r="B7" s="4" t="s">
        <v>67</v>
      </c>
      <c r="C7" s="4" t="s">
        <v>71</v>
      </c>
      <c r="D7" s="5" t="s">
        <v>69</v>
      </c>
      <c r="E7" s="8">
        <v>46079.8250708681</v>
      </c>
      <c r="F7" s="4" t="s">
        <v>20</v>
      </c>
      <c r="G7" s="4" t="s">
        <v>21</v>
      </c>
      <c r="H7" s="4">
        <v>1</v>
      </c>
      <c r="I7" s="11">
        <v>3.3</v>
      </c>
      <c r="J7" s="11">
        <f t="shared" si="0"/>
        <v>3.3</v>
      </c>
      <c r="K7" s="11">
        <v>1</v>
      </c>
      <c r="L7" s="11">
        <v>3.3</v>
      </c>
      <c r="M7" s="11"/>
      <c r="N7" s="11"/>
      <c r="O7" s="11" t="s">
        <v>45</v>
      </c>
      <c r="P7" s="11" t="s">
        <v>70</v>
      </c>
    </row>
    <row r="8" s="7" customFormat="1" ht="22.5" customHeight="1" spans="1:16">
      <c r="A8" s="4" t="s">
        <v>66</v>
      </c>
      <c r="B8" s="4" t="s">
        <v>67</v>
      </c>
      <c r="C8" s="4" t="s">
        <v>72</v>
      </c>
      <c r="D8" s="5" t="s">
        <v>69</v>
      </c>
      <c r="E8" s="8">
        <v>46079.8250732292</v>
      </c>
      <c r="F8" s="4" t="s">
        <v>20</v>
      </c>
      <c r="G8" s="4" t="s">
        <v>21</v>
      </c>
      <c r="H8" s="4">
        <v>1</v>
      </c>
      <c r="I8" s="11">
        <v>3.3</v>
      </c>
      <c r="J8" s="11">
        <f t="shared" si="0"/>
        <v>3.3</v>
      </c>
      <c r="K8" s="11">
        <v>1</v>
      </c>
      <c r="L8" s="11">
        <v>3.3</v>
      </c>
      <c r="M8" s="11"/>
      <c r="N8" s="11"/>
      <c r="O8" s="11" t="s">
        <v>45</v>
      </c>
      <c r="P8" s="11" t="s">
        <v>70</v>
      </c>
    </row>
    <row r="9" s="7" customFormat="1" ht="22.5" customHeight="1" spans="1:16">
      <c r="A9" s="4" t="s">
        <v>66</v>
      </c>
      <c r="B9" s="4" t="s">
        <v>67</v>
      </c>
      <c r="C9" s="4" t="s">
        <v>72</v>
      </c>
      <c r="D9" s="5" t="s">
        <v>69</v>
      </c>
      <c r="E9" s="8">
        <v>46079.8250732292</v>
      </c>
      <c r="F9" s="4" t="s">
        <v>24</v>
      </c>
      <c r="G9" s="4" t="s">
        <v>25</v>
      </c>
      <c r="H9" s="4">
        <v>5</v>
      </c>
      <c r="I9" s="11">
        <v>3.3</v>
      </c>
      <c r="J9" s="11">
        <f t="shared" si="0"/>
        <v>16.5</v>
      </c>
      <c r="K9" s="11">
        <v>5</v>
      </c>
      <c r="L9" s="11">
        <v>16.5</v>
      </c>
      <c r="M9" s="11"/>
      <c r="N9" s="11"/>
      <c r="O9" s="11" t="s">
        <v>45</v>
      </c>
      <c r="P9" s="11" t="s">
        <v>70</v>
      </c>
    </row>
    <row r="10" s="7" customFormat="1" ht="22.5" customHeight="1" spans="1:16">
      <c r="A10" s="4" t="s">
        <v>66</v>
      </c>
      <c r="B10" s="4" t="s">
        <v>67</v>
      </c>
      <c r="C10" s="4" t="s">
        <v>73</v>
      </c>
      <c r="D10" s="5" t="s">
        <v>69</v>
      </c>
      <c r="E10" s="8">
        <v>46079.8250773148</v>
      </c>
      <c r="F10" s="4" t="s">
        <v>24</v>
      </c>
      <c r="G10" s="4" t="s">
        <v>41</v>
      </c>
      <c r="H10" s="4">
        <v>211</v>
      </c>
      <c r="I10" s="11">
        <v>120</v>
      </c>
      <c r="J10" s="11">
        <v>120</v>
      </c>
      <c r="K10" s="11">
        <v>211</v>
      </c>
      <c r="L10" s="11">
        <v>120</v>
      </c>
      <c r="M10" s="11"/>
      <c r="N10" s="11"/>
      <c r="O10" s="11" t="s">
        <v>45</v>
      </c>
      <c r="P10" s="11" t="s">
        <v>70</v>
      </c>
    </row>
    <row r="11" s="7" customFormat="1" ht="22.5" customHeight="1" spans="1:16">
      <c r="A11" s="4" t="s">
        <v>66</v>
      </c>
      <c r="B11" s="4" t="s">
        <v>67</v>
      </c>
      <c r="C11" s="4" t="s">
        <v>73</v>
      </c>
      <c r="D11" s="5" t="s">
        <v>69</v>
      </c>
      <c r="E11" s="8">
        <v>46079.8250773148</v>
      </c>
      <c r="F11" s="4" t="s">
        <v>20</v>
      </c>
      <c r="G11" s="4" t="s">
        <v>21</v>
      </c>
      <c r="H11" s="4">
        <v>1</v>
      </c>
      <c r="I11" s="11">
        <v>3.3</v>
      </c>
      <c r="J11" s="11">
        <f>H11*I11</f>
        <v>3.3</v>
      </c>
      <c r="K11" s="11">
        <v>1</v>
      </c>
      <c r="L11" s="11">
        <v>3.3</v>
      </c>
      <c r="M11" s="11"/>
      <c r="N11" s="11"/>
      <c r="O11" s="11" t="s">
        <v>45</v>
      </c>
      <c r="P11" s="11" t="s">
        <v>70</v>
      </c>
    </row>
    <row r="12" s="7" customFormat="1" ht="22.5" customHeight="1" spans="1:16">
      <c r="A12" s="4" t="s">
        <v>30</v>
      </c>
      <c r="B12" s="4" t="s">
        <v>42</v>
      </c>
      <c r="C12" s="4" t="s">
        <v>74</v>
      </c>
      <c r="D12" s="5" t="s">
        <v>75</v>
      </c>
      <c r="E12" s="8">
        <v>46079.6782829861</v>
      </c>
      <c r="F12" s="4" t="s">
        <v>24</v>
      </c>
      <c r="G12" s="4" t="s">
        <v>76</v>
      </c>
      <c r="H12" s="4">
        <v>14</v>
      </c>
      <c r="I12" s="11">
        <v>3.3</v>
      </c>
      <c r="J12" s="11">
        <f>H12*I12</f>
        <v>46.2</v>
      </c>
      <c r="K12" s="11">
        <v>14</v>
      </c>
      <c r="L12" s="11">
        <v>46.2</v>
      </c>
      <c r="M12" s="11"/>
      <c r="N12" s="11"/>
      <c r="O12" s="11" t="s">
        <v>45</v>
      </c>
      <c r="P12" s="11" t="s">
        <v>77</v>
      </c>
    </row>
    <row r="13" s="7" customFormat="1" ht="22.5" customHeight="1" spans="1:16">
      <c r="A13" s="4" t="s">
        <v>30</v>
      </c>
      <c r="B13" s="4" t="s">
        <v>42</v>
      </c>
      <c r="C13" s="4" t="s">
        <v>74</v>
      </c>
      <c r="D13" s="5" t="s">
        <v>75</v>
      </c>
      <c r="E13" s="8">
        <v>46079.6782829861</v>
      </c>
      <c r="F13" s="4" t="s">
        <v>24</v>
      </c>
      <c r="G13" s="4" t="s">
        <v>41</v>
      </c>
      <c r="H13" s="4">
        <v>120</v>
      </c>
      <c r="I13" s="11">
        <v>120</v>
      </c>
      <c r="J13" s="11">
        <v>120</v>
      </c>
      <c r="K13" s="11">
        <v>120</v>
      </c>
      <c r="L13" s="11">
        <v>120</v>
      </c>
      <c r="M13" s="11"/>
      <c r="N13" s="11"/>
      <c r="O13" s="11" t="s">
        <v>45</v>
      </c>
      <c r="P13" s="11" t="s">
        <v>77</v>
      </c>
    </row>
    <row r="14" s="7" customFormat="1" ht="22.5" customHeight="1" spans="1:16">
      <c r="A14" s="4" t="s">
        <v>30</v>
      </c>
      <c r="B14" s="4" t="s">
        <v>42</v>
      </c>
      <c r="C14" s="4" t="s">
        <v>74</v>
      </c>
      <c r="D14" s="5" t="s">
        <v>75</v>
      </c>
      <c r="E14" s="8">
        <v>46079.6782829861</v>
      </c>
      <c r="F14" s="4" t="s">
        <v>24</v>
      </c>
      <c r="G14" s="4" t="s">
        <v>49</v>
      </c>
      <c r="H14" s="4">
        <v>5</v>
      </c>
      <c r="I14" s="11">
        <v>3.3</v>
      </c>
      <c r="J14" s="11">
        <f>H14*I14</f>
        <v>16.5</v>
      </c>
      <c r="K14" s="11">
        <v>5</v>
      </c>
      <c r="L14" s="11">
        <v>16.5</v>
      </c>
      <c r="M14" s="11"/>
      <c r="N14" s="11"/>
      <c r="O14" s="11" t="s">
        <v>45</v>
      </c>
      <c r="P14" s="11" t="s">
        <v>77</v>
      </c>
    </row>
    <row r="15" s="7" customFormat="1" ht="22.5" customHeight="1" spans="1:16">
      <c r="A15" s="4" t="s">
        <v>30</v>
      </c>
      <c r="B15" s="4" t="s">
        <v>42</v>
      </c>
      <c r="C15" s="4" t="s">
        <v>74</v>
      </c>
      <c r="D15" s="5" t="s">
        <v>75</v>
      </c>
      <c r="E15" s="8">
        <v>46079.6782829861</v>
      </c>
      <c r="F15" s="4" t="s">
        <v>20</v>
      </c>
      <c r="G15" s="4" t="s">
        <v>21</v>
      </c>
      <c r="H15" s="4">
        <v>1</v>
      </c>
      <c r="I15" s="11">
        <v>3.3</v>
      </c>
      <c r="J15" s="11">
        <f>H15*I15</f>
        <v>3.3</v>
      </c>
      <c r="K15" s="11">
        <v>1</v>
      </c>
      <c r="L15" s="11">
        <v>3.3</v>
      </c>
      <c r="M15" s="11"/>
      <c r="N15" s="11"/>
      <c r="O15" s="11" t="s">
        <v>45</v>
      </c>
      <c r="P15" s="11" t="s">
        <v>77</v>
      </c>
    </row>
    <row r="16" s="7" customFormat="1" ht="22.5" customHeight="1" spans="1:16">
      <c r="A16" s="4" t="s">
        <v>16</v>
      </c>
      <c r="B16" s="4" t="s">
        <v>17</v>
      </c>
      <c r="C16" s="4" t="s">
        <v>78</v>
      </c>
      <c r="D16" s="5" t="s">
        <v>79</v>
      </c>
      <c r="E16" s="8">
        <v>46079.8248855324</v>
      </c>
      <c r="F16" s="4" t="s">
        <v>24</v>
      </c>
      <c r="G16" s="4" t="s">
        <v>25</v>
      </c>
      <c r="H16" s="4">
        <v>38</v>
      </c>
      <c r="I16" s="11">
        <v>3.3</v>
      </c>
      <c r="J16" s="11">
        <f>H16*I16</f>
        <v>125.4</v>
      </c>
      <c r="K16" s="11">
        <v>38</v>
      </c>
      <c r="L16" s="11">
        <v>125.4</v>
      </c>
      <c r="M16" s="11"/>
      <c r="N16" s="11"/>
      <c r="O16" s="11" t="s">
        <v>45</v>
      </c>
      <c r="P16" s="11" t="s">
        <v>70</v>
      </c>
    </row>
    <row r="17" s="7" customFormat="1" ht="22.5" customHeight="1" spans="1:16">
      <c r="A17" s="4" t="s">
        <v>16</v>
      </c>
      <c r="B17" s="4" t="s">
        <v>17</v>
      </c>
      <c r="C17" s="4" t="s">
        <v>78</v>
      </c>
      <c r="D17" s="5" t="s">
        <v>79</v>
      </c>
      <c r="E17" s="8">
        <v>46079.8248855324</v>
      </c>
      <c r="F17" s="4" t="s">
        <v>20</v>
      </c>
      <c r="G17" s="4" t="s">
        <v>21</v>
      </c>
      <c r="H17" s="4">
        <v>1</v>
      </c>
      <c r="I17" s="11">
        <v>3.3</v>
      </c>
      <c r="J17" s="11">
        <f>H17*I17</f>
        <v>3.3</v>
      </c>
      <c r="K17" s="11">
        <v>1</v>
      </c>
      <c r="L17" s="11">
        <v>3.3</v>
      </c>
      <c r="M17" s="11"/>
      <c r="N17" s="11"/>
      <c r="O17" s="11" t="s">
        <v>45</v>
      </c>
      <c r="P17" s="11" t="s">
        <v>70</v>
      </c>
    </row>
    <row r="18" s="7" customFormat="1" ht="22.5" customHeight="1" spans="1:16">
      <c r="A18" s="4" t="s">
        <v>16</v>
      </c>
      <c r="B18" s="4" t="s">
        <v>17</v>
      </c>
      <c r="C18" s="4" t="s">
        <v>80</v>
      </c>
      <c r="D18" s="5" t="s">
        <v>79</v>
      </c>
      <c r="E18" s="8">
        <v>46079.8248895486</v>
      </c>
      <c r="F18" s="4" t="s">
        <v>24</v>
      </c>
      <c r="G18" s="4" t="s">
        <v>41</v>
      </c>
      <c r="H18" s="4">
        <v>272</v>
      </c>
      <c r="I18" s="11">
        <v>120</v>
      </c>
      <c r="J18" s="11">
        <v>120</v>
      </c>
      <c r="K18" s="11">
        <v>272</v>
      </c>
      <c r="L18" s="11">
        <v>120</v>
      </c>
      <c r="M18" s="11"/>
      <c r="N18" s="11"/>
      <c r="O18" s="11" t="s">
        <v>45</v>
      </c>
      <c r="P18" s="11" t="s">
        <v>70</v>
      </c>
    </row>
    <row r="19" s="7" customFormat="1" ht="22.5" customHeight="1" spans="1:16">
      <c r="A19" s="4" t="s">
        <v>16</v>
      </c>
      <c r="B19" s="4" t="s">
        <v>17</v>
      </c>
      <c r="C19" s="4" t="s">
        <v>80</v>
      </c>
      <c r="D19" s="5" t="s">
        <v>79</v>
      </c>
      <c r="E19" s="8">
        <v>46079.8248895486</v>
      </c>
      <c r="F19" s="4" t="s">
        <v>20</v>
      </c>
      <c r="G19" s="4" t="s">
        <v>21</v>
      </c>
      <c r="H19" s="4">
        <v>1</v>
      </c>
      <c r="I19" s="11">
        <v>3.3</v>
      </c>
      <c r="J19" s="11">
        <f>H19*I19</f>
        <v>3.3</v>
      </c>
      <c r="K19" s="11">
        <v>1</v>
      </c>
      <c r="L19" s="11">
        <v>3.3</v>
      </c>
      <c r="M19" s="11"/>
      <c r="N19" s="11"/>
      <c r="O19" s="11" t="s">
        <v>45</v>
      </c>
      <c r="P19" s="11" t="s">
        <v>70</v>
      </c>
    </row>
    <row r="20" s="7" customFormat="1" ht="22.5" customHeight="1" spans="1:16">
      <c r="A20" s="4" t="s">
        <v>16</v>
      </c>
      <c r="B20" s="4" t="s">
        <v>17</v>
      </c>
      <c r="C20" s="4" t="s">
        <v>81</v>
      </c>
      <c r="D20" s="5" t="s">
        <v>79</v>
      </c>
      <c r="E20" s="8">
        <v>46079.8248914699</v>
      </c>
      <c r="F20" s="4" t="s">
        <v>24</v>
      </c>
      <c r="G20" s="4" t="s">
        <v>41</v>
      </c>
      <c r="H20" s="4">
        <v>109</v>
      </c>
      <c r="I20" s="11">
        <v>30</v>
      </c>
      <c r="J20" s="11">
        <v>30</v>
      </c>
      <c r="K20" s="11">
        <v>109</v>
      </c>
      <c r="L20" s="11">
        <v>30</v>
      </c>
      <c r="M20" s="11"/>
      <c r="N20" s="11"/>
      <c r="O20" s="11" t="s">
        <v>45</v>
      </c>
      <c r="P20" s="11" t="s">
        <v>70</v>
      </c>
    </row>
    <row r="21" s="7" customFormat="1" ht="22.5" customHeight="1" spans="1:16">
      <c r="A21" s="4" t="s">
        <v>16</v>
      </c>
      <c r="B21" s="4" t="s">
        <v>17</v>
      </c>
      <c r="C21" s="4" t="s">
        <v>81</v>
      </c>
      <c r="D21" s="5" t="s">
        <v>79</v>
      </c>
      <c r="E21" s="8">
        <v>46079.8248914699</v>
      </c>
      <c r="F21" s="4" t="s">
        <v>24</v>
      </c>
      <c r="G21" s="4" t="s">
        <v>25</v>
      </c>
      <c r="H21" s="4">
        <v>17</v>
      </c>
      <c r="I21" s="11">
        <v>3.3</v>
      </c>
      <c r="J21" s="11">
        <f>H21*I21</f>
        <v>56.1</v>
      </c>
      <c r="K21" s="11">
        <v>17</v>
      </c>
      <c r="L21" s="11">
        <v>56.1</v>
      </c>
      <c r="M21" s="11"/>
      <c r="N21" s="11"/>
      <c r="O21" s="11" t="s">
        <v>45</v>
      </c>
      <c r="P21" s="11" t="s">
        <v>70</v>
      </c>
    </row>
    <row r="22" s="7" customFormat="1" ht="22.5" customHeight="1" spans="1:16">
      <c r="A22" s="4" t="s">
        <v>16</v>
      </c>
      <c r="B22" s="4" t="s">
        <v>17</v>
      </c>
      <c r="C22" s="4" t="s">
        <v>81</v>
      </c>
      <c r="D22" s="5" t="s">
        <v>79</v>
      </c>
      <c r="E22" s="8">
        <v>46079.8248914699</v>
      </c>
      <c r="F22" s="4" t="s">
        <v>20</v>
      </c>
      <c r="G22" s="4" t="s">
        <v>21</v>
      </c>
      <c r="H22" s="4">
        <v>1</v>
      </c>
      <c r="I22" s="11">
        <v>3.3</v>
      </c>
      <c r="J22" s="11">
        <f>H22*I22</f>
        <v>3.3</v>
      </c>
      <c r="K22" s="11">
        <v>1</v>
      </c>
      <c r="L22" s="11">
        <v>3.3</v>
      </c>
      <c r="M22" s="11"/>
      <c r="N22" s="11"/>
      <c r="O22" s="11" t="s">
        <v>45</v>
      </c>
      <c r="P22" s="11" t="s">
        <v>70</v>
      </c>
    </row>
    <row r="23" s="7" customFormat="1" ht="22.5" customHeight="1" spans="1:16">
      <c r="A23" s="4" t="s">
        <v>16</v>
      </c>
      <c r="B23" s="4" t="s">
        <v>17</v>
      </c>
      <c r="C23" s="4" t="s">
        <v>82</v>
      </c>
      <c r="D23" s="5" t="s">
        <v>79</v>
      </c>
      <c r="E23" s="8">
        <v>46079.8248873032</v>
      </c>
      <c r="F23" s="4" t="s">
        <v>24</v>
      </c>
      <c r="G23" s="4" t="s">
        <v>25</v>
      </c>
      <c r="H23" s="4">
        <v>30</v>
      </c>
      <c r="I23" s="11">
        <v>3.3</v>
      </c>
      <c r="J23" s="11">
        <f>H23*I23</f>
        <v>99</v>
      </c>
      <c r="K23" s="11">
        <v>30</v>
      </c>
      <c r="L23" s="11">
        <v>99</v>
      </c>
      <c r="M23" s="11"/>
      <c r="N23" s="11"/>
      <c r="O23" s="11" t="s">
        <v>45</v>
      </c>
      <c r="P23" s="11" t="s">
        <v>70</v>
      </c>
    </row>
    <row r="24" s="7" customFormat="1" ht="22.5" customHeight="1" spans="1:16">
      <c r="A24" s="4" t="s">
        <v>16</v>
      </c>
      <c r="B24" s="4" t="s">
        <v>17</v>
      </c>
      <c r="C24" s="4" t="s">
        <v>82</v>
      </c>
      <c r="D24" s="5" t="s">
        <v>79</v>
      </c>
      <c r="E24" s="8">
        <v>46079.8248873032</v>
      </c>
      <c r="F24" s="4" t="s">
        <v>20</v>
      </c>
      <c r="G24" s="4" t="s">
        <v>21</v>
      </c>
      <c r="H24" s="4">
        <v>1</v>
      </c>
      <c r="I24" s="11">
        <v>3.3</v>
      </c>
      <c r="J24" s="11">
        <f>H24*I24</f>
        <v>3.3</v>
      </c>
      <c r="K24" s="11">
        <v>1</v>
      </c>
      <c r="L24" s="11">
        <v>3.3</v>
      </c>
      <c r="M24" s="11"/>
      <c r="N24" s="11"/>
      <c r="O24" s="11" t="s">
        <v>45</v>
      </c>
      <c r="P24" s="11" t="s">
        <v>70</v>
      </c>
    </row>
    <row r="25" s="7" customFormat="1" ht="22.5" customHeight="1" spans="1:16">
      <c r="A25" s="4" t="s">
        <v>16</v>
      </c>
      <c r="B25" s="4" t="s">
        <v>17</v>
      </c>
      <c r="C25" s="4" t="s">
        <v>83</v>
      </c>
      <c r="D25" s="5" t="s">
        <v>79</v>
      </c>
      <c r="E25" s="8">
        <v>46079.8248934838</v>
      </c>
      <c r="F25" s="4" t="s">
        <v>24</v>
      </c>
      <c r="G25" s="4" t="s">
        <v>41</v>
      </c>
      <c r="H25" s="4">
        <v>16</v>
      </c>
      <c r="I25" s="11">
        <v>30</v>
      </c>
      <c r="J25" s="11">
        <v>30</v>
      </c>
      <c r="K25" s="11">
        <v>16</v>
      </c>
      <c r="L25" s="11">
        <v>30</v>
      </c>
      <c r="M25" s="11"/>
      <c r="N25" s="11"/>
      <c r="O25" s="11" t="s">
        <v>45</v>
      </c>
      <c r="P25" s="11" t="s">
        <v>70</v>
      </c>
    </row>
    <row r="26" s="7" customFormat="1" ht="22.5" customHeight="1" spans="1:16">
      <c r="A26" s="4" t="s">
        <v>16</v>
      </c>
      <c r="B26" s="4" t="s">
        <v>17</v>
      </c>
      <c r="C26" s="4" t="s">
        <v>83</v>
      </c>
      <c r="D26" s="5" t="s">
        <v>79</v>
      </c>
      <c r="E26" s="8">
        <v>46079.8248934838</v>
      </c>
      <c r="F26" s="4" t="s">
        <v>20</v>
      </c>
      <c r="G26" s="4" t="s">
        <v>21</v>
      </c>
      <c r="H26" s="4">
        <v>1</v>
      </c>
      <c r="I26" s="11">
        <v>3.3</v>
      </c>
      <c r="J26" s="11">
        <f>H26*I26</f>
        <v>3.3</v>
      </c>
      <c r="K26" s="11">
        <v>1</v>
      </c>
      <c r="L26" s="11">
        <v>3.3</v>
      </c>
      <c r="M26" s="11"/>
      <c r="N26" s="11"/>
      <c r="O26" s="11" t="s">
        <v>45</v>
      </c>
      <c r="P26" s="11" t="s">
        <v>70</v>
      </c>
    </row>
    <row r="27" s="7" customFormat="1" ht="22.5" customHeight="1" spans="1:16">
      <c r="A27" s="4" t="s">
        <v>16</v>
      </c>
      <c r="B27" s="4" t="s">
        <v>17</v>
      </c>
      <c r="C27" s="4" t="s">
        <v>83</v>
      </c>
      <c r="D27" s="5" t="s">
        <v>79</v>
      </c>
      <c r="E27" s="8">
        <v>46079.8248934838</v>
      </c>
      <c r="F27" s="4" t="s">
        <v>24</v>
      </c>
      <c r="G27" s="4" t="s">
        <v>25</v>
      </c>
      <c r="H27" s="4">
        <v>16</v>
      </c>
      <c r="I27" s="11">
        <v>3.3</v>
      </c>
      <c r="J27" s="11">
        <f>H27*I27</f>
        <v>52.8</v>
      </c>
      <c r="K27" s="11">
        <v>16</v>
      </c>
      <c r="L27" s="11">
        <v>52.8</v>
      </c>
      <c r="M27" s="11"/>
      <c r="N27" s="11"/>
      <c r="O27" s="11" t="s">
        <v>45</v>
      </c>
      <c r="P27" s="11" t="s">
        <v>70</v>
      </c>
    </row>
    <row r="28" s="7" customFormat="1" ht="22.5" customHeight="1" spans="1:16">
      <c r="A28" s="4" t="s">
        <v>16</v>
      </c>
      <c r="B28" s="4" t="s">
        <v>84</v>
      </c>
      <c r="C28" s="4" t="s">
        <v>85</v>
      </c>
      <c r="D28" s="5" t="s">
        <v>86</v>
      </c>
      <c r="E28" s="8">
        <v>46079.8244016204</v>
      </c>
      <c r="F28" s="4" t="s">
        <v>24</v>
      </c>
      <c r="G28" s="4" t="s">
        <v>25</v>
      </c>
      <c r="H28" s="4">
        <v>9</v>
      </c>
      <c r="I28" s="11">
        <v>3.3</v>
      </c>
      <c r="J28" s="11">
        <f>H28*I28</f>
        <v>29.7</v>
      </c>
      <c r="K28" s="11">
        <v>9</v>
      </c>
      <c r="L28" s="11">
        <v>29.7</v>
      </c>
      <c r="M28" s="11"/>
      <c r="N28" s="11"/>
      <c r="O28" s="11" t="s">
        <v>34</v>
      </c>
      <c r="P28" s="11" t="s">
        <v>87</v>
      </c>
    </row>
    <row r="29" s="7" customFormat="1" ht="22.5" customHeight="1" spans="1:16">
      <c r="A29" s="4" t="s">
        <v>16</v>
      </c>
      <c r="B29" s="4" t="s">
        <v>84</v>
      </c>
      <c r="C29" s="4" t="s">
        <v>85</v>
      </c>
      <c r="D29" s="5" t="s">
        <v>86</v>
      </c>
      <c r="E29" s="8">
        <v>46079.8244016204</v>
      </c>
      <c r="F29" s="4" t="s">
        <v>20</v>
      </c>
      <c r="G29" s="4" t="s">
        <v>21</v>
      </c>
      <c r="H29" s="4">
        <v>1</v>
      </c>
      <c r="I29" s="11">
        <v>3.3</v>
      </c>
      <c r="J29" s="11">
        <f>H29*I29</f>
        <v>3.3</v>
      </c>
      <c r="K29" s="11">
        <v>1</v>
      </c>
      <c r="L29" s="11">
        <v>3.3</v>
      </c>
      <c r="M29" s="11"/>
      <c r="N29" s="11"/>
      <c r="O29" s="11" t="s">
        <v>34</v>
      </c>
      <c r="P29" s="11" t="s">
        <v>87</v>
      </c>
    </row>
    <row r="30" s="7" customFormat="1" ht="22.5" customHeight="1" spans="1:16">
      <c r="A30" s="4" t="s">
        <v>30</v>
      </c>
      <c r="B30" s="4" t="s">
        <v>31</v>
      </c>
      <c r="C30" s="4" t="s">
        <v>88</v>
      </c>
      <c r="D30" s="5" t="s">
        <v>89</v>
      </c>
      <c r="E30" s="8">
        <v>46079.6782306366</v>
      </c>
      <c r="F30" s="4" t="s">
        <v>24</v>
      </c>
      <c r="G30" s="4" t="s">
        <v>41</v>
      </c>
      <c r="H30" s="4">
        <v>274</v>
      </c>
      <c r="I30" s="11">
        <v>120</v>
      </c>
      <c r="J30" s="11">
        <v>120</v>
      </c>
      <c r="K30" s="11">
        <v>200</v>
      </c>
      <c r="L30" s="11">
        <v>120</v>
      </c>
      <c r="M30" s="11">
        <v>74</v>
      </c>
      <c r="N30" s="11">
        <v>0</v>
      </c>
      <c r="O30" s="11" t="s">
        <v>34</v>
      </c>
      <c r="P30" s="11" t="s">
        <v>87</v>
      </c>
    </row>
    <row r="31" s="7" customFormat="1" ht="22.5" customHeight="1" spans="1:16">
      <c r="A31" s="4" t="s">
        <v>30</v>
      </c>
      <c r="B31" s="4" t="s">
        <v>31</v>
      </c>
      <c r="C31" s="4" t="s">
        <v>88</v>
      </c>
      <c r="D31" s="5" t="s">
        <v>89</v>
      </c>
      <c r="E31" s="8">
        <v>46079.6782306366</v>
      </c>
      <c r="F31" s="4" t="s">
        <v>20</v>
      </c>
      <c r="G31" s="4" t="s">
        <v>21</v>
      </c>
      <c r="H31" s="4">
        <v>1</v>
      </c>
      <c r="I31" s="11">
        <v>3.3</v>
      </c>
      <c r="J31" s="11">
        <f t="shared" ref="J31:J42" si="1">H31*I31</f>
        <v>3.3</v>
      </c>
      <c r="K31" s="11">
        <v>1</v>
      </c>
      <c r="L31" s="11">
        <v>3.3</v>
      </c>
      <c r="M31" s="11"/>
      <c r="N31" s="11"/>
      <c r="O31" s="11" t="s">
        <v>34</v>
      </c>
      <c r="P31" s="11" t="s">
        <v>87</v>
      </c>
    </row>
    <row r="32" s="7" customFormat="1" ht="22.5" customHeight="1" spans="1:16">
      <c r="A32" s="4" t="s">
        <v>30</v>
      </c>
      <c r="B32" s="4" t="s">
        <v>31</v>
      </c>
      <c r="C32" s="4" t="s">
        <v>90</v>
      </c>
      <c r="D32" s="5" t="s">
        <v>89</v>
      </c>
      <c r="E32" s="8">
        <v>46079.6782340278</v>
      </c>
      <c r="F32" s="4" t="s">
        <v>24</v>
      </c>
      <c r="G32" s="4" t="s">
        <v>76</v>
      </c>
      <c r="H32" s="4">
        <v>14</v>
      </c>
      <c r="I32" s="11">
        <v>3.3</v>
      </c>
      <c r="J32" s="11">
        <f t="shared" si="1"/>
        <v>46.2</v>
      </c>
      <c r="K32" s="11">
        <v>14</v>
      </c>
      <c r="L32" s="11">
        <v>46.2</v>
      </c>
      <c r="M32" s="11"/>
      <c r="N32" s="11"/>
      <c r="O32" s="11" t="s">
        <v>34</v>
      </c>
      <c r="P32" s="11" t="s">
        <v>87</v>
      </c>
    </row>
    <row r="33" s="7" customFormat="1" ht="22.5" customHeight="1" spans="1:16">
      <c r="A33" s="4" t="s">
        <v>30</v>
      </c>
      <c r="B33" s="4" t="s">
        <v>31</v>
      </c>
      <c r="C33" s="4" t="s">
        <v>90</v>
      </c>
      <c r="D33" s="5" t="s">
        <v>89</v>
      </c>
      <c r="E33" s="8">
        <v>46079.6782340278</v>
      </c>
      <c r="F33" s="4" t="s">
        <v>24</v>
      </c>
      <c r="G33" s="4" t="s">
        <v>49</v>
      </c>
      <c r="H33" s="4">
        <v>9</v>
      </c>
      <c r="I33" s="11">
        <v>3.3</v>
      </c>
      <c r="J33" s="11">
        <f t="shared" si="1"/>
        <v>29.7</v>
      </c>
      <c r="K33" s="11">
        <v>9</v>
      </c>
      <c r="L33" s="11">
        <v>29.7</v>
      </c>
      <c r="M33" s="11"/>
      <c r="N33" s="11"/>
      <c r="O33" s="11" t="s">
        <v>34</v>
      </c>
      <c r="P33" s="11" t="s">
        <v>87</v>
      </c>
    </row>
    <row r="34" s="7" customFormat="1" ht="22.5" customHeight="1" spans="1:16">
      <c r="A34" s="4" t="s">
        <v>30</v>
      </c>
      <c r="B34" s="4" t="s">
        <v>31</v>
      </c>
      <c r="C34" s="4" t="s">
        <v>90</v>
      </c>
      <c r="D34" s="5" t="s">
        <v>89</v>
      </c>
      <c r="E34" s="8">
        <v>46079.6782340278</v>
      </c>
      <c r="F34" s="4" t="s">
        <v>20</v>
      </c>
      <c r="G34" s="4" t="s">
        <v>21</v>
      </c>
      <c r="H34" s="4">
        <v>1</v>
      </c>
      <c r="I34" s="11">
        <v>3.3</v>
      </c>
      <c r="J34" s="11">
        <f t="shared" si="1"/>
        <v>3.3</v>
      </c>
      <c r="K34" s="11">
        <v>1</v>
      </c>
      <c r="L34" s="11">
        <v>3.3</v>
      </c>
      <c r="M34" s="11"/>
      <c r="N34" s="11"/>
      <c r="O34" s="11" t="s">
        <v>34</v>
      </c>
      <c r="P34" s="11" t="s">
        <v>87</v>
      </c>
    </row>
    <row r="35" s="7" customFormat="1" ht="22.5" customHeight="1" spans="1:16">
      <c r="A35" s="4" t="s">
        <v>30</v>
      </c>
      <c r="B35" s="4" t="s">
        <v>31</v>
      </c>
      <c r="C35" s="4" t="s">
        <v>91</v>
      </c>
      <c r="D35" s="5" t="s">
        <v>89</v>
      </c>
      <c r="E35" s="8">
        <v>46079.678237419</v>
      </c>
      <c r="F35" s="4" t="s">
        <v>24</v>
      </c>
      <c r="G35" s="4" t="s">
        <v>76</v>
      </c>
      <c r="H35" s="4">
        <v>46</v>
      </c>
      <c r="I35" s="11">
        <v>3.3</v>
      </c>
      <c r="J35" s="11">
        <f t="shared" si="1"/>
        <v>151.8</v>
      </c>
      <c r="K35" s="11">
        <v>46</v>
      </c>
      <c r="L35" s="11">
        <v>151.8</v>
      </c>
      <c r="M35" s="11"/>
      <c r="N35" s="11"/>
      <c r="O35" s="11" t="s">
        <v>34</v>
      </c>
      <c r="P35" s="11" t="s">
        <v>87</v>
      </c>
    </row>
    <row r="36" s="7" customFormat="1" ht="22.5" customHeight="1" spans="1:16">
      <c r="A36" s="4" t="s">
        <v>30</v>
      </c>
      <c r="B36" s="4" t="s">
        <v>31</v>
      </c>
      <c r="C36" s="4" t="s">
        <v>91</v>
      </c>
      <c r="D36" s="5" t="s">
        <v>89</v>
      </c>
      <c r="E36" s="8">
        <v>46079.678237419</v>
      </c>
      <c r="F36" s="4" t="s">
        <v>20</v>
      </c>
      <c r="G36" s="4" t="s">
        <v>21</v>
      </c>
      <c r="H36" s="4">
        <v>1</v>
      </c>
      <c r="I36" s="11">
        <v>3.3</v>
      </c>
      <c r="J36" s="11">
        <f t="shared" si="1"/>
        <v>3.3</v>
      </c>
      <c r="K36" s="11">
        <v>1</v>
      </c>
      <c r="L36" s="11">
        <v>3.3</v>
      </c>
      <c r="M36" s="11"/>
      <c r="N36" s="11"/>
      <c r="O36" s="11" t="s">
        <v>34</v>
      </c>
      <c r="P36" s="11" t="s">
        <v>87</v>
      </c>
    </row>
    <row r="37" s="7" customFormat="1" ht="22.5" customHeight="1" spans="1:16">
      <c r="A37" s="4" t="s">
        <v>30</v>
      </c>
      <c r="B37" s="4" t="s">
        <v>31</v>
      </c>
      <c r="C37" s="4" t="s">
        <v>92</v>
      </c>
      <c r="D37" s="5" t="s">
        <v>89</v>
      </c>
      <c r="E37" s="8">
        <v>46079.678240706</v>
      </c>
      <c r="F37" s="4" t="s">
        <v>24</v>
      </c>
      <c r="G37" s="4" t="s">
        <v>76</v>
      </c>
      <c r="H37" s="4">
        <v>31</v>
      </c>
      <c r="I37" s="11">
        <v>3.3</v>
      </c>
      <c r="J37" s="11">
        <f t="shared" si="1"/>
        <v>102.3</v>
      </c>
      <c r="K37" s="11">
        <v>31</v>
      </c>
      <c r="L37" s="11">
        <v>102.3</v>
      </c>
      <c r="M37" s="11"/>
      <c r="N37" s="11"/>
      <c r="O37" s="11" t="s">
        <v>34</v>
      </c>
      <c r="P37" s="11" t="s">
        <v>87</v>
      </c>
    </row>
    <row r="38" s="7" customFormat="1" ht="22.5" customHeight="1" spans="1:16">
      <c r="A38" s="4" t="s">
        <v>30</v>
      </c>
      <c r="B38" s="4" t="s">
        <v>31</v>
      </c>
      <c r="C38" s="4" t="s">
        <v>92</v>
      </c>
      <c r="D38" s="5" t="s">
        <v>89</v>
      </c>
      <c r="E38" s="8">
        <v>46079.678240706</v>
      </c>
      <c r="F38" s="4" t="s">
        <v>20</v>
      </c>
      <c r="G38" s="4" t="s">
        <v>21</v>
      </c>
      <c r="H38" s="4">
        <v>1</v>
      </c>
      <c r="I38" s="11">
        <v>3.3</v>
      </c>
      <c r="J38" s="11">
        <f t="shared" si="1"/>
        <v>3.3</v>
      </c>
      <c r="K38" s="11">
        <v>1</v>
      </c>
      <c r="L38" s="11">
        <v>3.3</v>
      </c>
      <c r="M38" s="11"/>
      <c r="N38" s="11"/>
      <c r="O38" s="11" t="s">
        <v>34</v>
      </c>
      <c r="P38" s="11" t="s">
        <v>87</v>
      </c>
    </row>
    <row r="39" s="7" customFormat="1" ht="22.5" customHeight="1" spans="1:16">
      <c r="A39" s="4" t="s">
        <v>30</v>
      </c>
      <c r="B39" s="4" t="s">
        <v>31</v>
      </c>
      <c r="C39" s="4" t="s">
        <v>93</v>
      </c>
      <c r="D39" s="5" t="s">
        <v>89</v>
      </c>
      <c r="E39" s="8">
        <v>46079.6782446412</v>
      </c>
      <c r="F39" s="4" t="s">
        <v>24</v>
      </c>
      <c r="G39" s="4" t="s">
        <v>76</v>
      </c>
      <c r="H39" s="4">
        <v>6</v>
      </c>
      <c r="I39" s="11">
        <v>3.3</v>
      </c>
      <c r="J39" s="11">
        <f t="shared" si="1"/>
        <v>19.8</v>
      </c>
      <c r="K39" s="11">
        <v>6</v>
      </c>
      <c r="L39" s="11">
        <v>19.8</v>
      </c>
      <c r="M39" s="11"/>
      <c r="N39" s="11"/>
      <c r="O39" s="11" t="s">
        <v>34</v>
      </c>
      <c r="P39" s="11" t="s">
        <v>87</v>
      </c>
    </row>
    <row r="40" s="7" customFormat="1" ht="22.5" customHeight="1" spans="1:16">
      <c r="A40" s="4" t="s">
        <v>30</v>
      </c>
      <c r="B40" s="4" t="s">
        <v>31</v>
      </c>
      <c r="C40" s="4" t="s">
        <v>93</v>
      </c>
      <c r="D40" s="5" t="s">
        <v>89</v>
      </c>
      <c r="E40" s="8">
        <v>46079.6782446412</v>
      </c>
      <c r="F40" s="4" t="s">
        <v>20</v>
      </c>
      <c r="G40" s="4" t="s">
        <v>21</v>
      </c>
      <c r="H40" s="4">
        <v>1</v>
      </c>
      <c r="I40" s="11">
        <v>3.3</v>
      </c>
      <c r="J40" s="11">
        <f t="shared" si="1"/>
        <v>3.3</v>
      </c>
      <c r="K40" s="11">
        <v>1</v>
      </c>
      <c r="L40" s="11">
        <v>3.3</v>
      </c>
      <c r="M40" s="11"/>
      <c r="N40" s="11"/>
      <c r="O40" s="11" t="s">
        <v>34</v>
      </c>
      <c r="P40" s="11" t="s">
        <v>87</v>
      </c>
    </row>
    <row r="41" s="7" customFormat="1" ht="22.5" customHeight="1" spans="1:16">
      <c r="A41" s="4" t="s">
        <v>30</v>
      </c>
      <c r="B41" s="4" t="s">
        <v>31</v>
      </c>
      <c r="C41" s="4" t="s">
        <v>94</v>
      </c>
      <c r="D41" s="5" t="s">
        <v>89</v>
      </c>
      <c r="E41" s="8">
        <v>46079.8246415509</v>
      </c>
      <c r="F41" s="4" t="s">
        <v>24</v>
      </c>
      <c r="G41" s="4" t="s">
        <v>76</v>
      </c>
      <c r="H41" s="4">
        <v>11</v>
      </c>
      <c r="I41" s="11">
        <v>3.3</v>
      </c>
      <c r="J41" s="11">
        <f t="shared" si="1"/>
        <v>36.3</v>
      </c>
      <c r="K41" s="11">
        <v>11</v>
      </c>
      <c r="L41" s="11">
        <v>36.3</v>
      </c>
      <c r="M41" s="11"/>
      <c r="N41" s="11"/>
      <c r="O41" s="11" t="s">
        <v>34</v>
      </c>
      <c r="P41" s="11" t="s">
        <v>87</v>
      </c>
    </row>
    <row r="42" s="7" customFormat="1" ht="22.5" customHeight="1" spans="1:16">
      <c r="A42" s="4" t="s">
        <v>30</v>
      </c>
      <c r="B42" s="4" t="s">
        <v>31</v>
      </c>
      <c r="C42" s="4" t="s">
        <v>94</v>
      </c>
      <c r="D42" s="5" t="s">
        <v>89</v>
      </c>
      <c r="E42" s="8">
        <v>46079.8246415509</v>
      </c>
      <c r="F42" s="4" t="s">
        <v>20</v>
      </c>
      <c r="G42" s="4" t="s">
        <v>21</v>
      </c>
      <c r="H42" s="4">
        <v>1</v>
      </c>
      <c r="I42" s="11">
        <v>3.3</v>
      </c>
      <c r="J42" s="11">
        <f t="shared" si="1"/>
        <v>3.3</v>
      </c>
      <c r="K42" s="11">
        <v>1</v>
      </c>
      <c r="L42" s="11">
        <v>3.3</v>
      </c>
      <c r="M42" s="11"/>
      <c r="N42" s="11"/>
      <c r="O42" s="11" t="s">
        <v>34</v>
      </c>
      <c r="P42" s="11" t="s">
        <v>87</v>
      </c>
    </row>
    <row r="43" s="7" customFormat="1" ht="0.05" hidden="1" customHeight="1" spans="1:1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>
      <c r="A44" s="10"/>
      <c r="B44" s="10"/>
      <c r="C44" s="10"/>
      <c r="D44" s="10"/>
      <c r="E44" s="10"/>
      <c r="F44" s="10"/>
      <c r="G44" s="10"/>
      <c r="H44" s="10">
        <f t="shared" ref="H44:N44" si="2">SUM(H2:H43)</f>
        <v>1365</v>
      </c>
      <c r="I44" s="10">
        <f t="shared" si="2"/>
        <v>682.199999999999</v>
      </c>
      <c r="J44" s="10">
        <f t="shared" si="2"/>
        <v>1622.7</v>
      </c>
      <c r="K44" s="10">
        <f t="shared" si="2"/>
        <v>1280</v>
      </c>
      <c r="L44" s="10">
        <f t="shared" si="2"/>
        <v>1622.7</v>
      </c>
      <c r="M44" s="10">
        <f t="shared" si="2"/>
        <v>85</v>
      </c>
      <c r="N44" s="10">
        <f t="shared" si="2"/>
        <v>0</v>
      </c>
      <c r="O44" s="10"/>
      <c r="P44" s="10"/>
    </row>
  </sheetData>
  <autoFilter xmlns:etc="http://www.wps.cn/officeDocument/2017/etCustomData" ref="A1:P42" etc:filterBottomFollowUsedRange="0">
    <extLst/>
  </autoFilter>
  <sortState ref="A2:P45">
    <sortCondition ref="C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workbookViewId="0">
      <selection activeCell="D1" sqref="D1:P1"/>
    </sheetView>
  </sheetViews>
  <sheetFormatPr defaultColWidth="9" defaultRowHeight="13.5"/>
  <cols>
    <col min="1" max="1" width="30.0083333333333" style="7" customWidth="1"/>
    <col min="2" max="2" width="27.0083333333333" style="7" customWidth="1"/>
    <col min="3" max="3" width="23.675" style="7" customWidth="1"/>
    <col min="4" max="4" width="16.0083333333333" style="7" customWidth="1"/>
    <col min="5" max="5" width="13.3416666666667" style="7" customWidth="1"/>
    <col min="6" max="6" width="12.3416666666667" style="7" customWidth="1"/>
    <col min="7" max="7" width="15.0083333333333" style="7" customWidth="1"/>
    <col min="8" max="8" width="12.3416666666667" style="7" customWidth="1"/>
    <col min="9" max="10" width="8.675" style="7" customWidth="1"/>
    <col min="11" max="12" width="17.8416666666667" style="7" customWidth="1"/>
    <col min="13" max="14" width="16.0083333333333" style="7" customWidth="1"/>
    <col min="15" max="16" width="8.675" style="7" customWidth="1"/>
    <col min="17" max="16383" width="9" style="7"/>
  </cols>
  <sheetData>
    <row r="1" s="7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="7" customFormat="1" ht="22.5" customHeight="1" spans="1:16">
      <c r="A2" s="4" t="s">
        <v>30</v>
      </c>
      <c r="B2" s="4" t="s">
        <v>31</v>
      </c>
      <c r="C2" s="4" t="s">
        <v>95</v>
      </c>
      <c r="D2" s="5" t="s">
        <v>96</v>
      </c>
      <c r="E2" s="5">
        <v>46080.9319340625</v>
      </c>
      <c r="F2" s="4" t="s">
        <v>20</v>
      </c>
      <c r="G2" s="4" t="s">
        <v>21</v>
      </c>
      <c r="H2" s="4">
        <v>1</v>
      </c>
      <c r="I2" s="11">
        <v>3.3</v>
      </c>
      <c r="J2" s="11">
        <f t="shared" ref="J2:J7" si="0">H2*I2</f>
        <v>3.3</v>
      </c>
      <c r="K2" s="4">
        <v>1</v>
      </c>
      <c r="L2" s="11">
        <f t="shared" ref="L2:L7" si="1">K2*3.3</f>
        <v>3.3</v>
      </c>
      <c r="M2" s="11"/>
      <c r="N2" s="11"/>
      <c r="O2" s="11" t="s">
        <v>34</v>
      </c>
      <c r="P2" s="11" t="s">
        <v>87</v>
      </c>
    </row>
    <row r="3" s="7" customFormat="1" ht="22.5" customHeight="1" spans="1:16">
      <c r="A3" s="4" t="s">
        <v>30</v>
      </c>
      <c r="B3" s="4" t="s">
        <v>31</v>
      </c>
      <c r="C3" s="4" t="s">
        <v>95</v>
      </c>
      <c r="D3" s="5" t="s">
        <v>96</v>
      </c>
      <c r="E3" s="5">
        <v>46080.9319340625</v>
      </c>
      <c r="F3" s="4" t="s">
        <v>24</v>
      </c>
      <c r="G3" s="4" t="s">
        <v>76</v>
      </c>
      <c r="H3" s="4">
        <v>39</v>
      </c>
      <c r="I3" s="11">
        <v>3.3</v>
      </c>
      <c r="J3" s="11">
        <f t="shared" si="0"/>
        <v>128.7</v>
      </c>
      <c r="K3" s="4">
        <v>39</v>
      </c>
      <c r="L3" s="11">
        <f t="shared" si="1"/>
        <v>128.7</v>
      </c>
      <c r="M3" s="11"/>
      <c r="N3" s="11"/>
      <c r="O3" s="11" t="s">
        <v>34</v>
      </c>
      <c r="P3" s="11" t="s">
        <v>87</v>
      </c>
    </row>
    <row r="4" s="7" customFormat="1" ht="22.5" customHeight="1" spans="1:16">
      <c r="A4" s="4" t="s">
        <v>30</v>
      </c>
      <c r="B4" s="4" t="s">
        <v>31</v>
      </c>
      <c r="C4" s="4" t="s">
        <v>97</v>
      </c>
      <c r="D4" s="5" t="s">
        <v>96</v>
      </c>
      <c r="E4" s="5">
        <v>46080.9319412847</v>
      </c>
      <c r="F4" s="4" t="s">
        <v>24</v>
      </c>
      <c r="G4" s="4" t="s">
        <v>76</v>
      </c>
      <c r="H4" s="4">
        <v>18</v>
      </c>
      <c r="I4" s="11">
        <v>3.3</v>
      </c>
      <c r="J4" s="11">
        <f t="shared" si="0"/>
        <v>59.4</v>
      </c>
      <c r="K4" s="4">
        <v>18</v>
      </c>
      <c r="L4" s="11">
        <f t="shared" si="1"/>
        <v>59.4</v>
      </c>
      <c r="M4" s="11"/>
      <c r="N4" s="11"/>
      <c r="O4" s="11" t="s">
        <v>34</v>
      </c>
      <c r="P4" s="11" t="s">
        <v>87</v>
      </c>
    </row>
    <row r="5" s="7" customFormat="1" ht="22.5" customHeight="1" spans="1:16">
      <c r="A5" s="4" t="s">
        <v>30</v>
      </c>
      <c r="B5" s="4" t="s">
        <v>31</v>
      </c>
      <c r="C5" s="4" t="s">
        <v>97</v>
      </c>
      <c r="D5" s="5" t="s">
        <v>96</v>
      </c>
      <c r="E5" s="5">
        <v>46080.9319412847</v>
      </c>
      <c r="F5" s="4" t="s">
        <v>20</v>
      </c>
      <c r="G5" s="4" t="s">
        <v>21</v>
      </c>
      <c r="H5" s="4">
        <v>1</v>
      </c>
      <c r="I5" s="11">
        <v>3.3</v>
      </c>
      <c r="J5" s="11">
        <f t="shared" si="0"/>
        <v>3.3</v>
      </c>
      <c r="K5" s="4">
        <v>1</v>
      </c>
      <c r="L5" s="11">
        <f t="shared" si="1"/>
        <v>3.3</v>
      </c>
      <c r="M5" s="11"/>
      <c r="N5" s="11"/>
      <c r="O5" s="11" t="s">
        <v>34</v>
      </c>
      <c r="P5" s="11" t="s">
        <v>87</v>
      </c>
    </row>
    <row r="6" s="7" customFormat="1" ht="22.5" customHeight="1" spans="1:16">
      <c r="A6" s="4" t="s">
        <v>30</v>
      </c>
      <c r="B6" s="4" t="s">
        <v>31</v>
      </c>
      <c r="C6" s="4" t="s">
        <v>98</v>
      </c>
      <c r="D6" s="5" t="s">
        <v>96</v>
      </c>
      <c r="E6" s="5">
        <v>46080.9319459144</v>
      </c>
      <c r="F6" s="4" t="s">
        <v>20</v>
      </c>
      <c r="G6" s="4" t="s">
        <v>21</v>
      </c>
      <c r="H6" s="4">
        <v>1</v>
      </c>
      <c r="I6" s="11">
        <v>3.3</v>
      </c>
      <c r="J6" s="11">
        <f t="shared" si="0"/>
        <v>3.3</v>
      </c>
      <c r="K6" s="4">
        <v>1</v>
      </c>
      <c r="L6" s="11">
        <f t="shared" si="1"/>
        <v>3.3</v>
      </c>
      <c r="M6" s="11"/>
      <c r="N6" s="11"/>
      <c r="O6" s="11" t="s">
        <v>34</v>
      </c>
      <c r="P6" s="11" t="s">
        <v>87</v>
      </c>
    </row>
    <row r="7" s="7" customFormat="1" ht="22.5" customHeight="1" spans="1:16">
      <c r="A7" s="4" t="s">
        <v>30</v>
      </c>
      <c r="B7" s="4" t="s">
        <v>31</v>
      </c>
      <c r="C7" s="4" t="s">
        <v>98</v>
      </c>
      <c r="D7" s="5" t="s">
        <v>96</v>
      </c>
      <c r="E7" s="5">
        <v>46080.9319459144</v>
      </c>
      <c r="F7" s="4" t="s">
        <v>24</v>
      </c>
      <c r="G7" s="4" t="s">
        <v>76</v>
      </c>
      <c r="H7" s="4">
        <v>21</v>
      </c>
      <c r="I7" s="11">
        <v>3.3</v>
      </c>
      <c r="J7" s="11">
        <f t="shared" si="0"/>
        <v>69.3</v>
      </c>
      <c r="K7" s="4">
        <v>21</v>
      </c>
      <c r="L7" s="11">
        <f t="shared" si="1"/>
        <v>69.3</v>
      </c>
      <c r="M7" s="11"/>
      <c r="N7" s="11"/>
      <c r="O7" s="11" t="s">
        <v>34</v>
      </c>
      <c r="P7" s="11" t="s">
        <v>87</v>
      </c>
    </row>
    <row r="8" s="7" customFormat="1" ht="22.5" customHeight="1" spans="1:16">
      <c r="A8" s="4" t="s">
        <v>66</v>
      </c>
      <c r="B8" s="4" t="s">
        <v>67</v>
      </c>
      <c r="C8" s="4" t="s">
        <v>99</v>
      </c>
      <c r="D8" s="5" t="s">
        <v>48</v>
      </c>
      <c r="E8" s="5">
        <v>46080.4195789699</v>
      </c>
      <c r="F8" s="4" t="s">
        <v>24</v>
      </c>
      <c r="G8" s="4" t="s">
        <v>25</v>
      </c>
      <c r="H8" s="4">
        <v>2</v>
      </c>
      <c r="I8" s="11">
        <v>9.9</v>
      </c>
      <c r="J8" s="11">
        <v>9.9</v>
      </c>
      <c r="K8" s="11">
        <v>2</v>
      </c>
      <c r="L8" s="11">
        <v>9.9</v>
      </c>
      <c r="M8" s="11"/>
      <c r="N8" s="11"/>
      <c r="O8" s="11" t="s">
        <v>45</v>
      </c>
      <c r="P8" s="11" t="s">
        <v>70</v>
      </c>
    </row>
    <row r="9" s="7" customFormat="1" ht="22.5" customHeight="1" spans="1:16">
      <c r="A9" s="4" t="s">
        <v>66</v>
      </c>
      <c r="B9" s="4" t="s">
        <v>67</v>
      </c>
      <c r="C9" s="4" t="s">
        <v>100</v>
      </c>
      <c r="D9" s="5" t="s">
        <v>101</v>
      </c>
      <c r="E9" s="5">
        <v>46080.4195841435</v>
      </c>
      <c r="F9" s="4" t="s">
        <v>24</v>
      </c>
      <c r="G9" s="4" t="s">
        <v>41</v>
      </c>
      <c r="H9" s="4">
        <v>144</v>
      </c>
      <c r="I9" s="11">
        <v>120</v>
      </c>
      <c r="J9" s="11">
        <v>120</v>
      </c>
      <c r="K9" s="11">
        <v>144</v>
      </c>
      <c r="L9" s="11">
        <v>120</v>
      </c>
      <c r="M9" s="11"/>
      <c r="N9" s="11"/>
      <c r="O9" s="11" t="s">
        <v>45</v>
      </c>
      <c r="P9" s="11" t="s">
        <v>70</v>
      </c>
    </row>
    <row r="10" s="7" customFormat="1" ht="22.5" customHeight="1" spans="1:16">
      <c r="A10" s="4" t="s">
        <v>66</v>
      </c>
      <c r="B10" s="4" t="s">
        <v>67</v>
      </c>
      <c r="C10" s="4" t="s">
        <v>100</v>
      </c>
      <c r="D10" s="5" t="s">
        <v>101</v>
      </c>
      <c r="E10" s="5">
        <v>46080.4195841435</v>
      </c>
      <c r="F10" s="4" t="s">
        <v>20</v>
      </c>
      <c r="G10" s="4" t="s">
        <v>21</v>
      </c>
      <c r="H10" s="4">
        <v>1</v>
      </c>
      <c r="I10" s="11">
        <v>3.3</v>
      </c>
      <c r="J10" s="11">
        <f>H10*I10</f>
        <v>3.3</v>
      </c>
      <c r="K10" s="11">
        <v>1</v>
      </c>
      <c r="L10" s="11">
        <v>3.3</v>
      </c>
      <c r="M10" s="11"/>
      <c r="N10" s="11"/>
      <c r="O10" s="11" t="s">
        <v>45</v>
      </c>
      <c r="P10" s="11" t="s">
        <v>70</v>
      </c>
    </row>
    <row r="11" s="7" customFormat="1" ht="22.5" customHeight="1" spans="1:16">
      <c r="A11" s="4" t="s">
        <v>66</v>
      </c>
      <c r="B11" s="4" t="s">
        <v>67</v>
      </c>
      <c r="C11" s="4" t="s">
        <v>100</v>
      </c>
      <c r="D11" s="5" t="s">
        <v>101</v>
      </c>
      <c r="E11" s="5">
        <v>46080.4195841435</v>
      </c>
      <c r="F11" s="4" t="s">
        <v>24</v>
      </c>
      <c r="G11" s="4" t="s">
        <v>25</v>
      </c>
      <c r="H11" s="4">
        <v>31</v>
      </c>
      <c r="I11" s="11">
        <v>3.3</v>
      </c>
      <c r="J11" s="11">
        <f>H11*I11</f>
        <v>102.3</v>
      </c>
      <c r="K11" s="11">
        <v>31</v>
      </c>
      <c r="L11" s="11">
        <v>102.3</v>
      </c>
      <c r="M11" s="11"/>
      <c r="N11" s="11"/>
      <c r="O11" s="11" t="s">
        <v>45</v>
      </c>
      <c r="P11" s="11" t="s">
        <v>70</v>
      </c>
    </row>
    <row r="12" s="7" customFormat="1" ht="22.5" customHeight="1" spans="1:16">
      <c r="A12" s="4" t="s">
        <v>66</v>
      </c>
      <c r="B12" s="4" t="s">
        <v>67</v>
      </c>
      <c r="C12" s="4" t="s">
        <v>100</v>
      </c>
      <c r="D12" s="5" t="s">
        <v>101</v>
      </c>
      <c r="E12" s="5">
        <v>46080.4195841435</v>
      </c>
      <c r="F12" s="4" t="s">
        <v>24</v>
      </c>
      <c r="G12" s="4" t="s">
        <v>49</v>
      </c>
      <c r="H12" s="4">
        <v>13</v>
      </c>
      <c r="I12" s="11">
        <v>3.3</v>
      </c>
      <c r="J12" s="11">
        <f>H12*I12</f>
        <v>42.9</v>
      </c>
      <c r="K12" s="11">
        <v>13</v>
      </c>
      <c r="L12" s="11">
        <v>42.9</v>
      </c>
      <c r="M12" s="11"/>
      <c r="N12" s="11"/>
      <c r="O12" s="11" t="s">
        <v>45</v>
      </c>
      <c r="P12" s="11" t="s">
        <v>70</v>
      </c>
    </row>
    <row r="13" s="7" customFormat="1" ht="22.5" customHeight="1" spans="1:16">
      <c r="A13" s="4" t="s">
        <v>66</v>
      </c>
      <c r="B13" s="4" t="s">
        <v>67</v>
      </c>
      <c r="C13" s="4" t="s">
        <v>102</v>
      </c>
      <c r="D13" s="5" t="s">
        <v>101</v>
      </c>
      <c r="E13" s="5">
        <v>46080.4195857986</v>
      </c>
      <c r="F13" s="4" t="s">
        <v>24</v>
      </c>
      <c r="G13" s="4" t="s">
        <v>25</v>
      </c>
      <c r="H13" s="4">
        <v>18</v>
      </c>
      <c r="I13" s="11">
        <v>3.3</v>
      </c>
      <c r="J13" s="11">
        <f>H13*I13</f>
        <v>59.4</v>
      </c>
      <c r="K13" s="11">
        <v>18</v>
      </c>
      <c r="L13" s="11">
        <v>59.4</v>
      </c>
      <c r="M13" s="11"/>
      <c r="N13" s="11"/>
      <c r="O13" s="11" t="s">
        <v>45</v>
      </c>
      <c r="P13" s="11" t="s">
        <v>70</v>
      </c>
    </row>
    <row r="14" s="7" customFormat="1" ht="22.5" customHeight="1" spans="1:16">
      <c r="A14" s="4" t="s">
        <v>66</v>
      </c>
      <c r="B14" s="4" t="s">
        <v>67</v>
      </c>
      <c r="C14" s="4" t="s">
        <v>102</v>
      </c>
      <c r="D14" s="5" t="s">
        <v>101</v>
      </c>
      <c r="E14" s="5">
        <v>46080.4195857986</v>
      </c>
      <c r="F14" s="4" t="s">
        <v>20</v>
      </c>
      <c r="G14" s="4" t="s">
        <v>21</v>
      </c>
      <c r="H14" s="4">
        <v>1</v>
      </c>
      <c r="I14" s="11">
        <v>3.3</v>
      </c>
      <c r="J14" s="11">
        <f>H14*I14</f>
        <v>3.3</v>
      </c>
      <c r="K14" s="11">
        <v>1</v>
      </c>
      <c r="L14" s="11">
        <v>3.3</v>
      </c>
      <c r="M14" s="11"/>
      <c r="N14" s="11"/>
      <c r="O14" s="11" t="s">
        <v>45</v>
      </c>
      <c r="P14" s="11" t="s">
        <v>70</v>
      </c>
    </row>
    <row r="15" s="7" customFormat="1" ht="22.5" customHeight="1" spans="1:16">
      <c r="A15" s="4" t="s">
        <v>66</v>
      </c>
      <c r="B15" s="4" t="s">
        <v>67</v>
      </c>
      <c r="C15" s="4" t="s">
        <v>102</v>
      </c>
      <c r="D15" s="5" t="s">
        <v>101</v>
      </c>
      <c r="E15" s="5">
        <v>46080.4195857986</v>
      </c>
      <c r="F15" s="4" t="s">
        <v>24</v>
      </c>
      <c r="G15" s="4" t="s">
        <v>41</v>
      </c>
      <c r="H15" s="4">
        <v>184</v>
      </c>
      <c r="I15" s="11">
        <v>30</v>
      </c>
      <c r="J15" s="11">
        <v>30</v>
      </c>
      <c r="K15" s="11">
        <v>184</v>
      </c>
      <c r="L15" s="11">
        <v>30</v>
      </c>
      <c r="M15" s="11"/>
      <c r="N15" s="11"/>
      <c r="O15" s="11" t="s">
        <v>45</v>
      </c>
      <c r="P15" s="11" t="s">
        <v>70</v>
      </c>
    </row>
    <row r="16" s="7" customFormat="1" ht="22.5" customHeight="1" spans="1:16">
      <c r="A16" s="4" t="s">
        <v>66</v>
      </c>
      <c r="B16" s="4" t="s">
        <v>67</v>
      </c>
      <c r="C16" s="4" t="s">
        <v>103</v>
      </c>
      <c r="D16" s="5" t="s">
        <v>104</v>
      </c>
      <c r="E16" s="5">
        <v>46080.9325319444</v>
      </c>
      <c r="F16" s="4" t="s">
        <v>24</v>
      </c>
      <c r="G16" s="4" t="s">
        <v>76</v>
      </c>
      <c r="H16" s="4">
        <v>5</v>
      </c>
      <c r="I16" s="11">
        <v>3.3</v>
      </c>
      <c r="J16" s="11">
        <f>H16*I16</f>
        <v>16.5</v>
      </c>
      <c r="K16" s="11">
        <v>5</v>
      </c>
      <c r="L16" s="11">
        <v>16.5</v>
      </c>
      <c r="M16" s="11"/>
      <c r="N16" s="11"/>
      <c r="O16" s="11" t="s">
        <v>51</v>
      </c>
      <c r="P16" s="11" t="s">
        <v>52</v>
      </c>
    </row>
    <row r="17" s="7" customFormat="1" ht="22.5" customHeight="1" spans="1:16">
      <c r="A17" s="4" t="s">
        <v>66</v>
      </c>
      <c r="B17" s="4" t="s">
        <v>67</v>
      </c>
      <c r="C17" s="4" t="s">
        <v>103</v>
      </c>
      <c r="D17" s="5" t="s">
        <v>104</v>
      </c>
      <c r="E17" s="5">
        <v>46080.9325319444</v>
      </c>
      <c r="F17" s="4" t="s">
        <v>20</v>
      </c>
      <c r="G17" s="4" t="s">
        <v>21</v>
      </c>
      <c r="H17" s="4">
        <v>1</v>
      </c>
      <c r="I17" s="11">
        <v>3.3</v>
      </c>
      <c r="J17" s="11">
        <f>H17*I17</f>
        <v>3.3</v>
      </c>
      <c r="K17" s="11">
        <v>1</v>
      </c>
      <c r="L17" s="11">
        <v>3.3</v>
      </c>
      <c r="M17" s="11"/>
      <c r="N17" s="11"/>
      <c r="O17" s="11" t="s">
        <v>51</v>
      </c>
      <c r="P17" s="11" t="s">
        <v>52</v>
      </c>
    </row>
    <row r="18" s="7" customFormat="1" ht="22.5" customHeight="1" spans="1:16">
      <c r="A18" s="4" t="s">
        <v>66</v>
      </c>
      <c r="B18" s="4" t="s">
        <v>67</v>
      </c>
      <c r="C18" s="4" t="s">
        <v>105</v>
      </c>
      <c r="D18" s="5" t="s">
        <v>104</v>
      </c>
      <c r="E18" s="5">
        <v>46080.932538044</v>
      </c>
      <c r="F18" s="4" t="s">
        <v>20</v>
      </c>
      <c r="G18" s="4" t="s">
        <v>21</v>
      </c>
      <c r="H18" s="4">
        <v>1</v>
      </c>
      <c r="I18" s="11">
        <v>3.3</v>
      </c>
      <c r="J18" s="11">
        <f>H18*I18</f>
        <v>3.3</v>
      </c>
      <c r="K18" s="11">
        <v>1</v>
      </c>
      <c r="L18" s="11">
        <v>3.3</v>
      </c>
      <c r="M18" s="11"/>
      <c r="N18" s="11"/>
      <c r="O18" s="11" t="s">
        <v>51</v>
      </c>
      <c r="P18" s="11" t="s">
        <v>52</v>
      </c>
    </row>
    <row r="19" s="7" customFormat="1" ht="22.5" customHeight="1" spans="1:16">
      <c r="A19" s="4" t="s">
        <v>66</v>
      </c>
      <c r="B19" s="4" t="s">
        <v>67</v>
      </c>
      <c r="C19" s="4" t="s">
        <v>105</v>
      </c>
      <c r="D19" s="5" t="s">
        <v>104</v>
      </c>
      <c r="E19" s="5">
        <v>46080.932538044</v>
      </c>
      <c r="F19" s="4" t="s">
        <v>24</v>
      </c>
      <c r="G19" s="4" t="s">
        <v>41</v>
      </c>
      <c r="H19" s="4">
        <v>37</v>
      </c>
      <c r="I19" s="11">
        <v>120</v>
      </c>
      <c r="J19" s="11">
        <v>120</v>
      </c>
      <c r="K19" s="11">
        <v>37</v>
      </c>
      <c r="L19" s="11">
        <v>120</v>
      </c>
      <c r="M19" s="11"/>
      <c r="N19" s="11"/>
      <c r="O19" s="11" t="s">
        <v>51</v>
      </c>
      <c r="P19" s="11" t="s">
        <v>52</v>
      </c>
    </row>
    <row r="20" s="7" customFormat="1" ht="22.5" customHeight="1" spans="1:16">
      <c r="A20" s="4" t="s">
        <v>66</v>
      </c>
      <c r="B20" s="4" t="s">
        <v>67</v>
      </c>
      <c r="C20" s="4" t="s">
        <v>105</v>
      </c>
      <c r="D20" s="5" t="s">
        <v>104</v>
      </c>
      <c r="E20" s="5">
        <v>46080.932538044</v>
      </c>
      <c r="F20" s="4" t="s">
        <v>24</v>
      </c>
      <c r="G20" s="4" t="s">
        <v>25</v>
      </c>
      <c r="H20" s="4">
        <v>24</v>
      </c>
      <c r="I20" s="11">
        <v>3.3</v>
      </c>
      <c r="J20" s="11">
        <f>H20*I20</f>
        <v>79.2</v>
      </c>
      <c r="K20" s="11">
        <v>24</v>
      </c>
      <c r="L20" s="11">
        <v>79.2</v>
      </c>
      <c r="M20" s="11"/>
      <c r="N20" s="11"/>
      <c r="O20" s="11" t="s">
        <v>51</v>
      </c>
      <c r="P20" s="11" t="s">
        <v>52</v>
      </c>
    </row>
    <row r="21" s="7" customFormat="1" ht="22.5" customHeight="1" spans="1:16">
      <c r="A21" s="4" t="s">
        <v>66</v>
      </c>
      <c r="B21" s="4" t="s">
        <v>67</v>
      </c>
      <c r="C21" s="4" t="s">
        <v>105</v>
      </c>
      <c r="D21" s="5" t="s">
        <v>104</v>
      </c>
      <c r="E21" s="5">
        <v>46080.932538044</v>
      </c>
      <c r="F21" s="4" t="s">
        <v>24</v>
      </c>
      <c r="G21" s="4" t="s">
        <v>49</v>
      </c>
      <c r="H21" s="4">
        <v>7</v>
      </c>
      <c r="I21" s="11">
        <v>3.3</v>
      </c>
      <c r="J21" s="11">
        <f>H21*I21</f>
        <v>23.1</v>
      </c>
      <c r="K21" s="11">
        <v>7</v>
      </c>
      <c r="L21" s="11">
        <v>23.1</v>
      </c>
      <c r="M21" s="11"/>
      <c r="N21" s="11"/>
      <c r="O21" s="11" t="s">
        <v>51</v>
      </c>
      <c r="P21" s="11" t="s">
        <v>52</v>
      </c>
    </row>
    <row r="22" s="7" customFormat="1" ht="22.5" customHeight="1" spans="1:16">
      <c r="A22" s="4" t="s">
        <v>66</v>
      </c>
      <c r="B22" s="4" t="s">
        <v>67</v>
      </c>
      <c r="C22" s="4" t="s">
        <v>106</v>
      </c>
      <c r="D22" s="5" t="s">
        <v>104</v>
      </c>
      <c r="E22" s="5">
        <v>46080.9325428588</v>
      </c>
      <c r="F22" s="4" t="s">
        <v>20</v>
      </c>
      <c r="G22" s="4" t="s">
        <v>21</v>
      </c>
      <c r="H22" s="4">
        <v>1</v>
      </c>
      <c r="I22" s="11">
        <v>3.3</v>
      </c>
      <c r="J22" s="11">
        <f>H22*I22</f>
        <v>3.3</v>
      </c>
      <c r="K22" s="11">
        <v>1</v>
      </c>
      <c r="L22" s="11">
        <v>3.3</v>
      </c>
      <c r="M22" s="11"/>
      <c r="N22" s="11"/>
      <c r="O22" s="11" t="s">
        <v>51</v>
      </c>
      <c r="P22" s="11" t="s">
        <v>52</v>
      </c>
    </row>
    <row r="23" s="7" customFormat="1" ht="22.5" customHeight="1" spans="1:16">
      <c r="A23" s="4" t="s">
        <v>66</v>
      </c>
      <c r="B23" s="4" t="s">
        <v>67</v>
      </c>
      <c r="C23" s="4" t="s">
        <v>106</v>
      </c>
      <c r="D23" s="5" t="s">
        <v>104</v>
      </c>
      <c r="E23" s="5">
        <v>46080.9325428588</v>
      </c>
      <c r="F23" s="4" t="s">
        <v>24</v>
      </c>
      <c r="G23" s="4" t="s">
        <v>41</v>
      </c>
      <c r="H23" s="4">
        <v>210</v>
      </c>
      <c r="I23" s="11">
        <v>30</v>
      </c>
      <c r="J23" s="11">
        <v>30</v>
      </c>
      <c r="K23" s="11">
        <v>210</v>
      </c>
      <c r="L23" s="11">
        <v>30</v>
      </c>
      <c r="M23" s="11"/>
      <c r="N23" s="11"/>
      <c r="O23" s="11" t="s">
        <v>51</v>
      </c>
      <c r="P23" s="11" t="s">
        <v>52</v>
      </c>
    </row>
    <row r="24" s="7" customFormat="1" ht="22" customHeight="1" spans="1:16">
      <c r="A24" s="10"/>
      <c r="B24" s="10"/>
      <c r="C24" s="10"/>
      <c r="D24" s="10"/>
      <c r="E24" s="10"/>
      <c r="F24" s="10"/>
      <c r="G24" s="10"/>
      <c r="H24" s="10">
        <f t="shared" ref="H24:N24" si="2">SUM(H2:H23)</f>
        <v>761</v>
      </c>
      <c r="I24" s="10">
        <f t="shared" si="2"/>
        <v>366</v>
      </c>
      <c r="J24" s="10">
        <f t="shared" si="2"/>
        <v>917.1</v>
      </c>
      <c r="K24" s="10">
        <f t="shared" si="2"/>
        <v>761</v>
      </c>
      <c r="L24" s="10">
        <f t="shared" si="2"/>
        <v>917.1</v>
      </c>
      <c r="M24" s="10">
        <f t="shared" si="2"/>
        <v>0</v>
      </c>
      <c r="N24" s="10">
        <f t="shared" si="2"/>
        <v>0</v>
      </c>
      <c r="O24" s="10"/>
      <c r="P24" s="10"/>
    </row>
    <row r="25" spans="1:1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P24" etc:filterBottomFollowUsedRange="0">
    <extLst/>
  </autoFilter>
  <sortState ref="A2:P1048576">
    <sortCondition ref="A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C1" workbookViewId="0">
      <selection activeCell="O20" sqref="O20:P21"/>
    </sheetView>
  </sheetViews>
  <sheetFormatPr defaultColWidth="9" defaultRowHeight="13.5"/>
  <cols>
    <col min="1" max="1" width="30.0083333333333" customWidth="1"/>
    <col min="2" max="2" width="27.0083333333333" customWidth="1"/>
    <col min="3" max="3" width="26.675" customWidth="1"/>
    <col min="4" max="4" width="25.875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9" t="s">
        <v>0</v>
      </c>
      <c r="B1" s="19" t="s">
        <v>1</v>
      </c>
      <c r="C1" s="1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20" t="s">
        <v>30</v>
      </c>
      <c r="B2" s="20" t="s">
        <v>42</v>
      </c>
      <c r="C2" s="20" t="s">
        <v>107</v>
      </c>
      <c r="D2" s="21" t="s">
        <v>96</v>
      </c>
      <c r="E2" s="22">
        <v>46081.599765706</v>
      </c>
      <c r="F2" s="20" t="s">
        <v>24</v>
      </c>
      <c r="G2" s="20" t="s">
        <v>25</v>
      </c>
      <c r="H2" s="29">
        <v>19</v>
      </c>
      <c r="I2" s="14">
        <v>3.3</v>
      </c>
      <c r="J2" s="14">
        <f>H2*I2</f>
        <v>62.7</v>
      </c>
      <c r="K2" s="29">
        <v>19</v>
      </c>
      <c r="L2" s="14">
        <f>K2*I2</f>
        <v>62.7</v>
      </c>
      <c r="M2" s="14"/>
      <c r="N2" s="14"/>
      <c r="O2" s="6" t="s">
        <v>45</v>
      </c>
      <c r="P2" s="6" t="s">
        <v>46</v>
      </c>
    </row>
    <row r="3" ht="22.5" customHeight="1" spans="1:16">
      <c r="A3" s="20" t="s">
        <v>30</v>
      </c>
      <c r="B3" s="20" t="s">
        <v>42</v>
      </c>
      <c r="C3" s="20" t="s">
        <v>107</v>
      </c>
      <c r="D3" s="21" t="s">
        <v>96</v>
      </c>
      <c r="E3" s="22">
        <v>46081.599765706</v>
      </c>
      <c r="F3" s="20" t="s">
        <v>20</v>
      </c>
      <c r="G3" s="20" t="s">
        <v>21</v>
      </c>
      <c r="H3" s="29">
        <v>1</v>
      </c>
      <c r="I3" s="14">
        <v>3.3</v>
      </c>
      <c r="J3" s="14">
        <f t="shared" ref="J3:J12" si="0">H3*I3</f>
        <v>3.3</v>
      </c>
      <c r="K3" s="29">
        <v>1</v>
      </c>
      <c r="L3" s="14">
        <f t="shared" ref="L3:L9" si="1">K3*I3</f>
        <v>3.3</v>
      </c>
      <c r="M3" s="14"/>
      <c r="N3" s="14"/>
      <c r="O3" s="6" t="s">
        <v>45</v>
      </c>
      <c r="P3" s="6" t="s">
        <v>46</v>
      </c>
    </row>
    <row r="4" ht="22.5" customHeight="1" spans="1:16">
      <c r="A4" s="20" t="s">
        <v>30</v>
      </c>
      <c r="B4" s="20" t="s">
        <v>42</v>
      </c>
      <c r="C4" s="20" t="s">
        <v>108</v>
      </c>
      <c r="D4" s="21" t="s">
        <v>96</v>
      </c>
      <c r="E4" s="22">
        <v>46081.5997689468</v>
      </c>
      <c r="F4" s="20" t="s">
        <v>24</v>
      </c>
      <c r="G4" s="20" t="s">
        <v>25</v>
      </c>
      <c r="H4" s="29">
        <v>28</v>
      </c>
      <c r="I4" s="14">
        <v>3.3</v>
      </c>
      <c r="J4" s="14">
        <f t="shared" si="0"/>
        <v>92.4</v>
      </c>
      <c r="K4" s="29">
        <v>28</v>
      </c>
      <c r="L4" s="14">
        <f t="shared" si="1"/>
        <v>92.4</v>
      </c>
      <c r="M4" s="14"/>
      <c r="N4" s="14"/>
      <c r="O4" s="6" t="s">
        <v>45</v>
      </c>
      <c r="P4" s="6" t="s">
        <v>46</v>
      </c>
    </row>
    <row r="5" ht="22.5" customHeight="1" spans="1:16">
      <c r="A5" s="20" t="s">
        <v>30</v>
      </c>
      <c r="B5" s="20" t="s">
        <v>42</v>
      </c>
      <c r="C5" s="20" t="s">
        <v>108</v>
      </c>
      <c r="D5" s="21" t="s">
        <v>96</v>
      </c>
      <c r="E5" s="22">
        <v>46081.5997689468</v>
      </c>
      <c r="F5" s="20" t="s">
        <v>20</v>
      </c>
      <c r="G5" s="20" t="s">
        <v>21</v>
      </c>
      <c r="H5" s="29">
        <v>1</v>
      </c>
      <c r="I5" s="14">
        <v>3.3</v>
      </c>
      <c r="J5" s="14">
        <f t="shared" si="0"/>
        <v>3.3</v>
      </c>
      <c r="K5" s="29">
        <v>1</v>
      </c>
      <c r="L5" s="14">
        <f t="shared" si="1"/>
        <v>3.3</v>
      </c>
      <c r="M5" s="14"/>
      <c r="N5" s="14"/>
      <c r="O5" s="6" t="s">
        <v>45</v>
      </c>
      <c r="P5" s="6" t="s">
        <v>46</v>
      </c>
    </row>
    <row r="6" ht="22.5" customHeight="1" spans="1:16">
      <c r="A6" s="20" t="s">
        <v>30</v>
      </c>
      <c r="B6" s="20" t="s">
        <v>42</v>
      </c>
      <c r="C6" s="20" t="s">
        <v>109</v>
      </c>
      <c r="D6" s="21" t="s">
        <v>96</v>
      </c>
      <c r="E6" s="22">
        <v>46081.5997716782</v>
      </c>
      <c r="F6" s="20" t="s">
        <v>20</v>
      </c>
      <c r="G6" s="20" t="s">
        <v>21</v>
      </c>
      <c r="H6" s="29">
        <v>1</v>
      </c>
      <c r="I6" s="14">
        <v>3.3</v>
      </c>
      <c r="J6" s="14">
        <f t="shared" si="0"/>
        <v>3.3</v>
      </c>
      <c r="K6" s="29">
        <v>1</v>
      </c>
      <c r="L6" s="14">
        <f t="shared" si="1"/>
        <v>3.3</v>
      </c>
      <c r="M6" s="14"/>
      <c r="N6" s="14"/>
      <c r="O6" s="6" t="s">
        <v>45</v>
      </c>
      <c r="P6" s="6" t="s">
        <v>46</v>
      </c>
    </row>
    <row r="7" ht="22.5" customHeight="1" spans="1:16">
      <c r="A7" s="20" t="s">
        <v>30</v>
      </c>
      <c r="B7" s="20" t="s">
        <v>42</v>
      </c>
      <c r="C7" s="20" t="s">
        <v>109</v>
      </c>
      <c r="D7" s="21" t="s">
        <v>96</v>
      </c>
      <c r="E7" s="22">
        <v>46081.5997716782</v>
      </c>
      <c r="F7" s="20" t="s">
        <v>24</v>
      </c>
      <c r="G7" s="20" t="s">
        <v>25</v>
      </c>
      <c r="H7" s="29">
        <v>24</v>
      </c>
      <c r="I7" s="14">
        <v>3.3</v>
      </c>
      <c r="J7" s="14">
        <f t="shared" si="0"/>
        <v>79.2</v>
      </c>
      <c r="K7" s="29">
        <v>24</v>
      </c>
      <c r="L7" s="14">
        <f t="shared" si="1"/>
        <v>79.2</v>
      </c>
      <c r="M7" s="14"/>
      <c r="N7" s="14"/>
      <c r="O7" s="6" t="s">
        <v>45</v>
      </c>
      <c r="P7" s="6" t="s">
        <v>46</v>
      </c>
    </row>
    <row r="8" ht="22.5" customHeight="1" spans="1:16">
      <c r="A8" s="20" t="s">
        <v>30</v>
      </c>
      <c r="B8" s="20" t="s">
        <v>42</v>
      </c>
      <c r="C8" s="20" t="s">
        <v>110</v>
      </c>
      <c r="D8" s="21" t="s">
        <v>96</v>
      </c>
      <c r="E8" s="22">
        <v>46081.5997743866</v>
      </c>
      <c r="F8" s="20" t="s">
        <v>24</v>
      </c>
      <c r="G8" s="20" t="s">
        <v>25</v>
      </c>
      <c r="H8" s="29">
        <v>13</v>
      </c>
      <c r="I8" s="14">
        <v>3.3</v>
      </c>
      <c r="J8" s="14">
        <f t="shared" si="0"/>
        <v>42.9</v>
      </c>
      <c r="K8" s="29">
        <v>13</v>
      </c>
      <c r="L8" s="14">
        <f t="shared" si="1"/>
        <v>42.9</v>
      </c>
      <c r="M8" s="14"/>
      <c r="N8" s="14"/>
      <c r="O8" s="6" t="s">
        <v>45</v>
      </c>
      <c r="P8" s="6" t="s">
        <v>46</v>
      </c>
    </row>
    <row r="9" ht="22.5" customHeight="1" spans="1:16">
      <c r="A9" s="20" t="s">
        <v>30</v>
      </c>
      <c r="B9" s="20" t="s">
        <v>42</v>
      </c>
      <c r="C9" s="20" t="s">
        <v>110</v>
      </c>
      <c r="D9" s="21" t="s">
        <v>96</v>
      </c>
      <c r="E9" s="22">
        <v>46081.5997743866</v>
      </c>
      <c r="F9" s="20" t="s">
        <v>20</v>
      </c>
      <c r="G9" s="20" t="s">
        <v>21</v>
      </c>
      <c r="H9" s="29">
        <v>1</v>
      </c>
      <c r="I9" s="14">
        <v>3.3</v>
      </c>
      <c r="J9" s="14">
        <f t="shared" si="0"/>
        <v>3.3</v>
      </c>
      <c r="K9" s="29">
        <v>1</v>
      </c>
      <c r="L9" s="14">
        <f t="shared" si="1"/>
        <v>3.3</v>
      </c>
      <c r="M9" s="14"/>
      <c r="N9" s="14"/>
      <c r="O9" s="6" t="s">
        <v>45</v>
      </c>
      <c r="P9" s="6" t="s">
        <v>46</v>
      </c>
    </row>
    <row r="10" ht="22.5" customHeight="1" spans="1:16">
      <c r="A10" s="20" t="s">
        <v>30</v>
      </c>
      <c r="B10" s="20" t="s">
        <v>42</v>
      </c>
      <c r="C10" s="20" t="s">
        <v>111</v>
      </c>
      <c r="D10" s="21" t="s">
        <v>112</v>
      </c>
      <c r="E10" s="22">
        <v>46081.8463969097</v>
      </c>
      <c r="F10" s="20" t="s">
        <v>24</v>
      </c>
      <c r="G10" s="20" t="s">
        <v>25</v>
      </c>
      <c r="H10" s="29">
        <v>15</v>
      </c>
      <c r="I10" s="14">
        <v>3.3</v>
      </c>
      <c r="J10" s="14">
        <f t="shared" si="0"/>
        <v>49.5</v>
      </c>
      <c r="K10" s="14">
        <v>15</v>
      </c>
      <c r="L10" s="14">
        <v>49.5</v>
      </c>
      <c r="M10" s="14"/>
      <c r="N10" s="14"/>
      <c r="O10" s="6" t="s">
        <v>45</v>
      </c>
      <c r="P10" s="6" t="s">
        <v>113</v>
      </c>
    </row>
    <row r="11" ht="22.5" customHeight="1" spans="1:16">
      <c r="A11" s="20" t="s">
        <v>30</v>
      </c>
      <c r="B11" s="20" t="s">
        <v>42</v>
      </c>
      <c r="C11" s="20" t="s">
        <v>111</v>
      </c>
      <c r="D11" s="21" t="s">
        <v>112</v>
      </c>
      <c r="E11" s="22">
        <v>46081.8463969097</v>
      </c>
      <c r="F11" s="20" t="s">
        <v>20</v>
      </c>
      <c r="G11" s="20" t="s">
        <v>21</v>
      </c>
      <c r="H11" s="29">
        <v>1</v>
      </c>
      <c r="I11" s="14">
        <v>3.3</v>
      </c>
      <c r="J11" s="14">
        <f t="shared" si="0"/>
        <v>3.3</v>
      </c>
      <c r="K11" s="14">
        <v>1</v>
      </c>
      <c r="L11" s="14">
        <v>3.3</v>
      </c>
      <c r="M11" s="14"/>
      <c r="N11" s="14"/>
      <c r="O11" s="6" t="s">
        <v>45</v>
      </c>
      <c r="P11" s="6" t="s">
        <v>113</v>
      </c>
    </row>
    <row r="12" ht="22.5" customHeight="1" spans="1:16">
      <c r="A12" s="20" t="s">
        <v>30</v>
      </c>
      <c r="B12" s="20" t="s">
        <v>42</v>
      </c>
      <c r="C12" s="20" t="s">
        <v>114</v>
      </c>
      <c r="D12" s="21" t="s">
        <v>112</v>
      </c>
      <c r="E12" s="22">
        <v>46081.8464018519</v>
      </c>
      <c r="F12" s="20" t="s">
        <v>20</v>
      </c>
      <c r="G12" s="20" t="s">
        <v>21</v>
      </c>
      <c r="H12" s="29">
        <v>1</v>
      </c>
      <c r="I12" s="14">
        <v>3.3</v>
      </c>
      <c r="J12" s="14">
        <f t="shared" si="0"/>
        <v>3.3</v>
      </c>
      <c r="K12" s="14">
        <v>1</v>
      </c>
      <c r="L12" s="14">
        <v>3.3</v>
      </c>
      <c r="M12" s="14"/>
      <c r="N12" s="14"/>
      <c r="O12" s="6" t="s">
        <v>45</v>
      </c>
      <c r="P12" s="6" t="s">
        <v>113</v>
      </c>
    </row>
    <row r="13" ht="22.5" customHeight="1" spans="1:16">
      <c r="A13" s="20" t="s">
        <v>30</v>
      </c>
      <c r="B13" s="20" t="s">
        <v>42</v>
      </c>
      <c r="C13" s="20" t="s">
        <v>114</v>
      </c>
      <c r="D13" s="21" t="s">
        <v>112</v>
      </c>
      <c r="E13" s="22">
        <v>46081.8464018519</v>
      </c>
      <c r="F13" s="20" t="s">
        <v>24</v>
      </c>
      <c r="G13" s="20" t="s">
        <v>41</v>
      </c>
      <c r="H13" s="29">
        <v>120</v>
      </c>
      <c r="I13" s="14">
        <v>120</v>
      </c>
      <c r="J13" s="14">
        <v>120</v>
      </c>
      <c r="K13" s="14">
        <v>120</v>
      </c>
      <c r="L13" s="14">
        <v>120</v>
      </c>
      <c r="M13" s="14"/>
      <c r="N13" s="14"/>
      <c r="O13" s="6" t="s">
        <v>45</v>
      </c>
      <c r="P13" s="6" t="s">
        <v>113</v>
      </c>
    </row>
    <row r="14" ht="22.5" customHeight="1" spans="1:16">
      <c r="A14" s="20" t="s">
        <v>30</v>
      </c>
      <c r="B14" s="20" t="s">
        <v>42</v>
      </c>
      <c r="C14" s="20" t="s">
        <v>114</v>
      </c>
      <c r="D14" s="21" t="s">
        <v>112</v>
      </c>
      <c r="E14" s="22">
        <v>46081.8464018519</v>
      </c>
      <c r="F14" s="20" t="s">
        <v>24</v>
      </c>
      <c r="G14" s="20" t="s">
        <v>25</v>
      </c>
      <c r="H14" s="29">
        <v>18</v>
      </c>
      <c r="I14" s="14">
        <v>3.3</v>
      </c>
      <c r="J14" s="14">
        <f>H14*I14</f>
        <v>59.4</v>
      </c>
      <c r="K14" s="14">
        <v>18</v>
      </c>
      <c r="L14" s="14">
        <v>59.4</v>
      </c>
      <c r="M14" s="14"/>
      <c r="N14" s="14"/>
      <c r="O14" s="6" t="s">
        <v>45</v>
      </c>
      <c r="P14" s="6" t="s">
        <v>113</v>
      </c>
    </row>
    <row r="15" ht="22.5" customHeight="1" spans="1:16">
      <c r="A15" s="20" t="s">
        <v>30</v>
      </c>
      <c r="B15" s="20" t="s">
        <v>42</v>
      </c>
      <c r="C15" s="20" t="s">
        <v>114</v>
      </c>
      <c r="D15" s="21" t="s">
        <v>112</v>
      </c>
      <c r="E15" s="22">
        <v>46081.8464018519</v>
      </c>
      <c r="F15" s="20" t="s">
        <v>24</v>
      </c>
      <c r="G15" s="20" t="s">
        <v>49</v>
      </c>
      <c r="H15" s="29">
        <v>47</v>
      </c>
      <c r="I15" s="14">
        <v>3.3</v>
      </c>
      <c r="J15" s="14">
        <f>H15*I15</f>
        <v>155.1</v>
      </c>
      <c r="K15" s="14">
        <v>47</v>
      </c>
      <c r="L15" s="14">
        <v>155.1</v>
      </c>
      <c r="M15" s="14"/>
      <c r="N15" s="14"/>
      <c r="O15" s="6" t="s">
        <v>45</v>
      </c>
      <c r="P15" s="6" t="s">
        <v>113</v>
      </c>
    </row>
    <row r="16" ht="22.5" customHeight="1" spans="1:16">
      <c r="A16" s="20" t="s">
        <v>30</v>
      </c>
      <c r="B16" s="20" t="s">
        <v>42</v>
      </c>
      <c r="C16" s="20" t="s">
        <v>115</v>
      </c>
      <c r="D16" s="21" t="s">
        <v>112</v>
      </c>
      <c r="E16" s="22">
        <v>46081.8464043634</v>
      </c>
      <c r="F16" s="20" t="s">
        <v>24</v>
      </c>
      <c r="G16" s="20" t="s">
        <v>25</v>
      </c>
      <c r="H16" s="29">
        <v>15</v>
      </c>
      <c r="I16" s="14">
        <v>3.3</v>
      </c>
      <c r="J16" s="14">
        <f>H16*I16</f>
        <v>49.5</v>
      </c>
      <c r="K16" s="14">
        <v>15</v>
      </c>
      <c r="L16" s="14">
        <v>49.5</v>
      </c>
      <c r="M16" s="14"/>
      <c r="N16" s="14"/>
      <c r="O16" s="6" t="s">
        <v>45</v>
      </c>
      <c r="P16" s="6" t="s">
        <v>113</v>
      </c>
    </row>
    <row r="17" ht="22.5" customHeight="1" spans="1:16">
      <c r="A17" s="20" t="s">
        <v>30</v>
      </c>
      <c r="B17" s="20" t="s">
        <v>42</v>
      </c>
      <c r="C17" s="20" t="s">
        <v>115</v>
      </c>
      <c r="D17" s="21" t="s">
        <v>112</v>
      </c>
      <c r="E17" s="22">
        <v>46081.8464043634</v>
      </c>
      <c r="F17" s="20" t="s">
        <v>24</v>
      </c>
      <c r="G17" s="20" t="s">
        <v>36</v>
      </c>
      <c r="H17" s="29">
        <v>20</v>
      </c>
      <c r="I17" s="14">
        <v>30</v>
      </c>
      <c r="J17" s="14">
        <v>30</v>
      </c>
      <c r="K17" s="14">
        <v>20</v>
      </c>
      <c r="L17" s="14">
        <v>30</v>
      </c>
      <c r="M17" s="14"/>
      <c r="N17" s="14"/>
      <c r="O17" s="6" t="s">
        <v>45</v>
      </c>
      <c r="P17" s="6" t="s">
        <v>113</v>
      </c>
    </row>
    <row r="18" ht="22.5" customHeight="1" spans="1:16">
      <c r="A18" s="20" t="s">
        <v>30</v>
      </c>
      <c r="B18" s="20" t="s">
        <v>42</v>
      </c>
      <c r="C18" s="20" t="s">
        <v>115</v>
      </c>
      <c r="D18" s="21" t="s">
        <v>112</v>
      </c>
      <c r="E18" s="22">
        <v>46081.8464043634</v>
      </c>
      <c r="F18" s="20" t="s">
        <v>20</v>
      </c>
      <c r="G18" s="20" t="s">
        <v>21</v>
      </c>
      <c r="H18" s="29">
        <v>1</v>
      </c>
      <c r="I18" s="14">
        <v>3.3</v>
      </c>
      <c r="J18" s="14">
        <v>3.3</v>
      </c>
      <c r="K18" s="14">
        <v>1</v>
      </c>
      <c r="L18" s="14">
        <v>3.3</v>
      </c>
      <c r="M18" s="14"/>
      <c r="N18" s="14"/>
      <c r="O18" s="6" t="s">
        <v>45</v>
      </c>
      <c r="P18" s="6" t="s">
        <v>113</v>
      </c>
    </row>
    <row r="19" ht="22.5" customHeight="1" spans="1:16">
      <c r="A19" s="20" t="s">
        <v>30</v>
      </c>
      <c r="B19" s="20" t="s">
        <v>42</v>
      </c>
      <c r="C19" s="20" t="s">
        <v>116</v>
      </c>
      <c r="D19" s="21" t="s">
        <v>112</v>
      </c>
      <c r="E19" s="22">
        <v>46081.8464070602</v>
      </c>
      <c r="F19" s="20" t="s">
        <v>20</v>
      </c>
      <c r="G19" s="20" t="s">
        <v>21</v>
      </c>
      <c r="H19" s="29">
        <v>1</v>
      </c>
      <c r="I19" s="14">
        <v>3.3</v>
      </c>
      <c r="J19" s="14">
        <v>3.3</v>
      </c>
      <c r="K19" s="14">
        <v>1</v>
      </c>
      <c r="L19" s="14">
        <v>3.3</v>
      </c>
      <c r="M19" s="14"/>
      <c r="N19" s="14"/>
      <c r="O19" s="6" t="s">
        <v>45</v>
      </c>
      <c r="P19" s="6" t="s">
        <v>113</v>
      </c>
    </row>
    <row r="20" ht="22.5" customHeight="1" spans="1:16">
      <c r="A20" s="20" t="s">
        <v>30</v>
      </c>
      <c r="B20" s="20" t="s">
        <v>42</v>
      </c>
      <c r="C20" s="20" t="s">
        <v>116</v>
      </c>
      <c r="D20" s="21" t="s">
        <v>112</v>
      </c>
      <c r="E20" s="22">
        <v>46081.8464070602</v>
      </c>
      <c r="F20" s="20" t="s">
        <v>24</v>
      </c>
      <c r="G20" s="20" t="s">
        <v>41</v>
      </c>
      <c r="H20" s="29">
        <v>79</v>
      </c>
      <c r="I20" s="14">
        <v>30</v>
      </c>
      <c r="J20" s="14">
        <v>30</v>
      </c>
      <c r="K20" s="14">
        <v>79</v>
      </c>
      <c r="L20" s="14">
        <v>30</v>
      </c>
      <c r="M20" s="14"/>
      <c r="N20" s="14"/>
      <c r="O20" s="6" t="s">
        <v>45</v>
      </c>
      <c r="P20" s="6" t="s">
        <v>113</v>
      </c>
    </row>
    <row r="21" ht="22.5" customHeight="1" spans="1:16">
      <c r="A21" s="20" t="s">
        <v>30</v>
      </c>
      <c r="B21" s="20" t="s">
        <v>42</v>
      </c>
      <c r="C21" s="20" t="s">
        <v>116</v>
      </c>
      <c r="D21" s="21" t="s">
        <v>112</v>
      </c>
      <c r="E21" s="22">
        <v>46081.8464070602</v>
      </c>
      <c r="F21" s="20" t="s">
        <v>24</v>
      </c>
      <c r="G21" s="20" t="s">
        <v>25</v>
      </c>
      <c r="H21" s="29">
        <v>22</v>
      </c>
      <c r="I21" s="14">
        <v>3.3</v>
      </c>
      <c r="J21" s="14">
        <f>H21*I21</f>
        <v>72.6</v>
      </c>
      <c r="K21" s="14">
        <v>22</v>
      </c>
      <c r="L21" s="14">
        <f>K21*3.3</f>
        <v>72.6</v>
      </c>
      <c r="M21" s="14"/>
      <c r="N21" s="14"/>
      <c r="O21" s="6" t="s">
        <v>45</v>
      </c>
      <c r="P21" s="6" t="s">
        <v>113</v>
      </c>
    </row>
    <row r="22" spans="1:16">
      <c r="A22" s="15"/>
      <c r="B22" s="15"/>
      <c r="C22" s="15"/>
      <c r="D22" s="15"/>
      <c r="E22" s="15"/>
      <c r="F22" s="15"/>
      <c r="G22" s="15"/>
      <c r="H22" s="15">
        <f t="shared" ref="H22:N22" si="2">SUM(H2:H21)</f>
        <v>428</v>
      </c>
      <c r="I22" s="16">
        <f t="shared" si="2"/>
        <v>236.1</v>
      </c>
      <c r="J22" s="16">
        <f t="shared" si="2"/>
        <v>869.7</v>
      </c>
      <c r="K22" s="16">
        <f t="shared" si="2"/>
        <v>428</v>
      </c>
      <c r="L22" s="16">
        <f t="shared" si="2"/>
        <v>869.7</v>
      </c>
      <c r="M22" s="16">
        <f t="shared" si="2"/>
        <v>0</v>
      </c>
      <c r="N22" s="16">
        <f t="shared" si="2"/>
        <v>0</v>
      </c>
      <c r="O22" s="15"/>
      <c r="P22" s="15"/>
    </row>
    <row r="23" spans="1:16">
      <c r="I23" s="17"/>
      <c r="J23" s="17"/>
      <c r="K23" s="17"/>
      <c r="L23" s="17"/>
      <c r="M23" s="17"/>
      <c r="N23" s="1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5" zoomScaleNormal="85" workbookViewId="0">
      <selection activeCell="I1" sqref="I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30.0083333333333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30</v>
      </c>
      <c r="B2" s="4" t="s">
        <v>42</v>
      </c>
      <c r="C2" s="4" t="s">
        <v>117</v>
      </c>
      <c r="D2" s="21" t="s">
        <v>112</v>
      </c>
      <c r="E2" s="5">
        <v>46083.4400032407</v>
      </c>
      <c r="F2" s="4" t="s">
        <v>24</v>
      </c>
      <c r="G2" s="4" t="s">
        <v>25</v>
      </c>
      <c r="H2" s="4">
        <v>6</v>
      </c>
      <c r="I2" s="6">
        <v>3.3</v>
      </c>
      <c r="J2" s="6">
        <f>H2*I2</f>
        <v>19.8</v>
      </c>
      <c r="K2" s="6">
        <v>6</v>
      </c>
      <c r="L2" s="6">
        <v>19.8</v>
      </c>
      <c r="M2" s="6"/>
      <c r="N2" s="6"/>
      <c r="O2" s="6" t="s">
        <v>45</v>
      </c>
      <c r="P2" s="6" t="s">
        <v>113</v>
      </c>
    </row>
    <row r="3" ht="22.5" customHeight="1" spans="1:16">
      <c r="A3" s="4" t="s">
        <v>30</v>
      </c>
      <c r="B3" s="4" t="s">
        <v>42</v>
      </c>
      <c r="C3" s="4" t="s">
        <v>117</v>
      </c>
      <c r="D3" s="21" t="s">
        <v>112</v>
      </c>
      <c r="E3" s="5">
        <v>46083.4400032407</v>
      </c>
      <c r="F3" s="4" t="s">
        <v>20</v>
      </c>
      <c r="G3" s="4" t="s">
        <v>21</v>
      </c>
      <c r="H3" s="4">
        <v>1</v>
      </c>
      <c r="I3" s="6">
        <v>3.3</v>
      </c>
      <c r="J3" s="6">
        <f t="shared" ref="J3:J11" si="0">H3*I3</f>
        <v>3.3</v>
      </c>
      <c r="K3" s="6">
        <v>1</v>
      </c>
      <c r="L3" s="6">
        <v>3.3</v>
      </c>
      <c r="M3" s="6"/>
      <c r="N3" s="6"/>
      <c r="O3" s="6" t="s">
        <v>45</v>
      </c>
      <c r="P3" s="6" t="s">
        <v>113</v>
      </c>
    </row>
    <row r="4" ht="22.5" customHeight="1" spans="1:16">
      <c r="A4" s="4" t="s">
        <v>30</v>
      </c>
      <c r="B4" s="4" t="s">
        <v>31</v>
      </c>
      <c r="C4" s="4" t="s">
        <v>118</v>
      </c>
      <c r="D4" s="5" t="s">
        <v>19</v>
      </c>
      <c r="E4" s="5">
        <v>46083.6509631134</v>
      </c>
      <c r="F4" s="4" t="s">
        <v>24</v>
      </c>
      <c r="G4" s="4" t="s">
        <v>76</v>
      </c>
      <c r="H4" s="4">
        <v>27</v>
      </c>
      <c r="I4" s="6">
        <v>3.3</v>
      </c>
      <c r="J4" s="6">
        <f t="shared" si="0"/>
        <v>89.1</v>
      </c>
      <c r="K4" s="6">
        <v>18</v>
      </c>
      <c r="L4" s="6">
        <f>K4*3.3</f>
        <v>59.4</v>
      </c>
      <c r="M4" s="6">
        <v>9</v>
      </c>
      <c r="N4" s="6">
        <f>M4*3.3</f>
        <v>29.7</v>
      </c>
      <c r="O4" s="6" t="s">
        <v>34</v>
      </c>
      <c r="P4" s="6" t="s">
        <v>87</v>
      </c>
    </row>
    <row r="5" ht="22.5" customHeight="1" spans="1:16">
      <c r="A5" s="4" t="s">
        <v>30</v>
      </c>
      <c r="B5" s="4" t="s">
        <v>31</v>
      </c>
      <c r="C5" s="4" t="s">
        <v>118</v>
      </c>
      <c r="D5" s="5" t="s">
        <v>19</v>
      </c>
      <c r="E5" s="5">
        <v>46083.6509631134</v>
      </c>
      <c r="F5" s="4" t="s">
        <v>20</v>
      </c>
      <c r="G5" s="4" t="s">
        <v>21</v>
      </c>
      <c r="H5" s="4">
        <v>1</v>
      </c>
      <c r="I5" s="6">
        <v>3.3</v>
      </c>
      <c r="J5" s="6">
        <f t="shared" si="0"/>
        <v>3.3</v>
      </c>
      <c r="K5" s="6">
        <v>1</v>
      </c>
      <c r="L5" s="6">
        <v>3.3</v>
      </c>
      <c r="M5" s="6"/>
      <c r="N5" s="6"/>
      <c r="O5" s="6" t="s">
        <v>34</v>
      </c>
      <c r="P5" s="6" t="s">
        <v>87</v>
      </c>
    </row>
    <row r="6" ht="22.5" customHeight="1" spans="1:16">
      <c r="A6" s="4" t="s">
        <v>30</v>
      </c>
      <c r="B6" s="4" t="s">
        <v>31</v>
      </c>
      <c r="C6" s="4" t="s">
        <v>119</v>
      </c>
      <c r="D6" s="5" t="s">
        <v>19</v>
      </c>
      <c r="E6" s="5">
        <v>46083.6509675116</v>
      </c>
      <c r="F6" s="4" t="s">
        <v>20</v>
      </c>
      <c r="G6" s="4" t="s">
        <v>21</v>
      </c>
      <c r="H6" s="4">
        <v>1</v>
      </c>
      <c r="I6" s="6">
        <v>3.3</v>
      </c>
      <c r="J6" s="6">
        <f t="shared" si="0"/>
        <v>3.3</v>
      </c>
      <c r="K6" s="6">
        <v>1</v>
      </c>
      <c r="L6" s="6">
        <v>3.3</v>
      </c>
      <c r="M6" s="6"/>
      <c r="N6" s="6"/>
      <c r="O6" s="6" t="s">
        <v>34</v>
      </c>
      <c r="P6" s="6" t="s">
        <v>87</v>
      </c>
    </row>
    <row r="7" ht="22.5" customHeight="1" spans="1:16">
      <c r="A7" s="4" t="s">
        <v>30</v>
      </c>
      <c r="B7" s="4" t="s">
        <v>31</v>
      </c>
      <c r="C7" s="4" t="s">
        <v>119</v>
      </c>
      <c r="D7" s="5" t="s">
        <v>19</v>
      </c>
      <c r="E7" s="5">
        <v>46083.6509675116</v>
      </c>
      <c r="F7" s="4" t="s">
        <v>24</v>
      </c>
      <c r="G7" s="4" t="s">
        <v>76</v>
      </c>
      <c r="H7" s="4">
        <v>18</v>
      </c>
      <c r="I7" s="6">
        <v>3.3</v>
      </c>
      <c r="J7" s="6">
        <f t="shared" si="0"/>
        <v>59.4</v>
      </c>
      <c r="K7" s="6">
        <v>18</v>
      </c>
      <c r="L7" s="6">
        <v>59.4</v>
      </c>
      <c r="M7" s="6"/>
      <c r="N7" s="6"/>
      <c r="O7" s="6" t="s">
        <v>34</v>
      </c>
      <c r="P7" s="6" t="s">
        <v>87</v>
      </c>
    </row>
    <row r="8" ht="22.5" customHeight="1" spans="1:16">
      <c r="A8" s="4" t="s">
        <v>66</v>
      </c>
      <c r="B8" s="4" t="s">
        <v>67</v>
      </c>
      <c r="C8" s="4" t="s">
        <v>120</v>
      </c>
      <c r="D8" s="5" t="s">
        <v>121</v>
      </c>
      <c r="E8" s="5">
        <v>46083.6510679051</v>
      </c>
      <c r="F8" s="4" t="s">
        <v>24</v>
      </c>
      <c r="G8" s="4" t="s">
        <v>76</v>
      </c>
      <c r="H8" s="4">
        <v>37</v>
      </c>
      <c r="I8" s="6">
        <v>3.3</v>
      </c>
      <c r="J8" s="6">
        <f t="shared" si="0"/>
        <v>122.1</v>
      </c>
      <c r="K8" s="6">
        <v>37</v>
      </c>
      <c r="L8" s="6">
        <v>122.1</v>
      </c>
      <c r="M8" s="6"/>
      <c r="N8" s="6"/>
      <c r="O8" s="6" t="s">
        <v>45</v>
      </c>
      <c r="P8" s="6" t="s">
        <v>113</v>
      </c>
    </row>
    <row r="9" ht="22.5" customHeight="1" spans="1:16">
      <c r="A9" s="4" t="s">
        <v>66</v>
      </c>
      <c r="B9" s="4" t="s">
        <v>67</v>
      </c>
      <c r="C9" s="4" t="s">
        <v>120</v>
      </c>
      <c r="D9" s="5" t="s">
        <v>121</v>
      </c>
      <c r="E9" s="5">
        <v>46083.6510679051</v>
      </c>
      <c r="F9" s="4" t="s">
        <v>20</v>
      </c>
      <c r="G9" s="4" t="s">
        <v>21</v>
      </c>
      <c r="H9" s="4">
        <v>1</v>
      </c>
      <c r="I9" s="6">
        <v>3.3</v>
      </c>
      <c r="J9" s="6">
        <f t="shared" si="0"/>
        <v>3.3</v>
      </c>
      <c r="K9" s="6">
        <v>1</v>
      </c>
      <c r="L9" s="6">
        <v>3.3</v>
      </c>
      <c r="M9" s="6"/>
      <c r="N9" s="6"/>
      <c r="O9" s="6" t="s">
        <v>45</v>
      </c>
      <c r="P9" s="6" t="s">
        <v>113</v>
      </c>
    </row>
    <row r="10" ht="22.5" customHeight="1" spans="1:16">
      <c r="A10" s="4" t="s">
        <v>66</v>
      </c>
      <c r="B10" s="4" t="s">
        <v>67</v>
      </c>
      <c r="C10" s="4" t="s">
        <v>122</v>
      </c>
      <c r="D10" s="5" t="s">
        <v>121</v>
      </c>
      <c r="E10" s="5">
        <v>46083.6510712616</v>
      </c>
      <c r="F10" s="4" t="s">
        <v>20</v>
      </c>
      <c r="G10" s="4" t="s">
        <v>21</v>
      </c>
      <c r="H10" s="4">
        <v>1</v>
      </c>
      <c r="I10" s="6">
        <v>3.3</v>
      </c>
      <c r="J10" s="6">
        <f t="shared" si="0"/>
        <v>3.3</v>
      </c>
      <c r="K10" s="6">
        <v>1</v>
      </c>
      <c r="L10" s="6">
        <v>3.3</v>
      </c>
      <c r="M10" s="6"/>
      <c r="N10" s="6"/>
      <c r="O10" s="6" t="s">
        <v>45</v>
      </c>
      <c r="P10" s="6" t="s">
        <v>113</v>
      </c>
    </row>
    <row r="11" ht="22.5" customHeight="1" spans="1:16">
      <c r="A11" s="4" t="s">
        <v>66</v>
      </c>
      <c r="B11" s="4" t="s">
        <v>67</v>
      </c>
      <c r="C11" s="4" t="s">
        <v>122</v>
      </c>
      <c r="D11" s="5" t="s">
        <v>121</v>
      </c>
      <c r="E11" s="5">
        <v>46083.6510712616</v>
      </c>
      <c r="F11" s="4" t="s">
        <v>24</v>
      </c>
      <c r="G11" s="4" t="s">
        <v>76</v>
      </c>
      <c r="H11" s="4">
        <v>18</v>
      </c>
      <c r="I11" s="6">
        <v>3.3</v>
      </c>
      <c r="J11" s="6">
        <f t="shared" si="0"/>
        <v>59.4</v>
      </c>
      <c r="K11" s="6">
        <v>18</v>
      </c>
      <c r="L11" s="6">
        <v>59.4</v>
      </c>
      <c r="M11" s="6"/>
      <c r="N11" s="6"/>
      <c r="O11" s="6" t="s">
        <v>45</v>
      </c>
      <c r="P11" s="6" t="s">
        <v>113</v>
      </c>
    </row>
    <row r="12" ht="22.5" customHeight="1" spans="1:16">
      <c r="A12" s="4" t="s">
        <v>66</v>
      </c>
      <c r="B12" s="4" t="s">
        <v>67</v>
      </c>
      <c r="C12" s="4" t="s">
        <v>123</v>
      </c>
      <c r="D12" s="5" t="s">
        <v>121</v>
      </c>
      <c r="E12" s="5">
        <v>46083.6510746528</v>
      </c>
      <c r="F12" s="4" t="s">
        <v>24</v>
      </c>
      <c r="G12" s="4" t="s">
        <v>41</v>
      </c>
      <c r="H12" s="4">
        <v>100</v>
      </c>
      <c r="I12" s="6">
        <v>120</v>
      </c>
      <c r="J12" s="6">
        <v>120</v>
      </c>
      <c r="K12" s="6">
        <v>100</v>
      </c>
      <c r="L12" s="6">
        <v>120</v>
      </c>
      <c r="M12" s="6"/>
      <c r="N12" s="6"/>
      <c r="O12" s="6" t="s">
        <v>45</v>
      </c>
      <c r="P12" s="6" t="s">
        <v>113</v>
      </c>
    </row>
    <row r="13" ht="22.5" customHeight="1" spans="1:16">
      <c r="A13" s="4" t="s">
        <v>66</v>
      </c>
      <c r="B13" s="4" t="s">
        <v>67</v>
      </c>
      <c r="C13" s="4" t="s">
        <v>123</v>
      </c>
      <c r="D13" s="5" t="s">
        <v>121</v>
      </c>
      <c r="E13" s="5">
        <v>46083.6510746528</v>
      </c>
      <c r="F13" s="4" t="s">
        <v>20</v>
      </c>
      <c r="G13" s="4" t="s">
        <v>21</v>
      </c>
      <c r="H13" s="4">
        <v>1</v>
      </c>
      <c r="I13" s="6">
        <v>3.3</v>
      </c>
      <c r="J13" s="6">
        <f t="shared" ref="J13:J21" si="1">H13*I13</f>
        <v>3.3</v>
      </c>
      <c r="K13" s="6">
        <v>1</v>
      </c>
      <c r="L13" s="6">
        <v>3.3</v>
      </c>
      <c r="M13" s="6"/>
      <c r="N13" s="6"/>
      <c r="O13" s="6" t="s">
        <v>45</v>
      </c>
      <c r="P13" s="6" t="s">
        <v>113</v>
      </c>
    </row>
    <row r="14" ht="22.5" customHeight="1" spans="1:16">
      <c r="A14" s="4" t="s">
        <v>16</v>
      </c>
      <c r="B14" s="4" t="s">
        <v>17</v>
      </c>
      <c r="C14" s="4" t="s">
        <v>124</v>
      </c>
      <c r="D14" s="5" t="s">
        <v>125</v>
      </c>
      <c r="E14" s="5">
        <v>46083.6667028125</v>
      </c>
      <c r="F14" s="4" t="s">
        <v>24</v>
      </c>
      <c r="G14" s="4" t="s">
        <v>76</v>
      </c>
      <c r="H14" s="4">
        <v>16</v>
      </c>
      <c r="I14" s="6">
        <v>3.3</v>
      </c>
      <c r="J14" s="6">
        <f t="shared" si="1"/>
        <v>52.8</v>
      </c>
      <c r="K14" s="6">
        <v>16</v>
      </c>
      <c r="L14" s="6">
        <v>52.8</v>
      </c>
      <c r="M14" s="6"/>
      <c r="N14" s="6"/>
      <c r="O14" s="6" t="s">
        <v>22</v>
      </c>
      <c r="P14" s="6" t="s">
        <v>23</v>
      </c>
    </row>
    <row r="15" ht="22.5" customHeight="1" spans="1:16">
      <c r="A15" s="4" t="s">
        <v>16</v>
      </c>
      <c r="B15" s="4" t="s">
        <v>17</v>
      </c>
      <c r="C15" s="4" t="s">
        <v>124</v>
      </c>
      <c r="D15" s="5" t="s">
        <v>125</v>
      </c>
      <c r="E15" s="5">
        <v>46083.6667028125</v>
      </c>
      <c r="F15" s="4" t="s">
        <v>20</v>
      </c>
      <c r="G15" s="4" t="s">
        <v>21</v>
      </c>
      <c r="H15" s="4">
        <v>1</v>
      </c>
      <c r="I15" s="6">
        <v>3.3</v>
      </c>
      <c r="J15" s="6">
        <f t="shared" si="1"/>
        <v>3.3</v>
      </c>
      <c r="K15" s="6">
        <v>1</v>
      </c>
      <c r="L15" s="6">
        <v>3.3</v>
      </c>
      <c r="M15" s="6"/>
      <c r="N15" s="6"/>
      <c r="O15" s="6" t="s">
        <v>22</v>
      </c>
      <c r="P15" s="6" t="s">
        <v>23</v>
      </c>
    </row>
    <row r="16" ht="22.5" customHeight="1" spans="1:16">
      <c r="A16" s="4" t="s">
        <v>16</v>
      </c>
      <c r="B16" s="4" t="s">
        <v>17</v>
      </c>
      <c r="C16" s="4" t="s">
        <v>126</v>
      </c>
      <c r="D16" s="5" t="s">
        <v>125</v>
      </c>
      <c r="E16" s="5">
        <v>46083.6667076389</v>
      </c>
      <c r="F16" s="4" t="s">
        <v>20</v>
      </c>
      <c r="G16" s="4" t="s">
        <v>21</v>
      </c>
      <c r="H16" s="4">
        <v>1</v>
      </c>
      <c r="I16" s="6">
        <v>3.3</v>
      </c>
      <c r="J16" s="6">
        <f t="shared" si="1"/>
        <v>3.3</v>
      </c>
      <c r="K16" s="6">
        <v>1</v>
      </c>
      <c r="L16" s="6">
        <v>3.3</v>
      </c>
      <c r="M16" s="6"/>
      <c r="N16" s="6"/>
      <c r="O16" s="6" t="s">
        <v>22</v>
      </c>
      <c r="P16" s="6" t="s">
        <v>23</v>
      </c>
    </row>
    <row r="17" ht="22.5" customHeight="1" spans="1:16">
      <c r="A17" s="4" t="s">
        <v>16</v>
      </c>
      <c r="B17" s="4" t="s">
        <v>17</v>
      </c>
      <c r="C17" s="4" t="s">
        <v>126</v>
      </c>
      <c r="D17" s="5" t="s">
        <v>125</v>
      </c>
      <c r="E17" s="5">
        <v>46083.6667076389</v>
      </c>
      <c r="F17" s="4" t="s">
        <v>24</v>
      </c>
      <c r="G17" s="4" t="s">
        <v>76</v>
      </c>
      <c r="H17" s="4">
        <v>32</v>
      </c>
      <c r="I17" s="6">
        <v>3.3</v>
      </c>
      <c r="J17" s="6">
        <f t="shared" si="1"/>
        <v>105.6</v>
      </c>
      <c r="K17" s="6">
        <v>32</v>
      </c>
      <c r="L17" s="6">
        <v>105.6</v>
      </c>
      <c r="M17" s="6"/>
      <c r="N17" s="6"/>
      <c r="O17" s="6" t="s">
        <v>22</v>
      </c>
      <c r="P17" s="6" t="s">
        <v>23</v>
      </c>
    </row>
    <row r="18" ht="22.5" customHeight="1" spans="1:16">
      <c r="A18" s="4" t="s">
        <v>16</v>
      </c>
      <c r="B18" s="4" t="s">
        <v>17</v>
      </c>
      <c r="C18" s="4" t="s">
        <v>127</v>
      </c>
      <c r="D18" s="5" t="s">
        <v>125</v>
      </c>
      <c r="E18" s="5">
        <v>46083.6667123843</v>
      </c>
      <c r="F18" s="4" t="s">
        <v>24</v>
      </c>
      <c r="G18" s="4" t="s">
        <v>76</v>
      </c>
      <c r="H18" s="4">
        <v>17</v>
      </c>
      <c r="I18" s="6">
        <v>3.3</v>
      </c>
      <c r="J18" s="6">
        <f t="shared" si="1"/>
        <v>56.1</v>
      </c>
      <c r="K18" s="6">
        <v>8</v>
      </c>
      <c r="L18" s="6">
        <f>K18*3.3</f>
        <v>26.4</v>
      </c>
      <c r="M18" s="6">
        <v>9</v>
      </c>
      <c r="N18" s="6">
        <f>M18*3.3</f>
        <v>29.7</v>
      </c>
      <c r="O18" s="6" t="s">
        <v>22</v>
      </c>
      <c r="P18" s="6" t="s">
        <v>23</v>
      </c>
    </row>
    <row r="19" ht="22.5" customHeight="1" spans="1:16">
      <c r="A19" s="4" t="s">
        <v>16</v>
      </c>
      <c r="B19" s="4" t="s">
        <v>17</v>
      </c>
      <c r="C19" s="4" t="s">
        <v>127</v>
      </c>
      <c r="D19" s="5" t="s">
        <v>125</v>
      </c>
      <c r="E19" s="5">
        <v>46083.6667123843</v>
      </c>
      <c r="F19" s="4" t="s">
        <v>20</v>
      </c>
      <c r="G19" s="4" t="s">
        <v>21</v>
      </c>
      <c r="H19" s="4">
        <v>1</v>
      </c>
      <c r="I19" s="6">
        <v>3.3</v>
      </c>
      <c r="J19" s="6">
        <f t="shared" si="1"/>
        <v>3.3</v>
      </c>
      <c r="K19" s="6">
        <v>1</v>
      </c>
      <c r="L19" s="6">
        <v>3.3</v>
      </c>
      <c r="M19" s="6"/>
      <c r="N19" s="6"/>
      <c r="O19" s="6" t="s">
        <v>22</v>
      </c>
      <c r="P19" s="6" t="s">
        <v>23</v>
      </c>
    </row>
    <row r="20" ht="22.5" customHeight="1" spans="1:16">
      <c r="A20" s="4" t="s">
        <v>16</v>
      </c>
      <c r="B20" s="4" t="s">
        <v>17</v>
      </c>
      <c r="C20" s="4" t="s">
        <v>128</v>
      </c>
      <c r="D20" s="5" t="s">
        <v>125</v>
      </c>
      <c r="E20" s="5">
        <v>46083.6667170139</v>
      </c>
      <c r="F20" s="4" t="s">
        <v>20</v>
      </c>
      <c r="G20" s="4" t="s">
        <v>21</v>
      </c>
      <c r="H20" s="4">
        <v>1</v>
      </c>
      <c r="I20" s="6">
        <v>3.3</v>
      </c>
      <c r="J20" s="6">
        <f t="shared" si="1"/>
        <v>3.3</v>
      </c>
      <c r="K20" s="6">
        <v>1</v>
      </c>
      <c r="L20" s="6">
        <v>3.3</v>
      </c>
      <c r="M20" s="6"/>
      <c r="N20" s="6"/>
      <c r="O20" s="6" t="s">
        <v>22</v>
      </c>
      <c r="P20" s="6" t="s">
        <v>23</v>
      </c>
    </row>
    <row r="21" ht="22.5" customHeight="1" spans="1:16">
      <c r="A21" s="4" t="s">
        <v>16</v>
      </c>
      <c r="B21" s="4" t="s">
        <v>17</v>
      </c>
      <c r="C21" s="4" t="s">
        <v>128</v>
      </c>
      <c r="D21" s="5" t="s">
        <v>125</v>
      </c>
      <c r="E21" s="5">
        <v>46083.6667170139</v>
      </c>
      <c r="F21" s="4" t="s">
        <v>24</v>
      </c>
      <c r="G21" s="4" t="s">
        <v>76</v>
      </c>
      <c r="H21" s="4">
        <v>36</v>
      </c>
      <c r="I21" s="6">
        <v>3.3</v>
      </c>
      <c r="J21" s="6">
        <f t="shared" si="1"/>
        <v>118.8</v>
      </c>
      <c r="K21" s="6">
        <v>36</v>
      </c>
      <c r="L21" s="6">
        <v>118.8</v>
      </c>
      <c r="M21" s="6"/>
      <c r="N21" s="6"/>
      <c r="O21" s="6" t="s">
        <v>22</v>
      </c>
      <c r="P21" s="6" t="s">
        <v>23</v>
      </c>
    </row>
    <row r="22" spans="1:16">
      <c r="A22" s="15"/>
      <c r="B22" s="15"/>
      <c r="C22" s="15"/>
      <c r="D22" s="15"/>
      <c r="E22" s="15"/>
      <c r="F22" s="15"/>
      <c r="G22" s="15"/>
      <c r="H22" s="15">
        <f t="shared" ref="H22:N22" si="2">SUM(H2:H21)</f>
        <v>317</v>
      </c>
      <c r="I22" s="15">
        <f t="shared" si="2"/>
        <v>182.7</v>
      </c>
      <c r="J22" s="15">
        <f t="shared" si="2"/>
        <v>836.1</v>
      </c>
      <c r="K22" s="15">
        <f t="shared" si="2"/>
        <v>299</v>
      </c>
      <c r="L22" s="15">
        <f t="shared" si="2"/>
        <v>776.7</v>
      </c>
      <c r="M22" s="15">
        <f t="shared" si="2"/>
        <v>18</v>
      </c>
      <c r="N22" s="15">
        <f t="shared" si="2"/>
        <v>59.4</v>
      </c>
      <c r="O22" s="15"/>
      <c r="P22" s="15"/>
    </row>
  </sheetData>
  <autoFilter xmlns:etc="http://www.wps.cn/officeDocument/2017/etCustomData" ref="A1:P22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topLeftCell="C1" workbookViewId="0">
      <selection activeCell="D1" sqref="D1:P1"/>
    </sheetView>
  </sheetViews>
  <sheetFormatPr defaultColWidth="9" defaultRowHeight="13.5"/>
  <cols>
    <col min="1" max="1" width="31.675" customWidth="1"/>
    <col min="2" max="2" width="27.0083333333333" customWidth="1"/>
    <col min="3" max="3" width="34.5083333333333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129</v>
      </c>
      <c r="B2" s="4" t="s">
        <v>42</v>
      </c>
      <c r="C2" s="4" t="s">
        <v>130</v>
      </c>
      <c r="D2" s="5" t="s">
        <v>96</v>
      </c>
      <c r="E2" s="8">
        <v>46084.6615036227</v>
      </c>
      <c r="F2" s="4" t="s">
        <v>24</v>
      </c>
      <c r="G2" s="4" t="s">
        <v>25</v>
      </c>
      <c r="H2" s="28">
        <v>23</v>
      </c>
      <c r="I2" s="14">
        <v>3.3</v>
      </c>
      <c r="J2" s="14">
        <f>H2*I2</f>
        <v>75.9</v>
      </c>
      <c r="K2" s="28">
        <v>23</v>
      </c>
      <c r="L2" s="14">
        <f>K2*3.3</f>
        <v>75.9</v>
      </c>
      <c r="M2" s="14"/>
      <c r="N2" s="14"/>
      <c r="O2" s="6" t="s">
        <v>45</v>
      </c>
      <c r="P2" s="6" t="s">
        <v>113</v>
      </c>
    </row>
    <row r="3" ht="22.5" customHeight="1" spans="1:16">
      <c r="A3" s="4" t="s">
        <v>129</v>
      </c>
      <c r="B3" s="4" t="s">
        <v>42</v>
      </c>
      <c r="C3" s="4" t="s">
        <v>130</v>
      </c>
      <c r="D3" s="5" t="s">
        <v>96</v>
      </c>
      <c r="E3" s="8">
        <v>46084.6615036227</v>
      </c>
      <c r="F3" s="4" t="s">
        <v>20</v>
      </c>
      <c r="G3" s="4" t="s">
        <v>21</v>
      </c>
      <c r="H3" s="28">
        <v>1</v>
      </c>
      <c r="I3" s="14">
        <v>3.3</v>
      </c>
      <c r="J3" s="14">
        <f t="shared" ref="J3:J8" si="0">H3*I3</f>
        <v>3.3</v>
      </c>
      <c r="K3" s="28">
        <v>1</v>
      </c>
      <c r="L3" s="14">
        <f t="shared" ref="L3:L9" si="1">K3*3.3</f>
        <v>3.3</v>
      </c>
      <c r="M3" s="14"/>
      <c r="N3" s="14"/>
      <c r="O3" s="6" t="s">
        <v>45</v>
      </c>
      <c r="P3" s="6" t="s">
        <v>113</v>
      </c>
    </row>
    <row r="4" ht="22.5" customHeight="1" spans="1:16">
      <c r="A4" s="4" t="s">
        <v>129</v>
      </c>
      <c r="B4" s="4" t="s">
        <v>42</v>
      </c>
      <c r="C4" s="4" t="s">
        <v>131</v>
      </c>
      <c r="D4" s="5" t="s">
        <v>96</v>
      </c>
      <c r="E4" s="8">
        <v>46084.6615098032</v>
      </c>
      <c r="F4" s="4" t="s">
        <v>20</v>
      </c>
      <c r="G4" s="4" t="s">
        <v>21</v>
      </c>
      <c r="H4" s="28">
        <v>1</v>
      </c>
      <c r="I4" s="14">
        <v>3.3</v>
      </c>
      <c r="J4" s="14">
        <f t="shared" si="0"/>
        <v>3.3</v>
      </c>
      <c r="K4" s="28">
        <v>1</v>
      </c>
      <c r="L4" s="14">
        <f t="shared" si="1"/>
        <v>3.3</v>
      </c>
      <c r="M4" s="14"/>
      <c r="N4" s="14"/>
      <c r="O4" s="6" t="s">
        <v>45</v>
      </c>
      <c r="P4" s="6" t="s">
        <v>113</v>
      </c>
    </row>
    <row r="5" ht="22.5" customHeight="1" spans="1:16">
      <c r="A5" s="4" t="s">
        <v>129</v>
      </c>
      <c r="B5" s="4" t="s">
        <v>42</v>
      </c>
      <c r="C5" s="4" t="s">
        <v>131</v>
      </c>
      <c r="D5" s="5" t="s">
        <v>96</v>
      </c>
      <c r="E5" s="8">
        <v>46084.6615098032</v>
      </c>
      <c r="F5" s="4" t="s">
        <v>24</v>
      </c>
      <c r="G5" s="4" t="s">
        <v>25</v>
      </c>
      <c r="H5" s="28">
        <v>36</v>
      </c>
      <c r="I5" s="14">
        <v>3.3</v>
      </c>
      <c r="J5" s="14">
        <f t="shared" si="0"/>
        <v>118.8</v>
      </c>
      <c r="K5" s="28">
        <v>36</v>
      </c>
      <c r="L5" s="14">
        <f t="shared" si="1"/>
        <v>118.8</v>
      </c>
      <c r="M5" s="14"/>
      <c r="N5" s="14"/>
      <c r="O5" s="6" t="s">
        <v>45</v>
      </c>
      <c r="P5" s="6" t="s">
        <v>113</v>
      </c>
    </row>
    <row r="6" ht="22.5" customHeight="1" spans="1:16">
      <c r="A6" s="4" t="s">
        <v>129</v>
      </c>
      <c r="B6" s="4" t="s">
        <v>42</v>
      </c>
      <c r="C6" s="4" t="s">
        <v>132</v>
      </c>
      <c r="D6" s="5" t="s">
        <v>96</v>
      </c>
      <c r="E6" s="8">
        <v>46084.6615151273</v>
      </c>
      <c r="F6" s="4" t="s">
        <v>24</v>
      </c>
      <c r="G6" s="4" t="s">
        <v>25</v>
      </c>
      <c r="H6" s="28">
        <v>17</v>
      </c>
      <c r="I6" s="14">
        <v>3.3</v>
      </c>
      <c r="J6" s="14">
        <f t="shared" si="0"/>
        <v>56.1</v>
      </c>
      <c r="K6" s="28">
        <v>17</v>
      </c>
      <c r="L6" s="14">
        <f t="shared" si="1"/>
        <v>56.1</v>
      </c>
      <c r="M6" s="14"/>
      <c r="N6" s="14"/>
      <c r="O6" s="6" t="s">
        <v>45</v>
      </c>
      <c r="P6" s="6" t="s">
        <v>113</v>
      </c>
    </row>
    <row r="7" ht="22.5" customHeight="1" spans="1:16">
      <c r="A7" s="4" t="s">
        <v>129</v>
      </c>
      <c r="B7" s="4" t="s">
        <v>42</v>
      </c>
      <c r="C7" s="4" t="s">
        <v>132</v>
      </c>
      <c r="D7" s="5" t="s">
        <v>96</v>
      </c>
      <c r="E7" s="8">
        <v>46084.6615151273</v>
      </c>
      <c r="F7" s="4" t="s">
        <v>20</v>
      </c>
      <c r="G7" s="4" t="s">
        <v>21</v>
      </c>
      <c r="H7" s="28">
        <v>1</v>
      </c>
      <c r="I7" s="14">
        <v>3.3</v>
      </c>
      <c r="J7" s="14">
        <f t="shared" si="0"/>
        <v>3.3</v>
      </c>
      <c r="K7" s="28">
        <v>1</v>
      </c>
      <c r="L7" s="14">
        <f t="shared" si="1"/>
        <v>3.3</v>
      </c>
      <c r="M7" s="14"/>
      <c r="N7" s="14"/>
      <c r="O7" s="6" t="s">
        <v>45</v>
      </c>
      <c r="P7" s="6" t="s">
        <v>113</v>
      </c>
    </row>
    <row r="8" ht="22.5" customHeight="1" spans="1:16">
      <c r="A8" s="4" t="s">
        <v>129</v>
      </c>
      <c r="B8" s="4" t="s">
        <v>42</v>
      </c>
      <c r="C8" s="4" t="s">
        <v>133</v>
      </c>
      <c r="D8" s="5" t="s">
        <v>96</v>
      </c>
      <c r="E8" s="8">
        <v>46084.6615207986</v>
      </c>
      <c r="F8" s="4" t="s">
        <v>20</v>
      </c>
      <c r="G8" s="4" t="s">
        <v>21</v>
      </c>
      <c r="H8" s="28">
        <v>1</v>
      </c>
      <c r="I8" s="14">
        <v>3.3</v>
      </c>
      <c r="J8" s="14">
        <f t="shared" si="0"/>
        <v>3.3</v>
      </c>
      <c r="K8" s="28">
        <v>1</v>
      </c>
      <c r="L8" s="14">
        <f t="shared" si="1"/>
        <v>3.3</v>
      </c>
      <c r="M8" s="14"/>
      <c r="N8" s="14"/>
      <c r="O8" s="6" t="s">
        <v>45</v>
      </c>
      <c r="P8" s="6" t="s">
        <v>113</v>
      </c>
    </row>
    <row r="9" ht="22.5" customHeight="1" spans="1:16">
      <c r="A9" s="4" t="s">
        <v>129</v>
      </c>
      <c r="B9" s="4" t="s">
        <v>42</v>
      </c>
      <c r="C9" s="4" t="s">
        <v>133</v>
      </c>
      <c r="D9" s="5" t="s">
        <v>96</v>
      </c>
      <c r="E9" s="8">
        <v>46084.6615207986</v>
      </c>
      <c r="F9" s="4" t="s">
        <v>24</v>
      </c>
      <c r="G9" s="4" t="s">
        <v>25</v>
      </c>
      <c r="H9" s="28">
        <v>2</v>
      </c>
      <c r="I9" s="14">
        <v>9.9</v>
      </c>
      <c r="J9" s="14">
        <v>9.9</v>
      </c>
      <c r="K9" s="28">
        <v>2</v>
      </c>
      <c r="L9" s="14">
        <v>9.9</v>
      </c>
      <c r="M9" s="14"/>
      <c r="N9" s="14"/>
      <c r="O9" s="6" t="s">
        <v>45</v>
      </c>
      <c r="P9" s="6" t="s">
        <v>113</v>
      </c>
    </row>
    <row r="10" ht="22.5" customHeight="1" spans="1:16">
      <c r="A10" s="4" t="s">
        <v>134</v>
      </c>
      <c r="B10" s="4" t="s">
        <v>42</v>
      </c>
      <c r="C10" s="4" t="s">
        <v>135</v>
      </c>
      <c r="D10" s="5" t="s">
        <v>136</v>
      </c>
      <c r="E10" s="8">
        <v>46084.6616407407</v>
      </c>
      <c r="F10" s="4" t="s">
        <v>24</v>
      </c>
      <c r="G10" s="4" t="s">
        <v>137</v>
      </c>
      <c r="H10" s="28">
        <v>1</v>
      </c>
      <c r="I10" s="14">
        <v>25</v>
      </c>
      <c r="J10" s="14">
        <v>25</v>
      </c>
      <c r="K10" s="14"/>
      <c r="L10" s="14"/>
      <c r="M10" s="14">
        <v>1</v>
      </c>
      <c r="N10" s="14">
        <v>25</v>
      </c>
      <c r="O10" s="6" t="s">
        <v>45</v>
      </c>
      <c r="P10" s="6" t="s">
        <v>77</v>
      </c>
    </row>
    <row r="11" ht="22.5" customHeight="1" spans="1:16">
      <c r="A11" s="4" t="s">
        <v>134</v>
      </c>
      <c r="B11" s="4" t="s">
        <v>42</v>
      </c>
      <c r="C11" s="4" t="s">
        <v>138</v>
      </c>
      <c r="D11" s="5" t="s">
        <v>136</v>
      </c>
      <c r="E11" s="8">
        <v>46084.6616460648</v>
      </c>
      <c r="F11" s="4" t="s">
        <v>24</v>
      </c>
      <c r="G11" s="4" t="s">
        <v>25</v>
      </c>
      <c r="H11" s="28">
        <v>32</v>
      </c>
      <c r="I11" s="14">
        <v>3.3</v>
      </c>
      <c r="J11" s="14">
        <f>H11*I11</f>
        <v>105.6</v>
      </c>
      <c r="K11" s="14"/>
      <c r="L11" s="14"/>
      <c r="M11" s="14">
        <v>32</v>
      </c>
      <c r="N11" s="14">
        <v>105.6</v>
      </c>
      <c r="O11" s="6" t="s">
        <v>45</v>
      </c>
      <c r="P11" s="6" t="s">
        <v>77</v>
      </c>
    </row>
    <row r="12" ht="22.5" customHeight="1" spans="1:16">
      <c r="A12" s="4" t="s">
        <v>134</v>
      </c>
      <c r="B12" s="4" t="s">
        <v>42</v>
      </c>
      <c r="C12" s="4" t="s">
        <v>138</v>
      </c>
      <c r="D12" s="5" t="s">
        <v>136</v>
      </c>
      <c r="E12" s="8">
        <v>46084.6616460648</v>
      </c>
      <c r="F12" s="4" t="s">
        <v>20</v>
      </c>
      <c r="G12" s="4" t="s">
        <v>21</v>
      </c>
      <c r="H12" s="28">
        <v>1</v>
      </c>
      <c r="I12" s="14">
        <v>3.3</v>
      </c>
      <c r="J12" s="14">
        <f>H12*I12</f>
        <v>3.3</v>
      </c>
      <c r="K12" s="14"/>
      <c r="L12" s="14"/>
      <c r="M12" s="14">
        <v>1</v>
      </c>
      <c r="N12" s="14">
        <v>3.3</v>
      </c>
      <c r="O12" s="6" t="s">
        <v>45</v>
      </c>
      <c r="P12" s="6" t="s">
        <v>77</v>
      </c>
    </row>
    <row r="13" ht="22.5" customHeight="1" spans="1:16">
      <c r="A13" s="4" t="s">
        <v>16</v>
      </c>
      <c r="B13" s="4" t="s">
        <v>17</v>
      </c>
      <c r="C13" s="4" t="s">
        <v>139</v>
      </c>
      <c r="D13" s="5" t="s">
        <v>48</v>
      </c>
      <c r="E13" s="8">
        <v>46084.6617476042</v>
      </c>
      <c r="F13" s="4" t="s">
        <v>24</v>
      </c>
      <c r="G13" s="4" t="s">
        <v>25</v>
      </c>
      <c r="H13" s="28">
        <v>1</v>
      </c>
      <c r="I13" s="14">
        <v>3.3</v>
      </c>
      <c r="J13" s="14">
        <f>H13*I13</f>
        <v>3.3</v>
      </c>
      <c r="K13" s="14">
        <v>1</v>
      </c>
      <c r="L13" s="14">
        <v>3.3</v>
      </c>
      <c r="M13" s="14"/>
      <c r="N13" s="14"/>
      <c r="O13" s="6" t="s">
        <v>22</v>
      </c>
      <c r="P13" s="6" t="s">
        <v>140</v>
      </c>
    </row>
    <row r="14" ht="22.5" customHeight="1" spans="1:16">
      <c r="A14" s="4" t="s">
        <v>16</v>
      </c>
      <c r="B14" s="4" t="s">
        <v>17</v>
      </c>
      <c r="C14" s="4" t="s">
        <v>141</v>
      </c>
      <c r="D14" s="5" t="s">
        <v>86</v>
      </c>
      <c r="E14" s="8">
        <v>46084.661753206</v>
      </c>
      <c r="F14" s="4" t="s">
        <v>24</v>
      </c>
      <c r="G14" s="4" t="s">
        <v>25</v>
      </c>
      <c r="H14" s="28">
        <v>14</v>
      </c>
      <c r="I14" s="14">
        <v>3.3</v>
      </c>
      <c r="J14" s="14">
        <f>H14*I14</f>
        <v>46.2</v>
      </c>
      <c r="K14" s="14">
        <v>14</v>
      </c>
      <c r="L14" s="14">
        <v>46.2</v>
      </c>
      <c r="M14" s="14"/>
      <c r="N14" s="14"/>
      <c r="O14" s="6" t="s">
        <v>22</v>
      </c>
      <c r="P14" s="6" t="s">
        <v>142</v>
      </c>
    </row>
    <row r="15" ht="22.5" customHeight="1" spans="1:16">
      <c r="A15" s="4" t="s">
        <v>16</v>
      </c>
      <c r="B15" s="4" t="s">
        <v>17</v>
      </c>
      <c r="C15" s="4" t="s">
        <v>141</v>
      </c>
      <c r="D15" s="5" t="s">
        <v>86</v>
      </c>
      <c r="E15" s="8">
        <v>46084.661753206</v>
      </c>
      <c r="F15" s="4" t="s">
        <v>20</v>
      </c>
      <c r="G15" s="4" t="s">
        <v>21</v>
      </c>
      <c r="H15" s="28">
        <v>1</v>
      </c>
      <c r="I15" s="14">
        <v>3.3</v>
      </c>
      <c r="J15" s="14">
        <f>H15*I15</f>
        <v>3.3</v>
      </c>
      <c r="K15" s="14">
        <v>1</v>
      </c>
      <c r="L15" s="14">
        <v>3.3</v>
      </c>
      <c r="M15" s="14"/>
      <c r="N15" s="14"/>
      <c r="O15" s="6" t="s">
        <v>22</v>
      </c>
      <c r="P15" s="6" t="s">
        <v>142</v>
      </c>
    </row>
    <row r="16" spans="1:16">
      <c r="A16" s="15"/>
      <c r="B16" s="15"/>
      <c r="C16" s="15"/>
      <c r="D16" s="15"/>
      <c r="E16" s="15"/>
      <c r="F16" s="15"/>
      <c r="G16" s="15"/>
      <c r="H16" s="15">
        <f t="shared" ref="H16:N16" si="2">SUM(H2:H15)</f>
        <v>132</v>
      </c>
      <c r="I16" s="16">
        <f t="shared" si="2"/>
        <v>74.5</v>
      </c>
      <c r="J16" s="16">
        <f t="shared" si="2"/>
        <v>460.6</v>
      </c>
      <c r="K16" s="16">
        <f t="shared" si="2"/>
        <v>98</v>
      </c>
      <c r="L16" s="16">
        <f t="shared" si="2"/>
        <v>326.7</v>
      </c>
      <c r="M16" s="16">
        <f t="shared" si="2"/>
        <v>34</v>
      </c>
      <c r="N16" s="16">
        <f t="shared" si="2"/>
        <v>133.9</v>
      </c>
      <c r="O16" s="15"/>
      <c r="P16" s="15"/>
    </row>
    <row r="17" spans="13:14">
      <c r="M17" s="17"/>
      <c r="N17" s="17"/>
    </row>
    <row r="18" spans="13:14">
      <c r="M18" s="17"/>
      <c r="N18" s="17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topLeftCell="B15" workbookViewId="0">
      <selection activeCell="I1" sqref="I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26.0083333333333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9" t="s">
        <v>0</v>
      </c>
      <c r="B1" s="19" t="s">
        <v>1</v>
      </c>
      <c r="C1" s="1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20" t="s">
        <v>30</v>
      </c>
      <c r="B2" s="20" t="s">
        <v>42</v>
      </c>
      <c r="C2" s="20" t="s">
        <v>143</v>
      </c>
      <c r="D2" s="21" t="s">
        <v>33</v>
      </c>
      <c r="E2" s="22">
        <v>46085.6608074884</v>
      </c>
      <c r="F2" s="20" t="s">
        <v>20</v>
      </c>
      <c r="G2" s="20" t="s">
        <v>21</v>
      </c>
      <c r="H2" s="29">
        <v>1</v>
      </c>
      <c r="I2" s="14">
        <v>3.3</v>
      </c>
      <c r="J2" s="14">
        <f>H2*I2</f>
        <v>3.3</v>
      </c>
      <c r="K2" s="14">
        <v>1</v>
      </c>
      <c r="L2" s="14">
        <v>3.3</v>
      </c>
      <c r="M2" s="14"/>
      <c r="N2" s="14"/>
      <c r="O2" s="6" t="s">
        <v>45</v>
      </c>
      <c r="P2" s="6" t="s">
        <v>46</v>
      </c>
    </row>
    <row r="3" ht="22.5" customHeight="1" spans="1:16">
      <c r="A3" s="20" t="s">
        <v>30</v>
      </c>
      <c r="B3" s="20" t="s">
        <v>42</v>
      </c>
      <c r="C3" s="20" t="s">
        <v>143</v>
      </c>
      <c r="D3" s="21" t="s">
        <v>33</v>
      </c>
      <c r="E3" s="22">
        <v>46085.6608074884</v>
      </c>
      <c r="F3" s="20" t="s">
        <v>24</v>
      </c>
      <c r="G3" s="20" t="s">
        <v>41</v>
      </c>
      <c r="H3" s="29">
        <v>46</v>
      </c>
      <c r="I3" s="14">
        <v>120</v>
      </c>
      <c r="J3" s="14">
        <v>120</v>
      </c>
      <c r="K3" s="14">
        <v>46</v>
      </c>
      <c r="L3" s="14">
        <v>120</v>
      </c>
      <c r="M3" s="14"/>
      <c r="N3" s="14"/>
      <c r="O3" s="6" t="s">
        <v>45</v>
      </c>
      <c r="P3" s="6" t="s">
        <v>46</v>
      </c>
    </row>
    <row r="4" ht="22.5" customHeight="1" spans="1:16">
      <c r="A4" s="20" t="s">
        <v>30</v>
      </c>
      <c r="B4" s="20" t="s">
        <v>42</v>
      </c>
      <c r="C4" s="20" t="s">
        <v>144</v>
      </c>
      <c r="D4" s="21" t="s">
        <v>33</v>
      </c>
      <c r="E4" s="22">
        <v>46085.8014576042</v>
      </c>
      <c r="F4" s="20" t="s">
        <v>24</v>
      </c>
      <c r="G4" s="20" t="s">
        <v>25</v>
      </c>
      <c r="H4" s="29">
        <v>10</v>
      </c>
      <c r="I4" s="14">
        <v>3.3</v>
      </c>
      <c r="J4" s="14">
        <f t="shared" ref="J4:J13" si="0">H4*I4</f>
        <v>33</v>
      </c>
      <c r="K4" s="14">
        <v>10</v>
      </c>
      <c r="L4" s="14">
        <v>33</v>
      </c>
      <c r="M4" s="14"/>
      <c r="N4" s="14"/>
      <c r="O4" s="6" t="s">
        <v>45</v>
      </c>
      <c r="P4" s="6" t="s">
        <v>46</v>
      </c>
    </row>
    <row r="5" ht="22.5" customHeight="1" spans="1:16">
      <c r="A5" s="20" t="s">
        <v>30</v>
      </c>
      <c r="B5" s="20" t="s">
        <v>42</v>
      </c>
      <c r="C5" s="20" t="s">
        <v>144</v>
      </c>
      <c r="D5" s="21" t="s">
        <v>33</v>
      </c>
      <c r="E5" s="22">
        <v>46085.8014576042</v>
      </c>
      <c r="F5" s="20" t="s">
        <v>20</v>
      </c>
      <c r="G5" s="20" t="s">
        <v>21</v>
      </c>
      <c r="H5" s="29">
        <v>1</v>
      </c>
      <c r="I5" s="14">
        <v>3.3</v>
      </c>
      <c r="J5" s="14">
        <f t="shared" si="0"/>
        <v>3.3</v>
      </c>
      <c r="K5" s="14">
        <v>1</v>
      </c>
      <c r="L5" s="14">
        <v>3.3</v>
      </c>
      <c r="M5" s="14"/>
      <c r="N5" s="14"/>
      <c r="O5" s="6" t="s">
        <v>45</v>
      </c>
      <c r="P5" s="6" t="s">
        <v>46</v>
      </c>
    </row>
    <row r="6" ht="22.5" customHeight="1" spans="1:16">
      <c r="A6" s="20" t="s">
        <v>30</v>
      </c>
      <c r="B6" s="20" t="s">
        <v>42</v>
      </c>
      <c r="C6" s="20" t="s">
        <v>145</v>
      </c>
      <c r="D6" s="21" t="s">
        <v>33</v>
      </c>
      <c r="E6" s="22">
        <v>46085.6608023958</v>
      </c>
      <c r="F6" s="20" t="s">
        <v>20</v>
      </c>
      <c r="G6" s="20" t="s">
        <v>21</v>
      </c>
      <c r="H6" s="29">
        <v>1</v>
      </c>
      <c r="I6" s="14">
        <v>3.3</v>
      </c>
      <c r="J6" s="14">
        <f t="shared" si="0"/>
        <v>3.3</v>
      </c>
      <c r="K6" s="14">
        <v>1</v>
      </c>
      <c r="L6" s="14">
        <v>3.3</v>
      </c>
      <c r="M6" s="14"/>
      <c r="N6" s="14"/>
      <c r="O6" s="6" t="s">
        <v>45</v>
      </c>
      <c r="P6" s="6" t="s">
        <v>46</v>
      </c>
    </row>
    <row r="7" ht="22.5" customHeight="1" spans="1:16">
      <c r="A7" s="20" t="s">
        <v>30</v>
      </c>
      <c r="B7" s="20" t="s">
        <v>42</v>
      </c>
      <c r="C7" s="20" t="s">
        <v>145</v>
      </c>
      <c r="D7" s="21" t="s">
        <v>33</v>
      </c>
      <c r="E7" s="22">
        <v>46085.6608023958</v>
      </c>
      <c r="F7" s="20" t="s">
        <v>24</v>
      </c>
      <c r="G7" s="20" t="s">
        <v>25</v>
      </c>
      <c r="H7" s="29">
        <v>9</v>
      </c>
      <c r="I7" s="14">
        <v>3.3</v>
      </c>
      <c r="J7" s="14">
        <f t="shared" si="0"/>
        <v>29.7</v>
      </c>
      <c r="K7" s="14">
        <v>9</v>
      </c>
      <c r="L7" s="14">
        <v>29.7</v>
      </c>
      <c r="M7" s="14"/>
      <c r="N7" s="14"/>
      <c r="O7" s="6" t="s">
        <v>45</v>
      </c>
      <c r="P7" s="6" t="s">
        <v>46</v>
      </c>
    </row>
    <row r="8" ht="22.5" customHeight="1" spans="1:16">
      <c r="A8" s="20" t="s">
        <v>30</v>
      </c>
      <c r="B8" s="20" t="s">
        <v>42</v>
      </c>
      <c r="C8" s="20" t="s">
        <v>146</v>
      </c>
      <c r="D8" s="21" t="s">
        <v>33</v>
      </c>
      <c r="E8" s="22">
        <v>46085.6608099884</v>
      </c>
      <c r="F8" s="20" t="s">
        <v>24</v>
      </c>
      <c r="G8" s="20" t="s">
        <v>25</v>
      </c>
      <c r="H8" s="29">
        <v>12</v>
      </c>
      <c r="I8" s="14">
        <v>3.3</v>
      </c>
      <c r="J8" s="14">
        <f t="shared" si="0"/>
        <v>39.6</v>
      </c>
      <c r="K8" s="14">
        <v>12</v>
      </c>
      <c r="L8" s="14">
        <v>39.6</v>
      </c>
      <c r="M8" s="14"/>
      <c r="N8" s="14"/>
      <c r="O8" s="6" t="s">
        <v>45</v>
      </c>
      <c r="P8" s="6" t="s">
        <v>46</v>
      </c>
    </row>
    <row r="9" ht="22.5" customHeight="1" spans="1:16">
      <c r="A9" s="20" t="s">
        <v>30</v>
      </c>
      <c r="B9" s="20" t="s">
        <v>42</v>
      </c>
      <c r="C9" s="20" t="s">
        <v>146</v>
      </c>
      <c r="D9" s="21" t="s">
        <v>33</v>
      </c>
      <c r="E9" s="22">
        <v>46085.6608099884</v>
      </c>
      <c r="F9" s="20" t="s">
        <v>24</v>
      </c>
      <c r="G9" s="20" t="s">
        <v>36</v>
      </c>
      <c r="H9" s="29">
        <v>8</v>
      </c>
      <c r="I9" s="14">
        <v>3.3</v>
      </c>
      <c r="J9" s="14">
        <f t="shared" si="0"/>
        <v>26.4</v>
      </c>
      <c r="K9" s="14">
        <v>8</v>
      </c>
      <c r="L9" s="14">
        <v>26.4</v>
      </c>
      <c r="M9" s="14"/>
      <c r="N9" s="14"/>
      <c r="O9" s="6" t="s">
        <v>45</v>
      </c>
      <c r="P9" s="6" t="s">
        <v>46</v>
      </c>
    </row>
    <row r="10" ht="22.5" customHeight="1" spans="1:16">
      <c r="A10" s="20" t="s">
        <v>30</v>
      </c>
      <c r="B10" s="20" t="s">
        <v>42</v>
      </c>
      <c r="C10" s="20" t="s">
        <v>146</v>
      </c>
      <c r="D10" s="21" t="s">
        <v>33</v>
      </c>
      <c r="E10" s="22">
        <v>46085.6608099884</v>
      </c>
      <c r="F10" s="20" t="s">
        <v>20</v>
      </c>
      <c r="G10" s="20" t="s">
        <v>21</v>
      </c>
      <c r="H10" s="29">
        <v>1</v>
      </c>
      <c r="I10" s="14">
        <v>3.3</v>
      </c>
      <c r="J10" s="14">
        <f t="shared" si="0"/>
        <v>3.3</v>
      </c>
      <c r="K10" s="14">
        <v>1</v>
      </c>
      <c r="L10" s="14">
        <v>3.3</v>
      </c>
      <c r="M10" s="14"/>
      <c r="N10" s="14"/>
      <c r="O10" s="6" t="s">
        <v>45</v>
      </c>
      <c r="P10" s="6" t="s">
        <v>46</v>
      </c>
    </row>
    <row r="11" ht="22.5" customHeight="1" spans="1:16">
      <c r="A11" s="20" t="s">
        <v>30</v>
      </c>
      <c r="B11" s="20" t="s">
        <v>42</v>
      </c>
      <c r="C11" s="20" t="s">
        <v>147</v>
      </c>
      <c r="D11" s="21" t="s">
        <v>33</v>
      </c>
      <c r="E11" s="22">
        <v>46085.6608050579</v>
      </c>
      <c r="F11" s="20" t="s">
        <v>24</v>
      </c>
      <c r="G11" s="20" t="s">
        <v>25</v>
      </c>
      <c r="H11" s="29">
        <v>11</v>
      </c>
      <c r="I11" s="14">
        <v>3.3</v>
      </c>
      <c r="J11" s="14">
        <f t="shared" si="0"/>
        <v>36.3</v>
      </c>
      <c r="K11" s="14">
        <v>11</v>
      </c>
      <c r="L11" s="14">
        <v>36.3</v>
      </c>
      <c r="M11" s="14"/>
      <c r="N11" s="14"/>
      <c r="O11" s="6" t="s">
        <v>45</v>
      </c>
      <c r="P11" s="6" t="s">
        <v>46</v>
      </c>
    </row>
    <row r="12" ht="22.5" customHeight="1" spans="1:16">
      <c r="A12" s="20" t="s">
        <v>30</v>
      </c>
      <c r="B12" s="20" t="s">
        <v>42</v>
      </c>
      <c r="C12" s="20" t="s">
        <v>147</v>
      </c>
      <c r="D12" s="21" t="s">
        <v>33</v>
      </c>
      <c r="E12" s="22">
        <v>46085.6608050579</v>
      </c>
      <c r="F12" s="20" t="s">
        <v>20</v>
      </c>
      <c r="G12" s="20" t="s">
        <v>21</v>
      </c>
      <c r="H12" s="29">
        <v>1</v>
      </c>
      <c r="I12" s="14">
        <v>3.3</v>
      </c>
      <c r="J12" s="14">
        <f t="shared" si="0"/>
        <v>3.3</v>
      </c>
      <c r="K12" s="14">
        <v>1</v>
      </c>
      <c r="L12" s="14">
        <v>3.3</v>
      </c>
      <c r="M12" s="14"/>
      <c r="N12" s="14"/>
      <c r="O12" s="6" t="s">
        <v>45</v>
      </c>
      <c r="P12" s="6" t="s">
        <v>46</v>
      </c>
    </row>
    <row r="13" ht="22.5" customHeight="1" spans="1:16">
      <c r="A13" s="20" t="s">
        <v>30</v>
      </c>
      <c r="B13" s="20" t="s">
        <v>42</v>
      </c>
      <c r="C13" s="20" t="s">
        <v>148</v>
      </c>
      <c r="D13" s="21" t="s">
        <v>33</v>
      </c>
      <c r="E13" s="22">
        <v>46085.8014620023</v>
      </c>
      <c r="F13" s="20" t="s">
        <v>20</v>
      </c>
      <c r="G13" s="20" t="s">
        <v>21</v>
      </c>
      <c r="H13" s="29">
        <v>1</v>
      </c>
      <c r="I13" s="14">
        <v>3.3</v>
      </c>
      <c r="J13" s="14">
        <f t="shared" si="0"/>
        <v>3.3</v>
      </c>
      <c r="K13" s="14">
        <v>1</v>
      </c>
      <c r="L13" s="14">
        <v>3.3</v>
      </c>
      <c r="M13" s="14"/>
      <c r="N13" s="14"/>
      <c r="O13" s="6" t="s">
        <v>45</v>
      </c>
      <c r="P13" s="6" t="s">
        <v>46</v>
      </c>
    </row>
    <row r="14" ht="22.5" customHeight="1" spans="1:16">
      <c r="A14" s="20" t="s">
        <v>30</v>
      </c>
      <c r="B14" s="20" t="s">
        <v>42</v>
      </c>
      <c r="C14" s="20" t="s">
        <v>148</v>
      </c>
      <c r="D14" s="21" t="s">
        <v>33</v>
      </c>
      <c r="E14" s="22">
        <v>46085.8014620023</v>
      </c>
      <c r="F14" s="20" t="s">
        <v>24</v>
      </c>
      <c r="G14" s="20" t="s">
        <v>58</v>
      </c>
      <c r="H14" s="29">
        <v>23</v>
      </c>
      <c r="I14" s="14">
        <v>30</v>
      </c>
      <c r="J14" s="14">
        <v>30</v>
      </c>
      <c r="K14" s="14">
        <v>23</v>
      </c>
      <c r="L14" s="14">
        <v>30</v>
      </c>
      <c r="M14" s="14"/>
      <c r="N14" s="14"/>
      <c r="O14" s="6" t="s">
        <v>45</v>
      </c>
      <c r="P14" s="6" t="s">
        <v>46</v>
      </c>
    </row>
    <row r="15" ht="22.5" customHeight="1" spans="1:16">
      <c r="A15" s="20" t="s">
        <v>30</v>
      </c>
      <c r="B15" s="20" t="s">
        <v>42</v>
      </c>
      <c r="C15" s="20" t="s">
        <v>149</v>
      </c>
      <c r="D15" s="21" t="s">
        <v>33</v>
      </c>
      <c r="E15" s="22">
        <v>46085.8110669792</v>
      </c>
      <c r="F15" s="20" t="s">
        <v>24</v>
      </c>
      <c r="G15" s="20" t="s">
        <v>25</v>
      </c>
      <c r="H15" s="29">
        <v>12</v>
      </c>
      <c r="I15" s="14">
        <v>3.3</v>
      </c>
      <c r="J15" s="14">
        <f t="shared" ref="J15:J26" si="1">H15*I15</f>
        <v>39.6</v>
      </c>
      <c r="K15" s="14">
        <v>12</v>
      </c>
      <c r="L15" s="14">
        <v>39.6</v>
      </c>
      <c r="M15" s="14"/>
      <c r="N15" s="14"/>
      <c r="O15" s="6" t="s">
        <v>45</v>
      </c>
      <c r="P15" s="6" t="s">
        <v>46</v>
      </c>
    </row>
    <row r="16" ht="22.5" customHeight="1" spans="1:16">
      <c r="A16" s="20" t="s">
        <v>30</v>
      </c>
      <c r="B16" s="20" t="s">
        <v>42</v>
      </c>
      <c r="C16" s="20" t="s">
        <v>149</v>
      </c>
      <c r="D16" s="21" t="s">
        <v>33</v>
      </c>
      <c r="E16" s="22">
        <v>46085.8110669792</v>
      </c>
      <c r="F16" s="20" t="s">
        <v>20</v>
      </c>
      <c r="G16" s="20" t="s">
        <v>21</v>
      </c>
      <c r="H16" s="29">
        <v>1</v>
      </c>
      <c r="I16" s="14">
        <v>3.3</v>
      </c>
      <c r="J16" s="14">
        <f t="shared" si="1"/>
        <v>3.3</v>
      </c>
      <c r="K16" s="14">
        <v>1</v>
      </c>
      <c r="L16" s="14">
        <v>3.3</v>
      </c>
      <c r="M16" s="14"/>
      <c r="N16" s="14"/>
      <c r="O16" s="6" t="s">
        <v>45</v>
      </c>
      <c r="P16" s="6" t="s">
        <v>46</v>
      </c>
    </row>
    <row r="17" ht="22.5" customHeight="1" spans="1:16">
      <c r="A17" s="20" t="s">
        <v>30</v>
      </c>
      <c r="B17" s="20" t="s">
        <v>42</v>
      </c>
      <c r="C17" s="20" t="s">
        <v>150</v>
      </c>
      <c r="D17" s="21" t="s">
        <v>33</v>
      </c>
      <c r="E17" s="22">
        <v>46085.8110727662</v>
      </c>
      <c r="F17" s="20" t="s">
        <v>20</v>
      </c>
      <c r="G17" s="20" t="s">
        <v>21</v>
      </c>
      <c r="H17" s="29">
        <v>1</v>
      </c>
      <c r="I17" s="14">
        <v>3.3</v>
      </c>
      <c r="J17" s="14">
        <f t="shared" si="1"/>
        <v>3.3</v>
      </c>
      <c r="K17" s="14">
        <v>1</v>
      </c>
      <c r="L17" s="14">
        <v>3.3</v>
      </c>
      <c r="M17" s="14"/>
      <c r="N17" s="14"/>
      <c r="O17" s="6" t="s">
        <v>45</v>
      </c>
      <c r="P17" s="6" t="s">
        <v>46</v>
      </c>
    </row>
    <row r="18" ht="22.5" customHeight="1" spans="1:16">
      <c r="A18" s="20" t="s">
        <v>30</v>
      </c>
      <c r="B18" s="20" t="s">
        <v>42</v>
      </c>
      <c r="C18" s="20" t="s">
        <v>150</v>
      </c>
      <c r="D18" s="21" t="s">
        <v>33</v>
      </c>
      <c r="E18" s="22">
        <v>46085.8110727662</v>
      </c>
      <c r="F18" s="20" t="s">
        <v>24</v>
      </c>
      <c r="G18" s="20" t="s">
        <v>25</v>
      </c>
      <c r="H18" s="29">
        <v>12</v>
      </c>
      <c r="I18" s="14">
        <v>3.3</v>
      </c>
      <c r="J18" s="14">
        <f t="shared" si="1"/>
        <v>39.6</v>
      </c>
      <c r="K18" s="14">
        <v>12</v>
      </c>
      <c r="L18" s="14">
        <v>39.6</v>
      </c>
      <c r="M18" s="14"/>
      <c r="N18" s="14"/>
      <c r="O18" s="6" t="s">
        <v>45</v>
      </c>
      <c r="P18" s="6" t="s">
        <v>46</v>
      </c>
    </row>
    <row r="19" ht="22.5" customHeight="1" spans="1:16">
      <c r="A19" s="20" t="s">
        <v>30</v>
      </c>
      <c r="B19" s="20" t="s">
        <v>42</v>
      </c>
      <c r="C19" s="20" t="s">
        <v>151</v>
      </c>
      <c r="D19" s="21" t="s">
        <v>152</v>
      </c>
      <c r="E19" s="22">
        <v>46085.6608074884</v>
      </c>
      <c r="F19" s="20" t="s">
        <v>24</v>
      </c>
      <c r="G19" s="20" t="s">
        <v>25</v>
      </c>
      <c r="H19" s="29">
        <v>4</v>
      </c>
      <c r="I19" s="14">
        <v>3.3</v>
      </c>
      <c r="J19" s="14">
        <f t="shared" si="1"/>
        <v>13.2</v>
      </c>
      <c r="K19" s="14"/>
      <c r="L19" s="14"/>
      <c r="M19" s="14">
        <v>4</v>
      </c>
      <c r="N19" s="14">
        <v>13.2</v>
      </c>
      <c r="O19" s="6" t="s">
        <v>45</v>
      </c>
      <c r="P19" s="6" t="s">
        <v>46</v>
      </c>
    </row>
    <row r="20" ht="22.5" customHeight="1" spans="1:16">
      <c r="A20" s="20" t="s">
        <v>30</v>
      </c>
      <c r="B20" s="20" t="s">
        <v>42</v>
      </c>
      <c r="C20" s="20" t="s">
        <v>153</v>
      </c>
      <c r="D20" s="21" t="s">
        <v>152</v>
      </c>
      <c r="E20" s="22">
        <v>46085.6608099884</v>
      </c>
      <c r="F20" s="20" t="s">
        <v>24</v>
      </c>
      <c r="G20" s="20" t="s">
        <v>25</v>
      </c>
      <c r="H20" s="29">
        <v>3</v>
      </c>
      <c r="I20" s="14">
        <v>3.3</v>
      </c>
      <c r="J20" s="14">
        <f t="shared" si="1"/>
        <v>9.9</v>
      </c>
      <c r="K20" s="14"/>
      <c r="L20" s="14"/>
      <c r="M20" s="14">
        <v>3</v>
      </c>
      <c r="N20" s="14">
        <v>9.9</v>
      </c>
      <c r="O20" s="6" t="s">
        <v>45</v>
      </c>
      <c r="P20" s="6" t="s">
        <v>46</v>
      </c>
    </row>
    <row r="21" ht="22.5" customHeight="1" spans="1:16">
      <c r="A21" s="20" t="s">
        <v>30</v>
      </c>
      <c r="B21" s="20" t="s">
        <v>42</v>
      </c>
      <c r="C21" s="20" t="s">
        <v>154</v>
      </c>
      <c r="D21" s="21" t="s">
        <v>19</v>
      </c>
      <c r="E21" s="22">
        <v>46085.6608126968</v>
      </c>
      <c r="F21" s="20" t="s">
        <v>20</v>
      </c>
      <c r="G21" s="20" t="s">
        <v>21</v>
      </c>
      <c r="H21" s="29">
        <v>1</v>
      </c>
      <c r="I21" s="14">
        <v>3.3</v>
      </c>
      <c r="J21" s="14">
        <f t="shared" si="1"/>
        <v>3.3</v>
      </c>
      <c r="K21" s="14">
        <v>1</v>
      </c>
      <c r="L21" s="14">
        <v>3.3</v>
      </c>
      <c r="M21" s="14"/>
      <c r="N21" s="14"/>
      <c r="O21" s="6" t="s">
        <v>45</v>
      </c>
      <c r="P21" s="6" t="s">
        <v>46</v>
      </c>
    </row>
    <row r="22" ht="22.5" customHeight="1" spans="1:16">
      <c r="A22" s="20" t="s">
        <v>30</v>
      </c>
      <c r="B22" s="20" t="s">
        <v>42</v>
      </c>
      <c r="C22" s="20" t="s">
        <v>154</v>
      </c>
      <c r="D22" s="21" t="s">
        <v>19</v>
      </c>
      <c r="E22" s="22">
        <v>46085.6608126968</v>
      </c>
      <c r="F22" s="20" t="s">
        <v>24</v>
      </c>
      <c r="G22" s="20" t="s">
        <v>25</v>
      </c>
      <c r="H22" s="29">
        <v>36</v>
      </c>
      <c r="I22" s="14">
        <v>3.3</v>
      </c>
      <c r="J22" s="14">
        <f t="shared" si="1"/>
        <v>118.8</v>
      </c>
      <c r="K22" s="14">
        <v>36</v>
      </c>
      <c r="L22" s="14">
        <f>K22*3.3</f>
        <v>118.8</v>
      </c>
      <c r="M22" s="14"/>
      <c r="N22" s="14"/>
      <c r="O22" s="6" t="s">
        <v>45</v>
      </c>
      <c r="P22" s="6" t="s">
        <v>46</v>
      </c>
    </row>
    <row r="23" ht="22.5" customHeight="1" spans="1:16">
      <c r="A23" s="20" t="s">
        <v>30</v>
      </c>
      <c r="B23" s="20" t="s">
        <v>42</v>
      </c>
      <c r="C23" s="20" t="s">
        <v>155</v>
      </c>
      <c r="D23" s="21" t="s">
        <v>19</v>
      </c>
      <c r="E23" s="22">
        <v>46085.6608023958</v>
      </c>
      <c r="F23" s="20" t="s">
        <v>20</v>
      </c>
      <c r="G23" s="20" t="s">
        <v>21</v>
      </c>
      <c r="H23" s="29">
        <v>1</v>
      </c>
      <c r="I23" s="14">
        <v>3.3</v>
      </c>
      <c r="J23" s="14">
        <f t="shared" si="1"/>
        <v>3.3</v>
      </c>
      <c r="K23" s="14">
        <v>1</v>
      </c>
      <c r="L23" s="14">
        <v>3.3</v>
      </c>
      <c r="M23" s="14"/>
      <c r="N23" s="14"/>
      <c r="O23" s="6" t="s">
        <v>45</v>
      </c>
      <c r="P23" s="6" t="s">
        <v>46</v>
      </c>
    </row>
    <row r="24" ht="22.5" customHeight="1" spans="1:16">
      <c r="A24" s="20" t="s">
        <v>30</v>
      </c>
      <c r="B24" s="20" t="s">
        <v>42</v>
      </c>
      <c r="C24" s="20" t="s">
        <v>155</v>
      </c>
      <c r="D24" s="21" t="s">
        <v>19</v>
      </c>
      <c r="E24" s="22">
        <v>46085.6608023958</v>
      </c>
      <c r="F24" s="20" t="s">
        <v>24</v>
      </c>
      <c r="G24" s="20" t="s">
        <v>25</v>
      </c>
      <c r="H24" s="29">
        <v>10</v>
      </c>
      <c r="I24" s="14">
        <v>3.3</v>
      </c>
      <c r="J24" s="14">
        <f t="shared" si="1"/>
        <v>33</v>
      </c>
      <c r="K24" s="14">
        <v>10</v>
      </c>
      <c r="L24" s="14">
        <v>33</v>
      </c>
      <c r="M24" s="14"/>
      <c r="N24" s="14"/>
      <c r="O24" s="6" t="s">
        <v>45</v>
      </c>
      <c r="P24" s="6" t="s">
        <v>46</v>
      </c>
    </row>
    <row r="25" ht="22.5" customHeight="1" spans="1:16">
      <c r="A25" s="20" t="s">
        <v>30</v>
      </c>
      <c r="B25" s="20" t="s">
        <v>42</v>
      </c>
      <c r="C25" s="20" t="s">
        <v>156</v>
      </c>
      <c r="D25" s="21" t="s">
        <v>19</v>
      </c>
      <c r="E25" s="22">
        <v>46085.6608050579</v>
      </c>
      <c r="F25" s="20" t="s">
        <v>24</v>
      </c>
      <c r="G25" s="20" t="s">
        <v>25</v>
      </c>
      <c r="H25" s="29">
        <v>13</v>
      </c>
      <c r="I25" s="14">
        <v>3.3</v>
      </c>
      <c r="J25" s="14">
        <f t="shared" si="1"/>
        <v>42.9</v>
      </c>
      <c r="K25" s="14">
        <v>4</v>
      </c>
      <c r="L25" s="14">
        <f>K25*3.3</f>
        <v>13.2</v>
      </c>
      <c r="M25" s="14">
        <v>9</v>
      </c>
      <c r="N25" s="14">
        <f>M25*3.3</f>
        <v>29.7</v>
      </c>
      <c r="O25" s="6" t="s">
        <v>45</v>
      </c>
      <c r="P25" s="6" t="s">
        <v>46</v>
      </c>
    </row>
    <row r="26" ht="22.5" customHeight="1" spans="1:16">
      <c r="A26" s="20" t="s">
        <v>30</v>
      </c>
      <c r="B26" s="20" t="s">
        <v>42</v>
      </c>
      <c r="C26" s="20" t="s">
        <v>156</v>
      </c>
      <c r="D26" s="21" t="s">
        <v>19</v>
      </c>
      <c r="E26" s="22">
        <v>46085.6608050579</v>
      </c>
      <c r="F26" s="20" t="s">
        <v>20</v>
      </c>
      <c r="G26" s="20" t="s">
        <v>21</v>
      </c>
      <c r="H26" s="29">
        <v>1</v>
      </c>
      <c r="I26" s="14">
        <v>3.3</v>
      </c>
      <c r="J26" s="14">
        <f t="shared" si="1"/>
        <v>3.3</v>
      </c>
      <c r="K26" s="14">
        <v>1</v>
      </c>
      <c r="L26" s="14">
        <v>3.3</v>
      </c>
      <c r="M26" s="14"/>
      <c r="N26" s="14"/>
      <c r="O26" s="6" t="s">
        <v>45</v>
      </c>
      <c r="P26" s="6" t="s">
        <v>46</v>
      </c>
    </row>
    <row r="27" spans="1:16">
      <c r="A27" s="15"/>
      <c r="B27" s="15"/>
      <c r="C27" s="15"/>
      <c r="D27" s="15"/>
      <c r="E27" s="15"/>
      <c r="F27" s="15"/>
      <c r="G27" s="15"/>
      <c r="H27" s="15">
        <f t="shared" ref="H27:N27" si="2">SUM(H2:H26)</f>
        <v>220</v>
      </c>
      <c r="I27" s="16">
        <f t="shared" si="2"/>
        <v>225.9</v>
      </c>
      <c r="J27" s="16">
        <f t="shared" si="2"/>
        <v>648.3</v>
      </c>
      <c r="K27" s="16">
        <f t="shared" si="2"/>
        <v>204</v>
      </c>
      <c r="L27" s="16">
        <f t="shared" si="2"/>
        <v>595.5</v>
      </c>
      <c r="M27" s="16">
        <f t="shared" si="2"/>
        <v>16</v>
      </c>
      <c r="N27" s="16">
        <f t="shared" si="2"/>
        <v>52.8</v>
      </c>
      <c r="O27" s="15"/>
      <c r="P27" s="15"/>
    </row>
    <row r="28" spans="1:16">
      <c r="I28" s="17"/>
      <c r="J28" s="17"/>
      <c r="K28" s="17"/>
      <c r="L28" s="17"/>
      <c r="M28" s="17"/>
      <c r="N28" s="17"/>
    </row>
  </sheetData>
  <autoFilter xmlns:etc="http://www.wps.cn/officeDocument/2017/etCustomData" ref="A1:P27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opLeftCell="D1" workbookViewId="0">
      <selection activeCell="D1" sqref="D1:P1"/>
    </sheetView>
  </sheetViews>
  <sheetFormatPr defaultColWidth="9" defaultRowHeight="13.5"/>
  <cols>
    <col min="1" max="2" width="27.0083333333333" customWidth="1"/>
    <col min="3" max="3" width="22.0083333333333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129</v>
      </c>
      <c r="B2" s="4" t="s">
        <v>42</v>
      </c>
      <c r="C2" s="4" t="s">
        <v>157</v>
      </c>
      <c r="D2" s="5" t="s">
        <v>96</v>
      </c>
      <c r="E2" s="8">
        <v>46086.4027101852</v>
      </c>
      <c r="F2" s="4" t="s">
        <v>24</v>
      </c>
      <c r="G2" s="4" t="s">
        <v>76</v>
      </c>
      <c r="H2" s="28">
        <v>5</v>
      </c>
      <c r="I2" s="6">
        <v>3.3</v>
      </c>
      <c r="J2" s="14">
        <f>H2*I2</f>
        <v>16.5</v>
      </c>
      <c r="K2" s="14">
        <v>5</v>
      </c>
      <c r="L2" s="14">
        <v>16.5</v>
      </c>
      <c r="M2" s="14"/>
      <c r="N2" s="14"/>
      <c r="O2" s="6" t="s">
        <v>45</v>
      </c>
      <c r="P2" s="6" t="s">
        <v>77</v>
      </c>
    </row>
    <row r="3" ht="22.5" customHeight="1" spans="1:16">
      <c r="A3" s="4" t="s">
        <v>129</v>
      </c>
      <c r="B3" s="4" t="s">
        <v>42</v>
      </c>
      <c r="C3" s="4" t="s">
        <v>157</v>
      </c>
      <c r="D3" s="5" t="s">
        <v>96</v>
      </c>
      <c r="E3" s="8">
        <v>46086.4027101852</v>
      </c>
      <c r="F3" s="4" t="s">
        <v>20</v>
      </c>
      <c r="G3" s="4" t="s">
        <v>21</v>
      </c>
      <c r="H3" s="28">
        <v>1</v>
      </c>
      <c r="I3" s="6">
        <v>3.3</v>
      </c>
      <c r="J3" s="14">
        <f>H3*I3</f>
        <v>3.3</v>
      </c>
      <c r="K3" s="14">
        <v>1</v>
      </c>
      <c r="L3" s="14">
        <v>3.3</v>
      </c>
      <c r="M3" s="14"/>
      <c r="N3" s="14"/>
      <c r="O3" s="6" t="s">
        <v>45</v>
      </c>
      <c r="P3" s="6" t="s">
        <v>77</v>
      </c>
    </row>
    <row r="4" ht="22.5" customHeight="1" spans="1:16">
      <c r="A4" s="4" t="s">
        <v>129</v>
      </c>
      <c r="B4" s="4" t="s">
        <v>42</v>
      </c>
      <c r="C4" s="4" t="s">
        <v>158</v>
      </c>
      <c r="D4" s="5" t="s">
        <v>96</v>
      </c>
      <c r="E4" s="8">
        <v>46086.4027133449</v>
      </c>
      <c r="F4" s="4" t="s">
        <v>24</v>
      </c>
      <c r="G4" s="4" t="s">
        <v>76</v>
      </c>
      <c r="H4" s="28">
        <v>1</v>
      </c>
      <c r="I4" s="6">
        <v>9.9</v>
      </c>
      <c r="J4" s="14">
        <v>9.9</v>
      </c>
      <c r="K4" s="14">
        <v>1</v>
      </c>
      <c r="L4" s="14">
        <v>9.9</v>
      </c>
      <c r="M4" s="14"/>
      <c r="N4" s="14"/>
      <c r="O4" s="6" t="s">
        <v>45</v>
      </c>
      <c r="P4" s="6" t="s">
        <v>77</v>
      </c>
    </row>
    <row r="5" ht="22.5" customHeight="1" spans="1:16">
      <c r="A5" s="4" t="s">
        <v>61</v>
      </c>
      <c r="B5" s="4" t="s">
        <v>62</v>
      </c>
      <c r="C5" s="4" t="s">
        <v>159</v>
      </c>
      <c r="D5" s="5" t="s">
        <v>160</v>
      </c>
      <c r="E5" s="8">
        <v>46086.6028122338</v>
      </c>
      <c r="F5" s="4" t="s">
        <v>24</v>
      </c>
      <c r="G5" s="4" t="s">
        <v>25</v>
      </c>
      <c r="H5" s="28">
        <v>19</v>
      </c>
      <c r="I5" s="6">
        <v>3.3</v>
      </c>
      <c r="J5" s="14">
        <f t="shared" ref="J4:J21" si="0">H5*I5</f>
        <v>62.7</v>
      </c>
      <c r="K5" s="28">
        <v>19</v>
      </c>
      <c r="L5" s="14">
        <v>62.7</v>
      </c>
      <c r="M5" s="14"/>
      <c r="N5" s="14"/>
      <c r="O5" s="6" t="s">
        <v>45</v>
      </c>
      <c r="P5" s="6" t="s">
        <v>46</v>
      </c>
    </row>
    <row r="6" ht="22.5" customHeight="1" spans="1:16">
      <c r="A6" s="4" t="s">
        <v>61</v>
      </c>
      <c r="B6" s="4" t="s">
        <v>62</v>
      </c>
      <c r="C6" s="4" t="s">
        <v>159</v>
      </c>
      <c r="D6" s="5" t="s">
        <v>160</v>
      </c>
      <c r="E6" s="8">
        <v>46086.6028122338</v>
      </c>
      <c r="F6" s="4" t="s">
        <v>20</v>
      </c>
      <c r="G6" s="4" t="s">
        <v>21</v>
      </c>
      <c r="H6" s="28">
        <v>1</v>
      </c>
      <c r="I6" s="6">
        <v>3.3</v>
      </c>
      <c r="J6" s="14">
        <f t="shared" si="0"/>
        <v>3.3</v>
      </c>
      <c r="K6" s="28">
        <v>1</v>
      </c>
      <c r="L6" s="14">
        <f>K6*3.3</f>
        <v>3.3</v>
      </c>
      <c r="M6" s="14"/>
      <c r="N6" s="14"/>
      <c r="O6" s="6" t="s">
        <v>45</v>
      </c>
      <c r="P6" s="6" t="s">
        <v>46</v>
      </c>
    </row>
    <row r="7" ht="22.5" customHeight="1" spans="1:16">
      <c r="A7" s="4" t="s">
        <v>61</v>
      </c>
      <c r="B7" s="4" t="s">
        <v>62</v>
      </c>
      <c r="C7" s="4" t="s">
        <v>161</v>
      </c>
      <c r="D7" s="5" t="s">
        <v>160</v>
      </c>
      <c r="E7" s="8">
        <v>46086.6028145833</v>
      </c>
      <c r="F7" s="4" t="s">
        <v>20</v>
      </c>
      <c r="G7" s="4" t="s">
        <v>21</v>
      </c>
      <c r="H7" s="28">
        <v>1</v>
      </c>
      <c r="I7" s="6">
        <v>3.3</v>
      </c>
      <c r="J7" s="14">
        <f t="shared" si="0"/>
        <v>3.3</v>
      </c>
      <c r="K7" s="28">
        <v>1</v>
      </c>
      <c r="L7" s="14">
        <f t="shared" ref="L7:L12" si="1">K7*3.3</f>
        <v>3.3</v>
      </c>
      <c r="M7" s="14"/>
      <c r="N7" s="14"/>
      <c r="O7" s="6" t="s">
        <v>45</v>
      </c>
      <c r="P7" s="6" t="s">
        <v>46</v>
      </c>
    </row>
    <row r="8" ht="22.5" customHeight="1" spans="1:16">
      <c r="A8" s="4" t="s">
        <v>61</v>
      </c>
      <c r="B8" s="4" t="s">
        <v>62</v>
      </c>
      <c r="C8" s="4" t="s">
        <v>161</v>
      </c>
      <c r="D8" s="5" t="s">
        <v>160</v>
      </c>
      <c r="E8" s="8">
        <v>46086.6028145833</v>
      </c>
      <c r="F8" s="4" t="s">
        <v>24</v>
      </c>
      <c r="G8" s="4" t="s">
        <v>25</v>
      </c>
      <c r="H8" s="28">
        <v>46</v>
      </c>
      <c r="I8" s="6">
        <v>3.3</v>
      </c>
      <c r="J8" s="14">
        <f t="shared" si="0"/>
        <v>151.8</v>
      </c>
      <c r="K8" s="28">
        <v>46</v>
      </c>
      <c r="L8" s="14">
        <f t="shared" si="1"/>
        <v>151.8</v>
      </c>
      <c r="M8" s="14"/>
      <c r="N8" s="14"/>
      <c r="O8" s="6" t="s">
        <v>45</v>
      </c>
      <c r="P8" s="6" t="s">
        <v>46</v>
      </c>
    </row>
    <row r="9" ht="22.5" customHeight="1" spans="1:16">
      <c r="A9" s="4" t="s">
        <v>61</v>
      </c>
      <c r="B9" s="4" t="s">
        <v>62</v>
      </c>
      <c r="C9" s="4" t="s">
        <v>162</v>
      </c>
      <c r="D9" s="5" t="s">
        <v>160</v>
      </c>
      <c r="E9" s="8">
        <v>46086.6028166319</v>
      </c>
      <c r="F9" s="4" t="s">
        <v>24</v>
      </c>
      <c r="G9" s="4" t="s">
        <v>25</v>
      </c>
      <c r="H9" s="28">
        <v>45</v>
      </c>
      <c r="I9" s="6">
        <v>3.3</v>
      </c>
      <c r="J9" s="14">
        <f t="shared" si="0"/>
        <v>148.5</v>
      </c>
      <c r="K9" s="28">
        <v>45</v>
      </c>
      <c r="L9" s="14">
        <f t="shared" si="1"/>
        <v>148.5</v>
      </c>
      <c r="M9" s="14"/>
      <c r="N9" s="14"/>
      <c r="O9" s="6" t="s">
        <v>45</v>
      </c>
      <c r="P9" s="6" t="s">
        <v>46</v>
      </c>
    </row>
    <row r="10" ht="22.5" customHeight="1" spans="1:16">
      <c r="A10" s="4" t="s">
        <v>61</v>
      </c>
      <c r="B10" s="4" t="s">
        <v>62</v>
      </c>
      <c r="C10" s="4" t="s">
        <v>162</v>
      </c>
      <c r="D10" s="5" t="s">
        <v>160</v>
      </c>
      <c r="E10" s="8">
        <v>46086.6028166319</v>
      </c>
      <c r="F10" s="4" t="s">
        <v>20</v>
      </c>
      <c r="G10" s="4" t="s">
        <v>21</v>
      </c>
      <c r="H10" s="28">
        <v>1</v>
      </c>
      <c r="I10" s="6">
        <v>3.3</v>
      </c>
      <c r="J10" s="14">
        <f t="shared" si="0"/>
        <v>3.3</v>
      </c>
      <c r="K10" s="28">
        <v>1</v>
      </c>
      <c r="L10" s="14">
        <f t="shared" si="1"/>
        <v>3.3</v>
      </c>
      <c r="M10" s="14"/>
      <c r="N10" s="14"/>
      <c r="O10" s="6" t="s">
        <v>45</v>
      </c>
      <c r="P10" s="6" t="s">
        <v>46</v>
      </c>
    </row>
    <row r="11" ht="22.5" customHeight="1" spans="1:16">
      <c r="A11" s="4" t="s">
        <v>61</v>
      </c>
      <c r="B11" s="4" t="s">
        <v>62</v>
      </c>
      <c r="C11" s="4" t="s">
        <v>163</v>
      </c>
      <c r="D11" s="5" t="s">
        <v>160</v>
      </c>
      <c r="E11" s="8">
        <v>46086.6028186343</v>
      </c>
      <c r="F11" s="4" t="s">
        <v>20</v>
      </c>
      <c r="G11" s="4" t="s">
        <v>21</v>
      </c>
      <c r="H11" s="28">
        <v>1</v>
      </c>
      <c r="I11" s="6">
        <v>3.3</v>
      </c>
      <c r="J11" s="14">
        <f t="shared" si="0"/>
        <v>3.3</v>
      </c>
      <c r="K11" s="28">
        <v>1</v>
      </c>
      <c r="L11" s="14">
        <f t="shared" si="1"/>
        <v>3.3</v>
      </c>
      <c r="M11" s="14"/>
      <c r="N11" s="14"/>
      <c r="O11" s="6" t="s">
        <v>45</v>
      </c>
      <c r="P11" s="6" t="s">
        <v>46</v>
      </c>
    </row>
    <row r="12" ht="22.5" customHeight="1" spans="1:16">
      <c r="A12" s="4" t="s">
        <v>61</v>
      </c>
      <c r="B12" s="4" t="s">
        <v>62</v>
      </c>
      <c r="C12" s="4" t="s">
        <v>163</v>
      </c>
      <c r="D12" s="5" t="s">
        <v>160</v>
      </c>
      <c r="E12" s="8">
        <v>46086.6028186343</v>
      </c>
      <c r="F12" s="4" t="s">
        <v>24</v>
      </c>
      <c r="G12" s="4" t="s">
        <v>25</v>
      </c>
      <c r="H12" s="28">
        <v>17</v>
      </c>
      <c r="I12" s="6">
        <v>3.3</v>
      </c>
      <c r="J12" s="14">
        <f t="shared" si="0"/>
        <v>56.1</v>
      </c>
      <c r="K12" s="28">
        <v>17</v>
      </c>
      <c r="L12" s="14">
        <f t="shared" si="1"/>
        <v>56.1</v>
      </c>
      <c r="M12" s="14"/>
      <c r="N12" s="14"/>
      <c r="O12" s="6" t="s">
        <v>45</v>
      </c>
      <c r="P12" s="6" t="s">
        <v>46</v>
      </c>
    </row>
    <row r="13" ht="22.5" customHeight="1" spans="1:16">
      <c r="A13" s="4" t="s">
        <v>16</v>
      </c>
      <c r="B13" s="4" t="s">
        <v>17</v>
      </c>
      <c r="C13" s="4" t="s">
        <v>164</v>
      </c>
      <c r="D13" s="5" t="s">
        <v>165</v>
      </c>
      <c r="E13" s="8">
        <v>46086.9103048611</v>
      </c>
      <c r="F13" s="4" t="s">
        <v>24</v>
      </c>
      <c r="G13" s="4" t="s">
        <v>25</v>
      </c>
      <c r="H13" s="28">
        <v>39</v>
      </c>
      <c r="I13" s="6">
        <v>3.3</v>
      </c>
      <c r="J13" s="14">
        <f t="shared" si="0"/>
        <v>128.7</v>
      </c>
      <c r="K13" s="14">
        <v>39</v>
      </c>
      <c r="L13" s="14">
        <v>128.7</v>
      </c>
      <c r="M13" s="14"/>
      <c r="N13" s="14"/>
      <c r="O13" s="6" t="s">
        <v>45</v>
      </c>
      <c r="P13" s="6" t="s">
        <v>46</v>
      </c>
    </row>
    <row r="14" ht="22.5" customHeight="1" spans="1:16">
      <c r="A14" s="4" t="s">
        <v>16</v>
      </c>
      <c r="B14" s="4" t="s">
        <v>17</v>
      </c>
      <c r="C14" s="4" t="s">
        <v>164</v>
      </c>
      <c r="D14" s="5" t="s">
        <v>165</v>
      </c>
      <c r="E14" s="8">
        <v>46086.9103048611</v>
      </c>
      <c r="F14" s="4" t="s">
        <v>20</v>
      </c>
      <c r="G14" s="4" t="s">
        <v>21</v>
      </c>
      <c r="H14" s="28">
        <v>1</v>
      </c>
      <c r="I14" s="6">
        <v>3.3</v>
      </c>
      <c r="J14" s="14">
        <f t="shared" si="0"/>
        <v>3.3</v>
      </c>
      <c r="K14" s="14">
        <v>1</v>
      </c>
      <c r="L14" s="14">
        <v>3.3</v>
      </c>
      <c r="M14" s="14"/>
      <c r="N14" s="14"/>
      <c r="O14" s="6" t="s">
        <v>45</v>
      </c>
      <c r="P14" s="6" t="s">
        <v>46</v>
      </c>
    </row>
    <row r="15" ht="22.5" customHeight="1" spans="1:16">
      <c r="A15" s="4" t="s">
        <v>16</v>
      </c>
      <c r="B15" s="4" t="s">
        <v>17</v>
      </c>
      <c r="C15" s="4" t="s">
        <v>166</v>
      </c>
      <c r="D15" s="5" t="s">
        <v>165</v>
      </c>
      <c r="E15" s="8">
        <v>46086.9103092593</v>
      </c>
      <c r="F15" s="4" t="s">
        <v>24</v>
      </c>
      <c r="G15" s="4" t="s">
        <v>25</v>
      </c>
      <c r="H15" s="28">
        <v>14</v>
      </c>
      <c r="I15" s="6">
        <v>3.3</v>
      </c>
      <c r="J15" s="14">
        <f t="shared" si="0"/>
        <v>46.2</v>
      </c>
      <c r="K15" s="14">
        <v>14</v>
      </c>
      <c r="L15" s="14">
        <v>46.2</v>
      </c>
      <c r="M15" s="14"/>
      <c r="N15" s="14"/>
      <c r="O15" s="6" t="s">
        <v>45</v>
      </c>
      <c r="P15" s="6" t="s">
        <v>46</v>
      </c>
    </row>
    <row r="16" ht="22.5" customHeight="1" spans="1:16">
      <c r="A16" s="4" t="s">
        <v>16</v>
      </c>
      <c r="B16" s="4" t="s">
        <v>17</v>
      </c>
      <c r="C16" s="4" t="s">
        <v>166</v>
      </c>
      <c r="D16" s="5" t="s">
        <v>165</v>
      </c>
      <c r="E16" s="8">
        <v>46086.9103092593</v>
      </c>
      <c r="F16" s="4" t="s">
        <v>24</v>
      </c>
      <c r="G16" s="4" t="s">
        <v>49</v>
      </c>
      <c r="H16" s="28">
        <v>19</v>
      </c>
      <c r="I16" s="6">
        <v>3.3</v>
      </c>
      <c r="J16" s="14">
        <f t="shared" si="0"/>
        <v>62.7</v>
      </c>
      <c r="K16" s="14">
        <v>19</v>
      </c>
      <c r="L16" s="14">
        <v>62.7</v>
      </c>
      <c r="M16" s="14"/>
      <c r="N16" s="14"/>
      <c r="O16" s="6" t="s">
        <v>45</v>
      </c>
      <c r="P16" s="6" t="s">
        <v>46</v>
      </c>
    </row>
    <row r="17" ht="22.5" customHeight="1" spans="1:16">
      <c r="A17" s="4" t="s">
        <v>16</v>
      </c>
      <c r="B17" s="4" t="s">
        <v>17</v>
      </c>
      <c r="C17" s="4" t="s">
        <v>166</v>
      </c>
      <c r="D17" s="5" t="s">
        <v>165</v>
      </c>
      <c r="E17" s="8">
        <v>46086.9103092593</v>
      </c>
      <c r="F17" s="4" t="s">
        <v>24</v>
      </c>
      <c r="G17" s="4" t="s">
        <v>41</v>
      </c>
      <c r="H17" s="28">
        <v>72</v>
      </c>
      <c r="I17" s="6">
        <v>120</v>
      </c>
      <c r="J17" s="14">
        <v>120</v>
      </c>
      <c r="K17" s="14">
        <v>72</v>
      </c>
      <c r="L17" s="14">
        <v>120</v>
      </c>
      <c r="M17" s="14"/>
      <c r="N17" s="14"/>
      <c r="O17" s="6" t="s">
        <v>45</v>
      </c>
      <c r="P17" s="6" t="s">
        <v>46</v>
      </c>
    </row>
    <row r="18" ht="22.5" customHeight="1" spans="1:16">
      <c r="A18" s="4" t="s">
        <v>16</v>
      </c>
      <c r="B18" s="4" t="s">
        <v>17</v>
      </c>
      <c r="C18" s="4" t="s">
        <v>166</v>
      </c>
      <c r="D18" s="5" t="s">
        <v>165</v>
      </c>
      <c r="E18" s="8">
        <v>46086.9103092593</v>
      </c>
      <c r="F18" s="4" t="s">
        <v>20</v>
      </c>
      <c r="G18" s="4" t="s">
        <v>21</v>
      </c>
      <c r="H18" s="28">
        <v>1</v>
      </c>
      <c r="I18" s="6">
        <v>3.3</v>
      </c>
      <c r="J18" s="14">
        <f t="shared" si="0"/>
        <v>3.3</v>
      </c>
      <c r="K18" s="14">
        <v>1</v>
      </c>
      <c r="L18" s="14">
        <v>3.3</v>
      </c>
      <c r="M18" s="14"/>
      <c r="N18" s="14"/>
      <c r="O18" s="6" t="s">
        <v>45</v>
      </c>
      <c r="P18" s="6" t="s">
        <v>46</v>
      </c>
    </row>
    <row r="19" ht="22.5" customHeight="1" spans="1:16">
      <c r="A19" s="4" t="s">
        <v>16</v>
      </c>
      <c r="B19" s="4" t="s">
        <v>17</v>
      </c>
      <c r="C19" s="4" t="s">
        <v>167</v>
      </c>
      <c r="D19" s="5" t="s">
        <v>165</v>
      </c>
      <c r="E19" s="8">
        <v>46086.9103133449</v>
      </c>
      <c r="F19" s="4" t="s">
        <v>24</v>
      </c>
      <c r="G19" s="4" t="s">
        <v>25</v>
      </c>
      <c r="H19" s="28">
        <v>17</v>
      </c>
      <c r="I19" s="6">
        <v>3.3</v>
      </c>
      <c r="J19" s="14">
        <f t="shared" si="0"/>
        <v>56.1</v>
      </c>
      <c r="K19" s="14">
        <v>17</v>
      </c>
      <c r="L19" s="14">
        <v>56.1</v>
      </c>
      <c r="M19" s="14"/>
      <c r="N19" s="14"/>
      <c r="O19" s="6" t="s">
        <v>45</v>
      </c>
      <c r="P19" s="6" t="s">
        <v>46</v>
      </c>
    </row>
    <row r="20" ht="22.5" customHeight="1" spans="1:16">
      <c r="A20" s="4" t="s">
        <v>16</v>
      </c>
      <c r="B20" s="4" t="s">
        <v>17</v>
      </c>
      <c r="C20" s="4" t="s">
        <v>167</v>
      </c>
      <c r="D20" s="5" t="s">
        <v>165</v>
      </c>
      <c r="E20" s="8">
        <v>46086.9103133449</v>
      </c>
      <c r="F20" s="4" t="s">
        <v>24</v>
      </c>
      <c r="G20" s="4" t="s">
        <v>41</v>
      </c>
      <c r="H20" s="28">
        <v>24</v>
      </c>
      <c r="I20" s="6">
        <v>30</v>
      </c>
      <c r="J20" s="14">
        <v>30</v>
      </c>
      <c r="K20" s="14">
        <v>24</v>
      </c>
      <c r="L20" s="14">
        <v>30</v>
      </c>
      <c r="M20" s="14"/>
      <c r="N20" s="14"/>
      <c r="O20" s="6" t="s">
        <v>45</v>
      </c>
      <c r="P20" s="6" t="s">
        <v>46</v>
      </c>
    </row>
    <row r="21" ht="22.5" customHeight="1" spans="1:16">
      <c r="A21" s="4" t="s">
        <v>16</v>
      </c>
      <c r="B21" s="4" t="s">
        <v>17</v>
      </c>
      <c r="C21" s="4" t="s">
        <v>167</v>
      </c>
      <c r="D21" s="5" t="s">
        <v>165</v>
      </c>
      <c r="E21" s="8">
        <v>46086.9103133449</v>
      </c>
      <c r="F21" s="4" t="s">
        <v>20</v>
      </c>
      <c r="G21" s="4" t="s">
        <v>21</v>
      </c>
      <c r="H21" s="28">
        <v>1</v>
      </c>
      <c r="I21" s="6">
        <v>3.3</v>
      </c>
      <c r="J21" s="14">
        <f t="shared" si="0"/>
        <v>3.3</v>
      </c>
      <c r="K21" s="14">
        <v>1</v>
      </c>
      <c r="L21" s="14">
        <v>3.3</v>
      </c>
      <c r="M21" s="14"/>
      <c r="N21" s="14"/>
      <c r="O21" s="6" t="s">
        <v>45</v>
      </c>
      <c r="P21" s="6" t="s">
        <v>46</v>
      </c>
    </row>
    <row r="22" spans="1:16">
      <c r="A22" s="15"/>
      <c r="B22" s="15"/>
      <c r="C22" s="15"/>
      <c r="D22" s="15"/>
      <c r="E22" s="15"/>
      <c r="F22" s="15"/>
      <c r="G22" s="15"/>
      <c r="H22" s="15">
        <f t="shared" ref="H22:N22" si="2">SUM(H2:H21)</f>
        <v>326</v>
      </c>
      <c r="I22" s="15">
        <f t="shared" si="2"/>
        <v>216</v>
      </c>
      <c r="J22" s="16">
        <f t="shared" si="2"/>
        <v>915.6</v>
      </c>
      <c r="K22" s="16">
        <f t="shared" si="2"/>
        <v>326</v>
      </c>
      <c r="L22" s="16">
        <f t="shared" si="2"/>
        <v>915.6</v>
      </c>
      <c r="M22" s="16">
        <f t="shared" si="2"/>
        <v>0</v>
      </c>
      <c r="N22" s="16">
        <f t="shared" si="2"/>
        <v>0</v>
      </c>
      <c r="O22" s="15"/>
      <c r="P22" s="15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opLeftCell="C1" workbookViewId="0">
      <selection activeCell="D1" sqref="D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26.3416666666667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30</v>
      </c>
      <c r="B2" s="4" t="s">
        <v>42</v>
      </c>
      <c r="C2" s="4" t="s">
        <v>168</v>
      </c>
      <c r="D2" s="5" t="s">
        <v>169</v>
      </c>
      <c r="E2" s="8">
        <v>46087.4590207523</v>
      </c>
      <c r="F2" s="4" t="s">
        <v>24</v>
      </c>
      <c r="G2" s="4" t="s">
        <v>25</v>
      </c>
      <c r="H2" s="28">
        <v>37</v>
      </c>
      <c r="I2" s="6">
        <v>3.3</v>
      </c>
      <c r="J2" s="14">
        <f t="shared" ref="J2:J10" si="0">H2*I2</f>
        <v>122.1</v>
      </c>
      <c r="K2" s="14">
        <v>37</v>
      </c>
      <c r="L2" s="14">
        <v>122.1</v>
      </c>
      <c r="M2" s="14"/>
      <c r="N2" s="14"/>
      <c r="O2" s="6" t="s">
        <v>51</v>
      </c>
      <c r="P2" s="6" t="s">
        <v>52</v>
      </c>
    </row>
    <row r="3" ht="22.5" customHeight="1" spans="1:16">
      <c r="A3" s="4" t="s">
        <v>30</v>
      </c>
      <c r="B3" s="4" t="s">
        <v>42</v>
      </c>
      <c r="C3" s="4" t="s">
        <v>168</v>
      </c>
      <c r="D3" s="5" t="s">
        <v>169</v>
      </c>
      <c r="E3" s="8">
        <v>46087.4590207523</v>
      </c>
      <c r="F3" s="4" t="s">
        <v>20</v>
      </c>
      <c r="G3" s="4" t="s">
        <v>21</v>
      </c>
      <c r="H3" s="28">
        <v>1</v>
      </c>
      <c r="I3" s="6">
        <v>3.3</v>
      </c>
      <c r="J3" s="14">
        <f t="shared" si="0"/>
        <v>3.3</v>
      </c>
      <c r="K3" s="14">
        <v>1</v>
      </c>
      <c r="L3" s="14">
        <v>3.3</v>
      </c>
      <c r="M3" s="14"/>
      <c r="N3" s="14"/>
      <c r="O3" s="6" t="s">
        <v>51</v>
      </c>
      <c r="P3" s="6" t="s">
        <v>52</v>
      </c>
    </row>
    <row r="4" ht="22.5" customHeight="1" spans="1:16">
      <c r="A4" s="4" t="s">
        <v>30</v>
      </c>
      <c r="B4" s="4" t="s">
        <v>42</v>
      </c>
      <c r="C4" s="4" t="s">
        <v>170</v>
      </c>
      <c r="D4" s="5" t="s">
        <v>169</v>
      </c>
      <c r="E4" s="8">
        <v>46087.4590264699</v>
      </c>
      <c r="F4" s="4" t="s">
        <v>20</v>
      </c>
      <c r="G4" s="4" t="s">
        <v>21</v>
      </c>
      <c r="H4" s="28">
        <v>1</v>
      </c>
      <c r="I4" s="6">
        <v>3.3</v>
      </c>
      <c r="J4" s="14">
        <f t="shared" si="0"/>
        <v>3.3</v>
      </c>
      <c r="K4" s="14">
        <v>1</v>
      </c>
      <c r="L4" s="14">
        <v>3.3</v>
      </c>
      <c r="M4" s="14"/>
      <c r="N4" s="14"/>
      <c r="O4" s="6" t="s">
        <v>51</v>
      </c>
      <c r="P4" s="6" t="s">
        <v>52</v>
      </c>
    </row>
    <row r="5" ht="22.5" customHeight="1" spans="1:16">
      <c r="A5" s="4" t="s">
        <v>30</v>
      </c>
      <c r="B5" s="4" t="s">
        <v>42</v>
      </c>
      <c r="C5" s="4" t="s">
        <v>170</v>
      </c>
      <c r="D5" s="5" t="s">
        <v>169</v>
      </c>
      <c r="E5" s="8">
        <v>46087.4590264699</v>
      </c>
      <c r="F5" s="4" t="s">
        <v>24</v>
      </c>
      <c r="G5" s="4" t="s">
        <v>25</v>
      </c>
      <c r="H5" s="28">
        <v>13</v>
      </c>
      <c r="I5" s="6">
        <v>3.3</v>
      </c>
      <c r="J5" s="14">
        <f t="shared" si="0"/>
        <v>42.9</v>
      </c>
      <c r="K5" s="14">
        <v>13</v>
      </c>
      <c r="L5" s="14">
        <v>42.9</v>
      </c>
      <c r="M5" s="14"/>
      <c r="N5" s="14"/>
      <c r="O5" s="6" t="s">
        <v>51</v>
      </c>
      <c r="P5" s="6" t="s">
        <v>52</v>
      </c>
    </row>
    <row r="6" ht="22.5" customHeight="1" spans="1:16">
      <c r="A6" s="4" t="s">
        <v>30</v>
      </c>
      <c r="B6" s="4" t="s">
        <v>42</v>
      </c>
      <c r="C6" s="4" t="s">
        <v>171</v>
      </c>
      <c r="D6" s="5" t="s">
        <v>19</v>
      </c>
      <c r="E6" s="8">
        <v>46087.7846357639</v>
      </c>
      <c r="F6" s="4" t="s">
        <v>24</v>
      </c>
      <c r="G6" s="4" t="s">
        <v>76</v>
      </c>
      <c r="H6" s="28">
        <v>40</v>
      </c>
      <c r="I6" s="6">
        <v>3.3</v>
      </c>
      <c r="J6" s="14">
        <f t="shared" si="0"/>
        <v>132</v>
      </c>
      <c r="K6" s="14">
        <v>31</v>
      </c>
      <c r="L6" s="14">
        <f>K6*3.3</f>
        <v>102.3</v>
      </c>
      <c r="M6" s="14">
        <v>9</v>
      </c>
      <c r="N6" s="14">
        <f>M6*3.3</f>
        <v>29.7</v>
      </c>
      <c r="O6" s="6" t="s">
        <v>45</v>
      </c>
      <c r="P6" s="6" t="s">
        <v>46</v>
      </c>
    </row>
    <row r="7" ht="22.5" customHeight="1" spans="1:16">
      <c r="A7" s="4" t="s">
        <v>30</v>
      </c>
      <c r="B7" s="4" t="s">
        <v>42</v>
      </c>
      <c r="C7" s="4" t="s">
        <v>171</v>
      </c>
      <c r="D7" s="5" t="s">
        <v>19</v>
      </c>
      <c r="E7" s="8">
        <v>46087.7846357639</v>
      </c>
      <c r="F7" s="4" t="s">
        <v>20</v>
      </c>
      <c r="G7" s="4" t="s">
        <v>21</v>
      </c>
      <c r="H7" s="28">
        <v>1</v>
      </c>
      <c r="I7" s="6">
        <v>3.3</v>
      </c>
      <c r="J7" s="14">
        <f t="shared" si="0"/>
        <v>3.3</v>
      </c>
      <c r="K7" s="14">
        <v>1</v>
      </c>
      <c r="L7" s="14">
        <v>3.3</v>
      </c>
      <c r="M7" s="14"/>
      <c r="N7" s="14"/>
      <c r="O7" s="6" t="s">
        <v>45</v>
      </c>
      <c r="P7" s="6" t="s">
        <v>46</v>
      </c>
    </row>
    <row r="8" ht="22.5" customHeight="1" spans="1:16">
      <c r="A8" s="4" t="s">
        <v>30</v>
      </c>
      <c r="B8" s="4" t="s">
        <v>42</v>
      </c>
      <c r="C8" s="4" t="s">
        <v>172</v>
      </c>
      <c r="D8" s="5" t="s">
        <v>19</v>
      </c>
      <c r="E8" s="8">
        <v>46087.7846391204</v>
      </c>
      <c r="F8" s="4" t="s">
        <v>20</v>
      </c>
      <c r="G8" s="4" t="s">
        <v>21</v>
      </c>
      <c r="H8" s="28">
        <v>1</v>
      </c>
      <c r="I8" s="6">
        <v>3.3</v>
      </c>
      <c r="J8" s="14">
        <f t="shared" si="0"/>
        <v>3.3</v>
      </c>
      <c r="K8" s="14">
        <v>1</v>
      </c>
      <c r="L8" s="14">
        <v>3.3</v>
      </c>
      <c r="M8" s="14"/>
      <c r="N8" s="14"/>
      <c r="O8" s="6" t="s">
        <v>45</v>
      </c>
      <c r="P8" s="6" t="s">
        <v>46</v>
      </c>
    </row>
    <row r="9" ht="22.5" customHeight="1" spans="1:16">
      <c r="A9" s="4" t="s">
        <v>30</v>
      </c>
      <c r="B9" s="4" t="s">
        <v>42</v>
      </c>
      <c r="C9" s="4" t="s">
        <v>172</v>
      </c>
      <c r="D9" s="5" t="s">
        <v>19</v>
      </c>
      <c r="E9" s="8">
        <v>46087.7846391204</v>
      </c>
      <c r="F9" s="4" t="s">
        <v>24</v>
      </c>
      <c r="G9" s="4" t="s">
        <v>76</v>
      </c>
      <c r="H9" s="28">
        <v>6</v>
      </c>
      <c r="I9" s="6">
        <v>3.3</v>
      </c>
      <c r="J9" s="14">
        <f t="shared" si="0"/>
        <v>19.8</v>
      </c>
      <c r="K9" s="14">
        <v>6</v>
      </c>
      <c r="L9" s="14">
        <v>19.8</v>
      </c>
      <c r="M9" s="14"/>
      <c r="N9" s="14"/>
      <c r="O9" s="6" t="s">
        <v>45</v>
      </c>
      <c r="P9" s="6" t="s">
        <v>46</v>
      </c>
    </row>
    <row r="10" ht="22.5" customHeight="1" spans="1:16">
      <c r="A10" s="4" t="s">
        <v>61</v>
      </c>
      <c r="B10" s="4" t="s">
        <v>62</v>
      </c>
      <c r="C10" s="4" t="s">
        <v>173</v>
      </c>
      <c r="D10" s="5" t="s">
        <v>174</v>
      </c>
      <c r="E10" s="8">
        <v>46087.4708015394</v>
      </c>
      <c r="F10" s="4" t="s">
        <v>24</v>
      </c>
      <c r="G10" s="4" t="s">
        <v>49</v>
      </c>
      <c r="H10" s="28">
        <v>3</v>
      </c>
      <c r="I10" s="6">
        <v>3.3</v>
      </c>
      <c r="J10" s="14">
        <f t="shared" si="0"/>
        <v>9.9</v>
      </c>
      <c r="K10" s="14">
        <v>3</v>
      </c>
      <c r="L10" s="14">
        <v>9.9</v>
      </c>
      <c r="M10" s="14"/>
      <c r="N10" s="14"/>
      <c r="O10" s="6" t="s">
        <v>45</v>
      </c>
      <c r="P10" s="6" t="s">
        <v>175</v>
      </c>
    </row>
    <row r="11" ht="22.5" customHeight="1" spans="1:16">
      <c r="A11" s="4" t="s">
        <v>61</v>
      </c>
      <c r="B11" s="4" t="s">
        <v>62</v>
      </c>
      <c r="C11" s="4" t="s">
        <v>173</v>
      </c>
      <c r="D11" s="5" t="s">
        <v>174</v>
      </c>
      <c r="E11" s="8">
        <v>46087.4708015394</v>
      </c>
      <c r="F11" s="4" t="s">
        <v>24</v>
      </c>
      <c r="G11" s="4" t="s">
        <v>41</v>
      </c>
      <c r="H11" s="28">
        <v>138</v>
      </c>
      <c r="I11" s="6">
        <v>120</v>
      </c>
      <c r="J11" s="14">
        <v>120</v>
      </c>
      <c r="K11" s="14">
        <v>138</v>
      </c>
      <c r="L11" s="14">
        <v>120</v>
      </c>
      <c r="M11" s="14"/>
      <c r="N11" s="14"/>
      <c r="O11" s="6" t="s">
        <v>45</v>
      </c>
      <c r="P11" s="6" t="s">
        <v>175</v>
      </c>
    </row>
    <row r="12" ht="22.5" customHeight="1" spans="1:16">
      <c r="A12" s="4" t="s">
        <v>61</v>
      </c>
      <c r="B12" s="4" t="s">
        <v>62</v>
      </c>
      <c r="C12" s="4" t="s">
        <v>173</v>
      </c>
      <c r="D12" s="5" t="s">
        <v>174</v>
      </c>
      <c r="E12" s="8">
        <v>46087.4708015394</v>
      </c>
      <c r="F12" s="4" t="s">
        <v>24</v>
      </c>
      <c r="G12" s="4" t="s">
        <v>25</v>
      </c>
      <c r="H12" s="28">
        <v>20</v>
      </c>
      <c r="I12" s="6">
        <v>3.3</v>
      </c>
      <c r="J12" s="14">
        <f>H12*I12</f>
        <v>66</v>
      </c>
      <c r="K12" s="14">
        <v>20</v>
      </c>
      <c r="L12" s="14">
        <v>66</v>
      </c>
      <c r="M12" s="14"/>
      <c r="N12" s="14"/>
      <c r="O12" s="6" t="s">
        <v>45</v>
      </c>
      <c r="P12" s="6" t="s">
        <v>175</v>
      </c>
    </row>
    <row r="13" ht="22.5" customHeight="1" spans="1:16">
      <c r="A13" s="4" t="s">
        <v>61</v>
      </c>
      <c r="B13" s="4" t="s">
        <v>62</v>
      </c>
      <c r="C13" s="4" t="s">
        <v>173</v>
      </c>
      <c r="D13" s="5" t="s">
        <v>174</v>
      </c>
      <c r="E13" s="8">
        <v>46087.4708015394</v>
      </c>
      <c r="F13" s="4" t="s">
        <v>20</v>
      </c>
      <c r="G13" s="4" t="s">
        <v>21</v>
      </c>
      <c r="H13" s="28">
        <v>1</v>
      </c>
      <c r="I13" s="6">
        <v>3.3</v>
      </c>
      <c r="J13" s="14">
        <f>H13*I13</f>
        <v>3.3</v>
      </c>
      <c r="K13" s="14">
        <v>1</v>
      </c>
      <c r="L13" s="14">
        <v>3.3</v>
      </c>
      <c r="M13" s="14"/>
      <c r="N13" s="14"/>
      <c r="O13" s="6" t="s">
        <v>45</v>
      </c>
      <c r="P13" s="6" t="s">
        <v>175</v>
      </c>
    </row>
    <row r="14" ht="22.5" customHeight="1" spans="1:16">
      <c r="A14" s="4" t="s">
        <v>16</v>
      </c>
      <c r="B14" s="4" t="s">
        <v>17</v>
      </c>
      <c r="C14" s="4" t="s">
        <v>176</v>
      </c>
      <c r="D14" s="5" t="s">
        <v>96</v>
      </c>
      <c r="E14" s="8">
        <v>46087.7847201042</v>
      </c>
      <c r="F14" s="4" t="s">
        <v>24</v>
      </c>
      <c r="G14" s="4" t="s">
        <v>137</v>
      </c>
      <c r="H14" s="28">
        <v>23</v>
      </c>
      <c r="I14" s="6">
        <v>3.3</v>
      </c>
      <c r="J14" s="14">
        <f t="shared" ref="J9:J21" si="1">H14*I14</f>
        <v>75.9</v>
      </c>
      <c r="K14" s="14">
        <v>23</v>
      </c>
      <c r="L14" s="14">
        <f>K14*3.3</f>
        <v>75.9</v>
      </c>
      <c r="M14" s="14"/>
      <c r="N14" s="14"/>
      <c r="O14" s="6" t="s">
        <v>45</v>
      </c>
      <c r="P14" s="6" t="s">
        <v>46</v>
      </c>
    </row>
    <row r="15" ht="22.5" customHeight="1" spans="1:16">
      <c r="A15" s="4" t="s">
        <v>16</v>
      </c>
      <c r="B15" s="4" t="s">
        <v>17</v>
      </c>
      <c r="C15" s="4" t="s">
        <v>176</v>
      </c>
      <c r="D15" s="5" t="s">
        <v>96</v>
      </c>
      <c r="E15" s="8">
        <v>46087.7847201042</v>
      </c>
      <c r="F15" s="4" t="s">
        <v>20</v>
      </c>
      <c r="G15" s="4" t="s">
        <v>21</v>
      </c>
      <c r="H15" s="28">
        <v>1</v>
      </c>
      <c r="I15" s="6">
        <v>3.3</v>
      </c>
      <c r="J15" s="14">
        <f t="shared" si="1"/>
        <v>3.3</v>
      </c>
      <c r="K15" s="14">
        <v>1</v>
      </c>
      <c r="L15" s="14">
        <f t="shared" ref="L15:L21" si="2">K15*3.3</f>
        <v>3.3</v>
      </c>
      <c r="M15" s="14"/>
      <c r="N15" s="14"/>
      <c r="O15" s="6" t="s">
        <v>45</v>
      </c>
      <c r="P15" s="6" t="s">
        <v>46</v>
      </c>
    </row>
    <row r="16" ht="22.5" customHeight="1" spans="1:16">
      <c r="A16" s="4" t="s">
        <v>16</v>
      </c>
      <c r="B16" s="4" t="s">
        <v>17</v>
      </c>
      <c r="C16" s="4" t="s">
        <v>177</v>
      </c>
      <c r="D16" s="5" t="s">
        <v>96</v>
      </c>
      <c r="E16" s="8">
        <v>46087.7847227662</v>
      </c>
      <c r="F16" s="4" t="s">
        <v>20</v>
      </c>
      <c r="G16" s="4" t="s">
        <v>21</v>
      </c>
      <c r="H16" s="28">
        <v>1</v>
      </c>
      <c r="I16" s="6">
        <v>3.3</v>
      </c>
      <c r="J16" s="14">
        <f t="shared" si="1"/>
        <v>3.3</v>
      </c>
      <c r="K16" s="14">
        <v>1</v>
      </c>
      <c r="L16" s="14">
        <f t="shared" si="2"/>
        <v>3.3</v>
      </c>
      <c r="M16" s="14"/>
      <c r="N16" s="14"/>
      <c r="O16" s="6" t="s">
        <v>45</v>
      </c>
      <c r="P16" s="6" t="s">
        <v>46</v>
      </c>
    </row>
    <row r="17" ht="22.5" customHeight="1" spans="1:16">
      <c r="A17" s="4" t="s">
        <v>16</v>
      </c>
      <c r="B17" s="4" t="s">
        <v>17</v>
      </c>
      <c r="C17" s="4" t="s">
        <v>177</v>
      </c>
      <c r="D17" s="5" t="s">
        <v>96</v>
      </c>
      <c r="E17" s="8">
        <v>46087.7847227662</v>
      </c>
      <c r="F17" s="4" t="s">
        <v>24</v>
      </c>
      <c r="G17" s="4" t="s">
        <v>137</v>
      </c>
      <c r="H17" s="28">
        <v>22</v>
      </c>
      <c r="I17" s="6">
        <v>3.3</v>
      </c>
      <c r="J17" s="14">
        <f t="shared" si="1"/>
        <v>72.6</v>
      </c>
      <c r="K17" s="14">
        <v>22</v>
      </c>
      <c r="L17" s="14">
        <f t="shared" si="2"/>
        <v>72.6</v>
      </c>
      <c r="M17" s="14"/>
      <c r="N17" s="14"/>
      <c r="O17" s="6" t="s">
        <v>45</v>
      </c>
      <c r="P17" s="6" t="s">
        <v>46</v>
      </c>
    </row>
    <row r="18" ht="22.5" customHeight="1" spans="1:16">
      <c r="A18" s="4" t="s">
        <v>16</v>
      </c>
      <c r="B18" s="4" t="s">
        <v>17</v>
      </c>
      <c r="C18" s="4" t="s">
        <v>178</v>
      </c>
      <c r="D18" s="5" t="s">
        <v>96</v>
      </c>
      <c r="E18" s="8">
        <v>46087.7847252315</v>
      </c>
      <c r="F18" s="4" t="s">
        <v>24</v>
      </c>
      <c r="G18" s="4" t="s">
        <v>137</v>
      </c>
      <c r="H18" s="28">
        <v>12</v>
      </c>
      <c r="I18" s="6">
        <v>3.3</v>
      </c>
      <c r="J18" s="14">
        <f t="shared" si="1"/>
        <v>39.6</v>
      </c>
      <c r="K18" s="14">
        <v>12</v>
      </c>
      <c r="L18" s="14">
        <f t="shared" si="2"/>
        <v>39.6</v>
      </c>
      <c r="M18" s="14"/>
      <c r="N18" s="14"/>
      <c r="O18" s="6" t="s">
        <v>45</v>
      </c>
      <c r="P18" s="6" t="s">
        <v>46</v>
      </c>
    </row>
    <row r="19" ht="22.5" customHeight="1" spans="1:16">
      <c r="A19" s="4" t="s">
        <v>16</v>
      </c>
      <c r="B19" s="4" t="s">
        <v>17</v>
      </c>
      <c r="C19" s="4" t="s">
        <v>178</v>
      </c>
      <c r="D19" s="5" t="s">
        <v>96</v>
      </c>
      <c r="E19" s="8">
        <v>46087.7847252315</v>
      </c>
      <c r="F19" s="4" t="s">
        <v>20</v>
      </c>
      <c r="G19" s="4" t="s">
        <v>21</v>
      </c>
      <c r="H19" s="28">
        <v>1</v>
      </c>
      <c r="I19" s="6">
        <v>3.3</v>
      </c>
      <c r="J19" s="14">
        <f t="shared" si="1"/>
        <v>3.3</v>
      </c>
      <c r="K19" s="14">
        <v>1</v>
      </c>
      <c r="L19" s="14">
        <f t="shared" si="2"/>
        <v>3.3</v>
      </c>
      <c r="M19" s="14"/>
      <c r="N19" s="14"/>
      <c r="O19" s="6" t="s">
        <v>45</v>
      </c>
      <c r="P19" s="6" t="s">
        <v>46</v>
      </c>
    </row>
    <row r="20" ht="22.5" customHeight="1" spans="1:16">
      <c r="A20" s="4" t="s">
        <v>16</v>
      </c>
      <c r="B20" s="4" t="s">
        <v>17</v>
      </c>
      <c r="C20" s="4" t="s">
        <v>179</v>
      </c>
      <c r="D20" s="5" t="s">
        <v>96</v>
      </c>
      <c r="E20" s="8">
        <v>46087.784728044</v>
      </c>
      <c r="F20" s="4" t="s">
        <v>20</v>
      </c>
      <c r="G20" s="4" t="s">
        <v>21</v>
      </c>
      <c r="H20" s="28">
        <v>1</v>
      </c>
      <c r="I20" s="6">
        <v>3.3</v>
      </c>
      <c r="J20" s="14">
        <f t="shared" si="1"/>
        <v>3.3</v>
      </c>
      <c r="K20" s="14">
        <v>1</v>
      </c>
      <c r="L20" s="14">
        <f t="shared" si="2"/>
        <v>3.3</v>
      </c>
      <c r="M20" s="14"/>
      <c r="N20" s="14"/>
      <c r="O20" s="6" t="s">
        <v>45</v>
      </c>
      <c r="P20" s="6" t="s">
        <v>46</v>
      </c>
    </row>
    <row r="21" ht="22.5" customHeight="1" spans="1:16">
      <c r="A21" s="4" t="s">
        <v>16</v>
      </c>
      <c r="B21" s="4" t="s">
        <v>17</v>
      </c>
      <c r="C21" s="4" t="s">
        <v>179</v>
      </c>
      <c r="D21" s="5" t="s">
        <v>96</v>
      </c>
      <c r="E21" s="8">
        <v>46087.784728044</v>
      </c>
      <c r="F21" s="4" t="s">
        <v>24</v>
      </c>
      <c r="G21" s="4" t="s">
        <v>137</v>
      </c>
      <c r="H21" s="28">
        <v>26</v>
      </c>
      <c r="I21" s="6">
        <v>3.3</v>
      </c>
      <c r="J21" s="14">
        <f t="shared" si="1"/>
        <v>85.8</v>
      </c>
      <c r="K21" s="14">
        <v>26</v>
      </c>
      <c r="L21" s="14">
        <f t="shared" si="2"/>
        <v>85.8</v>
      </c>
      <c r="M21" s="14"/>
      <c r="N21" s="14"/>
      <c r="O21" s="6" t="s">
        <v>45</v>
      </c>
      <c r="P21" s="6" t="s">
        <v>46</v>
      </c>
    </row>
    <row r="22" spans="1:16">
      <c r="A22" s="15"/>
      <c r="B22" s="15"/>
      <c r="C22" s="15"/>
      <c r="D22" s="15"/>
      <c r="E22" s="15"/>
      <c r="F22" s="15"/>
      <c r="G22" s="15"/>
      <c r="H22" s="15">
        <f t="shared" ref="H22:N22" si="3">SUM(H2:H21)</f>
        <v>349</v>
      </c>
      <c r="I22" s="15">
        <f t="shared" si="3"/>
        <v>182.7</v>
      </c>
      <c r="J22" s="16">
        <f t="shared" si="3"/>
        <v>816.3</v>
      </c>
      <c r="K22" s="16">
        <f t="shared" si="3"/>
        <v>340</v>
      </c>
      <c r="L22" s="16">
        <f t="shared" si="3"/>
        <v>786.6</v>
      </c>
      <c r="M22" s="16">
        <f t="shared" si="3"/>
        <v>9</v>
      </c>
      <c r="N22" s="16">
        <f t="shared" si="3"/>
        <v>29.7</v>
      </c>
      <c r="O22" s="15"/>
      <c r="P22" s="15"/>
    </row>
  </sheetData>
  <autoFilter xmlns:etc="http://www.wps.cn/officeDocument/2017/etCustomData" ref="A1:A22" etc:filterBottomFollowUsedRange="0">
    <extLst/>
  </autoFilter>
  <sortState ref="A2:P22">
    <sortCondition ref="A2"/>
  </sortState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opLeftCell="C1" workbookViewId="0">
      <selection activeCell="I1" sqref="I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25.3416666666667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180</v>
      </c>
      <c r="D2" s="5" t="s">
        <v>48</v>
      </c>
      <c r="E2" s="8">
        <v>46090.6547886227</v>
      </c>
      <c r="F2" s="4" t="s">
        <v>20</v>
      </c>
      <c r="G2" s="4" t="s">
        <v>21</v>
      </c>
      <c r="H2" s="4">
        <v>1</v>
      </c>
      <c r="I2" s="14">
        <v>3.3</v>
      </c>
      <c r="J2" s="14">
        <f>H2*I2</f>
        <v>3.3</v>
      </c>
      <c r="K2" s="14">
        <v>1</v>
      </c>
      <c r="L2" s="14">
        <v>3.3</v>
      </c>
      <c r="M2" s="14"/>
      <c r="N2" s="14"/>
      <c r="O2" s="14" t="s">
        <v>45</v>
      </c>
      <c r="P2" s="6" t="s">
        <v>46</v>
      </c>
    </row>
    <row r="3" ht="22.5" customHeight="1" spans="1:16">
      <c r="A3" s="4" t="s">
        <v>16</v>
      </c>
      <c r="B3" s="4" t="s">
        <v>17</v>
      </c>
      <c r="C3" s="4" t="s">
        <v>180</v>
      </c>
      <c r="D3" s="5" t="s">
        <v>48</v>
      </c>
      <c r="E3" s="8">
        <v>46090.6547886227</v>
      </c>
      <c r="F3" s="4" t="s">
        <v>24</v>
      </c>
      <c r="G3" s="4" t="s">
        <v>137</v>
      </c>
      <c r="H3" s="4">
        <v>4</v>
      </c>
      <c r="I3" s="14">
        <v>3.3</v>
      </c>
      <c r="J3" s="14">
        <f>H3*I3</f>
        <v>13.2</v>
      </c>
      <c r="K3" s="14">
        <v>4</v>
      </c>
      <c r="L3" s="14">
        <v>13.2</v>
      </c>
      <c r="M3" s="14"/>
      <c r="N3" s="14"/>
      <c r="O3" s="14" t="s">
        <v>45</v>
      </c>
      <c r="P3" s="6" t="s">
        <v>46</v>
      </c>
    </row>
    <row r="4" ht="22.5" customHeight="1" spans="1:16">
      <c r="A4" s="4" t="s">
        <v>30</v>
      </c>
      <c r="B4" s="4" t="s">
        <v>42</v>
      </c>
      <c r="C4" s="4" t="s">
        <v>181</v>
      </c>
      <c r="D4" s="5" t="s">
        <v>182</v>
      </c>
      <c r="E4" s="8">
        <v>46090.799640544</v>
      </c>
      <c r="F4" s="4" t="s">
        <v>24</v>
      </c>
      <c r="G4" s="4" t="s">
        <v>25</v>
      </c>
      <c r="H4" s="4">
        <v>16</v>
      </c>
      <c r="I4" s="14">
        <v>3.3</v>
      </c>
      <c r="J4" s="14">
        <f>H4*I4</f>
        <v>52.8</v>
      </c>
      <c r="K4" s="14">
        <v>16</v>
      </c>
      <c r="L4" s="14">
        <v>52.8</v>
      </c>
      <c r="M4" s="14"/>
      <c r="N4" s="14"/>
      <c r="O4" s="14" t="s">
        <v>45</v>
      </c>
      <c r="P4" s="6" t="s">
        <v>46</v>
      </c>
    </row>
    <row r="5" ht="22.5" customHeight="1" spans="1:16">
      <c r="A5" s="4" t="s">
        <v>30</v>
      </c>
      <c r="B5" s="4" t="s">
        <v>42</v>
      </c>
      <c r="C5" s="4" t="s">
        <v>181</v>
      </c>
      <c r="D5" s="5" t="s">
        <v>182</v>
      </c>
      <c r="E5" s="8">
        <v>46090.799640544</v>
      </c>
      <c r="F5" s="4" t="s">
        <v>24</v>
      </c>
      <c r="G5" s="4" t="s">
        <v>41</v>
      </c>
      <c r="H5" s="4">
        <v>178</v>
      </c>
      <c r="I5" s="14">
        <v>120</v>
      </c>
      <c r="J5" s="14">
        <v>120</v>
      </c>
      <c r="K5" s="14">
        <v>178</v>
      </c>
      <c r="L5" s="14">
        <v>120</v>
      </c>
      <c r="M5" s="14"/>
      <c r="N5" s="14"/>
      <c r="O5" s="14" t="s">
        <v>45</v>
      </c>
      <c r="P5" s="6" t="s">
        <v>46</v>
      </c>
    </row>
    <row r="6" ht="22.5" customHeight="1" spans="1:16">
      <c r="A6" s="4" t="s">
        <v>30</v>
      </c>
      <c r="B6" s="4" t="s">
        <v>42</v>
      </c>
      <c r="C6" s="4" t="s">
        <v>181</v>
      </c>
      <c r="D6" s="5" t="s">
        <v>182</v>
      </c>
      <c r="E6" s="8">
        <v>46090.799640544</v>
      </c>
      <c r="F6" s="4" t="s">
        <v>24</v>
      </c>
      <c r="G6" s="4" t="s">
        <v>49</v>
      </c>
      <c r="H6" s="4">
        <v>3</v>
      </c>
      <c r="I6" s="14">
        <v>3.3</v>
      </c>
      <c r="J6" s="14">
        <f>H6*I6</f>
        <v>9.9</v>
      </c>
      <c r="K6" s="14">
        <v>3</v>
      </c>
      <c r="L6" s="14">
        <v>9.9</v>
      </c>
      <c r="M6" s="14"/>
      <c r="N6" s="14"/>
      <c r="O6" s="14" t="s">
        <v>45</v>
      </c>
      <c r="P6" s="6" t="s">
        <v>46</v>
      </c>
    </row>
    <row r="7" ht="22.5" customHeight="1" spans="1:16">
      <c r="A7" s="4" t="s">
        <v>30</v>
      </c>
      <c r="B7" s="4" t="s">
        <v>42</v>
      </c>
      <c r="C7" s="4" t="s">
        <v>181</v>
      </c>
      <c r="D7" s="5" t="s">
        <v>182</v>
      </c>
      <c r="E7" s="8">
        <v>46090.799640544</v>
      </c>
      <c r="F7" s="4" t="s">
        <v>20</v>
      </c>
      <c r="G7" s="4" t="s">
        <v>21</v>
      </c>
      <c r="H7" s="4">
        <v>1</v>
      </c>
      <c r="I7" s="14">
        <v>3.3</v>
      </c>
      <c r="J7" s="14">
        <f>H7*I7</f>
        <v>3.3</v>
      </c>
      <c r="K7" s="14">
        <v>1</v>
      </c>
      <c r="L7" s="14">
        <v>3.3</v>
      </c>
      <c r="M7" s="14"/>
      <c r="N7" s="14"/>
      <c r="O7" s="14" t="s">
        <v>45</v>
      </c>
      <c r="P7" s="6" t="s">
        <v>46</v>
      </c>
    </row>
    <row r="8" ht="22.5" customHeight="1" spans="1:16">
      <c r="A8" s="4" t="s">
        <v>30</v>
      </c>
      <c r="B8" s="4" t="s">
        <v>42</v>
      </c>
      <c r="C8" s="4" t="s">
        <v>183</v>
      </c>
      <c r="D8" s="5" t="s">
        <v>182</v>
      </c>
      <c r="E8" s="8">
        <v>46090.7996454051</v>
      </c>
      <c r="F8" s="4" t="s">
        <v>20</v>
      </c>
      <c r="G8" s="4" t="s">
        <v>21</v>
      </c>
      <c r="H8" s="4">
        <v>1</v>
      </c>
      <c r="I8" s="14">
        <v>3.3</v>
      </c>
      <c r="J8" s="14">
        <f>H8*I8</f>
        <v>3.3</v>
      </c>
      <c r="K8" s="14">
        <v>1</v>
      </c>
      <c r="L8" s="14">
        <v>3.3</v>
      </c>
      <c r="M8" s="14"/>
      <c r="N8" s="14"/>
      <c r="O8" s="14" t="s">
        <v>45</v>
      </c>
      <c r="P8" s="6" t="s">
        <v>46</v>
      </c>
    </row>
    <row r="9" ht="22.5" customHeight="1" spans="1:16">
      <c r="A9" s="4" t="s">
        <v>30</v>
      </c>
      <c r="B9" s="4" t="s">
        <v>42</v>
      </c>
      <c r="C9" s="4" t="s">
        <v>183</v>
      </c>
      <c r="D9" s="5" t="s">
        <v>182</v>
      </c>
      <c r="E9" s="8">
        <v>46090.7996454051</v>
      </c>
      <c r="F9" s="4" t="s">
        <v>24</v>
      </c>
      <c r="G9" s="4" t="s">
        <v>41</v>
      </c>
      <c r="H9" s="4">
        <v>158</v>
      </c>
      <c r="I9" s="14">
        <v>30</v>
      </c>
      <c r="J9" s="14">
        <v>30</v>
      </c>
      <c r="K9" s="14">
        <v>158</v>
      </c>
      <c r="L9" s="14">
        <v>30</v>
      </c>
      <c r="M9" s="14"/>
      <c r="N9" s="14"/>
      <c r="O9" s="14" t="s">
        <v>45</v>
      </c>
      <c r="P9" s="6" t="s">
        <v>46</v>
      </c>
    </row>
    <row r="10" ht="22.5" customHeight="1" spans="1:16">
      <c r="A10" s="4" t="s">
        <v>30</v>
      </c>
      <c r="B10" s="4" t="s">
        <v>42</v>
      </c>
      <c r="C10" s="4" t="s">
        <v>183</v>
      </c>
      <c r="D10" s="5" t="s">
        <v>182</v>
      </c>
      <c r="E10" s="8">
        <v>46090.7996454051</v>
      </c>
      <c r="F10" s="4" t="s">
        <v>24</v>
      </c>
      <c r="G10" s="4" t="s">
        <v>25</v>
      </c>
      <c r="H10" s="4">
        <v>14</v>
      </c>
      <c r="I10" s="14">
        <v>3.3</v>
      </c>
      <c r="J10" s="14">
        <f>H10*I10</f>
        <v>46.2</v>
      </c>
      <c r="K10" s="14">
        <v>14</v>
      </c>
      <c r="L10" s="14">
        <v>46.2</v>
      </c>
      <c r="M10" s="14"/>
      <c r="N10" s="14"/>
      <c r="O10" s="14" t="s">
        <v>45</v>
      </c>
      <c r="P10" s="6" t="s">
        <v>46</v>
      </c>
    </row>
    <row r="11" ht="22.5" customHeight="1" spans="1:16">
      <c r="A11" s="4" t="s">
        <v>30</v>
      </c>
      <c r="B11" s="4" t="s">
        <v>42</v>
      </c>
      <c r="C11" s="4" t="s">
        <v>184</v>
      </c>
      <c r="D11" s="5" t="s">
        <v>48</v>
      </c>
      <c r="E11" s="8">
        <v>46090.7996494213</v>
      </c>
      <c r="F11" s="4" t="s">
        <v>20</v>
      </c>
      <c r="G11" s="4" t="s">
        <v>21</v>
      </c>
      <c r="H11" s="4">
        <v>1</v>
      </c>
      <c r="I11" s="14">
        <v>3.3</v>
      </c>
      <c r="J11" s="14">
        <f>H11*I11</f>
        <v>3.3</v>
      </c>
      <c r="K11" s="14">
        <v>1</v>
      </c>
      <c r="L11" s="14">
        <v>3.3</v>
      </c>
      <c r="M11" s="14"/>
      <c r="N11" s="14"/>
      <c r="O11" s="14" t="s">
        <v>45</v>
      </c>
      <c r="P11" s="6" t="s">
        <v>46</v>
      </c>
    </row>
    <row r="12" ht="22.5" customHeight="1" spans="1:16">
      <c r="A12" s="4" t="s">
        <v>30</v>
      </c>
      <c r="B12" s="4" t="s">
        <v>42</v>
      </c>
      <c r="C12" s="4" t="s">
        <v>184</v>
      </c>
      <c r="D12" s="5" t="s">
        <v>48</v>
      </c>
      <c r="E12" s="8">
        <v>46090.7996494213</v>
      </c>
      <c r="F12" s="4" t="s">
        <v>24</v>
      </c>
      <c r="G12" s="4" t="s">
        <v>76</v>
      </c>
      <c r="H12" s="4">
        <v>18</v>
      </c>
      <c r="I12" s="14">
        <v>3.3</v>
      </c>
      <c r="J12" s="14">
        <f>H12*I12</f>
        <v>59.4</v>
      </c>
      <c r="K12" s="14">
        <v>18</v>
      </c>
      <c r="L12" s="14">
        <v>59.4</v>
      </c>
      <c r="M12" s="14"/>
      <c r="N12" s="14"/>
      <c r="O12" s="14" t="s">
        <v>45</v>
      </c>
      <c r="P12" s="6" t="s">
        <v>46</v>
      </c>
    </row>
    <row r="13" ht="22.5" customHeight="1" spans="1:16">
      <c r="A13" s="4" t="s">
        <v>30</v>
      </c>
      <c r="B13" s="4" t="s">
        <v>42</v>
      </c>
      <c r="C13" s="4" t="s">
        <v>184</v>
      </c>
      <c r="D13" s="5" t="s">
        <v>48</v>
      </c>
      <c r="E13" s="8">
        <v>46090.7996494213</v>
      </c>
      <c r="F13" s="4" t="s">
        <v>24</v>
      </c>
      <c r="G13" s="4" t="s">
        <v>49</v>
      </c>
      <c r="H13" s="4">
        <v>4</v>
      </c>
      <c r="I13" s="14">
        <v>3.3</v>
      </c>
      <c r="J13" s="14">
        <f>H13*I13</f>
        <v>13.2</v>
      </c>
      <c r="K13" s="14">
        <v>4</v>
      </c>
      <c r="L13" s="14">
        <v>13.2</v>
      </c>
      <c r="M13" s="14"/>
      <c r="N13" s="14"/>
      <c r="O13" s="14" t="s">
        <v>45</v>
      </c>
      <c r="P13" s="6" t="s">
        <v>46</v>
      </c>
    </row>
    <row r="14" ht="22.5" customHeight="1" spans="1:16">
      <c r="A14" s="4" t="s">
        <v>30</v>
      </c>
      <c r="B14" s="4" t="s">
        <v>42</v>
      </c>
      <c r="C14" s="4" t="s">
        <v>185</v>
      </c>
      <c r="D14" s="5" t="s">
        <v>48</v>
      </c>
      <c r="E14" s="8">
        <v>46090.799653588</v>
      </c>
      <c r="F14" s="4" t="s">
        <v>20</v>
      </c>
      <c r="G14" s="4" t="s">
        <v>21</v>
      </c>
      <c r="H14" s="4">
        <v>1</v>
      </c>
      <c r="I14" s="14">
        <v>3.3</v>
      </c>
      <c r="J14" s="14">
        <f>H14*I14</f>
        <v>3.3</v>
      </c>
      <c r="K14" s="14">
        <v>1</v>
      </c>
      <c r="L14" s="14">
        <v>3.3</v>
      </c>
      <c r="M14" s="14"/>
      <c r="N14" s="14"/>
      <c r="O14" s="14" t="s">
        <v>45</v>
      </c>
      <c r="P14" s="6" t="s">
        <v>46</v>
      </c>
    </row>
    <row r="15" ht="22.5" customHeight="1" spans="1:16">
      <c r="A15" s="4" t="s">
        <v>30</v>
      </c>
      <c r="B15" s="4" t="s">
        <v>42</v>
      </c>
      <c r="C15" s="4" t="s">
        <v>185</v>
      </c>
      <c r="D15" s="5" t="s">
        <v>48</v>
      </c>
      <c r="E15" s="8">
        <v>46090.799653588</v>
      </c>
      <c r="F15" s="4" t="s">
        <v>24</v>
      </c>
      <c r="G15" s="4" t="s">
        <v>41</v>
      </c>
      <c r="H15" s="4">
        <v>144</v>
      </c>
      <c r="I15" s="14">
        <v>30</v>
      </c>
      <c r="J15" s="14">
        <v>30</v>
      </c>
      <c r="K15" s="14">
        <v>144</v>
      </c>
      <c r="L15" s="14">
        <v>30</v>
      </c>
      <c r="M15" s="14"/>
      <c r="N15" s="14"/>
      <c r="O15" s="14" t="s">
        <v>45</v>
      </c>
      <c r="P15" s="6" t="s">
        <v>46</v>
      </c>
    </row>
    <row r="16" ht="22.5" customHeight="1" spans="1:16">
      <c r="A16" s="4" t="s">
        <v>61</v>
      </c>
      <c r="B16" s="4" t="s">
        <v>62</v>
      </c>
      <c r="C16" s="4" t="s">
        <v>186</v>
      </c>
      <c r="D16" s="5" t="s">
        <v>19</v>
      </c>
      <c r="E16" s="8">
        <v>46090.7997502662</v>
      </c>
      <c r="F16" s="4" t="s">
        <v>20</v>
      </c>
      <c r="G16" s="4" t="s">
        <v>21</v>
      </c>
      <c r="H16" s="4">
        <v>1</v>
      </c>
      <c r="I16" s="14">
        <v>3.3</v>
      </c>
      <c r="J16" s="14">
        <f>H16*I16</f>
        <v>3.3</v>
      </c>
      <c r="K16" s="14">
        <v>1</v>
      </c>
      <c r="L16" s="14">
        <v>3.3</v>
      </c>
      <c r="M16" s="14"/>
      <c r="N16" s="14"/>
      <c r="O16" s="14" t="s">
        <v>45</v>
      </c>
      <c r="P16" s="6" t="s">
        <v>46</v>
      </c>
    </row>
    <row r="17" ht="22.5" customHeight="1" spans="1:16">
      <c r="A17" s="4" t="s">
        <v>61</v>
      </c>
      <c r="B17" s="4" t="s">
        <v>62</v>
      </c>
      <c r="C17" s="4" t="s">
        <v>186</v>
      </c>
      <c r="D17" s="5" t="s">
        <v>19</v>
      </c>
      <c r="E17" s="8">
        <v>46090.7997502662</v>
      </c>
      <c r="F17" s="4" t="s">
        <v>24</v>
      </c>
      <c r="G17" s="4" t="s">
        <v>76</v>
      </c>
      <c r="H17" s="4">
        <v>29</v>
      </c>
      <c r="I17" s="14">
        <v>3.3</v>
      </c>
      <c r="J17" s="14">
        <f>H17*I17</f>
        <v>95.7</v>
      </c>
      <c r="K17" s="14">
        <v>20</v>
      </c>
      <c r="L17" s="14">
        <f>K17*3.3</f>
        <v>66</v>
      </c>
      <c r="M17" s="14">
        <v>9</v>
      </c>
      <c r="N17" s="14">
        <f>M17*3.3</f>
        <v>29.7</v>
      </c>
      <c r="O17" s="14" t="s">
        <v>45</v>
      </c>
      <c r="P17" s="6" t="s">
        <v>46</v>
      </c>
    </row>
    <row r="18" ht="22.5" customHeight="1" spans="1:16">
      <c r="A18" s="4" t="s">
        <v>61</v>
      </c>
      <c r="B18" s="4" t="s">
        <v>62</v>
      </c>
      <c r="C18" s="4" t="s">
        <v>187</v>
      </c>
      <c r="D18" s="5" t="s">
        <v>19</v>
      </c>
      <c r="E18" s="8">
        <v>46090.7997541667</v>
      </c>
      <c r="F18" s="4" t="s">
        <v>24</v>
      </c>
      <c r="G18" s="4" t="s">
        <v>76</v>
      </c>
      <c r="H18" s="4">
        <v>19</v>
      </c>
      <c r="I18" s="14">
        <v>3.3</v>
      </c>
      <c r="J18" s="14">
        <f>H18*I18</f>
        <v>62.7</v>
      </c>
      <c r="K18" s="14">
        <v>19</v>
      </c>
      <c r="L18" s="14">
        <v>62.7</v>
      </c>
      <c r="M18" s="14"/>
      <c r="N18" s="14"/>
      <c r="O18" s="14" t="s">
        <v>45</v>
      </c>
      <c r="P18" s="6" t="s">
        <v>46</v>
      </c>
    </row>
    <row r="19" ht="22.5" customHeight="1" spans="1:16">
      <c r="A19" s="4" t="s">
        <v>61</v>
      </c>
      <c r="B19" s="4" t="s">
        <v>62</v>
      </c>
      <c r="C19" s="4" t="s">
        <v>187</v>
      </c>
      <c r="D19" s="5" t="s">
        <v>19</v>
      </c>
      <c r="E19" s="8">
        <v>46090.7997541667</v>
      </c>
      <c r="F19" s="4" t="s">
        <v>20</v>
      </c>
      <c r="G19" s="4" t="s">
        <v>21</v>
      </c>
      <c r="H19" s="4">
        <v>1</v>
      </c>
      <c r="I19" s="14">
        <v>3.3</v>
      </c>
      <c r="J19" s="14">
        <f>H19*I19</f>
        <v>3.3</v>
      </c>
      <c r="K19" s="14">
        <v>1</v>
      </c>
      <c r="L19" s="14">
        <v>3.3</v>
      </c>
      <c r="M19" s="14"/>
      <c r="N19" s="14"/>
      <c r="O19" s="14" t="s">
        <v>45</v>
      </c>
      <c r="P19" s="6" t="s">
        <v>46</v>
      </c>
    </row>
    <row r="20" spans="1:16">
      <c r="A20" s="15"/>
      <c r="B20" s="15"/>
      <c r="C20" s="15"/>
      <c r="D20" s="15"/>
      <c r="E20" s="15"/>
      <c r="F20" s="15"/>
      <c r="G20" s="15"/>
      <c r="H20" s="15">
        <f t="shared" ref="H20:N20" si="0">SUM(H2:H19)</f>
        <v>594</v>
      </c>
      <c r="I20" s="15">
        <f t="shared" si="0"/>
        <v>229.5</v>
      </c>
      <c r="J20" s="15">
        <f t="shared" si="0"/>
        <v>556.2</v>
      </c>
      <c r="K20" s="15">
        <f t="shared" si="0"/>
        <v>585</v>
      </c>
      <c r="L20" s="15">
        <f t="shared" si="0"/>
        <v>526.5</v>
      </c>
      <c r="M20" s="15">
        <f t="shared" si="0"/>
        <v>9</v>
      </c>
      <c r="N20" s="15">
        <f t="shared" si="0"/>
        <v>29.7</v>
      </c>
      <c r="O20" s="15"/>
      <c r="P20" s="15"/>
    </row>
  </sheetData>
  <autoFilter xmlns:etc="http://www.wps.cn/officeDocument/2017/etCustomData" ref="A1:P20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topLeftCell="B29" workbookViewId="0">
      <selection activeCell="G54" sqref="G54"/>
    </sheetView>
  </sheetViews>
  <sheetFormatPr defaultColWidth="9" defaultRowHeight="13.5"/>
  <cols>
    <col min="1" max="1" width="30.0083333333333" customWidth="1"/>
    <col min="2" max="2" width="27.0083333333333" customWidth="1"/>
    <col min="3" max="3" width="27.5083333333333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30</v>
      </c>
      <c r="B2" s="4" t="s">
        <v>42</v>
      </c>
      <c r="C2" s="4" t="s">
        <v>188</v>
      </c>
      <c r="D2" s="5" t="s">
        <v>96</v>
      </c>
      <c r="E2" s="8">
        <v>46091.8438483796</v>
      </c>
      <c r="F2" s="4" t="s">
        <v>20</v>
      </c>
      <c r="G2" s="4" t="s">
        <v>21</v>
      </c>
      <c r="H2" s="4">
        <v>1</v>
      </c>
      <c r="I2" s="6">
        <v>3.3</v>
      </c>
      <c r="J2" s="6">
        <f>H2*I2</f>
        <v>3.3</v>
      </c>
      <c r="K2" s="4">
        <v>1</v>
      </c>
      <c r="L2" s="6">
        <f>K2*3.3</f>
        <v>3.3</v>
      </c>
      <c r="M2" s="6"/>
      <c r="N2" s="6"/>
      <c r="O2" s="6" t="s">
        <v>45</v>
      </c>
      <c r="P2" s="6" t="s">
        <v>46</v>
      </c>
    </row>
    <row r="3" ht="22.5" customHeight="1" spans="1:16">
      <c r="A3" s="4" t="s">
        <v>30</v>
      </c>
      <c r="B3" s="4" t="s">
        <v>42</v>
      </c>
      <c r="C3" s="4" t="s">
        <v>188</v>
      </c>
      <c r="D3" s="5" t="s">
        <v>96</v>
      </c>
      <c r="E3" s="8">
        <v>46091.8438483796</v>
      </c>
      <c r="F3" s="4" t="s">
        <v>24</v>
      </c>
      <c r="G3" s="4" t="s">
        <v>76</v>
      </c>
      <c r="H3" s="4">
        <v>14</v>
      </c>
      <c r="I3" s="6">
        <v>3.3</v>
      </c>
      <c r="J3" s="6">
        <f t="shared" ref="J3:J15" si="0">H3*I3</f>
        <v>46.2</v>
      </c>
      <c r="K3" s="4">
        <v>14</v>
      </c>
      <c r="L3" s="6">
        <f t="shared" ref="L3:L11" si="1">K3*3.3</f>
        <v>46.2</v>
      </c>
      <c r="M3" s="6"/>
      <c r="N3" s="6"/>
      <c r="O3" s="6" t="s">
        <v>45</v>
      </c>
      <c r="P3" s="6" t="s">
        <v>46</v>
      </c>
    </row>
    <row r="4" ht="22.5" customHeight="1" spans="1:16">
      <c r="A4" s="4" t="s">
        <v>30</v>
      </c>
      <c r="B4" s="4" t="s">
        <v>42</v>
      </c>
      <c r="C4" s="4" t="s">
        <v>189</v>
      </c>
      <c r="D4" s="5" t="s">
        <v>96</v>
      </c>
      <c r="E4" s="8">
        <v>46091.8438509259</v>
      </c>
      <c r="F4" s="4" t="s">
        <v>20</v>
      </c>
      <c r="G4" s="4" t="s">
        <v>21</v>
      </c>
      <c r="H4" s="4">
        <v>1</v>
      </c>
      <c r="I4" s="6">
        <v>3.3</v>
      </c>
      <c r="J4" s="6">
        <f t="shared" si="0"/>
        <v>3.3</v>
      </c>
      <c r="K4" s="4">
        <v>1</v>
      </c>
      <c r="L4" s="6">
        <f t="shared" si="1"/>
        <v>3.3</v>
      </c>
      <c r="M4" s="6"/>
      <c r="N4" s="6"/>
      <c r="O4" s="6" t="s">
        <v>45</v>
      </c>
      <c r="P4" s="6" t="s">
        <v>46</v>
      </c>
    </row>
    <row r="5" ht="22.5" customHeight="1" spans="1:16">
      <c r="A5" s="4" t="s">
        <v>30</v>
      </c>
      <c r="B5" s="4" t="s">
        <v>42</v>
      </c>
      <c r="C5" s="4" t="s">
        <v>189</v>
      </c>
      <c r="D5" s="5" t="s">
        <v>96</v>
      </c>
      <c r="E5" s="8">
        <v>46091.8438509259</v>
      </c>
      <c r="F5" s="4" t="s">
        <v>24</v>
      </c>
      <c r="G5" s="4" t="s">
        <v>76</v>
      </c>
      <c r="H5" s="4">
        <v>23</v>
      </c>
      <c r="I5" s="6">
        <v>3.3</v>
      </c>
      <c r="J5" s="6">
        <f t="shared" si="0"/>
        <v>75.9</v>
      </c>
      <c r="K5" s="4">
        <v>23</v>
      </c>
      <c r="L5" s="6">
        <f t="shared" si="1"/>
        <v>75.9</v>
      </c>
      <c r="M5" s="6"/>
      <c r="N5" s="6"/>
      <c r="O5" s="6" t="s">
        <v>45</v>
      </c>
      <c r="P5" s="6" t="s">
        <v>46</v>
      </c>
    </row>
    <row r="6" ht="22.5" customHeight="1" spans="1:16">
      <c r="A6" s="4" t="s">
        <v>30</v>
      </c>
      <c r="B6" s="4" t="s">
        <v>42</v>
      </c>
      <c r="C6" s="4" t="s">
        <v>190</v>
      </c>
      <c r="D6" s="5" t="s">
        <v>96</v>
      </c>
      <c r="E6" s="8">
        <v>46091.8438525463</v>
      </c>
      <c r="F6" s="4" t="s">
        <v>20</v>
      </c>
      <c r="G6" s="4" t="s">
        <v>21</v>
      </c>
      <c r="H6" s="4">
        <v>1</v>
      </c>
      <c r="I6" s="6">
        <v>3.3</v>
      </c>
      <c r="J6" s="6">
        <f t="shared" si="0"/>
        <v>3.3</v>
      </c>
      <c r="K6" s="4">
        <v>1</v>
      </c>
      <c r="L6" s="6">
        <f t="shared" si="1"/>
        <v>3.3</v>
      </c>
      <c r="M6" s="6"/>
      <c r="N6" s="6"/>
      <c r="O6" s="6" t="s">
        <v>45</v>
      </c>
      <c r="P6" s="6" t="s">
        <v>46</v>
      </c>
    </row>
    <row r="7" ht="22.5" customHeight="1" spans="1:16">
      <c r="A7" s="4" t="s">
        <v>30</v>
      </c>
      <c r="B7" s="4" t="s">
        <v>42</v>
      </c>
      <c r="C7" s="4" t="s">
        <v>190</v>
      </c>
      <c r="D7" s="5" t="s">
        <v>96</v>
      </c>
      <c r="E7" s="8">
        <v>46091.8438525463</v>
      </c>
      <c r="F7" s="4" t="s">
        <v>24</v>
      </c>
      <c r="G7" s="4" t="s">
        <v>76</v>
      </c>
      <c r="H7" s="4">
        <v>15</v>
      </c>
      <c r="I7" s="6">
        <v>3.3</v>
      </c>
      <c r="J7" s="6">
        <f t="shared" si="0"/>
        <v>49.5</v>
      </c>
      <c r="K7" s="4">
        <v>15</v>
      </c>
      <c r="L7" s="6">
        <f t="shared" si="1"/>
        <v>49.5</v>
      </c>
      <c r="M7" s="6"/>
      <c r="N7" s="6"/>
      <c r="O7" s="6" t="s">
        <v>45</v>
      </c>
      <c r="P7" s="6" t="s">
        <v>46</v>
      </c>
    </row>
    <row r="8" ht="22.5" customHeight="1" spans="1:16">
      <c r="A8" s="4" t="s">
        <v>30</v>
      </c>
      <c r="B8" s="4" t="s">
        <v>42</v>
      </c>
      <c r="C8" s="4" t="s">
        <v>191</v>
      </c>
      <c r="D8" s="5" t="s">
        <v>96</v>
      </c>
      <c r="E8" s="8">
        <v>46091.8438540162</v>
      </c>
      <c r="F8" s="4" t="s">
        <v>20</v>
      </c>
      <c r="G8" s="4" t="s">
        <v>21</v>
      </c>
      <c r="H8" s="4">
        <v>1</v>
      </c>
      <c r="I8" s="6">
        <v>3.3</v>
      </c>
      <c r="J8" s="6">
        <f t="shared" si="0"/>
        <v>3.3</v>
      </c>
      <c r="K8" s="4">
        <v>1</v>
      </c>
      <c r="L8" s="6">
        <f t="shared" si="1"/>
        <v>3.3</v>
      </c>
      <c r="M8" s="6"/>
      <c r="N8" s="6"/>
      <c r="O8" s="6" t="s">
        <v>45</v>
      </c>
      <c r="P8" s="6" t="s">
        <v>46</v>
      </c>
    </row>
    <row r="9" ht="22.5" customHeight="1" spans="1:16">
      <c r="A9" s="4" t="s">
        <v>30</v>
      </c>
      <c r="B9" s="4" t="s">
        <v>42</v>
      </c>
      <c r="C9" s="4" t="s">
        <v>191</v>
      </c>
      <c r="D9" s="5" t="s">
        <v>96</v>
      </c>
      <c r="E9" s="8">
        <v>46091.8438540162</v>
      </c>
      <c r="F9" s="4" t="s">
        <v>24</v>
      </c>
      <c r="G9" s="4" t="s">
        <v>76</v>
      </c>
      <c r="H9" s="4">
        <v>19</v>
      </c>
      <c r="I9" s="6">
        <v>3.3</v>
      </c>
      <c r="J9" s="6">
        <f t="shared" si="0"/>
        <v>62.7</v>
      </c>
      <c r="K9" s="4">
        <v>19</v>
      </c>
      <c r="L9" s="6">
        <f t="shared" si="1"/>
        <v>62.7</v>
      </c>
      <c r="M9" s="6"/>
      <c r="N9" s="6"/>
      <c r="O9" s="6" t="s">
        <v>45</v>
      </c>
      <c r="P9" s="6" t="s">
        <v>46</v>
      </c>
    </row>
    <row r="10" ht="22.5" customHeight="1" spans="1:16">
      <c r="A10" s="4" t="s">
        <v>30</v>
      </c>
      <c r="B10" s="4" t="s">
        <v>42</v>
      </c>
      <c r="C10" s="4" t="s">
        <v>192</v>
      </c>
      <c r="D10" s="5" t="s">
        <v>96</v>
      </c>
      <c r="E10" s="8">
        <v>46091.8438559838</v>
      </c>
      <c r="F10" s="4" t="s">
        <v>20</v>
      </c>
      <c r="G10" s="4" t="s">
        <v>21</v>
      </c>
      <c r="H10" s="4">
        <v>1</v>
      </c>
      <c r="I10" s="6">
        <v>3.3</v>
      </c>
      <c r="J10" s="6">
        <f t="shared" si="0"/>
        <v>3.3</v>
      </c>
      <c r="K10" s="4">
        <v>1</v>
      </c>
      <c r="L10" s="6">
        <f t="shared" si="1"/>
        <v>3.3</v>
      </c>
      <c r="M10" s="6"/>
      <c r="N10" s="6"/>
      <c r="O10" s="6" t="s">
        <v>45</v>
      </c>
      <c r="P10" s="6" t="s">
        <v>46</v>
      </c>
    </row>
    <row r="11" ht="22.5" customHeight="1" spans="1:16">
      <c r="A11" s="4" t="s">
        <v>30</v>
      </c>
      <c r="B11" s="4" t="s">
        <v>42</v>
      </c>
      <c r="C11" s="4" t="s">
        <v>192</v>
      </c>
      <c r="D11" s="5" t="s">
        <v>96</v>
      </c>
      <c r="E11" s="8">
        <v>46091.8438559838</v>
      </c>
      <c r="F11" s="4" t="s">
        <v>24</v>
      </c>
      <c r="G11" s="4" t="s">
        <v>76</v>
      </c>
      <c r="H11" s="4">
        <v>14</v>
      </c>
      <c r="I11" s="6">
        <v>3.3</v>
      </c>
      <c r="J11" s="6">
        <f t="shared" si="0"/>
        <v>46.2</v>
      </c>
      <c r="K11" s="4">
        <v>14</v>
      </c>
      <c r="L11" s="6">
        <f t="shared" si="1"/>
        <v>46.2</v>
      </c>
      <c r="M11" s="6"/>
      <c r="N11" s="6"/>
      <c r="O11" s="6" t="s">
        <v>45</v>
      </c>
      <c r="P11" s="6" t="s">
        <v>46</v>
      </c>
    </row>
    <row r="12" ht="22.5" customHeight="1" spans="1:16">
      <c r="A12" s="4" t="s">
        <v>30</v>
      </c>
      <c r="B12" s="4" t="s">
        <v>42</v>
      </c>
      <c r="C12" s="4" t="s">
        <v>193</v>
      </c>
      <c r="D12" s="5" t="s">
        <v>152</v>
      </c>
      <c r="E12" s="8">
        <v>46091.8660443287</v>
      </c>
      <c r="F12" s="4" t="s">
        <v>24</v>
      </c>
      <c r="G12" s="4" t="s">
        <v>76</v>
      </c>
      <c r="H12" s="4">
        <v>2</v>
      </c>
      <c r="I12" s="6">
        <v>9.9</v>
      </c>
      <c r="J12" s="6">
        <v>9.9</v>
      </c>
      <c r="K12" s="6"/>
      <c r="L12" s="6"/>
      <c r="M12" s="6">
        <v>2</v>
      </c>
      <c r="N12" s="6">
        <v>9.9</v>
      </c>
      <c r="O12" s="6" t="s">
        <v>45</v>
      </c>
      <c r="P12" s="6" t="s">
        <v>175</v>
      </c>
    </row>
    <row r="13" ht="22.5" customHeight="1" spans="1:16">
      <c r="A13" s="4" t="s">
        <v>30</v>
      </c>
      <c r="B13" s="4" t="s">
        <v>42</v>
      </c>
      <c r="C13" s="4" t="s">
        <v>194</v>
      </c>
      <c r="D13" s="5" t="s">
        <v>195</v>
      </c>
      <c r="E13" s="8">
        <v>46091.8438483796</v>
      </c>
      <c r="F13" s="4" t="s">
        <v>20</v>
      </c>
      <c r="G13" s="4" t="s">
        <v>21</v>
      </c>
      <c r="H13" s="4">
        <v>1</v>
      </c>
      <c r="I13" s="6">
        <v>3.3</v>
      </c>
      <c r="J13" s="6">
        <f>H13*I13</f>
        <v>3.3</v>
      </c>
      <c r="K13" s="6">
        <v>1</v>
      </c>
      <c r="L13" s="6">
        <v>3.3</v>
      </c>
      <c r="M13" s="6"/>
      <c r="N13" s="6"/>
      <c r="O13" s="6" t="s">
        <v>51</v>
      </c>
      <c r="P13" s="6" t="s">
        <v>52</v>
      </c>
    </row>
    <row r="14" ht="22.5" customHeight="1" spans="1:16">
      <c r="A14" s="4" t="s">
        <v>30</v>
      </c>
      <c r="B14" s="4" t="s">
        <v>42</v>
      </c>
      <c r="C14" s="4" t="s">
        <v>194</v>
      </c>
      <c r="D14" s="5" t="s">
        <v>195</v>
      </c>
      <c r="E14" s="8">
        <v>46091.8438483796</v>
      </c>
      <c r="F14" s="4" t="s">
        <v>24</v>
      </c>
      <c r="G14" s="4" t="s">
        <v>76</v>
      </c>
      <c r="H14" s="4">
        <v>19</v>
      </c>
      <c r="I14" s="6">
        <v>3.3</v>
      </c>
      <c r="J14" s="6">
        <f>H14*I14</f>
        <v>62.7</v>
      </c>
      <c r="K14" s="6">
        <v>19</v>
      </c>
      <c r="L14" s="6">
        <v>62.7</v>
      </c>
      <c r="M14" s="6"/>
      <c r="N14" s="6"/>
      <c r="O14" s="6" t="s">
        <v>51</v>
      </c>
      <c r="P14" s="6" t="s">
        <v>52</v>
      </c>
    </row>
    <row r="15" ht="22.5" customHeight="1" spans="1:16">
      <c r="A15" s="4" t="s">
        <v>30</v>
      </c>
      <c r="B15" s="4" t="s">
        <v>42</v>
      </c>
      <c r="C15" s="4" t="s">
        <v>196</v>
      </c>
      <c r="D15" s="5" t="s">
        <v>195</v>
      </c>
      <c r="E15" s="8">
        <v>46091.8438509259</v>
      </c>
      <c r="F15" s="4" t="s">
        <v>24</v>
      </c>
      <c r="G15" s="4" t="s">
        <v>41</v>
      </c>
      <c r="H15" s="4">
        <v>30</v>
      </c>
      <c r="I15" s="6">
        <v>120</v>
      </c>
      <c r="J15" s="6">
        <v>120</v>
      </c>
      <c r="K15" s="6">
        <v>30</v>
      </c>
      <c r="L15" s="6">
        <v>120</v>
      </c>
      <c r="M15" s="6"/>
      <c r="N15" s="6"/>
      <c r="O15" s="6" t="s">
        <v>51</v>
      </c>
      <c r="P15" s="6" t="s">
        <v>52</v>
      </c>
    </row>
    <row r="16" ht="22.5" customHeight="1" spans="1:16">
      <c r="A16" s="4" t="s">
        <v>30</v>
      </c>
      <c r="B16" s="4" t="s">
        <v>42</v>
      </c>
      <c r="C16" s="4" t="s">
        <v>196</v>
      </c>
      <c r="D16" s="5" t="s">
        <v>195</v>
      </c>
      <c r="E16" s="8">
        <v>46091.8438509259</v>
      </c>
      <c r="F16" s="4" t="s">
        <v>24</v>
      </c>
      <c r="G16" s="4" t="s">
        <v>76</v>
      </c>
      <c r="H16" s="4">
        <v>11</v>
      </c>
      <c r="I16" s="6">
        <v>3.3</v>
      </c>
      <c r="J16" s="6">
        <f t="shared" ref="J16:J28" si="2">H16*I16</f>
        <v>36.3</v>
      </c>
      <c r="K16" s="6">
        <v>11</v>
      </c>
      <c r="L16" s="6">
        <v>36.3</v>
      </c>
      <c r="M16" s="6"/>
      <c r="N16" s="6"/>
      <c r="O16" s="6" t="s">
        <v>51</v>
      </c>
      <c r="P16" s="6" t="s">
        <v>52</v>
      </c>
    </row>
    <row r="17" ht="22.5" customHeight="1" spans="1:16">
      <c r="A17" s="4" t="s">
        <v>30</v>
      </c>
      <c r="B17" s="4" t="s">
        <v>42</v>
      </c>
      <c r="C17" s="4" t="s">
        <v>196</v>
      </c>
      <c r="D17" s="5" t="s">
        <v>195</v>
      </c>
      <c r="E17" s="8">
        <v>46091.8438509259</v>
      </c>
      <c r="F17" s="4" t="s">
        <v>20</v>
      </c>
      <c r="G17" s="4" t="s">
        <v>21</v>
      </c>
      <c r="H17" s="4">
        <v>1</v>
      </c>
      <c r="I17" s="6">
        <v>3.3</v>
      </c>
      <c r="J17" s="6">
        <f t="shared" si="2"/>
        <v>3.3</v>
      </c>
      <c r="K17" s="6">
        <v>1</v>
      </c>
      <c r="L17" s="6">
        <v>3.3</v>
      </c>
      <c r="M17" s="6"/>
      <c r="N17" s="6"/>
      <c r="O17" s="6" t="s">
        <v>51</v>
      </c>
      <c r="P17" s="6" t="s">
        <v>52</v>
      </c>
    </row>
    <row r="18" ht="22.5" customHeight="1" spans="1:16">
      <c r="A18" s="4" t="s">
        <v>30</v>
      </c>
      <c r="B18" s="4" t="s">
        <v>42</v>
      </c>
      <c r="C18" s="4" t="s">
        <v>197</v>
      </c>
      <c r="D18" s="5" t="s">
        <v>96</v>
      </c>
      <c r="E18" s="8">
        <v>46091.8438525463</v>
      </c>
      <c r="F18" s="4" t="s">
        <v>24</v>
      </c>
      <c r="G18" s="4" t="s">
        <v>25</v>
      </c>
      <c r="H18" s="4">
        <v>23</v>
      </c>
      <c r="I18" s="6">
        <v>3.3</v>
      </c>
      <c r="J18" s="6">
        <f t="shared" si="2"/>
        <v>75.9</v>
      </c>
      <c r="K18" s="4">
        <v>23</v>
      </c>
      <c r="L18" s="6">
        <f t="shared" ref="L18:L27" si="3">K18*3.3</f>
        <v>75.9</v>
      </c>
      <c r="M18" s="6"/>
      <c r="N18" s="6"/>
      <c r="O18" s="6" t="s">
        <v>51</v>
      </c>
      <c r="P18" s="6" t="s">
        <v>52</v>
      </c>
    </row>
    <row r="19" ht="22.5" customHeight="1" spans="1:16">
      <c r="A19" s="4" t="s">
        <v>30</v>
      </c>
      <c r="B19" s="4" t="s">
        <v>42</v>
      </c>
      <c r="C19" s="4" t="s">
        <v>197</v>
      </c>
      <c r="D19" s="5" t="s">
        <v>96</v>
      </c>
      <c r="E19" s="8">
        <v>46091.8438525463</v>
      </c>
      <c r="F19" s="4" t="s">
        <v>20</v>
      </c>
      <c r="G19" s="4" t="s">
        <v>21</v>
      </c>
      <c r="H19" s="4">
        <v>1</v>
      </c>
      <c r="I19" s="6">
        <v>3.3</v>
      </c>
      <c r="J19" s="6">
        <f t="shared" si="2"/>
        <v>3.3</v>
      </c>
      <c r="K19" s="4">
        <v>1</v>
      </c>
      <c r="L19" s="6">
        <f t="shared" si="3"/>
        <v>3.3</v>
      </c>
      <c r="M19" s="6"/>
      <c r="N19" s="6"/>
      <c r="O19" s="6" t="s">
        <v>51</v>
      </c>
      <c r="P19" s="6" t="s">
        <v>52</v>
      </c>
    </row>
    <row r="20" ht="22.5" customHeight="1" spans="1:16">
      <c r="A20" s="4" t="s">
        <v>30</v>
      </c>
      <c r="B20" s="4" t="s">
        <v>42</v>
      </c>
      <c r="C20" s="4" t="s">
        <v>198</v>
      </c>
      <c r="D20" s="5" t="s">
        <v>96</v>
      </c>
      <c r="E20" s="8">
        <v>46091.8438540162</v>
      </c>
      <c r="F20" s="4" t="s">
        <v>20</v>
      </c>
      <c r="G20" s="4" t="s">
        <v>21</v>
      </c>
      <c r="H20" s="4">
        <v>1</v>
      </c>
      <c r="I20" s="6">
        <v>3.3</v>
      </c>
      <c r="J20" s="6">
        <f t="shared" si="2"/>
        <v>3.3</v>
      </c>
      <c r="K20" s="4">
        <v>1</v>
      </c>
      <c r="L20" s="6">
        <f t="shared" si="3"/>
        <v>3.3</v>
      </c>
      <c r="M20" s="6"/>
      <c r="N20" s="6"/>
      <c r="O20" s="6" t="s">
        <v>51</v>
      </c>
      <c r="P20" s="6" t="s">
        <v>52</v>
      </c>
    </row>
    <row r="21" ht="22.5" customHeight="1" spans="1:16">
      <c r="A21" s="4" t="s">
        <v>30</v>
      </c>
      <c r="B21" s="4" t="s">
        <v>42</v>
      </c>
      <c r="C21" s="4" t="s">
        <v>198</v>
      </c>
      <c r="D21" s="5" t="s">
        <v>96</v>
      </c>
      <c r="E21" s="8">
        <v>46091.8438540162</v>
      </c>
      <c r="F21" s="4" t="s">
        <v>24</v>
      </c>
      <c r="G21" s="4" t="s">
        <v>25</v>
      </c>
      <c r="H21" s="4">
        <v>15</v>
      </c>
      <c r="I21" s="6">
        <v>3.3</v>
      </c>
      <c r="J21" s="6">
        <f t="shared" si="2"/>
        <v>49.5</v>
      </c>
      <c r="K21" s="4">
        <v>15</v>
      </c>
      <c r="L21" s="6">
        <f t="shared" si="3"/>
        <v>49.5</v>
      </c>
      <c r="M21" s="6"/>
      <c r="N21" s="6"/>
      <c r="O21" s="6" t="s">
        <v>51</v>
      </c>
      <c r="P21" s="6" t="s">
        <v>52</v>
      </c>
    </row>
    <row r="22" ht="22.5" customHeight="1" spans="1:16">
      <c r="A22" s="4" t="s">
        <v>30</v>
      </c>
      <c r="B22" s="4" t="s">
        <v>42</v>
      </c>
      <c r="C22" s="4" t="s">
        <v>199</v>
      </c>
      <c r="D22" s="5" t="s">
        <v>96</v>
      </c>
      <c r="E22" s="8">
        <v>46091.8438559838</v>
      </c>
      <c r="F22" s="4" t="s">
        <v>24</v>
      </c>
      <c r="G22" s="4" t="s">
        <v>25</v>
      </c>
      <c r="H22" s="4">
        <v>13</v>
      </c>
      <c r="I22" s="6">
        <v>3.3</v>
      </c>
      <c r="J22" s="6">
        <f t="shared" si="2"/>
        <v>42.9</v>
      </c>
      <c r="K22" s="4">
        <v>13</v>
      </c>
      <c r="L22" s="6">
        <f t="shared" si="3"/>
        <v>42.9</v>
      </c>
      <c r="M22" s="6"/>
      <c r="N22" s="6"/>
      <c r="O22" s="6" t="s">
        <v>51</v>
      </c>
      <c r="P22" s="6" t="s">
        <v>52</v>
      </c>
    </row>
    <row r="23" ht="22.5" customHeight="1" spans="1:16">
      <c r="A23" s="4" t="s">
        <v>30</v>
      </c>
      <c r="B23" s="4" t="s">
        <v>42</v>
      </c>
      <c r="C23" s="4" t="s">
        <v>199</v>
      </c>
      <c r="D23" s="5" t="s">
        <v>96</v>
      </c>
      <c r="E23" s="8">
        <v>46091.8438559838</v>
      </c>
      <c r="F23" s="4" t="s">
        <v>20</v>
      </c>
      <c r="G23" s="4" t="s">
        <v>21</v>
      </c>
      <c r="H23" s="4">
        <v>1</v>
      </c>
      <c r="I23" s="6">
        <v>3.3</v>
      </c>
      <c r="J23" s="6">
        <f t="shared" si="2"/>
        <v>3.3</v>
      </c>
      <c r="K23" s="4">
        <v>1</v>
      </c>
      <c r="L23" s="6">
        <f t="shared" si="3"/>
        <v>3.3</v>
      </c>
      <c r="M23" s="6"/>
      <c r="N23" s="6"/>
      <c r="O23" s="6" t="s">
        <v>51</v>
      </c>
      <c r="P23" s="6" t="s">
        <v>52</v>
      </c>
    </row>
    <row r="24" ht="22.5" customHeight="1" spans="1:16">
      <c r="A24" s="4" t="s">
        <v>30</v>
      </c>
      <c r="B24" s="4" t="s">
        <v>42</v>
      </c>
      <c r="C24" s="4" t="s">
        <v>200</v>
      </c>
      <c r="D24" s="5" t="s">
        <v>96</v>
      </c>
      <c r="E24" s="8">
        <v>46091.8438483796</v>
      </c>
      <c r="F24" s="4" t="s">
        <v>20</v>
      </c>
      <c r="G24" s="4" t="s">
        <v>21</v>
      </c>
      <c r="H24" s="4">
        <v>1</v>
      </c>
      <c r="I24" s="6">
        <v>3.3</v>
      </c>
      <c r="J24" s="6">
        <f t="shared" si="2"/>
        <v>3.3</v>
      </c>
      <c r="K24" s="4">
        <v>1</v>
      </c>
      <c r="L24" s="6">
        <f t="shared" si="3"/>
        <v>3.3</v>
      </c>
      <c r="M24" s="6"/>
      <c r="N24" s="6"/>
      <c r="O24" s="6" t="s">
        <v>51</v>
      </c>
      <c r="P24" s="6" t="s">
        <v>52</v>
      </c>
    </row>
    <row r="25" ht="22.5" customHeight="1" spans="1:16">
      <c r="A25" s="4" t="s">
        <v>30</v>
      </c>
      <c r="B25" s="4" t="s">
        <v>42</v>
      </c>
      <c r="C25" s="4" t="s">
        <v>200</v>
      </c>
      <c r="D25" s="5" t="s">
        <v>96</v>
      </c>
      <c r="E25" s="8">
        <v>46091.8438483796</v>
      </c>
      <c r="F25" s="4" t="s">
        <v>24</v>
      </c>
      <c r="G25" s="4" t="s">
        <v>25</v>
      </c>
      <c r="H25" s="4">
        <v>21</v>
      </c>
      <c r="I25" s="6">
        <v>3.3</v>
      </c>
      <c r="J25" s="6">
        <f t="shared" si="2"/>
        <v>69.3</v>
      </c>
      <c r="K25" s="4">
        <v>21</v>
      </c>
      <c r="L25" s="6">
        <f t="shared" si="3"/>
        <v>69.3</v>
      </c>
      <c r="M25" s="6"/>
      <c r="N25" s="6"/>
      <c r="O25" s="6" t="s">
        <v>51</v>
      </c>
      <c r="P25" s="6" t="s">
        <v>52</v>
      </c>
    </row>
    <row r="26" ht="22.5" customHeight="1" spans="1:16">
      <c r="A26" s="4" t="s">
        <v>30</v>
      </c>
      <c r="B26" s="4" t="s">
        <v>42</v>
      </c>
      <c r="C26" s="4" t="s">
        <v>201</v>
      </c>
      <c r="D26" s="5" t="s">
        <v>96</v>
      </c>
      <c r="E26" s="8">
        <v>46091.8438509259</v>
      </c>
      <c r="F26" s="4" t="s">
        <v>24</v>
      </c>
      <c r="G26" s="4" t="s">
        <v>25</v>
      </c>
      <c r="H26" s="4">
        <v>14</v>
      </c>
      <c r="I26" s="6">
        <v>3.3</v>
      </c>
      <c r="J26" s="6">
        <f t="shared" si="2"/>
        <v>46.2</v>
      </c>
      <c r="K26" s="4">
        <v>14</v>
      </c>
      <c r="L26" s="6">
        <f t="shared" si="3"/>
        <v>46.2</v>
      </c>
      <c r="M26" s="6"/>
      <c r="N26" s="6"/>
      <c r="O26" s="6" t="s">
        <v>51</v>
      </c>
      <c r="P26" s="6" t="s">
        <v>52</v>
      </c>
    </row>
    <row r="27" ht="22.5" customHeight="1" spans="1:16">
      <c r="A27" s="4" t="s">
        <v>30</v>
      </c>
      <c r="B27" s="4" t="s">
        <v>42</v>
      </c>
      <c r="C27" s="4" t="s">
        <v>201</v>
      </c>
      <c r="D27" s="5" t="s">
        <v>96</v>
      </c>
      <c r="E27" s="8">
        <v>46091.8438509259</v>
      </c>
      <c r="F27" s="4" t="s">
        <v>20</v>
      </c>
      <c r="G27" s="4" t="s">
        <v>21</v>
      </c>
      <c r="H27" s="4">
        <v>1</v>
      </c>
      <c r="I27" s="6">
        <v>3.3</v>
      </c>
      <c r="J27" s="6">
        <f t="shared" si="2"/>
        <v>3.3</v>
      </c>
      <c r="K27" s="4">
        <v>1</v>
      </c>
      <c r="L27" s="6">
        <f t="shared" si="3"/>
        <v>3.3</v>
      </c>
      <c r="M27" s="6"/>
      <c r="N27" s="6"/>
      <c r="O27" s="6" t="s">
        <v>51</v>
      </c>
      <c r="P27" s="6" t="s">
        <v>52</v>
      </c>
    </row>
    <row r="28" ht="22.5" customHeight="1" spans="1:16">
      <c r="A28" s="4" t="s">
        <v>30</v>
      </c>
      <c r="B28" s="4" t="s">
        <v>42</v>
      </c>
      <c r="C28" s="4" t="s">
        <v>202</v>
      </c>
      <c r="D28" s="5" t="s">
        <v>33</v>
      </c>
      <c r="E28" s="8">
        <v>46091.8438525463</v>
      </c>
      <c r="F28" s="4" t="s">
        <v>20</v>
      </c>
      <c r="G28" s="4" t="s">
        <v>21</v>
      </c>
      <c r="H28" s="4">
        <v>1</v>
      </c>
      <c r="I28" s="6">
        <v>3.3</v>
      </c>
      <c r="J28" s="6">
        <f t="shared" si="2"/>
        <v>3.3</v>
      </c>
      <c r="K28" s="6">
        <v>1</v>
      </c>
      <c r="L28" s="6">
        <v>3.3</v>
      </c>
      <c r="M28" s="6"/>
      <c r="N28" s="6"/>
      <c r="O28" s="6" t="s">
        <v>45</v>
      </c>
      <c r="P28" s="6" t="s">
        <v>46</v>
      </c>
    </row>
    <row r="29" ht="22.5" customHeight="1" spans="1:16">
      <c r="A29" s="4" t="s">
        <v>30</v>
      </c>
      <c r="B29" s="4" t="s">
        <v>42</v>
      </c>
      <c r="C29" s="4" t="s">
        <v>202</v>
      </c>
      <c r="D29" s="5" t="s">
        <v>33</v>
      </c>
      <c r="E29" s="8">
        <v>46091.8438525463</v>
      </c>
      <c r="F29" s="4" t="s">
        <v>24</v>
      </c>
      <c r="G29" s="4" t="s">
        <v>41</v>
      </c>
      <c r="H29" s="4">
        <v>45</v>
      </c>
      <c r="I29" s="6">
        <v>120</v>
      </c>
      <c r="J29" s="6">
        <v>120</v>
      </c>
      <c r="K29" s="6">
        <v>45</v>
      </c>
      <c r="L29" s="6">
        <v>120</v>
      </c>
      <c r="M29" s="6"/>
      <c r="N29" s="6"/>
      <c r="O29" s="6" t="s">
        <v>45</v>
      </c>
      <c r="P29" s="6" t="s">
        <v>46</v>
      </c>
    </row>
    <row r="30" ht="22.5" customHeight="1" spans="1:16">
      <c r="A30" s="4" t="s">
        <v>30</v>
      </c>
      <c r="B30" s="4" t="s">
        <v>42</v>
      </c>
      <c r="C30" s="4" t="s">
        <v>203</v>
      </c>
      <c r="D30" s="5" t="s">
        <v>33</v>
      </c>
      <c r="E30" s="8">
        <v>46091.8438540162</v>
      </c>
      <c r="F30" s="4" t="s">
        <v>20</v>
      </c>
      <c r="G30" s="4" t="s">
        <v>21</v>
      </c>
      <c r="H30" s="4">
        <v>1</v>
      </c>
      <c r="I30" s="6">
        <v>3.3</v>
      </c>
      <c r="J30" s="6">
        <f t="shared" ref="J30:J38" si="4">H30*I30</f>
        <v>3.3</v>
      </c>
      <c r="K30" s="6">
        <v>1</v>
      </c>
      <c r="L30" s="6">
        <v>3.3</v>
      </c>
      <c r="M30" s="6"/>
      <c r="N30" s="6"/>
      <c r="O30" s="6" t="s">
        <v>45</v>
      </c>
      <c r="P30" s="6" t="s">
        <v>46</v>
      </c>
    </row>
    <row r="31" ht="22.5" customHeight="1" spans="1:16">
      <c r="A31" s="4" t="s">
        <v>30</v>
      </c>
      <c r="B31" s="4" t="s">
        <v>42</v>
      </c>
      <c r="C31" s="4" t="s">
        <v>203</v>
      </c>
      <c r="D31" s="5" t="s">
        <v>33</v>
      </c>
      <c r="E31" s="8">
        <v>46091.8438540162</v>
      </c>
      <c r="F31" s="4" t="s">
        <v>24</v>
      </c>
      <c r="G31" s="4" t="s">
        <v>76</v>
      </c>
      <c r="H31" s="4">
        <v>11</v>
      </c>
      <c r="I31" s="6">
        <v>3.3</v>
      </c>
      <c r="J31" s="6">
        <f t="shared" si="4"/>
        <v>36.3</v>
      </c>
      <c r="K31" s="6">
        <v>11</v>
      </c>
      <c r="L31" s="6">
        <v>36.3</v>
      </c>
      <c r="M31" s="6"/>
      <c r="N31" s="6"/>
      <c r="O31" s="6" t="s">
        <v>45</v>
      </c>
      <c r="P31" s="6" t="s">
        <v>46</v>
      </c>
    </row>
    <row r="32" ht="22.5" customHeight="1" spans="1:16">
      <c r="A32" s="4" t="s">
        <v>30</v>
      </c>
      <c r="B32" s="4" t="s">
        <v>42</v>
      </c>
      <c r="C32" s="4" t="s">
        <v>204</v>
      </c>
      <c r="D32" s="5" t="s">
        <v>33</v>
      </c>
      <c r="E32" s="8">
        <v>46091.8438559838</v>
      </c>
      <c r="F32" s="4" t="s">
        <v>20</v>
      </c>
      <c r="G32" s="4" t="s">
        <v>21</v>
      </c>
      <c r="H32" s="4">
        <v>1</v>
      </c>
      <c r="I32" s="6">
        <v>3.3</v>
      </c>
      <c r="J32" s="6">
        <f t="shared" si="4"/>
        <v>3.3</v>
      </c>
      <c r="K32" s="6">
        <v>1</v>
      </c>
      <c r="L32" s="6">
        <v>3.3</v>
      </c>
      <c r="M32" s="6"/>
      <c r="N32" s="6"/>
      <c r="O32" s="6" t="s">
        <v>45</v>
      </c>
      <c r="P32" s="6" t="s">
        <v>46</v>
      </c>
    </row>
    <row r="33" ht="22.5" customHeight="1" spans="1:16">
      <c r="A33" s="4" t="s">
        <v>30</v>
      </c>
      <c r="B33" s="4" t="s">
        <v>42</v>
      </c>
      <c r="C33" s="4" t="s">
        <v>204</v>
      </c>
      <c r="D33" s="5" t="s">
        <v>33</v>
      </c>
      <c r="E33" s="8">
        <v>46091.8438559838</v>
      </c>
      <c r="F33" s="4" t="s">
        <v>24</v>
      </c>
      <c r="G33" s="4" t="s">
        <v>76</v>
      </c>
      <c r="H33" s="4">
        <v>9</v>
      </c>
      <c r="I33" s="6">
        <v>3.3</v>
      </c>
      <c r="J33" s="6">
        <f t="shared" si="4"/>
        <v>29.7</v>
      </c>
      <c r="K33" s="6">
        <v>9</v>
      </c>
      <c r="L33" s="6">
        <v>29.7</v>
      </c>
      <c r="M33" s="6"/>
      <c r="N33" s="6"/>
      <c r="O33" s="6" t="s">
        <v>45</v>
      </c>
      <c r="P33" s="6" t="s">
        <v>46</v>
      </c>
    </row>
    <row r="34" ht="22.5" customHeight="1" spans="1:16">
      <c r="A34" s="4" t="s">
        <v>30</v>
      </c>
      <c r="B34" s="4" t="s">
        <v>42</v>
      </c>
      <c r="C34" s="4" t="s">
        <v>205</v>
      </c>
      <c r="D34" s="5" t="s">
        <v>33</v>
      </c>
      <c r="E34" s="8">
        <v>46091.8438509259</v>
      </c>
      <c r="F34" s="4" t="s">
        <v>24</v>
      </c>
      <c r="G34" s="4" t="s">
        <v>36</v>
      </c>
      <c r="H34" s="4">
        <v>8</v>
      </c>
      <c r="I34" s="6">
        <v>3.3</v>
      </c>
      <c r="J34" s="6">
        <f t="shared" si="4"/>
        <v>26.4</v>
      </c>
      <c r="K34" s="6">
        <v>8</v>
      </c>
      <c r="L34" s="6">
        <v>26.4</v>
      </c>
      <c r="M34" s="6"/>
      <c r="N34" s="6"/>
      <c r="O34" s="6" t="s">
        <v>45</v>
      </c>
      <c r="P34" s="6" t="s">
        <v>46</v>
      </c>
    </row>
    <row r="35" ht="22.5" customHeight="1" spans="1:16">
      <c r="A35" s="4" t="s">
        <v>30</v>
      </c>
      <c r="B35" s="4" t="s">
        <v>42</v>
      </c>
      <c r="C35" s="4" t="s">
        <v>205</v>
      </c>
      <c r="D35" s="5" t="s">
        <v>33</v>
      </c>
      <c r="E35" s="8">
        <v>46091.8438509259</v>
      </c>
      <c r="F35" s="4" t="s">
        <v>24</v>
      </c>
      <c r="G35" s="4" t="s">
        <v>76</v>
      </c>
      <c r="H35" s="4">
        <v>12</v>
      </c>
      <c r="I35" s="6">
        <v>3.3</v>
      </c>
      <c r="J35" s="6">
        <f t="shared" si="4"/>
        <v>39.6</v>
      </c>
      <c r="K35" s="6">
        <v>12</v>
      </c>
      <c r="L35" s="6">
        <v>39.6</v>
      </c>
      <c r="M35" s="6"/>
      <c r="N35" s="6"/>
      <c r="O35" s="6" t="s">
        <v>45</v>
      </c>
      <c r="P35" s="6" t="s">
        <v>46</v>
      </c>
    </row>
    <row r="36" ht="22.5" customHeight="1" spans="1:16">
      <c r="A36" s="4" t="s">
        <v>30</v>
      </c>
      <c r="B36" s="4" t="s">
        <v>42</v>
      </c>
      <c r="C36" s="4" t="s">
        <v>205</v>
      </c>
      <c r="D36" s="5" t="s">
        <v>33</v>
      </c>
      <c r="E36" s="8">
        <v>46091.8438509259</v>
      </c>
      <c r="F36" s="4" t="s">
        <v>20</v>
      </c>
      <c r="G36" s="4" t="s">
        <v>21</v>
      </c>
      <c r="H36" s="4">
        <v>1</v>
      </c>
      <c r="I36" s="6">
        <v>3.3</v>
      </c>
      <c r="J36" s="6">
        <f t="shared" si="4"/>
        <v>3.3</v>
      </c>
      <c r="K36" s="6">
        <v>1</v>
      </c>
      <c r="L36" s="6">
        <v>3.3</v>
      </c>
      <c r="M36" s="6"/>
      <c r="N36" s="6"/>
      <c r="O36" s="6" t="s">
        <v>45</v>
      </c>
      <c r="P36" s="6" t="s">
        <v>46</v>
      </c>
    </row>
    <row r="37" ht="22.5" customHeight="1" spans="1:16">
      <c r="A37" s="4" t="s">
        <v>30</v>
      </c>
      <c r="B37" s="4" t="s">
        <v>42</v>
      </c>
      <c r="C37" s="4" t="s">
        <v>206</v>
      </c>
      <c r="D37" s="5" t="s">
        <v>33</v>
      </c>
      <c r="E37" s="8">
        <v>46091.8438483796</v>
      </c>
      <c r="F37" s="4" t="s">
        <v>20</v>
      </c>
      <c r="G37" s="4" t="s">
        <v>21</v>
      </c>
      <c r="H37" s="4">
        <v>1</v>
      </c>
      <c r="I37" s="6">
        <v>3.3</v>
      </c>
      <c r="J37" s="6">
        <f t="shared" si="4"/>
        <v>3.3</v>
      </c>
      <c r="K37" s="6">
        <v>1</v>
      </c>
      <c r="L37" s="6">
        <v>3.3</v>
      </c>
      <c r="M37" s="6"/>
      <c r="N37" s="6"/>
      <c r="O37" s="6" t="s">
        <v>45</v>
      </c>
      <c r="P37" s="6" t="s">
        <v>46</v>
      </c>
    </row>
    <row r="38" ht="22.5" customHeight="1" spans="1:16">
      <c r="A38" s="4" t="s">
        <v>30</v>
      </c>
      <c r="B38" s="4" t="s">
        <v>42</v>
      </c>
      <c r="C38" s="4" t="s">
        <v>206</v>
      </c>
      <c r="D38" s="5" t="s">
        <v>33</v>
      </c>
      <c r="E38" s="8">
        <v>46091.8438483796</v>
      </c>
      <c r="F38" s="4" t="s">
        <v>24</v>
      </c>
      <c r="G38" s="4" t="s">
        <v>76</v>
      </c>
      <c r="H38" s="4">
        <v>11</v>
      </c>
      <c r="I38" s="6">
        <v>3.3</v>
      </c>
      <c r="J38" s="6">
        <f t="shared" si="4"/>
        <v>36.3</v>
      </c>
      <c r="K38" s="6">
        <v>11</v>
      </c>
      <c r="L38" s="6">
        <v>36.3</v>
      </c>
      <c r="M38" s="6"/>
      <c r="N38" s="6"/>
      <c r="O38" s="6" t="s">
        <v>45</v>
      </c>
      <c r="P38" s="6" t="s">
        <v>46</v>
      </c>
    </row>
    <row r="39" ht="22.5" customHeight="1" spans="1:16">
      <c r="A39" s="4" t="s">
        <v>16</v>
      </c>
      <c r="B39" s="4" t="s">
        <v>17</v>
      </c>
      <c r="C39" s="4" t="s">
        <v>207</v>
      </c>
      <c r="D39" s="5" t="s">
        <v>48</v>
      </c>
      <c r="E39" s="8">
        <v>46091.6781971875</v>
      </c>
      <c r="F39" s="4" t="s">
        <v>24</v>
      </c>
      <c r="G39" s="4" t="s">
        <v>25</v>
      </c>
      <c r="H39" s="4">
        <v>1</v>
      </c>
      <c r="I39" s="6">
        <v>9.9</v>
      </c>
      <c r="J39" s="6">
        <v>9.9</v>
      </c>
      <c r="K39" s="6">
        <v>1</v>
      </c>
      <c r="L39" s="6">
        <v>9.9</v>
      </c>
      <c r="M39" s="6"/>
      <c r="N39" s="6"/>
      <c r="O39" s="6" t="s">
        <v>45</v>
      </c>
      <c r="P39" s="6" t="s">
        <v>46</v>
      </c>
    </row>
    <row r="40" ht="22.5" customHeight="1" spans="1:16">
      <c r="A40" s="4" t="s">
        <v>16</v>
      </c>
      <c r="B40" s="4" t="s">
        <v>17</v>
      </c>
      <c r="C40" s="4" t="s">
        <v>208</v>
      </c>
      <c r="D40" s="5" t="s">
        <v>33</v>
      </c>
      <c r="E40" s="8">
        <v>46091.6782216088</v>
      </c>
      <c r="F40" s="4" t="s">
        <v>24</v>
      </c>
      <c r="G40" s="4" t="s">
        <v>41</v>
      </c>
      <c r="H40" s="4">
        <v>44</v>
      </c>
      <c r="I40" s="6">
        <v>120</v>
      </c>
      <c r="J40" s="6">
        <v>120</v>
      </c>
      <c r="K40" s="4">
        <v>44</v>
      </c>
      <c r="L40" s="6">
        <v>120</v>
      </c>
      <c r="M40" s="6"/>
      <c r="N40" s="6"/>
      <c r="O40" s="6" t="s">
        <v>45</v>
      </c>
      <c r="P40" s="6" t="s">
        <v>46</v>
      </c>
    </row>
    <row r="41" ht="22.5" customHeight="1" spans="1:16">
      <c r="A41" s="4" t="s">
        <v>16</v>
      </c>
      <c r="B41" s="4" t="s">
        <v>17</v>
      </c>
      <c r="C41" s="4" t="s">
        <v>209</v>
      </c>
      <c r="D41" s="5" t="s">
        <v>33</v>
      </c>
      <c r="E41" s="8">
        <v>46091.6782013542</v>
      </c>
      <c r="F41" s="4" t="s">
        <v>24</v>
      </c>
      <c r="G41" s="4" t="s">
        <v>25</v>
      </c>
      <c r="H41" s="4">
        <v>13</v>
      </c>
      <c r="I41" s="6">
        <v>3.3</v>
      </c>
      <c r="J41" s="6">
        <f t="shared" ref="J41:J46" si="5">H41*I41</f>
        <v>42.9</v>
      </c>
      <c r="K41" s="4">
        <v>13</v>
      </c>
      <c r="L41" s="6">
        <v>42.9</v>
      </c>
      <c r="M41" s="6"/>
      <c r="N41" s="6"/>
      <c r="O41" s="6" t="s">
        <v>45</v>
      </c>
      <c r="P41" s="6" t="s">
        <v>46</v>
      </c>
    </row>
    <row r="42" ht="22.5" customHeight="1" spans="1:16">
      <c r="A42" s="4" t="s">
        <v>16</v>
      </c>
      <c r="B42" s="4" t="s">
        <v>17</v>
      </c>
      <c r="C42" s="4" t="s">
        <v>209</v>
      </c>
      <c r="D42" s="5" t="s">
        <v>33</v>
      </c>
      <c r="E42" s="8">
        <v>46091.6782013542</v>
      </c>
      <c r="F42" s="4" t="s">
        <v>20</v>
      </c>
      <c r="G42" s="4" t="s">
        <v>21</v>
      </c>
      <c r="H42" s="4">
        <v>1</v>
      </c>
      <c r="I42" s="6">
        <v>3.3</v>
      </c>
      <c r="J42" s="6">
        <f t="shared" si="5"/>
        <v>3.3</v>
      </c>
      <c r="K42" s="4">
        <v>1</v>
      </c>
      <c r="L42" s="6">
        <v>3.3</v>
      </c>
      <c r="M42" s="6"/>
      <c r="N42" s="6"/>
      <c r="O42" s="6" t="s">
        <v>45</v>
      </c>
      <c r="P42" s="6" t="s">
        <v>46</v>
      </c>
    </row>
    <row r="43" ht="22.5" customHeight="1" spans="1:16">
      <c r="A43" s="4" t="s">
        <v>16</v>
      </c>
      <c r="B43" s="4" t="s">
        <v>17</v>
      </c>
      <c r="C43" s="4" t="s">
        <v>210</v>
      </c>
      <c r="D43" s="5" t="s">
        <v>33</v>
      </c>
      <c r="E43" s="8">
        <v>46091.6782037037</v>
      </c>
      <c r="F43" s="4" t="s">
        <v>20</v>
      </c>
      <c r="G43" s="4" t="s">
        <v>21</v>
      </c>
      <c r="H43" s="4">
        <v>1</v>
      </c>
      <c r="I43" s="6">
        <v>3.3</v>
      </c>
      <c r="J43" s="6">
        <f t="shared" si="5"/>
        <v>3.3</v>
      </c>
      <c r="K43" s="4">
        <v>1</v>
      </c>
      <c r="L43" s="6">
        <v>3.3</v>
      </c>
      <c r="M43" s="6"/>
      <c r="N43" s="6"/>
      <c r="O43" s="6" t="s">
        <v>45</v>
      </c>
      <c r="P43" s="6" t="s">
        <v>46</v>
      </c>
    </row>
    <row r="44" ht="22.5" customHeight="1" spans="1:16">
      <c r="A44" s="4" t="s">
        <v>16</v>
      </c>
      <c r="B44" s="4" t="s">
        <v>17</v>
      </c>
      <c r="C44" s="4" t="s">
        <v>210</v>
      </c>
      <c r="D44" s="5" t="s">
        <v>33</v>
      </c>
      <c r="E44" s="8">
        <v>46091.6782037037</v>
      </c>
      <c r="F44" s="4" t="s">
        <v>24</v>
      </c>
      <c r="G44" s="4" t="s">
        <v>25</v>
      </c>
      <c r="H44" s="4">
        <v>16</v>
      </c>
      <c r="I44" s="6">
        <v>3.3</v>
      </c>
      <c r="J44" s="6">
        <f t="shared" si="5"/>
        <v>52.8</v>
      </c>
      <c r="K44" s="4">
        <v>16</v>
      </c>
      <c r="L44" s="6">
        <v>52.8</v>
      </c>
      <c r="M44" s="6"/>
      <c r="N44" s="6"/>
      <c r="O44" s="6" t="s">
        <v>45</v>
      </c>
      <c r="P44" s="6" t="s">
        <v>46</v>
      </c>
    </row>
    <row r="45" ht="22.5" customHeight="1" spans="1:16">
      <c r="A45" s="4" t="s">
        <v>16</v>
      </c>
      <c r="B45" s="4" t="s">
        <v>17</v>
      </c>
      <c r="C45" s="4" t="s">
        <v>211</v>
      </c>
      <c r="D45" s="5" t="s">
        <v>33</v>
      </c>
      <c r="E45" s="8">
        <v>46091.678205706</v>
      </c>
      <c r="F45" s="4" t="s">
        <v>24</v>
      </c>
      <c r="G45" s="4" t="s">
        <v>25</v>
      </c>
      <c r="H45" s="4">
        <v>19</v>
      </c>
      <c r="I45" s="6">
        <v>3.3</v>
      </c>
      <c r="J45" s="6">
        <f t="shared" si="5"/>
        <v>62.7</v>
      </c>
      <c r="K45" s="4">
        <v>19</v>
      </c>
      <c r="L45" s="6">
        <v>62.7</v>
      </c>
      <c r="M45" s="6"/>
      <c r="N45" s="6"/>
      <c r="O45" s="6" t="s">
        <v>45</v>
      </c>
      <c r="P45" s="6" t="s">
        <v>46</v>
      </c>
    </row>
    <row r="46" ht="22.5" customHeight="1" spans="1:16">
      <c r="A46" s="4" t="s">
        <v>16</v>
      </c>
      <c r="B46" s="4" t="s">
        <v>17</v>
      </c>
      <c r="C46" s="4" t="s">
        <v>211</v>
      </c>
      <c r="D46" s="5" t="s">
        <v>33</v>
      </c>
      <c r="E46" s="8">
        <v>46091.678205706</v>
      </c>
      <c r="F46" s="4" t="s">
        <v>20</v>
      </c>
      <c r="G46" s="4" t="s">
        <v>21</v>
      </c>
      <c r="H46" s="4">
        <v>1</v>
      </c>
      <c r="I46" s="6">
        <v>3.3</v>
      </c>
      <c r="J46" s="6">
        <f t="shared" si="5"/>
        <v>3.3</v>
      </c>
      <c r="K46" s="4">
        <v>1</v>
      </c>
      <c r="L46" s="6">
        <v>3.3</v>
      </c>
      <c r="M46" s="6"/>
      <c r="N46" s="6"/>
      <c r="O46" s="6" t="s">
        <v>45</v>
      </c>
      <c r="P46" s="6" t="s">
        <v>46</v>
      </c>
    </row>
    <row r="47" spans="1:16">
      <c r="A47" s="15"/>
      <c r="B47" s="15"/>
      <c r="C47" s="15"/>
      <c r="D47" s="15"/>
      <c r="E47" s="15"/>
      <c r="F47" s="15"/>
      <c r="G47" s="15"/>
      <c r="H47" s="15">
        <f t="shared" ref="H47:N47" si="6">SUM(H2:H46)</f>
        <v>442</v>
      </c>
      <c r="I47" s="15">
        <f t="shared" si="6"/>
        <v>511.8</v>
      </c>
      <c r="J47" s="15">
        <f t="shared" si="6"/>
        <v>1435.8</v>
      </c>
      <c r="K47" s="15">
        <f t="shared" si="6"/>
        <v>440</v>
      </c>
      <c r="L47" s="15">
        <f t="shared" si="6"/>
        <v>1425.9</v>
      </c>
      <c r="M47" s="15">
        <f t="shared" si="6"/>
        <v>2</v>
      </c>
      <c r="N47" s="15">
        <f t="shared" si="6"/>
        <v>9.9</v>
      </c>
      <c r="O47" s="15"/>
      <c r="P47" s="15"/>
    </row>
  </sheetData>
  <autoFilter xmlns:etc="http://www.wps.cn/officeDocument/2017/etCustomData" ref="A1:P47" etc:filterBottomFollowUsedRange="0">
    <extLst/>
  </autoFilter>
  <sortState ref="A2:P47">
    <sortCondition ref="A2"/>
  </sortState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opLeftCell="D1" workbookViewId="0">
      <selection activeCell="D1" sqref="D1:P1"/>
    </sheetView>
  </sheetViews>
  <sheetFormatPr defaultColWidth="9" defaultRowHeight="13.5"/>
  <cols>
    <col min="1" max="1" width="27.0083333333333" customWidth="1"/>
    <col min="2" max="2" width="22.0083333333333" customWidth="1"/>
    <col min="3" max="3" width="24.675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61</v>
      </c>
      <c r="B2" s="4" t="s">
        <v>62</v>
      </c>
      <c r="C2" s="4" t="s">
        <v>212</v>
      </c>
      <c r="D2" s="5" t="s">
        <v>213</v>
      </c>
      <c r="E2" s="5">
        <v>46092.8998240393</v>
      </c>
      <c r="F2" s="4" t="s">
        <v>24</v>
      </c>
      <c r="G2" s="4" t="s">
        <v>49</v>
      </c>
      <c r="H2" s="4">
        <v>7</v>
      </c>
      <c r="I2" s="6">
        <v>3.3</v>
      </c>
      <c r="J2" s="6">
        <f>H2*I2</f>
        <v>23.1</v>
      </c>
      <c r="K2" s="6">
        <v>7</v>
      </c>
      <c r="L2" s="6">
        <v>23.1</v>
      </c>
      <c r="M2" s="6"/>
      <c r="N2" s="6"/>
      <c r="O2" s="6" t="s">
        <v>45</v>
      </c>
      <c r="P2" s="6" t="s">
        <v>46</v>
      </c>
    </row>
    <row r="3" ht="22.5" customHeight="1" spans="1:16">
      <c r="A3" s="4" t="s">
        <v>61</v>
      </c>
      <c r="B3" s="4" t="s">
        <v>62</v>
      </c>
      <c r="C3" s="4" t="s">
        <v>212</v>
      </c>
      <c r="D3" s="5" t="s">
        <v>213</v>
      </c>
      <c r="E3" s="5">
        <v>46092.8998240393</v>
      </c>
      <c r="F3" s="4" t="s">
        <v>24</v>
      </c>
      <c r="G3" s="4" t="s">
        <v>41</v>
      </c>
      <c r="H3" s="4">
        <v>138</v>
      </c>
      <c r="I3" s="6">
        <v>120</v>
      </c>
      <c r="J3" s="6">
        <v>120</v>
      </c>
      <c r="K3" s="6">
        <v>138</v>
      </c>
      <c r="L3" s="6">
        <v>120</v>
      </c>
      <c r="M3" s="6"/>
      <c r="N3" s="6"/>
      <c r="O3" s="6" t="s">
        <v>45</v>
      </c>
      <c r="P3" s="6" t="s">
        <v>46</v>
      </c>
    </row>
    <row r="4" ht="22.5" customHeight="1" spans="1:16">
      <c r="A4" s="4" t="s">
        <v>61</v>
      </c>
      <c r="B4" s="4" t="s">
        <v>62</v>
      </c>
      <c r="C4" s="4" t="s">
        <v>212</v>
      </c>
      <c r="D4" s="5" t="s">
        <v>213</v>
      </c>
      <c r="E4" s="5">
        <v>46092.8998240393</v>
      </c>
      <c r="F4" s="4" t="s">
        <v>24</v>
      </c>
      <c r="G4" s="4" t="s">
        <v>25</v>
      </c>
      <c r="H4" s="4">
        <v>20</v>
      </c>
      <c r="I4" s="6">
        <v>3.3</v>
      </c>
      <c r="J4" s="6">
        <f>H4*I4</f>
        <v>66</v>
      </c>
      <c r="K4" s="6">
        <v>20</v>
      </c>
      <c r="L4" s="6">
        <v>66</v>
      </c>
      <c r="M4" s="6"/>
      <c r="N4" s="6"/>
      <c r="O4" s="6" t="s">
        <v>45</v>
      </c>
      <c r="P4" s="6" t="s">
        <v>46</v>
      </c>
    </row>
    <row r="5" ht="22.5" customHeight="1" spans="1:16">
      <c r="A5" s="4" t="s">
        <v>61</v>
      </c>
      <c r="B5" s="4" t="s">
        <v>62</v>
      </c>
      <c r="C5" s="4" t="s">
        <v>212</v>
      </c>
      <c r="D5" s="5" t="s">
        <v>213</v>
      </c>
      <c r="E5" s="5">
        <v>46092.8998240393</v>
      </c>
      <c r="F5" s="4" t="s">
        <v>20</v>
      </c>
      <c r="G5" s="4" t="s">
        <v>21</v>
      </c>
      <c r="H5" s="4">
        <v>1</v>
      </c>
      <c r="I5" s="6">
        <v>3.3</v>
      </c>
      <c r="J5" s="6">
        <f t="shared" ref="J5:J19" si="0">H5*I5</f>
        <v>3.3</v>
      </c>
      <c r="K5" s="6">
        <v>1</v>
      </c>
      <c r="L5" s="6">
        <v>3.3</v>
      </c>
      <c r="M5" s="6"/>
      <c r="N5" s="6"/>
      <c r="O5" s="6" t="s">
        <v>45</v>
      </c>
      <c r="P5" s="6" t="s">
        <v>46</v>
      </c>
    </row>
    <row r="6" ht="22.5" customHeight="1" spans="1:16">
      <c r="A6" s="4" t="s">
        <v>16</v>
      </c>
      <c r="B6" s="4" t="s">
        <v>17</v>
      </c>
      <c r="C6" s="4" t="s">
        <v>214</v>
      </c>
      <c r="D6" s="5" t="s">
        <v>215</v>
      </c>
      <c r="E6" s="5">
        <v>46092.8999496875</v>
      </c>
      <c r="F6" s="4" t="s">
        <v>20</v>
      </c>
      <c r="G6" s="4" t="s">
        <v>21</v>
      </c>
      <c r="H6" s="4">
        <v>1</v>
      </c>
      <c r="I6" s="6">
        <v>3.3</v>
      </c>
      <c r="J6" s="6">
        <f t="shared" si="0"/>
        <v>3.3</v>
      </c>
      <c r="K6" s="4">
        <v>1</v>
      </c>
      <c r="L6" s="6">
        <f>K6*3.3</f>
        <v>3.3</v>
      </c>
      <c r="M6" s="6"/>
      <c r="N6" s="6"/>
      <c r="O6" s="6" t="s">
        <v>45</v>
      </c>
      <c r="P6" s="6" t="s">
        <v>46</v>
      </c>
    </row>
    <row r="7" ht="22.5" customHeight="1" spans="1:16">
      <c r="A7" s="4" t="s">
        <v>16</v>
      </c>
      <c r="B7" s="4" t="s">
        <v>17</v>
      </c>
      <c r="C7" s="4" t="s">
        <v>214</v>
      </c>
      <c r="D7" s="5" t="s">
        <v>215</v>
      </c>
      <c r="E7" s="5">
        <v>46092.8999496875</v>
      </c>
      <c r="F7" s="4" t="s">
        <v>24</v>
      </c>
      <c r="G7" s="4" t="s">
        <v>25</v>
      </c>
      <c r="H7" s="4">
        <v>35</v>
      </c>
      <c r="I7" s="6">
        <v>3.3</v>
      </c>
      <c r="J7" s="6">
        <f t="shared" si="0"/>
        <v>115.5</v>
      </c>
      <c r="K7" s="4">
        <v>35</v>
      </c>
      <c r="L7" s="6">
        <f t="shared" ref="L7:L19" si="1">K7*3.3</f>
        <v>115.5</v>
      </c>
      <c r="M7" s="6"/>
      <c r="N7" s="6"/>
      <c r="O7" s="6" t="s">
        <v>45</v>
      </c>
      <c r="P7" s="6" t="s">
        <v>46</v>
      </c>
    </row>
    <row r="8" ht="22.5" customHeight="1" spans="1:16">
      <c r="A8" s="4" t="s">
        <v>16</v>
      </c>
      <c r="B8" s="4" t="s">
        <v>17</v>
      </c>
      <c r="C8" s="4" t="s">
        <v>216</v>
      </c>
      <c r="D8" s="5" t="s">
        <v>215</v>
      </c>
      <c r="E8" s="5">
        <v>46092.6840949074</v>
      </c>
      <c r="F8" s="4" t="s">
        <v>24</v>
      </c>
      <c r="G8" s="4" t="s">
        <v>25</v>
      </c>
      <c r="H8" s="4">
        <v>14</v>
      </c>
      <c r="I8" s="6">
        <v>3.3</v>
      </c>
      <c r="J8" s="6">
        <f t="shared" si="0"/>
        <v>46.2</v>
      </c>
      <c r="K8" s="4">
        <v>14</v>
      </c>
      <c r="L8" s="6">
        <f t="shared" si="1"/>
        <v>46.2</v>
      </c>
      <c r="M8" s="6"/>
      <c r="N8" s="6"/>
      <c r="O8" s="6" t="s">
        <v>45</v>
      </c>
      <c r="P8" s="6" t="s">
        <v>46</v>
      </c>
    </row>
    <row r="9" ht="22.5" customHeight="1" spans="1:16">
      <c r="A9" s="4" t="s">
        <v>16</v>
      </c>
      <c r="B9" s="4" t="s">
        <v>17</v>
      </c>
      <c r="C9" s="4" t="s">
        <v>216</v>
      </c>
      <c r="D9" s="5" t="s">
        <v>215</v>
      </c>
      <c r="E9" s="5">
        <v>46092.6840949074</v>
      </c>
      <c r="F9" s="4" t="s">
        <v>20</v>
      </c>
      <c r="G9" s="4" t="s">
        <v>21</v>
      </c>
      <c r="H9" s="4">
        <v>1</v>
      </c>
      <c r="I9" s="6">
        <v>3.3</v>
      </c>
      <c r="J9" s="6">
        <f t="shared" si="0"/>
        <v>3.3</v>
      </c>
      <c r="K9" s="4">
        <v>1</v>
      </c>
      <c r="L9" s="6">
        <f t="shared" si="1"/>
        <v>3.3</v>
      </c>
      <c r="M9" s="6"/>
      <c r="N9" s="6"/>
      <c r="O9" s="6" t="s">
        <v>45</v>
      </c>
      <c r="P9" s="6" t="s">
        <v>46</v>
      </c>
    </row>
    <row r="10" ht="22.5" customHeight="1" spans="1:16">
      <c r="A10" s="4" t="s">
        <v>16</v>
      </c>
      <c r="B10" s="4" t="s">
        <v>17</v>
      </c>
      <c r="C10" s="4" t="s">
        <v>217</v>
      </c>
      <c r="D10" s="5" t="s">
        <v>215</v>
      </c>
      <c r="E10" s="5">
        <v>46092.6840972569</v>
      </c>
      <c r="F10" s="4" t="s">
        <v>20</v>
      </c>
      <c r="G10" s="4" t="s">
        <v>21</v>
      </c>
      <c r="H10" s="4">
        <v>1</v>
      </c>
      <c r="I10" s="6">
        <v>3.3</v>
      </c>
      <c r="J10" s="6">
        <f t="shared" si="0"/>
        <v>3.3</v>
      </c>
      <c r="K10" s="4">
        <v>1</v>
      </c>
      <c r="L10" s="6">
        <f t="shared" si="1"/>
        <v>3.3</v>
      </c>
      <c r="M10" s="6"/>
      <c r="N10" s="6"/>
      <c r="O10" s="6" t="s">
        <v>45</v>
      </c>
      <c r="P10" s="6" t="s">
        <v>46</v>
      </c>
    </row>
    <row r="11" ht="22.5" customHeight="1" spans="1:16">
      <c r="A11" s="4" t="s">
        <v>16</v>
      </c>
      <c r="B11" s="4" t="s">
        <v>17</v>
      </c>
      <c r="C11" s="4" t="s">
        <v>217</v>
      </c>
      <c r="D11" s="5" t="s">
        <v>215</v>
      </c>
      <c r="E11" s="5">
        <v>46092.6840972569</v>
      </c>
      <c r="F11" s="4" t="s">
        <v>24</v>
      </c>
      <c r="G11" s="4" t="s">
        <v>25</v>
      </c>
      <c r="H11" s="4">
        <v>16</v>
      </c>
      <c r="I11" s="6">
        <v>3.3</v>
      </c>
      <c r="J11" s="6">
        <f t="shared" si="0"/>
        <v>52.8</v>
      </c>
      <c r="K11" s="4">
        <v>16</v>
      </c>
      <c r="L11" s="6">
        <f t="shared" si="1"/>
        <v>52.8</v>
      </c>
      <c r="M11" s="6"/>
      <c r="N11" s="6"/>
      <c r="O11" s="6" t="s">
        <v>45</v>
      </c>
      <c r="P11" s="6" t="s">
        <v>46</v>
      </c>
    </row>
    <row r="12" ht="22.5" customHeight="1" spans="1:16">
      <c r="A12" s="4" t="s">
        <v>16</v>
      </c>
      <c r="B12" s="4" t="s">
        <v>17</v>
      </c>
      <c r="C12" s="4" t="s">
        <v>218</v>
      </c>
      <c r="D12" s="5" t="s">
        <v>215</v>
      </c>
      <c r="E12" s="5">
        <v>46092.6840999653</v>
      </c>
      <c r="F12" s="4" t="s">
        <v>24</v>
      </c>
      <c r="G12" s="4" t="s">
        <v>25</v>
      </c>
      <c r="H12" s="4">
        <v>25</v>
      </c>
      <c r="I12" s="6">
        <v>3.3</v>
      </c>
      <c r="J12" s="6">
        <f t="shared" si="0"/>
        <v>82.5</v>
      </c>
      <c r="K12" s="4">
        <v>25</v>
      </c>
      <c r="L12" s="6">
        <f t="shared" si="1"/>
        <v>82.5</v>
      </c>
      <c r="M12" s="6"/>
      <c r="N12" s="6"/>
      <c r="O12" s="6" t="s">
        <v>45</v>
      </c>
      <c r="P12" s="6" t="s">
        <v>46</v>
      </c>
    </row>
    <row r="13" ht="22.5" customHeight="1" spans="1:16">
      <c r="A13" s="4" t="s">
        <v>16</v>
      </c>
      <c r="B13" s="4" t="s">
        <v>17</v>
      </c>
      <c r="C13" s="4" t="s">
        <v>218</v>
      </c>
      <c r="D13" s="5" t="s">
        <v>215</v>
      </c>
      <c r="E13" s="5">
        <v>46092.6840999653</v>
      </c>
      <c r="F13" s="4" t="s">
        <v>20</v>
      </c>
      <c r="G13" s="4" t="s">
        <v>21</v>
      </c>
      <c r="H13" s="4">
        <v>1</v>
      </c>
      <c r="I13" s="6">
        <v>3.3</v>
      </c>
      <c r="J13" s="6">
        <f t="shared" si="0"/>
        <v>3.3</v>
      </c>
      <c r="K13" s="4">
        <v>1</v>
      </c>
      <c r="L13" s="6">
        <f t="shared" si="1"/>
        <v>3.3</v>
      </c>
      <c r="M13" s="6"/>
      <c r="N13" s="6"/>
      <c r="O13" s="6" t="s">
        <v>45</v>
      </c>
      <c r="P13" s="6" t="s">
        <v>46</v>
      </c>
    </row>
    <row r="14" ht="22.5" customHeight="1" spans="1:16">
      <c r="A14" s="4" t="s">
        <v>16</v>
      </c>
      <c r="B14" s="4" t="s">
        <v>17</v>
      </c>
      <c r="C14" s="4" t="s">
        <v>219</v>
      </c>
      <c r="D14" s="5" t="s">
        <v>215</v>
      </c>
      <c r="E14" s="5">
        <v>46092.6841025116</v>
      </c>
      <c r="F14" s="4" t="s">
        <v>24</v>
      </c>
      <c r="G14" s="4" t="s">
        <v>25</v>
      </c>
      <c r="H14" s="4">
        <v>15</v>
      </c>
      <c r="I14" s="6">
        <v>3.3</v>
      </c>
      <c r="J14" s="6">
        <f t="shared" si="0"/>
        <v>49.5</v>
      </c>
      <c r="K14" s="4">
        <v>15</v>
      </c>
      <c r="L14" s="6">
        <f t="shared" si="1"/>
        <v>49.5</v>
      </c>
      <c r="M14" s="6"/>
      <c r="N14" s="6"/>
      <c r="O14" s="6" t="s">
        <v>45</v>
      </c>
      <c r="P14" s="6" t="s">
        <v>46</v>
      </c>
    </row>
    <row r="15" ht="22.5" customHeight="1" spans="1:16">
      <c r="A15" s="4" t="s">
        <v>16</v>
      </c>
      <c r="B15" s="4" t="s">
        <v>17</v>
      </c>
      <c r="C15" s="4" t="s">
        <v>219</v>
      </c>
      <c r="D15" s="5" t="s">
        <v>215</v>
      </c>
      <c r="E15" s="5">
        <v>46092.6841025116</v>
      </c>
      <c r="F15" s="4" t="s">
        <v>20</v>
      </c>
      <c r="G15" s="4" t="s">
        <v>21</v>
      </c>
      <c r="H15" s="4">
        <v>1</v>
      </c>
      <c r="I15" s="6">
        <v>3.3</v>
      </c>
      <c r="J15" s="6">
        <f t="shared" si="0"/>
        <v>3.3</v>
      </c>
      <c r="K15" s="4">
        <v>1</v>
      </c>
      <c r="L15" s="6">
        <f t="shared" si="1"/>
        <v>3.3</v>
      </c>
      <c r="M15" s="6"/>
      <c r="N15" s="6"/>
      <c r="O15" s="6" t="s">
        <v>45</v>
      </c>
      <c r="P15" s="6" t="s">
        <v>46</v>
      </c>
    </row>
    <row r="16" ht="22.5" customHeight="1" spans="1:16">
      <c r="A16" s="4" t="s">
        <v>16</v>
      </c>
      <c r="B16" s="4" t="s">
        <v>17</v>
      </c>
      <c r="C16" s="4" t="s">
        <v>220</v>
      </c>
      <c r="D16" s="5" t="s">
        <v>215</v>
      </c>
      <c r="E16" s="5">
        <v>46092.6841052083</v>
      </c>
      <c r="F16" s="4" t="s">
        <v>24</v>
      </c>
      <c r="G16" s="4" t="s">
        <v>25</v>
      </c>
      <c r="H16" s="4">
        <v>7</v>
      </c>
      <c r="I16" s="6">
        <v>3.3</v>
      </c>
      <c r="J16" s="6">
        <f t="shared" si="0"/>
        <v>23.1</v>
      </c>
      <c r="K16" s="4">
        <v>7</v>
      </c>
      <c r="L16" s="6">
        <f t="shared" si="1"/>
        <v>23.1</v>
      </c>
      <c r="M16" s="6"/>
      <c r="N16" s="6"/>
      <c r="O16" s="6" t="s">
        <v>45</v>
      </c>
      <c r="P16" s="6" t="s">
        <v>46</v>
      </c>
    </row>
    <row r="17" ht="22.5" customHeight="1" spans="1:16">
      <c r="A17" s="4" t="s">
        <v>16</v>
      </c>
      <c r="B17" s="4" t="s">
        <v>17</v>
      </c>
      <c r="C17" s="4" t="s">
        <v>220</v>
      </c>
      <c r="D17" s="5" t="s">
        <v>215</v>
      </c>
      <c r="E17" s="5">
        <v>46092.6841052083</v>
      </c>
      <c r="F17" s="4" t="s">
        <v>20</v>
      </c>
      <c r="G17" s="4" t="s">
        <v>21</v>
      </c>
      <c r="H17" s="4">
        <v>1</v>
      </c>
      <c r="I17" s="6">
        <v>3.3</v>
      </c>
      <c r="J17" s="6">
        <f t="shared" si="0"/>
        <v>3.3</v>
      </c>
      <c r="K17" s="4">
        <v>1</v>
      </c>
      <c r="L17" s="6">
        <f t="shared" si="1"/>
        <v>3.3</v>
      </c>
      <c r="M17" s="6"/>
      <c r="N17" s="6"/>
      <c r="O17" s="6" t="s">
        <v>45</v>
      </c>
      <c r="P17" s="6" t="s">
        <v>46</v>
      </c>
    </row>
    <row r="18" ht="22.5" customHeight="1" spans="1:16">
      <c r="A18" s="4" t="s">
        <v>16</v>
      </c>
      <c r="B18" s="4" t="s">
        <v>17</v>
      </c>
      <c r="C18" s="4" t="s">
        <v>221</v>
      </c>
      <c r="D18" s="5" t="s">
        <v>215</v>
      </c>
      <c r="E18" s="5">
        <v>46092.6840949074</v>
      </c>
      <c r="F18" s="4" t="s">
        <v>24</v>
      </c>
      <c r="G18" s="4" t="s">
        <v>25</v>
      </c>
      <c r="H18" s="4">
        <v>30</v>
      </c>
      <c r="I18" s="6">
        <v>3.3</v>
      </c>
      <c r="J18" s="6">
        <f t="shared" si="0"/>
        <v>99</v>
      </c>
      <c r="K18" s="4">
        <v>30</v>
      </c>
      <c r="L18" s="6">
        <f t="shared" si="1"/>
        <v>99</v>
      </c>
      <c r="M18" s="6"/>
      <c r="N18" s="6"/>
      <c r="O18" s="6" t="s">
        <v>45</v>
      </c>
      <c r="P18" s="6" t="s">
        <v>46</v>
      </c>
    </row>
    <row r="19" ht="22.5" customHeight="1" spans="1:16">
      <c r="A19" s="4" t="s">
        <v>16</v>
      </c>
      <c r="B19" s="4" t="s">
        <v>17</v>
      </c>
      <c r="C19" s="4" t="s">
        <v>221</v>
      </c>
      <c r="D19" s="5" t="s">
        <v>215</v>
      </c>
      <c r="E19" s="5">
        <v>46092.6840949074</v>
      </c>
      <c r="F19" s="4" t="s">
        <v>20</v>
      </c>
      <c r="G19" s="4" t="s">
        <v>21</v>
      </c>
      <c r="H19" s="4">
        <v>1</v>
      </c>
      <c r="I19" s="6">
        <v>3.3</v>
      </c>
      <c r="J19" s="6">
        <f t="shared" si="0"/>
        <v>3.3</v>
      </c>
      <c r="K19" s="4">
        <v>1</v>
      </c>
      <c r="L19" s="6">
        <f t="shared" si="1"/>
        <v>3.3</v>
      </c>
      <c r="M19" s="6"/>
      <c r="N19" s="6"/>
      <c r="O19" s="6" t="s">
        <v>45</v>
      </c>
      <c r="P19" s="6" t="s">
        <v>46</v>
      </c>
    </row>
    <row r="20" spans="1:16">
      <c r="A20" s="15"/>
      <c r="B20" s="15"/>
      <c r="C20" s="15"/>
      <c r="D20" s="15"/>
      <c r="E20" s="15"/>
      <c r="F20" s="15"/>
      <c r="G20" s="15"/>
      <c r="H20" s="15">
        <f t="shared" ref="H20:N20" si="2">SUM(H2:H19)</f>
        <v>315</v>
      </c>
      <c r="I20" s="15">
        <f t="shared" si="2"/>
        <v>176.1</v>
      </c>
      <c r="J20" s="15">
        <f t="shared" si="2"/>
        <v>704.1</v>
      </c>
      <c r="K20" s="15">
        <f t="shared" si="2"/>
        <v>315</v>
      </c>
      <c r="L20" s="15">
        <f t="shared" si="2"/>
        <v>704.1</v>
      </c>
      <c r="M20" s="15">
        <f t="shared" si="2"/>
        <v>0</v>
      </c>
      <c r="N20" s="15">
        <f t="shared" si="2"/>
        <v>0</v>
      </c>
      <c r="O20" s="15"/>
      <c r="P20" s="15"/>
    </row>
  </sheetData>
  <sortState ref="A2:P20">
    <sortCondition ref="C2"/>
  </sortState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5"/>
  <sheetViews>
    <sheetView topLeftCell="A75" workbookViewId="0">
      <selection activeCell="D1" sqref="D1:P1"/>
    </sheetView>
  </sheetViews>
  <sheetFormatPr defaultColWidth="9" defaultRowHeight="13.5"/>
  <cols>
    <col min="1" max="1" width="30.0083333333333" style="7" customWidth="1"/>
    <col min="2" max="2" width="27.0083333333333" style="7" customWidth="1"/>
    <col min="3" max="3" width="27.675" style="7" customWidth="1"/>
    <col min="4" max="4" width="21" style="7" customWidth="1"/>
    <col min="5" max="5" width="13.3416666666667" style="7" customWidth="1"/>
    <col min="6" max="6" width="12.3416666666667" style="7" customWidth="1"/>
    <col min="7" max="7" width="15.0083333333333" style="7" customWidth="1"/>
    <col min="8" max="8" width="12.3416666666667" style="7" customWidth="1"/>
    <col min="9" max="10" width="8.675" style="7" customWidth="1"/>
    <col min="11" max="12" width="17.8416666666667" style="7" customWidth="1"/>
    <col min="13" max="14" width="16.0083333333333" style="7" customWidth="1"/>
    <col min="15" max="16" width="8.675" style="7" customWidth="1"/>
    <col min="17" max="16384" width="9" style="7"/>
  </cols>
  <sheetData>
    <row r="1" s="7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="7" customFormat="1" ht="22.5" customHeight="1" spans="1:16">
      <c r="A2" s="4" t="s">
        <v>30</v>
      </c>
      <c r="B2" s="4" t="s">
        <v>42</v>
      </c>
      <c r="C2" s="4" t="s">
        <v>222</v>
      </c>
      <c r="D2" s="5" t="s">
        <v>223</v>
      </c>
      <c r="E2" s="5">
        <v>46093.6815638079</v>
      </c>
      <c r="F2" s="4" t="s">
        <v>24</v>
      </c>
      <c r="G2" s="4" t="s">
        <v>49</v>
      </c>
      <c r="H2" s="4">
        <v>5</v>
      </c>
      <c r="I2" s="11">
        <v>3.3</v>
      </c>
      <c r="J2" s="11">
        <f>H2*I2</f>
        <v>16.5</v>
      </c>
      <c r="K2" s="4">
        <v>5</v>
      </c>
      <c r="L2" s="11">
        <f>K2*3.3</f>
        <v>16.5</v>
      </c>
      <c r="M2" s="11"/>
      <c r="N2" s="11"/>
      <c r="O2" s="11" t="s">
        <v>45</v>
      </c>
      <c r="P2" s="11" t="s">
        <v>46</v>
      </c>
    </row>
    <row r="3" s="7" customFormat="1" ht="22.5" customHeight="1" spans="1:16">
      <c r="A3" s="4" t="s">
        <v>30</v>
      </c>
      <c r="B3" s="4" t="s">
        <v>42</v>
      </c>
      <c r="C3" s="4" t="s">
        <v>222</v>
      </c>
      <c r="D3" s="5" t="s">
        <v>223</v>
      </c>
      <c r="E3" s="5">
        <v>46093.6815638079</v>
      </c>
      <c r="F3" s="4" t="s">
        <v>20</v>
      </c>
      <c r="G3" s="4" t="s">
        <v>21</v>
      </c>
      <c r="H3" s="4">
        <v>1</v>
      </c>
      <c r="I3" s="11">
        <v>3.3</v>
      </c>
      <c r="J3" s="11">
        <f t="shared" ref="J3:J13" si="0">H3*I3</f>
        <v>3.3</v>
      </c>
      <c r="K3" s="4">
        <v>1</v>
      </c>
      <c r="L3" s="11">
        <f t="shared" ref="L3:L11" si="1">K3*3.3</f>
        <v>3.3</v>
      </c>
      <c r="M3" s="11"/>
      <c r="N3" s="11"/>
      <c r="O3" s="11" t="s">
        <v>45</v>
      </c>
      <c r="P3" s="11" t="s">
        <v>46</v>
      </c>
    </row>
    <row r="4" s="7" customFormat="1" ht="22.5" customHeight="1" spans="1:16">
      <c r="A4" s="4" t="s">
        <v>30</v>
      </c>
      <c r="B4" s="4" t="s">
        <v>42</v>
      </c>
      <c r="C4" s="4" t="s">
        <v>222</v>
      </c>
      <c r="D4" s="5" t="s">
        <v>223</v>
      </c>
      <c r="E4" s="5">
        <v>46093.6815638079</v>
      </c>
      <c r="F4" s="4" t="s">
        <v>24</v>
      </c>
      <c r="G4" s="4" t="s">
        <v>41</v>
      </c>
      <c r="H4" s="4">
        <v>178</v>
      </c>
      <c r="I4" s="11">
        <v>120</v>
      </c>
      <c r="J4" s="11">
        <v>120</v>
      </c>
      <c r="K4" s="4">
        <v>178</v>
      </c>
      <c r="L4" s="11">
        <v>120</v>
      </c>
      <c r="M4" s="11"/>
      <c r="N4" s="11"/>
      <c r="O4" s="11" t="s">
        <v>45</v>
      </c>
      <c r="P4" s="11" t="s">
        <v>46</v>
      </c>
    </row>
    <row r="5" s="7" customFormat="1" ht="22.5" customHeight="1" spans="1:16">
      <c r="A5" s="4" t="s">
        <v>30</v>
      </c>
      <c r="B5" s="4" t="s">
        <v>42</v>
      </c>
      <c r="C5" s="4" t="s">
        <v>222</v>
      </c>
      <c r="D5" s="5" t="s">
        <v>223</v>
      </c>
      <c r="E5" s="5">
        <v>46093.6815638079</v>
      </c>
      <c r="F5" s="4" t="s">
        <v>24</v>
      </c>
      <c r="G5" s="4" t="s">
        <v>25</v>
      </c>
      <c r="H5" s="4">
        <v>16</v>
      </c>
      <c r="I5" s="11">
        <v>3.3</v>
      </c>
      <c r="J5" s="11">
        <f t="shared" si="0"/>
        <v>52.8</v>
      </c>
      <c r="K5" s="4">
        <v>16</v>
      </c>
      <c r="L5" s="11">
        <f t="shared" si="1"/>
        <v>52.8</v>
      </c>
      <c r="M5" s="11"/>
      <c r="N5" s="11"/>
      <c r="O5" s="11" t="s">
        <v>45</v>
      </c>
      <c r="P5" s="11" t="s">
        <v>46</v>
      </c>
    </row>
    <row r="6" s="7" customFormat="1" ht="22.5" customHeight="1" spans="1:16">
      <c r="A6" s="4" t="s">
        <v>30</v>
      </c>
      <c r="B6" s="4" t="s">
        <v>42</v>
      </c>
      <c r="C6" s="4" t="s">
        <v>224</v>
      </c>
      <c r="D6" s="5" t="s">
        <v>223</v>
      </c>
      <c r="E6" s="5">
        <v>46093.6815692477</v>
      </c>
      <c r="F6" s="4" t="s">
        <v>24</v>
      </c>
      <c r="G6" s="4" t="s">
        <v>25</v>
      </c>
      <c r="H6" s="4">
        <v>14</v>
      </c>
      <c r="I6" s="11">
        <v>3.3</v>
      </c>
      <c r="J6" s="11">
        <f t="shared" si="0"/>
        <v>46.2</v>
      </c>
      <c r="K6" s="4">
        <v>14</v>
      </c>
      <c r="L6" s="11">
        <f t="shared" si="1"/>
        <v>46.2</v>
      </c>
      <c r="M6" s="11"/>
      <c r="N6" s="11"/>
      <c r="O6" s="11" t="s">
        <v>45</v>
      </c>
      <c r="P6" s="11" t="s">
        <v>46</v>
      </c>
    </row>
    <row r="7" s="7" customFormat="1" ht="22.5" customHeight="1" spans="1:16">
      <c r="A7" s="4" t="s">
        <v>30</v>
      </c>
      <c r="B7" s="4" t="s">
        <v>42</v>
      </c>
      <c r="C7" s="4" t="s">
        <v>224</v>
      </c>
      <c r="D7" s="5" t="s">
        <v>223</v>
      </c>
      <c r="E7" s="5">
        <v>46093.6815692477</v>
      </c>
      <c r="F7" s="4" t="s">
        <v>24</v>
      </c>
      <c r="G7" s="4" t="s">
        <v>41</v>
      </c>
      <c r="H7" s="4">
        <v>158</v>
      </c>
      <c r="I7" s="11">
        <v>30</v>
      </c>
      <c r="J7" s="11">
        <v>30</v>
      </c>
      <c r="K7" s="4">
        <v>158</v>
      </c>
      <c r="L7" s="11">
        <v>30</v>
      </c>
      <c r="M7" s="11"/>
      <c r="N7" s="11"/>
      <c r="O7" s="11" t="s">
        <v>45</v>
      </c>
      <c r="P7" s="11" t="s">
        <v>46</v>
      </c>
    </row>
    <row r="8" s="7" customFormat="1" ht="22.5" customHeight="1" spans="1:16">
      <c r="A8" s="4" t="s">
        <v>30</v>
      </c>
      <c r="B8" s="4" t="s">
        <v>42</v>
      </c>
      <c r="C8" s="4" t="s">
        <v>224</v>
      </c>
      <c r="D8" s="5" t="s">
        <v>223</v>
      </c>
      <c r="E8" s="5">
        <v>46093.6815692477</v>
      </c>
      <c r="F8" s="4" t="s">
        <v>20</v>
      </c>
      <c r="G8" s="4" t="s">
        <v>21</v>
      </c>
      <c r="H8" s="4">
        <v>1</v>
      </c>
      <c r="I8" s="11">
        <v>3.3</v>
      </c>
      <c r="J8" s="11">
        <f t="shared" si="0"/>
        <v>3.3</v>
      </c>
      <c r="K8" s="4">
        <v>1</v>
      </c>
      <c r="L8" s="11">
        <f t="shared" si="1"/>
        <v>3.3</v>
      </c>
      <c r="M8" s="11"/>
      <c r="N8" s="11"/>
      <c r="O8" s="11" t="s">
        <v>45</v>
      </c>
      <c r="P8" s="11" t="s">
        <v>46</v>
      </c>
    </row>
    <row r="9" s="7" customFormat="1" ht="22.5" customHeight="1" spans="1:16">
      <c r="A9" s="4" t="s">
        <v>30</v>
      </c>
      <c r="B9" s="4" t="s">
        <v>42</v>
      </c>
      <c r="C9" s="4" t="s">
        <v>225</v>
      </c>
      <c r="D9" s="5" t="s">
        <v>223</v>
      </c>
      <c r="E9" s="5">
        <v>46093.6815739583</v>
      </c>
      <c r="F9" s="4" t="s">
        <v>20</v>
      </c>
      <c r="G9" s="4" t="s">
        <v>21</v>
      </c>
      <c r="H9" s="4">
        <v>1</v>
      </c>
      <c r="I9" s="11">
        <v>3.3</v>
      </c>
      <c r="J9" s="11">
        <f t="shared" si="0"/>
        <v>3.3</v>
      </c>
      <c r="K9" s="4">
        <v>1</v>
      </c>
      <c r="L9" s="11">
        <f t="shared" si="1"/>
        <v>3.3</v>
      </c>
      <c r="M9" s="11"/>
      <c r="N9" s="11"/>
      <c r="O9" s="11" t="s">
        <v>45</v>
      </c>
      <c r="P9" s="11" t="s">
        <v>46</v>
      </c>
    </row>
    <row r="10" s="7" customFormat="1" ht="22.5" customHeight="1" spans="1:16">
      <c r="A10" s="4" t="s">
        <v>30</v>
      </c>
      <c r="B10" s="4" t="s">
        <v>42</v>
      </c>
      <c r="C10" s="4" t="s">
        <v>225</v>
      </c>
      <c r="D10" s="5" t="s">
        <v>223</v>
      </c>
      <c r="E10" s="5">
        <v>46093.6815739583</v>
      </c>
      <c r="F10" s="4" t="s">
        <v>24</v>
      </c>
      <c r="G10" s="4" t="s">
        <v>41</v>
      </c>
      <c r="H10" s="4">
        <v>46</v>
      </c>
      <c r="I10" s="11">
        <v>30</v>
      </c>
      <c r="J10" s="11">
        <v>30</v>
      </c>
      <c r="K10" s="4">
        <v>46</v>
      </c>
      <c r="L10" s="11">
        <v>30</v>
      </c>
      <c r="M10" s="11"/>
      <c r="N10" s="11"/>
      <c r="O10" s="11" t="s">
        <v>45</v>
      </c>
      <c r="P10" s="11" t="s">
        <v>46</v>
      </c>
    </row>
    <row r="11" s="7" customFormat="1" ht="22.5" customHeight="1" spans="1:16">
      <c r="A11" s="4" t="s">
        <v>30</v>
      </c>
      <c r="B11" s="4" t="s">
        <v>42</v>
      </c>
      <c r="C11" s="4" t="s">
        <v>225</v>
      </c>
      <c r="D11" s="5" t="s">
        <v>223</v>
      </c>
      <c r="E11" s="5">
        <v>46093.6815739583</v>
      </c>
      <c r="F11" s="4" t="s">
        <v>24</v>
      </c>
      <c r="G11" s="4" t="s">
        <v>25</v>
      </c>
      <c r="H11" s="4">
        <v>11</v>
      </c>
      <c r="I11" s="11">
        <v>3.3</v>
      </c>
      <c r="J11" s="11">
        <f t="shared" si="0"/>
        <v>36.3</v>
      </c>
      <c r="K11" s="4">
        <v>11</v>
      </c>
      <c r="L11" s="11">
        <f t="shared" si="1"/>
        <v>36.3</v>
      </c>
      <c r="M11" s="11"/>
      <c r="N11" s="11"/>
      <c r="O11" s="11" t="s">
        <v>45</v>
      </c>
      <c r="P11" s="11" t="s">
        <v>46</v>
      </c>
    </row>
    <row r="12" s="7" customFormat="1" ht="22.5" customHeight="1" spans="1:16">
      <c r="A12" s="4" t="s">
        <v>30</v>
      </c>
      <c r="B12" s="4" t="s">
        <v>42</v>
      </c>
      <c r="C12" s="4" t="s">
        <v>226</v>
      </c>
      <c r="D12" s="5" t="s">
        <v>227</v>
      </c>
      <c r="E12" s="5">
        <v>46093.9562265857</v>
      </c>
      <c r="F12" s="4" t="s">
        <v>20</v>
      </c>
      <c r="G12" s="4" t="s">
        <v>21</v>
      </c>
      <c r="H12" s="4">
        <v>1</v>
      </c>
      <c r="I12" s="11">
        <v>3.3</v>
      </c>
      <c r="J12" s="11">
        <f t="shared" si="0"/>
        <v>3.3</v>
      </c>
      <c r="K12" s="11">
        <v>1</v>
      </c>
      <c r="L12" s="11">
        <v>3.3</v>
      </c>
      <c r="M12" s="11"/>
      <c r="N12" s="11"/>
      <c r="O12" s="11" t="s">
        <v>51</v>
      </c>
      <c r="P12" s="11" t="s">
        <v>52</v>
      </c>
    </row>
    <row r="13" s="7" customFormat="1" ht="22.5" customHeight="1" spans="1:16">
      <c r="A13" s="4" t="s">
        <v>30</v>
      </c>
      <c r="B13" s="4" t="s">
        <v>42</v>
      </c>
      <c r="C13" s="4" t="s">
        <v>226</v>
      </c>
      <c r="D13" s="5" t="s">
        <v>227</v>
      </c>
      <c r="E13" s="5">
        <v>46093.9562265857</v>
      </c>
      <c r="F13" s="4" t="s">
        <v>24</v>
      </c>
      <c r="G13" s="4" t="s">
        <v>25</v>
      </c>
      <c r="H13" s="4">
        <v>14</v>
      </c>
      <c r="I13" s="11">
        <v>3.3</v>
      </c>
      <c r="J13" s="11">
        <f t="shared" si="0"/>
        <v>46.2</v>
      </c>
      <c r="K13" s="11">
        <v>14</v>
      </c>
      <c r="L13" s="11">
        <v>46.2</v>
      </c>
      <c r="M13" s="11"/>
      <c r="N13" s="11"/>
      <c r="O13" s="11" t="s">
        <v>51</v>
      </c>
      <c r="P13" s="11" t="s">
        <v>52</v>
      </c>
    </row>
    <row r="14" s="7" customFormat="1" ht="22.5" customHeight="1" spans="1:16">
      <c r="A14" s="4" t="s">
        <v>30</v>
      </c>
      <c r="B14" s="4" t="s">
        <v>42</v>
      </c>
      <c r="C14" s="4" t="s">
        <v>226</v>
      </c>
      <c r="D14" s="5" t="s">
        <v>227</v>
      </c>
      <c r="E14" s="5">
        <v>46093.9562285532</v>
      </c>
      <c r="F14" s="4" t="s">
        <v>24</v>
      </c>
      <c r="G14" s="4" t="s">
        <v>25</v>
      </c>
      <c r="H14" s="4">
        <v>1</v>
      </c>
      <c r="I14" s="11">
        <v>6.3</v>
      </c>
      <c r="J14" s="11">
        <v>6.3</v>
      </c>
      <c r="K14" s="11">
        <v>1</v>
      </c>
      <c r="L14" s="11">
        <v>6.3</v>
      </c>
      <c r="M14" s="11"/>
      <c r="N14" s="11"/>
      <c r="O14" s="11" t="s">
        <v>51</v>
      </c>
      <c r="P14" s="11" t="s">
        <v>52</v>
      </c>
    </row>
    <row r="15" s="7" customFormat="1" ht="22.5" customHeight="1" spans="1:16">
      <c r="A15" s="4" t="s">
        <v>30</v>
      </c>
      <c r="B15" s="4" t="s">
        <v>31</v>
      </c>
      <c r="C15" s="4" t="s">
        <v>228</v>
      </c>
      <c r="D15" s="5" t="s">
        <v>89</v>
      </c>
      <c r="E15" s="5">
        <v>46093.9561482639</v>
      </c>
      <c r="F15" s="4" t="s">
        <v>20</v>
      </c>
      <c r="G15" s="4" t="s">
        <v>21</v>
      </c>
      <c r="H15" s="4">
        <v>1</v>
      </c>
      <c r="I15" s="11">
        <v>3.3</v>
      </c>
      <c r="J15" s="11">
        <f>H15*I15</f>
        <v>3.3</v>
      </c>
      <c r="K15" s="11">
        <v>1</v>
      </c>
      <c r="L15" s="11">
        <v>3.3</v>
      </c>
      <c r="M15" s="11"/>
      <c r="N15" s="11"/>
      <c r="O15" s="11" t="s">
        <v>34</v>
      </c>
      <c r="P15" s="11" t="s">
        <v>87</v>
      </c>
    </row>
    <row r="16" s="7" customFormat="1" ht="22.5" customHeight="1" spans="1:16">
      <c r="A16" s="4" t="s">
        <v>30</v>
      </c>
      <c r="B16" s="4" t="s">
        <v>31</v>
      </c>
      <c r="C16" s="4" t="s">
        <v>228</v>
      </c>
      <c r="D16" s="5" t="s">
        <v>89</v>
      </c>
      <c r="E16" s="5">
        <v>46093.9561482639</v>
      </c>
      <c r="F16" s="4" t="s">
        <v>24</v>
      </c>
      <c r="G16" s="4" t="s">
        <v>25</v>
      </c>
      <c r="H16" s="4">
        <v>15</v>
      </c>
      <c r="I16" s="11">
        <v>3.3</v>
      </c>
      <c r="J16" s="11">
        <f t="shared" ref="J16:J24" si="2">H16*I16</f>
        <v>49.5</v>
      </c>
      <c r="K16" s="4">
        <v>15</v>
      </c>
      <c r="L16" s="11">
        <f>K16*3.3</f>
        <v>49.5</v>
      </c>
      <c r="M16" s="11"/>
      <c r="N16" s="11"/>
      <c r="O16" s="11" t="s">
        <v>34</v>
      </c>
      <c r="P16" s="11" t="s">
        <v>87</v>
      </c>
    </row>
    <row r="17" s="7" customFormat="1" ht="22.5" customHeight="1" spans="1:16">
      <c r="A17" s="4" t="s">
        <v>30</v>
      </c>
      <c r="B17" s="4" t="s">
        <v>31</v>
      </c>
      <c r="C17" s="4" t="s">
        <v>229</v>
      </c>
      <c r="D17" s="5" t="s">
        <v>89</v>
      </c>
      <c r="E17" s="5">
        <v>46093.6814629282</v>
      </c>
      <c r="F17" s="4" t="s">
        <v>20</v>
      </c>
      <c r="G17" s="4" t="s">
        <v>21</v>
      </c>
      <c r="H17" s="4">
        <v>1</v>
      </c>
      <c r="I17" s="11">
        <v>3.3</v>
      </c>
      <c r="J17" s="11">
        <f t="shared" si="2"/>
        <v>3.3</v>
      </c>
      <c r="K17" s="4">
        <v>1</v>
      </c>
      <c r="L17" s="11">
        <f t="shared" ref="L17:L24" si="3">K17*3.3</f>
        <v>3.3</v>
      </c>
      <c r="M17" s="11"/>
      <c r="N17" s="11"/>
      <c r="O17" s="11" t="s">
        <v>34</v>
      </c>
      <c r="P17" s="11" t="s">
        <v>87</v>
      </c>
    </row>
    <row r="18" s="7" customFormat="1" ht="22.5" customHeight="1" spans="1:16">
      <c r="A18" s="4" t="s">
        <v>30</v>
      </c>
      <c r="B18" s="4" t="s">
        <v>31</v>
      </c>
      <c r="C18" s="4" t="s">
        <v>229</v>
      </c>
      <c r="D18" s="5" t="s">
        <v>89</v>
      </c>
      <c r="E18" s="5">
        <v>46093.6814629282</v>
      </c>
      <c r="F18" s="4" t="s">
        <v>24</v>
      </c>
      <c r="G18" s="4" t="s">
        <v>25</v>
      </c>
      <c r="H18" s="4">
        <v>23</v>
      </c>
      <c r="I18" s="11">
        <v>3.3</v>
      </c>
      <c r="J18" s="11">
        <f t="shared" si="2"/>
        <v>75.9</v>
      </c>
      <c r="K18" s="4">
        <v>23</v>
      </c>
      <c r="L18" s="11">
        <f t="shared" si="3"/>
        <v>75.9</v>
      </c>
      <c r="M18" s="11"/>
      <c r="N18" s="11"/>
      <c r="O18" s="11" t="s">
        <v>34</v>
      </c>
      <c r="P18" s="11" t="s">
        <v>87</v>
      </c>
    </row>
    <row r="19" s="7" customFormat="1" ht="22.5" customHeight="1" spans="1:16">
      <c r="A19" s="4" t="s">
        <v>30</v>
      </c>
      <c r="B19" s="4" t="s">
        <v>31</v>
      </c>
      <c r="C19" s="4" t="s">
        <v>230</v>
      </c>
      <c r="D19" s="5" t="s">
        <v>89</v>
      </c>
      <c r="E19" s="5">
        <v>46093.956150081</v>
      </c>
      <c r="F19" s="4" t="s">
        <v>24</v>
      </c>
      <c r="G19" s="4" t="s">
        <v>25</v>
      </c>
      <c r="H19" s="4">
        <v>27</v>
      </c>
      <c r="I19" s="11">
        <v>3.3</v>
      </c>
      <c r="J19" s="11">
        <f t="shared" si="2"/>
        <v>89.1</v>
      </c>
      <c r="K19" s="4">
        <v>27</v>
      </c>
      <c r="L19" s="11">
        <f t="shared" si="3"/>
        <v>89.1</v>
      </c>
      <c r="M19" s="11"/>
      <c r="N19" s="11"/>
      <c r="O19" s="11" t="s">
        <v>34</v>
      </c>
      <c r="P19" s="11" t="s">
        <v>87</v>
      </c>
    </row>
    <row r="20" s="7" customFormat="1" ht="22.5" customHeight="1" spans="1:16">
      <c r="A20" s="4" t="s">
        <v>30</v>
      </c>
      <c r="B20" s="4" t="s">
        <v>31</v>
      </c>
      <c r="C20" s="4" t="s">
        <v>230</v>
      </c>
      <c r="D20" s="5" t="s">
        <v>89</v>
      </c>
      <c r="E20" s="5">
        <v>46093.956150081</v>
      </c>
      <c r="F20" s="4" t="s">
        <v>20</v>
      </c>
      <c r="G20" s="4" t="s">
        <v>21</v>
      </c>
      <c r="H20" s="4">
        <v>1</v>
      </c>
      <c r="I20" s="11">
        <v>3.3</v>
      </c>
      <c r="J20" s="11">
        <f t="shared" si="2"/>
        <v>3.3</v>
      </c>
      <c r="K20" s="4">
        <v>1</v>
      </c>
      <c r="L20" s="11">
        <f t="shared" si="3"/>
        <v>3.3</v>
      </c>
      <c r="M20" s="11"/>
      <c r="N20" s="11"/>
      <c r="O20" s="11" t="s">
        <v>34</v>
      </c>
      <c r="P20" s="11" t="s">
        <v>87</v>
      </c>
    </row>
    <row r="21" s="7" customFormat="1" ht="22.5" customHeight="1" spans="1:16">
      <c r="A21" s="4" t="s">
        <v>30</v>
      </c>
      <c r="B21" s="4" t="s">
        <v>31</v>
      </c>
      <c r="C21" s="4" t="s">
        <v>231</v>
      </c>
      <c r="D21" s="5" t="s">
        <v>89</v>
      </c>
      <c r="E21" s="5">
        <v>46093.6814692477</v>
      </c>
      <c r="F21" s="4" t="s">
        <v>20</v>
      </c>
      <c r="G21" s="4" t="s">
        <v>21</v>
      </c>
      <c r="H21" s="4">
        <v>1</v>
      </c>
      <c r="I21" s="11">
        <v>3.3</v>
      </c>
      <c r="J21" s="11">
        <f t="shared" si="2"/>
        <v>3.3</v>
      </c>
      <c r="K21" s="4">
        <v>1</v>
      </c>
      <c r="L21" s="11">
        <f t="shared" si="3"/>
        <v>3.3</v>
      </c>
      <c r="M21" s="11"/>
      <c r="N21" s="11"/>
      <c r="O21" s="11" t="s">
        <v>34</v>
      </c>
      <c r="P21" s="11" t="s">
        <v>87</v>
      </c>
    </row>
    <row r="22" s="7" customFormat="1" ht="22.5" customHeight="1" spans="1:16">
      <c r="A22" s="4" t="s">
        <v>30</v>
      </c>
      <c r="B22" s="4" t="s">
        <v>31</v>
      </c>
      <c r="C22" s="4" t="s">
        <v>231</v>
      </c>
      <c r="D22" s="5" t="s">
        <v>89</v>
      </c>
      <c r="E22" s="5">
        <v>46093.6814692477</v>
      </c>
      <c r="F22" s="4" t="s">
        <v>24</v>
      </c>
      <c r="G22" s="4" t="s">
        <v>25</v>
      </c>
      <c r="H22" s="4">
        <v>14</v>
      </c>
      <c r="I22" s="11">
        <v>3.3</v>
      </c>
      <c r="J22" s="11">
        <f t="shared" si="2"/>
        <v>46.2</v>
      </c>
      <c r="K22" s="4">
        <v>14</v>
      </c>
      <c r="L22" s="11">
        <f t="shared" si="3"/>
        <v>46.2</v>
      </c>
      <c r="M22" s="11"/>
      <c r="N22" s="11"/>
      <c r="O22" s="11" t="s">
        <v>34</v>
      </c>
      <c r="P22" s="11" t="s">
        <v>87</v>
      </c>
    </row>
    <row r="23" s="7" customFormat="1" ht="22.5" customHeight="1" spans="1:16">
      <c r="A23" s="4" t="s">
        <v>30</v>
      </c>
      <c r="B23" s="4" t="s">
        <v>31</v>
      </c>
      <c r="C23" s="4" t="s">
        <v>232</v>
      </c>
      <c r="D23" s="5" t="s">
        <v>89</v>
      </c>
      <c r="E23" s="5">
        <v>46093.6814739583</v>
      </c>
      <c r="F23" s="4" t="s">
        <v>24</v>
      </c>
      <c r="G23" s="4" t="s">
        <v>25</v>
      </c>
      <c r="H23" s="4">
        <v>16</v>
      </c>
      <c r="I23" s="11">
        <v>3.3</v>
      </c>
      <c r="J23" s="11">
        <f t="shared" si="2"/>
        <v>52.8</v>
      </c>
      <c r="K23" s="4">
        <v>16</v>
      </c>
      <c r="L23" s="11">
        <f t="shared" si="3"/>
        <v>52.8</v>
      </c>
      <c r="M23" s="11"/>
      <c r="N23" s="11"/>
      <c r="O23" s="11" t="s">
        <v>34</v>
      </c>
      <c r="P23" s="11" t="s">
        <v>87</v>
      </c>
    </row>
    <row r="24" s="7" customFormat="1" ht="22.5" customHeight="1" spans="1:16">
      <c r="A24" s="4" t="s">
        <v>30</v>
      </c>
      <c r="B24" s="4" t="s">
        <v>31</v>
      </c>
      <c r="C24" s="4" t="s">
        <v>232</v>
      </c>
      <c r="D24" s="5" t="s">
        <v>89</v>
      </c>
      <c r="E24" s="5">
        <v>46093.6814739583</v>
      </c>
      <c r="F24" s="4" t="s">
        <v>20</v>
      </c>
      <c r="G24" s="4" t="s">
        <v>21</v>
      </c>
      <c r="H24" s="4">
        <v>1</v>
      </c>
      <c r="I24" s="11">
        <v>3.3</v>
      </c>
      <c r="J24" s="11">
        <f t="shared" si="2"/>
        <v>3.3</v>
      </c>
      <c r="K24" s="4">
        <v>1</v>
      </c>
      <c r="L24" s="11">
        <f t="shared" si="3"/>
        <v>3.3</v>
      </c>
      <c r="M24" s="11"/>
      <c r="N24" s="11"/>
      <c r="O24" s="11" t="s">
        <v>34</v>
      </c>
      <c r="P24" s="11" t="s">
        <v>87</v>
      </c>
    </row>
    <row r="25" s="7" customFormat="1" ht="22.5" customHeight="1" spans="1:16">
      <c r="A25" s="4" t="s">
        <v>30</v>
      </c>
      <c r="B25" s="4" t="s">
        <v>31</v>
      </c>
      <c r="C25" s="4" t="s">
        <v>233</v>
      </c>
      <c r="D25" s="5" t="s">
        <v>89</v>
      </c>
      <c r="E25" s="5">
        <v>46093.6814788194</v>
      </c>
      <c r="F25" s="4" t="s">
        <v>24</v>
      </c>
      <c r="G25" s="4" t="s">
        <v>41</v>
      </c>
      <c r="H25" s="4">
        <v>217</v>
      </c>
      <c r="I25" s="11">
        <v>120</v>
      </c>
      <c r="J25" s="11">
        <v>120</v>
      </c>
      <c r="K25" s="4">
        <v>217</v>
      </c>
      <c r="L25" s="11">
        <v>120</v>
      </c>
      <c r="M25" s="11"/>
      <c r="N25" s="11"/>
      <c r="O25" s="11" t="s">
        <v>34</v>
      </c>
      <c r="P25" s="11" t="s">
        <v>87</v>
      </c>
    </row>
    <row r="26" s="7" customFormat="1" ht="22.5" customHeight="1" spans="1:16">
      <c r="A26" s="4" t="s">
        <v>30</v>
      </c>
      <c r="B26" s="4" t="s">
        <v>31</v>
      </c>
      <c r="C26" s="4" t="s">
        <v>233</v>
      </c>
      <c r="D26" s="5" t="s">
        <v>89</v>
      </c>
      <c r="E26" s="5">
        <v>46093.6814788194</v>
      </c>
      <c r="F26" s="4" t="s">
        <v>20</v>
      </c>
      <c r="G26" s="4" t="s">
        <v>21</v>
      </c>
      <c r="H26" s="4">
        <v>1</v>
      </c>
      <c r="I26" s="11">
        <v>3.3</v>
      </c>
      <c r="J26" s="11">
        <v>3.3</v>
      </c>
      <c r="K26" s="4">
        <v>1</v>
      </c>
      <c r="L26" s="11">
        <v>3.3</v>
      </c>
      <c r="M26" s="11"/>
      <c r="N26" s="11"/>
      <c r="O26" s="11" t="s">
        <v>34</v>
      </c>
      <c r="P26" s="11" t="s">
        <v>87</v>
      </c>
    </row>
    <row r="27" s="7" customFormat="1" ht="22.5" customHeight="1" spans="1:16">
      <c r="A27" s="4" t="s">
        <v>30</v>
      </c>
      <c r="B27" s="4" t="s">
        <v>42</v>
      </c>
      <c r="C27" s="4" t="s">
        <v>234</v>
      </c>
      <c r="D27" s="5" t="s">
        <v>182</v>
      </c>
      <c r="E27" s="5">
        <v>46096.4980353009</v>
      </c>
      <c r="F27" s="4" t="s">
        <v>20</v>
      </c>
      <c r="G27" s="4" t="s">
        <v>21</v>
      </c>
      <c r="H27" s="4">
        <v>1</v>
      </c>
      <c r="I27" s="11">
        <v>3.3</v>
      </c>
      <c r="J27" s="11">
        <f>H27*I27</f>
        <v>3.3</v>
      </c>
      <c r="K27" s="11">
        <v>1</v>
      </c>
      <c r="L27" s="11">
        <v>3.3</v>
      </c>
      <c r="M27" s="11"/>
      <c r="N27" s="11"/>
      <c r="O27" s="11" t="s">
        <v>45</v>
      </c>
      <c r="P27" s="11" t="s">
        <v>113</v>
      </c>
    </row>
    <row r="28" s="7" customFormat="1" ht="22.5" customHeight="1" spans="1:16">
      <c r="A28" s="4" t="s">
        <v>30</v>
      </c>
      <c r="B28" s="4" t="s">
        <v>42</v>
      </c>
      <c r="C28" s="4" t="s">
        <v>234</v>
      </c>
      <c r="D28" s="5" t="s">
        <v>182</v>
      </c>
      <c r="E28" s="5">
        <v>46096.4980353009</v>
      </c>
      <c r="F28" s="4" t="s">
        <v>24</v>
      </c>
      <c r="G28" s="4" t="s">
        <v>41</v>
      </c>
      <c r="H28" s="4">
        <v>158</v>
      </c>
      <c r="I28" s="11">
        <v>120</v>
      </c>
      <c r="J28" s="11">
        <v>120</v>
      </c>
      <c r="K28" s="11">
        <v>158</v>
      </c>
      <c r="L28" s="11">
        <v>120</v>
      </c>
      <c r="M28" s="11"/>
      <c r="N28" s="11"/>
      <c r="O28" s="11" t="s">
        <v>45</v>
      </c>
      <c r="P28" s="11" t="s">
        <v>113</v>
      </c>
    </row>
    <row r="29" s="7" customFormat="1" ht="22.5" customHeight="1" spans="1:16">
      <c r="A29" s="4" t="s">
        <v>30</v>
      </c>
      <c r="B29" s="4" t="s">
        <v>42</v>
      </c>
      <c r="C29" s="4" t="s">
        <v>234</v>
      </c>
      <c r="D29" s="5" t="s">
        <v>182</v>
      </c>
      <c r="E29" s="5">
        <v>46096.4980353009</v>
      </c>
      <c r="F29" s="4" t="s">
        <v>24</v>
      </c>
      <c r="G29" s="4" t="s">
        <v>25</v>
      </c>
      <c r="H29" s="4">
        <v>14</v>
      </c>
      <c r="I29" s="11">
        <v>3.3</v>
      </c>
      <c r="J29" s="11">
        <f>H29*I29</f>
        <v>46.2</v>
      </c>
      <c r="K29" s="11">
        <v>14</v>
      </c>
      <c r="L29" s="11">
        <v>46.2</v>
      </c>
      <c r="M29" s="11"/>
      <c r="N29" s="11"/>
      <c r="O29" s="11" t="s">
        <v>45</v>
      </c>
      <c r="P29" s="11" t="s">
        <v>113</v>
      </c>
    </row>
    <row r="30" s="7" customFormat="1" ht="22.5" customHeight="1" spans="1:16">
      <c r="A30" s="4" t="s">
        <v>30</v>
      </c>
      <c r="B30" s="4" t="s">
        <v>42</v>
      </c>
      <c r="C30" s="4" t="s">
        <v>235</v>
      </c>
      <c r="D30" s="5" t="s">
        <v>182</v>
      </c>
      <c r="E30" s="5">
        <v>46096.4980372685</v>
      </c>
      <c r="F30" s="4" t="s">
        <v>24</v>
      </c>
      <c r="G30" s="4" t="s">
        <v>25</v>
      </c>
      <c r="H30" s="4">
        <v>16</v>
      </c>
      <c r="I30" s="11">
        <v>3.3</v>
      </c>
      <c r="J30" s="11">
        <f>H30*I30</f>
        <v>52.8</v>
      </c>
      <c r="K30" s="11">
        <v>16</v>
      </c>
      <c r="L30" s="11">
        <v>52.8</v>
      </c>
      <c r="M30" s="11"/>
      <c r="N30" s="11"/>
      <c r="O30" s="11" t="s">
        <v>45</v>
      </c>
      <c r="P30" s="11" t="s">
        <v>113</v>
      </c>
    </row>
    <row r="31" s="7" customFormat="1" ht="22.5" customHeight="1" spans="1:16">
      <c r="A31" s="4" t="s">
        <v>30</v>
      </c>
      <c r="B31" s="4" t="s">
        <v>42</v>
      </c>
      <c r="C31" s="4" t="s">
        <v>235</v>
      </c>
      <c r="D31" s="5" t="s">
        <v>182</v>
      </c>
      <c r="E31" s="5">
        <v>46096.4980372685</v>
      </c>
      <c r="F31" s="4" t="s">
        <v>24</v>
      </c>
      <c r="G31" s="4" t="s">
        <v>41</v>
      </c>
      <c r="H31" s="4">
        <v>178</v>
      </c>
      <c r="I31" s="11">
        <v>30</v>
      </c>
      <c r="J31" s="11">
        <v>30</v>
      </c>
      <c r="K31" s="11">
        <v>178</v>
      </c>
      <c r="L31" s="11">
        <v>30</v>
      </c>
      <c r="M31" s="11"/>
      <c r="N31" s="11"/>
      <c r="O31" s="11" t="s">
        <v>45</v>
      </c>
      <c r="P31" s="11" t="s">
        <v>113</v>
      </c>
    </row>
    <row r="32" s="7" customFormat="1" ht="22.5" customHeight="1" spans="1:16">
      <c r="A32" s="4" t="s">
        <v>30</v>
      </c>
      <c r="B32" s="4" t="s">
        <v>42</v>
      </c>
      <c r="C32" s="4" t="s">
        <v>235</v>
      </c>
      <c r="D32" s="5" t="s">
        <v>182</v>
      </c>
      <c r="E32" s="5">
        <v>46096.4980372685</v>
      </c>
      <c r="F32" s="4" t="s">
        <v>24</v>
      </c>
      <c r="G32" s="4" t="s">
        <v>49</v>
      </c>
      <c r="H32" s="4">
        <v>9</v>
      </c>
      <c r="I32" s="11">
        <v>3.3</v>
      </c>
      <c r="J32" s="11">
        <f t="shared" ref="J32:J41" si="4">H32*I32</f>
        <v>29.7</v>
      </c>
      <c r="K32" s="11">
        <v>9</v>
      </c>
      <c r="L32" s="11">
        <v>29.7</v>
      </c>
      <c r="M32" s="11"/>
      <c r="N32" s="11"/>
      <c r="O32" s="11" t="s">
        <v>45</v>
      </c>
      <c r="P32" s="11" t="s">
        <v>113</v>
      </c>
    </row>
    <row r="33" s="7" customFormat="1" ht="22.5" customHeight="1" spans="1:16">
      <c r="A33" s="4" t="s">
        <v>30</v>
      </c>
      <c r="B33" s="4" t="s">
        <v>42</v>
      </c>
      <c r="C33" s="4" t="s">
        <v>235</v>
      </c>
      <c r="D33" s="5" t="s">
        <v>182</v>
      </c>
      <c r="E33" s="5">
        <v>46096.4980372685</v>
      </c>
      <c r="F33" s="4" t="s">
        <v>20</v>
      </c>
      <c r="G33" s="4" t="s">
        <v>21</v>
      </c>
      <c r="H33" s="4">
        <v>1</v>
      </c>
      <c r="I33" s="11">
        <v>3.3</v>
      </c>
      <c r="J33" s="11">
        <f t="shared" si="4"/>
        <v>3.3</v>
      </c>
      <c r="K33" s="11">
        <v>1</v>
      </c>
      <c r="L33" s="11">
        <v>3.3</v>
      </c>
      <c r="M33" s="11"/>
      <c r="N33" s="11"/>
      <c r="O33" s="11" t="s">
        <v>45</v>
      </c>
      <c r="P33" s="11" t="s">
        <v>113</v>
      </c>
    </row>
    <row r="34" s="7" customFormat="1" ht="22.5" customHeight="1" spans="1:16">
      <c r="A34" s="4" t="s">
        <v>61</v>
      </c>
      <c r="B34" s="4" t="s">
        <v>62</v>
      </c>
      <c r="C34" s="4" t="s">
        <v>236</v>
      </c>
      <c r="D34" s="5" t="s">
        <v>19</v>
      </c>
      <c r="E34" s="5">
        <v>46093.9563267361</v>
      </c>
      <c r="F34" s="4" t="s">
        <v>24</v>
      </c>
      <c r="G34" s="4" t="s">
        <v>25</v>
      </c>
      <c r="H34" s="4">
        <v>20</v>
      </c>
      <c r="I34" s="11">
        <v>3.3</v>
      </c>
      <c r="J34" s="11">
        <f t="shared" si="4"/>
        <v>66</v>
      </c>
      <c r="K34" s="11">
        <v>11</v>
      </c>
      <c r="L34" s="11">
        <f>K34*3.3</f>
        <v>36.3</v>
      </c>
      <c r="M34" s="11">
        <v>9</v>
      </c>
      <c r="N34" s="11">
        <f>M34*3.3</f>
        <v>29.7</v>
      </c>
      <c r="O34" s="11" t="s">
        <v>22</v>
      </c>
      <c r="P34" s="11" t="s">
        <v>23</v>
      </c>
    </row>
    <row r="35" s="7" customFormat="1" ht="22.5" customHeight="1" spans="1:16">
      <c r="A35" s="4" t="s">
        <v>61</v>
      </c>
      <c r="B35" s="4" t="s">
        <v>62</v>
      </c>
      <c r="C35" s="4" t="s">
        <v>236</v>
      </c>
      <c r="D35" s="5" t="s">
        <v>19</v>
      </c>
      <c r="E35" s="5">
        <v>46093.9563267361</v>
      </c>
      <c r="F35" s="4" t="s">
        <v>20</v>
      </c>
      <c r="G35" s="4" t="s">
        <v>21</v>
      </c>
      <c r="H35" s="4">
        <v>1</v>
      </c>
      <c r="I35" s="11">
        <v>3.3</v>
      </c>
      <c r="J35" s="11">
        <f t="shared" si="4"/>
        <v>3.3</v>
      </c>
      <c r="K35" s="11">
        <v>1</v>
      </c>
      <c r="L35" s="11">
        <v>3.3</v>
      </c>
      <c r="M35" s="11"/>
      <c r="N35" s="11"/>
      <c r="O35" s="11" t="s">
        <v>22</v>
      </c>
      <c r="P35" s="11" t="s">
        <v>23</v>
      </c>
    </row>
    <row r="36" s="7" customFormat="1" ht="22.5" customHeight="1" spans="1:16">
      <c r="A36" s="4" t="s">
        <v>61</v>
      </c>
      <c r="B36" s="4" t="s">
        <v>62</v>
      </c>
      <c r="C36" s="4" t="s">
        <v>237</v>
      </c>
      <c r="D36" s="5" t="s">
        <v>19</v>
      </c>
      <c r="E36" s="5">
        <v>46093.9563285532</v>
      </c>
      <c r="F36" s="4" t="s">
        <v>20</v>
      </c>
      <c r="G36" s="4" t="s">
        <v>21</v>
      </c>
      <c r="H36" s="4">
        <v>1</v>
      </c>
      <c r="I36" s="11">
        <v>3.3</v>
      </c>
      <c r="J36" s="11">
        <f t="shared" si="4"/>
        <v>3.3</v>
      </c>
      <c r="K36" s="11">
        <v>1</v>
      </c>
      <c r="L36" s="11">
        <v>3.3</v>
      </c>
      <c r="M36" s="11"/>
      <c r="N36" s="11"/>
      <c r="O36" s="11" t="s">
        <v>22</v>
      </c>
      <c r="P36" s="11" t="s">
        <v>23</v>
      </c>
    </row>
    <row r="37" s="7" customFormat="1" ht="22.5" customHeight="1" spans="1:16">
      <c r="A37" s="4" t="s">
        <v>61</v>
      </c>
      <c r="B37" s="4" t="s">
        <v>62</v>
      </c>
      <c r="C37" s="4" t="s">
        <v>237</v>
      </c>
      <c r="D37" s="5" t="s">
        <v>19</v>
      </c>
      <c r="E37" s="5">
        <v>46093.9563285532</v>
      </c>
      <c r="F37" s="4" t="s">
        <v>24</v>
      </c>
      <c r="G37" s="4" t="s">
        <v>25</v>
      </c>
      <c r="H37" s="4">
        <v>28</v>
      </c>
      <c r="I37" s="11">
        <v>3.3</v>
      </c>
      <c r="J37" s="11">
        <f t="shared" si="4"/>
        <v>92.4</v>
      </c>
      <c r="K37" s="11">
        <v>28</v>
      </c>
      <c r="L37" s="11">
        <f>K37*3.3</f>
        <v>92.4</v>
      </c>
      <c r="M37" s="11"/>
      <c r="N37" s="11"/>
      <c r="O37" s="11" t="s">
        <v>22</v>
      </c>
      <c r="P37" s="11" t="s">
        <v>23</v>
      </c>
    </row>
    <row r="38" s="7" customFormat="1" ht="22.5" customHeight="1" spans="1:16">
      <c r="A38" s="4" t="s">
        <v>61</v>
      </c>
      <c r="B38" s="4" t="s">
        <v>62</v>
      </c>
      <c r="C38" s="4" t="s">
        <v>238</v>
      </c>
      <c r="D38" s="5" t="s">
        <v>19</v>
      </c>
      <c r="E38" s="5">
        <v>46096.5180133102</v>
      </c>
      <c r="F38" s="4" t="s">
        <v>20</v>
      </c>
      <c r="G38" s="4" t="s">
        <v>21</v>
      </c>
      <c r="H38" s="4">
        <v>1</v>
      </c>
      <c r="I38" s="11">
        <v>3.3</v>
      </c>
      <c r="J38" s="11">
        <f t="shared" si="4"/>
        <v>3.3</v>
      </c>
      <c r="K38" s="11">
        <v>1</v>
      </c>
      <c r="L38" s="11">
        <f>K38*3.3</f>
        <v>3.3</v>
      </c>
      <c r="M38" s="11"/>
      <c r="N38" s="11"/>
      <c r="O38" s="11" t="s">
        <v>22</v>
      </c>
      <c r="P38" s="11" t="s">
        <v>23</v>
      </c>
    </row>
    <row r="39" s="7" customFormat="1" ht="22.5" customHeight="1" spans="1:16">
      <c r="A39" s="4" t="s">
        <v>61</v>
      </c>
      <c r="B39" s="4" t="s">
        <v>62</v>
      </c>
      <c r="C39" s="4" t="s">
        <v>238</v>
      </c>
      <c r="D39" s="5" t="s">
        <v>19</v>
      </c>
      <c r="E39" s="5">
        <v>46096.5180133102</v>
      </c>
      <c r="F39" s="4" t="s">
        <v>24</v>
      </c>
      <c r="G39" s="4" t="s">
        <v>25</v>
      </c>
      <c r="H39" s="4">
        <v>20</v>
      </c>
      <c r="I39" s="11">
        <v>3.3</v>
      </c>
      <c r="J39" s="11">
        <f t="shared" si="4"/>
        <v>66</v>
      </c>
      <c r="K39" s="11">
        <v>11</v>
      </c>
      <c r="L39" s="11">
        <f>K39*3.3</f>
        <v>36.3</v>
      </c>
      <c r="M39" s="11">
        <v>9</v>
      </c>
      <c r="N39" s="11">
        <f>M39*3.3</f>
        <v>29.7</v>
      </c>
      <c r="O39" s="11" t="s">
        <v>22</v>
      </c>
      <c r="P39" s="11" t="s">
        <v>23</v>
      </c>
    </row>
    <row r="40" s="7" customFormat="1" ht="22.5" customHeight="1" spans="1:16">
      <c r="A40" s="4" t="s">
        <v>61</v>
      </c>
      <c r="B40" s="4" t="s">
        <v>62</v>
      </c>
      <c r="C40" s="4" t="s">
        <v>239</v>
      </c>
      <c r="D40" s="5" t="s">
        <v>19</v>
      </c>
      <c r="E40" s="5">
        <v>46096.5180155903</v>
      </c>
      <c r="F40" s="4" t="s">
        <v>24</v>
      </c>
      <c r="G40" s="4" t="s">
        <v>25</v>
      </c>
      <c r="H40" s="4">
        <v>20</v>
      </c>
      <c r="I40" s="11">
        <v>3.3</v>
      </c>
      <c r="J40" s="11">
        <f t="shared" si="4"/>
        <v>66</v>
      </c>
      <c r="K40" s="11">
        <v>20</v>
      </c>
      <c r="L40" s="11">
        <f>K40*3.3</f>
        <v>66</v>
      </c>
      <c r="M40" s="11"/>
      <c r="N40" s="11"/>
      <c r="O40" s="11" t="s">
        <v>22</v>
      </c>
      <c r="P40" s="11" t="s">
        <v>23</v>
      </c>
    </row>
    <row r="41" s="7" customFormat="1" ht="22.5" customHeight="1" spans="1:16">
      <c r="A41" s="4" t="s">
        <v>61</v>
      </c>
      <c r="B41" s="4" t="s">
        <v>62</v>
      </c>
      <c r="C41" s="4" t="s">
        <v>239</v>
      </c>
      <c r="D41" s="5" t="s">
        <v>19</v>
      </c>
      <c r="E41" s="5">
        <v>46096.5180155903</v>
      </c>
      <c r="F41" s="4" t="s">
        <v>20</v>
      </c>
      <c r="G41" s="4" t="s">
        <v>21</v>
      </c>
      <c r="H41" s="4">
        <v>1</v>
      </c>
      <c r="I41" s="11">
        <v>3.3</v>
      </c>
      <c r="J41" s="11">
        <f t="shared" si="4"/>
        <v>3.3</v>
      </c>
      <c r="K41" s="11">
        <v>1</v>
      </c>
      <c r="L41" s="11">
        <f>K41*3.3</f>
        <v>3.3</v>
      </c>
      <c r="M41" s="11"/>
      <c r="N41" s="11"/>
      <c r="O41" s="11" t="s">
        <v>22</v>
      </c>
      <c r="P41" s="11" t="s">
        <v>23</v>
      </c>
    </row>
    <row r="42" s="7" customFormat="1" ht="22.5" customHeight="1" spans="1:16">
      <c r="A42" s="4" t="s">
        <v>61</v>
      </c>
      <c r="B42" s="4" t="s">
        <v>62</v>
      </c>
      <c r="C42" s="4" t="s">
        <v>240</v>
      </c>
      <c r="D42" s="5" t="s">
        <v>174</v>
      </c>
      <c r="E42" s="5">
        <v>46094.6657185532</v>
      </c>
      <c r="F42" s="4" t="s">
        <v>20</v>
      </c>
      <c r="G42" s="4" t="s">
        <v>21</v>
      </c>
      <c r="H42" s="4">
        <v>1</v>
      </c>
      <c r="I42" s="11">
        <v>3.3</v>
      </c>
      <c r="J42" s="11">
        <v>3.3</v>
      </c>
      <c r="K42" s="11">
        <v>1</v>
      </c>
      <c r="L42" s="11">
        <v>3.3</v>
      </c>
      <c r="M42" s="11"/>
      <c r="N42" s="11"/>
      <c r="O42" s="11" t="s">
        <v>45</v>
      </c>
      <c r="P42" s="11" t="s">
        <v>113</v>
      </c>
    </row>
    <row r="43" s="7" customFormat="1" ht="22.5" customHeight="1" spans="1:16">
      <c r="A43" s="4" t="s">
        <v>61</v>
      </c>
      <c r="B43" s="4" t="s">
        <v>62</v>
      </c>
      <c r="C43" s="4" t="s">
        <v>240</v>
      </c>
      <c r="D43" s="5" t="s">
        <v>174</v>
      </c>
      <c r="E43" s="5">
        <v>46094.6657185532</v>
      </c>
      <c r="F43" s="4" t="s">
        <v>24</v>
      </c>
      <c r="G43" s="4" t="s">
        <v>49</v>
      </c>
      <c r="H43" s="4">
        <v>7</v>
      </c>
      <c r="I43" s="11">
        <v>3.3</v>
      </c>
      <c r="J43" s="11">
        <f>H43*I43</f>
        <v>23.1</v>
      </c>
      <c r="K43" s="11">
        <v>7</v>
      </c>
      <c r="L43" s="11">
        <v>23.1</v>
      </c>
      <c r="M43" s="11"/>
      <c r="N43" s="11"/>
      <c r="O43" s="11" t="s">
        <v>45</v>
      </c>
      <c r="P43" s="11" t="s">
        <v>113</v>
      </c>
    </row>
    <row r="44" s="7" customFormat="1" ht="22.5" customHeight="1" spans="1:16">
      <c r="A44" s="4" t="s">
        <v>61</v>
      </c>
      <c r="B44" s="4" t="s">
        <v>62</v>
      </c>
      <c r="C44" s="4" t="s">
        <v>240</v>
      </c>
      <c r="D44" s="5" t="s">
        <v>174</v>
      </c>
      <c r="E44" s="5">
        <v>46094.6657185532</v>
      </c>
      <c r="F44" s="4" t="s">
        <v>24</v>
      </c>
      <c r="G44" s="4" t="s">
        <v>41</v>
      </c>
      <c r="H44" s="4">
        <v>137</v>
      </c>
      <c r="I44" s="11">
        <v>120</v>
      </c>
      <c r="J44" s="11">
        <v>120</v>
      </c>
      <c r="K44" s="11">
        <v>137</v>
      </c>
      <c r="L44" s="11">
        <v>120</v>
      </c>
      <c r="M44" s="11"/>
      <c r="N44" s="11"/>
      <c r="O44" s="11" t="s">
        <v>45</v>
      </c>
      <c r="P44" s="11" t="s">
        <v>113</v>
      </c>
    </row>
    <row r="45" s="7" customFormat="1" ht="22.5" customHeight="1" spans="1:16">
      <c r="A45" s="4" t="s">
        <v>61</v>
      </c>
      <c r="B45" s="4" t="s">
        <v>62</v>
      </c>
      <c r="C45" s="4" t="s">
        <v>240</v>
      </c>
      <c r="D45" s="5" t="s">
        <v>174</v>
      </c>
      <c r="E45" s="5">
        <v>46094.6657185532</v>
      </c>
      <c r="F45" s="4" t="s">
        <v>24</v>
      </c>
      <c r="G45" s="4" t="s">
        <v>25</v>
      </c>
      <c r="H45" s="4">
        <v>20</v>
      </c>
      <c r="I45" s="11">
        <v>3.3</v>
      </c>
      <c r="J45" s="11">
        <f>I45*H45</f>
        <v>66</v>
      </c>
      <c r="K45" s="11">
        <v>20</v>
      </c>
      <c r="L45" s="11">
        <v>66</v>
      </c>
      <c r="M45" s="11"/>
      <c r="N45" s="11"/>
      <c r="O45" s="11" t="s">
        <v>45</v>
      </c>
      <c r="P45" s="11" t="s">
        <v>113</v>
      </c>
    </row>
    <row r="46" s="7" customFormat="1" ht="22.5" customHeight="1" spans="1:16">
      <c r="A46" s="4" t="s">
        <v>16</v>
      </c>
      <c r="B46" s="4" t="s">
        <v>17</v>
      </c>
      <c r="C46" s="4" t="s">
        <v>241</v>
      </c>
      <c r="D46" s="5" t="s">
        <v>242</v>
      </c>
      <c r="E46" s="5">
        <v>46095.0281331018</v>
      </c>
      <c r="F46" s="4" t="s">
        <v>24</v>
      </c>
      <c r="G46" s="4" t="s">
        <v>76</v>
      </c>
      <c r="H46" s="4">
        <v>27</v>
      </c>
      <c r="I46" s="11">
        <v>3.3</v>
      </c>
      <c r="J46" s="11">
        <f>H46*I46</f>
        <v>89.1</v>
      </c>
      <c r="K46" s="11">
        <v>27</v>
      </c>
      <c r="L46" s="11">
        <f>K46*3.3</f>
        <v>89.1</v>
      </c>
      <c r="M46" s="11"/>
      <c r="N46" s="11"/>
      <c r="O46" s="11" t="s">
        <v>22</v>
      </c>
      <c r="P46" s="11" t="s">
        <v>23</v>
      </c>
    </row>
    <row r="47" s="7" customFormat="1" ht="22.5" customHeight="1" spans="1:16">
      <c r="A47" s="4" t="s">
        <v>16</v>
      </c>
      <c r="B47" s="4" t="s">
        <v>17</v>
      </c>
      <c r="C47" s="4" t="s">
        <v>241</v>
      </c>
      <c r="D47" s="5" t="s">
        <v>242</v>
      </c>
      <c r="E47" s="5">
        <v>46095.0281331018</v>
      </c>
      <c r="F47" s="4" t="s">
        <v>20</v>
      </c>
      <c r="G47" s="4" t="s">
        <v>21</v>
      </c>
      <c r="H47" s="4">
        <v>1</v>
      </c>
      <c r="I47" s="11">
        <v>3.3</v>
      </c>
      <c r="J47" s="11">
        <f>H47*I47</f>
        <v>3.3</v>
      </c>
      <c r="K47" s="11">
        <v>1</v>
      </c>
      <c r="L47" s="11">
        <f>K47*3.3</f>
        <v>3.3</v>
      </c>
      <c r="M47" s="11"/>
      <c r="N47" s="11"/>
      <c r="O47" s="11" t="s">
        <v>22</v>
      </c>
      <c r="P47" s="11" t="s">
        <v>23</v>
      </c>
    </row>
    <row r="48" s="7" customFormat="1" ht="22.5" customHeight="1" spans="1:16">
      <c r="A48" s="4" t="s">
        <v>16</v>
      </c>
      <c r="B48" s="4" t="s">
        <v>17</v>
      </c>
      <c r="C48" s="4" t="s">
        <v>243</v>
      </c>
      <c r="D48" s="5" t="s">
        <v>242</v>
      </c>
      <c r="E48" s="5">
        <v>46095.0281351852</v>
      </c>
      <c r="F48" s="4" t="s">
        <v>20</v>
      </c>
      <c r="G48" s="4" t="s">
        <v>21</v>
      </c>
      <c r="H48" s="4">
        <v>1</v>
      </c>
      <c r="I48" s="11">
        <v>3.3</v>
      </c>
      <c r="J48" s="11">
        <f>H48*I48</f>
        <v>3.3</v>
      </c>
      <c r="K48" s="11">
        <v>1</v>
      </c>
      <c r="L48" s="11">
        <f>K48*3.3</f>
        <v>3.3</v>
      </c>
      <c r="M48" s="11"/>
      <c r="N48" s="11"/>
      <c r="O48" s="11" t="s">
        <v>22</v>
      </c>
      <c r="P48" s="11" t="s">
        <v>23</v>
      </c>
    </row>
    <row r="49" s="7" customFormat="1" ht="22.5" customHeight="1" spans="1:16">
      <c r="A49" s="4" t="s">
        <v>16</v>
      </c>
      <c r="B49" s="4" t="s">
        <v>17</v>
      </c>
      <c r="C49" s="4" t="s">
        <v>243</v>
      </c>
      <c r="D49" s="5" t="s">
        <v>242</v>
      </c>
      <c r="E49" s="5">
        <v>46095.0281351852</v>
      </c>
      <c r="F49" s="4" t="s">
        <v>24</v>
      </c>
      <c r="G49" s="4" t="s">
        <v>76</v>
      </c>
      <c r="H49" s="4">
        <v>22</v>
      </c>
      <c r="I49" s="11">
        <v>3.3</v>
      </c>
      <c r="J49" s="11">
        <f>H49*I49</f>
        <v>72.6</v>
      </c>
      <c r="K49" s="11">
        <v>22</v>
      </c>
      <c r="L49" s="11">
        <f>K49*3.3</f>
        <v>72.6</v>
      </c>
      <c r="M49" s="11"/>
      <c r="N49" s="11"/>
      <c r="O49" s="11" t="s">
        <v>22</v>
      </c>
      <c r="P49" s="11" t="s">
        <v>23</v>
      </c>
    </row>
    <row r="50" s="7" customFormat="1" ht="22.5" customHeight="1" spans="1:16">
      <c r="A50" s="4" t="s">
        <v>16</v>
      </c>
      <c r="B50" s="4" t="s">
        <v>17</v>
      </c>
      <c r="C50" s="4" t="s">
        <v>244</v>
      </c>
      <c r="D50" s="5" t="s">
        <v>242</v>
      </c>
      <c r="E50" s="5">
        <v>46095.028137037</v>
      </c>
      <c r="F50" s="4" t="s">
        <v>24</v>
      </c>
      <c r="G50" s="4" t="s">
        <v>41</v>
      </c>
      <c r="H50" s="4">
        <v>118</v>
      </c>
      <c r="I50" s="11">
        <v>120</v>
      </c>
      <c r="J50" s="11">
        <v>120</v>
      </c>
      <c r="K50" s="11">
        <v>118</v>
      </c>
      <c r="L50" s="11">
        <v>120</v>
      </c>
      <c r="M50" s="11"/>
      <c r="N50" s="11"/>
      <c r="O50" s="11" t="s">
        <v>22</v>
      </c>
      <c r="P50" s="11" t="s">
        <v>23</v>
      </c>
    </row>
    <row r="51" s="7" customFormat="1" ht="22.5" customHeight="1" spans="1:16">
      <c r="A51" s="4" t="s">
        <v>16</v>
      </c>
      <c r="B51" s="4" t="s">
        <v>17</v>
      </c>
      <c r="C51" s="4" t="s">
        <v>244</v>
      </c>
      <c r="D51" s="5" t="s">
        <v>242</v>
      </c>
      <c r="E51" s="5">
        <v>46095.028137037</v>
      </c>
      <c r="F51" s="4" t="s">
        <v>20</v>
      </c>
      <c r="G51" s="4" t="s">
        <v>21</v>
      </c>
      <c r="H51" s="4">
        <v>1</v>
      </c>
      <c r="I51" s="11">
        <v>3.3</v>
      </c>
      <c r="J51" s="11">
        <f t="shared" ref="J50:J63" si="5">H51*I51</f>
        <v>3.3</v>
      </c>
      <c r="K51" s="11">
        <v>1</v>
      </c>
      <c r="L51" s="11">
        <f>K51*3.3</f>
        <v>3.3</v>
      </c>
      <c r="M51" s="11"/>
      <c r="N51" s="11"/>
      <c r="O51" s="11" t="s">
        <v>22</v>
      </c>
      <c r="P51" s="11" t="s">
        <v>23</v>
      </c>
    </row>
    <row r="52" s="7" customFormat="1" ht="22.5" customHeight="1" spans="1:16">
      <c r="A52" s="4" t="s">
        <v>16</v>
      </c>
      <c r="B52" s="4" t="s">
        <v>17</v>
      </c>
      <c r="C52" s="4" t="s">
        <v>245</v>
      </c>
      <c r="D52" s="5" t="s">
        <v>242</v>
      </c>
      <c r="E52" s="5">
        <v>46095.0281390856</v>
      </c>
      <c r="F52" s="4" t="s">
        <v>20</v>
      </c>
      <c r="G52" s="4" t="s">
        <v>21</v>
      </c>
      <c r="H52" s="4">
        <v>1</v>
      </c>
      <c r="I52" s="11">
        <v>3.3</v>
      </c>
      <c r="J52" s="11">
        <f t="shared" si="5"/>
        <v>3.3</v>
      </c>
      <c r="K52" s="11">
        <v>1</v>
      </c>
      <c r="L52" s="11">
        <f t="shared" ref="L52:L63" si="6">K52*3.3</f>
        <v>3.3</v>
      </c>
      <c r="M52" s="11"/>
      <c r="N52" s="11"/>
      <c r="O52" s="11" t="s">
        <v>22</v>
      </c>
      <c r="P52" s="11" t="s">
        <v>23</v>
      </c>
    </row>
    <row r="53" s="7" customFormat="1" ht="22.5" customHeight="1" spans="1:16">
      <c r="A53" s="4" t="s">
        <v>16</v>
      </c>
      <c r="B53" s="4" t="s">
        <v>17</v>
      </c>
      <c r="C53" s="4" t="s">
        <v>245</v>
      </c>
      <c r="D53" s="5" t="s">
        <v>242</v>
      </c>
      <c r="E53" s="5">
        <v>46095.0281390856</v>
      </c>
      <c r="F53" s="4" t="s">
        <v>24</v>
      </c>
      <c r="G53" s="4" t="s">
        <v>76</v>
      </c>
      <c r="H53" s="4">
        <v>21</v>
      </c>
      <c r="I53" s="11">
        <v>3.3</v>
      </c>
      <c r="J53" s="11">
        <f t="shared" si="5"/>
        <v>69.3</v>
      </c>
      <c r="K53" s="11">
        <v>21</v>
      </c>
      <c r="L53" s="11">
        <f t="shared" si="6"/>
        <v>69.3</v>
      </c>
      <c r="M53" s="11"/>
      <c r="N53" s="11"/>
      <c r="O53" s="11" t="s">
        <v>22</v>
      </c>
      <c r="P53" s="11" t="s">
        <v>23</v>
      </c>
    </row>
    <row r="54" s="7" customFormat="1" ht="22.5" customHeight="1" spans="1:16">
      <c r="A54" s="4" t="s">
        <v>16</v>
      </c>
      <c r="B54" s="4" t="s">
        <v>17</v>
      </c>
      <c r="C54" s="4" t="s">
        <v>246</v>
      </c>
      <c r="D54" s="5" t="s">
        <v>242</v>
      </c>
      <c r="E54" s="5">
        <v>46095.028141169</v>
      </c>
      <c r="F54" s="4" t="s">
        <v>24</v>
      </c>
      <c r="G54" s="4" t="s">
        <v>76</v>
      </c>
      <c r="H54" s="4">
        <v>29</v>
      </c>
      <c r="I54" s="11">
        <v>3.3</v>
      </c>
      <c r="J54" s="11">
        <f t="shared" si="5"/>
        <v>95.7</v>
      </c>
      <c r="K54" s="11">
        <v>29</v>
      </c>
      <c r="L54" s="11">
        <f t="shared" si="6"/>
        <v>95.7</v>
      </c>
      <c r="M54" s="11"/>
      <c r="N54" s="11"/>
      <c r="O54" s="11" t="s">
        <v>22</v>
      </c>
      <c r="P54" s="11" t="s">
        <v>23</v>
      </c>
    </row>
    <row r="55" s="7" customFormat="1" ht="22.5" customHeight="1" spans="1:16">
      <c r="A55" s="4" t="s">
        <v>16</v>
      </c>
      <c r="B55" s="4" t="s">
        <v>17</v>
      </c>
      <c r="C55" s="4" t="s">
        <v>246</v>
      </c>
      <c r="D55" s="5" t="s">
        <v>242</v>
      </c>
      <c r="E55" s="5">
        <v>46095.028141169</v>
      </c>
      <c r="F55" s="4" t="s">
        <v>20</v>
      </c>
      <c r="G55" s="4" t="s">
        <v>21</v>
      </c>
      <c r="H55" s="4">
        <v>1</v>
      </c>
      <c r="I55" s="11">
        <v>3.3</v>
      </c>
      <c r="J55" s="11">
        <f t="shared" si="5"/>
        <v>3.3</v>
      </c>
      <c r="K55" s="11">
        <v>1</v>
      </c>
      <c r="L55" s="11">
        <f t="shared" si="6"/>
        <v>3.3</v>
      </c>
      <c r="M55" s="11"/>
      <c r="N55" s="11"/>
      <c r="O55" s="11" t="s">
        <v>22</v>
      </c>
      <c r="P55" s="11" t="s">
        <v>23</v>
      </c>
    </row>
    <row r="56" s="7" customFormat="1" ht="22.5" customHeight="1" spans="1:16">
      <c r="A56" s="4" t="s">
        <v>16</v>
      </c>
      <c r="B56" s="4" t="s">
        <v>17</v>
      </c>
      <c r="C56" s="4" t="s">
        <v>247</v>
      </c>
      <c r="D56" s="5" t="s">
        <v>242</v>
      </c>
      <c r="E56" s="5">
        <v>46095.0281331018</v>
      </c>
      <c r="F56" s="4" t="s">
        <v>24</v>
      </c>
      <c r="G56" s="4" t="s">
        <v>76</v>
      </c>
      <c r="H56" s="4">
        <v>13</v>
      </c>
      <c r="I56" s="11">
        <v>3.3</v>
      </c>
      <c r="J56" s="11">
        <f t="shared" si="5"/>
        <v>42.9</v>
      </c>
      <c r="K56" s="11">
        <v>13</v>
      </c>
      <c r="L56" s="11">
        <f t="shared" si="6"/>
        <v>42.9</v>
      </c>
      <c r="M56" s="11"/>
      <c r="N56" s="11"/>
      <c r="O56" s="11" t="s">
        <v>22</v>
      </c>
      <c r="P56" s="11" t="s">
        <v>23</v>
      </c>
    </row>
    <row r="57" s="7" customFormat="1" ht="22.5" customHeight="1" spans="1:16">
      <c r="A57" s="4" t="s">
        <v>16</v>
      </c>
      <c r="B57" s="4" t="s">
        <v>17</v>
      </c>
      <c r="C57" s="4" t="s">
        <v>247</v>
      </c>
      <c r="D57" s="5" t="s">
        <v>242</v>
      </c>
      <c r="E57" s="5">
        <v>46095.0281331018</v>
      </c>
      <c r="F57" s="4" t="s">
        <v>20</v>
      </c>
      <c r="G57" s="4" t="s">
        <v>21</v>
      </c>
      <c r="H57" s="4">
        <v>1</v>
      </c>
      <c r="I57" s="11">
        <v>3.3</v>
      </c>
      <c r="J57" s="11">
        <f t="shared" si="5"/>
        <v>3.3</v>
      </c>
      <c r="K57" s="11">
        <v>1</v>
      </c>
      <c r="L57" s="11">
        <f t="shared" si="6"/>
        <v>3.3</v>
      </c>
      <c r="M57" s="11"/>
      <c r="N57" s="11"/>
      <c r="O57" s="11" t="s">
        <v>22</v>
      </c>
      <c r="P57" s="11" t="s">
        <v>23</v>
      </c>
    </row>
    <row r="58" s="7" customFormat="1" ht="22.5" customHeight="1" spans="1:16">
      <c r="A58" s="4" t="s">
        <v>16</v>
      </c>
      <c r="B58" s="4" t="s">
        <v>17</v>
      </c>
      <c r="C58" s="4" t="s">
        <v>248</v>
      </c>
      <c r="D58" s="5" t="s">
        <v>242</v>
      </c>
      <c r="E58" s="5">
        <v>46095.0281351852</v>
      </c>
      <c r="F58" s="4" t="s">
        <v>20</v>
      </c>
      <c r="G58" s="4" t="s">
        <v>21</v>
      </c>
      <c r="H58" s="4">
        <v>1</v>
      </c>
      <c r="I58" s="11">
        <v>3.3</v>
      </c>
      <c r="J58" s="11">
        <f t="shared" si="5"/>
        <v>3.3</v>
      </c>
      <c r="K58" s="11">
        <v>1</v>
      </c>
      <c r="L58" s="11">
        <f t="shared" si="6"/>
        <v>3.3</v>
      </c>
      <c r="M58" s="11"/>
      <c r="N58" s="11"/>
      <c r="O58" s="11" t="s">
        <v>22</v>
      </c>
      <c r="P58" s="11" t="s">
        <v>23</v>
      </c>
    </row>
    <row r="59" s="7" customFormat="1" ht="22.5" customHeight="1" spans="1:16">
      <c r="A59" s="4" t="s">
        <v>16</v>
      </c>
      <c r="B59" s="4" t="s">
        <v>17</v>
      </c>
      <c r="C59" s="4" t="s">
        <v>248</v>
      </c>
      <c r="D59" s="5" t="s">
        <v>242</v>
      </c>
      <c r="E59" s="5">
        <v>46095.0281351852</v>
      </c>
      <c r="F59" s="4" t="s">
        <v>24</v>
      </c>
      <c r="G59" s="4" t="s">
        <v>76</v>
      </c>
      <c r="H59" s="4">
        <v>8</v>
      </c>
      <c r="I59" s="11">
        <v>3.3</v>
      </c>
      <c r="J59" s="11">
        <f t="shared" si="5"/>
        <v>26.4</v>
      </c>
      <c r="K59" s="11">
        <v>8</v>
      </c>
      <c r="L59" s="11">
        <f t="shared" si="6"/>
        <v>26.4</v>
      </c>
      <c r="M59" s="11"/>
      <c r="N59" s="11"/>
      <c r="O59" s="11" t="s">
        <v>22</v>
      </c>
      <c r="P59" s="11" t="s">
        <v>23</v>
      </c>
    </row>
    <row r="60" s="7" customFormat="1" ht="22.5" customHeight="1" spans="1:16">
      <c r="A60" s="4" t="s">
        <v>16</v>
      </c>
      <c r="B60" s="4" t="s">
        <v>17</v>
      </c>
      <c r="C60" s="4" t="s">
        <v>249</v>
      </c>
      <c r="D60" s="5" t="s">
        <v>48</v>
      </c>
      <c r="E60" s="5">
        <v>46093.9565139236</v>
      </c>
      <c r="F60" s="4" t="s">
        <v>24</v>
      </c>
      <c r="G60" s="4" t="s">
        <v>25</v>
      </c>
      <c r="H60" s="4">
        <v>41</v>
      </c>
      <c r="I60" s="11">
        <v>3.3</v>
      </c>
      <c r="J60" s="11">
        <f t="shared" si="5"/>
        <v>135.3</v>
      </c>
      <c r="K60" s="4">
        <v>41</v>
      </c>
      <c r="L60" s="11">
        <f t="shared" si="6"/>
        <v>135.3</v>
      </c>
      <c r="M60" s="11"/>
      <c r="N60" s="11"/>
      <c r="O60" s="11" t="s">
        <v>45</v>
      </c>
      <c r="P60" s="11" t="s">
        <v>46</v>
      </c>
    </row>
    <row r="61" s="7" customFormat="1" ht="22.5" customHeight="1" spans="1:16">
      <c r="A61" s="4" t="s">
        <v>16</v>
      </c>
      <c r="B61" s="4" t="s">
        <v>17</v>
      </c>
      <c r="C61" s="4" t="s">
        <v>249</v>
      </c>
      <c r="D61" s="5" t="s">
        <v>48</v>
      </c>
      <c r="E61" s="5">
        <v>46093.9565139236</v>
      </c>
      <c r="F61" s="4" t="s">
        <v>20</v>
      </c>
      <c r="G61" s="4" t="s">
        <v>21</v>
      </c>
      <c r="H61" s="4">
        <v>1</v>
      </c>
      <c r="I61" s="11">
        <v>3.3</v>
      </c>
      <c r="J61" s="11">
        <f t="shared" si="5"/>
        <v>3.3</v>
      </c>
      <c r="K61" s="4">
        <v>1</v>
      </c>
      <c r="L61" s="11">
        <f t="shared" si="6"/>
        <v>3.3</v>
      </c>
      <c r="M61" s="11"/>
      <c r="N61" s="11"/>
      <c r="O61" s="11" t="s">
        <v>45</v>
      </c>
      <c r="P61" s="11" t="s">
        <v>46</v>
      </c>
    </row>
    <row r="62" s="7" customFormat="1" ht="22.5" customHeight="1" spans="1:16">
      <c r="A62" s="4" t="s">
        <v>16</v>
      </c>
      <c r="B62" s="4" t="s">
        <v>17</v>
      </c>
      <c r="C62" s="4" t="s">
        <v>249</v>
      </c>
      <c r="D62" s="5" t="s">
        <v>48</v>
      </c>
      <c r="E62" s="5">
        <v>46093.9565139236</v>
      </c>
      <c r="F62" s="4" t="s">
        <v>24</v>
      </c>
      <c r="G62" s="4" t="s">
        <v>49</v>
      </c>
      <c r="H62" s="4">
        <v>7</v>
      </c>
      <c r="I62" s="11">
        <v>3.3</v>
      </c>
      <c r="J62" s="11">
        <f t="shared" si="5"/>
        <v>23.1</v>
      </c>
      <c r="K62" s="4">
        <v>7</v>
      </c>
      <c r="L62" s="11">
        <f t="shared" si="6"/>
        <v>23.1</v>
      </c>
      <c r="M62" s="11"/>
      <c r="N62" s="11"/>
      <c r="O62" s="11" t="s">
        <v>45</v>
      </c>
      <c r="P62" s="11" t="s">
        <v>46</v>
      </c>
    </row>
    <row r="63" s="7" customFormat="1" ht="22.5" customHeight="1" spans="1:16">
      <c r="A63" s="4" t="s">
        <v>16</v>
      </c>
      <c r="B63" s="4" t="s">
        <v>17</v>
      </c>
      <c r="C63" s="4" t="s">
        <v>250</v>
      </c>
      <c r="D63" s="5" t="s">
        <v>48</v>
      </c>
      <c r="E63" s="5">
        <v>46093.6819841088</v>
      </c>
      <c r="F63" s="4" t="s">
        <v>20</v>
      </c>
      <c r="G63" s="4" t="s">
        <v>21</v>
      </c>
      <c r="H63" s="4">
        <v>1</v>
      </c>
      <c r="I63" s="11">
        <v>3.3</v>
      </c>
      <c r="J63" s="11">
        <f t="shared" si="5"/>
        <v>3.3</v>
      </c>
      <c r="K63" s="4">
        <v>1</v>
      </c>
      <c r="L63" s="11">
        <f t="shared" si="6"/>
        <v>3.3</v>
      </c>
      <c r="M63" s="11"/>
      <c r="N63" s="11"/>
      <c r="O63" s="11" t="s">
        <v>45</v>
      </c>
      <c r="P63" s="11" t="s">
        <v>46</v>
      </c>
    </row>
    <row r="64" s="7" customFormat="1" ht="22.5" customHeight="1" spans="1:16">
      <c r="A64" s="4" t="s">
        <v>16</v>
      </c>
      <c r="B64" s="4" t="s">
        <v>17</v>
      </c>
      <c r="C64" s="4" t="s">
        <v>250</v>
      </c>
      <c r="D64" s="5" t="s">
        <v>48</v>
      </c>
      <c r="E64" s="5">
        <v>46093.6819841088</v>
      </c>
      <c r="F64" s="4" t="s">
        <v>24</v>
      </c>
      <c r="G64" s="4" t="s">
        <v>41</v>
      </c>
      <c r="H64" s="4">
        <v>165</v>
      </c>
      <c r="I64" s="11">
        <v>120</v>
      </c>
      <c r="J64" s="11">
        <v>120</v>
      </c>
      <c r="K64" s="11">
        <v>165</v>
      </c>
      <c r="L64" s="11">
        <v>120</v>
      </c>
      <c r="M64" s="11"/>
      <c r="N64" s="11"/>
      <c r="O64" s="11" t="s">
        <v>45</v>
      </c>
      <c r="P64" s="11" t="s">
        <v>46</v>
      </c>
    </row>
    <row r="65" s="7" customFormat="1" ht="22.5" customHeight="1" spans="1:16">
      <c r="A65" s="4" t="s">
        <v>16</v>
      </c>
      <c r="B65" s="4" t="s">
        <v>17</v>
      </c>
      <c r="C65" s="4" t="s">
        <v>251</v>
      </c>
      <c r="D65" s="5" t="s">
        <v>96</v>
      </c>
      <c r="E65" s="5">
        <v>46094.8388075231</v>
      </c>
      <c r="F65" s="4" t="s">
        <v>20</v>
      </c>
      <c r="G65" s="4" t="s">
        <v>21</v>
      </c>
      <c r="H65" s="4">
        <v>1</v>
      </c>
      <c r="I65" s="11">
        <v>3.3</v>
      </c>
      <c r="J65" s="11">
        <f t="shared" ref="J65:J70" si="7">H65*I65</f>
        <v>3.3</v>
      </c>
      <c r="K65" s="4">
        <v>1</v>
      </c>
      <c r="L65" s="11">
        <f t="shared" ref="L65:L70" si="8">K65*3.3</f>
        <v>3.3</v>
      </c>
      <c r="M65" s="11"/>
      <c r="N65" s="11"/>
      <c r="O65" s="11" t="s">
        <v>45</v>
      </c>
      <c r="P65" s="11" t="s">
        <v>46</v>
      </c>
    </row>
    <row r="66" s="7" customFormat="1" ht="22.5" customHeight="1" spans="1:16">
      <c r="A66" s="4" t="s">
        <v>16</v>
      </c>
      <c r="B66" s="4" t="s">
        <v>17</v>
      </c>
      <c r="C66" s="4" t="s">
        <v>251</v>
      </c>
      <c r="D66" s="5" t="s">
        <v>96</v>
      </c>
      <c r="E66" s="5">
        <v>46094.8388075231</v>
      </c>
      <c r="F66" s="4" t="s">
        <v>24</v>
      </c>
      <c r="G66" s="4" t="s">
        <v>25</v>
      </c>
      <c r="H66" s="4">
        <v>25</v>
      </c>
      <c r="I66" s="11">
        <v>3.3</v>
      </c>
      <c r="J66" s="11">
        <f t="shared" si="7"/>
        <v>82.5</v>
      </c>
      <c r="K66" s="4">
        <v>25</v>
      </c>
      <c r="L66" s="11">
        <f t="shared" si="8"/>
        <v>82.5</v>
      </c>
      <c r="M66" s="11"/>
      <c r="N66" s="11"/>
      <c r="O66" s="11" t="s">
        <v>45</v>
      </c>
      <c r="P66" s="11" t="s">
        <v>46</v>
      </c>
    </row>
    <row r="67" s="7" customFormat="1" ht="22.5" customHeight="1" spans="1:16">
      <c r="A67" s="4" t="s">
        <v>16</v>
      </c>
      <c r="B67" s="4" t="s">
        <v>17</v>
      </c>
      <c r="C67" s="4" t="s">
        <v>252</v>
      </c>
      <c r="D67" s="5" t="s">
        <v>96</v>
      </c>
      <c r="E67" s="5">
        <v>46094.8388126968</v>
      </c>
      <c r="F67" s="4" t="s">
        <v>24</v>
      </c>
      <c r="G67" s="4" t="s">
        <v>25</v>
      </c>
      <c r="H67" s="4">
        <v>23</v>
      </c>
      <c r="I67" s="11">
        <v>3.3</v>
      </c>
      <c r="J67" s="11">
        <f t="shared" si="7"/>
        <v>75.9</v>
      </c>
      <c r="K67" s="4">
        <v>23</v>
      </c>
      <c r="L67" s="11">
        <f t="shared" si="8"/>
        <v>75.9</v>
      </c>
      <c r="M67" s="11"/>
      <c r="N67" s="11"/>
      <c r="O67" s="11" t="s">
        <v>45</v>
      </c>
      <c r="P67" s="11" t="s">
        <v>46</v>
      </c>
    </row>
    <row r="68" s="7" customFormat="1" ht="22.5" customHeight="1" spans="1:16">
      <c r="A68" s="4" t="s">
        <v>16</v>
      </c>
      <c r="B68" s="4" t="s">
        <v>17</v>
      </c>
      <c r="C68" s="4" t="s">
        <v>252</v>
      </c>
      <c r="D68" s="5" t="s">
        <v>96</v>
      </c>
      <c r="E68" s="5">
        <v>46094.8388126968</v>
      </c>
      <c r="F68" s="4" t="s">
        <v>20</v>
      </c>
      <c r="G68" s="4" t="s">
        <v>21</v>
      </c>
      <c r="H68" s="4">
        <v>1</v>
      </c>
      <c r="I68" s="11">
        <v>3.3</v>
      </c>
      <c r="J68" s="11">
        <f t="shared" si="7"/>
        <v>3.3</v>
      </c>
      <c r="K68" s="4">
        <v>1</v>
      </c>
      <c r="L68" s="11">
        <f t="shared" si="8"/>
        <v>3.3</v>
      </c>
      <c r="M68" s="11"/>
      <c r="N68" s="11"/>
      <c r="O68" s="11" t="s">
        <v>45</v>
      </c>
      <c r="P68" s="11" t="s">
        <v>46</v>
      </c>
    </row>
    <row r="69" s="7" customFormat="1" ht="22.5" customHeight="1" spans="1:16">
      <c r="A69" s="4" t="s">
        <v>16</v>
      </c>
      <c r="B69" s="4" t="s">
        <v>17</v>
      </c>
      <c r="C69" s="4" t="s">
        <v>253</v>
      </c>
      <c r="D69" s="5" t="s">
        <v>96</v>
      </c>
      <c r="E69" s="5">
        <v>46094.8388160069</v>
      </c>
      <c r="F69" s="4" t="s">
        <v>20</v>
      </c>
      <c r="G69" s="4" t="s">
        <v>21</v>
      </c>
      <c r="H69" s="4">
        <v>1</v>
      </c>
      <c r="I69" s="11">
        <v>3.3</v>
      </c>
      <c r="J69" s="11">
        <f t="shared" si="7"/>
        <v>3.3</v>
      </c>
      <c r="K69" s="4">
        <v>1</v>
      </c>
      <c r="L69" s="11">
        <f t="shared" si="8"/>
        <v>3.3</v>
      </c>
      <c r="M69" s="11"/>
      <c r="N69" s="11"/>
      <c r="O69" s="11" t="s">
        <v>45</v>
      </c>
      <c r="P69" s="11" t="s">
        <v>46</v>
      </c>
    </row>
    <row r="70" s="7" customFormat="1" ht="22.5" customHeight="1" spans="1:16">
      <c r="A70" s="4" t="s">
        <v>16</v>
      </c>
      <c r="B70" s="4" t="s">
        <v>17</v>
      </c>
      <c r="C70" s="4" t="s">
        <v>253</v>
      </c>
      <c r="D70" s="5" t="s">
        <v>96</v>
      </c>
      <c r="E70" s="5">
        <v>46094.8388160069</v>
      </c>
      <c r="F70" s="4" t="s">
        <v>24</v>
      </c>
      <c r="G70" s="4" t="s">
        <v>25</v>
      </c>
      <c r="H70" s="4">
        <v>39</v>
      </c>
      <c r="I70" s="11">
        <v>3.3</v>
      </c>
      <c r="J70" s="11">
        <f t="shared" si="7"/>
        <v>128.7</v>
      </c>
      <c r="K70" s="4">
        <v>39</v>
      </c>
      <c r="L70" s="11">
        <f t="shared" si="8"/>
        <v>128.7</v>
      </c>
      <c r="M70" s="11"/>
      <c r="N70" s="11"/>
      <c r="O70" s="11" t="s">
        <v>45</v>
      </c>
      <c r="P70" s="11" t="s">
        <v>46</v>
      </c>
    </row>
    <row r="71" s="7" customFormat="1" ht="22.5" customHeight="1" spans="1:16">
      <c r="A71" s="4" t="s">
        <v>16</v>
      </c>
      <c r="B71" s="4" t="s">
        <v>84</v>
      </c>
      <c r="C71" s="4" t="s">
        <v>254</v>
      </c>
      <c r="D71" s="5" t="s">
        <v>86</v>
      </c>
      <c r="E71" s="5">
        <v>46093.9564446759</v>
      </c>
      <c r="F71" s="4" t="s">
        <v>20</v>
      </c>
      <c r="G71" s="4" t="s">
        <v>21</v>
      </c>
      <c r="H71" s="4">
        <v>1</v>
      </c>
      <c r="I71" s="11">
        <v>3.3</v>
      </c>
      <c r="J71" s="11">
        <v>3.3</v>
      </c>
      <c r="K71" s="11">
        <v>1</v>
      </c>
      <c r="L71" s="11">
        <v>3.3</v>
      </c>
      <c r="M71" s="11"/>
      <c r="N71" s="11"/>
      <c r="O71" s="11" t="s">
        <v>34</v>
      </c>
      <c r="P71" s="11" t="s">
        <v>87</v>
      </c>
    </row>
    <row r="72" s="7" customFormat="1" ht="22.5" customHeight="1" spans="1:16">
      <c r="A72" s="4" t="s">
        <v>16</v>
      </c>
      <c r="B72" s="4" t="s">
        <v>84</v>
      </c>
      <c r="C72" s="4" t="s">
        <v>254</v>
      </c>
      <c r="D72" s="5" t="s">
        <v>86</v>
      </c>
      <c r="E72" s="5">
        <v>46093.9564446759</v>
      </c>
      <c r="F72" s="4" t="s">
        <v>24</v>
      </c>
      <c r="G72" s="4" t="s">
        <v>76</v>
      </c>
      <c r="H72" s="4">
        <v>8</v>
      </c>
      <c r="I72" s="11">
        <v>3.3</v>
      </c>
      <c r="J72" s="11">
        <f>I72*H72</f>
        <v>26.4</v>
      </c>
      <c r="K72" s="11">
        <v>8</v>
      </c>
      <c r="L72" s="11">
        <v>26.4</v>
      </c>
      <c r="M72" s="11"/>
      <c r="N72" s="11"/>
      <c r="O72" s="11" t="s">
        <v>34</v>
      </c>
      <c r="P72" s="11" t="s">
        <v>87</v>
      </c>
    </row>
    <row r="73" s="7" customFormat="1" ht="22.5" customHeight="1" spans="1:16">
      <c r="A73" s="4" t="s">
        <v>16</v>
      </c>
      <c r="B73" s="4" t="s">
        <v>17</v>
      </c>
      <c r="C73" s="4" t="s">
        <v>255</v>
      </c>
      <c r="D73" s="5" t="s">
        <v>48</v>
      </c>
      <c r="E73" s="5">
        <v>46094.8388142014</v>
      </c>
      <c r="F73" s="4" t="s">
        <v>20</v>
      </c>
      <c r="G73" s="4" t="s">
        <v>21</v>
      </c>
      <c r="H73" s="4">
        <v>1</v>
      </c>
      <c r="I73" s="11">
        <v>3.3</v>
      </c>
      <c r="J73" s="11">
        <f>H73*I73</f>
        <v>3.3</v>
      </c>
      <c r="K73" s="11">
        <v>1</v>
      </c>
      <c r="L73" s="11">
        <v>3.3</v>
      </c>
      <c r="M73" s="11"/>
      <c r="N73" s="11"/>
      <c r="O73" s="11" t="s">
        <v>22</v>
      </c>
      <c r="P73" s="11" t="s">
        <v>23</v>
      </c>
    </row>
    <row r="74" s="7" customFormat="1" ht="22.5" customHeight="1" spans="1:16">
      <c r="A74" s="4" t="s">
        <v>16</v>
      </c>
      <c r="B74" s="4" t="s">
        <v>17</v>
      </c>
      <c r="C74" s="4" t="s">
        <v>255</v>
      </c>
      <c r="D74" s="5" t="s">
        <v>48</v>
      </c>
      <c r="E74" s="5">
        <v>46094.8388142014</v>
      </c>
      <c r="F74" s="4" t="s">
        <v>24</v>
      </c>
      <c r="G74" s="4" t="s">
        <v>49</v>
      </c>
      <c r="H74" s="4">
        <v>12</v>
      </c>
      <c r="I74" s="11">
        <v>3.3</v>
      </c>
      <c r="J74" s="11">
        <f t="shared" ref="J74:J83" si="9">H74*I74</f>
        <v>39.6</v>
      </c>
      <c r="K74" s="11">
        <v>12</v>
      </c>
      <c r="L74" s="11">
        <v>39.6</v>
      </c>
      <c r="M74" s="11"/>
      <c r="N74" s="11"/>
      <c r="O74" s="11" t="s">
        <v>22</v>
      </c>
      <c r="P74" s="11" t="s">
        <v>23</v>
      </c>
    </row>
    <row r="75" s="7" customFormat="1" ht="22.5" customHeight="1" spans="1:16">
      <c r="A75" s="4" t="s">
        <v>16</v>
      </c>
      <c r="B75" s="4" t="s">
        <v>17</v>
      </c>
      <c r="C75" s="4" t="s">
        <v>255</v>
      </c>
      <c r="D75" s="5" t="s">
        <v>48</v>
      </c>
      <c r="E75" s="5">
        <v>46094.8388142014</v>
      </c>
      <c r="F75" s="4" t="s">
        <v>24</v>
      </c>
      <c r="G75" s="4" t="s">
        <v>41</v>
      </c>
      <c r="H75" s="4">
        <v>110</v>
      </c>
      <c r="I75" s="11">
        <v>120</v>
      </c>
      <c r="J75" s="11">
        <v>120</v>
      </c>
      <c r="K75" s="11">
        <v>110</v>
      </c>
      <c r="L75" s="11">
        <v>120</v>
      </c>
      <c r="M75" s="11"/>
      <c r="N75" s="11"/>
      <c r="O75" s="11" t="s">
        <v>22</v>
      </c>
      <c r="P75" s="11" t="s">
        <v>23</v>
      </c>
    </row>
    <row r="76" s="7" customFormat="1" ht="22.5" customHeight="1" spans="1:16">
      <c r="A76" s="4" t="s">
        <v>16</v>
      </c>
      <c r="B76" s="4" t="s">
        <v>17</v>
      </c>
      <c r="C76" s="4" t="s">
        <v>255</v>
      </c>
      <c r="D76" s="5" t="s">
        <v>48</v>
      </c>
      <c r="E76" s="5">
        <v>46094.8388142014</v>
      </c>
      <c r="F76" s="4" t="s">
        <v>24</v>
      </c>
      <c r="G76" s="4" t="s">
        <v>25</v>
      </c>
      <c r="H76" s="4">
        <v>42</v>
      </c>
      <c r="I76" s="11">
        <v>3.3</v>
      </c>
      <c r="J76" s="11">
        <f t="shared" si="9"/>
        <v>138.6</v>
      </c>
      <c r="K76" s="11">
        <v>42</v>
      </c>
      <c r="L76" s="11">
        <v>138.6</v>
      </c>
      <c r="M76" s="11"/>
      <c r="N76" s="11"/>
      <c r="O76" s="11" t="s">
        <v>22</v>
      </c>
      <c r="P76" s="11" t="s">
        <v>23</v>
      </c>
    </row>
    <row r="77" s="7" customFormat="1" ht="22.5" customHeight="1" spans="1:16">
      <c r="A77" s="4" t="s">
        <v>16</v>
      </c>
      <c r="B77" s="4" t="s">
        <v>17</v>
      </c>
      <c r="C77" s="4" t="s">
        <v>255</v>
      </c>
      <c r="D77" s="5" t="s">
        <v>48</v>
      </c>
      <c r="E77" s="5">
        <v>46096.5127971412</v>
      </c>
      <c r="F77" s="4" t="s">
        <v>20</v>
      </c>
      <c r="G77" s="4" t="s">
        <v>21</v>
      </c>
      <c r="H77" s="4">
        <v>1</v>
      </c>
      <c r="I77" s="11">
        <v>3.3</v>
      </c>
      <c r="J77" s="11">
        <f t="shared" si="9"/>
        <v>3.3</v>
      </c>
      <c r="K77" s="11">
        <v>1</v>
      </c>
      <c r="L77" s="11">
        <v>3.3</v>
      </c>
      <c r="M77" s="11"/>
      <c r="N77" s="11"/>
      <c r="O77" s="11" t="s">
        <v>22</v>
      </c>
      <c r="P77" s="11" t="s">
        <v>23</v>
      </c>
    </row>
    <row r="78" s="7" customFormat="1" ht="22.5" customHeight="1" spans="1:16">
      <c r="A78" s="4" t="s">
        <v>16</v>
      </c>
      <c r="B78" s="4" t="s">
        <v>17</v>
      </c>
      <c r="C78" s="4" t="s">
        <v>255</v>
      </c>
      <c r="D78" s="5" t="s">
        <v>48</v>
      </c>
      <c r="E78" s="5">
        <v>46096.5127971412</v>
      </c>
      <c r="F78" s="4" t="s">
        <v>24</v>
      </c>
      <c r="G78" s="4" t="s">
        <v>41</v>
      </c>
      <c r="H78" s="4">
        <v>38</v>
      </c>
      <c r="I78" s="11">
        <v>30</v>
      </c>
      <c r="J78" s="11">
        <v>30</v>
      </c>
      <c r="K78" s="11">
        <v>38</v>
      </c>
      <c r="L78" s="11">
        <v>30</v>
      </c>
      <c r="M78" s="11"/>
      <c r="N78" s="11"/>
      <c r="O78" s="11" t="s">
        <v>22</v>
      </c>
      <c r="P78" s="11" t="s">
        <v>23</v>
      </c>
    </row>
    <row r="79" s="7" customFormat="1" ht="22.5" customHeight="1" spans="1:16">
      <c r="A79" s="4" t="s">
        <v>16</v>
      </c>
      <c r="B79" s="4" t="s">
        <v>17</v>
      </c>
      <c r="C79" s="4" t="s">
        <v>255</v>
      </c>
      <c r="D79" s="5" t="s">
        <v>48</v>
      </c>
      <c r="E79" s="5">
        <v>46096.5127971412</v>
      </c>
      <c r="F79" s="4" t="s">
        <v>24</v>
      </c>
      <c r="G79" s="4" t="s">
        <v>25</v>
      </c>
      <c r="H79" s="4">
        <v>19</v>
      </c>
      <c r="I79" s="11">
        <v>3.3</v>
      </c>
      <c r="J79" s="11">
        <f t="shared" si="9"/>
        <v>62.7</v>
      </c>
      <c r="K79" s="11">
        <v>19</v>
      </c>
      <c r="L79" s="11">
        <v>62.7</v>
      </c>
      <c r="M79" s="11"/>
      <c r="N79" s="11"/>
      <c r="O79" s="11" t="s">
        <v>22</v>
      </c>
      <c r="P79" s="11" t="s">
        <v>23</v>
      </c>
    </row>
    <row r="80" s="7" customFormat="1" ht="22.5" customHeight="1" spans="1:16">
      <c r="A80" s="4" t="s">
        <v>16</v>
      </c>
      <c r="B80" s="4" t="s">
        <v>17</v>
      </c>
      <c r="C80" s="4" t="s">
        <v>256</v>
      </c>
      <c r="D80" s="5" t="s">
        <v>257</v>
      </c>
      <c r="E80" s="5">
        <v>46093.9565121181</v>
      </c>
      <c r="F80" s="4" t="s">
        <v>20</v>
      </c>
      <c r="G80" s="4" t="s">
        <v>21</v>
      </c>
      <c r="H80" s="4">
        <v>1</v>
      </c>
      <c r="I80" s="11">
        <v>3.3</v>
      </c>
      <c r="J80" s="11">
        <f t="shared" si="9"/>
        <v>3.3</v>
      </c>
      <c r="K80" s="11">
        <v>1</v>
      </c>
      <c r="L80" s="11">
        <v>3.3</v>
      </c>
      <c r="M80" s="11"/>
      <c r="N80" s="11"/>
      <c r="O80" s="11" t="s">
        <v>45</v>
      </c>
      <c r="P80" s="11" t="s">
        <v>46</v>
      </c>
    </row>
    <row r="81" s="7" customFormat="1" ht="22.5" customHeight="1" spans="1:16">
      <c r="A81" s="4" t="s">
        <v>16</v>
      </c>
      <c r="B81" s="4" t="s">
        <v>17</v>
      </c>
      <c r="C81" s="4" t="s">
        <v>256</v>
      </c>
      <c r="D81" s="5" t="s">
        <v>257</v>
      </c>
      <c r="E81" s="5">
        <v>46093.9565121181</v>
      </c>
      <c r="F81" s="4" t="s">
        <v>24</v>
      </c>
      <c r="G81" s="4" t="s">
        <v>25</v>
      </c>
      <c r="H81" s="4">
        <v>46</v>
      </c>
      <c r="I81" s="11">
        <v>3.3</v>
      </c>
      <c r="J81" s="11">
        <f t="shared" si="9"/>
        <v>151.8</v>
      </c>
      <c r="K81" s="11">
        <v>46</v>
      </c>
      <c r="L81" s="11">
        <v>151.8</v>
      </c>
      <c r="M81" s="11"/>
      <c r="N81" s="11"/>
      <c r="O81" s="11" t="s">
        <v>45</v>
      </c>
      <c r="P81" s="11" t="s">
        <v>46</v>
      </c>
    </row>
    <row r="82" s="7" customFormat="1" ht="22.5" customHeight="1" spans="1:16">
      <c r="A82" s="4" t="s">
        <v>16</v>
      </c>
      <c r="B82" s="4" t="s">
        <v>17</v>
      </c>
      <c r="C82" s="4" t="s">
        <v>258</v>
      </c>
      <c r="D82" s="5" t="s">
        <v>257</v>
      </c>
      <c r="E82" s="5">
        <v>46093.956515544</v>
      </c>
      <c r="F82" s="4" t="s">
        <v>24</v>
      </c>
      <c r="G82" s="4" t="s">
        <v>49</v>
      </c>
      <c r="H82" s="4">
        <v>9</v>
      </c>
      <c r="I82" s="11">
        <v>3.3</v>
      </c>
      <c r="J82" s="11">
        <f t="shared" si="9"/>
        <v>29.7</v>
      </c>
      <c r="K82" s="11">
        <v>9</v>
      </c>
      <c r="L82" s="11">
        <v>29.7</v>
      </c>
      <c r="M82" s="11"/>
      <c r="N82" s="11"/>
      <c r="O82" s="11" t="s">
        <v>45</v>
      </c>
      <c r="P82" s="11" t="s">
        <v>46</v>
      </c>
    </row>
    <row r="83" s="7" customFormat="1" ht="22.5" customHeight="1" spans="1:16">
      <c r="A83" s="4" t="s">
        <v>16</v>
      </c>
      <c r="B83" s="4" t="s">
        <v>17</v>
      </c>
      <c r="C83" s="4" t="s">
        <v>258</v>
      </c>
      <c r="D83" s="5" t="s">
        <v>257</v>
      </c>
      <c r="E83" s="5">
        <v>46093.956515544</v>
      </c>
      <c r="F83" s="4" t="s">
        <v>20</v>
      </c>
      <c r="G83" s="4" t="s">
        <v>21</v>
      </c>
      <c r="H83" s="4">
        <v>1</v>
      </c>
      <c r="I83" s="11">
        <v>3.3</v>
      </c>
      <c r="J83" s="11">
        <f t="shared" si="9"/>
        <v>3.3</v>
      </c>
      <c r="K83" s="11">
        <v>1</v>
      </c>
      <c r="L83" s="11">
        <v>3.3</v>
      </c>
      <c r="M83" s="11"/>
      <c r="N83" s="11"/>
      <c r="O83" s="11" t="s">
        <v>45</v>
      </c>
      <c r="P83" s="11" t="s">
        <v>46</v>
      </c>
    </row>
    <row r="84" s="7" customFormat="1" ht="22.5" customHeight="1" spans="1:16">
      <c r="A84" s="4" t="s">
        <v>16</v>
      </c>
      <c r="B84" s="4" t="s">
        <v>17</v>
      </c>
      <c r="C84" s="4" t="s">
        <v>258</v>
      </c>
      <c r="D84" s="5" t="s">
        <v>257</v>
      </c>
      <c r="E84" s="5">
        <v>46093.956515544</v>
      </c>
      <c r="F84" s="4" t="s">
        <v>24</v>
      </c>
      <c r="G84" s="4" t="s">
        <v>41</v>
      </c>
      <c r="H84" s="4">
        <v>163</v>
      </c>
      <c r="I84" s="11">
        <v>120</v>
      </c>
      <c r="J84" s="11">
        <v>120</v>
      </c>
      <c r="K84" s="11">
        <v>163</v>
      </c>
      <c r="L84" s="11">
        <v>120</v>
      </c>
      <c r="M84" s="11"/>
      <c r="N84" s="11"/>
      <c r="O84" s="11" t="s">
        <v>45</v>
      </c>
      <c r="P84" s="11" t="s">
        <v>46</v>
      </c>
    </row>
    <row r="85" s="7" customFormat="1" ht="22.5" customHeight="1" spans="1:16">
      <c r="A85" s="4" t="s">
        <v>16</v>
      </c>
      <c r="B85" s="4" t="s">
        <v>17</v>
      </c>
      <c r="C85" s="4" t="s">
        <v>259</v>
      </c>
      <c r="D85" s="5" t="s">
        <v>257</v>
      </c>
      <c r="E85" s="5">
        <v>46093.9565173611</v>
      </c>
      <c r="F85" s="4" t="s">
        <v>24</v>
      </c>
      <c r="G85" s="4" t="s">
        <v>41</v>
      </c>
      <c r="H85" s="4">
        <v>25</v>
      </c>
      <c r="I85" s="11">
        <v>30</v>
      </c>
      <c r="J85" s="11">
        <v>30</v>
      </c>
      <c r="K85" s="11">
        <v>25</v>
      </c>
      <c r="L85" s="11">
        <v>30</v>
      </c>
      <c r="M85" s="11"/>
      <c r="N85" s="11"/>
      <c r="O85" s="11" t="s">
        <v>45</v>
      </c>
      <c r="P85" s="11" t="s">
        <v>46</v>
      </c>
    </row>
    <row r="86" s="7" customFormat="1" ht="22.5" customHeight="1" spans="1:16">
      <c r="A86" s="4" t="s">
        <v>16</v>
      </c>
      <c r="B86" s="4" t="s">
        <v>17</v>
      </c>
      <c r="C86" s="4" t="s">
        <v>259</v>
      </c>
      <c r="D86" s="5" t="s">
        <v>257</v>
      </c>
      <c r="E86" s="5">
        <v>46093.9565173611</v>
      </c>
      <c r="F86" s="4" t="s">
        <v>20</v>
      </c>
      <c r="G86" s="4" t="s">
        <v>21</v>
      </c>
      <c r="H86" s="4">
        <v>1</v>
      </c>
      <c r="I86" s="11">
        <v>3.3</v>
      </c>
      <c r="J86" s="11">
        <f>H86*I86</f>
        <v>3.3</v>
      </c>
      <c r="K86" s="11">
        <v>1</v>
      </c>
      <c r="L86" s="11">
        <v>3.3</v>
      </c>
      <c r="M86" s="11"/>
      <c r="N86" s="11"/>
      <c r="O86" s="11" t="s">
        <v>45</v>
      </c>
      <c r="P86" s="11" t="s">
        <v>46</v>
      </c>
    </row>
    <row r="87" s="7" customFormat="1" ht="22.5" customHeight="1" spans="1:16">
      <c r="A87" s="4" t="s">
        <v>16</v>
      </c>
      <c r="B87" s="4" t="s">
        <v>17</v>
      </c>
      <c r="C87" s="4" t="s">
        <v>259</v>
      </c>
      <c r="D87" s="5" t="s">
        <v>257</v>
      </c>
      <c r="E87" s="5">
        <v>46093.9565173611</v>
      </c>
      <c r="F87" s="4" t="s">
        <v>24</v>
      </c>
      <c r="G87" s="4" t="s">
        <v>76</v>
      </c>
      <c r="H87" s="4">
        <v>17</v>
      </c>
      <c r="I87" s="11">
        <v>3.3</v>
      </c>
      <c r="J87" s="11">
        <f>H87*I87</f>
        <v>56.1</v>
      </c>
      <c r="K87" s="11">
        <v>17</v>
      </c>
      <c r="L87" s="11">
        <v>56.1</v>
      </c>
      <c r="M87" s="11"/>
      <c r="N87" s="11"/>
      <c r="O87" s="11" t="s">
        <v>45</v>
      </c>
      <c r="P87" s="11" t="s">
        <v>46</v>
      </c>
    </row>
    <row r="88" s="7" customFormat="1" ht="22.5" customHeight="1" spans="1:16">
      <c r="A88" s="4" t="s">
        <v>16</v>
      </c>
      <c r="B88" s="4" t="s">
        <v>17</v>
      </c>
      <c r="C88" s="4" t="s">
        <v>260</v>
      </c>
      <c r="D88" s="5" t="s">
        <v>257</v>
      </c>
      <c r="E88" s="5">
        <v>46093.9565193634</v>
      </c>
      <c r="F88" s="4" t="s">
        <v>24</v>
      </c>
      <c r="G88" s="4" t="s">
        <v>41</v>
      </c>
      <c r="H88" s="4">
        <v>152</v>
      </c>
      <c r="I88" s="11">
        <v>30</v>
      </c>
      <c r="J88" s="11">
        <v>30</v>
      </c>
      <c r="K88" s="11">
        <v>152</v>
      </c>
      <c r="L88" s="11">
        <v>30</v>
      </c>
      <c r="M88" s="11"/>
      <c r="N88" s="11"/>
      <c r="O88" s="11" t="s">
        <v>45</v>
      </c>
      <c r="P88" s="11" t="s">
        <v>46</v>
      </c>
    </row>
    <row r="89" s="7" customFormat="1" ht="22.5" customHeight="1" spans="1:16">
      <c r="A89" s="4" t="s">
        <v>16</v>
      </c>
      <c r="B89" s="4" t="s">
        <v>17</v>
      </c>
      <c r="C89" s="4" t="s">
        <v>260</v>
      </c>
      <c r="D89" s="5" t="s">
        <v>257</v>
      </c>
      <c r="E89" s="5">
        <v>46093.9565193634</v>
      </c>
      <c r="F89" s="4" t="s">
        <v>20</v>
      </c>
      <c r="G89" s="4" t="s">
        <v>21</v>
      </c>
      <c r="H89" s="4">
        <v>1</v>
      </c>
      <c r="I89" s="11">
        <v>3.3</v>
      </c>
      <c r="J89" s="11">
        <v>3.3</v>
      </c>
      <c r="K89" s="11">
        <v>1</v>
      </c>
      <c r="L89" s="11">
        <v>3.3</v>
      </c>
      <c r="M89" s="11"/>
      <c r="N89" s="11"/>
      <c r="O89" s="11" t="s">
        <v>45</v>
      </c>
      <c r="P89" s="11" t="s">
        <v>46</v>
      </c>
    </row>
    <row r="90" s="7" customFormat="1" ht="22.5" customHeight="1" spans="1:16">
      <c r="A90" s="4" t="s">
        <v>261</v>
      </c>
      <c r="B90" s="4" t="s">
        <v>42</v>
      </c>
      <c r="C90" s="4" t="s">
        <v>262</v>
      </c>
      <c r="D90" s="5" t="s">
        <v>263</v>
      </c>
      <c r="E90" s="5">
        <v>46093.9737787847</v>
      </c>
      <c r="F90" s="4" t="s">
        <v>24</v>
      </c>
      <c r="G90" s="4" t="s">
        <v>36</v>
      </c>
      <c r="H90" s="4">
        <v>1</v>
      </c>
      <c r="I90" s="11">
        <v>9.9</v>
      </c>
      <c r="J90" s="11">
        <v>9.9</v>
      </c>
      <c r="K90" s="11">
        <v>1</v>
      </c>
      <c r="L90" s="11">
        <v>9.9</v>
      </c>
      <c r="M90" s="11"/>
      <c r="N90" s="11"/>
      <c r="O90" s="11" t="s">
        <v>264</v>
      </c>
      <c r="P90" s="11" t="s">
        <v>265</v>
      </c>
    </row>
    <row r="91" s="7" customFormat="1" ht="22.5" customHeight="1" spans="1:16">
      <c r="A91" s="4" t="s">
        <v>261</v>
      </c>
      <c r="B91" s="4" t="s">
        <v>42</v>
      </c>
      <c r="C91" s="4" t="s">
        <v>262</v>
      </c>
      <c r="D91" s="5" t="s">
        <v>263</v>
      </c>
      <c r="E91" s="5">
        <v>46093.9737814815</v>
      </c>
      <c r="F91" s="4" t="s">
        <v>24</v>
      </c>
      <c r="G91" s="4" t="s">
        <v>36</v>
      </c>
      <c r="H91" s="4">
        <v>1</v>
      </c>
      <c r="I91" s="11">
        <v>9.9</v>
      </c>
      <c r="J91" s="11">
        <v>9.9</v>
      </c>
      <c r="K91" s="11">
        <v>1</v>
      </c>
      <c r="L91" s="11">
        <v>9.9</v>
      </c>
      <c r="M91" s="11"/>
      <c r="N91" s="11"/>
      <c r="O91" s="11" t="s">
        <v>264</v>
      </c>
      <c r="P91" s="11" t="s">
        <v>265</v>
      </c>
    </row>
    <row r="92" s="7" customFormat="1" ht="24" customHeight="1" spans="1:16">
      <c r="A92" s="10"/>
      <c r="B92" s="10"/>
      <c r="C92" s="10"/>
      <c r="D92" s="10"/>
      <c r="E92" s="10"/>
      <c r="F92" s="10"/>
      <c r="G92" s="10"/>
      <c r="H92" s="10">
        <f t="shared" ref="H92:N92" si="10">SUM(H2:H91)</f>
        <v>2599</v>
      </c>
      <c r="I92" s="10">
        <f t="shared" si="10"/>
        <v>1407</v>
      </c>
      <c r="J92" s="10">
        <f t="shared" si="10"/>
        <v>3651</v>
      </c>
      <c r="K92" s="10">
        <f t="shared" si="10"/>
        <v>2581</v>
      </c>
      <c r="L92" s="10">
        <f t="shared" si="10"/>
        <v>3591.6</v>
      </c>
      <c r="M92" s="10">
        <f t="shared" si="10"/>
        <v>18</v>
      </c>
      <c r="N92" s="10">
        <f t="shared" si="10"/>
        <v>59.4</v>
      </c>
      <c r="O92" s="10"/>
      <c r="P92" s="10"/>
    </row>
    <row r="111" spans="11:11">
      <c r="K111" s="7">
        <f>L92+'3.11'!L20+'3.10'!L47+'3.9'!L20+'3.6'!L22+'3.5'!L22+'3.4'!L27+'3.3'!L16+'3.2'!L22+'2.28'!L22+'2.27'!L24+'2.26'!L44+'2.25'!L24+'2.24'!L17+'2.23'!L10</f>
        <v>14366.1</v>
      </c>
    </row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sortState ref="A2:P1048576">
    <sortCondition ref="A27"/>
  </sortState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topLeftCell="D29" workbookViewId="0">
      <selection activeCell="D1" sqref="D1:P1"/>
    </sheetView>
  </sheetViews>
  <sheetFormatPr defaultColWidth="9" defaultRowHeight="13.5"/>
  <cols>
    <col min="1" max="1" width="30.0083333333333" style="18" customWidth="1"/>
    <col min="2" max="2" width="27.0083333333333" style="18" customWidth="1"/>
    <col min="3" max="3" width="33.3416666666667" style="18" customWidth="1"/>
    <col min="4" max="4" width="16.0083333333333" style="18" customWidth="1"/>
    <col min="5" max="5" width="13.3416666666667" style="18" customWidth="1"/>
    <col min="6" max="6" width="12.3416666666667" style="18" customWidth="1"/>
    <col min="7" max="7" width="15.0083333333333" style="18" customWidth="1"/>
    <col min="8" max="8" width="12.3416666666667" style="18" customWidth="1"/>
    <col min="9" max="10" width="8.675" style="18" customWidth="1"/>
    <col min="11" max="12" width="17.8416666666667" style="18" customWidth="1"/>
    <col min="13" max="14" width="16.0083333333333" style="18" customWidth="1"/>
    <col min="15" max="16" width="8.675" style="18" customWidth="1"/>
    <col min="17" max="16384" width="9" style="18"/>
  </cols>
  <sheetData>
    <row r="1" s="18" customFormat="1" ht="22.5" customHeight="1" spans="1:16">
      <c r="A1" s="19" t="s">
        <v>0</v>
      </c>
      <c r="B1" s="19" t="s">
        <v>1</v>
      </c>
      <c r="C1" s="1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="18" customFormat="1" ht="22.5" customHeight="1" spans="1:16">
      <c r="A2" s="20" t="s">
        <v>30</v>
      </c>
      <c r="B2" s="20" t="s">
        <v>31</v>
      </c>
      <c r="C2" s="20" t="s">
        <v>266</v>
      </c>
      <c r="D2" s="21" t="s">
        <v>96</v>
      </c>
      <c r="E2" s="22">
        <v>46097.8665305903</v>
      </c>
      <c r="F2" s="20" t="s">
        <v>20</v>
      </c>
      <c r="G2" s="20" t="s">
        <v>21</v>
      </c>
      <c r="H2" s="20">
        <v>1</v>
      </c>
      <c r="I2" s="23">
        <v>3.3</v>
      </c>
      <c r="J2" s="23">
        <f t="shared" ref="J2:J11" si="0">H2*I2</f>
        <v>3.3</v>
      </c>
      <c r="K2" s="20">
        <v>1</v>
      </c>
      <c r="L2" s="23">
        <f t="shared" ref="L2:L11" si="1">K2*3.3</f>
        <v>3.3</v>
      </c>
      <c r="M2" s="23"/>
      <c r="N2" s="23"/>
      <c r="O2" s="24" t="s">
        <v>34</v>
      </c>
      <c r="P2" s="24" t="s">
        <v>87</v>
      </c>
    </row>
    <row r="3" s="18" customFormat="1" ht="22.5" customHeight="1" spans="1:16">
      <c r="A3" s="20" t="s">
        <v>30</v>
      </c>
      <c r="B3" s="20" t="s">
        <v>31</v>
      </c>
      <c r="C3" s="20" t="s">
        <v>266</v>
      </c>
      <c r="D3" s="21" t="s">
        <v>96</v>
      </c>
      <c r="E3" s="22">
        <v>46097.8665305903</v>
      </c>
      <c r="F3" s="20" t="s">
        <v>24</v>
      </c>
      <c r="G3" s="20" t="s">
        <v>25</v>
      </c>
      <c r="H3" s="20">
        <v>12</v>
      </c>
      <c r="I3" s="23">
        <v>3.3</v>
      </c>
      <c r="J3" s="23">
        <f t="shared" si="0"/>
        <v>39.6</v>
      </c>
      <c r="K3" s="20">
        <v>12</v>
      </c>
      <c r="L3" s="23">
        <f t="shared" si="1"/>
        <v>39.6</v>
      </c>
      <c r="M3" s="23"/>
      <c r="N3" s="23"/>
      <c r="O3" s="24" t="s">
        <v>34</v>
      </c>
      <c r="P3" s="24" t="s">
        <v>87</v>
      </c>
    </row>
    <row r="4" s="18" customFormat="1" ht="22.5" customHeight="1" spans="1:16">
      <c r="A4" s="20" t="s">
        <v>30</v>
      </c>
      <c r="B4" s="20" t="s">
        <v>31</v>
      </c>
      <c r="C4" s="20" t="s">
        <v>267</v>
      </c>
      <c r="D4" s="21" t="s">
        <v>96</v>
      </c>
      <c r="E4" s="22">
        <v>46097.8665322917</v>
      </c>
      <c r="F4" s="20" t="s">
        <v>24</v>
      </c>
      <c r="G4" s="20" t="s">
        <v>25</v>
      </c>
      <c r="H4" s="20">
        <v>21</v>
      </c>
      <c r="I4" s="23">
        <v>3.3</v>
      </c>
      <c r="J4" s="23">
        <f t="shared" si="0"/>
        <v>69.3</v>
      </c>
      <c r="K4" s="20">
        <v>21</v>
      </c>
      <c r="L4" s="23">
        <f t="shared" si="1"/>
        <v>69.3</v>
      </c>
      <c r="M4" s="23"/>
      <c r="N4" s="23"/>
      <c r="O4" s="24" t="s">
        <v>34</v>
      </c>
      <c r="P4" s="24" t="s">
        <v>87</v>
      </c>
    </row>
    <row r="5" s="18" customFormat="1" ht="22.5" customHeight="1" spans="1:16">
      <c r="A5" s="20" t="s">
        <v>30</v>
      </c>
      <c r="B5" s="20" t="s">
        <v>31</v>
      </c>
      <c r="C5" s="20" t="s">
        <v>267</v>
      </c>
      <c r="D5" s="21" t="s">
        <v>96</v>
      </c>
      <c r="E5" s="22">
        <v>46097.8665322917</v>
      </c>
      <c r="F5" s="20" t="s">
        <v>20</v>
      </c>
      <c r="G5" s="20" t="s">
        <v>21</v>
      </c>
      <c r="H5" s="20">
        <v>1</v>
      </c>
      <c r="I5" s="23">
        <v>3.3</v>
      </c>
      <c r="J5" s="23">
        <f t="shared" si="0"/>
        <v>3.3</v>
      </c>
      <c r="K5" s="20">
        <v>1</v>
      </c>
      <c r="L5" s="23">
        <f t="shared" si="1"/>
        <v>3.3</v>
      </c>
      <c r="M5" s="23"/>
      <c r="N5" s="23"/>
      <c r="O5" s="24" t="s">
        <v>34</v>
      </c>
      <c r="P5" s="24" t="s">
        <v>87</v>
      </c>
    </row>
    <row r="6" s="18" customFormat="1" ht="22.5" customHeight="1" spans="1:16">
      <c r="A6" s="20" t="s">
        <v>30</v>
      </c>
      <c r="B6" s="20" t="s">
        <v>31</v>
      </c>
      <c r="C6" s="20" t="s">
        <v>268</v>
      </c>
      <c r="D6" s="21" t="s">
        <v>96</v>
      </c>
      <c r="E6" s="22">
        <v>46097.8665342245</v>
      </c>
      <c r="F6" s="20" t="s">
        <v>20</v>
      </c>
      <c r="G6" s="20" t="s">
        <v>21</v>
      </c>
      <c r="H6" s="20">
        <v>1</v>
      </c>
      <c r="I6" s="23">
        <v>3.3</v>
      </c>
      <c r="J6" s="23">
        <f t="shared" si="0"/>
        <v>3.3</v>
      </c>
      <c r="K6" s="20">
        <v>1</v>
      </c>
      <c r="L6" s="23">
        <f t="shared" si="1"/>
        <v>3.3</v>
      </c>
      <c r="M6" s="23"/>
      <c r="N6" s="23"/>
      <c r="O6" s="24" t="s">
        <v>34</v>
      </c>
      <c r="P6" s="24" t="s">
        <v>87</v>
      </c>
    </row>
    <row r="7" s="18" customFormat="1" ht="22.5" customHeight="1" spans="1:16">
      <c r="A7" s="20" t="s">
        <v>30</v>
      </c>
      <c r="B7" s="20" t="s">
        <v>31</v>
      </c>
      <c r="C7" s="20" t="s">
        <v>268</v>
      </c>
      <c r="D7" s="21" t="s">
        <v>96</v>
      </c>
      <c r="E7" s="22">
        <v>46097.8665342245</v>
      </c>
      <c r="F7" s="20" t="s">
        <v>24</v>
      </c>
      <c r="G7" s="20" t="s">
        <v>25</v>
      </c>
      <c r="H7" s="20">
        <v>13</v>
      </c>
      <c r="I7" s="23">
        <v>3.3</v>
      </c>
      <c r="J7" s="23">
        <f t="shared" si="0"/>
        <v>42.9</v>
      </c>
      <c r="K7" s="20">
        <v>13</v>
      </c>
      <c r="L7" s="23">
        <f t="shared" si="1"/>
        <v>42.9</v>
      </c>
      <c r="M7" s="23"/>
      <c r="N7" s="23"/>
      <c r="O7" s="24" t="s">
        <v>34</v>
      </c>
      <c r="P7" s="24" t="s">
        <v>87</v>
      </c>
    </row>
    <row r="8" s="18" customFormat="1" ht="22.5" customHeight="1" spans="1:16">
      <c r="A8" s="20" t="s">
        <v>30</v>
      </c>
      <c r="B8" s="20" t="s">
        <v>31</v>
      </c>
      <c r="C8" s="20" t="s">
        <v>269</v>
      </c>
      <c r="D8" s="21" t="s">
        <v>96</v>
      </c>
      <c r="E8" s="22">
        <v>46097.8665361458</v>
      </c>
      <c r="F8" s="20" t="s">
        <v>24</v>
      </c>
      <c r="G8" s="20" t="s">
        <v>25</v>
      </c>
      <c r="H8" s="20">
        <v>23</v>
      </c>
      <c r="I8" s="23">
        <v>3.3</v>
      </c>
      <c r="J8" s="23">
        <f t="shared" si="0"/>
        <v>75.9</v>
      </c>
      <c r="K8" s="20">
        <v>23</v>
      </c>
      <c r="L8" s="23">
        <f t="shared" si="1"/>
        <v>75.9</v>
      </c>
      <c r="M8" s="23"/>
      <c r="N8" s="23"/>
      <c r="O8" s="24" t="s">
        <v>34</v>
      </c>
      <c r="P8" s="24" t="s">
        <v>87</v>
      </c>
    </row>
    <row r="9" s="18" customFormat="1" ht="22.5" customHeight="1" spans="1:16">
      <c r="A9" s="20" t="s">
        <v>30</v>
      </c>
      <c r="B9" s="20" t="s">
        <v>31</v>
      </c>
      <c r="C9" s="20" t="s">
        <v>269</v>
      </c>
      <c r="D9" s="21" t="s">
        <v>96</v>
      </c>
      <c r="E9" s="22">
        <v>46097.8665361458</v>
      </c>
      <c r="F9" s="20" t="s">
        <v>20</v>
      </c>
      <c r="G9" s="20" t="s">
        <v>21</v>
      </c>
      <c r="H9" s="20">
        <v>1</v>
      </c>
      <c r="I9" s="23">
        <v>3.3</v>
      </c>
      <c r="J9" s="23">
        <f t="shared" si="0"/>
        <v>3.3</v>
      </c>
      <c r="K9" s="20">
        <v>1</v>
      </c>
      <c r="L9" s="23">
        <f t="shared" si="1"/>
        <v>3.3</v>
      </c>
      <c r="M9" s="23"/>
      <c r="N9" s="23"/>
      <c r="O9" s="24" t="s">
        <v>34</v>
      </c>
      <c r="P9" s="24" t="s">
        <v>87</v>
      </c>
    </row>
    <row r="10" s="18" customFormat="1" ht="22.5" customHeight="1" spans="1:16">
      <c r="A10" s="20" t="s">
        <v>30</v>
      </c>
      <c r="B10" s="20" t="s">
        <v>31</v>
      </c>
      <c r="C10" s="20" t="s">
        <v>270</v>
      </c>
      <c r="D10" s="21" t="s">
        <v>96</v>
      </c>
      <c r="E10" s="22">
        <v>46097.8665381944</v>
      </c>
      <c r="F10" s="20" t="s">
        <v>20</v>
      </c>
      <c r="G10" s="20" t="s">
        <v>21</v>
      </c>
      <c r="H10" s="20">
        <v>1</v>
      </c>
      <c r="I10" s="23">
        <v>3.3</v>
      </c>
      <c r="J10" s="23">
        <f t="shared" si="0"/>
        <v>3.3</v>
      </c>
      <c r="K10" s="20">
        <v>1</v>
      </c>
      <c r="L10" s="23">
        <f t="shared" si="1"/>
        <v>3.3</v>
      </c>
      <c r="M10" s="23"/>
      <c r="N10" s="23"/>
      <c r="O10" s="24" t="s">
        <v>34</v>
      </c>
      <c r="P10" s="24" t="s">
        <v>87</v>
      </c>
    </row>
    <row r="11" s="18" customFormat="1" ht="22.5" customHeight="1" spans="1:16">
      <c r="A11" s="20" t="s">
        <v>30</v>
      </c>
      <c r="B11" s="20" t="s">
        <v>31</v>
      </c>
      <c r="C11" s="20" t="s">
        <v>270</v>
      </c>
      <c r="D11" s="21" t="s">
        <v>96</v>
      </c>
      <c r="E11" s="22">
        <v>46097.8665381944</v>
      </c>
      <c r="F11" s="20" t="s">
        <v>24</v>
      </c>
      <c r="G11" s="20" t="s">
        <v>25</v>
      </c>
      <c r="H11" s="20">
        <v>15</v>
      </c>
      <c r="I11" s="23">
        <v>3.3</v>
      </c>
      <c r="J11" s="23">
        <f t="shared" si="0"/>
        <v>49.5</v>
      </c>
      <c r="K11" s="20">
        <v>15</v>
      </c>
      <c r="L11" s="23">
        <f t="shared" si="1"/>
        <v>49.5</v>
      </c>
      <c r="M11" s="23"/>
      <c r="N11" s="23"/>
      <c r="O11" s="24" t="s">
        <v>34</v>
      </c>
      <c r="P11" s="24" t="s">
        <v>87</v>
      </c>
    </row>
    <row r="12" s="18" customFormat="1" ht="22.5" customHeight="1" spans="1:16">
      <c r="A12" s="20" t="s">
        <v>271</v>
      </c>
      <c r="B12" s="20" t="s">
        <v>42</v>
      </c>
      <c r="C12" s="20" t="s">
        <v>255</v>
      </c>
      <c r="D12" s="21" t="s">
        <v>272</v>
      </c>
      <c r="E12" s="22">
        <v>46097.5943197569</v>
      </c>
      <c r="F12" s="20" t="s">
        <v>24</v>
      </c>
      <c r="G12" s="20" t="s">
        <v>41</v>
      </c>
      <c r="H12" s="20">
        <v>146</v>
      </c>
      <c r="I12" s="23">
        <v>30</v>
      </c>
      <c r="J12" s="23">
        <v>30</v>
      </c>
      <c r="K12" s="23">
        <v>146</v>
      </c>
      <c r="L12" s="23">
        <v>30</v>
      </c>
      <c r="M12" s="23"/>
      <c r="N12" s="23"/>
      <c r="O12" s="24" t="s">
        <v>22</v>
      </c>
      <c r="P12" s="24" t="s">
        <v>23</v>
      </c>
    </row>
    <row r="13" s="18" customFormat="1" ht="22.5" customHeight="1" spans="1:16">
      <c r="A13" s="20" t="s">
        <v>271</v>
      </c>
      <c r="B13" s="20" t="s">
        <v>42</v>
      </c>
      <c r="C13" s="20" t="s">
        <v>255</v>
      </c>
      <c r="D13" s="21" t="s">
        <v>272</v>
      </c>
      <c r="E13" s="22">
        <v>46097.5943197569</v>
      </c>
      <c r="F13" s="20" t="s">
        <v>24</v>
      </c>
      <c r="G13" s="20" t="s">
        <v>49</v>
      </c>
      <c r="H13" s="20">
        <v>6</v>
      </c>
      <c r="I13" s="23">
        <v>3.3</v>
      </c>
      <c r="J13" s="23">
        <f>H13*I13</f>
        <v>19.8</v>
      </c>
      <c r="K13" s="23">
        <v>6</v>
      </c>
      <c r="L13" s="23">
        <v>19.8</v>
      </c>
      <c r="M13" s="23"/>
      <c r="N13" s="23"/>
      <c r="O13" s="24" t="s">
        <v>22</v>
      </c>
      <c r="P13" s="24" t="s">
        <v>23</v>
      </c>
    </row>
    <row r="14" s="18" customFormat="1" ht="22.5" customHeight="1" spans="1:16">
      <c r="A14" s="20" t="s">
        <v>271</v>
      </c>
      <c r="B14" s="20" t="s">
        <v>42</v>
      </c>
      <c r="C14" s="20" t="s">
        <v>255</v>
      </c>
      <c r="D14" s="21" t="s">
        <v>272</v>
      </c>
      <c r="E14" s="22">
        <v>46097.5943197569</v>
      </c>
      <c r="F14" s="20" t="s">
        <v>24</v>
      </c>
      <c r="G14" s="20" t="s">
        <v>25</v>
      </c>
      <c r="H14" s="20">
        <v>7</v>
      </c>
      <c r="I14" s="23">
        <v>3.3</v>
      </c>
      <c r="J14" s="23">
        <f>H14*I14</f>
        <v>23.1</v>
      </c>
      <c r="K14" s="23">
        <v>7</v>
      </c>
      <c r="L14" s="23">
        <v>23.1</v>
      </c>
      <c r="M14" s="23"/>
      <c r="N14" s="23"/>
      <c r="O14" s="24" t="s">
        <v>22</v>
      </c>
      <c r="P14" s="24" t="s">
        <v>23</v>
      </c>
    </row>
    <row r="15" s="18" customFormat="1" ht="22.5" customHeight="1" spans="1:16">
      <c r="A15" s="20" t="s">
        <v>271</v>
      </c>
      <c r="B15" s="20" t="s">
        <v>42</v>
      </c>
      <c r="C15" s="20" t="s">
        <v>255</v>
      </c>
      <c r="D15" s="21" t="s">
        <v>272</v>
      </c>
      <c r="E15" s="22">
        <v>46097.5943197569</v>
      </c>
      <c r="F15" s="20" t="s">
        <v>20</v>
      </c>
      <c r="G15" s="20" t="s">
        <v>21</v>
      </c>
      <c r="H15" s="20">
        <v>1</v>
      </c>
      <c r="I15" s="23">
        <v>3.3</v>
      </c>
      <c r="J15" s="23">
        <f>H15*I15</f>
        <v>3.3</v>
      </c>
      <c r="K15" s="23">
        <v>1</v>
      </c>
      <c r="L15" s="23">
        <v>3.3</v>
      </c>
      <c r="M15" s="23"/>
      <c r="N15" s="23"/>
      <c r="O15" s="24" t="s">
        <v>22</v>
      </c>
      <c r="P15" s="24" t="s">
        <v>23</v>
      </c>
    </row>
    <row r="16" s="18" customFormat="1" ht="22.5" customHeight="1" spans="1:16">
      <c r="A16" s="20" t="s">
        <v>30</v>
      </c>
      <c r="B16" s="20" t="s">
        <v>42</v>
      </c>
      <c r="C16" s="20" t="s">
        <v>273</v>
      </c>
      <c r="D16" s="21" t="s">
        <v>75</v>
      </c>
      <c r="E16" s="22">
        <v>46097.6405305208</v>
      </c>
      <c r="F16" s="20" t="s">
        <v>20</v>
      </c>
      <c r="G16" s="20" t="s">
        <v>21</v>
      </c>
      <c r="H16" s="20">
        <v>1</v>
      </c>
      <c r="I16" s="23">
        <v>3.3</v>
      </c>
      <c r="J16" s="23">
        <f>H16*I16</f>
        <v>3.3</v>
      </c>
      <c r="K16" s="23">
        <v>1</v>
      </c>
      <c r="L16" s="23">
        <v>3.3</v>
      </c>
      <c r="M16" s="23"/>
      <c r="N16" s="23"/>
      <c r="O16" s="24" t="s">
        <v>51</v>
      </c>
      <c r="P16" s="24" t="s">
        <v>52</v>
      </c>
    </row>
    <row r="17" s="18" customFormat="1" ht="22.5" customHeight="1" spans="1:16">
      <c r="A17" s="20" t="s">
        <v>30</v>
      </c>
      <c r="B17" s="20" t="s">
        <v>42</v>
      </c>
      <c r="C17" s="20" t="s">
        <v>273</v>
      </c>
      <c r="D17" s="21" t="s">
        <v>75</v>
      </c>
      <c r="E17" s="22">
        <v>46097.6405305208</v>
      </c>
      <c r="F17" s="20" t="s">
        <v>24</v>
      </c>
      <c r="G17" s="20" t="s">
        <v>41</v>
      </c>
      <c r="H17" s="20">
        <v>158</v>
      </c>
      <c r="I17" s="23">
        <v>120</v>
      </c>
      <c r="J17" s="23">
        <v>120</v>
      </c>
      <c r="K17" s="23">
        <v>158</v>
      </c>
      <c r="L17" s="23">
        <v>120</v>
      </c>
      <c r="M17" s="23"/>
      <c r="N17" s="23"/>
      <c r="O17" s="24" t="s">
        <v>51</v>
      </c>
      <c r="P17" s="24" t="s">
        <v>52</v>
      </c>
    </row>
    <row r="18" s="18" customFormat="1" ht="22.5" customHeight="1" spans="1:16">
      <c r="A18" s="20" t="s">
        <v>30</v>
      </c>
      <c r="B18" s="20" t="s">
        <v>42</v>
      </c>
      <c r="C18" s="20" t="s">
        <v>273</v>
      </c>
      <c r="D18" s="21" t="s">
        <v>75</v>
      </c>
      <c r="E18" s="22">
        <v>46097.6405305208</v>
      </c>
      <c r="F18" s="20" t="s">
        <v>24</v>
      </c>
      <c r="G18" s="20" t="s">
        <v>49</v>
      </c>
      <c r="H18" s="20">
        <v>5</v>
      </c>
      <c r="I18" s="23">
        <v>3.3</v>
      </c>
      <c r="J18" s="23">
        <f>H18*I18</f>
        <v>16.5</v>
      </c>
      <c r="K18" s="23">
        <v>5</v>
      </c>
      <c r="L18" s="23">
        <v>16.5</v>
      </c>
      <c r="M18" s="23"/>
      <c r="N18" s="23"/>
      <c r="O18" s="24" t="s">
        <v>51</v>
      </c>
      <c r="P18" s="24" t="s">
        <v>52</v>
      </c>
    </row>
    <row r="19" s="18" customFormat="1" ht="22.5" customHeight="1" spans="1:16">
      <c r="A19" s="20" t="s">
        <v>30</v>
      </c>
      <c r="B19" s="20" t="s">
        <v>42</v>
      </c>
      <c r="C19" s="20" t="s">
        <v>273</v>
      </c>
      <c r="D19" s="21" t="s">
        <v>75</v>
      </c>
      <c r="E19" s="22">
        <v>46097.6405305208</v>
      </c>
      <c r="F19" s="20" t="s">
        <v>24</v>
      </c>
      <c r="G19" s="20" t="s">
        <v>25</v>
      </c>
      <c r="H19" s="20">
        <v>14</v>
      </c>
      <c r="I19" s="23">
        <v>3.3</v>
      </c>
      <c r="J19" s="23">
        <f>H19*I19</f>
        <v>46.2</v>
      </c>
      <c r="K19" s="23">
        <v>14</v>
      </c>
      <c r="L19" s="23">
        <v>46.2</v>
      </c>
      <c r="M19" s="23"/>
      <c r="N19" s="23"/>
      <c r="O19" s="24" t="s">
        <v>51</v>
      </c>
      <c r="P19" s="24" t="s">
        <v>52</v>
      </c>
    </row>
    <row r="20" s="18" customFormat="1" ht="22.5" customHeight="1" spans="1:16">
      <c r="A20" s="20" t="s">
        <v>30</v>
      </c>
      <c r="B20" s="20" t="s">
        <v>42</v>
      </c>
      <c r="C20" s="20" t="s">
        <v>274</v>
      </c>
      <c r="D20" s="21" t="s">
        <v>223</v>
      </c>
      <c r="E20" s="22">
        <v>46097.7256882292</v>
      </c>
      <c r="F20" s="20" t="s">
        <v>20</v>
      </c>
      <c r="G20" s="20" t="s">
        <v>21</v>
      </c>
      <c r="H20" s="20">
        <v>1</v>
      </c>
      <c r="I20" s="23">
        <v>3.3</v>
      </c>
      <c r="J20" s="23">
        <f>H20*I20</f>
        <v>3.3</v>
      </c>
      <c r="K20" s="23">
        <v>1</v>
      </c>
      <c r="L20" s="23">
        <v>3.3</v>
      </c>
      <c r="M20" s="23"/>
      <c r="N20" s="23"/>
      <c r="O20" s="24" t="s">
        <v>45</v>
      </c>
      <c r="P20" s="24" t="s">
        <v>113</v>
      </c>
    </row>
    <row r="21" s="18" customFormat="1" ht="22.5" customHeight="1" spans="1:16">
      <c r="A21" s="20" t="s">
        <v>30</v>
      </c>
      <c r="B21" s="20" t="s">
        <v>42</v>
      </c>
      <c r="C21" s="20" t="s">
        <v>274</v>
      </c>
      <c r="D21" s="21" t="s">
        <v>223</v>
      </c>
      <c r="E21" s="22">
        <v>46097.7256882292</v>
      </c>
      <c r="F21" s="20" t="s">
        <v>24</v>
      </c>
      <c r="G21" s="20" t="s">
        <v>41</v>
      </c>
      <c r="H21" s="20">
        <v>158</v>
      </c>
      <c r="I21" s="23">
        <v>120</v>
      </c>
      <c r="J21" s="23">
        <v>120</v>
      </c>
      <c r="K21" s="23">
        <v>158</v>
      </c>
      <c r="L21" s="23">
        <v>120</v>
      </c>
      <c r="M21" s="23"/>
      <c r="N21" s="23"/>
      <c r="O21" s="24" t="s">
        <v>45</v>
      </c>
      <c r="P21" s="24" t="s">
        <v>113</v>
      </c>
    </row>
    <row r="22" s="18" customFormat="1" ht="22.5" customHeight="1" spans="1:16">
      <c r="A22" s="20" t="s">
        <v>30</v>
      </c>
      <c r="B22" s="20" t="s">
        <v>42</v>
      </c>
      <c r="C22" s="20" t="s">
        <v>274</v>
      </c>
      <c r="D22" s="21" t="s">
        <v>223</v>
      </c>
      <c r="E22" s="22">
        <v>46097.7256882292</v>
      </c>
      <c r="F22" s="20" t="s">
        <v>24</v>
      </c>
      <c r="G22" s="20" t="s">
        <v>25</v>
      </c>
      <c r="H22" s="20">
        <v>14</v>
      </c>
      <c r="I22" s="23">
        <v>3.3</v>
      </c>
      <c r="J22" s="23">
        <f>H22*I22</f>
        <v>46.2</v>
      </c>
      <c r="K22" s="23">
        <v>14</v>
      </c>
      <c r="L22" s="23">
        <v>46.2</v>
      </c>
      <c r="M22" s="23"/>
      <c r="N22" s="23"/>
      <c r="O22" s="24" t="s">
        <v>45</v>
      </c>
      <c r="P22" s="24" t="s">
        <v>113</v>
      </c>
    </row>
    <row r="23" s="18" customFormat="1" ht="22.5" customHeight="1" spans="1:16">
      <c r="A23" s="20" t="s">
        <v>30</v>
      </c>
      <c r="B23" s="20" t="s">
        <v>42</v>
      </c>
      <c r="C23" s="20" t="s">
        <v>275</v>
      </c>
      <c r="D23" s="21" t="s">
        <v>223</v>
      </c>
      <c r="E23" s="22">
        <v>46097.7256906597</v>
      </c>
      <c r="F23" s="20" t="s">
        <v>24</v>
      </c>
      <c r="G23" s="20" t="s">
        <v>25</v>
      </c>
      <c r="H23" s="20">
        <v>11</v>
      </c>
      <c r="I23" s="23">
        <v>3.3</v>
      </c>
      <c r="J23" s="23">
        <f>H23*I23</f>
        <v>36.3</v>
      </c>
      <c r="K23" s="23">
        <v>11</v>
      </c>
      <c r="L23" s="23">
        <v>36.3</v>
      </c>
      <c r="M23" s="23"/>
      <c r="N23" s="23"/>
      <c r="O23" s="24" t="s">
        <v>45</v>
      </c>
      <c r="P23" s="24" t="s">
        <v>113</v>
      </c>
    </row>
    <row r="24" s="18" customFormat="1" ht="22.5" customHeight="1" spans="1:16">
      <c r="A24" s="20" t="s">
        <v>30</v>
      </c>
      <c r="B24" s="20" t="s">
        <v>42</v>
      </c>
      <c r="C24" s="20" t="s">
        <v>275</v>
      </c>
      <c r="D24" s="21" t="s">
        <v>223</v>
      </c>
      <c r="E24" s="22">
        <v>46097.7256906597</v>
      </c>
      <c r="F24" s="20" t="s">
        <v>24</v>
      </c>
      <c r="G24" s="20" t="s">
        <v>41</v>
      </c>
      <c r="H24" s="20">
        <v>46</v>
      </c>
      <c r="I24" s="23">
        <v>30</v>
      </c>
      <c r="J24" s="23">
        <v>30</v>
      </c>
      <c r="K24" s="23">
        <v>46</v>
      </c>
      <c r="L24" s="23">
        <v>30</v>
      </c>
      <c r="M24" s="23"/>
      <c r="N24" s="23"/>
      <c r="O24" s="24" t="s">
        <v>45</v>
      </c>
      <c r="P24" s="24" t="s">
        <v>113</v>
      </c>
    </row>
    <row r="25" s="18" customFormat="1" ht="22.5" customHeight="1" spans="1:16">
      <c r="A25" s="20" t="s">
        <v>30</v>
      </c>
      <c r="B25" s="20" t="s">
        <v>42</v>
      </c>
      <c r="C25" s="20" t="s">
        <v>275</v>
      </c>
      <c r="D25" s="21" t="s">
        <v>223</v>
      </c>
      <c r="E25" s="22">
        <v>46097.7256906597</v>
      </c>
      <c r="F25" s="20" t="s">
        <v>20</v>
      </c>
      <c r="G25" s="20" t="s">
        <v>21</v>
      </c>
      <c r="H25" s="20">
        <v>1</v>
      </c>
      <c r="I25" s="23">
        <v>3.3</v>
      </c>
      <c r="J25" s="23">
        <f>H25*I25</f>
        <v>3.3</v>
      </c>
      <c r="K25" s="23">
        <v>1</v>
      </c>
      <c r="L25" s="23">
        <v>3.3</v>
      </c>
      <c r="M25" s="23"/>
      <c r="N25" s="23"/>
      <c r="O25" s="24" t="s">
        <v>45</v>
      </c>
      <c r="P25" s="24" t="s">
        <v>113</v>
      </c>
    </row>
    <row r="26" s="18" customFormat="1" ht="22.5" customHeight="1" spans="1:16">
      <c r="A26" s="20" t="s">
        <v>30</v>
      </c>
      <c r="B26" s="20" t="s">
        <v>42</v>
      </c>
      <c r="C26" s="20" t="s">
        <v>276</v>
      </c>
      <c r="D26" s="21" t="s">
        <v>223</v>
      </c>
      <c r="E26" s="22">
        <v>46097.7256928241</v>
      </c>
      <c r="F26" s="20" t="s">
        <v>20</v>
      </c>
      <c r="G26" s="20" t="s">
        <v>21</v>
      </c>
      <c r="H26" s="20">
        <v>1</v>
      </c>
      <c r="I26" s="23">
        <v>3.3</v>
      </c>
      <c r="J26" s="23">
        <f>H26*I26</f>
        <v>3.3</v>
      </c>
      <c r="K26" s="23">
        <v>1</v>
      </c>
      <c r="L26" s="23">
        <v>3.3</v>
      </c>
      <c r="M26" s="23"/>
      <c r="N26" s="23"/>
      <c r="O26" s="24" t="s">
        <v>45</v>
      </c>
      <c r="P26" s="24" t="s">
        <v>113</v>
      </c>
    </row>
    <row r="27" s="18" customFormat="1" ht="22.5" customHeight="1" spans="1:16">
      <c r="A27" s="20" t="s">
        <v>30</v>
      </c>
      <c r="B27" s="20" t="s">
        <v>42</v>
      </c>
      <c r="C27" s="20" t="s">
        <v>276</v>
      </c>
      <c r="D27" s="21" t="s">
        <v>223</v>
      </c>
      <c r="E27" s="22">
        <v>46097.7256928241</v>
      </c>
      <c r="F27" s="20" t="s">
        <v>24</v>
      </c>
      <c r="G27" s="20" t="s">
        <v>41</v>
      </c>
      <c r="H27" s="20">
        <v>178</v>
      </c>
      <c r="I27" s="23">
        <v>30</v>
      </c>
      <c r="J27" s="23">
        <v>30</v>
      </c>
      <c r="K27" s="23">
        <v>178</v>
      </c>
      <c r="L27" s="23">
        <v>30</v>
      </c>
      <c r="M27" s="23"/>
      <c r="N27" s="23"/>
      <c r="O27" s="24" t="s">
        <v>45</v>
      </c>
      <c r="P27" s="24" t="s">
        <v>113</v>
      </c>
    </row>
    <row r="28" s="18" customFormat="1" ht="22.5" customHeight="1" spans="1:16">
      <c r="A28" s="20" t="s">
        <v>30</v>
      </c>
      <c r="B28" s="20" t="s">
        <v>42</v>
      </c>
      <c r="C28" s="20" t="s">
        <v>276</v>
      </c>
      <c r="D28" s="21" t="s">
        <v>223</v>
      </c>
      <c r="E28" s="22">
        <v>46097.7256928241</v>
      </c>
      <c r="F28" s="20" t="s">
        <v>24</v>
      </c>
      <c r="G28" s="20" t="s">
        <v>49</v>
      </c>
      <c r="H28" s="20">
        <v>5</v>
      </c>
      <c r="I28" s="23">
        <v>3.3</v>
      </c>
      <c r="J28" s="23">
        <f t="shared" ref="J28:J37" si="2">H28*I28</f>
        <v>16.5</v>
      </c>
      <c r="K28" s="23">
        <v>5</v>
      </c>
      <c r="L28" s="23">
        <v>16.5</v>
      </c>
      <c r="M28" s="23"/>
      <c r="N28" s="23"/>
      <c r="O28" s="24" t="s">
        <v>45</v>
      </c>
      <c r="P28" s="24" t="s">
        <v>113</v>
      </c>
    </row>
    <row r="29" s="18" customFormat="1" ht="22.5" customHeight="1" spans="1:16">
      <c r="A29" s="20" t="s">
        <v>30</v>
      </c>
      <c r="B29" s="20" t="s">
        <v>42</v>
      </c>
      <c r="C29" s="20" t="s">
        <v>276</v>
      </c>
      <c r="D29" s="21" t="s">
        <v>223</v>
      </c>
      <c r="E29" s="22">
        <v>46097.7256928241</v>
      </c>
      <c r="F29" s="20" t="s">
        <v>24</v>
      </c>
      <c r="G29" s="20" t="s">
        <v>25</v>
      </c>
      <c r="H29" s="20">
        <v>16</v>
      </c>
      <c r="I29" s="23">
        <v>3.3</v>
      </c>
      <c r="J29" s="23">
        <f t="shared" si="2"/>
        <v>52.8</v>
      </c>
      <c r="K29" s="23">
        <v>16</v>
      </c>
      <c r="L29" s="23">
        <v>52.8</v>
      </c>
      <c r="M29" s="23"/>
      <c r="N29" s="23"/>
      <c r="O29" s="24" t="s">
        <v>45</v>
      </c>
      <c r="P29" s="24" t="s">
        <v>113</v>
      </c>
    </row>
    <row r="30" s="18" customFormat="1" ht="22.5" customHeight="1" spans="1:16">
      <c r="A30" s="20" t="s">
        <v>30</v>
      </c>
      <c r="B30" s="20" t="s">
        <v>42</v>
      </c>
      <c r="C30" s="20" t="s">
        <v>277</v>
      </c>
      <c r="D30" s="21" t="s">
        <v>19</v>
      </c>
      <c r="E30" s="22">
        <v>46097.8666460648</v>
      </c>
      <c r="F30" s="20" t="s">
        <v>24</v>
      </c>
      <c r="G30" s="20" t="s">
        <v>25</v>
      </c>
      <c r="H30" s="20">
        <v>14</v>
      </c>
      <c r="I30" s="23">
        <v>3.3</v>
      </c>
      <c r="J30" s="23">
        <f t="shared" si="2"/>
        <v>46.2</v>
      </c>
      <c r="K30" s="23">
        <v>14</v>
      </c>
      <c r="L30" s="23">
        <v>46.2</v>
      </c>
      <c r="M30" s="23"/>
      <c r="N30" s="23"/>
      <c r="O30" s="24" t="s">
        <v>45</v>
      </c>
      <c r="P30" s="24" t="s">
        <v>46</v>
      </c>
    </row>
    <row r="31" s="18" customFormat="1" ht="22.5" customHeight="1" spans="1:16">
      <c r="A31" s="20" t="s">
        <v>30</v>
      </c>
      <c r="B31" s="20" t="s">
        <v>42</v>
      </c>
      <c r="C31" s="20" t="s">
        <v>277</v>
      </c>
      <c r="D31" s="21" t="s">
        <v>19</v>
      </c>
      <c r="E31" s="22">
        <v>46097.8666460648</v>
      </c>
      <c r="F31" s="20" t="s">
        <v>20</v>
      </c>
      <c r="G31" s="20" t="s">
        <v>21</v>
      </c>
      <c r="H31" s="20">
        <v>1</v>
      </c>
      <c r="I31" s="23">
        <v>3.3</v>
      </c>
      <c r="J31" s="23">
        <f t="shared" si="2"/>
        <v>3.3</v>
      </c>
      <c r="K31" s="23">
        <v>1</v>
      </c>
      <c r="L31" s="23">
        <v>3.3</v>
      </c>
      <c r="M31" s="23"/>
      <c r="N31" s="23"/>
      <c r="O31" s="24" t="s">
        <v>45</v>
      </c>
      <c r="P31" s="24" t="s">
        <v>46</v>
      </c>
    </row>
    <row r="32" s="18" customFormat="1" ht="22.5" customHeight="1" spans="1:16">
      <c r="A32" s="20" t="s">
        <v>30</v>
      </c>
      <c r="B32" s="20" t="s">
        <v>42</v>
      </c>
      <c r="C32" s="20" t="s">
        <v>278</v>
      </c>
      <c r="D32" s="21" t="s">
        <v>19</v>
      </c>
      <c r="E32" s="22">
        <v>46097.8666479514</v>
      </c>
      <c r="F32" s="20" t="s">
        <v>20</v>
      </c>
      <c r="G32" s="20" t="s">
        <v>21</v>
      </c>
      <c r="H32" s="20">
        <v>1</v>
      </c>
      <c r="I32" s="23">
        <v>3.3</v>
      </c>
      <c r="J32" s="23">
        <f t="shared" si="2"/>
        <v>3.3</v>
      </c>
      <c r="K32" s="23">
        <v>1</v>
      </c>
      <c r="L32" s="23">
        <v>3.3</v>
      </c>
      <c r="M32" s="23"/>
      <c r="N32" s="23"/>
      <c r="O32" s="24" t="s">
        <v>45</v>
      </c>
      <c r="P32" s="24" t="s">
        <v>46</v>
      </c>
    </row>
    <row r="33" s="18" customFormat="1" ht="22.5" customHeight="1" spans="1:16">
      <c r="A33" s="20" t="s">
        <v>30</v>
      </c>
      <c r="B33" s="20" t="s">
        <v>42</v>
      </c>
      <c r="C33" s="20" t="s">
        <v>278</v>
      </c>
      <c r="D33" s="21" t="s">
        <v>19</v>
      </c>
      <c r="E33" s="22">
        <v>46097.8666479514</v>
      </c>
      <c r="F33" s="20" t="s">
        <v>24</v>
      </c>
      <c r="G33" s="20" t="s">
        <v>25</v>
      </c>
      <c r="H33" s="20">
        <v>49</v>
      </c>
      <c r="I33" s="23">
        <v>3.3</v>
      </c>
      <c r="J33" s="23">
        <f t="shared" si="2"/>
        <v>161.7</v>
      </c>
      <c r="K33" s="23">
        <v>40</v>
      </c>
      <c r="L33" s="23">
        <f>K33*3.3</f>
        <v>132</v>
      </c>
      <c r="M33" s="23">
        <v>9</v>
      </c>
      <c r="N33" s="23">
        <f>M33*3.3</f>
        <v>29.7</v>
      </c>
      <c r="O33" s="24" t="s">
        <v>45</v>
      </c>
      <c r="P33" s="24" t="s">
        <v>46</v>
      </c>
    </row>
    <row r="34" s="18" customFormat="1" ht="22.5" customHeight="1" spans="1:16">
      <c r="A34" s="20" t="s">
        <v>30</v>
      </c>
      <c r="B34" s="20" t="s">
        <v>42</v>
      </c>
      <c r="C34" s="20" t="s">
        <v>279</v>
      </c>
      <c r="D34" s="21" t="s">
        <v>48</v>
      </c>
      <c r="E34" s="22">
        <v>46097.8666495718</v>
      </c>
      <c r="F34" s="20" t="s">
        <v>24</v>
      </c>
      <c r="G34" s="20" t="s">
        <v>25</v>
      </c>
      <c r="H34" s="20">
        <v>24</v>
      </c>
      <c r="I34" s="23">
        <v>3.3</v>
      </c>
      <c r="J34" s="23">
        <f t="shared" si="2"/>
        <v>79.2</v>
      </c>
      <c r="K34" s="23">
        <v>24</v>
      </c>
      <c r="L34" s="23">
        <v>79.2</v>
      </c>
      <c r="M34" s="23"/>
      <c r="N34" s="23"/>
      <c r="O34" s="24" t="s">
        <v>51</v>
      </c>
      <c r="P34" s="24" t="s">
        <v>52</v>
      </c>
    </row>
    <row r="35" s="18" customFormat="1" ht="22.5" customHeight="1" spans="1:16">
      <c r="A35" s="20" t="s">
        <v>30</v>
      </c>
      <c r="B35" s="20" t="s">
        <v>42</v>
      </c>
      <c r="C35" s="20" t="s">
        <v>279</v>
      </c>
      <c r="D35" s="21" t="s">
        <v>48</v>
      </c>
      <c r="E35" s="22">
        <v>46097.8666495718</v>
      </c>
      <c r="F35" s="20" t="s">
        <v>24</v>
      </c>
      <c r="G35" s="20" t="s">
        <v>49</v>
      </c>
      <c r="H35" s="20">
        <v>2</v>
      </c>
      <c r="I35" s="23">
        <v>3.3</v>
      </c>
      <c r="J35" s="23">
        <f t="shared" si="2"/>
        <v>6.6</v>
      </c>
      <c r="K35" s="23">
        <v>2</v>
      </c>
      <c r="L35" s="23">
        <v>6.6</v>
      </c>
      <c r="M35" s="23"/>
      <c r="N35" s="23"/>
      <c r="O35" s="24" t="s">
        <v>51</v>
      </c>
      <c r="P35" s="24" t="s">
        <v>52</v>
      </c>
    </row>
    <row r="36" s="18" customFormat="1" ht="22.5" customHeight="1" spans="1:16">
      <c r="A36" s="20" t="s">
        <v>30</v>
      </c>
      <c r="B36" s="20" t="s">
        <v>42</v>
      </c>
      <c r="C36" s="20" t="s">
        <v>279</v>
      </c>
      <c r="D36" s="21" t="s">
        <v>48</v>
      </c>
      <c r="E36" s="22">
        <v>46097.8666495718</v>
      </c>
      <c r="F36" s="20" t="s">
        <v>20</v>
      </c>
      <c r="G36" s="20" t="s">
        <v>21</v>
      </c>
      <c r="H36" s="20">
        <v>1</v>
      </c>
      <c r="I36" s="23">
        <v>3.3</v>
      </c>
      <c r="J36" s="23">
        <f t="shared" si="2"/>
        <v>3.3</v>
      </c>
      <c r="K36" s="23">
        <v>1</v>
      </c>
      <c r="L36" s="23">
        <v>3.3</v>
      </c>
      <c r="M36" s="23"/>
      <c r="N36" s="23"/>
      <c r="O36" s="24" t="s">
        <v>51</v>
      </c>
      <c r="P36" s="24" t="s">
        <v>52</v>
      </c>
    </row>
    <row r="37" s="18" customFormat="1" ht="22.5" customHeight="1" spans="1:16">
      <c r="A37" s="20" t="s">
        <v>30</v>
      </c>
      <c r="B37" s="20" t="s">
        <v>42</v>
      </c>
      <c r="C37" s="20" t="s">
        <v>280</v>
      </c>
      <c r="D37" s="21" t="s">
        <v>48</v>
      </c>
      <c r="E37" s="22">
        <v>46097.8666515046</v>
      </c>
      <c r="F37" s="20" t="s">
        <v>20</v>
      </c>
      <c r="G37" s="20" t="s">
        <v>21</v>
      </c>
      <c r="H37" s="20">
        <v>1</v>
      </c>
      <c r="I37" s="23">
        <v>3.3</v>
      </c>
      <c r="J37" s="23">
        <f t="shared" si="2"/>
        <v>3.3</v>
      </c>
      <c r="K37" s="23">
        <v>1</v>
      </c>
      <c r="L37" s="23">
        <v>3.3</v>
      </c>
      <c r="M37" s="23"/>
      <c r="N37" s="23"/>
      <c r="O37" s="24" t="s">
        <v>51</v>
      </c>
      <c r="P37" s="24" t="s">
        <v>52</v>
      </c>
    </row>
    <row r="38" s="18" customFormat="1" ht="22.5" customHeight="1" spans="1:16">
      <c r="A38" s="20" t="s">
        <v>30</v>
      </c>
      <c r="B38" s="20" t="s">
        <v>42</v>
      </c>
      <c r="C38" s="20" t="s">
        <v>280</v>
      </c>
      <c r="D38" s="21" t="s">
        <v>48</v>
      </c>
      <c r="E38" s="22">
        <v>46097.8666515046</v>
      </c>
      <c r="F38" s="20" t="s">
        <v>24</v>
      </c>
      <c r="G38" s="20" t="s">
        <v>41</v>
      </c>
      <c r="H38" s="20">
        <v>190</v>
      </c>
      <c r="I38" s="23">
        <v>120</v>
      </c>
      <c r="J38" s="23">
        <v>120</v>
      </c>
      <c r="K38" s="23">
        <v>190</v>
      </c>
      <c r="L38" s="23">
        <v>120</v>
      </c>
      <c r="M38" s="23"/>
      <c r="N38" s="23"/>
      <c r="O38" s="24" t="s">
        <v>51</v>
      </c>
      <c r="P38" s="24" t="s">
        <v>52</v>
      </c>
    </row>
    <row r="39" s="18" customFormat="1" ht="22.5" customHeight="1" spans="1:16">
      <c r="A39" s="20" t="s">
        <v>16</v>
      </c>
      <c r="B39" s="20" t="s">
        <v>17</v>
      </c>
      <c r="C39" s="20" t="s">
        <v>255</v>
      </c>
      <c r="D39" s="21" t="s">
        <v>272</v>
      </c>
      <c r="E39" s="22">
        <v>46097.4650642361</v>
      </c>
      <c r="F39" s="20" t="s">
        <v>20</v>
      </c>
      <c r="G39" s="20" t="s">
        <v>21</v>
      </c>
      <c r="H39" s="20">
        <v>1</v>
      </c>
      <c r="I39" s="23">
        <v>3.3</v>
      </c>
      <c r="J39" s="23">
        <f>H39*I39</f>
        <v>3.3</v>
      </c>
      <c r="K39" s="23">
        <v>1</v>
      </c>
      <c r="L39" s="23">
        <v>3.3</v>
      </c>
      <c r="M39" s="23"/>
      <c r="N39" s="23"/>
      <c r="O39" s="24" t="s">
        <v>22</v>
      </c>
      <c r="P39" s="24" t="s">
        <v>23</v>
      </c>
    </row>
    <row r="40" s="18" customFormat="1" ht="22.5" customHeight="1" spans="1:16">
      <c r="A40" s="20" t="s">
        <v>16</v>
      </c>
      <c r="B40" s="20" t="s">
        <v>17</v>
      </c>
      <c r="C40" s="20" t="s">
        <v>255</v>
      </c>
      <c r="D40" s="21" t="s">
        <v>272</v>
      </c>
      <c r="E40" s="22">
        <v>46097.4650642361</v>
      </c>
      <c r="F40" s="20" t="s">
        <v>24</v>
      </c>
      <c r="G40" s="20" t="s">
        <v>41</v>
      </c>
      <c r="H40" s="20">
        <v>109</v>
      </c>
      <c r="I40" s="23">
        <v>120</v>
      </c>
      <c r="J40" s="23">
        <v>120</v>
      </c>
      <c r="K40" s="23">
        <v>109</v>
      </c>
      <c r="L40" s="23">
        <v>120</v>
      </c>
      <c r="M40" s="23"/>
      <c r="N40" s="23"/>
      <c r="O40" s="24" t="s">
        <v>22</v>
      </c>
      <c r="P40" s="24" t="s">
        <v>23</v>
      </c>
    </row>
    <row r="41" s="18" customFormat="1" ht="22.5" customHeight="1" spans="1:16">
      <c r="A41" s="20" t="s">
        <v>16</v>
      </c>
      <c r="B41" s="20" t="s">
        <v>17</v>
      </c>
      <c r="C41" s="20" t="s">
        <v>255</v>
      </c>
      <c r="D41" s="21" t="s">
        <v>272</v>
      </c>
      <c r="E41" s="22">
        <v>46097.4650642361</v>
      </c>
      <c r="F41" s="20" t="s">
        <v>24</v>
      </c>
      <c r="G41" s="20" t="s">
        <v>25</v>
      </c>
      <c r="H41" s="20">
        <v>16</v>
      </c>
      <c r="I41" s="23">
        <v>3.3</v>
      </c>
      <c r="J41" s="23">
        <f>H41*I41</f>
        <v>52.8</v>
      </c>
      <c r="K41" s="23">
        <v>16</v>
      </c>
      <c r="L41" s="23">
        <v>52.8</v>
      </c>
      <c r="M41" s="23"/>
      <c r="N41" s="23"/>
      <c r="O41" s="24" t="s">
        <v>22</v>
      </c>
      <c r="P41" s="24" t="s">
        <v>23</v>
      </c>
    </row>
    <row r="42" s="18" customFormat="1" ht="16" customHeight="1" spans="1:16">
      <c r="A42" s="25"/>
      <c r="B42" s="25"/>
      <c r="C42" s="25"/>
      <c r="D42" s="25"/>
      <c r="E42" s="25"/>
      <c r="F42" s="25"/>
      <c r="G42" s="25"/>
      <c r="H42" s="26">
        <f t="shared" ref="H42:N42" si="3">SUM(H2:H41)</f>
        <v>1267</v>
      </c>
      <c r="I42" s="26">
        <f t="shared" si="3"/>
        <v>678.9</v>
      </c>
      <c r="J42" s="26">
        <f t="shared" si="3"/>
        <v>1500.6</v>
      </c>
      <c r="K42" s="26">
        <f t="shared" si="3"/>
        <v>1258</v>
      </c>
      <c r="L42" s="26">
        <f t="shared" si="3"/>
        <v>1470.9</v>
      </c>
      <c r="M42" s="26">
        <f t="shared" si="3"/>
        <v>9</v>
      </c>
      <c r="N42" s="26">
        <f t="shared" si="3"/>
        <v>29.7</v>
      </c>
      <c r="O42" s="25"/>
      <c r="P42" s="25"/>
    </row>
    <row r="43" s="18" customFormat="1" ht="16" customHeight="1" spans="1:16">
      <c r="A43" s="25"/>
      <c r="B43" s="25"/>
      <c r="C43" s="25"/>
      <c r="D43" s="25"/>
      <c r="E43" s="25"/>
      <c r="F43" s="25"/>
      <c r="G43" s="25"/>
      <c r="H43" s="26"/>
      <c r="I43" s="26"/>
      <c r="J43" s="26"/>
      <c r="K43" s="26"/>
      <c r="L43" s="26"/>
      <c r="M43" s="26"/>
      <c r="N43" s="26"/>
      <c r="O43" s="25"/>
      <c r="P43" s="25"/>
    </row>
    <row r="44" s="18" customFormat="1" ht="16" customHeight="1" spans="1:16">
      <c r="A44" s="25"/>
      <c r="B44" s="25"/>
      <c r="C44" s="25"/>
      <c r="D44" s="25"/>
      <c r="E44" s="25"/>
      <c r="F44" s="25"/>
      <c r="G44" s="25"/>
      <c r="H44" s="26"/>
      <c r="I44" s="26"/>
      <c r="J44" s="26"/>
      <c r="K44" s="26"/>
      <c r="L44" s="26"/>
      <c r="M44" s="26"/>
      <c r="N44" s="26"/>
      <c r="O44" s="25"/>
      <c r="P44" s="25"/>
    </row>
    <row r="45" spans="1:16">
      <c r="H45" s="27"/>
      <c r="I45" s="27"/>
      <c r="J45" s="27"/>
      <c r="K45" s="27"/>
      <c r="L45" s="27"/>
      <c r="M45" s="27"/>
      <c r="N45" s="27"/>
    </row>
    <row r="46" spans="1:16">
      <c r="H46" s="27"/>
      <c r="I46" s="27"/>
      <c r="J46" s="27"/>
      <c r="K46" s="27"/>
      <c r="L46" s="27"/>
      <c r="M46" s="27"/>
      <c r="N46" s="27"/>
    </row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P42" etc:filterBottomFollowUsedRange="0">
    <extLst/>
  </autoFilter>
  <sortState ref="A2:P1048576">
    <sortCondition ref="B2"/>
  </sortState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opLeftCell="C23" workbookViewId="0">
      <selection activeCell="D1" sqref="D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31.0083333333333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30</v>
      </c>
      <c r="B2" s="4" t="s">
        <v>31</v>
      </c>
      <c r="C2" s="4" t="s">
        <v>281</v>
      </c>
      <c r="D2" s="5" t="s">
        <v>96</v>
      </c>
      <c r="E2" s="8">
        <v>46098.8275048264</v>
      </c>
      <c r="F2" s="4" t="s">
        <v>20</v>
      </c>
      <c r="G2" s="4" t="s">
        <v>21</v>
      </c>
      <c r="H2" s="4">
        <v>1</v>
      </c>
      <c r="I2" s="14">
        <v>3.3</v>
      </c>
      <c r="J2" s="14">
        <f>H2*I2</f>
        <v>3.3</v>
      </c>
      <c r="K2" s="4">
        <v>1</v>
      </c>
      <c r="L2" s="14">
        <f>K2*3.3</f>
        <v>3.3</v>
      </c>
      <c r="M2" s="14"/>
      <c r="N2" s="14"/>
      <c r="O2" s="6" t="s">
        <v>34</v>
      </c>
      <c r="P2" s="6" t="s">
        <v>87</v>
      </c>
    </row>
    <row r="3" ht="22.5" customHeight="1" spans="1:16">
      <c r="A3" s="4" t="s">
        <v>30</v>
      </c>
      <c r="B3" s="4" t="s">
        <v>31</v>
      </c>
      <c r="C3" s="4" t="s">
        <v>281</v>
      </c>
      <c r="D3" s="5" t="s">
        <v>96</v>
      </c>
      <c r="E3" s="8">
        <v>46098.8275048264</v>
      </c>
      <c r="F3" s="4" t="s">
        <v>24</v>
      </c>
      <c r="G3" s="4" t="s">
        <v>25</v>
      </c>
      <c r="H3" s="4">
        <v>10</v>
      </c>
      <c r="I3" s="14">
        <v>3.3</v>
      </c>
      <c r="J3" s="14">
        <f t="shared" ref="J3:J15" si="0">H3*I3</f>
        <v>33</v>
      </c>
      <c r="K3" s="4">
        <v>10</v>
      </c>
      <c r="L3" s="14">
        <f t="shared" ref="L3:L13" si="1">K3*3.3</f>
        <v>33</v>
      </c>
      <c r="M3" s="14"/>
      <c r="N3" s="14"/>
      <c r="O3" s="6" t="s">
        <v>34</v>
      </c>
      <c r="P3" s="6" t="s">
        <v>87</v>
      </c>
    </row>
    <row r="4" ht="22.5" customHeight="1" spans="1:16">
      <c r="A4" s="4" t="s">
        <v>30</v>
      </c>
      <c r="B4" s="4" t="s">
        <v>31</v>
      </c>
      <c r="C4" s="4" t="s">
        <v>282</v>
      </c>
      <c r="D4" s="5" t="s">
        <v>96</v>
      </c>
      <c r="E4" s="8">
        <v>46098.8275074884</v>
      </c>
      <c r="F4" s="4" t="s">
        <v>24</v>
      </c>
      <c r="G4" s="4" t="s">
        <v>25</v>
      </c>
      <c r="H4" s="4">
        <v>23</v>
      </c>
      <c r="I4" s="14">
        <v>3.3</v>
      </c>
      <c r="J4" s="14">
        <f t="shared" si="0"/>
        <v>75.9</v>
      </c>
      <c r="K4" s="4">
        <v>23</v>
      </c>
      <c r="L4" s="14">
        <f t="shared" si="1"/>
        <v>75.9</v>
      </c>
      <c r="M4" s="14"/>
      <c r="N4" s="14"/>
      <c r="O4" s="6" t="s">
        <v>34</v>
      </c>
      <c r="P4" s="6" t="s">
        <v>87</v>
      </c>
    </row>
    <row r="5" ht="22.5" customHeight="1" spans="1:16">
      <c r="A5" s="4" t="s">
        <v>30</v>
      </c>
      <c r="B5" s="4" t="s">
        <v>31</v>
      </c>
      <c r="C5" s="4" t="s">
        <v>282</v>
      </c>
      <c r="D5" s="5" t="s">
        <v>96</v>
      </c>
      <c r="E5" s="8">
        <v>46098.8275074884</v>
      </c>
      <c r="F5" s="4" t="s">
        <v>20</v>
      </c>
      <c r="G5" s="4" t="s">
        <v>21</v>
      </c>
      <c r="H5" s="4">
        <v>1</v>
      </c>
      <c r="I5" s="14">
        <v>3.3</v>
      </c>
      <c r="J5" s="14">
        <f t="shared" si="0"/>
        <v>3.3</v>
      </c>
      <c r="K5" s="4">
        <v>1</v>
      </c>
      <c r="L5" s="14">
        <f t="shared" si="1"/>
        <v>3.3</v>
      </c>
      <c r="M5" s="14"/>
      <c r="N5" s="14"/>
      <c r="O5" s="6" t="s">
        <v>34</v>
      </c>
      <c r="P5" s="6" t="s">
        <v>87</v>
      </c>
    </row>
    <row r="6" ht="22.5" customHeight="1" spans="1:16">
      <c r="A6" s="4" t="s">
        <v>30</v>
      </c>
      <c r="B6" s="4" t="s">
        <v>31</v>
      </c>
      <c r="C6" s="4" t="s">
        <v>283</v>
      </c>
      <c r="D6" s="5" t="s">
        <v>96</v>
      </c>
      <c r="E6" s="8">
        <v>46098.8275101042</v>
      </c>
      <c r="F6" s="4" t="s">
        <v>20</v>
      </c>
      <c r="G6" s="4" t="s">
        <v>21</v>
      </c>
      <c r="H6" s="4">
        <v>1</v>
      </c>
      <c r="I6" s="14">
        <v>3.3</v>
      </c>
      <c r="J6" s="14">
        <f t="shared" si="0"/>
        <v>3.3</v>
      </c>
      <c r="K6" s="4">
        <v>1</v>
      </c>
      <c r="L6" s="14">
        <f t="shared" si="1"/>
        <v>3.3</v>
      </c>
      <c r="M6" s="14"/>
      <c r="N6" s="14"/>
      <c r="O6" s="6" t="s">
        <v>34</v>
      </c>
      <c r="P6" s="6" t="s">
        <v>87</v>
      </c>
    </row>
    <row r="7" ht="22.5" customHeight="1" spans="1:16">
      <c r="A7" s="4" t="s">
        <v>30</v>
      </c>
      <c r="B7" s="4" t="s">
        <v>31</v>
      </c>
      <c r="C7" s="4" t="s">
        <v>283</v>
      </c>
      <c r="D7" s="5" t="s">
        <v>96</v>
      </c>
      <c r="E7" s="8">
        <v>46098.8275101042</v>
      </c>
      <c r="F7" s="4" t="s">
        <v>24</v>
      </c>
      <c r="G7" s="4" t="s">
        <v>25</v>
      </c>
      <c r="H7" s="4">
        <v>13</v>
      </c>
      <c r="I7" s="14">
        <v>3.3</v>
      </c>
      <c r="J7" s="14">
        <f t="shared" si="0"/>
        <v>42.9</v>
      </c>
      <c r="K7" s="4">
        <v>13</v>
      </c>
      <c r="L7" s="14">
        <f t="shared" si="1"/>
        <v>42.9</v>
      </c>
      <c r="M7" s="14"/>
      <c r="N7" s="14"/>
      <c r="O7" s="6" t="s">
        <v>34</v>
      </c>
      <c r="P7" s="6" t="s">
        <v>87</v>
      </c>
    </row>
    <row r="8" ht="22.5" customHeight="1" spans="1:16">
      <c r="A8" s="4" t="s">
        <v>30</v>
      </c>
      <c r="B8" s="4" t="s">
        <v>31</v>
      </c>
      <c r="C8" s="4" t="s">
        <v>284</v>
      </c>
      <c r="D8" s="5" t="s">
        <v>96</v>
      </c>
      <c r="E8" s="8">
        <v>46098.8275128125</v>
      </c>
      <c r="F8" s="4" t="s">
        <v>24</v>
      </c>
      <c r="G8" s="4" t="s">
        <v>25</v>
      </c>
      <c r="H8" s="4">
        <v>15</v>
      </c>
      <c r="I8" s="14">
        <v>3.3</v>
      </c>
      <c r="J8" s="14">
        <f t="shared" si="0"/>
        <v>49.5</v>
      </c>
      <c r="K8" s="4">
        <v>15</v>
      </c>
      <c r="L8" s="14">
        <f t="shared" si="1"/>
        <v>49.5</v>
      </c>
      <c r="M8" s="14"/>
      <c r="N8" s="14"/>
      <c r="O8" s="6" t="s">
        <v>34</v>
      </c>
      <c r="P8" s="6" t="s">
        <v>87</v>
      </c>
    </row>
    <row r="9" ht="22.5" customHeight="1" spans="1:16">
      <c r="A9" s="4" t="s">
        <v>30</v>
      </c>
      <c r="B9" s="4" t="s">
        <v>31</v>
      </c>
      <c r="C9" s="4" t="s">
        <v>284</v>
      </c>
      <c r="D9" s="5" t="s">
        <v>96</v>
      </c>
      <c r="E9" s="8">
        <v>46098.8275128125</v>
      </c>
      <c r="F9" s="4" t="s">
        <v>20</v>
      </c>
      <c r="G9" s="4" t="s">
        <v>21</v>
      </c>
      <c r="H9" s="4">
        <v>1</v>
      </c>
      <c r="I9" s="14">
        <v>3.3</v>
      </c>
      <c r="J9" s="14">
        <f t="shared" si="0"/>
        <v>3.3</v>
      </c>
      <c r="K9" s="4">
        <v>1</v>
      </c>
      <c r="L9" s="14">
        <f t="shared" si="1"/>
        <v>3.3</v>
      </c>
      <c r="M9" s="14"/>
      <c r="N9" s="14"/>
      <c r="O9" s="6" t="s">
        <v>34</v>
      </c>
      <c r="P9" s="6" t="s">
        <v>87</v>
      </c>
    </row>
    <row r="10" ht="22.5" customHeight="1" spans="1:16">
      <c r="A10" s="4" t="s">
        <v>30</v>
      </c>
      <c r="B10" s="4" t="s">
        <v>31</v>
      </c>
      <c r="C10" s="4" t="s">
        <v>285</v>
      </c>
      <c r="D10" s="5" t="s">
        <v>96</v>
      </c>
      <c r="E10" s="8">
        <v>46098.8275155903</v>
      </c>
      <c r="F10" s="4" t="s">
        <v>20</v>
      </c>
      <c r="G10" s="4" t="s">
        <v>21</v>
      </c>
      <c r="H10" s="4">
        <v>1</v>
      </c>
      <c r="I10" s="14">
        <v>3.3</v>
      </c>
      <c r="J10" s="14">
        <f t="shared" si="0"/>
        <v>3.3</v>
      </c>
      <c r="K10" s="4">
        <v>1</v>
      </c>
      <c r="L10" s="14">
        <f t="shared" si="1"/>
        <v>3.3</v>
      </c>
      <c r="M10" s="14"/>
      <c r="N10" s="14"/>
      <c r="O10" s="6" t="s">
        <v>34</v>
      </c>
      <c r="P10" s="6" t="s">
        <v>87</v>
      </c>
    </row>
    <row r="11" ht="22.5" customHeight="1" spans="1:16">
      <c r="A11" s="4" t="s">
        <v>30</v>
      </c>
      <c r="B11" s="4" t="s">
        <v>31</v>
      </c>
      <c r="C11" s="4" t="s">
        <v>285</v>
      </c>
      <c r="D11" s="5" t="s">
        <v>96</v>
      </c>
      <c r="E11" s="8">
        <v>46098.8275155903</v>
      </c>
      <c r="F11" s="4" t="s">
        <v>24</v>
      </c>
      <c r="G11" s="4" t="s">
        <v>25</v>
      </c>
      <c r="H11" s="4">
        <v>23</v>
      </c>
      <c r="I11" s="14">
        <v>3.3</v>
      </c>
      <c r="J11" s="14">
        <f t="shared" si="0"/>
        <v>75.9</v>
      </c>
      <c r="K11" s="4">
        <v>23</v>
      </c>
      <c r="L11" s="14">
        <f t="shared" si="1"/>
        <v>75.9</v>
      </c>
      <c r="M11" s="14"/>
      <c r="N11" s="14"/>
      <c r="O11" s="6" t="s">
        <v>34</v>
      </c>
      <c r="P11" s="6" t="s">
        <v>87</v>
      </c>
    </row>
    <row r="12" ht="22.5" customHeight="1" spans="1:16">
      <c r="A12" s="4" t="s">
        <v>16</v>
      </c>
      <c r="B12" s="4" t="s">
        <v>84</v>
      </c>
      <c r="C12" s="4" t="s">
        <v>286</v>
      </c>
      <c r="D12" s="5" t="s">
        <v>86</v>
      </c>
      <c r="E12" s="8">
        <v>46098.8446399306</v>
      </c>
      <c r="F12" s="4" t="s">
        <v>24</v>
      </c>
      <c r="G12" s="4" t="s">
        <v>25</v>
      </c>
      <c r="H12" s="4">
        <v>9</v>
      </c>
      <c r="I12" s="14">
        <v>3.3</v>
      </c>
      <c r="J12" s="14">
        <f t="shared" si="0"/>
        <v>29.7</v>
      </c>
      <c r="K12" s="4">
        <v>9</v>
      </c>
      <c r="L12" s="14">
        <f t="shared" si="1"/>
        <v>29.7</v>
      </c>
      <c r="M12" s="14"/>
      <c r="N12" s="14"/>
      <c r="O12" s="6" t="s">
        <v>34</v>
      </c>
      <c r="P12" s="6" t="s">
        <v>87</v>
      </c>
    </row>
    <row r="13" ht="22.5" customHeight="1" spans="1:16">
      <c r="A13" s="4" t="s">
        <v>16</v>
      </c>
      <c r="B13" s="4" t="s">
        <v>84</v>
      </c>
      <c r="C13" s="4" t="s">
        <v>286</v>
      </c>
      <c r="D13" s="5" t="s">
        <v>86</v>
      </c>
      <c r="E13" s="8">
        <v>46098.8446399306</v>
      </c>
      <c r="F13" s="4" t="s">
        <v>20</v>
      </c>
      <c r="G13" s="4" t="s">
        <v>21</v>
      </c>
      <c r="H13" s="4">
        <v>1</v>
      </c>
      <c r="I13" s="14">
        <v>3.3</v>
      </c>
      <c r="J13" s="14">
        <f t="shared" si="0"/>
        <v>3.3</v>
      </c>
      <c r="K13" s="4">
        <v>1</v>
      </c>
      <c r="L13" s="14">
        <f t="shared" si="1"/>
        <v>3.3</v>
      </c>
      <c r="M13" s="14"/>
      <c r="N13" s="14"/>
      <c r="O13" s="6" t="s">
        <v>34</v>
      </c>
      <c r="P13" s="6" t="s">
        <v>87</v>
      </c>
    </row>
    <row r="14" ht="22.5" customHeight="1" spans="1:16">
      <c r="A14" s="4" t="s">
        <v>30</v>
      </c>
      <c r="B14" s="4" t="s">
        <v>42</v>
      </c>
      <c r="C14" s="4" t="s">
        <v>287</v>
      </c>
      <c r="D14" s="5" t="s">
        <v>288</v>
      </c>
      <c r="E14" s="8">
        <v>46098.8443910532</v>
      </c>
      <c r="F14" s="4" t="s">
        <v>20</v>
      </c>
      <c r="G14" s="4" t="s">
        <v>21</v>
      </c>
      <c r="H14" s="4">
        <v>1</v>
      </c>
      <c r="I14" s="14">
        <v>3.3</v>
      </c>
      <c r="J14" s="14">
        <f t="shared" si="0"/>
        <v>3.3</v>
      </c>
      <c r="K14" s="14">
        <v>1</v>
      </c>
      <c r="L14" s="14">
        <v>3.3</v>
      </c>
      <c r="M14" s="14"/>
      <c r="N14" s="14"/>
      <c r="O14" s="6" t="s">
        <v>45</v>
      </c>
      <c r="P14" s="6" t="s">
        <v>46</v>
      </c>
    </row>
    <row r="15" ht="22.5" customHeight="1" spans="1:16">
      <c r="A15" s="4" t="s">
        <v>30</v>
      </c>
      <c r="B15" s="4" t="s">
        <v>42</v>
      </c>
      <c r="C15" s="4" t="s">
        <v>287</v>
      </c>
      <c r="D15" s="5" t="s">
        <v>288</v>
      </c>
      <c r="E15" s="8">
        <v>46098.8443910532</v>
      </c>
      <c r="F15" s="4" t="s">
        <v>24</v>
      </c>
      <c r="G15" s="4" t="s">
        <v>49</v>
      </c>
      <c r="H15" s="4">
        <v>39</v>
      </c>
      <c r="I15" s="14">
        <v>3.3</v>
      </c>
      <c r="J15" s="14">
        <f t="shared" si="0"/>
        <v>128.7</v>
      </c>
      <c r="K15" s="14">
        <v>39</v>
      </c>
      <c r="L15" s="14">
        <v>128.7</v>
      </c>
      <c r="M15" s="14"/>
      <c r="N15" s="14"/>
      <c r="O15" s="6" t="s">
        <v>45</v>
      </c>
      <c r="P15" s="6" t="s">
        <v>46</v>
      </c>
    </row>
    <row r="16" ht="22.5" customHeight="1" spans="1:16">
      <c r="A16" s="4" t="s">
        <v>30</v>
      </c>
      <c r="B16" s="4" t="s">
        <v>42</v>
      </c>
      <c r="C16" s="4" t="s">
        <v>287</v>
      </c>
      <c r="D16" s="5" t="s">
        <v>288</v>
      </c>
      <c r="E16" s="8">
        <v>46098.8443910532</v>
      </c>
      <c r="F16" s="4" t="s">
        <v>24</v>
      </c>
      <c r="G16" s="4" t="s">
        <v>41</v>
      </c>
      <c r="H16" s="4">
        <v>224</v>
      </c>
      <c r="I16" s="14">
        <v>120</v>
      </c>
      <c r="J16" s="14">
        <v>120</v>
      </c>
      <c r="K16" s="14">
        <v>224</v>
      </c>
      <c r="L16" s="14">
        <v>120</v>
      </c>
      <c r="M16" s="14"/>
      <c r="N16" s="14"/>
      <c r="O16" s="6" t="s">
        <v>45</v>
      </c>
      <c r="P16" s="6" t="s">
        <v>46</v>
      </c>
    </row>
    <row r="17" ht="22.5" customHeight="1" spans="1:16">
      <c r="A17" s="4" t="s">
        <v>30</v>
      </c>
      <c r="B17" s="4" t="s">
        <v>42</v>
      </c>
      <c r="C17" s="4" t="s">
        <v>287</v>
      </c>
      <c r="D17" s="5" t="s">
        <v>288</v>
      </c>
      <c r="E17" s="8">
        <v>46098.8443910532</v>
      </c>
      <c r="F17" s="4" t="s">
        <v>24</v>
      </c>
      <c r="G17" s="4" t="s">
        <v>25</v>
      </c>
      <c r="H17" s="4">
        <v>28</v>
      </c>
      <c r="I17" s="14">
        <v>3.3</v>
      </c>
      <c r="J17" s="14">
        <f t="shared" ref="J17:J28" si="2">H17*I17</f>
        <v>92.4</v>
      </c>
      <c r="K17" s="14">
        <v>28</v>
      </c>
      <c r="L17" s="14">
        <v>92.4</v>
      </c>
      <c r="M17" s="14"/>
      <c r="N17" s="14"/>
      <c r="O17" s="6" t="s">
        <v>45</v>
      </c>
      <c r="P17" s="6" t="s">
        <v>46</v>
      </c>
    </row>
    <row r="18" ht="22.5" customHeight="1" spans="1:16">
      <c r="A18" s="4" t="s">
        <v>16</v>
      </c>
      <c r="B18" s="4" t="s">
        <v>17</v>
      </c>
      <c r="C18" s="4" t="s">
        <v>289</v>
      </c>
      <c r="D18" s="5" t="s">
        <v>160</v>
      </c>
      <c r="E18" s="8">
        <v>46098.8447798958</v>
      </c>
      <c r="F18" s="4" t="s">
        <v>20</v>
      </c>
      <c r="G18" s="4" t="s">
        <v>21</v>
      </c>
      <c r="H18" s="4">
        <v>1</v>
      </c>
      <c r="I18" s="14">
        <v>3.3</v>
      </c>
      <c r="J18" s="14">
        <f t="shared" si="2"/>
        <v>3.3</v>
      </c>
      <c r="K18" s="4">
        <v>1</v>
      </c>
      <c r="L18" s="14">
        <v>3.3</v>
      </c>
      <c r="M18" s="14"/>
      <c r="N18" s="14"/>
      <c r="O18" s="6" t="s">
        <v>45</v>
      </c>
      <c r="P18" s="6" t="s">
        <v>46</v>
      </c>
    </row>
    <row r="19" ht="22.5" customHeight="1" spans="1:16">
      <c r="A19" s="4" t="s">
        <v>16</v>
      </c>
      <c r="B19" s="4" t="s">
        <v>17</v>
      </c>
      <c r="C19" s="4" t="s">
        <v>289</v>
      </c>
      <c r="D19" s="5" t="s">
        <v>160</v>
      </c>
      <c r="E19" s="8">
        <v>46098.8447798958</v>
      </c>
      <c r="F19" s="4" t="s">
        <v>24</v>
      </c>
      <c r="G19" s="4" t="s">
        <v>25</v>
      </c>
      <c r="H19" s="4">
        <v>18</v>
      </c>
      <c r="I19" s="14">
        <v>3.3</v>
      </c>
      <c r="J19" s="14">
        <f t="shared" si="2"/>
        <v>59.4</v>
      </c>
      <c r="K19" s="4">
        <v>18</v>
      </c>
      <c r="L19" s="14">
        <v>59.4</v>
      </c>
      <c r="M19" s="14"/>
      <c r="N19" s="14"/>
      <c r="O19" s="6" t="s">
        <v>45</v>
      </c>
      <c r="P19" s="6" t="s">
        <v>46</v>
      </c>
    </row>
    <row r="20" ht="22.5" customHeight="1" spans="1:16">
      <c r="A20" s="4" t="s">
        <v>16</v>
      </c>
      <c r="B20" s="4" t="s">
        <v>17</v>
      </c>
      <c r="C20" s="4" t="s">
        <v>290</v>
      </c>
      <c r="D20" s="5" t="s">
        <v>160</v>
      </c>
      <c r="E20" s="8">
        <v>46098.8447832176</v>
      </c>
      <c r="F20" s="4" t="s">
        <v>20</v>
      </c>
      <c r="G20" s="4" t="s">
        <v>21</v>
      </c>
      <c r="H20" s="4">
        <v>1</v>
      </c>
      <c r="I20" s="14">
        <v>3.3</v>
      </c>
      <c r="J20" s="14">
        <f t="shared" si="2"/>
        <v>3.3</v>
      </c>
      <c r="K20" s="4">
        <v>1</v>
      </c>
      <c r="L20" s="14">
        <v>3.3</v>
      </c>
      <c r="M20" s="14"/>
      <c r="N20" s="14"/>
      <c r="O20" s="6" t="s">
        <v>45</v>
      </c>
      <c r="P20" s="6" t="s">
        <v>46</v>
      </c>
    </row>
    <row r="21" ht="22.5" customHeight="1" spans="1:16">
      <c r="A21" s="4" t="s">
        <v>16</v>
      </c>
      <c r="B21" s="4" t="s">
        <v>17</v>
      </c>
      <c r="C21" s="4" t="s">
        <v>290</v>
      </c>
      <c r="D21" s="5" t="s">
        <v>160</v>
      </c>
      <c r="E21" s="8">
        <v>46098.8447832176</v>
      </c>
      <c r="F21" s="4" t="s">
        <v>24</v>
      </c>
      <c r="G21" s="4" t="s">
        <v>25</v>
      </c>
      <c r="H21" s="4">
        <v>15</v>
      </c>
      <c r="I21" s="14">
        <v>3.3</v>
      </c>
      <c r="J21" s="14">
        <f t="shared" si="2"/>
        <v>49.5</v>
      </c>
      <c r="K21" s="4">
        <v>15</v>
      </c>
      <c r="L21" s="14">
        <v>49.5</v>
      </c>
      <c r="M21" s="14"/>
      <c r="N21" s="14"/>
      <c r="O21" s="6" t="s">
        <v>45</v>
      </c>
      <c r="P21" s="6" t="s">
        <v>46</v>
      </c>
    </row>
    <row r="22" ht="22.5" customHeight="1" spans="1:16">
      <c r="A22" s="4" t="s">
        <v>16</v>
      </c>
      <c r="B22" s="4" t="s">
        <v>17</v>
      </c>
      <c r="C22" s="4" t="s">
        <v>291</v>
      </c>
      <c r="D22" s="5" t="s">
        <v>160</v>
      </c>
      <c r="E22" s="8">
        <v>46098.8447862616</v>
      </c>
      <c r="F22" s="4" t="s">
        <v>20</v>
      </c>
      <c r="G22" s="4" t="s">
        <v>21</v>
      </c>
      <c r="H22" s="4">
        <v>1</v>
      </c>
      <c r="I22" s="14">
        <v>3.3</v>
      </c>
      <c r="J22" s="14">
        <f t="shared" si="2"/>
        <v>3.3</v>
      </c>
      <c r="K22" s="4">
        <v>1</v>
      </c>
      <c r="L22" s="14">
        <v>3.3</v>
      </c>
      <c r="M22" s="14"/>
      <c r="N22" s="14"/>
      <c r="O22" s="6" t="s">
        <v>45</v>
      </c>
      <c r="P22" s="6" t="s">
        <v>46</v>
      </c>
    </row>
    <row r="23" ht="22.5" customHeight="1" spans="1:16">
      <c r="A23" s="4" t="s">
        <v>16</v>
      </c>
      <c r="B23" s="4" t="s">
        <v>17</v>
      </c>
      <c r="C23" s="4" t="s">
        <v>291</v>
      </c>
      <c r="D23" s="5" t="s">
        <v>160</v>
      </c>
      <c r="E23" s="8">
        <v>46098.8447862616</v>
      </c>
      <c r="F23" s="4" t="s">
        <v>24</v>
      </c>
      <c r="G23" s="4" t="s">
        <v>25</v>
      </c>
      <c r="H23" s="4">
        <v>33</v>
      </c>
      <c r="I23" s="14">
        <v>3.3</v>
      </c>
      <c r="J23" s="14">
        <f t="shared" si="2"/>
        <v>108.9</v>
      </c>
      <c r="K23" s="4">
        <v>33</v>
      </c>
      <c r="L23" s="14">
        <v>108.9</v>
      </c>
      <c r="M23" s="14"/>
      <c r="N23" s="14"/>
      <c r="O23" s="6" t="s">
        <v>45</v>
      </c>
      <c r="P23" s="6" t="s">
        <v>46</v>
      </c>
    </row>
    <row r="24" ht="22.5" customHeight="1" spans="1:16">
      <c r="A24" s="4" t="s">
        <v>16</v>
      </c>
      <c r="B24" s="4" t="s">
        <v>17</v>
      </c>
      <c r="C24" s="4" t="s">
        <v>292</v>
      </c>
      <c r="D24" s="5" t="s">
        <v>160</v>
      </c>
      <c r="E24" s="8">
        <v>46098.8447895833</v>
      </c>
      <c r="F24" s="4" t="s">
        <v>24</v>
      </c>
      <c r="G24" s="4" t="s">
        <v>25</v>
      </c>
      <c r="H24" s="4">
        <v>30</v>
      </c>
      <c r="I24" s="14">
        <v>3.3</v>
      </c>
      <c r="J24" s="14">
        <f t="shared" si="2"/>
        <v>99</v>
      </c>
      <c r="K24" s="4">
        <v>30</v>
      </c>
      <c r="L24" s="14">
        <v>99</v>
      </c>
      <c r="M24" s="14"/>
      <c r="N24" s="14"/>
      <c r="O24" s="6" t="s">
        <v>45</v>
      </c>
      <c r="P24" s="6" t="s">
        <v>46</v>
      </c>
    </row>
    <row r="25" ht="22.5" customHeight="1" spans="1:16">
      <c r="A25" s="4" t="s">
        <v>16</v>
      </c>
      <c r="B25" s="4" t="s">
        <v>17</v>
      </c>
      <c r="C25" s="4" t="s">
        <v>292</v>
      </c>
      <c r="D25" s="5" t="s">
        <v>160</v>
      </c>
      <c r="E25" s="8">
        <v>46098.8447895833</v>
      </c>
      <c r="F25" s="4" t="s">
        <v>20</v>
      </c>
      <c r="G25" s="4" t="s">
        <v>21</v>
      </c>
      <c r="H25" s="4">
        <v>1</v>
      </c>
      <c r="I25" s="14">
        <v>3.3</v>
      </c>
      <c r="J25" s="14">
        <f t="shared" si="2"/>
        <v>3.3</v>
      </c>
      <c r="K25" s="4">
        <v>1</v>
      </c>
      <c r="L25" s="14">
        <v>3.3</v>
      </c>
      <c r="M25" s="14"/>
      <c r="N25" s="14"/>
      <c r="O25" s="6" t="s">
        <v>45</v>
      </c>
      <c r="P25" s="6" t="s">
        <v>46</v>
      </c>
    </row>
    <row r="26" ht="22.5" customHeight="1" spans="1:16">
      <c r="A26" s="4" t="s">
        <v>16</v>
      </c>
      <c r="B26" s="4" t="s">
        <v>17</v>
      </c>
      <c r="C26" s="4" t="s">
        <v>293</v>
      </c>
      <c r="D26" s="5" t="s">
        <v>160</v>
      </c>
      <c r="E26" s="8">
        <v>46098.8447931366</v>
      </c>
      <c r="F26" s="4" t="s">
        <v>20</v>
      </c>
      <c r="G26" s="4" t="s">
        <v>21</v>
      </c>
      <c r="H26" s="4">
        <v>1</v>
      </c>
      <c r="I26" s="14">
        <v>3.3</v>
      </c>
      <c r="J26" s="14">
        <f t="shared" si="2"/>
        <v>3.3</v>
      </c>
      <c r="K26" s="4">
        <v>1</v>
      </c>
      <c r="L26" s="14">
        <v>3.3</v>
      </c>
      <c r="M26" s="14"/>
      <c r="N26" s="14"/>
      <c r="O26" s="6" t="s">
        <v>45</v>
      </c>
      <c r="P26" s="6" t="s">
        <v>46</v>
      </c>
    </row>
    <row r="27" ht="22.5" customHeight="1" spans="1:16">
      <c r="A27" s="4" t="s">
        <v>16</v>
      </c>
      <c r="B27" s="4" t="s">
        <v>17</v>
      </c>
      <c r="C27" s="4" t="s">
        <v>293</v>
      </c>
      <c r="D27" s="5" t="s">
        <v>160</v>
      </c>
      <c r="E27" s="8">
        <v>46098.8447931366</v>
      </c>
      <c r="F27" s="4" t="s">
        <v>24</v>
      </c>
      <c r="G27" s="4" t="s">
        <v>25</v>
      </c>
      <c r="H27" s="4">
        <v>25</v>
      </c>
      <c r="I27" s="14">
        <v>3.3</v>
      </c>
      <c r="J27" s="14">
        <f t="shared" si="2"/>
        <v>82.5</v>
      </c>
      <c r="K27" s="4">
        <v>25</v>
      </c>
      <c r="L27" s="14">
        <v>82.5</v>
      </c>
      <c r="M27" s="14"/>
      <c r="N27" s="14"/>
      <c r="O27" s="6" t="s">
        <v>45</v>
      </c>
      <c r="P27" s="6" t="s">
        <v>46</v>
      </c>
    </row>
    <row r="28" ht="22.5" customHeight="1" spans="1:16">
      <c r="A28" s="4" t="s">
        <v>16</v>
      </c>
      <c r="B28" s="4" t="s">
        <v>17</v>
      </c>
      <c r="C28" s="4" t="s">
        <v>294</v>
      </c>
      <c r="D28" s="5" t="s">
        <v>101</v>
      </c>
      <c r="E28" s="8">
        <v>46098.8447798958</v>
      </c>
      <c r="F28" s="4" t="s">
        <v>20</v>
      </c>
      <c r="G28" s="4" t="s">
        <v>21</v>
      </c>
      <c r="H28" s="4">
        <v>1</v>
      </c>
      <c r="I28" s="14">
        <v>3.3</v>
      </c>
      <c r="J28" s="14">
        <f t="shared" si="2"/>
        <v>3.3</v>
      </c>
      <c r="K28" s="14">
        <v>1</v>
      </c>
      <c r="L28" s="14">
        <v>3.3</v>
      </c>
      <c r="M28" s="14"/>
      <c r="N28" s="14"/>
      <c r="O28" s="6" t="s">
        <v>45</v>
      </c>
      <c r="P28" s="6" t="s">
        <v>46</v>
      </c>
    </row>
    <row r="29" ht="22.5" customHeight="1" spans="1:16">
      <c r="A29" s="4" t="s">
        <v>16</v>
      </c>
      <c r="B29" s="4" t="s">
        <v>17</v>
      </c>
      <c r="C29" s="4" t="s">
        <v>294</v>
      </c>
      <c r="D29" s="5" t="s">
        <v>101</v>
      </c>
      <c r="E29" s="8">
        <v>46098.8447798958</v>
      </c>
      <c r="F29" s="4" t="s">
        <v>24</v>
      </c>
      <c r="G29" s="4" t="s">
        <v>41</v>
      </c>
      <c r="H29" s="4">
        <v>164</v>
      </c>
      <c r="I29" s="14">
        <v>120</v>
      </c>
      <c r="J29" s="14">
        <v>120</v>
      </c>
      <c r="K29" s="14">
        <v>164</v>
      </c>
      <c r="L29" s="14">
        <v>120</v>
      </c>
      <c r="M29" s="14"/>
      <c r="N29" s="14"/>
      <c r="O29" s="6" t="s">
        <v>45</v>
      </c>
      <c r="P29" s="6" t="s">
        <v>46</v>
      </c>
    </row>
    <row r="30" ht="22.5" customHeight="1" spans="1:16">
      <c r="A30" s="4" t="s">
        <v>16</v>
      </c>
      <c r="B30" s="4" t="s">
        <v>17</v>
      </c>
      <c r="C30" s="4" t="s">
        <v>294</v>
      </c>
      <c r="D30" s="5" t="s">
        <v>101</v>
      </c>
      <c r="E30" s="8">
        <v>46098.8447798958</v>
      </c>
      <c r="F30" s="4" t="s">
        <v>24</v>
      </c>
      <c r="G30" s="4" t="s">
        <v>25</v>
      </c>
      <c r="H30" s="4">
        <v>41</v>
      </c>
      <c r="I30" s="14">
        <v>3.3</v>
      </c>
      <c r="J30" s="14">
        <f>H30*I30</f>
        <v>135.3</v>
      </c>
      <c r="K30" s="14">
        <v>41</v>
      </c>
      <c r="L30" s="14">
        <v>135.3</v>
      </c>
      <c r="M30" s="14"/>
      <c r="N30" s="14"/>
      <c r="O30" s="6" t="s">
        <v>45</v>
      </c>
      <c r="P30" s="6" t="s">
        <v>46</v>
      </c>
    </row>
    <row r="31" ht="22.5" customHeight="1" spans="1:16">
      <c r="A31" s="4" t="s">
        <v>16</v>
      </c>
      <c r="B31" s="4" t="s">
        <v>17</v>
      </c>
      <c r="C31" s="4" t="s">
        <v>295</v>
      </c>
      <c r="D31" s="5" t="s">
        <v>101</v>
      </c>
      <c r="E31" s="8">
        <v>46098.8447832176</v>
      </c>
      <c r="F31" s="4" t="s">
        <v>24</v>
      </c>
      <c r="G31" s="4" t="s">
        <v>25</v>
      </c>
      <c r="H31" s="4">
        <v>5</v>
      </c>
      <c r="I31" s="14">
        <v>3.3</v>
      </c>
      <c r="J31" s="14">
        <f>H31*I31</f>
        <v>16.5</v>
      </c>
      <c r="K31" s="14">
        <v>5</v>
      </c>
      <c r="L31" s="14">
        <v>16.5</v>
      </c>
      <c r="M31" s="14"/>
      <c r="N31" s="14"/>
      <c r="O31" s="6" t="s">
        <v>45</v>
      </c>
      <c r="P31" s="6" t="s">
        <v>46</v>
      </c>
    </row>
    <row r="32" ht="22.5" customHeight="1" spans="1:16">
      <c r="A32" s="4" t="s">
        <v>16</v>
      </c>
      <c r="B32" s="4" t="s">
        <v>17</v>
      </c>
      <c r="C32" s="4" t="s">
        <v>295</v>
      </c>
      <c r="D32" s="5" t="s">
        <v>101</v>
      </c>
      <c r="E32" s="8">
        <v>46098.8447832176</v>
      </c>
      <c r="F32" s="4" t="s">
        <v>24</v>
      </c>
      <c r="G32" s="4" t="s">
        <v>41</v>
      </c>
      <c r="H32" s="4">
        <v>207</v>
      </c>
      <c r="I32" s="14">
        <v>30</v>
      </c>
      <c r="J32" s="14">
        <v>30</v>
      </c>
      <c r="K32" s="14">
        <v>207</v>
      </c>
      <c r="L32" s="14">
        <v>30</v>
      </c>
      <c r="M32" s="14"/>
      <c r="N32" s="14"/>
      <c r="O32" s="6" t="s">
        <v>45</v>
      </c>
      <c r="P32" s="6" t="s">
        <v>46</v>
      </c>
    </row>
    <row r="33" ht="22.5" customHeight="1" spans="1:16">
      <c r="A33" s="4" t="s">
        <v>16</v>
      </c>
      <c r="B33" s="4" t="s">
        <v>17</v>
      </c>
      <c r="C33" s="4" t="s">
        <v>295</v>
      </c>
      <c r="D33" s="5" t="s">
        <v>101</v>
      </c>
      <c r="E33" s="8">
        <v>46098.8447832176</v>
      </c>
      <c r="F33" s="4" t="s">
        <v>20</v>
      </c>
      <c r="G33" s="4" t="s">
        <v>21</v>
      </c>
      <c r="H33" s="4">
        <v>1</v>
      </c>
      <c r="I33" s="14">
        <v>3.3</v>
      </c>
      <c r="J33" s="14">
        <f>H33*I33</f>
        <v>3.3</v>
      </c>
      <c r="K33" s="14">
        <v>1</v>
      </c>
      <c r="L33" s="14">
        <v>3.3</v>
      </c>
      <c r="M33" s="14"/>
      <c r="N33" s="14"/>
      <c r="O33" s="6" t="s">
        <v>45</v>
      </c>
      <c r="P33" s="6" t="s">
        <v>46</v>
      </c>
    </row>
    <row r="34" ht="22.5" customHeight="1" spans="1:16">
      <c r="A34" s="4" t="s">
        <v>16</v>
      </c>
      <c r="B34" s="4" t="s">
        <v>17</v>
      </c>
      <c r="C34" s="4" t="s">
        <v>295</v>
      </c>
      <c r="D34" s="5" t="s">
        <v>101</v>
      </c>
      <c r="E34" s="8">
        <v>46098.8447832176</v>
      </c>
      <c r="F34" s="4" t="s">
        <v>24</v>
      </c>
      <c r="G34" s="4" t="s">
        <v>49</v>
      </c>
      <c r="H34" s="4">
        <v>15</v>
      </c>
      <c r="I34" s="14">
        <v>3.3</v>
      </c>
      <c r="J34" s="14">
        <f>H34*I34</f>
        <v>49.5</v>
      </c>
      <c r="K34" s="14">
        <v>15</v>
      </c>
      <c r="L34" s="14">
        <v>49.5</v>
      </c>
      <c r="M34" s="14"/>
      <c r="N34" s="14"/>
      <c r="O34" s="6" t="s">
        <v>45</v>
      </c>
      <c r="P34" s="6" t="s">
        <v>46</v>
      </c>
    </row>
    <row r="35" spans="1:16">
      <c r="A35" s="15"/>
      <c r="B35" s="15"/>
      <c r="C35" s="15"/>
      <c r="D35" s="15"/>
      <c r="E35" s="15"/>
      <c r="F35" s="15"/>
      <c r="G35" s="15"/>
      <c r="H35" s="16">
        <f t="shared" ref="H35:N35" si="3">SUM(H2:H34)</f>
        <v>951</v>
      </c>
      <c r="I35" s="16">
        <f t="shared" si="3"/>
        <v>369</v>
      </c>
      <c r="J35" s="16">
        <f t="shared" si="3"/>
        <v>1444.8</v>
      </c>
      <c r="K35" s="16">
        <f t="shared" si="3"/>
        <v>951</v>
      </c>
      <c r="L35" s="16">
        <f t="shared" si="3"/>
        <v>1444.8</v>
      </c>
      <c r="M35" s="16">
        <f t="shared" si="3"/>
        <v>0</v>
      </c>
      <c r="N35" s="16">
        <f t="shared" si="3"/>
        <v>0</v>
      </c>
      <c r="O35" s="15"/>
      <c r="P35" s="15"/>
    </row>
    <row r="36" spans="1:16">
      <c r="H36" s="17"/>
      <c r="I36" s="17"/>
      <c r="J36" s="17"/>
      <c r="K36" s="17"/>
      <c r="L36" s="17"/>
      <c r="M36" s="17"/>
      <c r="N36" s="17"/>
    </row>
    <row r="37" spans="1:16">
      <c r="H37" s="17"/>
      <c r="I37" s="17"/>
      <c r="J37" s="17"/>
      <c r="K37" s="17"/>
      <c r="L37" s="17"/>
      <c r="M37" s="17"/>
      <c r="N37" s="17"/>
    </row>
  </sheetData>
  <autoFilter xmlns:etc="http://www.wps.cn/officeDocument/2017/etCustomData" ref="A1:P35" etc:filterBottomFollowUsedRange="0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opLeftCell="C1" workbookViewId="0">
      <selection activeCell="K20" sqref="K20"/>
    </sheetView>
  </sheetViews>
  <sheetFormatPr defaultColWidth="9" defaultRowHeight="13.5"/>
  <cols>
    <col min="1" max="2" width="27.0083333333333" customWidth="1"/>
    <col min="3" max="3" width="27.675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271</v>
      </c>
      <c r="B2" s="4" t="s">
        <v>42</v>
      </c>
      <c r="C2" s="4" t="s">
        <v>296</v>
      </c>
      <c r="D2" s="5" t="s">
        <v>96</v>
      </c>
      <c r="E2" s="8">
        <v>46099.6748885417</v>
      </c>
      <c r="F2" s="4" t="s">
        <v>24</v>
      </c>
      <c r="G2" s="4" t="s">
        <v>25</v>
      </c>
      <c r="H2" s="4">
        <v>54</v>
      </c>
      <c r="I2" s="14">
        <v>3.3</v>
      </c>
      <c r="J2" s="14">
        <f t="shared" ref="J2:J7" si="0">H2*I2</f>
        <v>178.2</v>
      </c>
      <c r="K2" s="14">
        <v>54</v>
      </c>
      <c r="L2" s="14">
        <v>178.2</v>
      </c>
      <c r="M2" s="14"/>
      <c r="N2" s="14"/>
      <c r="O2" s="6" t="s">
        <v>45</v>
      </c>
      <c r="P2" s="6" t="s">
        <v>46</v>
      </c>
    </row>
    <row r="3" ht="22.5" customHeight="1" spans="1:16">
      <c r="A3" s="4" t="s">
        <v>271</v>
      </c>
      <c r="B3" s="4" t="s">
        <v>42</v>
      </c>
      <c r="C3" s="4" t="s">
        <v>296</v>
      </c>
      <c r="D3" s="5" t="s">
        <v>96</v>
      </c>
      <c r="E3" s="8">
        <v>46099.6748885417</v>
      </c>
      <c r="F3" s="4" t="s">
        <v>20</v>
      </c>
      <c r="G3" s="4" t="s">
        <v>21</v>
      </c>
      <c r="H3" s="4">
        <v>1</v>
      </c>
      <c r="I3" s="14">
        <v>3.3</v>
      </c>
      <c r="J3" s="14">
        <f t="shared" si="0"/>
        <v>3.3</v>
      </c>
      <c r="K3" s="14">
        <v>1</v>
      </c>
      <c r="L3" s="14">
        <v>3.3</v>
      </c>
      <c r="M3" s="14"/>
      <c r="N3" s="14"/>
      <c r="O3" s="6" t="s">
        <v>45</v>
      </c>
      <c r="P3" s="6" t="s">
        <v>46</v>
      </c>
    </row>
    <row r="4" ht="22.5" customHeight="1" spans="1:16">
      <c r="A4" s="4" t="s">
        <v>271</v>
      </c>
      <c r="B4" s="4" t="s">
        <v>42</v>
      </c>
      <c r="C4" s="4" t="s">
        <v>297</v>
      </c>
      <c r="D4" s="5" t="s">
        <v>96</v>
      </c>
      <c r="E4" s="8">
        <v>46099.6748929051</v>
      </c>
      <c r="F4" s="4" t="s">
        <v>20</v>
      </c>
      <c r="G4" s="4" t="s">
        <v>21</v>
      </c>
      <c r="H4" s="4">
        <v>1</v>
      </c>
      <c r="I4" s="14">
        <v>3.3</v>
      </c>
      <c r="J4" s="14">
        <f t="shared" si="0"/>
        <v>3.3</v>
      </c>
      <c r="K4" s="14">
        <v>1</v>
      </c>
      <c r="L4" s="14">
        <v>3.3</v>
      </c>
      <c r="M4" s="14"/>
      <c r="N4" s="14"/>
      <c r="O4" s="6" t="s">
        <v>45</v>
      </c>
      <c r="P4" s="6" t="s">
        <v>46</v>
      </c>
    </row>
    <row r="5" ht="22.5" customHeight="1" spans="1:16">
      <c r="A5" s="4" t="s">
        <v>271</v>
      </c>
      <c r="B5" s="4" t="s">
        <v>42</v>
      </c>
      <c r="C5" s="4" t="s">
        <v>297</v>
      </c>
      <c r="D5" s="5" t="s">
        <v>96</v>
      </c>
      <c r="E5" s="8">
        <v>46099.6748929051</v>
      </c>
      <c r="F5" s="4" t="s">
        <v>24</v>
      </c>
      <c r="G5" s="4" t="s">
        <v>25</v>
      </c>
      <c r="H5" s="4">
        <v>21</v>
      </c>
      <c r="I5" s="14">
        <v>3.3</v>
      </c>
      <c r="J5" s="14">
        <f t="shared" si="0"/>
        <v>69.3</v>
      </c>
      <c r="K5" s="14">
        <v>21</v>
      </c>
      <c r="L5" s="14">
        <v>69.3</v>
      </c>
      <c r="M5" s="14"/>
      <c r="N5" s="14"/>
      <c r="O5" s="6" t="s">
        <v>45</v>
      </c>
      <c r="P5" s="6" t="s">
        <v>46</v>
      </c>
    </row>
    <row r="6" ht="22.5" customHeight="1" spans="1:16">
      <c r="A6" s="4" t="s">
        <v>271</v>
      </c>
      <c r="B6" s="4" t="s">
        <v>42</v>
      </c>
      <c r="C6" s="4" t="s">
        <v>298</v>
      </c>
      <c r="D6" s="5" t="s">
        <v>96</v>
      </c>
      <c r="E6" s="8">
        <v>46099.6748970718</v>
      </c>
      <c r="F6" s="4" t="s">
        <v>24</v>
      </c>
      <c r="G6" s="4" t="s">
        <v>25</v>
      </c>
      <c r="H6" s="4">
        <v>6</v>
      </c>
      <c r="I6" s="14">
        <v>3.3</v>
      </c>
      <c r="J6" s="14">
        <f t="shared" si="0"/>
        <v>19.8</v>
      </c>
      <c r="K6" s="14">
        <v>6</v>
      </c>
      <c r="L6" s="14">
        <v>19.8</v>
      </c>
      <c r="M6" s="14"/>
      <c r="N6" s="14"/>
      <c r="O6" s="6" t="s">
        <v>45</v>
      </c>
      <c r="P6" s="6" t="s">
        <v>46</v>
      </c>
    </row>
    <row r="7" ht="22.5" customHeight="1" spans="1:16">
      <c r="A7" s="4" t="s">
        <v>271</v>
      </c>
      <c r="B7" s="4" t="s">
        <v>42</v>
      </c>
      <c r="C7" s="4" t="s">
        <v>298</v>
      </c>
      <c r="D7" s="5" t="s">
        <v>96</v>
      </c>
      <c r="E7" s="8">
        <v>46099.6748970718</v>
      </c>
      <c r="F7" s="4" t="s">
        <v>20</v>
      </c>
      <c r="G7" s="4" t="s">
        <v>21</v>
      </c>
      <c r="H7" s="4">
        <v>1</v>
      </c>
      <c r="I7" s="14">
        <v>3.3</v>
      </c>
      <c r="J7" s="14">
        <f t="shared" si="0"/>
        <v>3.3</v>
      </c>
      <c r="K7" s="14">
        <v>1</v>
      </c>
      <c r="L7" s="14">
        <v>3.3</v>
      </c>
      <c r="M7" s="14"/>
      <c r="N7" s="14"/>
      <c r="O7" s="6" t="s">
        <v>45</v>
      </c>
      <c r="P7" s="6" t="s">
        <v>46</v>
      </c>
    </row>
    <row r="8" spans="1:16">
      <c r="A8" s="15"/>
      <c r="B8" s="15"/>
      <c r="C8" s="15"/>
      <c r="D8" s="15"/>
      <c r="E8" s="15"/>
      <c r="F8" s="15"/>
      <c r="G8" s="15"/>
      <c r="H8" s="16">
        <f t="shared" ref="H8:N8" si="1">SUM(H2:H7)</f>
        <v>84</v>
      </c>
      <c r="I8" s="16">
        <f t="shared" si="1"/>
        <v>19.8</v>
      </c>
      <c r="J8" s="16">
        <f t="shared" si="1"/>
        <v>277.2</v>
      </c>
      <c r="K8" s="16">
        <f t="shared" si="1"/>
        <v>84</v>
      </c>
      <c r="L8" s="16">
        <f t="shared" si="1"/>
        <v>277.2</v>
      </c>
      <c r="M8" s="16">
        <f t="shared" si="1"/>
        <v>0</v>
      </c>
      <c r="N8" s="16">
        <f t="shared" si="1"/>
        <v>0</v>
      </c>
      <c r="O8" s="15"/>
      <c r="P8" s="15"/>
    </row>
    <row r="9" spans="1:16">
      <c r="H9" s="17"/>
      <c r="I9" s="17"/>
      <c r="J9" s="17"/>
      <c r="K9" s="17"/>
      <c r="L9" s="17"/>
      <c r="M9" s="17"/>
      <c r="N9" s="17"/>
    </row>
    <row r="10" spans="1:16">
      <c r="H10" s="17"/>
      <c r="I10" s="17"/>
      <c r="J10" s="17"/>
      <c r="K10" s="17"/>
      <c r="L10" s="17"/>
      <c r="M10" s="17"/>
      <c r="N10" s="17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topLeftCell="G1" workbookViewId="0">
      <selection activeCell="K20" sqref="K18:K20"/>
    </sheetView>
  </sheetViews>
  <sheetFormatPr defaultColWidth="9" defaultRowHeight="13.5"/>
  <cols>
    <col min="1" max="1" width="31.675" style="7" customWidth="1"/>
    <col min="2" max="2" width="27.0083333333333" style="7" customWidth="1"/>
    <col min="3" max="3" width="33.675" style="7" customWidth="1"/>
    <col min="4" max="4" width="16.0083333333333" style="7" customWidth="1"/>
    <col min="5" max="5" width="13.3416666666667" style="7" customWidth="1"/>
    <col min="6" max="6" width="12.3416666666667" style="7" customWidth="1"/>
    <col min="7" max="7" width="15.0083333333333" style="7" customWidth="1"/>
    <col min="8" max="8" width="12.3416666666667" style="7" customWidth="1"/>
    <col min="9" max="10" width="8.675" style="7" customWidth="1"/>
    <col min="11" max="12" width="17.8416666666667" style="7" customWidth="1"/>
    <col min="13" max="14" width="16.0083333333333" style="7" customWidth="1"/>
    <col min="15" max="16" width="8.675" style="7" customWidth="1"/>
    <col min="17" max="16383" width="9" style="7"/>
  </cols>
  <sheetData>
    <row r="1" s="7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="7" customFormat="1" ht="22.5" customHeight="1" spans="1:16">
      <c r="A2" s="4" t="s">
        <v>134</v>
      </c>
      <c r="B2" s="4" t="s">
        <v>42</v>
      </c>
      <c r="C2" s="4" t="s">
        <v>299</v>
      </c>
      <c r="D2" s="5" t="s">
        <v>136</v>
      </c>
      <c r="E2" s="8">
        <v>46100.0461951042</v>
      </c>
      <c r="F2" s="4" t="s">
        <v>24</v>
      </c>
      <c r="G2" s="4" t="s">
        <v>76</v>
      </c>
      <c r="H2" s="4">
        <v>32</v>
      </c>
      <c r="I2" s="9">
        <v>3.3</v>
      </c>
      <c r="J2" s="9">
        <f>I2*H2</f>
        <v>105.6</v>
      </c>
      <c r="K2" s="10"/>
      <c r="L2" s="10"/>
      <c r="M2" s="9">
        <v>32</v>
      </c>
      <c r="N2" s="9">
        <v>105.6</v>
      </c>
      <c r="O2" s="9" t="s">
        <v>45</v>
      </c>
      <c r="P2" s="11" t="s">
        <v>46</v>
      </c>
    </row>
    <row r="3" s="7" customFormat="1" ht="22.5" customHeight="1" spans="1:16">
      <c r="A3" s="4" t="s">
        <v>134</v>
      </c>
      <c r="B3" s="4" t="s">
        <v>42</v>
      </c>
      <c r="C3" s="4" t="s">
        <v>299</v>
      </c>
      <c r="D3" s="5" t="s">
        <v>136</v>
      </c>
      <c r="E3" s="8">
        <v>46100.0461951042</v>
      </c>
      <c r="F3" s="4" t="s">
        <v>20</v>
      </c>
      <c r="G3" s="4" t="s">
        <v>21</v>
      </c>
      <c r="H3" s="4">
        <v>1</v>
      </c>
      <c r="I3" s="9">
        <v>3.3</v>
      </c>
      <c r="J3" s="9">
        <v>3.3</v>
      </c>
      <c r="K3" s="10"/>
      <c r="L3" s="10"/>
      <c r="M3" s="9">
        <v>1</v>
      </c>
      <c r="N3" s="9">
        <v>3.3</v>
      </c>
      <c r="O3" s="9" t="s">
        <v>45</v>
      </c>
      <c r="P3" s="11" t="s">
        <v>46</v>
      </c>
    </row>
    <row r="4" s="7" customFormat="1" ht="22.5" customHeight="1" spans="1:16">
      <c r="A4" s="4" t="s">
        <v>134</v>
      </c>
      <c r="B4" s="4" t="s">
        <v>42</v>
      </c>
      <c r="C4" s="4" t="s">
        <v>300</v>
      </c>
      <c r="D4" s="5" t="s">
        <v>136</v>
      </c>
      <c r="E4" s="8">
        <v>46100.1083305556</v>
      </c>
      <c r="F4" s="4" t="s">
        <v>24</v>
      </c>
      <c r="G4" s="4" t="s">
        <v>76</v>
      </c>
      <c r="H4" s="4">
        <v>1</v>
      </c>
      <c r="I4" s="9">
        <v>13.2</v>
      </c>
      <c r="J4" s="9">
        <v>13.2</v>
      </c>
      <c r="K4" s="10"/>
      <c r="L4" s="10"/>
      <c r="M4" s="9">
        <v>1</v>
      </c>
      <c r="N4" s="9">
        <v>13.2</v>
      </c>
      <c r="O4" s="9" t="s">
        <v>45</v>
      </c>
      <c r="P4" s="11" t="s">
        <v>46</v>
      </c>
    </row>
    <row r="5" s="7" customFormat="1" ht="22.5" customHeight="1" spans="1:16">
      <c r="A5" s="4" t="s">
        <v>134</v>
      </c>
      <c r="B5" s="4" t="s">
        <v>42</v>
      </c>
      <c r="C5" s="4" t="s">
        <v>301</v>
      </c>
      <c r="D5" s="5" t="s">
        <v>136</v>
      </c>
      <c r="E5" s="8">
        <v>46100.1083387384</v>
      </c>
      <c r="F5" s="4" t="s">
        <v>24</v>
      </c>
      <c r="G5" s="4" t="s">
        <v>76</v>
      </c>
      <c r="H5" s="4">
        <v>1</v>
      </c>
      <c r="I5" s="9">
        <v>13.2</v>
      </c>
      <c r="J5" s="9">
        <v>13.2</v>
      </c>
      <c r="K5" s="10"/>
      <c r="L5" s="10"/>
      <c r="M5" s="9">
        <v>1</v>
      </c>
      <c r="N5" s="9">
        <v>13.2</v>
      </c>
      <c r="O5" s="9" t="s">
        <v>45</v>
      </c>
      <c r="P5" s="11" t="s">
        <v>46</v>
      </c>
    </row>
    <row r="6" s="7" customFormat="1" ht="22.5" customHeight="1" spans="1:16">
      <c r="A6" s="4" t="s">
        <v>134</v>
      </c>
      <c r="B6" s="4" t="s">
        <v>42</v>
      </c>
      <c r="C6" s="4" t="s">
        <v>302</v>
      </c>
      <c r="D6" s="5" t="s">
        <v>136</v>
      </c>
      <c r="E6" s="8">
        <v>46100.1083467245</v>
      </c>
      <c r="F6" s="4" t="s">
        <v>24</v>
      </c>
      <c r="G6" s="4" t="s">
        <v>76</v>
      </c>
      <c r="H6" s="4">
        <v>1</v>
      </c>
      <c r="I6" s="9">
        <v>15</v>
      </c>
      <c r="J6" s="9">
        <v>15</v>
      </c>
      <c r="K6" s="10"/>
      <c r="L6" s="10"/>
      <c r="M6" s="9">
        <v>1</v>
      </c>
      <c r="N6" s="9">
        <v>15</v>
      </c>
      <c r="O6" s="9" t="s">
        <v>45</v>
      </c>
      <c r="P6" s="11" t="s">
        <v>46</v>
      </c>
    </row>
    <row r="7" s="7" customFormat="1" ht="22.5" customHeight="1" spans="1:16">
      <c r="A7" s="4" t="s">
        <v>30</v>
      </c>
      <c r="B7" s="4" t="s">
        <v>42</v>
      </c>
      <c r="C7" s="4" t="s">
        <v>303</v>
      </c>
      <c r="D7" s="5" t="s">
        <v>304</v>
      </c>
      <c r="E7" s="8">
        <v>46100.6944778588</v>
      </c>
      <c r="F7" s="4" t="s">
        <v>24</v>
      </c>
      <c r="G7" s="4" t="s">
        <v>25</v>
      </c>
      <c r="H7" s="4">
        <v>1</v>
      </c>
      <c r="I7" s="9">
        <v>13.2</v>
      </c>
      <c r="J7" s="9">
        <v>13.2</v>
      </c>
      <c r="K7" s="9">
        <v>1</v>
      </c>
      <c r="L7" s="9">
        <v>13.2</v>
      </c>
      <c r="M7" s="9"/>
      <c r="N7" s="9"/>
      <c r="O7" s="9" t="s">
        <v>51</v>
      </c>
      <c r="P7" s="11" t="s">
        <v>52</v>
      </c>
    </row>
    <row r="8" s="7" customFormat="1" ht="22.5" customHeight="1" spans="1:16">
      <c r="A8" s="4" t="s">
        <v>30</v>
      </c>
      <c r="B8" s="4" t="s">
        <v>42</v>
      </c>
      <c r="C8" s="4" t="s">
        <v>303</v>
      </c>
      <c r="D8" s="5" t="s">
        <v>304</v>
      </c>
      <c r="E8" s="8">
        <v>46100.694483831</v>
      </c>
      <c r="F8" s="4" t="s">
        <v>24</v>
      </c>
      <c r="G8" s="4" t="s">
        <v>25</v>
      </c>
      <c r="H8" s="4">
        <v>1</v>
      </c>
      <c r="I8" s="9">
        <v>13.2</v>
      </c>
      <c r="J8" s="9">
        <v>13.2</v>
      </c>
      <c r="K8" s="9">
        <v>1</v>
      </c>
      <c r="L8" s="9">
        <v>13.2</v>
      </c>
      <c r="M8" s="9"/>
      <c r="N8" s="9"/>
      <c r="O8" s="9" t="s">
        <v>51</v>
      </c>
      <c r="P8" s="11" t="s">
        <v>52</v>
      </c>
    </row>
    <row r="9" s="7" customFormat="1" ht="22.5" customHeight="1" spans="1:16">
      <c r="A9" s="4" t="s">
        <v>30</v>
      </c>
      <c r="B9" s="4" t="s">
        <v>42</v>
      </c>
      <c r="C9" s="4" t="s">
        <v>305</v>
      </c>
      <c r="D9" s="5" t="s">
        <v>304</v>
      </c>
      <c r="E9" s="8">
        <v>46100.9085265394</v>
      </c>
      <c r="F9" s="4" t="s">
        <v>24</v>
      </c>
      <c r="G9" s="4" t="s">
        <v>25</v>
      </c>
      <c r="H9" s="4">
        <v>26</v>
      </c>
      <c r="I9" s="9">
        <v>3.3</v>
      </c>
      <c r="J9" s="9">
        <f>I9*H9</f>
        <v>85.8</v>
      </c>
      <c r="K9" s="9">
        <v>26</v>
      </c>
      <c r="L9" s="9">
        <v>85.8</v>
      </c>
      <c r="M9" s="9"/>
      <c r="N9" s="9"/>
      <c r="O9" s="9" t="s">
        <v>51</v>
      </c>
      <c r="P9" s="11" t="s">
        <v>52</v>
      </c>
    </row>
    <row r="10" s="7" customFormat="1" ht="22.5" customHeight="1" spans="1:16">
      <c r="A10" s="4" t="s">
        <v>30</v>
      </c>
      <c r="B10" s="4" t="s">
        <v>42</v>
      </c>
      <c r="C10" s="4" t="s">
        <v>305</v>
      </c>
      <c r="D10" s="5" t="s">
        <v>304</v>
      </c>
      <c r="E10" s="8">
        <v>46100.9085265394</v>
      </c>
      <c r="F10" s="4" t="s">
        <v>20</v>
      </c>
      <c r="G10" s="4" t="s">
        <v>21</v>
      </c>
      <c r="H10" s="4">
        <v>1</v>
      </c>
      <c r="I10" s="9">
        <v>3.3</v>
      </c>
      <c r="J10" s="9">
        <v>3.3</v>
      </c>
      <c r="K10" s="9">
        <v>1</v>
      </c>
      <c r="L10" s="9">
        <v>3.3</v>
      </c>
      <c r="M10" s="9"/>
      <c r="N10" s="9"/>
      <c r="O10" s="9" t="s">
        <v>51</v>
      </c>
      <c r="P10" s="11" t="s">
        <v>52</v>
      </c>
    </row>
    <row r="11" s="7" customFormat="1" ht="27" customHeight="1" spans="1:16">
      <c r="A11" s="10"/>
      <c r="B11" s="10"/>
      <c r="C11" s="10"/>
      <c r="D11" s="10"/>
      <c r="E11" s="10"/>
      <c r="F11" s="10"/>
      <c r="G11" s="10"/>
      <c r="H11" s="12">
        <f t="shared" ref="H11:N11" si="0">SUM(H2:H10)</f>
        <v>65</v>
      </c>
      <c r="I11" s="12">
        <f t="shared" si="0"/>
        <v>81</v>
      </c>
      <c r="J11" s="12">
        <f t="shared" si="0"/>
        <v>265.8</v>
      </c>
      <c r="K11" s="12">
        <f t="shared" si="0"/>
        <v>29</v>
      </c>
      <c r="L11" s="12">
        <f t="shared" si="0"/>
        <v>115.5</v>
      </c>
      <c r="M11" s="12">
        <f t="shared" si="0"/>
        <v>36</v>
      </c>
      <c r="N11" s="12">
        <f t="shared" si="0"/>
        <v>150.3</v>
      </c>
      <c r="O11" s="12"/>
      <c r="P11" s="10"/>
    </row>
    <row r="12" spans="1:16">
      <c r="H12" s="13"/>
      <c r="I12" s="13"/>
      <c r="J12" s="13"/>
      <c r="K12" s="13"/>
      <c r="L12" s="13"/>
      <c r="M12" s="13"/>
      <c r="N12" s="13"/>
      <c r="O12" s="13"/>
    </row>
    <row r="13" spans="1:16">
      <c r="H13" s="13"/>
      <c r="I13" s="13"/>
      <c r="J13" s="13"/>
      <c r="K13" s="13"/>
      <c r="L13" s="13"/>
      <c r="M13" s="13"/>
      <c r="N13" s="13"/>
      <c r="O13" s="13"/>
    </row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topLeftCell="B13" workbookViewId="0">
      <selection activeCell="K46" sqref="K45:K46"/>
    </sheetView>
  </sheetViews>
  <sheetFormatPr defaultColWidth="9" defaultRowHeight="13.5"/>
  <cols>
    <col min="1" max="1" width="27.0083333333333" customWidth="1"/>
    <col min="2" max="2" width="16.675" customWidth="1"/>
    <col min="3" max="3" width="31.675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306</v>
      </c>
      <c r="D2" s="5" t="s">
        <v>96</v>
      </c>
      <c r="E2" s="5">
        <v>46101.0304507292</v>
      </c>
      <c r="F2" s="4" t="s">
        <v>24</v>
      </c>
      <c r="G2" s="4" t="s">
        <v>25</v>
      </c>
      <c r="H2" s="4">
        <v>35</v>
      </c>
      <c r="I2" s="6">
        <v>3.3</v>
      </c>
      <c r="J2" s="6">
        <f>H2*I2</f>
        <v>115.5</v>
      </c>
      <c r="K2" s="4">
        <v>35</v>
      </c>
      <c r="L2" s="6">
        <f>K2*3.3</f>
        <v>115.5</v>
      </c>
      <c r="M2" s="6"/>
      <c r="N2" s="6"/>
      <c r="O2" s="6" t="s">
        <v>22</v>
      </c>
      <c r="P2" s="6" t="s">
        <v>23</v>
      </c>
    </row>
    <row r="3" ht="22.5" customHeight="1" spans="1:16">
      <c r="A3" s="4" t="s">
        <v>16</v>
      </c>
      <c r="B3" s="4" t="s">
        <v>17</v>
      </c>
      <c r="C3" s="4" t="s">
        <v>306</v>
      </c>
      <c r="D3" s="5" t="s">
        <v>96</v>
      </c>
      <c r="E3" s="5">
        <v>46101.0304507292</v>
      </c>
      <c r="F3" s="4" t="s">
        <v>20</v>
      </c>
      <c r="G3" s="4" t="s">
        <v>21</v>
      </c>
      <c r="H3" s="4">
        <v>1</v>
      </c>
      <c r="I3" s="6">
        <v>3.3</v>
      </c>
      <c r="J3" s="6">
        <f t="shared" ref="J3:J11" si="0">H3*I3</f>
        <v>3.3</v>
      </c>
      <c r="K3" s="4">
        <v>1</v>
      </c>
      <c r="L3" s="6">
        <f t="shared" ref="L3:L9" si="1">K3*3.3</f>
        <v>3.3</v>
      </c>
      <c r="M3" s="6"/>
      <c r="N3" s="6"/>
      <c r="O3" s="6" t="s">
        <v>22</v>
      </c>
      <c r="P3" s="6" t="s">
        <v>23</v>
      </c>
    </row>
    <row r="4" ht="22.5" customHeight="1" spans="1:16">
      <c r="A4" s="4" t="s">
        <v>16</v>
      </c>
      <c r="B4" s="4" t="s">
        <v>17</v>
      </c>
      <c r="C4" s="4" t="s">
        <v>307</v>
      </c>
      <c r="D4" s="5" t="s">
        <v>96</v>
      </c>
      <c r="E4" s="5">
        <v>46101.0304528125</v>
      </c>
      <c r="F4" s="4" t="s">
        <v>20</v>
      </c>
      <c r="G4" s="4" t="s">
        <v>21</v>
      </c>
      <c r="H4" s="4">
        <v>1</v>
      </c>
      <c r="I4" s="6">
        <v>3.3</v>
      </c>
      <c r="J4" s="6">
        <f t="shared" si="0"/>
        <v>3.3</v>
      </c>
      <c r="K4" s="4">
        <v>1</v>
      </c>
      <c r="L4" s="6">
        <f t="shared" si="1"/>
        <v>3.3</v>
      </c>
      <c r="M4" s="6"/>
      <c r="N4" s="6"/>
      <c r="O4" s="6" t="s">
        <v>22</v>
      </c>
      <c r="P4" s="6" t="s">
        <v>23</v>
      </c>
    </row>
    <row r="5" ht="22.5" customHeight="1" spans="1:16">
      <c r="A5" s="4" t="s">
        <v>16</v>
      </c>
      <c r="B5" s="4" t="s">
        <v>17</v>
      </c>
      <c r="C5" s="4" t="s">
        <v>307</v>
      </c>
      <c r="D5" s="5" t="s">
        <v>96</v>
      </c>
      <c r="E5" s="5">
        <v>46101.0304528125</v>
      </c>
      <c r="F5" s="4" t="s">
        <v>24</v>
      </c>
      <c r="G5" s="4" t="s">
        <v>25</v>
      </c>
      <c r="H5" s="4">
        <v>30</v>
      </c>
      <c r="I5" s="6">
        <v>3.3</v>
      </c>
      <c r="J5" s="6">
        <f t="shared" si="0"/>
        <v>99</v>
      </c>
      <c r="K5" s="4">
        <v>30</v>
      </c>
      <c r="L5" s="6">
        <f t="shared" si="1"/>
        <v>99</v>
      </c>
      <c r="M5" s="6"/>
      <c r="N5" s="6"/>
      <c r="O5" s="6" t="s">
        <v>22</v>
      </c>
      <c r="P5" s="6" t="s">
        <v>23</v>
      </c>
    </row>
    <row r="6" ht="22.5" customHeight="1" spans="1:16">
      <c r="A6" s="4" t="s">
        <v>16</v>
      </c>
      <c r="B6" s="4" t="s">
        <v>17</v>
      </c>
      <c r="C6" s="4" t="s">
        <v>308</v>
      </c>
      <c r="D6" s="5" t="s">
        <v>96</v>
      </c>
      <c r="E6" s="5">
        <v>46101.0304545486</v>
      </c>
      <c r="F6" s="4" t="s">
        <v>24</v>
      </c>
      <c r="G6" s="4" t="s">
        <v>25</v>
      </c>
      <c r="H6" s="4">
        <v>16</v>
      </c>
      <c r="I6" s="6">
        <v>3.3</v>
      </c>
      <c r="J6" s="6">
        <f t="shared" si="0"/>
        <v>52.8</v>
      </c>
      <c r="K6" s="4">
        <v>16</v>
      </c>
      <c r="L6" s="6">
        <f t="shared" si="1"/>
        <v>52.8</v>
      </c>
      <c r="M6" s="6"/>
      <c r="N6" s="6"/>
      <c r="O6" s="6" t="s">
        <v>22</v>
      </c>
      <c r="P6" s="6" t="s">
        <v>23</v>
      </c>
    </row>
    <row r="7" ht="22.5" customHeight="1" spans="1:16">
      <c r="A7" s="4" t="s">
        <v>16</v>
      </c>
      <c r="B7" s="4" t="s">
        <v>17</v>
      </c>
      <c r="C7" s="4" t="s">
        <v>308</v>
      </c>
      <c r="D7" s="5" t="s">
        <v>96</v>
      </c>
      <c r="E7" s="5">
        <v>46101.0304545486</v>
      </c>
      <c r="F7" s="4" t="s">
        <v>20</v>
      </c>
      <c r="G7" s="4" t="s">
        <v>21</v>
      </c>
      <c r="H7" s="4">
        <v>1</v>
      </c>
      <c r="I7" s="6">
        <v>3.3</v>
      </c>
      <c r="J7" s="6">
        <f t="shared" si="0"/>
        <v>3.3</v>
      </c>
      <c r="K7" s="4">
        <v>1</v>
      </c>
      <c r="L7" s="6">
        <f t="shared" si="1"/>
        <v>3.3</v>
      </c>
      <c r="M7" s="6"/>
      <c r="N7" s="6"/>
      <c r="O7" s="6" t="s">
        <v>22</v>
      </c>
      <c r="P7" s="6" t="s">
        <v>23</v>
      </c>
    </row>
    <row r="8" ht="22.5" customHeight="1" spans="1:16">
      <c r="A8" s="4" t="s">
        <v>16</v>
      </c>
      <c r="B8" s="4" t="s">
        <v>17</v>
      </c>
      <c r="C8" s="4" t="s">
        <v>309</v>
      </c>
      <c r="D8" s="5" t="s">
        <v>96</v>
      </c>
      <c r="E8" s="5">
        <v>46101.0304565625</v>
      </c>
      <c r="F8" s="4" t="s">
        <v>20</v>
      </c>
      <c r="G8" s="4" t="s">
        <v>21</v>
      </c>
      <c r="H8" s="4">
        <v>1</v>
      </c>
      <c r="I8" s="6">
        <v>3.3</v>
      </c>
      <c r="J8" s="6">
        <f t="shared" si="0"/>
        <v>3.3</v>
      </c>
      <c r="K8" s="4">
        <v>1</v>
      </c>
      <c r="L8" s="6">
        <f t="shared" si="1"/>
        <v>3.3</v>
      </c>
      <c r="M8" s="6"/>
      <c r="N8" s="6"/>
      <c r="O8" s="6" t="s">
        <v>22</v>
      </c>
      <c r="P8" s="6" t="s">
        <v>23</v>
      </c>
    </row>
    <row r="9" ht="22.5" customHeight="1" spans="1:16">
      <c r="A9" s="4" t="s">
        <v>16</v>
      </c>
      <c r="B9" s="4" t="s">
        <v>17</v>
      </c>
      <c r="C9" s="4" t="s">
        <v>309</v>
      </c>
      <c r="D9" s="5" t="s">
        <v>96</v>
      </c>
      <c r="E9" s="5">
        <v>46101.0304565625</v>
      </c>
      <c r="F9" s="4" t="s">
        <v>24</v>
      </c>
      <c r="G9" s="4" t="s">
        <v>25</v>
      </c>
      <c r="H9" s="4">
        <v>22</v>
      </c>
      <c r="I9" s="6">
        <v>3.3</v>
      </c>
      <c r="J9" s="6">
        <f t="shared" si="0"/>
        <v>72.6</v>
      </c>
      <c r="K9" s="4">
        <v>22</v>
      </c>
      <c r="L9" s="6">
        <f t="shared" si="1"/>
        <v>72.6</v>
      </c>
      <c r="M9" s="6"/>
      <c r="N9" s="6"/>
      <c r="O9" s="6" t="s">
        <v>22</v>
      </c>
      <c r="P9" s="6" t="s">
        <v>23</v>
      </c>
    </row>
    <row r="10" ht="22.5" customHeight="1" spans="1:16">
      <c r="A10" s="4" t="s">
        <v>16</v>
      </c>
      <c r="B10" s="4" t="s">
        <v>17</v>
      </c>
      <c r="C10" s="4" t="s">
        <v>310</v>
      </c>
      <c r="D10" s="5" t="s">
        <v>311</v>
      </c>
      <c r="E10" s="5">
        <v>46101.9443053241</v>
      </c>
      <c r="F10" s="4" t="s">
        <v>24</v>
      </c>
      <c r="G10" s="4" t="s">
        <v>49</v>
      </c>
      <c r="H10" s="4">
        <v>4</v>
      </c>
      <c r="I10" s="6">
        <v>3.3</v>
      </c>
      <c r="J10" s="6">
        <f t="shared" si="0"/>
        <v>13.2</v>
      </c>
      <c r="K10" s="6">
        <v>4</v>
      </c>
      <c r="L10" s="6">
        <v>13.2</v>
      </c>
      <c r="M10" s="6"/>
      <c r="N10" s="6"/>
      <c r="O10" s="6" t="s">
        <v>45</v>
      </c>
      <c r="P10" s="6" t="s">
        <v>46</v>
      </c>
    </row>
    <row r="11" ht="22.5" customHeight="1" spans="1:16">
      <c r="A11" s="4" t="s">
        <v>16</v>
      </c>
      <c r="B11" s="4" t="s">
        <v>17</v>
      </c>
      <c r="C11" s="4" t="s">
        <v>310</v>
      </c>
      <c r="D11" s="5" t="s">
        <v>311</v>
      </c>
      <c r="E11" s="5">
        <v>46101.9443053241</v>
      </c>
      <c r="F11" s="4" t="s">
        <v>24</v>
      </c>
      <c r="G11" s="4" t="s">
        <v>76</v>
      </c>
      <c r="H11" s="4">
        <v>30</v>
      </c>
      <c r="I11" s="6">
        <v>3.3</v>
      </c>
      <c r="J11" s="6">
        <f t="shared" si="0"/>
        <v>99</v>
      </c>
      <c r="K11" s="6">
        <v>30</v>
      </c>
      <c r="L11" s="6">
        <v>99</v>
      </c>
      <c r="M11" s="6"/>
      <c r="N11" s="6"/>
      <c r="O11" s="6" t="s">
        <v>45</v>
      </c>
      <c r="P11" s="6" t="s">
        <v>46</v>
      </c>
    </row>
    <row r="12" ht="22.5" customHeight="1" spans="1:16">
      <c r="A12" s="4" t="s">
        <v>16</v>
      </c>
      <c r="B12" s="4" t="s">
        <v>17</v>
      </c>
      <c r="C12" s="4" t="s">
        <v>310</v>
      </c>
      <c r="D12" s="5" t="s">
        <v>311</v>
      </c>
      <c r="E12" s="5">
        <v>46101.9443053241</v>
      </c>
      <c r="F12" s="4" t="s">
        <v>24</v>
      </c>
      <c r="G12" s="4" t="s">
        <v>41</v>
      </c>
      <c r="H12" s="4">
        <v>75</v>
      </c>
      <c r="I12" s="6">
        <v>30</v>
      </c>
      <c r="J12" s="6">
        <v>30</v>
      </c>
      <c r="K12" s="6">
        <v>75</v>
      </c>
      <c r="L12" s="6">
        <v>30</v>
      </c>
      <c r="M12" s="6"/>
      <c r="N12" s="6"/>
      <c r="O12" s="6" t="s">
        <v>45</v>
      </c>
      <c r="P12" s="6" t="s">
        <v>46</v>
      </c>
    </row>
    <row r="13" ht="22.5" customHeight="1" spans="1:16">
      <c r="A13" s="4" t="s">
        <v>16</v>
      </c>
      <c r="B13" s="4" t="s">
        <v>17</v>
      </c>
      <c r="C13" s="4" t="s">
        <v>310</v>
      </c>
      <c r="D13" s="5" t="s">
        <v>311</v>
      </c>
      <c r="E13" s="5">
        <v>46101.9443053241</v>
      </c>
      <c r="F13" s="4" t="s">
        <v>20</v>
      </c>
      <c r="G13" s="4" t="s">
        <v>21</v>
      </c>
      <c r="H13" s="4">
        <v>1</v>
      </c>
      <c r="I13" s="6">
        <v>3.3</v>
      </c>
      <c r="J13" s="6">
        <f t="shared" ref="J13:J19" si="2">H13*I13</f>
        <v>3.3</v>
      </c>
      <c r="K13" s="6">
        <v>1</v>
      </c>
      <c r="L13" s="6">
        <v>3.3</v>
      </c>
      <c r="M13" s="6"/>
      <c r="N13" s="6"/>
      <c r="O13" s="6" t="s">
        <v>45</v>
      </c>
      <c r="P13" s="6" t="s">
        <v>46</v>
      </c>
    </row>
    <row r="14" ht="22.5" customHeight="1" spans="1:16">
      <c r="A14" s="4" t="s">
        <v>16</v>
      </c>
      <c r="B14" s="4" t="s">
        <v>17</v>
      </c>
      <c r="C14" s="4" t="s">
        <v>312</v>
      </c>
      <c r="D14" s="5" t="s">
        <v>311</v>
      </c>
      <c r="E14" s="5">
        <v>46101.9443070602</v>
      </c>
      <c r="F14" s="4" t="s">
        <v>24</v>
      </c>
      <c r="G14" s="4" t="s">
        <v>76</v>
      </c>
      <c r="H14" s="4">
        <v>8</v>
      </c>
      <c r="I14" s="6">
        <v>3.3</v>
      </c>
      <c r="J14" s="6">
        <f t="shared" si="2"/>
        <v>26.4</v>
      </c>
      <c r="K14" s="6">
        <v>8</v>
      </c>
      <c r="L14" s="6">
        <v>26.4</v>
      </c>
      <c r="M14" s="6"/>
      <c r="N14" s="6"/>
      <c r="O14" s="6" t="s">
        <v>45</v>
      </c>
      <c r="P14" s="6" t="s">
        <v>46</v>
      </c>
    </row>
    <row r="15" ht="22.5" customHeight="1" spans="1:16">
      <c r="A15" s="4" t="s">
        <v>16</v>
      </c>
      <c r="B15" s="4" t="s">
        <v>17</v>
      </c>
      <c r="C15" s="4" t="s">
        <v>312</v>
      </c>
      <c r="D15" s="5" t="s">
        <v>311</v>
      </c>
      <c r="E15" s="5">
        <v>46101.9443070602</v>
      </c>
      <c r="F15" s="4" t="s">
        <v>20</v>
      </c>
      <c r="G15" s="4" t="s">
        <v>21</v>
      </c>
      <c r="H15" s="4">
        <v>1</v>
      </c>
      <c r="I15" s="6">
        <v>3.3</v>
      </c>
      <c r="J15" s="6">
        <f t="shared" si="2"/>
        <v>3.3</v>
      </c>
      <c r="K15" s="6">
        <v>1</v>
      </c>
      <c r="L15" s="6">
        <v>3.3</v>
      </c>
      <c r="M15" s="6"/>
      <c r="N15" s="6"/>
      <c r="O15" s="6" t="s">
        <v>45</v>
      </c>
      <c r="P15" s="6" t="s">
        <v>46</v>
      </c>
    </row>
    <row r="16" ht="22.5" customHeight="1" spans="1:16">
      <c r="A16" s="4" t="s">
        <v>16</v>
      </c>
      <c r="B16" s="4" t="s">
        <v>17</v>
      </c>
      <c r="C16" s="4" t="s">
        <v>313</v>
      </c>
      <c r="D16" s="5" t="s">
        <v>311</v>
      </c>
      <c r="E16" s="5">
        <v>46101.9443088773</v>
      </c>
      <c r="F16" s="4" t="s">
        <v>24</v>
      </c>
      <c r="G16" s="4" t="s">
        <v>76</v>
      </c>
      <c r="H16" s="4">
        <v>11</v>
      </c>
      <c r="I16" s="6">
        <v>3.3</v>
      </c>
      <c r="J16" s="6">
        <f t="shared" si="2"/>
        <v>36.3</v>
      </c>
      <c r="K16" s="6">
        <v>11</v>
      </c>
      <c r="L16" s="6">
        <v>36.3</v>
      </c>
      <c r="M16" s="6"/>
      <c r="N16" s="6"/>
      <c r="O16" s="6" t="s">
        <v>45</v>
      </c>
      <c r="P16" s="6" t="s">
        <v>46</v>
      </c>
    </row>
    <row r="17" ht="22.5" customHeight="1" spans="1:16">
      <c r="A17" s="4" t="s">
        <v>16</v>
      </c>
      <c r="B17" s="4" t="s">
        <v>17</v>
      </c>
      <c r="C17" s="4" t="s">
        <v>313</v>
      </c>
      <c r="D17" s="5" t="s">
        <v>311</v>
      </c>
      <c r="E17" s="5">
        <v>46101.9443088773</v>
      </c>
      <c r="F17" s="4" t="s">
        <v>20</v>
      </c>
      <c r="G17" s="4" t="s">
        <v>21</v>
      </c>
      <c r="H17" s="4">
        <v>1</v>
      </c>
      <c r="I17" s="6">
        <v>3.3</v>
      </c>
      <c r="J17" s="6">
        <f t="shared" si="2"/>
        <v>3.3</v>
      </c>
      <c r="K17" s="6">
        <v>1</v>
      </c>
      <c r="L17" s="6">
        <v>3.3</v>
      </c>
      <c r="M17" s="6"/>
      <c r="N17" s="6"/>
      <c r="O17" s="6" t="s">
        <v>45</v>
      </c>
      <c r="P17" s="6" t="s">
        <v>46</v>
      </c>
    </row>
    <row r="18" ht="22.5" customHeight="1" spans="1:16">
      <c r="A18" s="4" t="s">
        <v>16</v>
      </c>
      <c r="B18" s="4" t="s">
        <v>17</v>
      </c>
      <c r="C18" s="4" t="s">
        <v>314</v>
      </c>
      <c r="D18" s="5" t="s">
        <v>311</v>
      </c>
      <c r="E18" s="5">
        <v>46101.9443106134</v>
      </c>
      <c r="F18" s="4" t="s">
        <v>20</v>
      </c>
      <c r="G18" s="4" t="s">
        <v>21</v>
      </c>
      <c r="H18" s="4">
        <v>1</v>
      </c>
      <c r="I18" s="6">
        <v>3.3</v>
      </c>
      <c r="J18" s="6">
        <f t="shared" si="2"/>
        <v>3.3</v>
      </c>
      <c r="K18" s="6">
        <v>1</v>
      </c>
      <c r="L18" s="6">
        <v>3.3</v>
      </c>
      <c r="M18" s="6"/>
      <c r="N18" s="6"/>
      <c r="O18" s="6" t="s">
        <v>45</v>
      </c>
      <c r="P18" s="6" t="s">
        <v>46</v>
      </c>
    </row>
    <row r="19" ht="22.5" customHeight="1" spans="1:16">
      <c r="A19" s="4" t="s">
        <v>16</v>
      </c>
      <c r="B19" s="4" t="s">
        <v>17</v>
      </c>
      <c r="C19" s="4" t="s">
        <v>314</v>
      </c>
      <c r="D19" s="5" t="s">
        <v>311</v>
      </c>
      <c r="E19" s="5">
        <v>46101.9443106134</v>
      </c>
      <c r="F19" s="4" t="s">
        <v>24</v>
      </c>
      <c r="G19" s="4" t="s">
        <v>76</v>
      </c>
      <c r="H19" s="4">
        <v>31</v>
      </c>
      <c r="I19" s="6">
        <v>3.3</v>
      </c>
      <c r="J19" s="6">
        <f t="shared" si="2"/>
        <v>102.3</v>
      </c>
      <c r="K19" s="6">
        <v>31</v>
      </c>
      <c r="L19" s="6">
        <v>102.3</v>
      </c>
      <c r="M19" s="6"/>
      <c r="N19" s="6"/>
      <c r="O19" s="6" t="s">
        <v>45</v>
      </c>
      <c r="P19" s="6" t="s">
        <v>46</v>
      </c>
    </row>
    <row r="20" ht="22.5" customHeight="1" spans="1:16">
      <c r="A20" s="4" t="s">
        <v>16</v>
      </c>
      <c r="B20" s="4" t="s">
        <v>17</v>
      </c>
      <c r="C20" s="4" t="s">
        <v>315</v>
      </c>
      <c r="D20" s="5" t="s">
        <v>311</v>
      </c>
      <c r="E20" s="5">
        <v>46101.9443128125</v>
      </c>
      <c r="F20" s="4" t="s">
        <v>24</v>
      </c>
      <c r="G20" s="4" t="s">
        <v>41</v>
      </c>
      <c r="H20" s="4">
        <v>293</v>
      </c>
      <c r="I20" s="6">
        <v>120</v>
      </c>
      <c r="J20" s="6">
        <v>120</v>
      </c>
      <c r="K20" s="6">
        <v>255</v>
      </c>
      <c r="L20" s="6">
        <v>120</v>
      </c>
      <c r="M20" s="6">
        <f>H20-K20</f>
        <v>38</v>
      </c>
      <c r="N20" s="6">
        <v>0</v>
      </c>
      <c r="O20" s="6" t="s">
        <v>45</v>
      </c>
      <c r="P20" s="6" t="s">
        <v>46</v>
      </c>
    </row>
    <row r="21" ht="22.5" customHeight="1" spans="1:16">
      <c r="A21" s="4" t="s">
        <v>16</v>
      </c>
      <c r="B21" s="4" t="s">
        <v>17</v>
      </c>
      <c r="C21" s="4" t="s">
        <v>315</v>
      </c>
      <c r="D21" s="5" t="s">
        <v>311</v>
      </c>
      <c r="E21" s="5">
        <v>46101.9443128125</v>
      </c>
      <c r="F21" s="4" t="s">
        <v>20</v>
      </c>
      <c r="G21" s="4" t="s">
        <v>21</v>
      </c>
      <c r="H21" s="4">
        <v>1</v>
      </c>
      <c r="I21" s="6">
        <v>3.3</v>
      </c>
      <c r="J21" s="6">
        <f>H21*I21</f>
        <v>3.3</v>
      </c>
      <c r="K21" s="6">
        <v>1</v>
      </c>
      <c r="L21" s="6">
        <v>3.3</v>
      </c>
      <c r="M21" s="6"/>
      <c r="N21" s="6"/>
      <c r="O21" s="6" t="s">
        <v>45</v>
      </c>
      <c r="P21" s="6" t="s">
        <v>46</v>
      </c>
    </row>
    <row r="22" spans="1:16">
      <c r="C22" t="s">
        <v>29</v>
      </c>
      <c r="H22">
        <f>SUM(H2:H21)</f>
        <v>564</v>
      </c>
      <c r="I22">
        <f>SUM(I2:I21)</f>
        <v>209.4</v>
      </c>
      <c r="J22">
        <f>SUM(J2:J21)</f>
        <v>796.8</v>
      </c>
      <c r="K22">
        <f>SUM(K2:K21)</f>
        <v>526</v>
      </c>
      <c r="L22">
        <f>SUM(L2:L21)</f>
        <v>796.8</v>
      </c>
      <c r="M22">
        <f>SUM(M2:M21)</f>
        <v>38</v>
      </c>
      <c r="N22">
        <f>SUM(N2:N21)</f>
        <v>0</v>
      </c>
    </row>
  </sheetData>
  <autoFilter xmlns:etc="http://www.wps.cn/officeDocument/2017/etCustomData" ref="A1:P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2.23</vt:lpstr>
      <vt:lpstr>2.24</vt:lpstr>
      <vt:lpstr>2.25</vt:lpstr>
      <vt:lpstr>2.26</vt:lpstr>
      <vt:lpstr>2.27</vt:lpstr>
      <vt:lpstr>2.28</vt:lpstr>
      <vt:lpstr>3.2</vt:lpstr>
      <vt:lpstr>3.3</vt:lpstr>
      <vt:lpstr>3.4</vt:lpstr>
      <vt:lpstr>3.5</vt:lpstr>
      <vt:lpstr>3.6</vt:lpstr>
      <vt:lpstr>3.9</vt:lpstr>
      <vt:lpstr>3.10</vt:lpstr>
      <vt:lpstr>3.11</vt:lpstr>
      <vt:lpstr>3.12-3.15</vt:lpstr>
      <vt:lpstr>3.16</vt:lpstr>
      <vt:lpstr>3.17</vt:lpstr>
      <vt:lpstr>3.18</vt:lpstr>
      <vt:lpstr>3.19</vt:lpstr>
      <vt:lpstr>3.20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2026-03-21T00:51:13Z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A071C23318614546B8A911B3AD560948_12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