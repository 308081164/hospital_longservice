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805"/>
  </bookViews>
  <sheets>
    <sheet name="黑龙江省中医药大学附属第三医院（电力）" sheetId="1" r:id="rId1"/>
  </sheets>
  <externalReferences>
    <externalReference r:id="rId2"/>
  </externalReferences>
  <definedNames>
    <definedName name="_xlnm.Print_Titles" localSheetId="0">'黑龙江省中医药大学附属第三医院（电力）'!$1:$4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<sst xmlns="http://schemas.openxmlformats.org/spreadsheetml/2006/main" count="31" uniqueCount="16">
  <si>
    <t/>
  </si>
  <si>
    <t>黑龙江中医药大学附属第三医院　结款通知函</t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</si>
  <si>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黑龙江中医药大学附属第三医院</t>
    </r>
  </si>
  <si>
    <t>从:2026年2月1日  至: 2026年2月28日 灭菌费用总清单如下：</t>
  </si>
  <si>
    <t>序号</t>
  </si>
  <si>
    <t>条目</t>
  </si>
  <si>
    <t>原价（元）</t>
  </si>
  <si>
    <t>7折后（元）</t>
  </si>
  <si>
    <t>灭菌费用</t>
  </si>
  <si>
    <t>外来器械</t>
  </si>
  <si>
    <t>物流费用</t>
  </si>
  <si>
    <t>合　　计</t>
  </si>
  <si>
    <t>合计大写</t>
  </si>
  <si>
    <r>
      <rPr>
        <sz val="14"/>
        <color rgb="FF000000"/>
        <rFont val="宋体"/>
        <charset val="134"/>
      </rPr>
      <t xml:space="preserve">贵医院各个科室消毒灭菌的器械详情见附件，请您仔细核对。
我们将在您核对内容之后开具正规发票，请您在收到发票之后的3个工作日之内予以付款。
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开户银行：中国银行哈尔滨道里支行
感谢您的支持！
＊截止本月末最后一天前不将反馈信息反馈到我公司，视同默认金额，并以此账单为结算依据。
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</si>
  <si>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</si>
  <si>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2026年2月28日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</si>
</sst>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&quot;元&quot;"/>
    <numFmt numFmtId="177" formatCode="[DBNum2][$RMB]General;[Red][DBNum2][$RMB]General"/>
  </numFmts>
  <fonts count="27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4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rgb="FF000000"/>
      </top>
      <bottom style="thin">
        <color auto="1"/>
      </bottom>
      <diagonal/>
    </border>
    <border>
      <left/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7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10" applyNumberFormat="0" applyAlignment="0" applyProtection="0">
      <alignment vertical="center"/>
    </xf>
    <xf numFmtId="0" fontId="16" fillId="4" borderId="11" applyNumberFormat="0" applyAlignment="0" applyProtection="0">
      <alignment vertical="center"/>
    </xf>
    <xf numFmtId="0" fontId="17" fillId="4" borderId="10" applyNumberFormat="0" applyAlignment="0" applyProtection="0">
      <alignment vertical="center"/>
    </xf>
    <xf numFmtId="0" fontId="18" fillId="5" borderId="12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6" fillId="0" borderId="0"/>
  </cellStyleXfs>
  <cellXfs count="21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center" wrapText="1" readingOrder="1"/>
    </xf>
    <xf numFmtId="0" fontId="3" fillId="0" borderId="2" xfId="0" applyNumberFormat="1" applyFont="1" applyFill="1" applyBorder="1" applyAlignment="1">
      <alignment horizontal="center" vertical="center" wrapText="1" readingOrder="1"/>
    </xf>
    <xf numFmtId="0" fontId="3" fillId="0" borderId="3" xfId="0" applyNumberFormat="1" applyFont="1" applyFill="1" applyBorder="1" applyAlignment="1">
      <alignment horizontal="center" vertical="center" wrapText="1" readingOrder="1"/>
    </xf>
    <xf numFmtId="0" fontId="4" fillId="0" borderId="3" xfId="0" applyNumberFormat="1" applyFont="1" applyFill="1" applyBorder="1" applyAlignment="1">
      <alignment horizontal="center" vertical="center" wrapText="1" readingOrder="1"/>
    </xf>
    <xf numFmtId="176" fontId="4" fillId="0" borderId="3" xfId="0" applyNumberFormat="1" applyFont="1" applyFill="1" applyBorder="1" applyAlignment="1">
      <alignment horizontal="center" vertical="center" wrapText="1" readingOrder="1"/>
    </xf>
    <xf numFmtId="0" fontId="5" fillId="0" borderId="4" xfId="0" applyNumberFormat="1" applyFont="1" applyFill="1" applyBorder="1" applyAlignment="1">
      <alignment horizontal="center" vertical="center" wrapText="1"/>
    </xf>
    <xf numFmtId="0" fontId="4" fillId="0" borderId="4" xfId="0" applyNumberFormat="1" applyFont="1" applyFill="1" applyBorder="1" applyAlignment="1">
      <alignment horizontal="center" vertical="center" wrapText="1" readingOrder="1"/>
    </xf>
    <xf numFmtId="176" fontId="4" fillId="0" borderId="5" xfId="0" applyNumberFormat="1" applyFont="1" applyFill="1" applyBorder="1" applyAlignment="1">
      <alignment horizontal="center" vertical="center" wrapText="1" readingOrder="1"/>
    </xf>
    <xf numFmtId="176" fontId="4" fillId="0" borderId="6" xfId="0" applyNumberFormat="1" applyFont="1" applyFill="1" applyBorder="1" applyAlignment="1">
      <alignment horizontal="center" vertical="center" wrapText="1" readingOrder="1"/>
    </xf>
    <xf numFmtId="0" fontId="0" fillId="0" borderId="4" xfId="0" applyNumberFormat="1" applyFont="1" applyFill="1" applyBorder="1" applyAlignment="1">
      <alignment vertical="center" wrapText="1"/>
    </xf>
    <xf numFmtId="177" fontId="3" fillId="0" borderId="4" xfId="0" applyNumberFormat="1" applyFont="1" applyFill="1" applyBorder="1" applyAlignment="1">
      <alignment horizontal="center" vertical="center" wrapText="1" readingOrder="1"/>
    </xf>
    <xf numFmtId="177" fontId="0" fillId="0" borderId="4" xfId="0" applyNumberFormat="1" applyFont="1" applyFill="1" applyBorder="1" applyAlignment="1">
      <alignment vertical="center" wrapText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8005" cy="34036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8468;&#19977;2&#26376;&#36134;&#21333;&#36130;&#21153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账单"/>
      <sheetName val="外来器械"/>
      <sheetName val="费用调整"/>
    </sheetNames>
    <sheetDataSet>
      <sheetData sheetId="0">
        <row r="8">
          <cell r="J8">
            <v>18043</v>
          </cell>
        </row>
      </sheetData>
      <sheetData sheetId="1">
        <row r="9">
          <cell r="M9">
            <v>772</v>
          </cell>
        </row>
      </sheetData>
      <sheetData sheetId="2">
        <row r="7">
          <cell r="J7">
            <v>-222.5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21"/>
  <sheetViews>
    <sheetView showGridLines="0" tabSelected="1" workbookViewId="0">
      <pane ySplit="4" topLeftCell="A10" activePane="bottomLeft" state="frozen"/>
      <selection/>
      <selection pane="bottomLeft" activeCell="K18" sqref="K18"/>
    </sheetView>
  </sheetViews>
  <sheetFormatPr defaultColWidth="9" defaultRowHeight="13.5" outlineLevelCol="6"/>
  <cols>
    <col min="1" max="1" width="0.225" customWidth="1"/>
    <col min="2" max="2" width="0.433333333333333" customWidth="1"/>
    <col min="3" max="3" width="2.28333333333333" customWidth="1"/>
    <col min="4" max="4" width="7.55833333333333" customWidth="1"/>
    <col min="5" max="5" width="17.4166666666667" customWidth="1"/>
    <col min="6" max="7" width="30.625" customWidth="1"/>
  </cols>
  <sheetData>
    <row r="1" ht="0.1" customHeight="1"/>
    <row r="2" ht="32.45" customHeight="1"/>
    <row r="3" ht="6.8" customHeight="1"/>
    <row r="4" ht="1.2" customHeight="1" spans="3:7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</row>
    <row r="5" ht="9" customHeight="1"/>
    <row r="6" ht="18" customHeight="1" spans="3:7">
      <c r="D6" s="2" t="s">
        <v>1</v>
      </c>
    </row>
    <row r="7" ht="18" customHeight="1" spans="3:7">
      <c r="D7" s="3" t="s">
        <v>2</v>
      </c>
    </row>
    <row r="8" ht="15" spans="3:7">
      <c r="D8" s="4" t="s">
        <v>0</v>
      </c>
      <c r="E8" s="4" t="s">
        <v>0</v>
      </c>
      <c r="F8" s="4" t="s">
        <v>0</v>
      </c>
    </row>
    <row r="9" ht="18" customHeight="1" spans="3:7">
      <c r="D9" s="5" t="s">
        <v>3</v>
      </c>
    </row>
    <row r="10" ht="15" spans="3:7">
      <c r="D10" s="4" t="s">
        <v>0</v>
      </c>
      <c r="E10" s="4" t="s">
        <v>0</v>
      </c>
      <c r="F10" s="4" t="s">
        <v>0</v>
      </c>
    </row>
    <row r="11" ht="30" customHeight="1" spans="3:7">
      <c r="D11" s="6" t="s">
        <v>4</v>
      </c>
      <c r="E11" s="6" t="s">
        <v>5</v>
      </c>
      <c r="F11" s="7" t="s">
        <v>6</v>
      </c>
      <c r="G11" s="7" t="s">
        <v>7</v>
      </c>
    </row>
    <row r="12" ht="36" customHeight="1" spans="3:7">
      <c r="D12" s="8">
        <v>1</v>
      </c>
      <c r="E12" s="9" t="s">
        <v>8</v>
      </c>
      <c r="F12" s="10">
        <f>[1]账单!$J$8+[1]费用调整!$J$7</f>
        <v>17820.5</v>
      </c>
      <c r="G12" s="10">
        <f>F12*0.7</f>
        <v>12474.35</v>
      </c>
    </row>
    <row r="13" ht="30" customHeight="1" spans="3:7">
      <c r="D13" s="8">
        <v>2</v>
      </c>
      <c r="E13" s="11" t="s">
        <v>9</v>
      </c>
      <c r="F13" s="10">
        <f>[1]外来器械!$M$9</f>
        <v>772</v>
      </c>
      <c r="G13" s="10">
        <f>F13*0.7</f>
        <v>540.4</v>
      </c>
    </row>
    <row r="14" ht="30" customHeight="1" spans="3:7">
      <c r="D14" s="8">
        <v>3</v>
      </c>
      <c r="E14" s="12" t="s">
        <v>10</v>
      </c>
      <c r="F14" s="13">
        <f>17*50</f>
        <v>850</v>
      </c>
      <c r="G14" s="14"/>
    </row>
    <row r="15" ht="30" customHeight="1" spans="3:7">
      <c r="D15" s="12" t="s">
        <v>11</v>
      </c>
      <c r="E15" s="15" t="s">
        <v>0</v>
      </c>
      <c r="F15" s="13">
        <f>G12+G13+F14</f>
        <v>13864.75</v>
      </c>
      <c r="G15" s="14"/>
    </row>
    <row r="16" ht="30" customHeight="1" spans="3:7">
      <c r="D16" s="12" t="s">
        <v>12</v>
      </c>
      <c r="E16" s="15" t="s">
        <v>0</v>
      </c>
      <c r="F16" s="16">
        <v>13864.75</v>
      </c>
      <c r="G16" s="17"/>
    </row>
    <row r="17" ht="12" customHeight="1" spans="4:6">
      <c r="D17" s="4" t="s">
        <v>0</v>
      </c>
    </row>
    <row r="18" ht="188.7" customHeight="1" spans="4:6">
      <c r="D18" s="5" t="s">
        <v>13</v>
      </c>
    </row>
    <row r="19" ht="18.75" spans="4:6">
      <c r="D19" s="18" t="s">
        <v>0</v>
      </c>
      <c r="E19" s="18" t="s">
        <v>0</v>
      </c>
      <c r="F19" s="19" t="s">
        <v>14</v>
      </c>
    </row>
    <row r="20" ht="36" customHeight="1" spans="4:6">
      <c r="D20" s="20" t="s">
        <v>15</v>
      </c>
    </row>
    <row r="21" ht="67.5" customHeight="1"/>
  </sheetData>
  <mergeCells count="15">
    <mergeCell ref="B2:F2"/>
    <mergeCell ref="D6:G6"/>
    <mergeCell ref="D7:G7"/>
    <mergeCell ref="F8:G8"/>
    <mergeCell ref="D9:G9"/>
    <mergeCell ref="F10:G10"/>
    <mergeCell ref="F14:G14"/>
    <mergeCell ref="D15:E15"/>
    <mergeCell ref="F15:G15"/>
    <mergeCell ref="D16:E16"/>
    <mergeCell ref="F16:G16"/>
    <mergeCell ref="D17:G17"/>
    <mergeCell ref="D18:G18"/>
    <mergeCell ref="F19:G19"/>
    <mergeCell ref="D20:G20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黑龙江省中医药大学附属第三医院（电力）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2024-07-02T06:29:00Z</dcterms:created>
  <dcterms:modified xsi:type="dcterms:W3CDTF">2026-05-18T00:25:17Z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9DFD3A7980C94509BFAD5F5AF4302B9F_13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