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国药" sheetId="1" r:id="rId1"/>
    <sheet name="耀旭" sheetId="2" r:id="rId2"/>
    <sheet name="Sheet3" sheetId="3" r:id="rId3"/>
  </sheets>
  <definedNames>
    <definedName name="_xlnm._FilterDatabase" localSheetId="0">国药!$A$1:$P$12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<sst xmlns="http://schemas.openxmlformats.org/spreadsheetml/2006/main" count="610" uniqueCount="72">
  <si>
    <t>客户名称</t>
  </si>
  <si>
    <t>运送点名称</t>
  </si>
  <si>
    <t>包名</t>
  </si>
  <si>
    <t>带量器械名称</t>
  </si>
  <si>
    <t>发货日期</t>
  </si>
  <si>
    <t>组件类型</t>
  </si>
  <si>
    <t>组件名</t>
  </si>
  <si>
    <t>组件数量</t>
  </si>
  <si>
    <t>单价</t>
  </si>
  <si>
    <t>金额</t>
  </si>
  <si>
    <t>省医院集采数量</t>
  </si>
  <si>
    <t>省医院集采金额</t>
  </si>
  <si>
    <t>厂家自付数量</t>
  </si>
  <si>
    <t>厂家自付金额</t>
  </si>
  <si>
    <t>科室</t>
  </si>
  <si>
    <t>医生</t>
  </si>
  <si>
    <t>国药器械黑龙江科学器材有限公司</t>
  </si>
  <si>
    <t>黑龙江省医院（南岗分院）</t>
  </si>
  <si>
    <t>潘力-右股骨粗隆间骨折  1/5</t>
  </si>
  <si>
    <t>股骨髓内钉</t>
  </si>
  <si>
    <t>器械</t>
  </si>
  <si>
    <t>外来器械组件</t>
  </si>
  <si>
    <t>南岗骨科</t>
  </si>
  <si>
    <t>刘喜庆</t>
  </si>
  <si>
    <t>器械-器皿</t>
  </si>
  <si>
    <t>自带篮筐</t>
  </si>
  <si>
    <t xml:space="preserve">植入物 </t>
  </si>
  <si>
    <t>潘力-右股骨粗隆间骨折  2/5</t>
  </si>
  <si>
    <t>潘力-右股骨粗隆间骨折  3/5</t>
  </si>
  <si>
    <t>潘力-右股骨粗隆间骨折  4/5</t>
  </si>
  <si>
    <t>潘力-右股骨粗隆间骨折  5/5</t>
  </si>
  <si>
    <t xml:space="preserve">植入物-钉 </t>
  </si>
  <si>
    <t>于桂英-股骨假体周围骨折1/6</t>
  </si>
  <si>
    <t>全髋+下肢</t>
  </si>
  <si>
    <t>曲建波</t>
  </si>
  <si>
    <t>于桂英-股骨假体周围骨折2/6</t>
  </si>
  <si>
    <t xml:space="preserve">组件-1 </t>
  </si>
  <si>
    <t xml:space="preserve">植入物-板 </t>
  </si>
  <si>
    <t>于桂英-股骨假体周围骨折3/6</t>
  </si>
  <si>
    <t>于桂英-股骨假体周围骨折4/6</t>
  </si>
  <si>
    <t>于桂英-股骨假体周围骨折5/6</t>
  </si>
  <si>
    <t>于桂英-股骨假体周围骨折6/6</t>
  </si>
  <si>
    <t>王淑艳-股骨颈骨折1/3</t>
  </si>
  <si>
    <t>全髋</t>
  </si>
  <si>
    <t>王淑艳-股骨颈骨折2/3</t>
  </si>
  <si>
    <t>王淑艳-股骨颈骨折3/3</t>
  </si>
  <si>
    <t>范亚芝-股骨颈骨折1/2</t>
  </si>
  <si>
    <t>半髋</t>
  </si>
  <si>
    <t>范亚芝-股骨颈骨折2/2</t>
  </si>
  <si>
    <t>肖青祥-股骨骨折1/6</t>
  </si>
  <si>
    <t>肖青祥-股骨骨折2/6</t>
  </si>
  <si>
    <t>肖青祥-股骨骨折3/6</t>
  </si>
  <si>
    <t>肖青祥-股骨骨折4/6</t>
  </si>
  <si>
    <t>肖青祥-股骨骨折5/6</t>
  </si>
  <si>
    <t>肖青祥-股骨骨折6/6</t>
  </si>
  <si>
    <t>石秀玉-股骨头缺血性坏死  1/5</t>
  </si>
  <si>
    <t>石秀玉-股骨头缺血性坏死  2/5</t>
  </si>
  <si>
    <t>石秀玉-股骨头缺血性坏死  3/5</t>
  </si>
  <si>
    <t>石秀玉-股骨头缺血性坏死  4/5</t>
  </si>
  <si>
    <t>石秀玉-股骨头缺血性坏死  5/5</t>
  </si>
  <si>
    <t>李世军-股骨颈骨折  1/5</t>
  </si>
  <si>
    <t>李世军-股骨颈骨折  2/5</t>
  </si>
  <si>
    <t>李世军-股骨颈骨折  3/5</t>
  </si>
  <si>
    <t>李世军-股骨颈骨折  4/5</t>
  </si>
  <si>
    <t>李世军-股骨颈骨折  5/5</t>
  </si>
  <si>
    <t>合计</t>
  </si>
  <si>
    <t>黑龙江省耀旭科技有限公司</t>
  </si>
  <si>
    <t>省医院（南岗）</t>
  </si>
  <si>
    <t>于桂英-股骨假体周围骨折  1/1</t>
  </si>
  <si>
    <t>下肢</t>
  </si>
  <si>
    <t>肖青祥-股骨骨折1/1</t>
  </si>
  <si>
    <t>聂桂芝假体周围骨折  1/1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</si>
</sst>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yyyy/m/d;@"/>
    <numFmt numFmtId="178" formatCode="#,##0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4D4D4D"/>
      <name val="Microsoft YaHei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5" fillId="0" borderId="0"/>
  </cellStyleXfs>
  <cellXfs count="23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49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 readingOrder="1"/>
    </xf>
    <xf numFmtId="176" fontId="3" fillId="0" borderId="1" xfId="49" applyNumberFormat="1" applyFont="1" applyFill="1" applyBorder="1" applyAlignment="1">
      <alignment horizontal="center" vertical="center" wrapText="1" readingOrder="1"/>
    </xf>
    <xf numFmtId="177" fontId="3" fillId="0" borderId="1" xfId="49" applyNumberFormat="1" applyFont="1" applyFill="1" applyBorder="1" applyAlignment="1">
      <alignment horizontal="center" vertical="center" wrapText="1" readingOrder="1"/>
    </xf>
    <xf numFmtId="178" fontId="3" fillId="0" borderId="1" xfId="49" applyNumberFormat="1" applyFont="1" applyFill="1" applyBorder="1" applyAlignment="1">
      <alignment horizontal="center" vertical="center" wrapText="1" readingOrder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NumberFormat="1" applyAlignment="1">
      <alignment vertical="center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6"/>
  <sheetViews>
    <sheetView view="pageBreakPreview" zoomScaleNormal="100" topLeftCell="B47" workbookViewId="0">
      <selection activeCell="G55" sqref="G55"/>
    </sheetView>
  </sheetViews>
  <sheetFormatPr defaultColWidth="9" defaultRowHeight="13.5"/>
  <cols>
    <col min="1" max="1" width="30.0083333333333" customWidth="1"/>
    <col min="2" max="2" width="27.0083333333333" customWidth="1"/>
    <col min="3" max="3" width="27.675" customWidth="1"/>
    <col min="4" max="4" width="16.0083333333333" customWidth="1"/>
    <col min="5" max="5" width="13.175" customWidth="1"/>
    <col min="6" max="6" width="12.3416666666667" customWidth="1"/>
    <col min="7" max="7" width="15.0083333333333" customWidth="1"/>
    <col min="8" max="8" width="12.3416666666667" customWidth="1"/>
    <col min="9" max="9" width="12.0083333333333" customWidth="1"/>
    <col min="10" max="10" width="12.0083333333333" hidden="1" customWidth="1"/>
    <col min="11" max="12" width="17.8416666666667" customWidth="1"/>
    <col min="13" max="14" width="16.0083333333333" hidden="1" customWidth="1"/>
    <col min="15" max="15" width="11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</row>
    <row r="2" ht="22.5" customHeight="1" spans="1:16">
      <c r="A2" s="14" t="s">
        <v>16</v>
      </c>
      <c r="B2" s="14" t="s">
        <v>17</v>
      </c>
      <c r="C2" s="14" t="s">
        <v>18</v>
      </c>
      <c r="D2" s="15" t="s">
        <v>19</v>
      </c>
      <c r="E2" s="16">
        <v>46077.5702702199</v>
      </c>
      <c r="F2" s="14" t="s">
        <v>20</v>
      </c>
      <c r="G2" s="14" t="s">
        <v>21</v>
      </c>
      <c r="H2" s="14">
        <v>10</v>
      </c>
      <c r="I2" s="11">
        <v>3.3</v>
      </c>
      <c r="J2" s="11">
        <f t="shared" ref="J2:J10" si="0">H2*I2</f>
        <v>33</v>
      </c>
      <c r="K2" s="11">
        <v>10</v>
      </c>
      <c r="L2" s="11">
        <v>33</v>
      </c>
      <c r="M2" s="11"/>
      <c r="N2" s="12"/>
      <c r="O2" s="12" t="s">
        <v>22</v>
      </c>
      <c r="P2" s="12" t="s">
        <v>23</v>
      </c>
    </row>
    <row r="3" ht="22.5" customHeight="1" spans="1:16">
      <c r="A3" s="14" t="s">
        <v>16</v>
      </c>
      <c r="B3" s="14" t="s">
        <v>17</v>
      </c>
      <c r="C3" s="14" t="s">
        <v>18</v>
      </c>
      <c r="D3" s="15" t="s">
        <v>19</v>
      </c>
      <c r="E3" s="16">
        <v>46077.5702702199</v>
      </c>
      <c r="F3" s="14" t="s">
        <v>24</v>
      </c>
      <c r="G3" s="14" t="s">
        <v>25</v>
      </c>
      <c r="H3" s="14">
        <v>1</v>
      </c>
      <c r="I3" s="11">
        <v>3.3</v>
      </c>
      <c r="J3" s="11">
        <f t="shared" si="0"/>
        <v>3.3</v>
      </c>
      <c r="K3" s="11">
        <v>1</v>
      </c>
      <c r="L3" s="11">
        <v>3.3</v>
      </c>
      <c r="M3" s="11"/>
      <c r="N3" s="12"/>
      <c r="O3" s="12" t="s">
        <v>22</v>
      </c>
      <c r="P3" s="12" t="s">
        <v>23</v>
      </c>
    </row>
    <row r="4" ht="22.5" customHeight="1" spans="1:16">
      <c r="A4" s="14" t="s">
        <v>16</v>
      </c>
      <c r="B4" s="14" t="s">
        <v>17</v>
      </c>
      <c r="C4" s="14" t="s">
        <v>18</v>
      </c>
      <c r="D4" s="15" t="s">
        <v>19</v>
      </c>
      <c r="E4" s="16">
        <v>46077.5702702199</v>
      </c>
      <c r="F4" s="14" t="s">
        <v>20</v>
      </c>
      <c r="G4" s="14" t="s">
        <v>26</v>
      </c>
      <c r="H4" s="14">
        <v>8</v>
      </c>
      <c r="I4" s="11">
        <v>3.3</v>
      </c>
      <c r="J4" s="11">
        <f t="shared" si="0"/>
        <v>26.4</v>
      </c>
      <c r="K4" s="11">
        <v>8</v>
      </c>
      <c r="L4" s="11">
        <v>26.4</v>
      </c>
      <c r="M4" s="11"/>
      <c r="N4" s="12"/>
      <c r="O4" s="12" t="s">
        <v>22</v>
      </c>
      <c r="P4" s="12" t="s">
        <v>23</v>
      </c>
    </row>
    <row r="5" ht="22.5" customHeight="1" spans="1:16">
      <c r="A5" s="14" t="s">
        <v>16</v>
      </c>
      <c r="B5" s="14" t="s">
        <v>17</v>
      </c>
      <c r="C5" s="14" t="s">
        <v>27</v>
      </c>
      <c r="D5" s="15" t="s">
        <v>19</v>
      </c>
      <c r="E5" s="16">
        <v>46077.5702736458</v>
      </c>
      <c r="F5" s="14" t="s">
        <v>24</v>
      </c>
      <c r="G5" s="14" t="s">
        <v>25</v>
      </c>
      <c r="H5" s="14">
        <v>1</v>
      </c>
      <c r="I5" s="11">
        <v>3.3</v>
      </c>
      <c r="J5" s="11">
        <f t="shared" si="0"/>
        <v>3.3</v>
      </c>
      <c r="K5" s="11">
        <v>1</v>
      </c>
      <c r="L5" s="11">
        <v>3.3</v>
      </c>
      <c r="M5" s="11"/>
      <c r="N5" s="12"/>
      <c r="O5" s="12" t="s">
        <v>22</v>
      </c>
      <c r="P5" s="12" t="s">
        <v>23</v>
      </c>
    </row>
    <row r="6" ht="22.5" customHeight="1" spans="1:16">
      <c r="A6" s="14" t="s">
        <v>16</v>
      </c>
      <c r="B6" s="14" t="s">
        <v>17</v>
      </c>
      <c r="C6" s="14" t="s">
        <v>27</v>
      </c>
      <c r="D6" s="15" t="s">
        <v>19</v>
      </c>
      <c r="E6" s="16">
        <v>46077.5702736458</v>
      </c>
      <c r="F6" s="14" t="s">
        <v>20</v>
      </c>
      <c r="G6" s="14" t="s">
        <v>21</v>
      </c>
      <c r="H6" s="14">
        <v>11</v>
      </c>
      <c r="I6" s="11">
        <v>3.3</v>
      </c>
      <c r="J6" s="11">
        <f t="shared" si="0"/>
        <v>36.3</v>
      </c>
      <c r="K6" s="11">
        <v>11</v>
      </c>
      <c r="L6" s="11">
        <v>36.3</v>
      </c>
      <c r="M6" s="11"/>
      <c r="N6" s="12"/>
      <c r="O6" s="12" t="s">
        <v>22</v>
      </c>
      <c r="P6" s="12" t="s">
        <v>23</v>
      </c>
    </row>
    <row r="7" ht="22.5" customHeight="1" spans="1:16">
      <c r="A7" s="14" t="s">
        <v>16</v>
      </c>
      <c r="B7" s="14" t="s">
        <v>17</v>
      </c>
      <c r="C7" s="14" t="s">
        <v>28</v>
      </c>
      <c r="D7" s="15" t="s">
        <v>19</v>
      </c>
      <c r="E7" s="16">
        <v>46077.570275081</v>
      </c>
      <c r="F7" s="14" t="s">
        <v>24</v>
      </c>
      <c r="G7" s="14" t="s">
        <v>25</v>
      </c>
      <c r="H7" s="14">
        <v>1</v>
      </c>
      <c r="I7" s="11">
        <v>3.3</v>
      </c>
      <c r="J7" s="11">
        <f t="shared" si="0"/>
        <v>3.3</v>
      </c>
      <c r="K7" s="11">
        <v>1</v>
      </c>
      <c r="L7" s="11">
        <v>3.3</v>
      </c>
      <c r="M7" s="11"/>
      <c r="N7" s="12"/>
      <c r="O7" s="12" t="s">
        <v>22</v>
      </c>
      <c r="P7" s="12" t="s">
        <v>23</v>
      </c>
    </row>
    <row r="8" ht="22.5" customHeight="1" spans="1:16">
      <c r="A8" s="14" t="s">
        <v>16</v>
      </c>
      <c r="B8" s="14" t="s">
        <v>17</v>
      </c>
      <c r="C8" s="14" t="s">
        <v>28</v>
      </c>
      <c r="D8" s="15" t="s">
        <v>19</v>
      </c>
      <c r="E8" s="16">
        <v>46077.570275081</v>
      </c>
      <c r="F8" s="14" t="s">
        <v>20</v>
      </c>
      <c r="G8" s="14" t="s">
        <v>21</v>
      </c>
      <c r="H8" s="14">
        <v>10</v>
      </c>
      <c r="I8" s="11">
        <v>3.3</v>
      </c>
      <c r="J8" s="11">
        <f t="shared" si="0"/>
        <v>33</v>
      </c>
      <c r="K8" s="11">
        <v>10</v>
      </c>
      <c r="L8" s="11">
        <v>33</v>
      </c>
      <c r="M8" s="11"/>
      <c r="N8" s="12"/>
      <c r="O8" s="12" t="s">
        <v>22</v>
      </c>
      <c r="P8" s="12" t="s">
        <v>23</v>
      </c>
    </row>
    <row r="9" ht="22.5" customHeight="1" spans="1:16">
      <c r="A9" s="14" t="s">
        <v>16</v>
      </c>
      <c r="B9" s="14" t="s">
        <v>17</v>
      </c>
      <c r="C9" s="14" t="s">
        <v>29</v>
      </c>
      <c r="D9" s="15" t="s">
        <v>19</v>
      </c>
      <c r="E9" s="16">
        <v>46077.5702765394</v>
      </c>
      <c r="F9" s="14" t="s">
        <v>20</v>
      </c>
      <c r="G9" s="14" t="s">
        <v>21</v>
      </c>
      <c r="H9" s="14">
        <v>12</v>
      </c>
      <c r="I9" s="11">
        <v>3.3</v>
      </c>
      <c r="J9" s="11">
        <f t="shared" si="0"/>
        <v>39.6</v>
      </c>
      <c r="K9" s="11">
        <v>12</v>
      </c>
      <c r="L9" s="11">
        <v>39.6</v>
      </c>
      <c r="M9" s="11"/>
      <c r="N9" s="12"/>
      <c r="O9" s="12" t="s">
        <v>22</v>
      </c>
      <c r="P9" s="12" t="s">
        <v>23</v>
      </c>
    </row>
    <row r="10" ht="22.5" customHeight="1" spans="1:16">
      <c r="A10" s="14" t="s">
        <v>16</v>
      </c>
      <c r="B10" s="14" t="s">
        <v>17</v>
      </c>
      <c r="C10" s="14" t="s">
        <v>29</v>
      </c>
      <c r="D10" s="15" t="s">
        <v>19</v>
      </c>
      <c r="E10" s="16">
        <v>46077.5702765394</v>
      </c>
      <c r="F10" s="14" t="s">
        <v>24</v>
      </c>
      <c r="G10" s="14" t="s">
        <v>25</v>
      </c>
      <c r="H10" s="14">
        <v>1</v>
      </c>
      <c r="I10" s="11">
        <v>3.3</v>
      </c>
      <c r="J10" s="11">
        <f t="shared" si="0"/>
        <v>3.3</v>
      </c>
      <c r="K10" s="11">
        <v>1</v>
      </c>
      <c r="L10" s="11">
        <v>3.3</v>
      </c>
      <c r="M10" s="11"/>
      <c r="N10" s="12"/>
      <c r="O10" s="12" t="s">
        <v>22</v>
      </c>
      <c r="P10" s="12" t="s">
        <v>23</v>
      </c>
    </row>
    <row r="11" ht="22.5" customHeight="1" spans="1:16">
      <c r="A11" s="14" t="s">
        <v>16</v>
      </c>
      <c r="B11" s="14" t="s">
        <v>17</v>
      </c>
      <c r="C11" s="14" t="s">
        <v>30</v>
      </c>
      <c r="D11" s="15" t="s">
        <v>19</v>
      </c>
      <c r="E11" s="16">
        <v>46077.5702781597</v>
      </c>
      <c r="F11" s="14" t="s">
        <v>20</v>
      </c>
      <c r="G11" s="14" t="s">
        <v>31</v>
      </c>
      <c r="H11" s="14">
        <v>45</v>
      </c>
      <c r="I11" s="11">
        <v>120</v>
      </c>
      <c r="J11" s="11">
        <v>120</v>
      </c>
      <c r="K11" s="11">
        <v>45</v>
      </c>
      <c r="L11" s="11">
        <v>120</v>
      </c>
      <c r="M11" s="11"/>
      <c r="N11" s="12"/>
      <c r="O11" s="12" t="s">
        <v>22</v>
      </c>
      <c r="P11" s="12" t="s">
        <v>23</v>
      </c>
    </row>
    <row r="12" ht="22.5" customHeight="1" spans="1:16">
      <c r="A12" s="14" t="s">
        <v>16</v>
      </c>
      <c r="B12" s="14" t="s">
        <v>17</v>
      </c>
      <c r="C12" s="14" t="s">
        <v>30</v>
      </c>
      <c r="D12" s="15" t="s">
        <v>19</v>
      </c>
      <c r="E12" s="16">
        <v>46077.5702781597</v>
      </c>
      <c r="F12" s="14" t="s">
        <v>24</v>
      </c>
      <c r="G12" s="14" t="s">
        <v>25</v>
      </c>
      <c r="H12" s="14">
        <v>1</v>
      </c>
      <c r="I12" s="11">
        <v>3.3</v>
      </c>
      <c r="J12" s="11">
        <f t="shared" ref="J12:J45" si="1">H12*I12</f>
        <v>3.3</v>
      </c>
      <c r="K12" s="11">
        <v>1</v>
      </c>
      <c r="L12" s="11">
        <v>3.3</v>
      </c>
      <c r="M12" s="11"/>
      <c r="N12" s="12"/>
      <c r="O12" s="12" t="s">
        <v>22</v>
      </c>
      <c r="P12" s="12" t="s">
        <v>23</v>
      </c>
    </row>
    <row r="13" ht="22.5" customHeight="1" spans="1:16">
      <c r="A13" s="5" t="s">
        <v>16</v>
      </c>
      <c r="B13" s="5" t="s">
        <v>17</v>
      </c>
      <c r="C13" s="5" t="s">
        <v>32</v>
      </c>
      <c r="D13" s="6" t="s">
        <v>33</v>
      </c>
      <c r="E13" s="7">
        <v>46079.6782306366</v>
      </c>
      <c r="F13" s="5" t="s">
        <v>20</v>
      </c>
      <c r="G13" s="5" t="s">
        <v>31</v>
      </c>
      <c r="H13" s="5">
        <v>274</v>
      </c>
      <c r="I13" s="9">
        <v>120</v>
      </c>
      <c r="J13" s="9">
        <v>120</v>
      </c>
      <c r="K13" s="9">
        <v>200</v>
      </c>
      <c r="L13" s="9">
        <v>120</v>
      </c>
      <c r="M13" s="9">
        <v>74</v>
      </c>
      <c r="N13" s="10">
        <v>0</v>
      </c>
      <c r="O13" s="10" t="s">
        <v>22</v>
      </c>
      <c r="P13" s="10" t="s">
        <v>34</v>
      </c>
    </row>
    <row r="14" ht="22.5" customHeight="1" spans="1:16">
      <c r="A14" s="5" t="s">
        <v>16</v>
      </c>
      <c r="B14" s="5" t="s">
        <v>17</v>
      </c>
      <c r="C14" s="5" t="s">
        <v>32</v>
      </c>
      <c r="D14" s="6" t="s">
        <v>33</v>
      </c>
      <c r="E14" s="7">
        <v>46079.6782306366</v>
      </c>
      <c r="F14" s="5" t="s">
        <v>24</v>
      </c>
      <c r="G14" s="5" t="s">
        <v>25</v>
      </c>
      <c r="H14" s="5">
        <v>1</v>
      </c>
      <c r="I14" s="9">
        <v>3.3</v>
      </c>
      <c r="J14" s="9">
        <f t="shared" si="1"/>
        <v>3.3</v>
      </c>
      <c r="K14" s="9">
        <v>1</v>
      </c>
      <c r="L14" s="9">
        <v>3.3</v>
      </c>
      <c r="M14" s="9"/>
      <c r="N14" s="10"/>
      <c r="O14" s="10" t="s">
        <v>22</v>
      </c>
      <c r="P14" s="10" t="s">
        <v>34</v>
      </c>
    </row>
    <row r="15" ht="22.5" customHeight="1" spans="1:16">
      <c r="A15" s="5" t="s">
        <v>16</v>
      </c>
      <c r="B15" s="5" t="s">
        <v>17</v>
      </c>
      <c r="C15" s="5" t="s">
        <v>35</v>
      </c>
      <c r="D15" s="6" t="s">
        <v>33</v>
      </c>
      <c r="E15" s="7">
        <v>46079.6782340278</v>
      </c>
      <c r="F15" s="5" t="s">
        <v>20</v>
      </c>
      <c r="G15" s="5" t="s">
        <v>36</v>
      </c>
      <c r="H15" s="5">
        <v>14</v>
      </c>
      <c r="I15" s="9">
        <v>3.3</v>
      </c>
      <c r="J15" s="9">
        <f t="shared" si="1"/>
        <v>46.2</v>
      </c>
      <c r="K15" s="9">
        <v>14</v>
      </c>
      <c r="L15" s="9">
        <v>46.2</v>
      </c>
      <c r="M15" s="9"/>
      <c r="N15" s="10"/>
      <c r="O15" s="10" t="s">
        <v>22</v>
      </c>
      <c r="P15" s="10" t="s">
        <v>34</v>
      </c>
    </row>
    <row r="16" ht="22.5" customHeight="1" spans="1:16">
      <c r="A16" s="5" t="s">
        <v>16</v>
      </c>
      <c r="B16" s="5" t="s">
        <v>17</v>
      </c>
      <c r="C16" s="5" t="s">
        <v>35</v>
      </c>
      <c r="D16" s="6" t="s">
        <v>33</v>
      </c>
      <c r="E16" s="7">
        <v>46079.6782340278</v>
      </c>
      <c r="F16" s="5" t="s">
        <v>20</v>
      </c>
      <c r="G16" s="5" t="s">
        <v>37</v>
      </c>
      <c r="H16" s="5">
        <v>9</v>
      </c>
      <c r="I16" s="9">
        <v>3.3</v>
      </c>
      <c r="J16" s="9">
        <f t="shared" si="1"/>
        <v>29.7</v>
      </c>
      <c r="K16" s="9">
        <v>9</v>
      </c>
      <c r="L16" s="9">
        <v>29.7</v>
      </c>
      <c r="M16" s="9"/>
      <c r="N16" s="10"/>
      <c r="O16" s="10" t="s">
        <v>22</v>
      </c>
      <c r="P16" s="10" t="s">
        <v>34</v>
      </c>
    </row>
    <row r="17" ht="22.5" customHeight="1" spans="1:16">
      <c r="A17" s="5" t="s">
        <v>16</v>
      </c>
      <c r="B17" s="5" t="s">
        <v>17</v>
      </c>
      <c r="C17" s="5" t="s">
        <v>35</v>
      </c>
      <c r="D17" s="6" t="s">
        <v>33</v>
      </c>
      <c r="E17" s="7">
        <v>46079.6782340278</v>
      </c>
      <c r="F17" s="5" t="s">
        <v>24</v>
      </c>
      <c r="G17" s="5" t="s">
        <v>25</v>
      </c>
      <c r="H17" s="5">
        <v>1</v>
      </c>
      <c r="I17" s="9">
        <v>3.3</v>
      </c>
      <c r="J17" s="9">
        <f t="shared" si="1"/>
        <v>3.3</v>
      </c>
      <c r="K17" s="9">
        <v>1</v>
      </c>
      <c r="L17" s="9">
        <v>3.3</v>
      </c>
      <c r="M17" s="9"/>
      <c r="N17" s="10"/>
      <c r="O17" s="10" t="s">
        <v>22</v>
      </c>
      <c r="P17" s="10" t="s">
        <v>34</v>
      </c>
    </row>
    <row r="18" ht="22.5" customHeight="1" spans="1:16">
      <c r="A18" s="5" t="s">
        <v>16</v>
      </c>
      <c r="B18" s="5" t="s">
        <v>17</v>
      </c>
      <c r="C18" s="5" t="s">
        <v>38</v>
      </c>
      <c r="D18" s="6" t="s">
        <v>33</v>
      </c>
      <c r="E18" s="7">
        <v>46079.678237419</v>
      </c>
      <c r="F18" s="5" t="s">
        <v>20</v>
      </c>
      <c r="G18" s="5" t="s">
        <v>36</v>
      </c>
      <c r="H18" s="5">
        <v>46</v>
      </c>
      <c r="I18" s="9">
        <v>3.3</v>
      </c>
      <c r="J18" s="9">
        <f t="shared" si="1"/>
        <v>151.8</v>
      </c>
      <c r="K18" s="9">
        <v>46</v>
      </c>
      <c r="L18" s="9">
        <v>151.8</v>
      </c>
      <c r="M18" s="9"/>
      <c r="N18" s="10"/>
      <c r="O18" s="10" t="s">
        <v>22</v>
      </c>
      <c r="P18" s="10" t="s">
        <v>34</v>
      </c>
    </row>
    <row r="19" ht="22.5" customHeight="1" spans="1:16">
      <c r="A19" s="5" t="s">
        <v>16</v>
      </c>
      <c r="B19" s="5" t="s">
        <v>17</v>
      </c>
      <c r="C19" s="5" t="s">
        <v>38</v>
      </c>
      <c r="D19" s="6" t="s">
        <v>33</v>
      </c>
      <c r="E19" s="7">
        <v>46079.678237419</v>
      </c>
      <c r="F19" s="5" t="s">
        <v>24</v>
      </c>
      <c r="G19" s="5" t="s">
        <v>25</v>
      </c>
      <c r="H19" s="5">
        <v>1</v>
      </c>
      <c r="I19" s="9">
        <v>3.3</v>
      </c>
      <c r="J19" s="9">
        <f t="shared" si="1"/>
        <v>3.3</v>
      </c>
      <c r="K19" s="9">
        <v>1</v>
      </c>
      <c r="L19" s="9">
        <v>3.3</v>
      </c>
      <c r="M19" s="9"/>
      <c r="N19" s="10"/>
      <c r="O19" s="10" t="s">
        <v>22</v>
      </c>
      <c r="P19" s="10" t="s">
        <v>34</v>
      </c>
    </row>
    <row r="20" ht="22.5" customHeight="1" spans="1:16">
      <c r="A20" s="5" t="s">
        <v>16</v>
      </c>
      <c r="B20" s="5" t="s">
        <v>17</v>
      </c>
      <c r="C20" s="5" t="s">
        <v>39</v>
      </c>
      <c r="D20" s="6" t="s">
        <v>33</v>
      </c>
      <c r="E20" s="7">
        <v>46079.678240706</v>
      </c>
      <c r="F20" s="5" t="s">
        <v>20</v>
      </c>
      <c r="G20" s="5" t="s">
        <v>36</v>
      </c>
      <c r="H20" s="5">
        <v>31</v>
      </c>
      <c r="I20" s="9">
        <v>3.3</v>
      </c>
      <c r="J20" s="9">
        <f t="shared" si="1"/>
        <v>102.3</v>
      </c>
      <c r="K20" s="9">
        <v>31</v>
      </c>
      <c r="L20" s="9">
        <v>102.3</v>
      </c>
      <c r="M20" s="9"/>
      <c r="N20" s="10"/>
      <c r="O20" s="10" t="s">
        <v>22</v>
      </c>
      <c r="P20" s="10" t="s">
        <v>34</v>
      </c>
    </row>
    <row r="21" ht="22.5" customHeight="1" spans="1:16">
      <c r="A21" s="5" t="s">
        <v>16</v>
      </c>
      <c r="B21" s="5" t="s">
        <v>17</v>
      </c>
      <c r="C21" s="5" t="s">
        <v>39</v>
      </c>
      <c r="D21" s="6" t="s">
        <v>33</v>
      </c>
      <c r="E21" s="7">
        <v>46079.678240706</v>
      </c>
      <c r="F21" s="5" t="s">
        <v>24</v>
      </c>
      <c r="G21" s="5" t="s">
        <v>25</v>
      </c>
      <c r="H21" s="5">
        <v>1</v>
      </c>
      <c r="I21" s="9">
        <v>3.3</v>
      </c>
      <c r="J21" s="9">
        <f t="shared" si="1"/>
        <v>3.3</v>
      </c>
      <c r="K21" s="9">
        <v>1</v>
      </c>
      <c r="L21" s="9">
        <v>3.3</v>
      </c>
      <c r="M21" s="9"/>
      <c r="N21" s="10"/>
      <c r="O21" s="10" t="s">
        <v>22</v>
      </c>
      <c r="P21" s="10" t="s">
        <v>34</v>
      </c>
    </row>
    <row r="22" ht="22.5" customHeight="1" spans="1:16">
      <c r="A22" s="5" t="s">
        <v>16</v>
      </c>
      <c r="B22" s="5" t="s">
        <v>17</v>
      </c>
      <c r="C22" s="5" t="s">
        <v>40</v>
      </c>
      <c r="D22" s="6" t="s">
        <v>33</v>
      </c>
      <c r="E22" s="7">
        <v>46079.6782446412</v>
      </c>
      <c r="F22" s="5" t="s">
        <v>20</v>
      </c>
      <c r="G22" s="5" t="s">
        <v>36</v>
      </c>
      <c r="H22" s="5">
        <v>6</v>
      </c>
      <c r="I22" s="9">
        <v>3.3</v>
      </c>
      <c r="J22" s="9">
        <f t="shared" si="1"/>
        <v>19.8</v>
      </c>
      <c r="K22" s="9">
        <v>6</v>
      </c>
      <c r="L22" s="9">
        <v>19.8</v>
      </c>
      <c r="M22" s="9"/>
      <c r="N22" s="10"/>
      <c r="O22" s="10" t="s">
        <v>22</v>
      </c>
      <c r="P22" s="10" t="s">
        <v>34</v>
      </c>
    </row>
    <row r="23" ht="22.5" customHeight="1" spans="1:16">
      <c r="A23" s="5" t="s">
        <v>16</v>
      </c>
      <c r="B23" s="5" t="s">
        <v>17</v>
      </c>
      <c r="C23" s="5" t="s">
        <v>40</v>
      </c>
      <c r="D23" s="6" t="s">
        <v>33</v>
      </c>
      <c r="E23" s="7">
        <v>46079.6782446412</v>
      </c>
      <c r="F23" s="5" t="s">
        <v>24</v>
      </c>
      <c r="G23" s="5" t="s">
        <v>25</v>
      </c>
      <c r="H23" s="5">
        <v>1</v>
      </c>
      <c r="I23" s="9">
        <v>3.3</v>
      </c>
      <c r="J23" s="9">
        <f t="shared" si="1"/>
        <v>3.3</v>
      </c>
      <c r="K23" s="9">
        <v>1</v>
      </c>
      <c r="L23" s="9">
        <v>3.3</v>
      </c>
      <c r="M23" s="9"/>
      <c r="N23" s="10"/>
      <c r="O23" s="10" t="s">
        <v>22</v>
      </c>
      <c r="P23" s="10" t="s">
        <v>34</v>
      </c>
    </row>
    <row r="24" ht="22.5" customHeight="1" spans="1:16">
      <c r="A24" s="5" t="s">
        <v>16</v>
      </c>
      <c r="B24" s="5" t="s">
        <v>17</v>
      </c>
      <c r="C24" s="5" t="s">
        <v>41</v>
      </c>
      <c r="D24" s="6" t="s">
        <v>33</v>
      </c>
      <c r="E24" s="7">
        <v>46079.8246415509</v>
      </c>
      <c r="F24" s="5" t="s">
        <v>20</v>
      </c>
      <c r="G24" s="5" t="s">
        <v>36</v>
      </c>
      <c r="H24" s="5">
        <v>11</v>
      </c>
      <c r="I24" s="9">
        <v>3.3</v>
      </c>
      <c r="J24" s="9">
        <f t="shared" si="1"/>
        <v>36.3</v>
      </c>
      <c r="K24" s="9">
        <v>11</v>
      </c>
      <c r="L24" s="9">
        <v>36.3</v>
      </c>
      <c r="M24" s="9"/>
      <c r="N24" s="10"/>
      <c r="O24" s="10" t="s">
        <v>22</v>
      </c>
      <c r="P24" s="10" t="s">
        <v>34</v>
      </c>
    </row>
    <row r="25" ht="22.5" customHeight="1" spans="1:16">
      <c r="A25" s="5" t="s">
        <v>16</v>
      </c>
      <c r="B25" s="5" t="s">
        <v>17</v>
      </c>
      <c r="C25" s="5" t="s">
        <v>41</v>
      </c>
      <c r="D25" s="6" t="s">
        <v>33</v>
      </c>
      <c r="E25" s="7">
        <v>46079.8246415509</v>
      </c>
      <c r="F25" s="5" t="s">
        <v>24</v>
      </c>
      <c r="G25" s="5" t="s">
        <v>25</v>
      </c>
      <c r="H25" s="5">
        <v>1</v>
      </c>
      <c r="I25" s="9">
        <v>3.3</v>
      </c>
      <c r="J25" s="9">
        <f t="shared" si="1"/>
        <v>3.3</v>
      </c>
      <c r="K25" s="9">
        <v>1</v>
      </c>
      <c r="L25" s="9">
        <v>3.3</v>
      </c>
      <c r="M25" s="9"/>
      <c r="N25" s="10"/>
      <c r="O25" s="10" t="s">
        <v>22</v>
      </c>
      <c r="P25" s="10" t="s">
        <v>34</v>
      </c>
    </row>
    <row r="26" ht="22.5" customHeight="1" spans="1:16">
      <c r="A26" s="5" t="s">
        <v>16</v>
      </c>
      <c r="B26" s="5" t="s">
        <v>17</v>
      </c>
      <c r="C26" s="5" t="s">
        <v>42</v>
      </c>
      <c r="D26" s="6" t="s">
        <v>43</v>
      </c>
      <c r="E26" s="7">
        <v>46080.9319340625</v>
      </c>
      <c r="F26" s="5" t="s">
        <v>24</v>
      </c>
      <c r="G26" s="5" t="s">
        <v>25</v>
      </c>
      <c r="H26" s="5">
        <v>1</v>
      </c>
      <c r="I26" s="9">
        <v>3.3</v>
      </c>
      <c r="J26" s="9">
        <f t="shared" si="1"/>
        <v>3.3</v>
      </c>
      <c r="K26" s="5">
        <v>1</v>
      </c>
      <c r="L26" s="9">
        <f t="shared" ref="L26:L32" si="2">K26*3.3</f>
        <v>3.3</v>
      </c>
      <c r="M26" s="9"/>
      <c r="N26" s="10"/>
      <c r="O26" s="10" t="s">
        <v>22</v>
      </c>
      <c r="P26" s="10" t="s">
        <v>34</v>
      </c>
    </row>
    <row r="27" ht="22.5" customHeight="1" spans="1:16">
      <c r="A27" s="5" t="s">
        <v>16</v>
      </c>
      <c r="B27" s="5" t="s">
        <v>17</v>
      </c>
      <c r="C27" s="5" t="s">
        <v>42</v>
      </c>
      <c r="D27" s="6" t="s">
        <v>43</v>
      </c>
      <c r="E27" s="7">
        <v>46080.9319340625</v>
      </c>
      <c r="F27" s="5" t="s">
        <v>20</v>
      </c>
      <c r="G27" s="5" t="s">
        <v>36</v>
      </c>
      <c r="H27" s="5">
        <v>39</v>
      </c>
      <c r="I27" s="9">
        <v>3.3</v>
      </c>
      <c r="J27" s="9">
        <f t="shared" si="1"/>
        <v>128.7</v>
      </c>
      <c r="K27" s="5">
        <v>39</v>
      </c>
      <c r="L27" s="9">
        <f t="shared" si="2"/>
        <v>128.7</v>
      </c>
      <c r="M27" s="9"/>
      <c r="N27" s="10"/>
      <c r="O27" s="10" t="s">
        <v>22</v>
      </c>
      <c r="P27" s="10" t="s">
        <v>34</v>
      </c>
    </row>
    <row r="28" ht="22.5" customHeight="1" spans="1:16">
      <c r="A28" s="5" t="s">
        <v>16</v>
      </c>
      <c r="B28" s="5" t="s">
        <v>17</v>
      </c>
      <c r="C28" s="5" t="s">
        <v>44</v>
      </c>
      <c r="D28" s="6" t="s">
        <v>43</v>
      </c>
      <c r="E28" s="7">
        <v>46080.9319412847</v>
      </c>
      <c r="F28" s="5" t="s">
        <v>20</v>
      </c>
      <c r="G28" s="5" t="s">
        <v>36</v>
      </c>
      <c r="H28" s="5">
        <v>18</v>
      </c>
      <c r="I28" s="9">
        <v>3.3</v>
      </c>
      <c r="J28" s="9">
        <f t="shared" si="1"/>
        <v>59.4</v>
      </c>
      <c r="K28" s="5">
        <v>18</v>
      </c>
      <c r="L28" s="9">
        <f t="shared" si="2"/>
        <v>59.4</v>
      </c>
      <c r="M28" s="9"/>
      <c r="N28" s="10"/>
      <c r="O28" s="10" t="s">
        <v>22</v>
      </c>
      <c r="P28" s="10" t="s">
        <v>34</v>
      </c>
    </row>
    <row r="29" ht="22.5" customHeight="1" spans="1:16">
      <c r="A29" s="5" t="s">
        <v>16</v>
      </c>
      <c r="B29" s="5" t="s">
        <v>17</v>
      </c>
      <c r="C29" s="5" t="s">
        <v>44</v>
      </c>
      <c r="D29" s="6" t="s">
        <v>43</v>
      </c>
      <c r="E29" s="7">
        <v>46080.9319412847</v>
      </c>
      <c r="F29" s="5" t="s">
        <v>24</v>
      </c>
      <c r="G29" s="5" t="s">
        <v>25</v>
      </c>
      <c r="H29" s="5">
        <v>1</v>
      </c>
      <c r="I29" s="9">
        <v>3.3</v>
      </c>
      <c r="J29" s="9">
        <f t="shared" si="1"/>
        <v>3.3</v>
      </c>
      <c r="K29" s="5">
        <v>1</v>
      </c>
      <c r="L29" s="9">
        <f t="shared" si="2"/>
        <v>3.3</v>
      </c>
      <c r="M29" s="9"/>
      <c r="N29" s="10"/>
      <c r="O29" s="10" t="s">
        <v>22</v>
      </c>
      <c r="P29" s="10" t="s">
        <v>34</v>
      </c>
    </row>
    <row r="30" ht="22.5" customHeight="1" spans="1:16">
      <c r="A30" s="5" t="s">
        <v>16</v>
      </c>
      <c r="B30" s="5" t="s">
        <v>17</v>
      </c>
      <c r="C30" s="5" t="s">
        <v>45</v>
      </c>
      <c r="D30" s="6" t="s">
        <v>43</v>
      </c>
      <c r="E30" s="7">
        <v>46080.9319459144</v>
      </c>
      <c r="F30" s="5" t="s">
        <v>24</v>
      </c>
      <c r="G30" s="5" t="s">
        <v>25</v>
      </c>
      <c r="H30" s="5">
        <v>1</v>
      </c>
      <c r="I30" s="9">
        <v>3.3</v>
      </c>
      <c r="J30" s="9">
        <f t="shared" si="1"/>
        <v>3.3</v>
      </c>
      <c r="K30" s="5">
        <v>1</v>
      </c>
      <c r="L30" s="9">
        <f t="shared" si="2"/>
        <v>3.3</v>
      </c>
      <c r="M30" s="9"/>
      <c r="N30" s="10"/>
      <c r="O30" s="10" t="s">
        <v>22</v>
      </c>
      <c r="P30" s="10" t="s">
        <v>34</v>
      </c>
    </row>
    <row r="31" ht="22.5" customHeight="1" spans="1:16">
      <c r="A31" s="5" t="s">
        <v>16</v>
      </c>
      <c r="B31" s="5" t="s">
        <v>17</v>
      </c>
      <c r="C31" s="5" t="s">
        <v>45</v>
      </c>
      <c r="D31" s="6" t="s">
        <v>43</v>
      </c>
      <c r="E31" s="7">
        <v>46080.9319459144</v>
      </c>
      <c r="F31" s="5" t="s">
        <v>20</v>
      </c>
      <c r="G31" s="5" t="s">
        <v>36</v>
      </c>
      <c r="H31" s="5">
        <v>21</v>
      </c>
      <c r="I31" s="9">
        <v>3.3</v>
      </c>
      <c r="J31" s="9">
        <f t="shared" si="1"/>
        <v>69.3</v>
      </c>
      <c r="K31" s="5">
        <v>21</v>
      </c>
      <c r="L31" s="9">
        <f t="shared" si="2"/>
        <v>69.3</v>
      </c>
      <c r="M31" s="9"/>
      <c r="N31" s="10"/>
      <c r="O31" s="10" t="s">
        <v>22</v>
      </c>
      <c r="P31" s="10" t="s">
        <v>34</v>
      </c>
    </row>
    <row r="32" ht="22.5" customHeight="1" spans="1:16">
      <c r="A32" s="5" t="s">
        <v>16</v>
      </c>
      <c r="B32" s="5" t="s">
        <v>17</v>
      </c>
      <c r="C32" s="5" t="s">
        <v>46</v>
      </c>
      <c r="D32" s="6" t="s">
        <v>47</v>
      </c>
      <c r="E32" s="7">
        <v>46083.6509631134</v>
      </c>
      <c r="F32" s="5" t="s">
        <v>20</v>
      </c>
      <c r="G32" s="5" t="s">
        <v>36</v>
      </c>
      <c r="H32" s="5">
        <v>27</v>
      </c>
      <c r="I32" s="11">
        <v>3.3</v>
      </c>
      <c r="J32" s="11">
        <f t="shared" si="1"/>
        <v>89.1</v>
      </c>
      <c r="K32" s="11">
        <v>18</v>
      </c>
      <c r="L32" s="11">
        <f t="shared" si="2"/>
        <v>59.4</v>
      </c>
      <c r="M32" s="11">
        <v>9</v>
      </c>
      <c r="N32" s="12">
        <f>M32*3.3</f>
        <v>29.7</v>
      </c>
      <c r="O32" s="12" t="s">
        <v>22</v>
      </c>
      <c r="P32" s="12" t="s">
        <v>34</v>
      </c>
    </row>
    <row r="33" ht="22.5" customHeight="1" spans="1:16">
      <c r="A33" s="5" t="s">
        <v>16</v>
      </c>
      <c r="B33" s="5" t="s">
        <v>17</v>
      </c>
      <c r="C33" s="5" t="s">
        <v>46</v>
      </c>
      <c r="D33" s="6" t="s">
        <v>47</v>
      </c>
      <c r="E33" s="7">
        <v>46083.6509631134</v>
      </c>
      <c r="F33" s="5" t="s">
        <v>24</v>
      </c>
      <c r="G33" s="5" t="s">
        <v>25</v>
      </c>
      <c r="H33" s="5">
        <v>1</v>
      </c>
      <c r="I33" s="11">
        <v>3.3</v>
      </c>
      <c r="J33" s="11">
        <f t="shared" si="1"/>
        <v>3.3</v>
      </c>
      <c r="K33" s="11">
        <v>1</v>
      </c>
      <c r="L33" s="11">
        <v>3.3</v>
      </c>
      <c r="M33" s="11"/>
      <c r="N33" s="12"/>
      <c r="O33" s="12" t="s">
        <v>22</v>
      </c>
      <c r="P33" s="12" t="s">
        <v>34</v>
      </c>
    </row>
    <row r="34" ht="22.5" customHeight="1" spans="1:16">
      <c r="A34" s="5" t="s">
        <v>16</v>
      </c>
      <c r="B34" s="5" t="s">
        <v>17</v>
      </c>
      <c r="C34" s="5" t="s">
        <v>48</v>
      </c>
      <c r="D34" s="6" t="s">
        <v>47</v>
      </c>
      <c r="E34" s="7">
        <v>46083.6509675116</v>
      </c>
      <c r="F34" s="5" t="s">
        <v>24</v>
      </c>
      <c r="G34" s="5" t="s">
        <v>25</v>
      </c>
      <c r="H34" s="5">
        <v>1</v>
      </c>
      <c r="I34" s="11">
        <v>3.3</v>
      </c>
      <c r="J34" s="11">
        <f t="shared" si="1"/>
        <v>3.3</v>
      </c>
      <c r="K34" s="11">
        <v>1</v>
      </c>
      <c r="L34" s="11">
        <v>3.3</v>
      </c>
      <c r="M34" s="11"/>
      <c r="N34" s="12"/>
      <c r="O34" s="12" t="s">
        <v>22</v>
      </c>
      <c r="P34" s="12" t="s">
        <v>34</v>
      </c>
    </row>
    <row r="35" ht="22.5" customHeight="1" spans="1:16">
      <c r="A35" s="5" t="s">
        <v>16</v>
      </c>
      <c r="B35" s="5" t="s">
        <v>17</v>
      </c>
      <c r="C35" s="5" t="s">
        <v>48</v>
      </c>
      <c r="D35" s="6" t="s">
        <v>47</v>
      </c>
      <c r="E35" s="7">
        <v>46083.6509675116</v>
      </c>
      <c r="F35" s="5" t="s">
        <v>20</v>
      </c>
      <c r="G35" s="5" t="s">
        <v>36</v>
      </c>
      <c r="H35" s="5">
        <v>18</v>
      </c>
      <c r="I35" s="11">
        <v>3.3</v>
      </c>
      <c r="J35" s="11">
        <f t="shared" si="1"/>
        <v>59.4</v>
      </c>
      <c r="K35" s="11">
        <v>18</v>
      </c>
      <c r="L35" s="11">
        <v>59.4</v>
      </c>
      <c r="M35" s="11"/>
      <c r="N35" s="12"/>
      <c r="O35" s="12" t="s">
        <v>22</v>
      </c>
      <c r="P35" s="12" t="s">
        <v>34</v>
      </c>
    </row>
    <row r="36" ht="22.5" customHeight="1" spans="1:16">
      <c r="A36" s="5" t="s">
        <v>16</v>
      </c>
      <c r="B36" s="5" t="s">
        <v>17</v>
      </c>
      <c r="C36" s="5" t="s">
        <v>49</v>
      </c>
      <c r="D36" s="6" t="s">
        <v>33</v>
      </c>
      <c r="E36" s="7">
        <v>46093.9561482639</v>
      </c>
      <c r="F36" s="5" t="s">
        <v>24</v>
      </c>
      <c r="G36" s="5" t="s">
        <v>25</v>
      </c>
      <c r="H36" s="5">
        <v>1</v>
      </c>
      <c r="I36" s="9">
        <v>3.3</v>
      </c>
      <c r="J36" s="9">
        <f t="shared" si="1"/>
        <v>3.3</v>
      </c>
      <c r="K36" s="9">
        <v>1</v>
      </c>
      <c r="L36" s="9">
        <v>3.3</v>
      </c>
      <c r="M36" s="9"/>
      <c r="N36" s="10"/>
      <c r="O36" s="10" t="s">
        <v>22</v>
      </c>
      <c r="P36" s="10" t="s">
        <v>34</v>
      </c>
    </row>
    <row r="37" ht="22.5" customHeight="1" spans="1:16">
      <c r="A37" s="5" t="s">
        <v>16</v>
      </c>
      <c r="B37" s="5" t="s">
        <v>17</v>
      </c>
      <c r="C37" s="5" t="s">
        <v>49</v>
      </c>
      <c r="D37" s="6" t="s">
        <v>33</v>
      </c>
      <c r="E37" s="7">
        <v>46093.9561482639</v>
      </c>
      <c r="F37" s="5" t="s">
        <v>20</v>
      </c>
      <c r="G37" s="5" t="s">
        <v>21</v>
      </c>
      <c r="H37" s="5">
        <v>15</v>
      </c>
      <c r="I37" s="9">
        <v>3.3</v>
      </c>
      <c r="J37" s="9">
        <f t="shared" si="1"/>
        <v>49.5</v>
      </c>
      <c r="K37" s="5">
        <v>15</v>
      </c>
      <c r="L37" s="9">
        <f t="shared" ref="L37:L45" si="3">K37*3.3</f>
        <v>49.5</v>
      </c>
      <c r="M37" s="9"/>
      <c r="N37" s="10"/>
      <c r="O37" s="10" t="s">
        <v>22</v>
      </c>
      <c r="P37" s="10" t="s">
        <v>34</v>
      </c>
    </row>
    <row r="38" ht="22.5" customHeight="1" spans="1:16">
      <c r="A38" s="5" t="s">
        <v>16</v>
      </c>
      <c r="B38" s="5" t="s">
        <v>17</v>
      </c>
      <c r="C38" s="5" t="s">
        <v>50</v>
      </c>
      <c r="D38" s="6" t="s">
        <v>33</v>
      </c>
      <c r="E38" s="7">
        <v>46093.6814629282</v>
      </c>
      <c r="F38" s="5" t="s">
        <v>24</v>
      </c>
      <c r="G38" s="5" t="s">
        <v>25</v>
      </c>
      <c r="H38" s="5">
        <v>1</v>
      </c>
      <c r="I38" s="9">
        <v>3.3</v>
      </c>
      <c r="J38" s="9">
        <f t="shared" si="1"/>
        <v>3.3</v>
      </c>
      <c r="K38" s="5">
        <v>1</v>
      </c>
      <c r="L38" s="9">
        <f t="shared" si="3"/>
        <v>3.3</v>
      </c>
      <c r="M38" s="9"/>
      <c r="N38" s="10"/>
      <c r="O38" s="10" t="s">
        <v>22</v>
      </c>
      <c r="P38" s="10" t="s">
        <v>34</v>
      </c>
    </row>
    <row r="39" ht="22.5" customHeight="1" spans="1:16">
      <c r="A39" s="5" t="s">
        <v>16</v>
      </c>
      <c r="B39" s="5" t="s">
        <v>17</v>
      </c>
      <c r="C39" s="5" t="s">
        <v>50</v>
      </c>
      <c r="D39" s="6" t="s">
        <v>33</v>
      </c>
      <c r="E39" s="7">
        <v>46093.6814629282</v>
      </c>
      <c r="F39" s="5" t="s">
        <v>20</v>
      </c>
      <c r="G39" s="5" t="s">
        <v>21</v>
      </c>
      <c r="H39" s="5">
        <v>23</v>
      </c>
      <c r="I39" s="9">
        <v>3.3</v>
      </c>
      <c r="J39" s="9">
        <f t="shared" si="1"/>
        <v>75.9</v>
      </c>
      <c r="K39" s="5">
        <v>23</v>
      </c>
      <c r="L39" s="9">
        <f t="shared" si="3"/>
        <v>75.9</v>
      </c>
      <c r="M39" s="9"/>
      <c r="N39" s="10"/>
      <c r="O39" s="10" t="s">
        <v>22</v>
      </c>
      <c r="P39" s="10" t="s">
        <v>34</v>
      </c>
    </row>
    <row r="40" ht="22.5" customHeight="1" spans="1:16">
      <c r="A40" s="5" t="s">
        <v>16</v>
      </c>
      <c r="B40" s="5" t="s">
        <v>17</v>
      </c>
      <c r="C40" s="5" t="s">
        <v>51</v>
      </c>
      <c r="D40" s="6" t="s">
        <v>33</v>
      </c>
      <c r="E40" s="7">
        <v>46093.956150081</v>
      </c>
      <c r="F40" s="5" t="s">
        <v>20</v>
      </c>
      <c r="G40" s="5" t="s">
        <v>21</v>
      </c>
      <c r="H40" s="5">
        <v>27</v>
      </c>
      <c r="I40" s="9">
        <v>3.3</v>
      </c>
      <c r="J40" s="9">
        <f t="shared" si="1"/>
        <v>89.1</v>
      </c>
      <c r="K40" s="5">
        <v>27</v>
      </c>
      <c r="L40" s="9">
        <f t="shared" si="3"/>
        <v>89.1</v>
      </c>
      <c r="M40" s="9"/>
      <c r="N40" s="10"/>
      <c r="O40" s="10" t="s">
        <v>22</v>
      </c>
      <c r="P40" s="10" t="s">
        <v>34</v>
      </c>
    </row>
    <row r="41" ht="22.5" customHeight="1" spans="1:16">
      <c r="A41" s="5" t="s">
        <v>16</v>
      </c>
      <c r="B41" s="5" t="s">
        <v>17</v>
      </c>
      <c r="C41" s="5" t="s">
        <v>51</v>
      </c>
      <c r="D41" s="6" t="s">
        <v>33</v>
      </c>
      <c r="E41" s="7">
        <v>46093.956150081</v>
      </c>
      <c r="F41" s="5" t="s">
        <v>24</v>
      </c>
      <c r="G41" s="5" t="s">
        <v>25</v>
      </c>
      <c r="H41" s="5">
        <v>1</v>
      </c>
      <c r="I41" s="9">
        <v>3.3</v>
      </c>
      <c r="J41" s="9">
        <f t="shared" si="1"/>
        <v>3.3</v>
      </c>
      <c r="K41" s="5">
        <v>1</v>
      </c>
      <c r="L41" s="9">
        <f t="shared" si="3"/>
        <v>3.3</v>
      </c>
      <c r="M41" s="9"/>
      <c r="N41" s="10"/>
      <c r="O41" s="10" t="s">
        <v>22</v>
      </c>
      <c r="P41" s="10" t="s">
        <v>34</v>
      </c>
    </row>
    <row r="42" ht="22.5" customHeight="1" spans="1:16">
      <c r="A42" s="5" t="s">
        <v>16</v>
      </c>
      <c r="B42" s="5" t="s">
        <v>17</v>
      </c>
      <c r="C42" s="5" t="s">
        <v>52</v>
      </c>
      <c r="D42" s="6" t="s">
        <v>33</v>
      </c>
      <c r="E42" s="7">
        <v>46093.6814692477</v>
      </c>
      <c r="F42" s="5" t="s">
        <v>24</v>
      </c>
      <c r="G42" s="5" t="s">
        <v>25</v>
      </c>
      <c r="H42" s="5">
        <v>1</v>
      </c>
      <c r="I42" s="9">
        <v>3.3</v>
      </c>
      <c r="J42" s="9">
        <f t="shared" si="1"/>
        <v>3.3</v>
      </c>
      <c r="K42" s="5">
        <v>1</v>
      </c>
      <c r="L42" s="9">
        <f t="shared" si="3"/>
        <v>3.3</v>
      </c>
      <c r="M42" s="9"/>
      <c r="N42" s="10"/>
      <c r="O42" s="10" t="s">
        <v>22</v>
      </c>
      <c r="P42" s="10" t="s">
        <v>34</v>
      </c>
    </row>
    <row r="43" ht="22.5" customHeight="1" spans="1:16">
      <c r="A43" s="5" t="s">
        <v>16</v>
      </c>
      <c r="B43" s="5" t="s">
        <v>17</v>
      </c>
      <c r="C43" s="5" t="s">
        <v>52</v>
      </c>
      <c r="D43" s="6" t="s">
        <v>33</v>
      </c>
      <c r="E43" s="7">
        <v>46093.6814692477</v>
      </c>
      <c r="F43" s="5" t="s">
        <v>20</v>
      </c>
      <c r="G43" s="5" t="s">
        <v>21</v>
      </c>
      <c r="H43" s="5">
        <v>14</v>
      </c>
      <c r="I43" s="9">
        <v>3.3</v>
      </c>
      <c r="J43" s="9">
        <f t="shared" si="1"/>
        <v>46.2</v>
      </c>
      <c r="K43" s="5">
        <v>14</v>
      </c>
      <c r="L43" s="9">
        <f t="shared" si="3"/>
        <v>46.2</v>
      </c>
      <c r="M43" s="9"/>
      <c r="N43" s="10"/>
      <c r="O43" s="10" t="s">
        <v>22</v>
      </c>
      <c r="P43" s="10" t="s">
        <v>34</v>
      </c>
    </row>
    <row r="44" ht="22.5" customHeight="1" spans="1:16">
      <c r="A44" s="5" t="s">
        <v>16</v>
      </c>
      <c r="B44" s="5" t="s">
        <v>17</v>
      </c>
      <c r="C44" s="5" t="s">
        <v>53</v>
      </c>
      <c r="D44" s="6" t="s">
        <v>33</v>
      </c>
      <c r="E44" s="7">
        <v>46093.6814739583</v>
      </c>
      <c r="F44" s="5" t="s">
        <v>20</v>
      </c>
      <c r="G44" s="5" t="s">
        <v>21</v>
      </c>
      <c r="H44" s="5">
        <v>16</v>
      </c>
      <c r="I44" s="9">
        <v>3.3</v>
      </c>
      <c r="J44" s="9">
        <f t="shared" si="1"/>
        <v>52.8</v>
      </c>
      <c r="K44" s="5">
        <v>16</v>
      </c>
      <c r="L44" s="9">
        <f t="shared" si="3"/>
        <v>52.8</v>
      </c>
      <c r="M44" s="9"/>
      <c r="N44" s="10"/>
      <c r="O44" s="10" t="s">
        <v>22</v>
      </c>
      <c r="P44" s="10" t="s">
        <v>34</v>
      </c>
    </row>
    <row r="45" ht="22.5" customHeight="1" spans="1:16">
      <c r="A45" s="5" t="s">
        <v>16</v>
      </c>
      <c r="B45" s="5" t="s">
        <v>17</v>
      </c>
      <c r="C45" s="5" t="s">
        <v>53</v>
      </c>
      <c r="D45" s="6" t="s">
        <v>33</v>
      </c>
      <c r="E45" s="7">
        <v>46093.6814739583</v>
      </c>
      <c r="F45" s="5" t="s">
        <v>24</v>
      </c>
      <c r="G45" s="5" t="s">
        <v>25</v>
      </c>
      <c r="H45" s="5">
        <v>1</v>
      </c>
      <c r="I45" s="9">
        <v>3.3</v>
      </c>
      <c r="J45" s="9">
        <f t="shared" si="1"/>
        <v>3.3</v>
      </c>
      <c r="K45" s="5">
        <v>1</v>
      </c>
      <c r="L45" s="9">
        <f t="shared" si="3"/>
        <v>3.3</v>
      </c>
      <c r="M45" s="9"/>
      <c r="N45" s="10"/>
      <c r="O45" s="10" t="s">
        <v>22</v>
      </c>
      <c r="P45" s="10" t="s">
        <v>34</v>
      </c>
    </row>
    <row r="46" ht="22.5" customHeight="1" spans="1:16">
      <c r="A46" s="5" t="s">
        <v>16</v>
      </c>
      <c r="B46" s="5" t="s">
        <v>17</v>
      </c>
      <c r="C46" s="5" t="s">
        <v>54</v>
      </c>
      <c r="D46" s="6" t="s">
        <v>33</v>
      </c>
      <c r="E46" s="7">
        <v>46093.6814788194</v>
      </c>
      <c r="F46" s="5" t="s">
        <v>20</v>
      </c>
      <c r="G46" s="5" t="s">
        <v>31</v>
      </c>
      <c r="H46" s="5">
        <v>217</v>
      </c>
      <c r="I46" s="9">
        <v>120</v>
      </c>
      <c r="J46" s="9">
        <v>120</v>
      </c>
      <c r="K46" s="5">
        <v>217</v>
      </c>
      <c r="L46" s="9">
        <v>120</v>
      </c>
      <c r="M46" s="9"/>
      <c r="N46" s="10"/>
      <c r="O46" s="10" t="s">
        <v>22</v>
      </c>
      <c r="P46" s="10" t="s">
        <v>34</v>
      </c>
    </row>
    <row r="47" ht="22.5" customHeight="1" spans="1:16">
      <c r="A47" s="5" t="s">
        <v>16</v>
      </c>
      <c r="B47" s="5" t="s">
        <v>17</v>
      </c>
      <c r="C47" s="5" t="s">
        <v>54</v>
      </c>
      <c r="D47" s="6" t="s">
        <v>33</v>
      </c>
      <c r="E47" s="7">
        <v>46093.6814788194</v>
      </c>
      <c r="F47" s="5" t="s">
        <v>24</v>
      </c>
      <c r="G47" s="5" t="s">
        <v>25</v>
      </c>
      <c r="H47" s="5">
        <v>1</v>
      </c>
      <c r="I47" s="9">
        <v>3.3</v>
      </c>
      <c r="J47" s="9">
        <v>3.3</v>
      </c>
      <c r="K47" s="5">
        <v>1</v>
      </c>
      <c r="L47" s="9">
        <v>3.3</v>
      </c>
      <c r="M47" s="9"/>
      <c r="N47" s="10"/>
      <c r="O47" s="10" t="s">
        <v>22</v>
      </c>
      <c r="P47" s="10" t="s">
        <v>34</v>
      </c>
    </row>
    <row r="48" ht="22.5" customHeight="1" spans="1:16">
      <c r="A48" s="14" t="s">
        <v>16</v>
      </c>
      <c r="B48" s="14" t="s">
        <v>17</v>
      </c>
      <c r="C48" s="14" t="s">
        <v>55</v>
      </c>
      <c r="D48" s="15" t="s">
        <v>43</v>
      </c>
      <c r="E48" s="16">
        <v>46097.8665305903</v>
      </c>
      <c r="F48" s="14" t="s">
        <v>24</v>
      </c>
      <c r="G48" s="14" t="s">
        <v>25</v>
      </c>
      <c r="H48" s="14">
        <v>1</v>
      </c>
      <c r="I48" s="17">
        <v>3.3</v>
      </c>
      <c r="J48" s="17">
        <f t="shared" ref="J48:J67" si="4">H48*I48</f>
        <v>3.3</v>
      </c>
      <c r="K48" s="14">
        <v>1</v>
      </c>
      <c r="L48" s="17">
        <f t="shared" ref="L48:L67" si="5">K48*3.3</f>
        <v>3.3</v>
      </c>
      <c r="M48" s="17"/>
      <c r="N48" s="17"/>
      <c r="O48" s="18" t="s">
        <v>22</v>
      </c>
      <c r="P48" s="18" t="s">
        <v>34</v>
      </c>
    </row>
    <row r="49" ht="22.5" customHeight="1" spans="1:16">
      <c r="A49" s="14" t="s">
        <v>16</v>
      </c>
      <c r="B49" s="14" t="s">
        <v>17</v>
      </c>
      <c r="C49" s="14" t="s">
        <v>55</v>
      </c>
      <c r="D49" s="15" t="s">
        <v>43</v>
      </c>
      <c r="E49" s="16">
        <v>46097.8665305903</v>
      </c>
      <c r="F49" s="14" t="s">
        <v>20</v>
      </c>
      <c r="G49" s="14" t="s">
        <v>21</v>
      </c>
      <c r="H49" s="14">
        <v>12</v>
      </c>
      <c r="I49" s="17">
        <v>3.3</v>
      </c>
      <c r="J49" s="17">
        <f t="shared" si="4"/>
        <v>39.6</v>
      </c>
      <c r="K49" s="14">
        <v>12</v>
      </c>
      <c r="L49" s="17">
        <f t="shared" si="5"/>
        <v>39.6</v>
      </c>
      <c r="M49" s="17"/>
      <c r="N49" s="17"/>
      <c r="O49" s="18" t="s">
        <v>22</v>
      </c>
      <c r="P49" s="18" t="s">
        <v>34</v>
      </c>
    </row>
    <row r="50" ht="22.5" customHeight="1" spans="1:16">
      <c r="A50" s="14" t="s">
        <v>16</v>
      </c>
      <c r="B50" s="14" t="s">
        <v>17</v>
      </c>
      <c r="C50" s="14" t="s">
        <v>56</v>
      </c>
      <c r="D50" s="15" t="s">
        <v>43</v>
      </c>
      <c r="E50" s="16">
        <v>46097.8665322917</v>
      </c>
      <c r="F50" s="14" t="s">
        <v>20</v>
      </c>
      <c r="G50" s="14" t="s">
        <v>21</v>
      </c>
      <c r="H50" s="14">
        <v>21</v>
      </c>
      <c r="I50" s="17">
        <v>3.3</v>
      </c>
      <c r="J50" s="17">
        <f t="shared" si="4"/>
        <v>69.3</v>
      </c>
      <c r="K50" s="14">
        <v>21</v>
      </c>
      <c r="L50" s="17">
        <f t="shared" si="5"/>
        <v>69.3</v>
      </c>
      <c r="M50" s="17"/>
      <c r="N50" s="17"/>
      <c r="O50" s="18" t="s">
        <v>22</v>
      </c>
      <c r="P50" s="18" t="s">
        <v>34</v>
      </c>
    </row>
    <row r="51" ht="22.5" customHeight="1" spans="1:16">
      <c r="A51" s="14" t="s">
        <v>16</v>
      </c>
      <c r="B51" s="14" t="s">
        <v>17</v>
      </c>
      <c r="C51" s="14" t="s">
        <v>56</v>
      </c>
      <c r="D51" s="15" t="s">
        <v>43</v>
      </c>
      <c r="E51" s="16">
        <v>46097.8665322917</v>
      </c>
      <c r="F51" s="14" t="s">
        <v>24</v>
      </c>
      <c r="G51" s="14" t="s">
        <v>25</v>
      </c>
      <c r="H51" s="14">
        <v>1</v>
      </c>
      <c r="I51" s="17">
        <v>3.3</v>
      </c>
      <c r="J51" s="17">
        <f t="shared" si="4"/>
        <v>3.3</v>
      </c>
      <c r="K51" s="14">
        <v>1</v>
      </c>
      <c r="L51" s="17">
        <f t="shared" si="5"/>
        <v>3.3</v>
      </c>
      <c r="M51" s="17"/>
      <c r="N51" s="17"/>
      <c r="O51" s="18" t="s">
        <v>22</v>
      </c>
      <c r="P51" s="18" t="s">
        <v>34</v>
      </c>
    </row>
    <row r="52" ht="22.5" customHeight="1" spans="1:16">
      <c r="A52" s="14" t="s">
        <v>16</v>
      </c>
      <c r="B52" s="14" t="s">
        <v>17</v>
      </c>
      <c r="C52" s="14" t="s">
        <v>57</v>
      </c>
      <c r="D52" s="15" t="s">
        <v>43</v>
      </c>
      <c r="E52" s="16">
        <v>46097.8665342245</v>
      </c>
      <c r="F52" s="14" t="s">
        <v>24</v>
      </c>
      <c r="G52" s="14" t="s">
        <v>25</v>
      </c>
      <c r="H52" s="14">
        <v>1</v>
      </c>
      <c r="I52" s="17">
        <v>3.3</v>
      </c>
      <c r="J52" s="17">
        <f t="shared" si="4"/>
        <v>3.3</v>
      </c>
      <c r="K52" s="14">
        <v>1</v>
      </c>
      <c r="L52" s="17">
        <f t="shared" si="5"/>
        <v>3.3</v>
      </c>
      <c r="M52" s="17"/>
      <c r="N52" s="17"/>
      <c r="O52" s="18" t="s">
        <v>22</v>
      </c>
      <c r="P52" s="18" t="s">
        <v>34</v>
      </c>
    </row>
    <row r="53" ht="22.5" customHeight="1" spans="1:16">
      <c r="A53" s="14" t="s">
        <v>16</v>
      </c>
      <c r="B53" s="14" t="s">
        <v>17</v>
      </c>
      <c r="C53" s="14" t="s">
        <v>57</v>
      </c>
      <c r="D53" s="15" t="s">
        <v>43</v>
      </c>
      <c r="E53" s="16">
        <v>46097.8665342245</v>
      </c>
      <c r="F53" s="14" t="s">
        <v>20</v>
      </c>
      <c r="G53" s="14" t="s">
        <v>21</v>
      </c>
      <c r="H53" s="14">
        <v>13</v>
      </c>
      <c r="I53" s="17">
        <v>3.3</v>
      </c>
      <c r="J53" s="17">
        <f t="shared" si="4"/>
        <v>42.9</v>
      </c>
      <c r="K53" s="14">
        <v>13</v>
      </c>
      <c r="L53" s="17">
        <f t="shared" si="5"/>
        <v>42.9</v>
      </c>
      <c r="M53" s="17"/>
      <c r="N53" s="17"/>
      <c r="O53" s="18" t="s">
        <v>22</v>
      </c>
      <c r="P53" s="18" t="s">
        <v>34</v>
      </c>
    </row>
    <row r="54" ht="22.5" customHeight="1" spans="1:16">
      <c r="A54" s="14" t="s">
        <v>16</v>
      </c>
      <c r="B54" s="14" t="s">
        <v>17</v>
      </c>
      <c r="C54" s="14" t="s">
        <v>58</v>
      </c>
      <c r="D54" s="15" t="s">
        <v>43</v>
      </c>
      <c r="E54" s="16">
        <v>46097.8665361458</v>
      </c>
      <c r="F54" s="14" t="s">
        <v>20</v>
      </c>
      <c r="G54" s="14" t="s">
        <v>21</v>
      </c>
      <c r="H54" s="14">
        <v>23</v>
      </c>
      <c r="I54" s="17">
        <v>3.3</v>
      </c>
      <c r="J54" s="17">
        <f t="shared" si="4"/>
        <v>75.9</v>
      </c>
      <c r="K54" s="14">
        <v>23</v>
      </c>
      <c r="L54" s="17">
        <f t="shared" si="5"/>
        <v>75.9</v>
      </c>
      <c r="M54" s="17"/>
      <c r="N54" s="17"/>
      <c r="O54" s="18" t="s">
        <v>22</v>
      </c>
      <c r="P54" s="18" t="s">
        <v>34</v>
      </c>
    </row>
    <row r="55" ht="22.5" customHeight="1" spans="1:16">
      <c r="A55" s="14" t="s">
        <v>16</v>
      </c>
      <c r="B55" s="14" t="s">
        <v>17</v>
      </c>
      <c r="C55" s="14" t="s">
        <v>58</v>
      </c>
      <c r="D55" s="15" t="s">
        <v>43</v>
      </c>
      <c r="E55" s="16">
        <v>46097.8665361458</v>
      </c>
      <c r="F55" s="14" t="s">
        <v>24</v>
      </c>
      <c r="G55" s="14" t="s">
        <v>25</v>
      </c>
      <c r="H55" s="14">
        <v>1</v>
      </c>
      <c r="I55" s="17">
        <v>3.3</v>
      </c>
      <c r="J55" s="17">
        <f t="shared" si="4"/>
        <v>3.3</v>
      </c>
      <c r="K55" s="14">
        <v>1</v>
      </c>
      <c r="L55" s="17">
        <f t="shared" si="5"/>
        <v>3.3</v>
      </c>
      <c r="M55" s="17"/>
      <c r="N55" s="17"/>
      <c r="O55" s="18" t="s">
        <v>22</v>
      </c>
      <c r="P55" s="18" t="s">
        <v>34</v>
      </c>
    </row>
    <row r="56" ht="22.5" customHeight="1" spans="1:16">
      <c r="A56" s="14" t="s">
        <v>16</v>
      </c>
      <c r="B56" s="14" t="s">
        <v>17</v>
      </c>
      <c r="C56" s="14" t="s">
        <v>59</v>
      </c>
      <c r="D56" s="15" t="s">
        <v>43</v>
      </c>
      <c r="E56" s="16">
        <v>46097.8665381944</v>
      </c>
      <c r="F56" s="14" t="s">
        <v>24</v>
      </c>
      <c r="G56" s="14" t="s">
        <v>25</v>
      </c>
      <c r="H56" s="14">
        <v>1</v>
      </c>
      <c r="I56" s="17">
        <v>3.3</v>
      </c>
      <c r="J56" s="17">
        <f t="shared" si="4"/>
        <v>3.3</v>
      </c>
      <c r="K56" s="14">
        <v>1</v>
      </c>
      <c r="L56" s="17">
        <f t="shared" si="5"/>
        <v>3.3</v>
      </c>
      <c r="M56" s="17"/>
      <c r="N56" s="17"/>
      <c r="O56" s="18" t="s">
        <v>22</v>
      </c>
      <c r="P56" s="18" t="s">
        <v>34</v>
      </c>
    </row>
    <row r="57" ht="22.5" customHeight="1" spans="1:16">
      <c r="A57" s="14" t="s">
        <v>16</v>
      </c>
      <c r="B57" s="14" t="s">
        <v>17</v>
      </c>
      <c r="C57" s="14" t="s">
        <v>59</v>
      </c>
      <c r="D57" s="15" t="s">
        <v>43</v>
      </c>
      <c r="E57" s="16">
        <v>46097.8665381944</v>
      </c>
      <c r="F57" s="14" t="s">
        <v>20</v>
      </c>
      <c r="G57" s="14" t="s">
        <v>21</v>
      </c>
      <c r="H57" s="14">
        <v>15</v>
      </c>
      <c r="I57" s="17">
        <v>3.3</v>
      </c>
      <c r="J57" s="17">
        <f t="shared" si="4"/>
        <v>49.5</v>
      </c>
      <c r="K57" s="14">
        <v>15</v>
      </c>
      <c r="L57" s="17">
        <f t="shared" si="5"/>
        <v>49.5</v>
      </c>
      <c r="M57" s="17"/>
      <c r="N57" s="17"/>
      <c r="O57" s="18" t="s">
        <v>22</v>
      </c>
      <c r="P57" s="18" t="s">
        <v>34</v>
      </c>
    </row>
    <row r="58" ht="22.5" customHeight="1" spans="1:16">
      <c r="A58" s="5" t="s">
        <v>16</v>
      </c>
      <c r="B58" s="5" t="s">
        <v>17</v>
      </c>
      <c r="C58" s="5" t="s">
        <v>60</v>
      </c>
      <c r="D58" s="6" t="s">
        <v>43</v>
      </c>
      <c r="E58" s="7">
        <v>46098.8275048264</v>
      </c>
      <c r="F58" s="5" t="s">
        <v>24</v>
      </c>
      <c r="G58" s="5" t="s">
        <v>25</v>
      </c>
      <c r="H58" s="5">
        <v>1</v>
      </c>
      <c r="I58" s="11">
        <v>3.3</v>
      </c>
      <c r="J58" s="11">
        <f t="shared" si="4"/>
        <v>3.3</v>
      </c>
      <c r="K58" s="5">
        <v>1</v>
      </c>
      <c r="L58" s="11">
        <f t="shared" si="5"/>
        <v>3.3</v>
      </c>
      <c r="M58" s="11"/>
      <c r="N58" s="11"/>
      <c r="O58" s="12" t="s">
        <v>22</v>
      </c>
      <c r="P58" s="12" t="s">
        <v>34</v>
      </c>
    </row>
    <row r="59" ht="22.5" customHeight="1" spans="1:16">
      <c r="A59" s="5" t="s">
        <v>16</v>
      </c>
      <c r="B59" s="5" t="s">
        <v>17</v>
      </c>
      <c r="C59" s="5" t="s">
        <v>60</v>
      </c>
      <c r="D59" s="6" t="s">
        <v>43</v>
      </c>
      <c r="E59" s="7">
        <v>46098.8275048264</v>
      </c>
      <c r="F59" s="5" t="s">
        <v>20</v>
      </c>
      <c r="G59" s="5" t="s">
        <v>21</v>
      </c>
      <c r="H59" s="5">
        <v>10</v>
      </c>
      <c r="I59" s="11">
        <v>3.3</v>
      </c>
      <c r="J59" s="11">
        <f t="shared" si="4"/>
        <v>33</v>
      </c>
      <c r="K59" s="5">
        <v>10</v>
      </c>
      <c r="L59" s="11">
        <f t="shared" si="5"/>
        <v>33</v>
      </c>
      <c r="M59" s="11"/>
      <c r="N59" s="11"/>
      <c r="O59" s="12" t="s">
        <v>22</v>
      </c>
      <c r="P59" s="12" t="s">
        <v>34</v>
      </c>
    </row>
    <row r="60" ht="22.5" customHeight="1" spans="1:16">
      <c r="A60" s="5" t="s">
        <v>16</v>
      </c>
      <c r="B60" s="5" t="s">
        <v>17</v>
      </c>
      <c r="C60" s="5" t="s">
        <v>61</v>
      </c>
      <c r="D60" s="6" t="s">
        <v>43</v>
      </c>
      <c r="E60" s="7">
        <v>46098.8275074884</v>
      </c>
      <c r="F60" s="5" t="s">
        <v>20</v>
      </c>
      <c r="G60" s="5" t="s">
        <v>21</v>
      </c>
      <c r="H60" s="5">
        <v>23</v>
      </c>
      <c r="I60" s="11">
        <v>3.3</v>
      </c>
      <c r="J60" s="11">
        <f t="shared" si="4"/>
        <v>75.9</v>
      </c>
      <c r="K60" s="5">
        <v>23</v>
      </c>
      <c r="L60" s="11">
        <f t="shared" si="5"/>
        <v>75.9</v>
      </c>
      <c r="M60" s="11"/>
      <c r="N60" s="11"/>
      <c r="O60" s="12" t="s">
        <v>22</v>
      </c>
      <c r="P60" s="12" t="s">
        <v>34</v>
      </c>
    </row>
    <row r="61" ht="22.5" customHeight="1" spans="1:16">
      <c r="A61" s="5" t="s">
        <v>16</v>
      </c>
      <c r="B61" s="5" t="s">
        <v>17</v>
      </c>
      <c r="C61" s="5" t="s">
        <v>61</v>
      </c>
      <c r="D61" s="6" t="s">
        <v>43</v>
      </c>
      <c r="E61" s="7">
        <v>46098.8275074884</v>
      </c>
      <c r="F61" s="5" t="s">
        <v>24</v>
      </c>
      <c r="G61" s="5" t="s">
        <v>25</v>
      </c>
      <c r="H61" s="5">
        <v>1</v>
      </c>
      <c r="I61" s="11">
        <v>3.3</v>
      </c>
      <c r="J61" s="11">
        <f t="shared" si="4"/>
        <v>3.3</v>
      </c>
      <c r="K61" s="5">
        <v>1</v>
      </c>
      <c r="L61" s="11">
        <f t="shared" si="5"/>
        <v>3.3</v>
      </c>
      <c r="M61" s="11"/>
      <c r="N61" s="11"/>
      <c r="O61" s="12" t="s">
        <v>22</v>
      </c>
      <c r="P61" s="12" t="s">
        <v>34</v>
      </c>
    </row>
    <row r="62" ht="22.5" customHeight="1" spans="1:16">
      <c r="A62" s="5" t="s">
        <v>16</v>
      </c>
      <c r="B62" s="5" t="s">
        <v>17</v>
      </c>
      <c r="C62" s="5" t="s">
        <v>62</v>
      </c>
      <c r="D62" s="6" t="s">
        <v>43</v>
      </c>
      <c r="E62" s="7">
        <v>46098.8275101042</v>
      </c>
      <c r="F62" s="5" t="s">
        <v>24</v>
      </c>
      <c r="G62" s="5" t="s">
        <v>25</v>
      </c>
      <c r="H62" s="5">
        <v>1</v>
      </c>
      <c r="I62" s="11">
        <v>3.3</v>
      </c>
      <c r="J62" s="11">
        <f t="shared" si="4"/>
        <v>3.3</v>
      </c>
      <c r="K62" s="5">
        <v>1</v>
      </c>
      <c r="L62" s="11">
        <f t="shared" si="5"/>
        <v>3.3</v>
      </c>
      <c r="M62" s="11"/>
      <c r="N62" s="11"/>
      <c r="O62" s="12" t="s">
        <v>22</v>
      </c>
      <c r="P62" s="12" t="s">
        <v>34</v>
      </c>
    </row>
    <row r="63" ht="22.5" customHeight="1" spans="1:16">
      <c r="A63" s="5" t="s">
        <v>16</v>
      </c>
      <c r="B63" s="5" t="s">
        <v>17</v>
      </c>
      <c r="C63" s="5" t="s">
        <v>62</v>
      </c>
      <c r="D63" s="6" t="s">
        <v>43</v>
      </c>
      <c r="E63" s="7">
        <v>46098.8275101042</v>
      </c>
      <c r="F63" s="5" t="s">
        <v>20</v>
      </c>
      <c r="G63" s="5" t="s">
        <v>21</v>
      </c>
      <c r="H63" s="5">
        <v>13</v>
      </c>
      <c r="I63" s="11">
        <v>3.3</v>
      </c>
      <c r="J63" s="11">
        <f t="shared" si="4"/>
        <v>42.9</v>
      </c>
      <c r="K63" s="5">
        <v>13</v>
      </c>
      <c r="L63" s="11">
        <f t="shared" si="5"/>
        <v>42.9</v>
      </c>
      <c r="M63" s="11"/>
      <c r="N63" s="11"/>
      <c r="O63" s="12" t="s">
        <v>22</v>
      </c>
      <c r="P63" s="12" t="s">
        <v>34</v>
      </c>
    </row>
    <row r="64" ht="22.5" customHeight="1" spans="1:16">
      <c r="A64" s="5" t="s">
        <v>16</v>
      </c>
      <c r="B64" s="5" t="s">
        <v>17</v>
      </c>
      <c r="C64" s="5" t="s">
        <v>63</v>
      </c>
      <c r="D64" s="6" t="s">
        <v>43</v>
      </c>
      <c r="E64" s="7">
        <v>46098.8275128125</v>
      </c>
      <c r="F64" s="5" t="s">
        <v>20</v>
      </c>
      <c r="G64" s="5" t="s">
        <v>21</v>
      </c>
      <c r="H64" s="5">
        <v>15</v>
      </c>
      <c r="I64" s="11">
        <v>3.3</v>
      </c>
      <c r="J64" s="11">
        <f t="shared" si="4"/>
        <v>49.5</v>
      </c>
      <c r="K64" s="5">
        <v>15</v>
      </c>
      <c r="L64" s="11">
        <f t="shared" si="5"/>
        <v>49.5</v>
      </c>
      <c r="M64" s="11"/>
      <c r="N64" s="11"/>
      <c r="O64" s="12" t="s">
        <v>22</v>
      </c>
      <c r="P64" s="12" t="s">
        <v>34</v>
      </c>
    </row>
    <row r="65" ht="22.5" customHeight="1" spans="1:16">
      <c r="A65" s="5" t="s">
        <v>16</v>
      </c>
      <c r="B65" s="5" t="s">
        <v>17</v>
      </c>
      <c r="C65" s="5" t="s">
        <v>63</v>
      </c>
      <c r="D65" s="6" t="s">
        <v>43</v>
      </c>
      <c r="E65" s="7">
        <v>46098.8275128125</v>
      </c>
      <c r="F65" s="5" t="s">
        <v>24</v>
      </c>
      <c r="G65" s="5" t="s">
        <v>25</v>
      </c>
      <c r="H65" s="5">
        <v>1</v>
      </c>
      <c r="I65" s="11">
        <v>3.3</v>
      </c>
      <c r="J65" s="11">
        <f t="shared" si="4"/>
        <v>3.3</v>
      </c>
      <c r="K65" s="5">
        <v>1</v>
      </c>
      <c r="L65" s="11">
        <f t="shared" si="5"/>
        <v>3.3</v>
      </c>
      <c r="M65" s="11"/>
      <c r="N65" s="11"/>
      <c r="O65" s="12" t="s">
        <v>22</v>
      </c>
      <c r="P65" s="12" t="s">
        <v>34</v>
      </c>
    </row>
    <row r="66" ht="22.5" customHeight="1" spans="1:16">
      <c r="A66" s="5" t="s">
        <v>16</v>
      </c>
      <c r="B66" s="5" t="s">
        <v>17</v>
      </c>
      <c r="C66" s="5" t="s">
        <v>64</v>
      </c>
      <c r="D66" s="6" t="s">
        <v>43</v>
      </c>
      <c r="E66" s="7">
        <v>46098.8275155903</v>
      </c>
      <c r="F66" s="5" t="s">
        <v>24</v>
      </c>
      <c r="G66" s="5" t="s">
        <v>25</v>
      </c>
      <c r="H66" s="5">
        <v>1</v>
      </c>
      <c r="I66" s="11">
        <v>3.3</v>
      </c>
      <c r="J66" s="11">
        <f t="shared" si="4"/>
        <v>3.3</v>
      </c>
      <c r="K66" s="5">
        <v>1</v>
      </c>
      <c r="L66" s="11">
        <f t="shared" si="5"/>
        <v>3.3</v>
      </c>
      <c r="M66" s="11"/>
      <c r="N66" s="11"/>
      <c r="O66" s="12" t="s">
        <v>22</v>
      </c>
      <c r="P66" s="12" t="s">
        <v>34</v>
      </c>
    </row>
    <row r="67" ht="22.5" customHeight="1" spans="1:16">
      <c r="A67" s="5" t="s">
        <v>16</v>
      </c>
      <c r="B67" s="5" t="s">
        <v>17</v>
      </c>
      <c r="C67" s="5" t="s">
        <v>64</v>
      </c>
      <c r="D67" s="6" t="s">
        <v>43</v>
      </c>
      <c r="E67" s="7">
        <v>46098.8275155903</v>
      </c>
      <c r="F67" s="5" t="s">
        <v>20</v>
      </c>
      <c r="G67" s="5" t="s">
        <v>21</v>
      </c>
      <c r="H67" s="5">
        <v>23</v>
      </c>
      <c r="I67" s="11">
        <v>3.3</v>
      </c>
      <c r="J67" s="11">
        <f t="shared" si="4"/>
        <v>75.9</v>
      </c>
      <c r="K67" s="5">
        <v>23</v>
      </c>
      <c r="L67" s="11">
        <f t="shared" si="5"/>
        <v>75.9</v>
      </c>
      <c r="M67" s="11"/>
      <c r="N67" s="11"/>
      <c r="O67" s="12" t="s">
        <v>22</v>
      </c>
      <c r="P67" s="12" t="s">
        <v>34</v>
      </c>
    </row>
    <row r="68" ht="22.5" customHeight="1" spans="1:16">
      <c r="A68" s="12"/>
      <c r="B68" s="12"/>
      <c r="C68" s="12" t="s">
        <v>65</v>
      </c>
      <c r="D68" s="12"/>
      <c r="E68" s="19"/>
      <c r="F68" s="12"/>
      <c r="G68" s="12"/>
      <c r="H68" s="11"/>
      <c r="I68" s="11"/>
      <c r="J68" s="11">
        <f t="shared" ref="I68:N68" si="6">SUM(J2:J67)</f>
        <v>2293.8</v>
      </c>
      <c r="K68" s="11"/>
      <c r="L68" s="11">
        <f t="shared" si="6"/>
        <v>2264.1</v>
      </c>
      <c r="M68" s="11">
        <f t="shared" si="6"/>
        <v>83</v>
      </c>
      <c r="N68" s="12">
        <f t="shared" si="6"/>
        <v>29.7</v>
      </c>
      <c r="O68" s="12"/>
      <c r="P68" s="12"/>
    </row>
    <row r="69" ht="22.5" customHeight="1" spans="1:16">
      <c r="A69" s="20"/>
      <c r="B69" s="20"/>
      <c r="C69" s="20"/>
      <c r="D69" s="20"/>
      <c r="E69" s="21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ht="22.5" customHeight="1" spans="1:16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ht="22.5" customHeight="1" spans="1:16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</row>
    <row r="72" ht="22.5" customHeight="1" spans="1:16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ht="22.5" customHeight="1" spans="1:16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ht="22.5" customHeight="1" spans="1:16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ht="22.5" customHeight="1" spans="1:16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ht="22.5" customHeight="1" spans="1:1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</row>
  </sheetData>
  <pageMargins left="0.25" right="0.25" top="0.75" bottom="0.75" header="0.298611111111111" footer="0.298611111111111"/>
  <pageSetup paperSize="9" scale="6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view="pageBreakPreview" zoomScaleNormal="100" workbookViewId="0">
      <selection activeCell="K19" sqref="K18:K19"/>
    </sheetView>
  </sheetViews>
  <sheetFormatPr defaultColWidth="9" defaultRowHeight="13.5"/>
  <cols>
    <col min="1" max="1" width="27.0083333333333" customWidth="1"/>
    <col min="2" max="2" width="16.675" customWidth="1"/>
    <col min="3" max="3" width="27.675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10.0083333333333" customWidth="1"/>
    <col min="10" max="10" width="11.0083333333333" hidden="1" customWidth="1"/>
    <col min="11" max="12" width="17.8416666666667" customWidth="1"/>
    <col min="13" max="14" width="16.0083333333333" hidden="1" customWidth="1"/>
    <col min="15" max="15" width="11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</row>
    <row r="2" ht="22.5" customHeight="1" spans="1:16">
      <c r="A2" s="5" t="s">
        <v>66</v>
      </c>
      <c r="B2" s="5" t="s">
        <v>67</v>
      </c>
      <c r="C2" s="5" t="s">
        <v>68</v>
      </c>
      <c r="D2" s="6" t="s">
        <v>69</v>
      </c>
      <c r="E2" s="7">
        <v>46079.8244016204</v>
      </c>
      <c r="F2" s="5" t="s">
        <v>20</v>
      </c>
      <c r="G2" s="5" t="s">
        <v>21</v>
      </c>
      <c r="H2" s="8">
        <v>9</v>
      </c>
      <c r="I2" s="9">
        <v>3.3</v>
      </c>
      <c r="J2" s="9">
        <f>H2*I2</f>
        <v>29.7</v>
      </c>
      <c r="K2" s="9">
        <v>9</v>
      </c>
      <c r="L2" s="9">
        <v>29.7</v>
      </c>
      <c r="M2" s="9"/>
      <c r="N2" s="9"/>
      <c r="O2" s="10" t="s">
        <v>22</v>
      </c>
      <c r="P2" s="10" t="s">
        <v>34</v>
      </c>
    </row>
    <row r="3" ht="22.5" customHeight="1" spans="1:16">
      <c r="A3" s="5" t="s">
        <v>66</v>
      </c>
      <c r="B3" s="5" t="s">
        <v>67</v>
      </c>
      <c r="C3" s="5" t="s">
        <v>68</v>
      </c>
      <c r="D3" s="6" t="s">
        <v>69</v>
      </c>
      <c r="E3" s="7">
        <v>46079.8244016204</v>
      </c>
      <c r="F3" s="5" t="s">
        <v>24</v>
      </c>
      <c r="G3" s="5" t="s">
        <v>25</v>
      </c>
      <c r="H3" s="8">
        <v>1</v>
      </c>
      <c r="I3" s="9">
        <v>3.3</v>
      </c>
      <c r="J3" s="9">
        <f>H3*I3</f>
        <v>3.3</v>
      </c>
      <c r="K3" s="9">
        <v>1</v>
      </c>
      <c r="L3" s="9">
        <v>3.3</v>
      </c>
      <c r="M3" s="9"/>
      <c r="N3" s="9"/>
      <c r="O3" s="10" t="s">
        <v>22</v>
      </c>
      <c r="P3" s="10" t="s">
        <v>34</v>
      </c>
    </row>
    <row r="4" ht="22.5" customHeight="1" spans="1:16">
      <c r="A4" s="5" t="s">
        <v>66</v>
      </c>
      <c r="B4" s="5" t="s">
        <v>67</v>
      </c>
      <c r="C4" s="5" t="s">
        <v>70</v>
      </c>
      <c r="D4" s="6" t="s">
        <v>69</v>
      </c>
      <c r="E4" s="7">
        <v>46093.9564446759</v>
      </c>
      <c r="F4" s="5" t="s">
        <v>24</v>
      </c>
      <c r="G4" s="5" t="s">
        <v>25</v>
      </c>
      <c r="H4" s="5">
        <v>1</v>
      </c>
      <c r="I4" s="9">
        <v>3.3</v>
      </c>
      <c r="J4" s="9">
        <v>3.3</v>
      </c>
      <c r="K4" s="9">
        <v>1</v>
      </c>
      <c r="L4" s="9">
        <v>3.3</v>
      </c>
      <c r="M4" s="9"/>
      <c r="N4" s="9"/>
      <c r="O4" s="10" t="s">
        <v>22</v>
      </c>
      <c r="P4" s="10" t="s">
        <v>34</v>
      </c>
    </row>
    <row r="5" ht="22.5" customHeight="1" spans="1:16">
      <c r="A5" s="5" t="s">
        <v>66</v>
      </c>
      <c r="B5" s="5" t="s">
        <v>67</v>
      </c>
      <c r="C5" s="5" t="s">
        <v>70</v>
      </c>
      <c r="D5" s="6" t="s">
        <v>69</v>
      </c>
      <c r="E5" s="7">
        <v>46093.9564446759</v>
      </c>
      <c r="F5" s="5" t="s">
        <v>20</v>
      </c>
      <c r="G5" s="5" t="s">
        <v>36</v>
      </c>
      <c r="H5" s="5">
        <v>8</v>
      </c>
      <c r="I5" s="9">
        <v>3.3</v>
      </c>
      <c r="J5" s="9">
        <f>I5*H5</f>
        <v>26.4</v>
      </c>
      <c r="K5" s="9">
        <v>8</v>
      </c>
      <c r="L5" s="9">
        <v>26.4</v>
      </c>
      <c r="M5" s="9"/>
      <c r="N5" s="9"/>
      <c r="O5" s="10" t="s">
        <v>22</v>
      </c>
      <c r="P5" s="10" t="s">
        <v>34</v>
      </c>
    </row>
    <row r="6" ht="22.5" customHeight="1" spans="1:16">
      <c r="A6" s="5" t="s">
        <v>66</v>
      </c>
      <c r="B6" s="5" t="s">
        <v>67</v>
      </c>
      <c r="C6" s="5" t="s">
        <v>71</v>
      </c>
      <c r="D6" s="6" t="s">
        <v>69</v>
      </c>
      <c r="E6" s="7">
        <v>46098.8446399306</v>
      </c>
      <c r="F6" s="5" t="s">
        <v>20</v>
      </c>
      <c r="G6" s="5" t="s">
        <v>21</v>
      </c>
      <c r="H6" s="8">
        <v>9</v>
      </c>
      <c r="I6" s="11">
        <v>3.3</v>
      </c>
      <c r="J6" s="11">
        <f>H6*I6</f>
        <v>29.7</v>
      </c>
      <c r="K6" s="5">
        <v>9</v>
      </c>
      <c r="L6" s="11">
        <f>K6*3.3</f>
        <v>29.7</v>
      </c>
      <c r="M6" s="11"/>
      <c r="N6" s="11"/>
      <c r="O6" s="12" t="s">
        <v>22</v>
      </c>
      <c r="P6" s="12" t="s">
        <v>34</v>
      </c>
    </row>
    <row r="7" ht="22.5" customHeight="1" spans="1:16">
      <c r="A7" s="5" t="s">
        <v>66</v>
      </c>
      <c r="B7" s="5" t="s">
        <v>67</v>
      </c>
      <c r="C7" s="5" t="s">
        <v>71</v>
      </c>
      <c r="D7" s="6" t="s">
        <v>69</v>
      </c>
      <c r="E7" s="7">
        <v>46098.8446399306</v>
      </c>
      <c r="F7" s="5" t="s">
        <v>24</v>
      </c>
      <c r="G7" s="5" t="s">
        <v>25</v>
      </c>
      <c r="H7" s="8">
        <v>1</v>
      </c>
      <c r="I7" s="11">
        <v>3.3</v>
      </c>
      <c r="J7" s="11">
        <f>H7*I7</f>
        <v>3.3</v>
      </c>
      <c r="K7" s="5">
        <v>1</v>
      </c>
      <c r="L7" s="11">
        <f>K7*3.3</f>
        <v>3.3</v>
      </c>
      <c r="M7" s="11"/>
      <c r="N7" s="11"/>
      <c r="O7" s="12" t="s">
        <v>22</v>
      </c>
      <c r="P7" s="12" t="s">
        <v>34</v>
      </c>
    </row>
    <row r="8" ht="22.5" customHeight="1" spans="1:16">
      <c r="A8" s="12"/>
      <c r="B8" s="12"/>
      <c r="C8" s="12" t="s">
        <v>65</v>
      </c>
      <c r="D8" s="12"/>
      <c r="E8" s="12"/>
      <c r="F8" s="12"/>
      <c r="G8" s="12"/>
      <c r="H8" s="12"/>
      <c r="I8" s="11"/>
      <c r="J8" s="11">
        <f t="shared" ref="H8:N8" si="0">SUM(J2:J7)</f>
        <v>95.7</v>
      </c>
      <c r="K8" s="11"/>
      <c r="L8" s="11">
        <f t="shared" si="0"/>
        <v>95.7</v>
      </c>
      <c r="M8" s="11">
        <f t="shared" si="0"/>
        <v>0</v>
      </c>
      <c r="N8" s="11">
        <f t="shared" si="0"/>
        <v>0</v>
      </c>
      <c r="O8" s="12"/>
      <c r="P8" s="12"/>
    </row>
    <row r="9" spans="1:16">
      <c r="I9" s="13"/>
      <c r="J9" s="13"/>
      <c r="K9" s="13"/>
      <c r="L9" s="13"/>
      <c r="M9" s="13"/>
      <c r="N9" s="13"/>
    </row>
  </sheetData>
  <pageMargins left="0.25" right="0.25" top="0.75" bottom="0.75" header="0.298611111111111" footer="0.298611111111111"/>
  <pageSetup paperSize="9" scale="7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国药</vt:lpstr>
      <vt:lpstr>耀旭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2026-03-30T04:18:12Z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6645F0E9EC754973AD7E8150C3E9E91C_12</vt:lpwstr>
  </property>
  <property fmtid="{D5CDD505-2E9C-101B-9397-08002B2CF9AE}" pid="4" name="CalculationRule">
    <vt:i4>0</vt:i4>
  </property>
</Properties>
</file>