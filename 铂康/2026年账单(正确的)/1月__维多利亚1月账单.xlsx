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3"/>
  </bookViews>
  <sheets>
    <sheet name="分娩室" sheetId="1" r:id="rId1"/>
    <sheet name="门诊手术室" sheetId="3" r:id="rId2"/>
    <sheet name="手术室" sheetId="4" r:id="rId3"/>
    <sheet name="加急" sheetId="5" r:id="rId4"/>
  </sheets>
  <definedNames>
    <definedName name="_xlnm._FilterDatabase" localSheetId="0" hidden="1">分娩室!$A$9:$K$29</definedName>
    <definedName name="_xlnm._FilterDatabase" localSheetId="1" hidden="1">门诊手术室!$A$7:$K$103</definedName>
    <definedName name="_xlnm._FilterDatabase" localSheetId="2" hidden="1">手术室!$A$7:$K$77</definedName>
    <definedName name="_xlnm._FilterDatabase" localSheetId="3" hidden="1">加急!$A$21:$H$44</definedName>
    <definedName name="_xlnm.Print_Titles" localSheetId="0">分娩室!$1:$6</definedName>
    <definedName name="_xlnm.Print_Titles" localSheetId="1">门诊手术室!$1:$6</definedName>
    <definedName name="_xlnm.Print_Titles" localSheetId="2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<sst xmlns="http://schemas.openxmlformats.org/spreadsheetml/2006/main" count="517" uniqueCount="91">
  <si>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</si>
  <si>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</si>
  <si>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</si>
  <si>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黑龙江维多利亚妇产医院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</si>
  <si>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</si>
  <si>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</si>
  <si>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</si>
  <si>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</si>
  <si>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</si>
  <si>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</si>
  <si>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</si>
  <si>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</si>
  <si>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分娩室</t>
  </si>
  <si>
    <t>器械包(ZSD)</t>
  </si>
  <si>
    <t>中引包</t>
  </si>
  <si>
    <t>子痫包（4件）</t>
  </si>
  <si>
    <t>额外包(无纺布)</t>
  </si>
  <si>
    <t>产钳-2/W6050</t>
  </si>
  <si>
    <t>剖宫产-3件</t>
  </si>
  <si>
    <t>额外包(纸塑袋)</t>
  </si>
  <si>
    <t>带架方盘-2/Z3044</t>
  </si>
  <si>
    <t>器械包</t>
  </si>
  <si>
    <t>正常产包</t>
  </si>
  <si>
    <t>额外包(低温等离子)</t>
  </si>
  <si>
    <t>胎头吸引器-1/Z2045</t>
  </si>
  <si>
    <t>阴道拉钩-6/W6050</t>
  </si>
  <si>
    <t>卵圆钳3持针器1拉钩2/W6050</t>
  </si>
  <si>
    <t>门诊手术室</t>
  </si>
  <si>
    <t>刮勺-1/Z7530</t>
  </si>
  <si>
    <t>扩棒（8.5-10）-4/Z7530</t>
  </si>
  <si>
    <t>脑膜剪-1/Z1029</t>
  </si>
  <si>
    <t>镊子-1/Z7534</t>
  </si>
  <si>
    <t>上环器-1/Z1035</t>
  </si>
  <si>
    <t>小拉钩-2/Z7526</t>
  </si>
  <si>
    <t>止血钳-1/Z1029</t>
  </si>
  <si>
    <t>盘2碗2/W9050</t>
  </si>
  <si>
    <t>整形包</t>
  </si>
  <si>
    <t>单包装包</t>
  </si>
  <si>
    <t>弯盘-1/Z2032</t>
  </si>
  <si>
    <t>剪刀-1/Z1029</t>
  </si>
  <si>
    <t>碗-1/Z2530</t>
  </si>
  <si>
    <t>碗2 /z2530</t>
  </si>
  <si>
    <t>人流包</t>
  </si>
  <si>
    <t>门手-宫腔镜包</t>
  </si>
  <si>
    <t>持物钳罐-2/Z2044</t>
  </si>
  <si>
    <t>棉球缸-1/Z2530</t>
  </si>
  <si>
    <t>清宫包-20/W12050</t>
  </si>
  <si>
    <t>修复器械-7件/W6050</t>
  </si>
  <si>
    <t>取环器（高温）-1/Z1535</t>
  </si>
  <si>
    <t>换药包-3/W6050</t>
  </si>
  <si>
    <t>盆1碗1杯1/W6050</t>
  </si>
  <si>
    <t>取环包-13/W6050</t>
  </si>
  <si>
    <t>上取环包-13/W6050</t>
  </si>
  <si>
    <t>处修包-27筐1/W12050</t>
  </si>
  <si>
    <t>敷料包(纸塑袋)</t>
  </si>
  <si>
    <t>棉球/Z1526</t>
  </si>
  <si>
    <t>宫颈包-7</t>
  </si>
  <si>
    <t>弯盘2镊子2/W6050</t>
  </si>
  <si>
    <t>整形包-25件/W12050</t>
  </si>
  <si>
    <t>大纱布/Z1526</t>
  </si>
  <si>
    <t>纱布/Z1026</t>
  </si>
  <si>
    <t>碗2盘2杯1/Z6050</t>
  </si>
  <si>
    <t>病理钳-1/Z2032</t>
  </si>
  <si>
    <t>3D钩-2件/Z1530</t>
  </si>
  <si>
    <t>拆线包</t>
  </si>
  <si>
    <t>处修包-25件/W9050</t>
  </si>
  <si>
    <t>手术室</t>
  </si>
  <si>
    <t>妇科包15件</t>
  </si>
  <si>
    <t>腹腔镜包</t>
  </si>
  <si>
    <t>宫腔镜包</t>
  </si>
  <si>
    <t>修补包</t>
  </si>
  <si>
    <t>计划生育包</t>
  </si>
  <si>
    <t>盆2杯1/W6050</t>
  </si>
  <si>
    <t>盆2盘2碗1/W9050</t>
  </si>
  <si>
    <t>特殊修补包-17/W6050</t>
  </si>
  <si>
    <t>器械包(低温等离子)</t>
  </si>
  <si>
    <t>腹腔镜器械（二套）</t>
  </si>
  <si>
    <t>妇科包-15件</t>
  </si>
  <si>
    <t>剖腹包</t>
  </si>
  <si>
    <t>碗2杯1/Z2530</t>
  </si>
  <si>
    <t>剖宫产包</t>
  </si>
  <si>
    <t>腹腔镜器械</t>
  </si>
  <si>
    <t>计生包</t>
  </si>
  <si>
    <t>弯钳-2/Z1526</t>
  </si>
  <si>
    <t>硬剪刀-1/z1560</t>
  </si>
  <si>
    <t>黑龙江维多利亚妇产医院2026年1月加急灭菌费合计5699.38元，加急物流费合计300元，总计金额5999.38元。</t>
  </si>
  <si>
    <t>黑龙江维多利亚妇产医院2026年1月18日加急灭菌费1523.5+1523.5*25%=1904.38元，加急物流费150元，合计金额2054.38元。</t>
  </si>
  <si>
    <t>3D钩-1/Z1026</t>
  </si>
  <si>
    <t>合计</t>
  </si>
  <si>
    <t>黑龙江维多利亚妇产医院2026年1月24日加急灭菌费3036+3036*25%=3795元，加急物流费150元，合计金额3945元。</t>
  </si>
  <si>
    <t>带架方盘-3件/Z3044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</si>
</sst>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31">
    <font>
      <sz val="11"/>
      <name val="宋体"/>
      <charset val="134"/>
      <scheme val="minor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</cellStyleXfs>
  <cellXfs count="26">
    <xf numFmtId="0" fontId="0" fillId="0" borderId="0" xfId="0" applyFont="1" applyFill="1" applyBorder="1" applyAlignment="1"/>
    <xf numFmtId="0" fontId="1" fillId="0" borderId="0" xfId="0" applyNumberFormat="1" applyFont="1" applyFill="1" applyAlignment="1">
      <alignment horizontal="center" vertical="center" wrapText="1" readingOrder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76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177" fontId="4" fillId="0" borderId="1" xfId="0" applyNumberFormat="1" applyFont="1" applyFill="1" applyBorder="1" applyAlignment="1">
      <alignment horizontal="center" vertical="top" wrapText="1" readingOrder="1"/>
    </xf>
    <xf numFmtId="0" fontId="0" fillId="0" borderId="1" xfId="0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0" borderId="2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horizontal="center" vertical="top" wrapText="1" readingOrder="1"/>
    </xf>
    <xf numFmtId="0" fontId="7" fillId="2" borderId="4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7" fillId="2" borderId="4" xfId="0" applyNumberFormat="1" applyFont="1" applyFill="1" applyBorder="1" applyAlignment="1">
      <alignment horizontal="center" vertical="top" wrapText="1" readingOrder="1"/>
    </xf>
    <xf numFmtId="177" fontId="7" fillId="2" borderId="4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vertical="top" wrapText="1" readingOrder="1"/>
    </xf>
    <xf numFmtId="0" fontId="4" fillId="0" borderId="4" xfId="0" applyNumberFormat="1" applyFont="1" applyFill="1" applyBorder="1" applyAlignment="1">
      <alignment vertical="top" wrapText="1" readingOrder="1"/>
    </xf>
    <xf numFmtId="0" fontId="4" fillId="0" borderId="4" xfId="0" applyNumberFormat="1" applyFont="1" applyFill="1" applyBorder="1" applyAlignment="1">
      <alignment horizontal="center" vertical="top" wrapText="1" readingOrder="1"/>
    </xf>
    <xf numFmtId="177" fontId="4" fillId="0" borderId="4" xfId="0" applyNumberFormat="1" applyFont="1" applyFill="1" applyBorder="1" applyAlignment="1">
      <alignment horizontal="center" vertical="top" wrapText="1" readingOrder="1"/>
    </xf>
    <xf numFmtId="0" fontId="8" fillId="3" borderId="4" xfId="0" applyNumberFormat="1" applyFont="1" applyFill="1" applyBorder="1" applyAlignment="1">
      <alignment vertical="top" wrapText="1" readingOrder="1"/>
    </xf>
    <xf numFmtId="0" fontId="9" fillId="3" borderId="4" xfId="0" applyNumberFormat="1" applyFont="1" applyFill="1" applyBorder="1" applyAlignment="1">
      <alignment horizontal="center" vertical="top" wrapText="1" readingOrder="1"/>
    </xf>
    <xf numFmtId="177" fontId="9" fillId="3" borderId="4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323215</xdr:colOff>
      <xdr:row>1</xdr:row>
      <xdr:rowOff>38100</xdr:rowOff>
    </xdr:from>
    <xdr:to>
      <xdr:col>9</xdr:col>
      <xdr:colOff>833203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159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237490</xdr:colOff>
      <xdr:row>0</xdr:row>
      <xdr:rowOff>161925</xdr:rowOff>
    </xdr:from>
    <xdr:to>
      <xdr:col>9</xdr:col>
      <xdr:colOff>747478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026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1</xdr:row>
      <xdr:rowOff>0</xdr:rowOff>
    </xdr:from>
    <xdr:to>
      <xdr:col>9</xdr:col>
      <xdr:colOff>766528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showGridLines="0" view="pageBreakPreview" zoomScaleNormal="100" workbookViewId="0">
      <pane ySplit="6" topLeftCell="A7" activePane="bottomLeft" state="frozen"/>
      <selection/>
      <selection pane="bottomLeft" activeCell="O28" sqref="O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9" t="s">
        <v>0</v>
      </c>
    </row>
    <row r="2" ht="23.05" customHeight="1"/>
    <row r="3" ht="2" customHeight="1"/>
    <row r="4" ht="15.2" customHeight="1" spans="2:11">
      <c r="B4" s="10" t="s">
        <v>1</v>
      </c>
    </row>
    <row r="6" ht="2.95" customHeight="1"/>
    <row r="7" ht="3.95" customHeight="1" spans="2:11">
      <c r="B7" s="12" t="s">
        <v>2</v>
      </c>
      <c r="C7" s="12" t="s">
        <v>2</v>
      </c>
      <c r="D7" s="12" t="s">
        <v>2</v>
      </c>
      <c r="E7" s="12" t="s">
        <v>2</v>
      </c>
      <c r="F7" s="12" t="s">
        <v>2</v>
      </c>
      <c r="G7" s="12" t="s">
        <v>2</v>
      </c>
      <c r="H7" s="12" t="s">
        <v>2</v>
      </c>
      <c r="I7" s="12" t="s">
        <v>2</v>
      </c>
      <c r="J7" s="12" t="s">
        <v>2</v>
      </c>
      <c r="K7" s="12" t="s">
        <v>2</v>
      </c>
    </row>
    <row r="8" ht="15" spans="2:11">
      <c r="C8" s="11" t="s">
        <v>2</v>
      </c>
      <c r="D8" s="23" t="s">
        <v>3</v>
      </c>
      <c r="E8" s="16" t="s">
        <v>2</v>
      </c>
      <c r="F8" s="16" t="s">
        <v>2</v>
      </c>
      <c r="G8" s="16" t="s">
        <v>2</v>
      </c>
      <c r="H8" s="16" t="s">
        <v>2</v>
      </c>
      <c r="I8" s="24"/>
      <c r="J8" s="25"/>
      <c r="K8" s="25"/>
    </row>
    <row r="9" spans="2:11">
      <c r="C9" s="11" t="s">
        <v>2</v>
      </c>
      <c r="D9" s="21" t="s">
        <v>4</v>
      </c>
      <c r="E9" s="21" t="s">
        <v>5</v>
      </c>
      <c r="F9" s="21" t="s">
        <v>6</v>
      </c>
      <c r="G9" s="21" t="s">
        <v>7</v>
      </c>
      <c r="H9" s="21" t="s">
        <v>8</v>
      </c>
      <c r="I9" s="21" t="s">
        <v>9</v>
      </c>
      <c r="J9" s="21" t="s">
        <v>10</v>
      </c>
      <c r="K9" s="21" t="s">
        <v>11</v>
      </c>
    </row>
    <row r="10" ht="14.25" spans="2:11">
      <c r="D10" s="15" t="s">
        <v>12</v>
      </c>
      <c r="E10" s="16" t="s">
        <v>2</v>
      </c>
      <c r="F10" s="16" t="s">
        <v>2</v>
      </c>
      <c r="G10" s="16" t="s">
        <v>2</v>
      </c>
      <c r="H10" s="16" t="s">
        <v>2</v>
      </c>
      <c r="I10" s="17">
        <v>32</v>
      </c>
      <c r="J10" s="18"/>
      <c r="K10" s="18">
        <f>SUM(K11:K29)</f>
        <v>778</v>
      </c>
    </row>
    <row r="11" spans="2:11">
      <c r="D11" s="19">
        <v>46027</v>
      </c>
      <c r="E11" s="20">
        <v>1567817</v>
      </c>
      <c r="F11" s="20" t="s">
        <v>13</v>
      </c>
      <c r="G11" s="21">
        <v>20353322</v>
      </c>
      <c r="H11" s="20" t="s">
        <v>14</v>
      </c>
      <c r="I11" s="21">
        <v>2</v>
      </c>
      <c r="J11" s="22">
        <v>22</v>
      </c>
      <c r="K11" s="22">
        <f t="shared" ref="K11:K29" si="0">I11*J11</f>
        <v>44</v>
      </c>
    </row>
    <row r="12" spans="2:11">
      <c r="D12" s="19">
        <v>46031</v>
      </c>
      <c r="E12" s="20">
        <v>1569244</v>
      </c>
      <c r="F12" s="20" t="s">
        <v>13</v>
      </c>
      <c r="G12" s="21">
        <v>20003278</v>
      </c>
      <c r="H12" s="20" t="s">
        <v>15</v>
      </c>
      <c r="I12" s="21">
        <v>1</v>
      </c>
      <c r="J12" s="22">
        <v>22</v>
      </c>
      <c r="K12" s="22">
        <f t="shared" si="0"/>
        <v>22</v>
      </c>
    </row>
    <row r="13" spans="2:11">
      <c r="D13" s="19">
        <v>46034</v>
      </c>
      <c r="E13" s="20">
        <v>1569703</v>
      </c>
      <c r="F13" s="20" t="s">
        <v>16</v>
      </c>
      <c r="G13" s="21">
        <v>20007991</v>
      </c>
      <c r="H13" s="20" t="s">
        <v>17</v>
      </c>
      <c r="I13" s="21">
        <v>1</v>
      </c>
      <c r="J13" s="22">
        <v>16.5</v>
      </c>
      <c r="K13" s="22">
        <f t="shared" si="0"/>
        <v>16.5</v>
      </c>
    </row>
    <row r="14" spans="2:11">
      <c r="D14" s="19">
        <v>46036</v>
      </c>
      <c r="E14" s="20">
        <v>1570433</v>
      </c>
      <c r="F14" s="20" t="s">
        <v>13</v>
      </c>
      <c r="G14" s="21">
        <v>20004647</v>
      </c>
      <c r="H14" s="20" t="s">
        <v>18</v>
      </c>
      <c r="I14" s="21">
        <v>1</v>
      </c>
      <c r="J14" s="22">
        <v>16.5</v>
      </c>
      <c r="K14" s="22">
        <f t="shared" si="0"/>
        <v>16.5</v>
      </c>
    </row>
    <row r="15" spans="2:11">
      <c r="D15" s="19">
        <v>46037</v>
      </c>
      <c r="E15" s="20">
        <v>1570883</v>
      </c>
      <c r="F15" s="20" t="s">
        <v>19</v>
      </c>
      <c r="G15" s="21">
        <v>20357697</v>
      </c>
      <c r="H15" s="20" t="s">
        <v>20</v>
      </c>
      <c r="I15" s="21">
        <v>2</v>
      </c>
      <c r="J15" s="22">
        <v>16.5</v>
      </c>
      <c r="K15" s="22">
        <f t="shared" si="0"/>
        <v>33</v>
      </c>
    </row>
    <row r="16" spans="2:11">
      <c r="D16" s="19">
        <v>46037</v>
      </c>
      <c r="E16" s="20">
        <v>1570883</v>
      </c>
      <c r="F16" s="20" t="s">
        <v>13</v>
      </c>
      <c r="G16" s="21">
        <v>20004647</v>
      </c>
      <c r="H16" s="20" t="s">
        <v>18</v>
      </c>
      <c r="I16" s="21">
        <v>1</v>
      </c>
      <c r="J16" s="22">
        <v>16.5</v>
      </c>
      <c r="K16" s="22">
        <f t="shared" si="0"/>
        <v>16.5</v>
      </c>
    </row>
    <row r="17" spans="4:11">
      <c r="D17" s="19">
        <v>46041</v>
      </c>
      <c r="E17" s="20">
        <v>1571741</v>
      </c>
      <c r="F17" s="20" t="s">
        <v>13</v>
      </c>
      <c r="G17" s="21">
        <v>20004647</v>
      </c>
      <c r="H17" s="20" t="s">
        <v>18</v>
      </c>
      <c r="I17" s="21">
        <v>1</v>
      </c>
      <c r="J17" s="22">
        <v>16.5</v>
      </c>
      <c r="K17" s="22">
        <f t="shared" si="0"/>
        <v>16.5</v>
      </c>
    </row>
    <row r="18" spans="4:11">
      <c r="D18" s="19">
        <v>46042</v>
      </c>
      <c r="E18" s="20">
        <v>1572021</v>
      </c>
      <c r="F18" s="20" t="s">
        <v>13</v>
      </c>
      <c r="G18" s="21">
        <v>20004647</v>
      </c>
      <c r="H18" s="20" t="s">
        <v>18</v>
      </c>
      <c r="I18" s="21">
        <v>1</v>
      </c>
      <c r="J18" s="22">
        <v>16.5</v>
      </c>
      <c r="K18" s="22">
        <f t="shared" si="0"/>
        <v>16.5</v>
      </c>
    </row>
    <row r="19" spans="4:11">
      <c r="D19" s="19">
        <v>46044</v>
      </c>
      <c r="E19" s="20">
        <v>1572760</v>
      </c>
      <c r="F19" s="20" t="s">
        <v>21</v>
      </c>
      <c r="G19" s="21">
        <v>20004648</v>
      </c>
      <c r="H19" s="20" t="s">
        <v>22</v>
      </c>
      <c r="I19" s="21">
        <v>3</v>
      </c>
      <c r="J19" s="22">
        <v>49.5</v>
      </c>
      <c r="K19" s="22">
        <f t="shared" si="0"/>
        <v>148.5</v>
      </c>
    </row>
    <row r="20" spans="4:11">
      <c r="D20" s="19">
        <v>46044</v>
      </c>
      <c r="E20" s="20">
        <v>1572760</v>
      </c>
      <c r="F20" s="20" t="s">
        <v>13</v>
      </c>
      <c r="G20" s="21">
        <v>20004647</v>
      </c>
      <c r="H20" s="20" t="s">
        <v>18</v>
      </c>
      <c r="I20" s="21">
        <v>3</v>
      </c>
      <c r="J20" s="22">
        <v>16.5</v>
      </c>
      <c r="K20" s="22">
        <f t="shared" si="0"/>
        <v>49.5</v>
      </c>
    </row>
    <row r="21" spans="4:11">
      <c r="D21" s="19">
        <v>46045</v>
      </c>
      <c r="E21" s="20">
        <v>1573097</v>
      </c>
      <c r="F21" s="20" t="s">
        <v>23</v>
      </c>
      <c r="G21" s="21">
        <v>20320745</v>
      </c>
      <c r="H21" s="20" t="s">
        <v>24</v>
      </c>
      <c r="I21" s="21">
        <v>5</v>
      </c>
      <c r="J21" s="22">
        <v>28</v>
      </c>
      <c r="K21" s="22">
        <f t="shared" si="0"/>
        <v>140</v>
      </c>
    </row>
    <row r="22" spans="4:11">
      <c r="D22" s="19">
        <v>46045</v>
      </c>
      <c r="E22" s="20">
        <v>1573164</v>
      </c>
      <c r="F22" s="20" t="s">
        <v>13</v>
      </c>
      <c r="G22" s="21">
        <v>20004647</v>
      </c>
      <c r="H22" s="20" t="s">
        <v>18</v>
      </c>
      <c r="I22" s="21">
        <v>1</v>
      </c>
      <c r="J22" s="22">
        <v>16.5</v>
      </c>
      <c r="K22" s="22">
        <f t="shared" si="0"/>
        <v>16.5</v>
      </c>
    </row>
    <row r="23" spans="4:11">
      <c r="D23" s="19">
        <v>46045</v>
      </c>
      <c r="E23" s="20">
        <v>1573164</v>
      </c>
      <c r="F23" s="20" t="s">
        <v>13</v>
      </c>
      <c r="G23" s="21">
        <v>20003278</v>
      </c>
      <c r="H23" s="20" t="s">
        <v>15</v>
      </c>
      <c r="I23" s="21">
        <v>1</v>
      </c>
      <c r="J23" s="22">
        <v>22</v>
      </c>
      <c r="K23" s="22">
        <f t="shared" si="0"/>
        <v>22</v>
      </c>
    </row>
    <row r="24" spans="4:11">
      <c r="D24" s="19">
        <v>46048</v>
      </c>
      <c r="E24" s="20">
        <v>1573596</v>
      </c>
      <c r="F24" s="20" t="s">
        <v>21</v>
      </c>
      <c r="G24" s="21">
        <v>20004648</v>
      </c>
      <c r="H24" s="20" t="s">
        <v>22</v>
      </c>
      <c r="I24" s="21">
        <v>1</v>
      </c>
      <c r="J24" s="22">
        <v>49.5</v>
      </c>
      <c r="K24" s="22">
        <f t="shared" si="0"/>
        <v>49.5</v>
      </c>
    </row>
    <row r="25" spans="4:11">
      <c r="D25" s="19">
        <v>46048</v>
      </c>
      <c r="E25" s="20">
        <v>1573596</v>
      </c>
      <c r="F25" s="20" t="s">
        <v>13</v>
      </c>
      <c r="G25" s="21">
        <v>20004647</v>
      </c>
      <c r="H25" s="20" t="s">
        <v>18</v>
      </c>
      <c r="I25" s="21">
        <v>3</v>
      </c>
      <c r="J25" s="22">
        <v>16.5</v>
      </c>
      <c r="K25" s="22">
        <f t="shared" si="0"/>
        <v>49.5</v>
      </c>
    </row>
    <row r="26" spans="4:11">
      <c r="D26" s="19">
        <v>46048</v>
      </c>
      <c r="E26" s="20">
        <v>1573596</v>
      </c>
      <c r="F26" s="20" t="s">
        <v>13</v>
      </c>
      <c r="G26" s="21">
        <v>20353322</v>
      </c>
      <c r="H26" s="20" t="s">
        <v>14</v>
      </c>
      <c r="I26" s="21">
        <v>1</v>
      </c>
      <c r="J26" s="22">
        <v>22</v>
      </c>
      <c r="K26" s="22">
        <f t="shared" si="0"/>
        <v>22</v>
      </c>
    </row>
    <row r="27" spans="4:11">
      <c r="D27" s="19">
        <v>46048</v>
      </c>
      <c r="E27" s="20">
        <v>1573596</v>
      </c>
      <c r="F27" s="20" t="s">
        <v>16</v>
      </c>
      <c r="G27" s="21">
        <v>20354982</v>
      </c>
      <c r="H27" s="20" t="s">
        <v>25</v>
      </c>
      <c r="I27" s="21">
        <v>1</v>
      </c>
      <c r="J27" s="22">
        <v>33</v>
      </c>
      <c r="K27" s="22">
        <f t="shared" si="0"/>
        <v>33</v>
      </c>
    </row>
    <row r="28" spans="4:11">
      <c r="D28" s="19">
        <v>46049</v>
      </c>
      <c r="E28" s="20">
        <v>1574016</v>
      </c>
      <c r="F28" s="20" t="s">
        <v>13</v>
      </c>
      <c r="G28" s="21">
        <v>20004647</v>
      </c>
      <c r="H28" s="20" t="s">
        <v>18</v>
      </c>
      <c r="I28" s="21">
        <v>2</v>
      </c>
      <c r="J28" s="22">
        <v>16.5</v>
      </c>
      <c r="K28" s="22">
        <f t="shared" si="0"/>
        <v>33</v>
      </c>
    </row>
    <row r="29" spans="4:11">
      <c r="D29" s="19">
        <v>46049</v>
      </c>
      <c r="E29" s="20">
        <v>1574016</v>
      </c>
      <c r="F29" s="20" t="s">
        <v>16</v>
      </c>
      <c r="G29" s="21">
        <v>20317954</v>
      </c>
      <c r="H29" s="20" t="s">
        <v>26</v>
      </c>
      <c r="I29" s="21">
        <v>1</v>
      </c>
      <c r="J29" s="22">
        <v>33</v>
      </c>
      <c r="K29" s="22">
        <f t="shared" si="0"/>
        <v>33</v>
      </c>
    </row>
  </sheetData>
  <autoFilter xmlns:etc="http://www.wps.cn/officeDocument/2017/etCustomData" ref="A9:K29" etc:filterBottomFollowUsedRange="0">
    <extLst/>
  </autoFilter>
  <mergeCells count="6">
    <mergeCell ref="D8:H8"/>
    <mergeCell ref="D10:H10"/>
    <mergeCell ref="C9:C29"/>
    <mergeCell ref="B4:H5"/>
    <mergeCell ref="C1:H2"/>
    <mergeCell ref="A8:B29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12:28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3"/>
  <sheetViews>
    <sheetView showGridLines="0" view="pageBreakPreview" zoomScaleNormal="100" workbookViewId="0">
      <pane ySplit="6" topLeftCell="A97" activePane="bottomLeft" state="frozen"/>
      <selection/>
      <selection pane="bottomLeft" activeCell="K9" sqref="K9:K1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9" t="s">
        <v>0</v>
      </c>
    </row>
    <row r="2" ht="23.05" customHeight="1"/>
    <row r="3" ht="2" customHeight="1"/>
    <row r="4" ht="15.2" customHeight="1" spans="1:11">
      <c r="B4" s="10" t="s">
        <v>1</v>
      </c>
    </row>
    <row r="6" ht="2.95" customHeight="1"/>
    <row r="7" spans="1:11">
      <c r="A7" s="11" t="s">
        <v>2</v>
      </c>
      <c r="B7" s="12" t="s">
        <v>2</v>
      </c>
      <c r="C7" s="13" t="s">
        <v>2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4" t="s">
        <v>10</v>
      </c>
      <c r="K7" s="14" t="s">
        <v>11</v>
      </c>
    </row>
    <row r="8" ht="14.25" spans="1:11">
      <c r="D8" s="15" t="s">
        <v>27</v>
      </c>
      <c r="E8" s="16" t="s">
        <v>2</v>
      </c>
      <c r="F8" s="16" t="s">
        <v>2</v>
      </c>
      <c r="G8" s="16" t="s">
        <v>2</v>
      </c>
      <c r="H8" s="16" t="s">
        <v>2</v>
      </c>
      <c r="I8" s="17">
        <v>196</v>
      </c>
      <c r="J8" s="18"/>
      <c r="K8" s="18">
        <f>SUM(K9:K103)</f>
        <v>10963.5</v>
      </c>
    </row>
    <row r="9" spans="1:11">
      <c r="D9" s="19">
        <v>46028</v>
      </c>
      <c r="E9" s="20">
        <v>1568138</v>
      </c>
      <c r="F9" s="20" t="s">
        <v>19</v>
      </c>
      <c r="G9" s="21">
        <v>20357697</v>
      </c>
      <c r="H9" s="20" t="s">
        <v>20</v>
      </c>
      <c r="I9" s="21">
        <v>1</v>
      </c>
      <c r="J9" s="22">
        <v>16.5</v>
      </c>
      <c r="K9" s="22">
        <f t="shared" ref="K9:K32" si="0">I9*J9</f>
        <v>16.5</v>
      </c>
    </row>
    <row r="10" spans="1:11">
      <c r="D10" s="19">
        <v>46028</v>
      </c>
      <c r="E10" s="20">
        <v>1568138</v>
      </c>
      <c r="F10" s="20" t="s">
        <v>19</v>
      </c>
      <c r="G10" s="21">
        <v>20008369</v>
      </c>
      <c r="H10" s="20" t="s">
        <v>28</v>
      </c>
      <c r="I10" s="21">
        <v>1</v>
      </c>
      <c r="J10" s="22">
        <v>8</v>
      </c>
      <c r="K10" s="22">
        <f t="shared" si="0"/>
        <v>8</v>
      </c>
    </row>
    <row r="11" spans="1:11">
      <c r="D11" s="19">
        <v>46028</v>
      </c>
      <c r="E11" s="20">
        <v>1568138</v>
      </c>
      <c r="F11" s="20" t="s">
        <v>19</v>
      </c>
      <c r="G11" s="21">
        <v>20341688</v>
      </c>
      <c r="H11" s="20" t="s">
        <v>29</v>
      </c>
      <c r="I11" s="21">
        <v>1</v>
      </c>
      <c r="J11" s="22">
        <v>22</v>
      </c>
      <c r="K11" s="22">
        <f t="shared" si="0"/>
        <v>22</v>
      </c>
    </row>
    <row r="12" spans="1:11">
      <c r="D12" s="19">
        <v>46028</v>
      </c>
      <c r="E12" s="20">
        <v>1568138</v>
      </c>
      <c r="F12" s="20" t="s">
        <v>19</v>
      </c>
      <c r="G12" s="21">
        <v>20315474</v>
      </c>
      <c r="H12" s="20" t="s">
        <v>30</v>
      </c>
      <c r="I12" s="21">
        <v>1</v>
      </c>
      <c r="J12" s="22">
        <v>8</v>
      </c>
      <c r="K12" s="22">
        <f t="shared" si="0"/>
        <v>8</v>
      </c>
    </row>
    <row r="13" spans="1:11">
      <c r="D13" s="19">
        <v>46028</v>
      </c>
      <c r="E13" s="20">
        <v>1568138</v>
      </c>
      <c r="F13" s="20" t="s">
        <v>19</v>
      </c>
      <c r="G13" s="21">
        <v>20007850</v>
      </c>
      <c r="H13" s="20" t="s">
        <v>31</v>
      </c>
      <c r="I13" s="21">
        <v>1</v>
      </c>
      <c r="J13" s="22">
        <v>8</v>
      </c>
      <c r="K13" s="22">
        <f t="shared" si="0"/>
        <v>8</v>
      </c>
    </row>
    <row r="14" spans="1:11">
      <c r="D14" s="19">
        <v>46028</v>
      </c>
      <c r="E14" s="20">
        <v>1568138</v>
      </c>
      <c r="F14" s="20" t="s">
        <v>19</v>
      </c>
      <c r="G14" s="21">
        <v>20003274</v>
      </c>
      <c r="H14" s="20" t="s">
        <v>32</v>
      </c>
      <c r="I14" s="21">
        <v>1</v>
      </c>
      <c r="J14" s="22">
        <v>8</v>
      </c>
      <c r="K14" s="22">
        <f t="shared" si="0"/>
        <v>8</v>
      </c>
    </row>
    <row r="15" spans="1:11">
      <c r="D15" s="19">
        <v>46028</v>
      </c>
      <c r="E15" s="20">
        <v>1568138</v>
      </c>
      <c r="F15" s="20" t="s">
        <v>19</v>
      </c>
      <c r="G15" s="21">
        <v>20340202</v>
      </c>
      <c r="H15" s="20" t="s">
        <v>33</v>
      </c>
      <c r="I15" s="21">
        <v>1</v>
      </c>
      <c r="J15" s="22">
        <v>13.5</v>
      </c>
      <c r="K15" s="22">
        <f t="shared" si="0"/>
        <v>13.5</v>
      </c>
    </row>
    <row r="16" spans="1:11">
      <c r="D16" s="19">
        <v>46028</v>
      </c>
      <c r="E16" s="20">
        <v>1568138</v>
      </c>
      <c r="F16" s="20" t="s">
        <v>19</v>
      </c>
      <c r="G16" s="21">
        <v>20346271</v>
      </c>
      <c r="H16" s="20" t="s">
        <v>34</v>
      </c>
      <c r="I16" s="21">
        <v>2</v>
      </c>
      <c r="J16" s="22">
        <v>8</v>
      </c>
      <c r="K16" s="22">
        <f t="shared" si="0"/>
        <v>16</v>
      </c>
    </row>
    <row r="17" spans="4:11">
      <c r="D17" s="19">
        <v>46028</v>
      </c>
      <c r="E17" s="20">
        <v>1568138</v>
      </c>
      <c r="F17" s="20" t="s">
        <v>16</v>
      </c>
      <c r="G17" s="21">
        <v>20313910</v>
      </c>
      <c r="H17" s="20" t="s">
        <v>35</v>
      </c>
      <c r="I17" s="21">
        <v>1</v>
      </c>
      <c r="J17" s="22">
        <v>22</v>
      </c>
      <c r="K17" s="22">
        <f t="shared" si="0"/>
        <v>22</v>
      </c>
    </row>
    <row r="18" spans="4:11">
      <c r="D18" s="19">
        <v>46035</v>
      </c>
      <c r="E18" s="20">
        <v>1570095</v>
      </c>
      <c r="F18" s="20" t="s">
        <v>21</v>
      </c>
      <c r="G18" s="21">
        <v>20313909</v>
      </c>
      <c r="H18" s="20" t="s">
        <v>36</v>
      </c>
      <c r="I18" s="21">
        <v>2</v>
      </c>
      <c r="J18" s="22">
        <v>154</v>
      </c>
      <c r="K18" s="22">
        <f t="shared" si="0"/>
        <v>308</v>
      </c>
    </row>
    <row r="19" spans="4:11">
      <c r="D19" s="19">
        <v>46035</v>
      </c>
      <c r="E19" s="20">
        <v>1570148</v>
      </c>
      <c r="F19" s="20" t="s">
        <v>37</v>
      </c>
      <c r="G19" s="21">
        <v>20003280</v>
      </c>
      <c r="H19" s="20" t="s">
        <v>38</v>
      </c>
      <c r="I19" s="21">
        <v>2</v>
      </c>
      <c r="J19" s="22">
        <v>13</v>
      </c>
      <c r="K19" s="22">
        <f t="shared" si="0"/>
        <v>26</v>
      </c>
    </row>
    <row r="20" spans="4:11">
      <c r="D20" s="19">
        <v>46035</v>
      </c>
      <c r="E20" s="20">
        <v>1570148</v>
      </c>
      <c r="F20" s="20" t="s">
        <v>19</v>
      </c>
      <c r="G20" s="21">
        <v>20008369</v>
      </c>
      <c r="H20" s="20" t="s">
        <v>28</v>
      </c>
      <c r="I20" s="21">
        <v>1</v>
      </c>
      <c r="J20" s="22">
        <v>8</v>
      </c>
      <c r="K20" s="22">
        <f t="shared" si="0"/>
        <v>8</v>
      </c>
    </row>
    <row r="21" spans="4:11">
      <c r="D21" s="19">
        <v>46035</v>
      </c>
      <c r="E21" s="20">
        <v>1570148</v>
      </c>
      <c r="F21" s="20" t="s">
        <v>19</v>
      </c>
      <c r="G21" s="21">
        <v>20004752</v>
      </c>
      <c r="H21" s="20" t="s">
        <v>39</v>
      </c>
      <c r="I21" s="21">
        <v>2</v>
      </c>
      <c r="J21" s="22">
        <v>8</v>
      </c>
      <c r="K21" s="22">
        <f t="shared" si="0"/>
        <v>16</v>
      </c>
    </row>
    <row r="22" spans="4:11">
      <c r="D22" s="19">
        <v>46035</v>
      </c>
      <c r="E22" s="20">
        <v>1570148</v>
      </c>
      <c r="F22" s="20" t="s">
        <v>19</v>
      </c>
      <c r="G22" s="21">
        <v>20315474</v>
      </c>
      <c r="H22" s="20" t="s">
        <v>30</v>
      </c>
      <c r="I22" s="21">
        <v>1</v>
      </c>
      <c r="J22" s="22">
        <v>8</v>
      </c>
      <c r="K22" s="22">
        <f t="shared" si="0"/>
        <v>8</v>
      </c>
    </row>
    <row r="23" spans="4:11">
      <c r="D23" s="19">
        <v>46035</v>
      </c>
      <c r="E23" s="20">
        <v>1570148</v>
      </c>
      <c r="F23" s="20" t="s">
        <v>19</v>
      </c>
      <c r="G23" s="21">
        <v>20003274</v>
      </c>
      <c r="H23" s="20" t="s">
        <v>32</v>
      </c>
      <c r="I23" s="21">
        <v>1</v>
      </c>
      <c r="J23" s="22">
        <v>8</v>
      </c>
      <c r="K23" s="22">
        <f t="shared" si="0"/>
        <v>8</v>
      </c>
    </row>
    <row r="24" spans="4:11">
      <c r="D24" s="19">
        <v>46035</v>
      </c>
      <c r="E24" s="20">
        <v>1570148</v>
      </c>
      <c r="F24" s="20" t="s">
        <v>19</v>
      </c>
      <c r="G24" s="21">
        <v>20346020</v>
      </c>
      <c r="H24" s="20" t="s">
        <v>40</v>
      </c>
      <c r="I24" s="21">
        <v>1</v>
      </c>
      <c r="J24" s="22">
        <v>16</v>
      </c>
      <c r="K24" s="22">
        <f t="shared" si="0"/>
        <v>16</v>
      </c>
    </row>
    <row r="25" spans="4:11">
      <c r="D25" s="19">
        <v>46035</v>
      </c>
      <c r="E25" s="20">
        <v>1570148</v>
      </c>
      <c r="F25" s="20" t="s">
        <v>19</v>
      </c>
      <c r="G25" s="21">
        <v>20394368</v>
      </c>
      <c r="H25" s="20" t="s">
        <v>41</v>
      </c>
      <c r="I25" s="21">
        <v>1</v>
      </c>
      <c r="J25" s="22">
        <v>16.5</v>
      </c>
      <c r="K25" s="22">
        <f t="shared" si="0"/>
        <v>16.5</v>
      </c>
    </row>
    <row r="26" spans="4:11">
      <c r="D26" s="19">
        <v>46035</v>
      </c>
      <c r="E26" s="20">
        <v>1570148</v>
      </c>
      <c r="F26" s="20" t="s">
        <v>13</v>
      </c>
      <c r="G26" s="21">
        <v>20004550</v>
      </c>
      <c r="H26" s="20" t="s">
        <v>42</v>
      </c>
      <c r="I26" s="21">
        <v>4</v>
      </c>
      <c r="J26" s="22">
        <v>110</v>
      </c>
      <c r="K26" s="22">
        <f t="shared" si="0"/>
        <v>440</v>
      </c>
    </row>
    <row r="27" spans="4:11">
      <c r="D27" s="19">
        <v>46041</v>
      </c>
      <c r="E27" s="20">
        <v>1571742</v>
      </c>
      <c r="F27" s="20" t="s">
        <v>21</v>
      </c>
      <c r="G27" s="21">
        <v>20007712</v>
      </c>
      <c r="H27" s="20" t="s">
        <v>43</v>
      </c>
      <c r="I27" s="21">
        <v>3</v>
      </c>
      <c r="J27" s="22">
        <v>121</v>
      </c>
      <c r="K27" s="22">
        <f t="shared" si="0"/>
        <v>363</v>
      </c>
    </row>
    <row r="28" spans="4:11">
      <c r="D28" s="19">
        <v>46041</v>
      </c>
      <c r="E28" s="20">
        <v>1571742</v>
      </c>
      <c r="F28" s="20" t="s">
        <v>19</v>
      </c>
      <c r="G28" s="21">
        <v>20007979</v>
      </c>
      <c r="H28" s="20" t="s">
        <v>44</v>
      </c>
      <c r="I28" s="21">
        <v>1</v>
      </c>
      <c r="J28" s="22">
        <v>16.5</v>
      </c>
      <c r="K28" s="22">
        <f t="shared" si="0"/>
        <v>16.5</v>
      </c>
    </row>
    <row r="29" spans="4:11">
      <c r="D29" s="19">
        <v>46041</v>
      </c>
      <c r="E29" s="20">
        <v>1571742</v>
      </c>
      <c r="F29" s="20" t="s">
        <v>19</v>
      </c>
      <c r="G29" s="21">
        <v>20004752</v>
      </c>
      <c r="H29" s="20" t="s">
        <v>39</v>
      </c>
      <c r="I29" s="21">
        <v>1</v>
      </c>
      <c r="J29" s="22">
        <v>8</v>
      </c>
      <c r="K29" s="22">
        <f t="shared" si="0"/>
        <v>8</v>
      </c>
    </row>
    <row r="30" spans="4:11">
      <c r="D30" s="19">
        <v>46041</v>
      </c>
      <c r="E30" s="20">
        <v>1571742</v>
      </c>
      <c r="F30" s="20" t="s">
        <v>19</v>
      </c>
      <c r="G30" s="21">
        <v>20316874</v>
      </c>
      <c r="H30" s="20" t="s">
        <v>45</v>
      </c>
      <c r="I30" s="21">
        <v>1</v>
      </c>
      <c r="J30" s="22">
        <v>16</v>
      </c>
      <c r="K30" s="22">
        <f t="shared" si="0"/>
        <v>16</v>
      </c>
    </row>
    <row r="31" spans="4:11">
      <c r="D31" s="19">
        <v>46041</v>
      </c>
      <c r="E31" s="20">
        <v>1571742</v>
      </c>
      <c r="F31" s="20" t="s">
        <v>16</v>
      </c>
      <c r="G31" s="21">
        <v>20345933</v>
      </c>
      <c r="H31" s="20" t="s">
        <v>46</v>
      </c>
      <c r="I31" s="21">
        <v>4</v>
      </c>
      <c r="J31" s="22">
        <v>110</v>
      </c>
      <c r="K31" s="22">
        <f t="shared" si="0"/>
        <v>440</v>
      </c>
    </row>
    <row r="32" spans="4:11">
      <c r="D32" s="19">
        <v>46041</v>
      </c>
      <c r="E32" s="20">
        <v>1571742</v>
      </c>
      <c r="F32" s="20" t="s">
        <v>16</v>
      </c>
      <c r="G32" s="21">
        <v>20409634</v>
      </c>
      <c r="H32" s="20" t="s">
        <v>47</v>
      </c>
      <c r="I32" s="21">
        <v>2</v>
      </c>
      <c r="J32" s="22">
        <v>38.5</v>
      </c>
      <c r="K32" s="22">
        <f t="shared" si="0"/>
        <v>77</v>
      </c>
    </row>
    <row r="33" spans="4:11">
      <c r="D33" s="19">
        <v>46042</v>
      </c>
      <c r="E33" s="20">
        <v>1572022</v>
      </c>
      <c r="F33" s="20" t="s">
        <v>21</v>
      </c>
      <c r="G33" s="21">
        <v>20007712</v>
      </c>
      <c r="H33" s="20" t="s">
        <v>43</v>
      </c>
      <c r="I33" s="21">
        <v>3</v>
      </c>
      <c r="J33" s="22">
        <v>121</v>
      </c>
      <c r="K33" s="22">
        <f t="shared" ref="K33:K82" si="1">I33*J33</f>
        <v>363</v>
      </c>
    </row>
    <row r="34" spans="4:11">
      <c r="D34" s="19">
        <v>46042</v>
      </c>
      <c r="E34" s="20">
        <v>1572022</v>
      </c>
      <c r="F34" s="20" t="s">
        <v>19</v>
      </c>
      <c r="G34" s="21">
        <v>20007979</v>
      </c>
      <c r="H34" s="20" t="s">
        <v>44</v>
      </c>
      <c r="I34" s="21">
        <v>1</v>
      </c>
      <c r="J34" s="22">
        <v>16.5</v>
      </c>
      <c r="K34" s="22">
        <f t="shared" si="1"/>
        <v>16.5</v>
      </c>
    </row>
    <row r="35" spans="4:11">
      <c r="D35" s="19">
        <v>46042</v>
      </c>
      <c r="E35" s="20">
        <v>1572022</v>
      </c>
      <c r="F35" s="20" t="s">
        <v>19</v>
      </c>
      <c r="G35" s="21">
        <v>20004752</v>
      </c>
      <c r="H35" s="20" t="s">
        <v>39</v>
      </c>
      <c r="I35" s="21">
        <v>3</v>
      </c>
      <c r="J35" s="22">
        <v>8</v>
      </c>
      <c r="K35" s="22">
        <f t="shared" si="1"/>
        <v>24</v>
      </c>
    </row>
    <row r="36" spans="4:11">
      <c r="D36" s="19">
        <v>46042</v>
      </c>
      <c r="E36" s="20">
        <v>1572022</v>
      </c>
      <c r="F36" s="20" t="s">
        <v>19</v>
      </c>
      <c r="G36" s="21">
        <v>20316874</v>
      </c>
      <c r="H36" s="20" t="s">
        <v>45</v>
      </c>
      <c r="I36" s="21">
        <v>1</v>
      </c>
      <c r="J36" s="22">
        <v>16</v>
      </c>
      <c r="K36" s="22">
        <f t="shared" si="1"/>
        <v>16</v>
      </c>
    </row>
    <row r="37" spans="4:11">
      <c r="D37" s="19">
        <v>46042</v>
      </c>
      <c r="E37" s="20">
        <v>1572022</v>
      </c>
      <c r="F37" s="20" t="s">
        <v>19</v>
      </c>
      <c r="G37" s="21">
        <v>20315474</v>
      </c>
      <c r="H37" s="20" t="s">
        <v>30</v>
      </c>
      <c r="I37" s="21">
        <v>1</v>
      </c>
      <c r="J37" s="22">
        <v>8</v>
      </c>
      <c r="K37" s="22">
        <f t="shared" si="1"/>
        <v>8</v>
      </c>
    </row>
    <row r="38" spans="4:11">
      <c r="D38" s="19">
        <v>46042</v>
      </c>
      <c r="E38" s="20">
        <v>1572022</v>
      </c>
      <c r="F38" s="20" t="s">
        <v>19</v>
      </c>
      <c r="G38" s="21">
        <v>20340207</v>
      </c>
      <c r="H38" s="20" t="s">
        <v>48</v>
      </c>
      <c r="I38" s="21">
        <v>1</v>
      </c>
      <c r="J38" s="22">
        <v>11</v>
      </c>
      <c r="K38" s="22">
        <f t="shared" si="1"/>
        <v>11</v>
      </c>
    </row>
    <row r="39" spans="4:11">
      <c r="D39" s="19">
        <v>46042</v>
      </c>
      <c r="E39" s="20">
        <v>1572022</v>
      </c>
      <c r="F39" s="20" t="s">
        <v>16</v>
      </c>
      <c r="G39" s="21">
        <v>20346272</v>
      </c>
      <c r="H39" s="20" t="s">
        <v>49</v>
      </c>
      <c r="I39" s="21">
        <v>1</v>
      </c>
      <c r="J39" s="22">
        <v>16.5</v>
      </c>
      <c r="K39" s="22">
        <f t="shared" si="1"/>
        <v>16.5</v>
      </c>
    </row>
    <row r="40" spans="4:11">
      <c r="D40" s="19">
        <v>46042</v>
      </c>
      <c r="E40" s="20">
        <v>1572022</v>
      </c>
      <c r="F40" s="20" t="s">
        <v>16</v>
      </c>
      <c r="G40" s="21">
        <v>20007281</v>
      </c>
      <c r="H40" s="20" t="s">
        <v>50</v>
      </c>
      <c r="I40" s="21">
        <v>1</v>
      </c>
      <c r="J40" s="22">
        <v>16.5</v>
      </c>
      <c r="K40" s="22">
        <f t="shared" si="1"/>
        <v>16.5</v>
      </c>
    </row>
    <row r="41" spans="4:11">
      <c r="D41" s="19">
        <v>46042</v>
      </c>
      <c r="E41" s="20">
        <v>1572022</v>
      </c>
      <c r="F41" s="20" t="s">
        <v>16</v>
      </c>
      <c r="G41" s="21">
        <v>20345947</v>
      </c>
      <c r="H41" s="20" t="s">
        <v>51</v>
      </c>
      <c r="I41" s="21">
        <v>2</v>
      </c>
      <c r="J41" s="22">
        <v>71.5</v>
      </c>
      <c r="K41" s="22">
        <f t="shared" si="1"/>
        <v>143</v>
      </c>
    </row>
    <row r="42" spans="4:11">
      <c r="D42" s="19">
        <v>46042</v>
      </c>
      <c r="E42" s="20">
        <v>1572022</v>
      </c>
      <c r="F42" s="20" t="s">
        <v>16</v>
      </c>
      <c r="G42" s="21">
        <v>20409706</v>
      </c>
      <c r="H42" s="20" t="s">
        <v>52</v>
      </c>
      <c r="I42" s="21">
        <v>1</v>
      </c>
      <c r="J42" s="22">
        <v>71.5</v>
      </c>
      <c r="K42" s="22">
        <f t="shared" si="1"/>
        <v>71.5</v>
      </c>
    </row>
    <row r="43" spans="4:11">
      <c r="D43" s="19">
        <v>46042</v>
      </c>
      <c r="E43" s="20">
        <v>1572170</v>
      </c>
      <c r="F43" s="20" t="s">
        <v>16</v>
      </c>
      <c r="G43" s="21">
        <v>20345944</v>
      </c>
      <c r="H43" s="20" t="s">
        <v>53</v>
      </c>
      <c r="I43" s="21">
        <v>1</v>
      </c>
      <c r="J43" s="22">
        <v>154</v>
      </c>
      <c r="K43" s="22">
        <f t="shared" si="1"/>
        <v>154</v>
      </c>
    </row>
    <row r="44" spans="4:11">
      <c r="D44" s="19">
        <v>46042</v>
      </c>
      <c r="E44" s="20">
        <v>1572170</v>
      </c>
      <c r="F44" s="20" t="s">
        <v>16</v>
      </c>
      <c r="G44" s="21">
        <v>20345933</v>
      </c>
      <c r="H44" s="20" t="s">
        <v>46</v>
      </c>
      <c r="I44" s="21">
        <v>6</v>
      </c>
      <c r="J44" s="22">
        <v>110</v>
      </c>
      <c r="K44" s="22">
        <f t="shared" si="1"/>
        <v>660</v>
      </c>
    </row>
    <row r="45" spans="4:11">
      <c r="D45" s="19">
        <v>46042</v>
      </c>
      <c r="E45" s="20">
        <v>1572170</v>
      </c>
      <c r="F45" s="20" t="s">
        <v>16</v>
      </c>
      <c r="G45" s="21">
        <v>20409634</v>
      </c>
      <c r="H45" s="20" t="s">
        <v>47</v>
      </c>
      <c r="I45" s="21">
        <v>2</v>
      </c>
      <c r="J45" s="22">
        <v>38.5</v>
      </c>
      <c r="K45" s="22">
        <f t="shared" si="1"/>
        <v>77</v>
      </c>
    </row>
    <row r="46" spans="4:11">
      <c r="D46" s="19">
        <v>46042</v>
      </c>
      <c r="E46" s="20">
        <v>1572170</v>
      </c>
      <c r="F46" s="20" t="s">
        <v>54</v>
      </c>
      <c r="G46" s="21">
        <v>20008060</v>
      </c>
      <c r="H46" s="20" t="s">
        <v>55</v>
      </c>
      <c r="I46" s="21">
        <v>2</v>
      </c>
      <c r="J46" s="22">
        <v>2.5</v>
      </c>
      <c r="K46" s="22">
        <f t="shared" si="1"/>
        <v>5</v>
      </c>
    </row>
    <row r="47" spans="4:11">
      <c r="D47" s="19">
        <v>46043</v>
      </c>
      <c r="E47" s="20">
        <v>1572417</v>
      </c>
      <c r="F47" s="20" t="s">
        <v>21</v>
      </c>
      <c r="G47" s="21">
        <v>20007712</v>
      </c>
      <c r="H47" s="20" t="s">
        <v>43</v>
      </c>
      <c r="I47" s="21">
        <v>1</v>
      </c>
      <c r="J47" s="22">
        <v>121</v>
      </c>
      <c r="K47" s="22">
        <f t="shared" si="1"/>
        <v>121</v>
      </c>
    </row>
    <row r="48" spans="4:11">
      <c r="D48" s="19">
        <v>46043</v>
      </c>
      <c r="E48" s="20">
        <v>1572417</v>
      </c>
      <c r="F48" s="20" t="s">
        <v>13</v>
      </c>
      <c r="G48" s="21">
        <v>20007893</v>
      </c>
      <c r="H48" s="20" t="s">
        <v>56</v>
      </c>
      <c r="I48" s="21">
        <v>2</v>
      </c>
      <c r="J48" s="22">
        <v>38.5</v>
      </c>
      <c r="K48" s="22">
        <f t="shared" si="1"/>
        <v>77</v>
      </c>
    </row>
    <row r="49" spans="4:11">
      <c r="D49" s="19">
        <v>46043</v>
      </c>
      <c r="E49" s="20">
        <v>1572417</v>
      </c>
      <c r="F49" s="20" t="s">
        <v>16</v>
      </c>
      <c r="G49" s="21">
        <v>20345933</v>
      </c>
      <c r="H49" s="20" t="s">
        <v>46</v>
      </c>
      <c r="I49" s="21">
        <v>9</v>
      </c>
      <c r="J49" s="22">
        <v>110</v>
      </c>
      <c r="K49" s="22">
        <f t="shared" si="1"/>
        <v>990</v>
      </c>
    </row>
    <row r="50" spans="4:11">
      <c r="D50" s="19">
        <v>46043</v>
      </c>
      <c r="E50" s="20">
        <v>1572417</v>
      </c>
      <c r="F50" s="20" t="s">
        <v>16</v>
      </c>
      <c r="G50" s="21">
        <v>20409975</v>
      </c>
      <c r="H50" s="20" t="s">
        <v>57</v>
      </c>
      <c r="I50" s="21">
        <v>1</v>
      </c>
      <c r="J50" s="22">
        <v>22</v>
      </c>
      <c r="K50" s="22">
        <f t="shared" si="1"/>
        <v>22</v>
      </c>
    </row>
    <row r="51" spans="4:11">
      <c r="D51" s="19">
        <v>46043</v>
      </c>
      <c r="E51" s="20">
        <v>1572417</v>
      </c>
      <c r="F51" s="20" t="s">
        <v>16</v>
      </c>
      <c r="G51" s="21">
        <v>20409936</v>
      </c>
      <c r="H51" s="20" t="s">
        <v>58</v>
      </c>
      <c r="I51" s="21">
        <v>3</v>
      </c>
      <c r="J51" s="22">
        <v>137.5</v>
      </c>
      <c r="K51" s="22">
        <f t="shared" si="1"/>
        <v>412.5</v>
      </c>
    </row>
    <row r="52" spans="4:11">
      <c r="D52" s="19">
        <v>46043</v>
      </c>
      <c r="E52" s="20">
        <v>1572417</v>
      </c>
      <c r="F52" s="20" t="s">
        <v>54</v>
      </c>
      <c r="G52" s="21">
        <v>20410067</v>
      </c>
      <c r="H52" s="20" t="s">
        <v>59</v>
      </c>
      <c r="I52" s="21">
        <v>8</v>
      </c>
      <c r="J52" s="22">
        <v>2.5</v>
      </c>
      <c r="K52" s="22">
        <f t="shared" si="1"/>
        <v>20</v>
      </c>
    </row>
    <row r="53" spans="4:11">
      <c r="D53" s="19">
        <v>46043</v>
      </c>
      <c r="E53" s="20">
        <v>1572417</v>
      </c>
      <c r="F53" s="20" t="s">
        <v>54</v>
      </c>
      <c r="G53" s="21">
        <v>20008060</v>
      </c>
      <c r="H53" s="20" t="s">
        <v>55</v>
      </c>
      <c r="I53" s="21">
        <v>3</v>
      </c>
      <c r="J53" s="22">
        <v>2.5</v>
      </c>
      <c r="K53" s="22">
        <f t="shared" si="1"/>
        <v>7.5</v>
      </c>
    </row>
    <row r="54" spans="4:11">
      <c r="D54" s="19">
        <v>46043</v>
      </c>
      <c r="E54" s="20">
        <v>1572417</v>
      </c>
      <c r="F54" s="20" t="s">
        <v>54</v>
      </c>
      <c r="G54" s="21">
        <v>20346532</v>
      </c>
      <c r="H54" s="20" t="s">
        <v>60</v>
      </c>
      <c r="I54" s="21">
        <v>3</v>
      </c>
      <c r="J54" s="22">
        <v>2.5</v>
      </c>
      <c r="K54" s="22">
        <f t="shared" si="1"/>
        <v>7.5</v>
      </c>
    </row>
    <row r="55" spans="4:11">
      <c r="D55" s="19">
        <v>46043</v>
      </c>
      <c r="E55" s="20">
        <v>1572423</v>
      </c>
      <c r="F55" s="20" t="s">
        <v>16</v>
      </c>
      <c r="G55" s="21">
        <v>20346343</v>
      </c>
      <c r="H55" s="20" t="s">
        <v>61</v>
      </c>
      <c r="I55" s="21">
        <v>3</v>
      </c>
      <c r="J55" s="22">
        <v>27.5</v>
      </c>
      <c r="K55" s="22">
        <f t="shared" si="1"/>
        <v>82.5</v>
      </c>
    </row>
    <row r="56" spans="4:11">
      <c r="D56" s="19">
        <v>46043</v>
      </c>
      <c r="E56" s="20">
        <v>1572477</v>
      </c>
      <c r="F56" s="20" t="s">
        <v>19</v>
      </c>
      <c r="G56" s="21">
        <v>20007950</v>
      </c>
      <c r="H56" s="20" t="s">
        <v>62</v>
      </c>
      <c r="I56" s="21">
        <v>1</v>
      </c>
      <c r="J56" s="22">
        <v>13</v>
      </c>
      <c r="K56" s="22">
        <f t="shared" si="1"/>
        <v>13</v>
      </c>
    </row>
    <row r="57" spans="4:11">
      <c r="D57" s="19">
        <v>46043</v>
      </c>
      <c r="E57" s="20">
        <v>1572477</v>
      </c>
      <c r="F57" s="20" t="s">
        <v>19</v>
      </c>
      <c r="G57" s="21">
        <v>20007979</v>
      </c>
      <c r="H57" s="20" t="s">
        <v>44</v>
      </c>
      <c r="I57" s="21">
        <v>1</v>
      </c>
      <c r="J57" s="22">
        <v>16.5</v>
      </c>
      <c r="K57" s="22">
        <f t="shared" si="1"/>
        <v>16.5</v>
      </c>
    </row>
    <row r="58" spans="4:11">
      <c r="D58" s="19">
        <v>46043</v>
      </c>
      <c r="E58" s="20">
        <v>1572477</v>
      </c>
      <c r="F58" s="20" t="s">
        <v>19</v>
      </c>
      <c r="G58" s="21">
        <v>20004752</v>
      </c>
      <c r="H58" s="20" t="s">
        <v>39</v>
      </c>
      <c r="I58" s="21">
        <v>1</v>
      </c>
      <c r="J58" s="22">
        <v>8</v>
      </c>
      <c r="K58" s="22">
        <f t="shared" si="1"/>
        <v>8</v>
      </c>
    </row>
    <row r="59" spans="4:11">
      <c r="D59" s="19">
        <v>46043</v>
      </c>
      <c r="E59" s="20">
        <v>1572477</v>
      </c>
      <c r="F59" s="20" t="s">
        <v>19</v>
      </c>
      <c r="G59" s="21">
        <v>20316874</v>
      </c>
      <c r="H59" s="20" t="s">
        <v>45</v>
      </c>
      <c r="I59" s="21">
        <v>1</v>
      </c>
      <c r="J59" s="22">
        <v>16</v>
      </c>
      <c r="K59" s="22">
        <f t="shared" si="1"/>
        <v>16</v>
      </c>
    </row>
    <row r="60" spans="4:11">
      <c r="D60" s="19">
        <v>46043</v>
      </c>
      <c r="E60" s="20">
        <v>1572477</v>
      </c>
      <c r="F60" s="20" t="s">
        <v>19</v>
      </c>
      <c r="G60" s="21">
        <v>20315474</v>
      </c>
      <c r="H60" s="20" t="s">
        <v>30</v>
      </c>
      <c r="I60" s="21">
        <v>3</v>
      </c>
      <c r="J60" s="22">
        <v>8</v>
      </c>
      <c r="K60" s="22">
        <f t="shared" si="1"/>
        <v>24</v>
      </c>
    </row>
    <row r="61" spans="4:11">
      <c r="D61" s="19">
        <v>46043</v>
      </c>
      <c r="E61" s="20">
        <v>1572477</v>
      </c>
      <c r="F61" s="20" t="s">
        <v>19</v>
      </c>
      <c r="G61" s="21">
        <v>20340207</v>
      </c>
      <c r="H61" s="20" t="s">
        <v>48</v>
      </c>
      <c r="I61" s="21">
        <v>1</v>
      </c>
      <c r="J61" s="22">
        <v>11</v>
      </c>
      <c r="K61" s="22">
        <f t="shared" si="1"/>
        <v>11</v>
      </c>
    </row>
    <row r="62" spans="4:11">
      <c r="D62" s="19">
        <v>46044</v>
      </c>
      <c r="E62" s="20">
        <v>1572761</v>
      </c>
      <c r="F62" s="20" t="s">
        <v>21</v>
      </c>
      <c r="G62" s="21">
        <v>20007712</v>
      </c>
      <c r="H62" s="20" t="s">
        <v>43</v>
      </c>
      <c r="I62" s="21">
        <v>5</v>
      </c>
      <c r="J62" s="22">
        <v>121</v>
      </c>
      <c r="K62" s="22">
        <f t="shared" si="1"/>
        <v>605</v>
      </c>
    </row>
    <row r="63" spans="4:11">
      <c r="D63" s="19">
        <v>46044</v>
      </c>
      <c r="E63" s="20">
        <v>1572761</v>
      </c>
      <c r="F63" s="20" t="s">
        <v>19</v>
      </c>
      <c r="G63" s="21">
        <v>20007979</v>
      </c>
      <c r="H63" s="20" t="s">
        <v>44</v>
      </c>
      <c r="I63" s="21">
        <v>1</v>
      </c>
      <c r="J63" s="22">
        <v>16.5</v>
      </c>
      <c r="K63" s="22">
        <f t="shared" si="1"/>
        <v>16.5</v>
      </c>
    </row>
    <row r="64" spans="4:11">
      <c r="D64" s="19">
        <v>46044</v>
      </c>
      <c r="E64" s="20">
        <v>1572761</v>
      </c>
      <c r="F64" s="20" t="s">
        <v>19</v>
      </c>
      <c r="G64" s="21">
        <v>20004752</v>
      </c>
      <c r="H64" s="20" t="s">
        <v>39</v>
      </c>
      <c r="I64" s="21">
        <v>2</v>
      </c>
      <c r="J64" s="22">
        <v>8</v>
      </c>
      <c r="K64" s="22">
        <f t="shared" si="1"/>
        <v>16</v>
      </c>
    </row>
    <row r="65" spans="4:11">
      <c r="D65" s="19">
        <v>46044</v>
      </c>
      <c r="E65" s="20">
        <v>1572761</v>
      </c>
      <c r="F65" s="20" t="s">
        <v>19</v>
      </c>
      <c r="G65" s="21">
        <v>20316874</v>
      </c>
      <c r="H65" s="20" t="s">
        <v>45</v>
      </c>
      <c r="I65" s="21">
        <v>1</v>
      </c>
      <c r="J65" s="22">
        <v>16</v>
      </c>
      <c r="K65" s="22">
        <f t="shared" si="1"/>
        <v>16</v>
      </c>
    </row>
    <row r="66" spans="4:11">
      <c r="D66" s="19">
        <v>46044</v>
      </c>
      <c r="E66" s="20">
        <v>1572761</v>
      </c>
      <c r="F66" s="20" t="s">
        <v>19</v>
      </c>
      <c r="G66" s="21">
        <v>20340207</v>
      </c>
      <c r="H66" s="20" t="s">
        <v>48</v>
      </c>
      <c r="I66" s="21">
        <v>1</v>
      </c>
      <c r="J66" s="22">
        <v>11</v>
      </c>
      <c r="K66" s="22">
        <f t="shared" si="1"/>
        <v>11</v>
      </c>
    </row>
    <row r="67" spans="4:11">
      <c r="D67" s="19">
        <v>46044</v>
      </c>
      <c r="E67" s="20">
        <v>1572761</v>
      </c>
      <c r="F67" s="20" t="s">
        <v>13</v>
      </c>
      <c r="G67" s="21">
        <v>20004550</v>
      </c>
      <c r="H67" s="20" t="s">
        <v>42</v>
      </c>
      <c r="I67" s="21">
        <v>1</v>
      </c>
      <c r="J67" s="22">
        <v>110</v>
      </c>
      <c r="K67" s="22">
        <f t="shared" si="1"/>
        <v>110</v>
      </c>
    </row>
    <row r="68" spans="4:11">
      <c r="D68" s="19">
        <v>46044</v>
      </c>
      <c r="E68" s="20">
        <v>1572761</v>
      </c>
      <c r="F68" s="20" t="s">
        <v>16</v>
      </c>
      <c r="G68" s="21">
        <v>20345933</v>
      </c>
      <c r="H68" s="20" t="s">
        <v>46</v>
      </c>
      <c r="I68" s="21">
        <v>3</v>
      </c>
      <c r="J68" s="22">
        <v>110</v>
      </c>
      <c r="K68" s="22">
        <f t="shared" si="1"/>
        <v>330</v>
      </c>
    </row>
    <row r="69" spans="4:11">
      <c r="D69" s="19">
        <v>46044</v>
      </c>
      <c r="E69" s="20">
        <v>1572761</v>
      </c>
      <c r="F69" s="20" t="s">
        <v>16</v>
      </c>
      <c r="G69" s="21">
        <v>20345947</v>
      </c>
      <c r="H69" s="20" t="s">
        <v>51</v>
      </c>
      <c r="I69" s="21">
        <v>3</v>
      </c>
      <c r="J69" s="22">
        <v>71.5</v>
      </c>
      <c r="K69" s="22">
        <f t="shared" si="1"/>
        <v>214.5</v>
      </c>
    </row>
    <row r="70" spans="4:11">
      <c r="D70" s="19">
        <v>46044</v>
      </c>
      <c r="E70" s="20">
        <v>1572761</v>
      </c>
      <c r="F70" s="20" t="s">
        <v>16</v>
      </c>
      <c r="G70" s="21">
        <v>20409634</v>
      </c>
      <c r="H70" s="20" t="s">
        <v>47</v>
      </c>
      <c r="I70" s="21">
        <v>4</v>
      </c>
      <c r="J70" s="22">
        <v>38.5</v>
      </c>
      <c r="K70" s="22">
        <f t="shared" si="1"/>
        <v>154</v>
      </c>
    </row>
    <row r="71" spans="4:11">
      <c r="D71" s="19">
        <v>46044</v>
      </c>
      <c r="E71" s="20">
        <v>1572902</v>
      </c>
      <c r="F71" s="20" t="s">
        <v>16</v>
      </c>
      <c r="G71" s="21">
        <v>20345933</v>
      </c>
      <c r="H71" s="20" t="s">
        <v>46</v>
      </c>
      <c r="I71" s="21">
        <v>2</v>
      </c>
      <c r="J71" s="22">
        <v>110</v>
      </c>
      <c r="K71" s="22">
        <f t="shared" si="1"/>
        <v>220</v>
      </c>
    </row>
    <row r="72" spans="4:11">
      <c r="D72" s="19">
        <v>46045</v>
      </c>
      <c r="E72" s="20">
        <v>1573165</v>
      </c>
      <c r="F72" s="20" t="s">
        <v>21</v>
      </c>
      <c r="G72" s="21">
        <v>20007712</v>
      </c>
      <c r="H72" s="20" t="s">
        <v>43</v>
      </c>
      <c r="I72" s="21">
        <v>2</v>
      </c>
      <c r="J72" s="22">
        <v>121</v>
      </c>
      <c r="K72" s="22">
        <f t="shared" si="1"/>
        <v>242</v>
      </c>
    </row>
    <row r="73" spans="4:11">
      <c r="D73" s="19">
        <v>46045</v>
      </c>
      <c r="E73" s="20">
        <v>1573165</v>
      </c>
      <c r="F73" s="20" t="s">
        <v>19</v>
      </c>
      <c r="G73" s="21">
        <v>20007950</v>
      </c>
      <c r="H73" s="20" t="s">
        <v>62</v>
      </c>
      <c r="I73" s="21">
        <v>1</v>
      </c>
      <c r="J73" s="22">
        <v>13</v>
      </c>
      <c r="K73" s="22">
        <f t="shared" si="1"/>
        <v>13</v>
      </c>
    </row>
    <row r="74" spans="4:11">
      <c r="D74" s="19">
        <v>46045</v>
      </c>
      <c r="E74" s="20">
        <v>1573165</v>
      </c>
      <c r="F74" s="20" t="s">
        <v>19</v>
      </c>
      <c r="G74" s="21">
        <v>20007979</v>
      </c>
      <c r="H74" s="20" t="s">
        <v>44</v>
      </c>
      <c r="I74" s="21">
        <v>1</v>
      </c>
      <c r="J74" s="22">
        <v>16.5</v>
      </c>
      <c r="K74" s="22">
        <f t="shared" si="1"/>
        <v>16.5</v>
      </c>
    </row>
    <row r="75" spans="4:11">
      <c r="D75" s="19">
        <v>46045</v>
      </c>
      <c r="E75" s="20">
        <v>1573165</v>
      </c>
      <c r="F75" s="20" t="s">
        <v>19</v>
      </c>
      <c r="G75" s="21">
        <v>20004752</v>
      </c>
      <c r="H75" s="20" t="s">
        <v>39</v>
      </c>
      <c r="I75" s="21">
        <v>2</v>
      </c>
      <c r="J75" s="22">
        <v>8</v>
      </c>
      <c r="K75" s="22">
        <f t="shared" si="1"/>
        <v>16</v>
      </c>
    </row>
    <row r="76" spans="4:11">
      <c r="D76" s="19">
        <v>46045</v>
      </c>
      <c r="E76" s="20">
        <v>1573165</v>
      </c>
      <c r="F76" s="20" t="s">
        <v>19</v>
      </c>
      <c r="G76" s="21">
        <v>20316874</v>
      </c>
      <c r="H76" s="20" t="s">
        <v>45</v>
      </c>
      <c r="I76" s="21">
        <v>1</v>
      </c>
      <c r="J76" s="22">
        <v>16</v>
      </c>
      <c r="K76" s="22">
        <f t="shared" si="1"/>
        <v>16</v>
      </c>
    </row>
    <row r="77" spans="4:11">
      <c r="D77" s="19">
        <v>46045</v>
      </c>
      <c r="E77" s="20">
        <v>1573165</v>
      </c>
      <c r="F77" s="20" t="s">
        <v>19</v>
      </c>
      <c r="G77" s="21">
        <v>20340207</v>
      </c>
      <c r="H77" s="20" t="s">
        <v>48</v>
      </c>
      <c r="I77" s="21">
        <v>6</v>
      </c>
      <c r="J77" s="22">
        <v>11</v>
      </c>
      <c r="K77" s="22">
        <f t="shared" si="1"/>
        <v>66</v>
      </c>
    </row>
    <row r="78" spans="4:11">
      <c r="D78" s="19">
        <v>46045</v>
      </c>
      <c r="E78" s="20">
        <v>1573169</v>
      </c>
      <c r="F78" s="20" t="s">
        <v>16</v>
      </c>
      <c r="G78" s="21">
        <v>20345933</v>
      </c>
      <c r="H78" s="20" t="s">
        <v>46</v>
      </c>
      <c r="I78" s="21">
        <v>3</v>
      </c>
      <c r="J78" s="22">
        <v>110</v>
      </c>
      <c r="K78" s="22">
        <f t="shared" si="1"/>
        <v>330</v>
      </c>
    </row>
    <row r="79" spans="4:11">
      <c r="D79" s="19">
        <v>46045</v>
      </c>
      <c r="E79" s="20">
        <v>1573169</v>
      </c>
      <c r="F79" s="20" t="s">
        <v>16</v>
      </c>
      <c r="G79" s="21">
        <v>20345947</v>
      </c>
      <c r="H79" s="20" t="s">
        <v>51</v>
      </c>
      <c r="I79" s="21">
        <v>5</v>
      </c>
      <c r="J79" s="22">
        <v>71.5</v>
      </c>
      <c r="K79" s="22">
        <f t="shared" si="1"/>
        <v>357.5</v>
      </c>
    </row>
    <row r="80" spans="4:11">
      <c r="D80" s="19">
        <v>46048</v>
      </c>
      <c r="E80" s="20">
        <v>1573597</v>
      </c>
      <c r="F80" s="20" t="s">
        <v>21</v>
      </c>
      <c r="G80" s="21">
        <v>20007712</v>
      </c>
      <c r="H80" s="20" t="s">
        <v>43</v>
      </c>
      <c r="I80" s="21">
        <v>5</v>
      </c>
      <c r="J80" s="22">
        <v>121</v>
      </c>
      <c r="K80" s="22">
        <f t="shared" si="1"/>
        <v>605</v>
      </c>
    </row>
    <row r="81" spans="4:11">
      <c r="D81" s="19">
        <v>46048</v>
      </c>
      <c r="E81" s="20">
        <v>1573597</v>
      </c>
      <c r="F81" s="20" t="s">
        <v>19</v>
      </c>
      <c r="G81" s="21">
        <v>20354813</v>
      </c>
      <c r="H81" s="20" t="s">
        <v>63</v>
      </c>
      <c r="I81" s="21">
        <v>1</v>
      </c>
      <c r="J81" s="22">
        <v>16.5</v>
      </c>
      <c r="K81" s="22">
        <f t="shared" si="1"/>
        <v>16.5</v>
      </c>
    </row>
    <row r="82" spans="4:11">
      <c r="D82" s="19">
        <v>46048</v>
      </c>
      <c r="E82" s="20">
        <v>1573597</v>
      </c>
      <c r="F82" s="20" t="s">
        <v>19</v>
      </c>
      <c r="G82" s="21">
        <v>20007979</v>
      </c>
      <c r="H82" s="20" t="s">
        <v>44</v>
      </c>
      <c r="I82" s="21">
        <v>2</v>
      </c>
      <c r="J82" s="22">
        <v>16.5</v>
      </c>
      <c r="K82" s="22">
        <f t="shared" si="1"/>
        <v>33</v>
      </c>
    </row>
    <row r="83" spans="4:11">
      <c r="D83" s="19">
        <v>46048</v>
      </c>
      <c r="E83" s="20">
        <v>1573597</v>
      </c>
      <c r="F83" s="20" t="s">
        <v>19</v>
      </c>
      <c r="G83" s="21">
        <v>20004752</v>
      </c>
      <c r="H83" s="20" t="s">
        <v>39</v>
      </c>
      <c r="I83" s="21">
        <v>2</v>
      </c>
      <c r="J83" s="22">
        <v>8</v>
      </c>
      <c r="K83" s="22">
        <f t="shared" ref="K83:K103" si="2">I83*J83</f>
        <v>16</v>
      </c>
    </row>
    <row r="84" spans="4:11">
      <c r="D84" s="19">
        <v>46048</v>
      </c>
      <c r="E84" s="20">
        <v>1573597</v>
      </c>
      <c r="F84" s="20" t="s">
        <v>19</v>
      </c>
      <c r="G84" s="21">
        <v>20341688</v>
      </c>
      <c r="H84" s="20" t="s">
        <v>29</v>
      </c>
      <c r="I84" s="21">
        <v>1</v>
      </c>
      <c r="J84" s="22">
        <v>22</v>
      </c>
      <c r="K84" s="22">
        <f t="shared" si="2"/>
        <v>22</v>
      </c>
    </row>
    <row r="85" spans="4:11">
      <c r="D85" s="19">
        <v>46048</v>
      </c>
      <c r="E85" s="20">
        <v>1573597</v>
      </c>
      <c r="F85" s="20" t="s">
        <v>19</v>
      </c>
      <c r="G85" s="21">
        <v>20316874</v>
      </c>
      <c r="H85" s="20" t="s">
        <v>45</v>
      </c>
      <c r="I85" s="21">
        <v>2</v>
      </c>
      <c r="J85" s="22">
        <v>16</v>
      </c>
      <c r="K85" s="22">
        <f t="shared" si="2"/>
        <v>32</v>
      </c>
    </row>
    <row r="86" spans="4:11">
      <c r="D86" s="19">
        <v>46048</v>
      </c>
      <c r="E86" s="20">
        <v>1573597</v>
      </c>
      <c r="F86" s="20" t="s">
        <v>19</v>
      </c>
      <c r="G86" s="21">
        <v>20315474</v>
      </c>
      <c r="H86" s="20" t="s">
        <v>30</v>
      </c>
      <c r="I86" s="21">
        <v>1</v>
      </c>
      <c r="J86" s="22">
        <v>8</v>
      </c>
      <c r="K86" s="22">
        <f t="shared" si="2"/>
        <v>8</v>
      </c>
    </row>
    <row r="87" spans="4:11">
      <c r="D87" s="19">
        <v>46048</v>
      </c>
      <c r="E87" s="20">
        <v>1573597</v>
      </c>
      <c r="F87" s="20" t="s">
        <v>19</v>
      </c>
      <c r="G87" s="21">
        <v>20340207</v>
      </c>
      <c r="H87" s="20" t="s">
        <v>48</v>
      </c>
      <c r="I87" s="21">
        <v>1</v>
      </c>
      <c r="J87" s="22">
        <v>11</v>
      </c>
      <c r="K87" s="22">
        <f t="shared" si="2"/>
        <v>11</v>
      </c>
    </row>
    <row r="88" spans="4:11">
      <c r="D88" s="19">
        <v>46048</v>
      </c>
      <c r="E88" s="20">
        <v>1573597</v>
      </c>
      <c r="F88" s="20" t="s">
        <v>13</v>
      </c>
      <c r="G88" s="21">
        <v>20007818</v>
      </c>
      <c r="H88" s="20" t="s">
        <v>64</v>
      </c>
      <c r="I88" s="21">
        <v>1</v>
      </c>
      <c r="J88" s="22">
        <v>27.5</v>
      </c>
      <c r="K88" s="22">
        <f t="shared" si="2"/>
        <v>27.5</v>
      </c>
    </row>
    <row r="89" spans="4:11">
      <c r="D89" s="19">
        <v>46048</v>
      </c>
      <c r="E89" s="20">
        <v>1573597</v>
      </c>
      <c r="F89" s="20" t="s">
        <v>13</v>
      </c>
      <c r="G89" s="21">
        <v>20004550</v>
      </c>
      <c r="H89" s="20" t="s">
        <v>42</v>
      </c>
      <c r="I89" s="21">
        <v>1</v>
      </c>
      <c r="J89" s="22">
        <v>110</v>
      </c>
      <c r="K89" s="22">
        <f t="shared" si="2"/>
        <v>110</v>
      </c>
    </row>
    <row r="90" spans="4:11">
      <c r="D90" s="19">
        <v>46048</v>
      </c>
      <c r="E90" s="20">
        <v>1573597</v>
      </c>
      <c r="F90" s="20" t="s">
        <v>16</v>
      </c>
      <c r="G90" s="21">
        <v>20345944</v>
      </c>
      <c r="H90" s="20" t="s">
        <v>65</v>
      </c>
      <c r="I90" s="21">
        <v>1</v>
      </c>
      <c r="J90" s="22">
        <v>137.5</v>
      </c>
      <c r="K90" s="22">
        <f t="shared" si="2"/>
        <v>137.5</v>
      </c>
    </row>
    <row r="91" spans="4:11">
      <c r="D91" s="19">
        <v>46048</v>
      </c>
      <c r="E91" s="20">
        <v>1573597</v>
      </c>
      <c r="F91" s="20" t="s">
        <v>16</v>
      </c>
      <c r="G91" s="21">
        <v>20007281</v>
      </c>
      <c r="H91" s="20" t="s">
        <v>50</v>
      </c>
      <c r="I91" s="21">
        <v>1</v>
      </c>
      <c r="J91" s="22">
        <v>16.5</v>
      </c>
      <c r="K91" s="22">
        <f t="shared" si="2"/>
        <v>16.5</v>
      </c>
    </row>
    <row r="92" spans="4:11">
      <c r="D92" s="19">
        <v>46048</v>
      </c>
      <c r="E92" s="20">
        <v>1573597</v>
      </c>
      <c r="F92" s="20" t="s">
        <v>16</v>
      </c>
      <c r="G92" s="21">
        <v>20345933</v>
      </c>
      <c r="H92" s="20" t="s">
        <v>46</v>
      </c>
      <c r="I92" s="21">
        <v>11</v>
      </c>
      <c r="J92" s="22">
        <v>110</v>
      </c>
      <c r="K92" s="22">
        <f t="shared" si="2"/>
        <v>1210</v>
      </c>
    </row>
    <row r="93" spans="4:11">
      <c r="D93" s="19">
        <v>46048</v>
      </c>
      <c r="E93" s="20">
        <v>1573597</v>
      </c>
      <c r="F93" s="20" t="s">
        <v>16</v>
      </c>
      <c r="G93" s="21">
        <v>20345947</v>
      </c>
      <c r="H93" s="20" t="s">
        <v>51</v>
      </c>
      <c r="I93" s="21">
        <v>1</v>
      </c>
      <c r="J93" s="22">
        <v>71.5</v>
      </c>
      <c r="K93" s="22">
        <f t="shared" si="2"/>
        <v>71.5</v>
      </c>
    </row>
    <row r="94" spans="4:11">
      <c r="D94" s="19">
        <v>46048</v>
      </c>
      <c r="E94" s="20">
        <v>1573597</v>
      </c>
      <c r="F94" s="20" t="s">
        <v>16</v>
      </c>
      <c r="G94" s="21">
        <v>20409634</v>
      </c>
      <c r="H94" s="20" t="s">
        <v>47</v>
      </c>
      <c r="I94" s="21">
        <v>2</v>
      </c>
      <c r="J94" s="22">
        <v>38.5</v>
      </c>
      <c r="K94" s="22">
        <f t="shared" si="2"/>
        <v>77</v>
      </c>
    </row>
    <row r="95" spans="4:11">
      <c r="D95" s="19">
        <v>46048</v>
      </c>
      <c r="E95" s="20">
        <v>1573597</v>
      </c>
      <c r="F95" s="20" t="s">
        <v>54</v>
      </c>
      <c r="G95" s="21">
        <v>20008060</v>
      </c>
      <c r="H95" s="20" t="s">
        <v>55</v>
      </c>
      <c r="I95" s="21">
        <v>3</v>
      </c>
      <c r="J95" s="22">
        <v>2.5</v>
      </c>
      <c r="K95" s="22">
        <f t="shared" si="2"/>
        <v>7.5</v>
      </c>
    </row>
    <row r="96" spans="4:11">
      <c r="D96" s="19">
        <v>46048</v>
      </c>
      <c r="E96" s="20">
        <v>1573597</v>
      </c>
      <c r="F96" s="20" t="s">
        <v>54</v>
      </c>
      <c r="G96" s="21">
        <v>20346532</v>
      </c>
      <c r="H96" s="20" t="s">
        <v>60</v>
      </c>
      <c r="I96" s="21">
        <v>4</v>
      </c>
      <c r="J96" s="22">
        <v>2.5</v>
      </c>
      <c r="K96" s="22">
        <f t="shared" si="2"/>
        <v>10</v>
      </c>
    </row>
    <row r="97" spans="4:11">
      <c r="D97" s="19">
        <v>46049</v>
      </c>
      <c r="E97" s="20">
        <v>1574017</v>
      </c>
      <c r="F97" s="20" t="s">
        <v>21</v>
      </c>
      <c r="G97" s="21">
        <v>20007712</v>
      </c>
      <c r="H97" s="20" t="s">
        <v>43</v>
      </c>
      <c r="I97" s="21">
        <v>2</v>
      </c>
      <c r="J97" s="22">
        <v>121</v>
      </c>
      <c r="K97" s="22">
        <f t="shared" si="2"/>
        <v>242</v>
      </c>
    </row>
    <row r="98" spans="4:11">
      <c r="D98" s="19">
        <v>46049</v>
      </c>
      <c r="E98" s="20">
        <v>1574017</v>
      </c>
      <c r="F98" s="20" t="s">
        <v>19</v>
      </c>
      <c r="G98" s="21">
        <v>20004752</v>
      </c>
      <c r="H98" s="20" t="s">
        <v>39</v>
      </c>
      <c r="I98" s="21">
        <v>1</v>
      </c>
      <c r="J98" s="22">
        <v>8</v>
      </c>
      <c r="K98" s="22">
        <f t="shared" si="2"/>
        <v>8</v>
      </c>
    </row>
    <row r="99" spans="4:11">
      <c r="D99" s="19">
        <v>46049</v>
      </c>
      <c r="E99" s="20">
        <v>1574017</v>
      </c>
      <c r="F99" s="20" t="s">
        <v>19</v>
      </c>
      <c r="G99" s="21">
        <v>20340207</v>
      </c>
      <c r="H99" s="20" t="s">
        <v>48</v>
      </c>
      <c r="I99" s="21">
        <v>1</v>
      </c>
      <c r="J99" s="22">
        <v>11</v>
      </c>
      <c r="K99" s="22">
        <f t="shared" si="2"/>
        <v>11</v>
      </c>
    </row>
    <row r="100" spans="4:11">
      <c r="D100" s="19">
        <v>46049</v>
      </c>
      <c r="E100" s="20">
        <v>1574017</v>
      </c>
      <c r="F100" s="20" t="s">
        <v>13</v>
      </c>
      <c r="G100" s="21">
        <v>20003278</v>
      </c>
      <c r="H100" s="20" t="s">
        <v>15</v>
      </c>
      <c r="I100" s="21">
        <v>1</v>
      </c>
      <c r="J100" s="22">
        <v>22</v>
      </c>
      <c r="K100" s="22">
        <f t="shared" si="2"/>
        <v>22</v>
      </c>
    </row>
    <row r="101" spans="4:11">
      <c r="D101" s="19">
        <v>46049</v>
      </c>
      <c r="E101" s="20">
        <v>1574017</v>
      </c>
      <c r="F101" s="20" t="s">
        <v>16</v>
      </c>
      <c r="G101" s="21">
        <v>20345933</v>
      </c>
      <c r="H101" s="20" t="s">
        <v>46</v>
      </c>
      <c r="I101" s="21">
        <v>1</v>
      </c>
      <c r="J101" s="22">
        <v>110</v>
      </c>
      <c r="K101" s="22">
        <f t="shared" si="2"/>
        <v>110</v>
      </c>
    </row>
    <row r="102" spans="4:11">
      <c r="D102" s="19">
        <v>46049</v>
      </c>
      <c r="E102" s="20">
        <v>1574017</v>
      </c>
      <c r="F102" s="20" t="s">
        <v>16</v>
      </c>
      <c r="G102" s="21">
        <v>20345947</v>
      </c>
      <c r="H102" s="20" t="s">
        <v>51</v>
      </c>
      <c r="I102" s="21">
        <v>1</v>
      </c>
      <c r="J102" s="22">
        <v>71.5</v>
      </c>
      <c r="K102" s="22">
        <f t="shared" si="2"/>
        <v>71.5</v>
      </c>
    </row>
    <row r="103" spans="4:11">
      <c r="D103" s="19">
        <v>46049</v>
      </c>
      <c r="E103" s="20">
        <v>1574017</v>
      </c>
      <c r="F103" s="20" t="s">
        <v>16</v>
      </c>
      <c r="G103" s="21">
        <v>20409634</v>
      </c>
      <c r="H103" s="20" t="s">
        <v>47</v>
      </c>
      <c r="I103" s="21">
        <v>1</v>
      </c>
      <c r="J103" s="22">
        <v>38.5</v>
      </c>
      <c r="K103" s="22">
        <f t="shared" si="2"/>
        <v>38.5</v>
      </c>
    </row>
  </sheetData>
  <autoFilter xmlns:etc="http://www.wps.cn/officeDocument/2017/etCustomData" ref="A7:K103" etc:filterBottomFollowUsedRange="0">
    <extLst/>
  </autoFilter>
  <mergeCells count="5">
    <mergeCell ref="D8:H8"/>
    <mergeCell ref="C7:C103"/>
    <mergeCell ref="B4:H5"/>
    <mergeCell ref="C1:H2"/>
    <mergeCell ref="A7:B10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12:28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7"/>
  <sheetViews>
    <sheetView showGridLines="0" view="pageBreakPreview" zoomScaleNormal="100" workbookViewId="0">
      <pane ySplit="6" topLeftCell="A61" activePane="bottomLeft" state="frozen"/>
      <selection/>
      <selection pane="bottomLeft" activeCell="Q76" sqref="Q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9" t="s">
        <v>0</v>
      </c>
    </row>
    <row r="2" ht="23.05" customHeight="1"/>
    <row r="3" ht="2" customHeight="1"/>
    <row r="4" ht="15.2" customHeight="1" spans="1:11">
      <c r="B4" s="10" t="s">
        <v>1</v>
      </c>
    </row>
    <row r="6" ht="2.95" customHeight="1"/>
    <row r="7" spans="1:11">
      <c r="A7" s="11" t="s">
        <v>2</v>
      </c>
      <c r="B7" s="12" t="s">
        <v>2</v>
      </c>
      <c r="C7" s="13" t="s">
        <v>2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4" t="s">
        <v>10</v>
      </c>
      <c r="K7" s="14" t="s">
        <v>11</v>
      </c>
    </row>
    <row r="8" ht="14.25" spans="1:11">
      <c r="D8" s="15" t="s">
        <v>66</v>
      </c>
      <c r="E8" s="16" t="s">
        <v>2</v>
      </c>
      <c r="F8" s="16" t="s">
        <v>2</v>
      </c>
      <c r="G8" s="16" t="s">
        <v>2</v>
      </c>
      <c r="H8" s="16" t="s">
        <v>2</v>
      </c>
      <c r="I8" s="17">
        <v>129</v>
      </c>
      <c r="J8" s="18"/>
      <c r="K8" s="18">
        <f>SUM(K9:K77)</f>
        <v>14864.5</v>
      </c>
    </row>
    <row r="9" spans="1:11">
      <c r="D9" s="19">
        <v>46030</v>
      </c>
      <c r="E9" s="20">
        <v>1568882</v>
      </c>
      <c r="F9" s="20" t="s">
        <v>21</v>
      </c>
      <c r="G9" s="21">
        <v>20003302</v>
      </c>
      <c r="H9" s="20" t="s">
        <v>67</v>
      </c>
      <c r="I9" s="21">
        <v>1</v>
      </c>
      <c r="J9" s="22">
        <v>88</v>
      </c>
      <c r="K9" s="22">
        <f>J9*I9</f>
        <v>88</v>
      </c>
    </row>
    <row r="10" spans="1:11">
      <c r="D10" s="19">
        <v>46030</v>
      </c>
      <c r="E10" s="20">
        <v>1568882</v>
      </c>
      <c r="F10" s="20" t="s">
        <v>21</v>
      </c>
      <c r="G10" s="21">
        <v>20003267</v>
      </c>
      <c r="H10" s="20" t="s">
        <v>68</v>
      </c>
      <c r="I10" s="21">
        <v>2</v>
      </c>
      <c r="J10" s="22">
        <v>148.5</v>
      </c>
      <c r="K10" s="22">
        <f t="shared" ref="K10:K41" si="0">J10*I10</f>
        <v>297</v>
      </c>
    </row>
    <row r="11" spans="1:11">
      <c r="D11" s="19">
        <v>46030</v>
      </c>
      <c r="E11" s="20">
        <v>1568882</v>
      </c>
      <c r="F11" s="20" t="s">
        <v>21</v>
      </c>
      <c r="G11" s="21">
        <v>20003403</v>
      </c>
      <c r="H11" s="20" t="s">
        <v>69</v>
      </c>
      <c r="I11" s="21">
        <v>1</v>
      </c>
      <c r="J11" s="22">
        <v>198</v>
      </c>
      <c r="K11" s="22">
        <f t="shared" si="0"/>
        <v>198</v>
      </c>
    </row>
    <row r="12" spans="1:11">
      <c r="D12" s="19">
        <v>46030</v>
      </c>
      <c r="E12" s="20">
        <v>1568882</v>
      </c>
      <c r="F12" s="20" t="s">
        <v>21</v>
      </c>
      <c r="G12" s="21">
        <v>20003472</v>
      </c>
      <c r="H12" s="20" t="s">
        <v>70</v>
      </c>
      <c r="I12" s="21">
        <v>1</v>
      </c>
      <c r="J12" s="22">
        <v>165</v>
      </c>
      <c r="K12" s="22">
        <f t="shared" si="0"/>
        <v>165</v>
      </c>
    </row>
    <row r="13" spans="1:11">
      <c r="D13" s="19">
        <v>46030</v>
      </c>
      <c r="E13" s="20">
        <v>1568882</v>
      </c>
      <c r="F13" s="20" t="s">
        <v>13</v>
      </c>
      <c r="G13" s="21">
        <v>20003397</v>
      </c>
      <c r="H13" s="20" t="s">
        <v>71</v>
      </c>
      <c r="I13" s="21">
        <v>2</v>
      </c>
      <c r="J13" s="22">
        <v>121</v>
      </c>
      <c r="K13" s="22">
        <f t="shared" si="0"/>
        <v>242</v>
      </c>
    </row>
    <row r="14" spans="1:11">
      <c r="D14" s="19">
        <v>46030</v>
      </c>
      <c r="E14" s="20">
        <v>1568882</v>
      </c>
      <c r="F14" s="20" t="s">
        <v>16</v>
      </c>
      <c r="G14" s="21">
        <v>20007281</v>
      </c>
      <c r="H14" s="20" t="s">
        <v>72</v>
      </c>
      <c r="I14" s="21">
        <v>1</v>
      </c>
      <c r="J14" s="22">
        <v>16.5</v>
      </c>
      <c r="K14" s="22">
        <f t="shared" si="0"/>
        <v>16.5</v>
      </c>
    </row>
    <row r="15" spans="1:11">
      <c r="D15" s="19">
        <v>46030</v>
      </c>
      <c r="E15" s="20">
        <v>1568882</v>
      </c>
      <c r="F15" s="20" t="s">
        <v>16</v>
      </c>
      <c r="G15" s="21">
        <v>20003474</v>
      </c>
      <c r="H15" s="20" t="s">
        <v>73</v>
      </c>
      <c r="I15" s="21">
        <v>3</v>
      </c>
      <c r="J15" s="22">
        <v>27.5</v>
      </c>
      <c r="K15" s="22">
        <f t="shared" si="0"/>
        <v>82.5</v>
      </c>
    </row>
    <row r="16" spans="1:11">
      <c r="D16" s="19">
        <v>46030</v>
      </c>
      <c r="E16" s="20">
        <v>1568882</v>
      </c>
      <c r="F16" s="20" t="s">
        <v>16</v>
      </c>
      <c r="G16" s="21">
        <v>20346184</v>
      </c>
      <c r="H16" s="20" t="s">
        <v>74</v>
      </c>
      <c r="I16" s="21">
        <v>1</v>
      </c>
      <c r="J16" s="22">
        <v>93.5</v>
      </c>
      <c r="K16" s="22">
        <f t="shared" si="0"/>
        <v>93.5</v>
      </c>
    </row>
    <row r="17" spans="4:11">
      <c r="D17" s="19">
        <v>46031</v>
      </c>
      <c r="E17" s="20">
        <v>1569062</v>
      </c>
      <c r="F17" s="20" t="s">
        <v>75</v>
      </c>
      <c r="G17" s="21">
        <v>20007989</v>
      </c>
      <c r="H17" s="20" t="s">
        <v>76</v>
      </c>
      <c r="I17" s="21">
        <v>1</v>
      </c>
      <c r="J17" s="22">
        <v>465</v>
      </c>
      <c r="K17" s="22">
        <f t="shared" si="0"/>
        <v>465</v>
      </c>
    </row>
    <row r="18" spans="4:11">
      <c r="D18" s="19">
        <v>46031</v>
      </c>
      <c r="E18" s="20">
        <v>1569245</v>
      </c>
      <c r="F18" s="20" t="s">
        <v>21</v>
      </c>
      <c r="G18" s="21">
        <v>20003296</v>
      </c>
      <c r="H18" s="20" t="s">
        <v>77</v>
      </c>
      <c r="I18" s="21">
        <v>1</v>
      </c>
      <c r="J18" s="22">
        <v>88</v>
      </c>
      <c r="K18" s="22">
        <f t="shared" si="0"/>
        <v>88</v>
      </c>
    </row>
    <row r="19" spans="4:11">
      <c r="D19" s="19">
        <v>46031</v>
      </c>
      <c r="E19" s="20">
        <v>1569245</v>
      </c>
      <c r="F19" s="20" t="s">
        <v>21</v>
      </c>
      <c r="G19" s="21">
        <v>20003267</v>
      </c>
      <c r="H19" s="20" t="s">
        <v>68</v>
      </c>
      <c r="I19" s="21">
        <v>1</v>
      </c>
      <c r="J19" s="22">
        <v>148.5</v>
      </c>
      <c r="K19" s="22">
        <f t="shared" si="0"/>
        <v>148.5</v>
      </c>
    </row>
    <row r="20" spans="4:11">
      <c r="D20" s="19">
        <v>46031</v>
      </c>
      <c r="E20" s="20">
        <v>1569245</v>
      </c>
      <c r="F20" s="20" t="s">
        <v>16</v>
      </c>
      <c r="G20" s="21">
        <v>20003474</v>
      </c>
      <c r="H20" s="20" t="s">
        <v>73</v>
      </c>
      <c r="I20" s="21">
        <v>1</v>
      </c>
      <c r="J20" s="22">
        <v>27.5</v>
      </c>
      <c r="K20" s="22">
        <f t="shared" si="0"/>
        <v>27.5</v>
      </c>
    </row>
    <row r="21" spans="4:11">
      <c r="D21" s="19">
        <v>46035</v>
      </c>
      <c r="E21" s="20">
        <v>1570096</v>
      </c>
      <c r="F21" s="20" t="s">
        <v>21</v>
      </c>
      <c r="G21" s="21">
        <v>20003472</v>
      </c>
      <c r="H21" s="20" t="s">
        <v>70</v>
      </c>
      <c r="I21" s="21">
        <v>1</v>
      </c>
      <c r="J21" s="22">
        <v>165</v>
      </c>
      <c r="K21" s="22">
        <f t="shared" si="0"/>
        <v>165</v>
      </c>
    </row>
    <row r="22" spans="4:11">
      <c r="D22" s="19">
        <v>46035</v>
      </c>
      <c r="E22" s="20">
        <v>1570149</v>
      </c>
      <c r="F22" s="20" t="s">
        <v>21</v>
      </c>
      <c r="G22" s="21">
        <v>20007279</v>
      </c>
      <c r="H22" s="20" t="s">
        <v>78</v>
      </c>
      <c r="I22" s="21">
        <v>1</v>
      </c>
      <c r="J22" s="22">
        <v>302.5</v>
      </c>
      <c r="K22" s="22">
        <f t="shared" si="0"/>
        <v>302.5</v>
      </c>
    </row>
    <row r="23" spans="4:11">
      <c r="D23" s="19">
        <v>46035</v>
      </c>
      <c r="E23" s="20">
        <v>1570149</v>
      </c>
      <c r="F23" s="20" t="s">
        <v>19</v>
      </c>
      <c r="G23" s="21">
        <v>20313788</v>
      </c>
      <c r="H23" s="20" t="s">
        <v>79</v>
      </c>
      <c r="I23" s="21">
        <v>1</v>
      </c>
      <c r="J23" s="22">
        <v>16.5</v>
      </c>
      <c r="K23" s="22">
        <f t="shared" si="0"/>
        <v>16.5</v>
      </c>
    </row>
    <row r="24" spans="4:11">
      <c r="D24" s="19">
        <v>46035</v>
      </c>
      <c r="E24" s="20">
        <v>1570149</v>
      </c>
      <c r="F24" s="20" t="s">
        <v>16</v>
      </c>
      <c r="G24" s="21">
        <v>20003474</v>
      </c>
      <c r="H24" s="20" t="s">
        <v>73</v>
      </c>
      <c r="I24" s="21">
        <v>2</v>
      </c>
      <c r="J24" s="22">
        <v>27.5</v>
      </c>
      <c r="K24" s="22">
        <f t="shared" si="0"/>
        <v>55</v>
      </c>
    </row>
    <row r="25" spans="4:11">
      <c r="D25" s="19">
        <v>46036</v>
      </c>
      <c r="E25" s="20">
        <v>1570434</v>
      </c>
      <c r="F25" s="20" t="s">
        <v>21</v>
      </c>
      <c r="G25" s="21">
        <v>20013468</v>
      </c>
      <c r="H25" s="20" t="s">
        <v>80</v>
      </c>
      <c r="I25" s="21">
        <v>4</v>
      </c>
      <c r="J25" s="22">
        <v>225.5</v>
      </c>
      <c r="K25" s="22">
        <f t="shared" si="0"/>
        <v>902</v>
      </c>
    </row>
    <row r="26" spans="4:11">
      <c r="D26" s="19">
        <v>46036</v>
      </c>
      <c r="E26" s="20">
        <v>1570434</v>
      </c>
      <c r="F26" s="20" t="s">
        <v>21</v>
      </c>
      <c r="G26" s="21">
        <v>20003472</v>
      </c>
      <c r="H26" s="20" t="s">
        <v>70</v>
      </c>
      <c r="I26" s="21">
        <v>1</v>
      </c>
      <c r="J26" s="22">
        <v>165</v>
      </c>
      <c r="K26" s="22">
        <f t="shared" si="0"/>
        <v>165</v>
      </c>
    </row>
    <row r="27" spans="4:11">
      <c r="D27" s="19">
        <v>46036</v>
      </c>
      <c r="E27" s="20">
        <v>1570434</v>
      </c>
      <c r="F27" s="20" t="s">
        <v>19</v>
      </c>
      <c r="G27" s="21">
        <v>20007979</v>
      </c>
      <c r="H27" s="20" t="s">
        <v>44</v>
      </c>
      <c r="I27" s="21">
        <v>3</v>
      </c>
      <c r="J27" s="22">
        <v>16.5</v>
      </c>
      <c r="K27" s="22">
        <f t="shared" si="0"/>
        <v>49.5</v>
      </c>
    </row>
    <row r="28" spans="4:11">
      <c r="D28" s="19">
        <v>46036</v>
      </c>
      <c r="E28" s="20">
        <v>1570434</v>
      </c>
      <c r="F28" s="20" t="s">
        <v>16</v>
      </c>
      <c r="G28" s="21">
        <v>20003474</v>
      </c>
      <c r="H28" s="20" t="s">
        <v>73</v>
      </c>
      <c r="I28" s="21">
        <v>5</v>
      </c>
      <c r="J28" s="22">
        <v>27.5</v>
      </c>
      <c r="K28" s="22">
        <f t="shared" si="0"/>
        <v>137.5</v>
      </c>
    </row>
    <row r="29" spans="4:11">
      <c r="D29" s="19">
        <v>46037</v>
      </c>
      <c r="E29" s="20">
        <v>1570809</v>
      </c>
      <c r="F29" s="20" t="s">
        <v>75</v>
      </c>
      <c r="G29" s="21">
        <v>20007990</v>
      </c>
      <c r="H29" s="20" t="s">
        <v>81</v>
      </c>
      <c r="I29" s="21">
        <v>1</v>
      </c>
      <c r="J29" s="22">
        <v>465</v>
      </c>
      <c r="K29" s="22">
        <f t="shared" si="0"/>
        <v>465</v>
      </c>
    </row>
    <row r="30" spans="4:11">
      <c r="D30" s="19">
        <v>46037</v>
      </c>
      <c r="E30" s="20">
        <v>1570884</v>
      </c>
      <c r="F30" s="20" t="s">
        <v>21</v>
      </c>
      <c r="G30" s="21">
        <v>20003267</v>
      </c>
      <c r="H30" s="20" t="s">
        <v>68</v>
      </c>
      <c r="I30" s="21">
        <v>2</v>
      </c>
      <c r="J30" s="22">
        <v>148.5</v>
      </c>
      <c r="K30" s="22">
        <f t="shared" si="0"/>
        <v>297</v>
      </c>
    </row>
    <row r="31" spans="4:11">
      <c r="D31" s="19">
        <v>46037</v>
      </c>
      <c r="E31" s="20">
        <v>1570884</v>
      </c>
      <c r="F31" s="20" t="s">
        <v>21</v>
      </c>
      <c r="G31" s="21">
        <v>20003403</v>
      </c>
      <c r="H31" s="20" t="s">
        <v>69</v>
      </c>
      <c r="I31" s="21">
        <v>1</v>
      </c>
      <c r="J31" s="22">
        <v>198</v>
      </c>
      <c r="K31" s="22">
        <f t="shared" si="0"/>
        <v>198</v>
      </c>
    </row>
    <row r="32" spans="4:11">
      <c r="D32" s="19">
        <v>46037</v>
      </c>
      <c r="E32" s="20">
        <v>1570884</v>
      </c>
      <c r="F32" s="20" t="s">
        <v>21</v>
      </c>
      <c r="G32" s="21">
        <v>20003396</v>
      </c>
      <c r="H32" s="20" t="s">
        <v>82</v>
      </c>
      <c r="I32" s="21">
        <v>1</v>
      </c>
      <c r="J32" s="22">
        <v>121</v>
      </c>
      <c r="K32" s="22">
        <f t="shared" si="0"/>
        <v>121</v>
      </c>
    </row>
    <row r="33" spans="4:11">
      <c r="D33" s="19">
        <v>46037</v>
      </c>
      <c r="E33" s="20">
        <v>1570884</v>
      </c>
      <c r="F33" s="20" t="s">
        <v>21</v>
      </c>
      <c r="G33" s="21">
        <v>20013468</v>
      </c>
      <c r="H33" s="20" t="s">
        <v>80</v>
      </c>
      <c r="I33" s="21">
        <v>5</v>
      </c>
      <c r="J33" s="22">
        <v>225.5</v>
      </c>
      <c r="K33" s="22">
        <f t="shared" si="0"/>
        <v>1127.5</v>
      </c>
    </row>
    <row r="34" spans="4:11">
      <c r="D34" s="19">
        <v>46037</v>
      </c>
      <c r="E34" s="20">
        <v>1570884</v>
      </c>
      <c r="F34" s="20" t="s">
        <v>19</v>
      </c>
      <c r="G34" s="21">
        <v>20007979</v>
      </c>
      <c r="H34" s="20" t="s">
        <v>44</v>
      </c>
      <c r="I34" s="21">
        <v>2</v>
      </c>
      <c r="J34" s="22">
        <v>16.5</v>
      </c>
      <c r="K34" s="22">
        <f t="shared" si="0"/>
        <v>33</v>
      </c>
    </row>
    <row r="35" spans="4:11">
      <c r="D35" s="19">
        <v>46037</v>
      </c>
      <c r="E35" s="20">
        <v>1570884</v>
      </c>
      <c r="F35" s="20" t="s">
        <v>16</v>
      </c>
      <c r="G35" s="21">
        <v>20003474</v>
      </c>
      <c r="H35" s="20" t="s">
        <v>73</v>
      </c>
      <c r="I35" s="21">
        <v>7</v>
      </c>
      <c r="J35" s="22">
        <v>27.5</v>
      </c>
      <c r="K35" s="22">
        <f t="shared" si="0"/>
        <v>192.5</v>
      </c>
    </row>
    <row r="36" spans="4:11">
      <c r="D36" s="19">
        <v>46038</v>
      </c>
      <c r="E36" s="20">
        <v>1571175</v>
      </c>
      <c r="F36" s="20" t="s">
        <v>21</v>
      </c>
      <c r="G36" s="21">
        <v>20007279</v>
      </c>
      <c r="H36" s="20" t="s">
        <v>78</v>
      </c>
      <c r="I36" s="21">
        <v>1</v>
      </c>
      <c r="J36" s="22">
        <v>302.5</v>
      </c>
      <c r="K36" s="22">
        <f t="shared" si="0"/>
        <v>302.5</v>
      </c>
    </row>
    <row r="37" spans="4:11">
      <c r="D37" s="19">
        <v>46038</v>
      </c>
      <c r="E37" s="20">
        <v>1571175</v>
      </c>
      <c r="F37" s="20" t="s">
        <v>19</v>
      </c>
      <c r="G37" s="21">
        <v>20401507</v>
      </c>
      <c r="H37" s="20" t="s">
        <v>83</v>
      </c>
      <c r="I37" s="21">
        <v>1</v>
      </c>
      <c r="J37" s="22">
        <v>16.5</v>
      </c>
      <c r="K37" s="22">
        <f t="shared" si="0"/>
        <v>16.5</v>
      </c>
    </row>
    <row r="38" spans="4:11">
      <c r="D38" s="19">
        <v>46038</v>
      </c>
      <c r="E38" s="20">
        <v>1571175</v>
      </c>
      <c r="F38" s="20" t="s">
        <v>19</v>
      </c>
      <c r="G38" s="21">
        <v>20313788</v>
      </c>
      <c r="H38" s="20" t="s">
        <v>79</v>
      </c>
      <c r="I38" s="21">
        <v>1</v>
      </c>
      <c r="J38" s="22">
        <v>16.5</v>
      </c>
      <c r="K38" s="22">
        <f t="shared" si="0"/>
        <v>16.5</v>
      </c>
    </row>
    <row r="39" spans="4:11">
      <c r="D39" s="19">
        <v>46038</v>
      </c>
      <c r="E39" s="20">
        <v>1571175</v>
      </c>
      <c r="F39" s="20" t="s">
        <v>16</v>
      </c>
      <c r="G39" s="21">
        <v>20003474</v>
      </c>
      <c r="H39" s="20" t="s">
        <v>73</v>
      </c>
      <c r="I39" s="21">
        <v>1</v>
      </c>
      <c r="J39" s="22">
        <v>27.5</v>
      </c>
      <c r="K39" s="22">
        <f t="shared" si="0"/>
        <v>27.5</v>
      </c>
    </row>
    <row r="40" spans="4:11">
      <c r="D40" s="19">
        <v>46041</v>
      </c>
      <c r="E40" s="20">
        <v>1571743</v>
      </c>
      <c r="F40" s="20" t="s">
        <v>21</v>
      </c>
      <c r="G40" s="21">
        <v>20003267</v>
      </c>
      <c r="H40" s="20" t="s">
        <v>68</v>
      </c>
      <c r="I40" s="21">
        <v>2</v>
      </c>
      <c r="J40" s="22">
        <v>148.5</v>
      </c>
      <c r="K40" s="22">
        <f t="shared" si="0"/>
        <v>297</v>
      </c>
    </row>
    <row r="41" spans="4:11">
      <c r="D41" s="19">
        <v>46041</v>
      </c>
      <c r="E41" s="20">
        <v>1571743</v>
      </c>
      <c r="F41" s="20" t="s">
        <v>21</v>
      </c>
      <c r="G41" s="21">
        <v>20003403</v>
      </c>
      <c r="H41" s="20" t="s">
        <v>69</v>
      </c>
      <c r="I41" s="21">
        <v>2</v>
      </c>
      <c r="J41" s="22">
        <v>198</v>
      </c>
      <c r="K41" s="22">
        <f t="shared" si="0"/>
        <v>396</v>
      </c>
    </row>
    <row r="42" spans="4:11">
      <c r="D42" s="19">
        <v>46041</v>
      </c>
      <c r="E42" s="20">
        <v>1571743</v>
      </c>
      <c r="F42" s="20" t="s">
        <v>21</v>
      </c>
      <c r="G42" s="21">
        <v>20013468</v>
      </c>
      <c r="H42" s="20" t="s">
        <v>80</v>
      </c>
      <c r="I42" s="21">
        <v>3</v>
      </c>
      <c r="J42" s="22">
        <v>225.5</v>
      </c>
      <c r="K42" s="22">
        <f t="shared" ref="K42:K77" si="1">J42*I42</f>
        <v>676.5</v>
      </c>
    </row>
    <row r="43" spans="4:11">
      <c r="D43" s="19">
        <v>46041</v>
      </c>
      <c r="E43" s="20">
        <v>1571743</v>
      </c>
      <c r="F43" s="20" t="s">
        <v>21</v>
      </c>
      <c r="G43" s="21">
        <v>20003472</v>
      </c>
      <c r="H43" s="20" t="s">
        <v>70</v>
      </c>
      <c r="I43" s="21">
        <v>2</v>
      </c>
      <c r="J43" s="22">
        <v>165</v>
      </c>
      <c r="K43" s="22">
        <f t="shared" si="1"/>
        <v>330</v>
      </c>
    </row>
    <row r="44" spans="4:11">
      <c r="D44" s="19">
        <v>46041</v>
      </c>
      <c r="E44" s="20">
        <v>1571743</v>
      </c>
      <c r="F44" s="20" t="s">
        <v>19</v>
      </c>
      <c r="G44" s="21">
        <v>20007979</v>
      </c>
      <c r="H44" s="20" t="s">
        <v>44</v>
      </c>
      <c r="I44" s="21">
        <v>2</v>
      </c>
      <c r="J44" s="22">
        <v>16.5</v>
      </c>
      <c r="K44" s="22">
        <f t="shared" si="1"/>
        <v>33</v>
      </c>
    </row>
    <row r="45" spans="4:11">
      <c r="D45" s="19">
        <v>46041</v>
      </c>
      <c r="E45" s="20">
        <v>1571743</v>
      </c>
      <c r="F45" s="20" t="s">
        <v>19</v>
      </c>
      <c r="G45" s="21">
        <v>20313788</v>
      </c>
      <c r="H45" s="20" t="s">
        <v>79</v>
      </c>
      <c r="I45" s="21">
        <v>1</v>
      </c>
      <c r="J45" s="22">
        <v>16.5</v>
      </c>
      <c r="K45" s="22">
        <f t="shared" si="1"/>
        <v>16.5</v>
      </c>
    </row>
    <row r="46" spans="4:11">
      <c r="D46" s="19">
        <v>46041</v>
      </c>
      <c r="E46" s="20">
        <v>1571743</v>
      </c>
      <c r="F46" s="20" t="s">
        <v>13</v>
      </c>
      <c r="G46" s="21">
        <v>20003397</v>
      </c>
      <c r="H46" s="20" t="s">
        <v>71</v>
      </c>
      <c r="I46" s="21">
        <v>3</v>
      </c>
      <c r="J46" s="22">
        <v>121</v>
      </c>
      <c r="K46" s="22">
        <f t="shared" si="1"/>
        <v>363</v>
      </c>
    </row>
    <row r="47" spans="4:11">
      <c r="D47" s="19">
        <v>46041</v>
      </c>
      <c r="E47" s="20">
        <v>1571743</v>
      </c>
      <c r="F47" s="20" t="s">
        <v>16</v>
      </c>
      <c r="G47" s="21">
        <v>20003474</v>
      </c>
      <c r="H47" s="20" t="s">
        <v>73</v>
      </c>
      <c r="I47" s="21">
        <v>7</v>
      </c>
      <c r="J47" s="22">
        <v>27.5</v>
      </c>
      <c r="K47" s="22">
        <f t="shared" si="1"/>
        <v>192.5</v>
      </c>
    </row>
    <row r="48" spans="4:11">
      <c r="D48" s="19">
        <v>46042</v>
      </c>
      <c r="E48" s="20">
        <v>1572023</v>
      </c>
      <c r="F48" s="20" t="s">
        <v>21</v>
      </c>
      <c r="G48" s="21">
        <v>20003267</v>
      </c>
      <c r="H48" s="20" t="s">
        <v>68</v>
      </c>
      <c r="I48" s="21">
        <v>2</v>
      </c>
      <c r="J48" s="22">
        <v>148.5</v>
      </c>
      <c r="K48" s="22">
        <f t="shared" si="1"/>
        <v>297</v>
      </c>
    </row>
    <row r="49" spans="4:11">
      <c r="D49" s="19">
        <v>46042</v>
      </c>
      <c r="E49" s="20">
        <v>1572023</v>
      </c>
      <c r="F49" s="20" t="s">
        <v>21</v>
      </c>
      <c r="G49" s="21">
        <v>20003403</v>
      </c>
      <c r="H49" s="20" t="s">
        <v>69</v>
      </c>
      <c r="I49" s="21">
        <v>2</v>
      </c>
      <c r="J49" s="22">
        <v>198</v>
      </c>
      <c r="K49" s="22">
        <f t="shared" si="1"/>
        <v>396</v>
      </c>
    </row>
    <row r="50" spans="4:11">
      <c r="D50" s="19">
        <v>46042</v>
      </c>
      <c r="E50" s="20">
        <v>1572023</v>
      </c>
      <c r="F50" s="20" t="s">
        <v>21</v>
      </c>
      <c r="G50" s="21">
        <v>20013468</v>
      </c>
      <c r="H50" s="20" t="s">
        <v>80</v>
      </c>
      <c r="I50" s="21">
        <v>1</v>
      </c>
      <c r="J50" s="22">
        <v>225.5</v>
      </c>
      <c r="K50" s="22">
        <f t="shared" si="1"/>
        <v>225.5</v>
      </c>
    </row>
    <row r="51" spans="4:11">
      <c r="D51" s="19">
        <v>46042</v>
      </c>
      <c r="E51" s="20">
        <v>1572023</v>
      </c>
      <c r="F51" s="20" t="s">
        <v>13</v>
      </c>
      <c r="G51" s="21">
        <v>20003397</v>
      </c>
      <c r="H51" s="20" t="s">
        <v>71</v>
      </c>
      <c r="I51" s="21">
        <v>1</v>
      </c>
      <c r="J51" s="22">
        <v>121</v>
      </c>
      <c r="K51" s="22">
        <f t="shared" si="1"/>
        <v>121</v>
      </c>
    </row>
    <row r="52" spans="4:11">
      <c r="D52" s="19">
        <v>46042</v>
      </c>
      <c r="E52" s="20">
        <v>1572023</v>
      </c>
      <c r="F52" s="20" t="s">
        <v>16</v>
      </c>
      <c r="G52" s="21">
        <v>20003474</v>
      </c>
      <c r="H52" s="20" t="s">
        <v>73</v>
      </c>
      <c r="I52" s="21">
        <v>3</v>
      </c>
      <c r="J52" s="22">
        <v>27.5</v>
      </c>
      <c r="K52" s="22">
        <f t="shared" si="1"/>
        <v>82.5</v>
      </c>
    </row>
    <row r="53" spans="4:11">
      <c r="D53" s="19">
        <v>46043</v>
      </c>
      <c r="E53" s="20">
        <v>1572418</v>
      </c>
      <c r="F53" s="20" t="s">
        <v>21</v>
      </c>
      <c r="G53" s="21">
        <v>20003396</v>
      </c>
      <c r="H53" s="20" t="s">
        <v>82</v>
      </c>
      <c r="I53" s="21">
        <v>1</v>
      </c>
      <c r="J53" s="22">
        <v>121</v>
      </c>
      <c r="K53" s="22">
        <f t="shared" si="1"/>
        <v>121</v>
      </c>
    </row>
    <row r="54" spans="4:11">
      <c r="D54" s="19">
        <v>46043</v>
      </c>
      <c r="E54" s="20">
        <v>1572418</v>
      </c>
      <c r="F54" s="20" t="s">
        <v>21</v>
      </c>
      <c r="G54" s="21">
        <v>20003472</v>
      </c>
      <c r="H54" s="20" t="s">
        <v>70</v>
      </c>
      <c r="I54" s="21">
        <v>1</v>
      </c>
      <c r="J54" s="22">
        <v>165</v>
      </c>
      <c r="K54" s="22">
        <f t="shared" si="1"/>
        <v>165</v>
      </c>
    </row>
    <row r="55" spans="4:11">
      <c r="D55" s="19">
        <v>46043</v>
      </c>
      <c r="E55" s="20">
        <v>1572418</v>
      </c>
      <c r="F55" s="20" t="s">
        <v>19</v>
      </c>
      <c r="G55" s="21">
        <v>20007979</v>
      </c>
      <c r="H55" s="20" t="s">
        <v>44</v>
      </c>
      <c r="I55" s="21">
        <v>1</v>
      </c>
      <c r="J55" s="22">
        <v>16.5</v>
      </c>
      <c r="K55" s="22">
        <f t="shared" si="1"/>
        <v>16.5</v>
      </c>
    </row>
    <row r="56" spans="4:11">
      <c r="D56" s="19">
        <v>46043</v>
      </c>
      <c r="E56" s="20">
        <v>1572418</v>
      </c>
      <c r="F56" s="20" t="s">
        <v>13</v>
      </c>
      <c r="G56" s="21">
        <v>20003397</v>
      </c>
      <c r="H56" s="20" t="s">
        <v>71</v>
      </c>
      <c r="I56" s="21">
        <v>2</v>
      </c>
      <c r="J56" s="22">
        <v>121</v>
      </c>
      <c r="K56" s="22">
        <f t="shared" si="1"/>
        <v>242</v>
      </c>
    </row>
    <row r="57" spans="4:11">
      <c r="D57" s="19">
        <v>46043</v>
      </c>
      <c r="E57" s="20">
        <v>1572418</v>
      </c>
      <c r="F57" s="20" t="s">
        <v>16</v>
      </c>
      <c r="G57" s="21">
        <v>20003474</v>
      </c>
      <c r="H57" s="20" t="s">
        <v>73</v>
      </c>
      <c r="I57" s="21">
        <v>1</v>
      </c>
      <c r="J57" s="22">
        <v>27.5</v>
      </c>
      <c r="K57" s="22">
        <f t="shared" si="1"/>
        <v>27.5</v>
      </c>
    </row>
    <row r="58" spans="4:11">
      <c r="D58" s="19">
        <v>46044</v>
      </c>
      <c r="E58" s="20">
        <v>1572762</v>
      </c>
      <c r="F58" s="20" t="s">
        <v>21</v>
      </c>
      <c r="G58" s="21">
        <v>20003267</v>
      </c>
      <c r="H58" s="20" t="s">
        <v>68</v>
      </c>
      <c r="I58" s="21">
        <v>1</v>
      </c>
      <c r="J58" s="22">
        <v>148.5</v>
      </c>
      <c r="K58" s="22">
        <f t="shared" si="1"/>
        <v>148.5</v>
      </c>
    </row>
    <row r="59" spans="4:11">
      <c r="D59" s="19">
        <v>46044</v>
      </c>
      <c r="E59" s="20">
        <v>1572762</v>
      </c>
      <c r="F59" s="20" t="s">
        <v>21</v>
      </c>
      <c r="G59" s="21">
        <v>20003403</v>
      </c>
      <c r="H59" s="20" t="s">
        <v>69</v>
      </c>
      <c r="I59" s="21">
        <v>1</v>
      </c>
      <c r="J59" s="22">
        <v>198</v>
      </c>
      <c r="K59" s="22">
        <f t="shared" si="1"/>
        <v>198</v>
      </c>
    </row>
    <row r="60" spans="4:11">
      <c r="D60" s="19">
        <v>46044</v>
      </c>
      <c r="E60" s="20">
        <v>1572762</v>
      </c>
      <c r="F60" s="20" t="s">
        <v>21</v>
      </c>
      <c r="G60" s="21">
        <v>20013468</v>
      </c>
      <c r="H60" s="20" t="s">
        <v>80</v>
      </c>
      <c r="I60" s="21">
        <v>3</v>
      </c>
      <c r="J60" s="22">
        <v>225.5</v>
      </c>
      <c r="K60" s="22">
        <f t="shared" si="1"/>
        <v>676.5</v>
      </c>
    </row>
    <row r="61" spans="4:11">
      <c r="D61" s="19">
        <v>46044</v>
      </c>
      <c r="E61" s="20">
        <v>1572762</v>
      </c>
      <c r="F61" s="20" t="s">
        <v>21</v>
      </c>
      <c r="G61" s="21">
        <v>20003472</v>
      </c>
      <c r="H61" s="20" t="s">
        <v>70</v>
      </c>
      <c r="I61" s="21">
        <v>1</v>
      </c>
      <c r="J61" s="22">
        <v>165</v>
      </c>
      <c r="K61" s="22">
        <f t="shared" si="1"/>
        <v>165</v>
      </c>
    </row>
    <row r="62" spans="4:11">
      <c r="D62" s="19">
        <v>46044</v>
      </c>
      <c r="E62" s="20">
        <v>1572762</v>
      </c>
      <c r="F62" s="20" t="s">
        <v>13</v>
      </c>
      <c r="G62" s="21">
        <v>20003397</v>
      </c>
      <c r="H62" s="20" t="s">
        <v>71</v>
      </c>
      <c r="I62" s="21">
        <v>2</v>
      </c>
      <c r="J62" s="22">
        <v>121</v>
      </c>
      <c r="K62" s="22">
        <f t="shared" si="1"/>
        <v>242</v>
      </c>
    </row>
    <row r="63" spans="4:11">
      <c r="D63" s="19">
        <v>46044</v>
      </c>
      <c r="E63" s="20">
        <v>1572762</v>
      </c>
      <c r="F63" s="20" t="s">
        <v>16</v>
      </c>
      <c r="G63" s="21">
        <v>20003474</v>
      </c>
      <c r="H63" s="20" t="s">
        <v>73</v>
      </c>
      <c r="I63" s="21">
        <v>3</v>
      </c>
      <c r="J63" s="22">
        <v>27.5</v>
      </c>
      <c r="K63" s="22">
        <f t="shared" si="1"/>
        <v>82.5</v>
      </c>
    </row>
    <row r="64" spans="4:11">
      <c r="D64" s="19">
        <v>46044</v>
      </c>
      <c r="E64" s="20">
        <v>1572903</v>
      </c>
      <c r="F64" s="20" t="s">
        <v>16</v>
      </c>
      <c r="G64" s="21">
        <v>20003474</v>
      </c>
      <c r="H64" s="20" t="s">
        <v>73</v>
      </c>
      <c r="I64" s="21">
        <v>1</v>
      </c>
      <c r="J64" s="22">
        <v>27.5</v>
      </c>
      <c r="K64" s="22">
        <f t="shared" si="1"/>
        <v>27.5</v>
      </c>
    </row>
    <row r="65" spans="4:11">
      <c r="D65" s="19">
        <v>46045</v>
      </c>
      <c r="E65" s="20">
        <v>1573099</v>
      </c>
      <c r="F65" s="20" t="s">
        <v>23</v>
      </c>
      <c r="G65" s="21">
        <v>20361118</v>
      </c>
      <c r="H65" s="20" t="s">
        <v>84</v>
      </c>
      <c r="I65" s="21">
        <v>1</v>
      </c>
      <c r="J65" s="22">
        <v>25</v>
      </c>
      <c r="K65" s="22">
        <f t="shared" si="1"/>
        <v>25</v>
      </c>
    </row>
    <row r="66" spans="4:11">
      <c r="D66" s="19">
        <v>46045</v>
      </c>
      <c r="E66" s="20">
        <v>1573166</v>
      </c>
      <c r="F66" s="20" t="s">
        <v>21</v>
      </c>
      <c r="G66" s="21">
        <v>20003403</v>
      </c>
      <c r="H66" s="20" t="s">
        <v>69</v>
      </c>
      <c r="I66" s="21">
        <v>2</v>
      </c>
      <c r="J66" s="22">
        <v>198</v>
      </c>
      <c r="K66" s="22">
        <f t="shared" si="1"/>
        <v>396</v>
      </c>
    </row>
    <row r="67" spans="4:11">
      <c r="D67" s="19">
        <v>46045</v>
      </c>
      <c r="E67" s="20">
        <v>1573166</v>
      </c>
      <c r="F67" s="20" t="s">
        <v>21</v>
      </c>
      <c r="G67" s="21">
        <v>20013468</v>
      </c>
      <c r="H67" s="20" t="s">
        <v>80</v>
      </c>
      <c r="I67" s="21">
        <v>1</v>
      </c>
      <c r="J67" s="22">
        <v>225.5</v>
      </c>
      <c r="K67" s="22">
        <f t="shared" si="1"/>
        <v>225.5</v>
      </c>
    </row>
    <row r="68" spans="4:11">
      <c r="D68" s="19">
        <v>46045</v>
      </c>
      <c r="E68" s="20">
        <v>1573166</v>
      </c>
      <c r="F68" s="20" t="s">
        <v>16</v>
      </c>
      <c r="G68" s="21">
        <v>20003474</v>
      </c>
      <c r="H68" s="20" t="s">
        <v>73</v>
      </c>
      <c r="I68" s="21">
        <v>1</v>
      </c>
      <c r="J68" s="22">
        <v>27.5</v>
      </c>
      <c r="K68" s="22">
        <f t="shared" si="1"/>
        <v>27.5</v>
      </c>
    </row>
    <row r="69" spans="4:11">
      <c r="D69" s="19">
        <v>46048</v>
      </c>
      <c r="E69" s="20">
        <v>1573598</v>
      </c>
      <c r="F69" s="20" t="s">
        <v>21</v>
      </c>
      <c r="G69" s="21">
        <v>20003267</v>
      </c>
      <c r="H69" s="20" t="s">
        <v>68</v>
      </c>
      <c r="I69" s="21">
        <v>2</v>
      </c>
      <c r="J69" s="22">
        <v>148.5</v>
      </c>
      <c r="K69" s="22">
        <f t="shared" si="1"/>
        <v>297</v>
      </c>
    </row>
    <row r="70" spans="4:11">
      <c r="D70" s="19">
        <v>46048</v>
      </c>
      <c r="E70" s="20">
        <v>1573598</v>
      </c>
      <c r="F70" s="20" t="s">
        <v>21</v>
      </c>
      <c r="G70" s="21">
        <v>20003403</v>
      </c>
      <c r="H70" s="20" t="s">
        <v>69</v>
      </c>
      <c r="I70" s="21">
        <v>1</v>
      </c>
      <c r="J70" s="22">
        <v>198</v>
      </c>
      <c r="K70" s="22">
        <f t="shared" si="1"/>
        <v>198</v>
      </c>
    </row>
    <row r="71" spans="4:11">
      <c r="D71" s="19">
        <v>46048</v>
      </c>
      <c r="E71" s="20">
        <v>1573598</v>
      </c>
      <c r="F71" s="20" t="s">
        <v>21</v>
      </c>
      <c r="G71" s="21">
        <v>20013468</v>
      </c>
      <c r="H71" s="20" t="s">
        <v>80</v>
      </c>
      <c r="I71" s="21">
        <v>2</v>
      </c>
      <c r="J71" s="22">
        <v>225.5</v>
      </c>
      <c r="K71" s="22">
        <f t="shared" si="1"/>
        <v>451</v>
      </c>
    </row>
    <row r="72" spans="4:11">
      <c r="D72" s="19">
        <v>46048</v>
      </c>
      <c r="E72" s="20">
        <v>1573598</v>
      </c>
      <c r="F72" s="20" t="s">
        <v>19</v>
      </c>
      <c r="G72" s="21">
        <v>20007979</v>
      </c>
      <c r="H72" s="20" t="s">
        <v>44</v>
      </c>
      <c r="I72" s="21">
        <v>1</v>
      </c>
      <c r="J72" s="22">
        <v>16.5</v>
      </c>
      <c r="K72" s="22">
        <f t="shared" si="1"/>
        <v>16.5</v>
      </c>
    </row>
    <row r="73" spans="4:11">
      <c r="D73" s="19">
        <v>46048</v>
      </c>
      <c r="E73" s="20">
        <v>1573598</v>
      </c>
      <c r="F73" s="20" t="s">
        <v>13</v>
      </c>
      <c r="G73" s="21">
        <v>20003397</v>
      </c>
      <c r="H73" s="20" t="s">
        <v>71</v>
      </c>
      <c r="I73" s="21">
        <v>1</v>
      </c>
      <c r="J73" s="22">
        <v>121</v>
      </c>
      <c r="K73" s="22">
        <f t="shared" si="1"/>
        <v>121</v>
      </c>
    </row>
    <row r="74" spans="4:11">
      <c r="D74" s="19">
        <v>46048</v>
      </c>
      <c r="E74" s="20">
        <v>1573598</v>
      </c>
      <c r="F74" s="20" t="s">
        <v>16</v>
      </c>
      <c r="G74" s="21">
        <v>20003474</v>
      </c>
      <c r="H74" s="20" t="s">
        <v>73</v>
      </c>
      <c r="I74" s="21">
        <v>4</v>
      </c>
      <c r="J74" s="22">
        <v>27.5</v>
      </c>
      <c r="K74" s="22">
        <f t="shared" si="1"/>
        <v>110</v>
      </c>
    </row>
    <row r="75" spans="4:11">
      <c r="D75" s="19">
        <v>46049</v>
      </c>
      <c r="E75" s="20">
        <v>1574018</v>
      </c>
      <c r="F75" s="20" t="s">
        <v>21</v>
      </c>
      <c r="G75" s="21">
        <v>20003403</v>
      </c>
      <c r="H75" s="20" t="s">
        <v>69</v>
      </c>
      <c r="I75" s="21">
        <v>1</v>
      </c>
      <c r="J75" s="22">
        <v>198</v>
      </c>
      <c r="K75" s="22">
        <f t="shared" si="1"/>
        <v>198</v>
      </c>
    </row>
    <row r="76" spans="4:11">
      <c r="D76" s="19">
        <v>46049</v>
      </c>
      <c r="E76" s="20">
        <v>1574018</v>
      </c>
      <c r="F76" s="20" t="s">
        <v>21</v>
      </c>
      <c r="G76" s="21">
        <v>20013468</v>
      </c>
      <c r="H76" s="20" t="s">
        <v>80</v>
      </c>
      <c r="I76" s="21">
        <v>3</v>
      </c>
      <c r="J76" s="22">
        <v>225.5</v>
      </c>
      <c r="K76" s="22">
        <f t="shared" si="1"/>
        <v>676.5</v>
      </c>
    </row>
    <row r="77" spans="4:11">
      <c r="D77" s="19">
        <v>46049</v>
      </c>
      <c r="E77" s="20">
        <v>1574018</v>
      </c>
      <c r="F77" s="20" t="s">
        <v>16</v>
      </c>
      <c r="G77" s="21">
        <v>20003474</v>
      </c>
      <c r="H77" s="20" t="s">
        <v>73</v>
      </c>
      <c r="I77" s="21">
        <v>3</v>
      </c>
      <c r="J77" s="22">
        <v>27.5</v>
      </c>
      <c r="K77" s="22">
        <f t="shared" si="1"/>
        <v>82.5</v>
      </c>
    </row>
  </sheetData>
  <autoFilter xmlns:etc="http://www.wps.cn/officeDocument/2017/etCustomData" ref="A7:K77" etc:filterBottomFollowUsedRange="0">
    <extLst/>
  </autoFilter>
  <mergeCells count="5">
    <mergeCell ref="D8:H8"/>
    <mergeCell ref="C7:C77"/>
    <mergeCell ref="B4:H5"/>
    <mergeCell ref="C1:H2"/>
    <mergeCell ref="A7:B77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12:28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view="pageBreakPreview" zoomScaleNormal="100" topLeftCell="A2" workbookViewId="0">
      <selection activeCell="J44" sqref="J44"/>
    </sheetView>
  </sheetViews>
  <sheetFormatPr defaultColWidth="9" defaultRowHeight="13.5" outlineLevelCol="7"/>
  <cols>
    <col min="1" max="2" width="10.25" customWidth="1"/>
    <col min="3" max="3" width="14.625" customWidth="1"/>
    <col min="4" max="4" width="12.125" customWidth="1"/>
    <col min="5" max="5" width="24" customWidth="1"/>
    <col min="6" max="6" width="7.75" customWidth="1"/>
    <col min="7" max="7" width="9.375" customWidth="1"/>
    <col min="8" max="8" width="13.125" customWidth="1"/>
  </cols>
  <sheetData>
    <row r="1" customFormat="1" ht="40" customHeight="1" spans="1:8">
      <c r="A1" s="1" t="s">
        <v>85</v>
      </c>
      <c r="B1" s="1"/>
      <c r="C1" s="1"/>
      <c r="D1" s="1"/>
      <c r="E1" s="1"/>
      <c r="F1" s="1"/>
      <c r="G1" s="1"/>
      <c r="H1" s="1"/>
    </row>
    <row r="2" customFormat="1" customHeight="1" spans="1:8">
      <c r="A2" s="2" t="s">
        <v>86</v>
      </c>
      <c r="B2" s="2"/>
      <c r="C2" s="2"/>
      <c r="D2" s="2"/>
      <c r="E2" s="2"/>
      <c r="F2" s="2"/>
      <c r="G2" s="2"/>
      <c r="H2" s="2"/>
    </row>
    <row r="3" customFormat="1" customHeight="1" spans="1:8">
      <c r="A3" s="2"/>
      <c r="B3" s="2"/>
      <c r="C3" s="2"/>
      <c r="D3" s="2"/>
      <c r="E3" s="2"/>
      <c r="F3" s="2"/>
      <c r="G3" s="2"/>
      <c r="H3" s="2"/>
    </row>
    <row r="4" customFormat="1" customHeight="1" spans="1:8">
      <c r="A4" s="2"/>
      <c r="B4" s="2"/>
      <c r="C4" s="2"/>
      <c r="D4" s="2"/>
      <c r="E4" s="2"/>
      <c r="F4" s="2"/>
      <c r="G4" s="2"/>
      <c r="H4" s="2"/>
    </row>
    <row r="5" customFormat="1" customHeight="1" spans="1:8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</row>
    <row r="6" spans="1:8">
      <c r="A6" s="4">
        <v>46040</v>
      </c>
      <c r="B6" s="5">
        <v>1571488</v>
      </c>
      <c r="C6" s="5" t="s">
        <v>21</v>
      </c>
      <c r="D6" s="6">
        <v>20007712</v>
      </c>
      <c r="E6" s="5" t="s">
        <v>43</v>
      </c>
      <c r="F6" s="6">
        <v>4</v>
      </c>
      <c r="G6" s="7">
        <v>121</v>
      </c>
      <c r="H6" s="7">
        <f t="shared" ref="H6:H14" si="0">F6*G6</f>
        <v>484</v>
      </c>
    </row>
    <row r="7" spans="1:8">
      <c r="A7" s="4">
        <v>46040</v>
      </c>
      <c r="B7" s="5">
        <v>1571488</v>
      </c>
      <c r="C7" s="5" t="s">
        <v>19</v>
      </c>
      <c r="D7" s="6">
        <v>20315475</v>
      </c>
      <c r="E7" s="5" t="s">
        <v>87</v>
      </c>
      <c r="F7" s="6">
        <v>1</v>
      </c>
      <c r="G7" s="7">
        <v>8</v>
      </c>
      <c r="H7" s="7">
        <f t="shared" si="0"/>
        <v>8</v>
      </c>
    </row>
    <row r="8" spans="1:8">
      <c r="A8" s="4">
        <v>46040</v>
      </c>
      <c r="B8" s="5">
        <v>1571488</v>
      </c>
      <c r="C8" s="5" t="s">
        <v>19</v>
      </c>
      <c r="D8" s="6">
        <v>20007950</v>
      </c>
      <c r="E8" s="5" t="s">
        <v>62</v>
      </c>
      <c r="F8" s="6">
        <v>2</v>
      </c>
      <c r="G8" s="7">
        <v>13</v>
      </c>
      <c r="H8" s="7">
        <f t="shared" si="0"/>
        <v>26</v>
      </c>
    </row>
    <row r="9" spans="1:8">
      <c r="A9" s="4">
        <v>46040</v>
      </c>
      <c r="B9" s="5">
        <v>1571488</v>
      </c>
      <c r="C9" s="5" t="s">
        <v>19</v>
      </c>
      <c r="D9" s="6">
        <v>20007979</v>
      </c>
      <c r="E9" s="5" t="s">
        <v>44</v>
      </c>
      <c r="F9" s="6">
        <v>1</v>
      </c>
      <c r="G9" s="7">
        <v>16.5</v>
      </c>
      <c r="H9" s="7">
        <f t="shared" si="0"/>
        <v>16.5</v>
      </c>
    </row>
    <row r="10" spans="1:8">
      <c r="A10" s="4">
        <v>46040</v>
      </c>
      <c r="B10" s="5">
        <v>1571488</v>
      </c>
      <c r="C10" s="5" t="s">
        <v>19</v>
      </c>
      <c r="D10" s="6">
        <v>20004752</v>
      </c>
      <c r="E10" s="5" t="s">
        <v>39</v>
      </c>
      <c r="F10" s="6">
        <v>2</v>
      </c>
      <c r="G10" s="7">
        <v>8</v>
      </c>
      <c r="H10" s="7">
        <f t="shared" si="0"/>
        <v>16</v>
      </c>
    </row>
    <row r="11" spans="1:8">
      <c r="A11" s="4">
        <v>46040</v>
      </c>
      <c r="B11" s="5">
        <v>1571488</v>
      </c>
      <c r="C11" s="5" t="s">
        <v>19</v>
      </c>
      <c r="D11" s="6">
        <v>20316874</v>
      </c>
      <c r="E11" s="5" t="s">
        <v>45</v>
      </c>
      <c r="F11" s="6">
        <v>1</v>
      </c>
      <c r="G11" s="7">
        <v>16</v>
      </c>
      <c r="H11" s="7">
        <f t="shared" si="0"/>
        <v>16</v>
      </c>
    </row>
    <row r="12" spans="1:8">
      <c r="A12" s="4">
        <v>46040</v>
      </c>
      <c r="B12" s="5">
        <v>1571488</v>
      </c>
      <c r="C12" s="5" t="s">
        <v>13</v>
      </c>
      <c r="D12" s="6">
        <v>20007893</v>
      </c>
      <c r="E12" s="5" t="s">
        <v>56</v>
      </c>
      <c r="F12" s="6">
        <v>2</v>
      </c>
      <c r="G12" s="7">
        <v>38.5</v>
      </c>
      <c r="H12" s="7">
        <f t="shared" si="0"/>
        <v>77</v>
      </c>
    </row>
    <row r="13" spans="1:8">
      <c r="A13" s="4">
        <v>46040</v>
      </c>
      <c r="B13" s="5">
        <v>1571488</v>
      </c>
      <c r="C13" s="5" t="s">
        <v>13</v>
      </c>
      <c r="D13" s="6">
        <v>20004550</v>
      </c>
      <c r="E13" s="5" t="s">
        <v>42</v>
      </c>
      <c r="F13" s="6">
        <v>2</v>
      </c>
      <c r="G13" s="7">
        <v>110</v>
      </c>
      <c r="H13" s="7">
        <f t="shared" si="0"/>
        <v>220</v>
      </c>
    </row>
    <row r="14" spans="1:8">
      <c r="A14" s="4">
        <v>46040</v>
      </c>
      <c r="B14" s="5">
        <v>1571488</v>
      </c>
      <c r="C14" s="5" t="s">
        <v>16</v>
      </c>
      <c r="D14" s="6">
        <v>20345933</v>
      </c>
      <c r="E14" s="5" t="s">
        <v>46</v>
      </c>
      <c r="F14" s="6">
        <v>6</v>
      </c>
      <c r="G14" s="7">
        <v>110</v>
      </c>
      <c r="H14" s="7">
        <f t="shared" si="0"/>
        <v>660</v>
      </c>
    </row>
    <row r="15" spans="1:8">
      <c r="A15" s="8" t="s">
        <v>88</v>
      </c>
      <c r="B15" s="8"/>
      <c r="C15" s="8"/>
      <c r="D15" s="8"/>
      <c r="E15" s="8"/>
      <c r="F15" s="8"/>
      <c r="G15" s="8"/>
      <c r="H15" s="7">
        <f>SUM(H6:H14)</f>
        <v>1523.5</v>
      </c>
    </row>
    <row r="18" spans="1:8">
      <c r="A18" s="2" t="s">
        <v>89</v>
      </c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3" t="s">
        <v>4</v>
      </c>
      <c r="B21" s="3" t="s">
        <v>5</v>
      </c>
      <c r="C21" s="3" t="s">
        <v>6</v>
      </c>
      <c r="D21" s="3" t="s">
        <v>7</v>
      </c>
      <c r="E21" s="3" t="s">
        <v>8</v>
      </c>
      <c r="F21" s="3" t="s">
        <v>9</v>
      </c>
      <c r="G21" s="3" t="s">
        <v>10</v>
      </c>
      <c r="H21" s="3" t="s">
        <v>11</v>
      </c>
    </row>
    <row r="22" spans="1:8">
      <c r="A22" s="4">
        <v>46046</v>
      </c>
      <c r="B22" s="5">
        <v>1573328</v>
      </c>
      <c r="C22" s="5" t="s">
        <v>21</v>
      </c>
      <c r="D22" s="6">
        <v>20004648</v>
      </c>
      <c r="E22" s="5" t="s">
        <v>22</v>
      </c>
      <c r="F22" s="6">
        <v>1</v>
      </c>
      <c r="G22" s="7">
        <v>49.5</v>
      </c>
      <c r="H22" s="7">
        <f t="shared" ref="H22:H38" si="1">F22*G22</f>
        <v>49.5</v>
      </c>
    </row>
    <row r="23" spans="1:8">
      <c r="A23" s="4">
        <v>46046</v>
      </c>
      <c r="B23" s="5">
        <v>1573328</v>
      </c>
      <c r="C23" s="5" t="s">
        <v>13</v>
      </c>
      <c r="D23" s="6">
        <v>20004647</v>
      </c>
      <c r="E23" s="5" t="s">
        <v>18</v>
      </c>
      <c r="F23" s="6">
        <v>2</v>
      </c>
      <c r="G23" s="7">
        <v>16.5</v>
      </c>
      <c r="H23" s="7">
        <f t="shared" si="1"/>
        <v>33</v>
      </c>
    </row>
    <row r="24" spans="1:8">
      <c r="A24" s="4">
        <v>46046</v>
      </c>
      <c r="B24" s="5">
        <v>1573328</v>
      </c>
      <c r="C24" s="5" t="s">
        <v>13</v>
      </c>
      <c r="D24" s="6">
        <v>20353322</v>
      </c>
      <c r="E24" s="5" t="s">
        <v>14</v>
      </c>
      <c r="F24" s="6">
        <v>2</v>
      </c>
      <c r="G24" s="7">
        <v>22</v>
      </c>
      <c r="H24" s="7">
        <f t="shared" si="1"/>
        <v>44</v>
      </c>
    </row>
    <row r="25" spans="1:8">
      <c r="A25" s="4">
        <v>46046</v>
      </c>
      <c r="B25" s="5">
        <v>1573329</v>
      </c>
      <c r="C25" s="5" t="s">
        <v>21</v>
      </c>
      <c r="D25" s="6">
        <v>20007712</v>
      </c>
      <c r="E25" s="5" t="s">
        <v>43</v>
      </c>
      <c r="F25" s="6">
        <v>1</v>
      </c>
      <c r="G25" s="7">
        <v>121</v>
      </c>
      <c r="H25" s="7">
        <f t="shared" si="1"/>
        <v>121</v>
      </c>
    </row>
    <row r="26" spans="1:8">
      <c r="A26" s="4">
        <v>46046</v>
      </c>
      <c r="B26" s="5">
        <v>1573329</v>
      </c>
      <c r="C26" s="5" t="s">
        <v>19</v>
      </c>
      <c r="D26" s="6">
        <v>20007979</v>
      </c>
      <c r="E26" s="5" t="s">
        <v>44</v>
      </c>
      <c r="F26" s="6">
        <v>1</v>
      </c>
      <c r="G26" s="7">
        <v>16.5</v>
      </c>
      <c r="H26" s="7">
        <f t="shared" si="1"/>
        <v>16.5</v>
      </c>
    </row>
    <row r="27" spans="1:8">
      <c r="A27" s="4">
        <v>46046</v>
      </c>
      <c r="B27" s="5">
        <v>1573329</v>
      </c>
      <c r="C27" s="5" t="s">
        <v>19</v>
      </c>
      <c r="D27" s="6">
        <v>20008120</v>
      </c>
      <c r="E27" s="5" t="s">
        <v>90</v>
      </c>
      <c r="F27" s="6">
        <v>1</v>
      </c>
      <c r="G27" s="7">
        <v>16.5</v>
      </c>
      <c r="H27" s="7">
        <f t="shared" si="1"/>
        <v>16.5</v>
      </c>
    </row>
    <row r="28" spans="1:8">
      <c r="A28" s="4">
        <v>46046</v>
      </c>
      <c r="B28" s="5">
        <v>1573329</v>
      </c>
      <c r="C28" s="5" t="s">
        <v>19</v>
      </c>
      <c r="D28" s="6">
        <v>20004752</v>
      </c>
      <c r="E28" s="5" t="s">
        <v>39</v>
      </c>
      <c r="F28" s="6">
        <v>1</v>
      </c>
      <c r="G28" s="7">
        <v>8</v>
      </c>
      <c r="H28" s="7">
        <f t="shared" si="1"/>
        <v>8</v>
      </c>
    </row>
    <row r="29" spans="1:8">
      <c r="A29" s="4">
        <v>46046</v>
      </c>
      <c r="B29" s="5">
        <v>1573329</v>
      </c>
      <c r="C29" s="5" t="s">
        <v>19</v>
      </c>
      <c r="D29" s="6">
        <v>20341688</v>
      </c>
      <c r="E29" s="5" t="s">
        <v>29</v>
      </c>
      <c r="F29" s="6">
        <v>1</v>
      </c>
      <c r="G29" s="7">
        <v>22</v>
      </c>
      <c r="H29" s="7">
        <f t="shared" si="1"/>
        <v>22</v>
      </c>
    </row>
    <row r="30" spans="1:8">
      <c r="A30" s="4">
        <v>46046</v>
      </c>
      <c r="B30" s="5">
        <v>1573329</v>
      </c>
      <c r="C30" s="5" t="s">
        <v>19</v>
      </c>
      <c r="D30" s="6">
        <v>20316874</v>
      </c>
      <c r="E30" s="5" t="s">
        <v>45</v>
      </c>
      <c r="F30" s="6">
        <v>1</v>
      </c>
      <c r="G30" s="7">
        <v>16</v>
      </c>
      <c r="H30" s="7">
        <f t="shared" si="1"/>
        <v>16</v>
      </c>
    </row>
    <row r="31" spans="1:8">
      <c r="A31" s="4">
        <v>46046</v>
      </c>
      <c r="B31" s="5">
        <v>1573329</v>
      </c>
      <c r="C31" s="5" t="s">
        <v>19</v>
      </c>
      <c r="D31" s="6">
        <v>20315474</v>
      </c>
      <c r="E31" s="5" t="s">
        <v>30</v>
      </c>
      <c r="F31" s="6">
        <v>1</v>
      </c>
      <c r="G31" s="7">
        <v>8</v>
      </c>
      <c r="H31" s="7">
        <f t="shared" si="1"/>
        <v>8</v>
      </c>
    </row>
    <row r="32" spans="1:8">
      <c r="A32" s="4">
        <v>46046</v>
      </c>
      <c r="B32" s="5">
        <v>1573329</v>
      </c>
      <c r="C32" s="5" t="s">
        <v>19</v>
      </c>
      <c r="D32" s="6">
        <v>20346020</v>
      </c>
      <c r="E32" s="5" t="s">
        <v>40</v>
      </c>
      <c r="F32" s="6">
        <v>1</v>
      </c>
      <c r="G32" s="7">
        <v>16</v>
      </c>
      <c r="H32" s="7">
        <f t="shared" si="1"/>
        <v>16</v>
      </c>
    </row>
    <row r="33" spans="1:8">
      <c r="A33" s="4">
        <v>46046</v>
      </c>
      <c r="B33" s="5">
        <v>1573329</v>
      </c>
      <c r="C33" s="5" t="s">
        <v>16</v>
      </c>
      <c r="D33" s="6">
        <v>20345933</v>
      </c>
      <c r="E33" s="5" t="s">
        <v>46</v>
      </c>
      <c r="F33" s="6">
        <v>9</v>
      </c>
      <c r="G33" s="7">
        <v>110</v>
      </c>
      <c r="H33" s="7">
        <f t="shared" si="1"/>
        <v>990</v>
      </c>
    </row>
    <row r="34" spans="1:8">
      <c r="A34" s="4">
        <v>46046</v>
      </c>
      <c r="B34" s="5">
        <v>1573329</v>
      </c>
      <c r="C34" s="5" t="s">
        <v>16</v>
      </c>
      <c r="D34" s="6">
        <v>20345947</v>
      </c>
      <c r="E34" s="5" t="s">
        <v>51</v>
      </c>
      <c r="F34" s="6">
        <v>1</v>
      </c>
      <c r="G34" s="7">
        <v>71.5</v>
      </c>
      <c r="H34" s="7">
        <f t="shared" si="1"/>
        <v>71.5</v>
      </c>
    </row>
    <row r="35" spans="1:8">
      <c r="A35" s="4">
        <v>46046</v>
      </c>
      <c r="B35" s="5">
        <v>1573329</v>
      </c>
      <c r="C35" s="5" t="s">
        <v>16</v>
      </c>
      <c r="D35" s="6">
        <v>20409975</v>
      </c>
      <c r="E35" s="5" t="s">
        <v>57</v>
      </c>
      <c r="F35" s="6">
        <v>1</v>
      </c>
      <c r="G35" s="7">
        <v>22</v>
      </c>
      <c r="H35" s="7">
        <f t="shared" si="1"/>
        <v>22</v>
      </c>
    </row>
    <row r="36" spans="1:8">
      <c r="A36" s="4">
        <v>46046</v>
      </c>
      <c r="B36" s="5">
        <v>1573329</v>
      </c>
      <c r="C36" s="5" t="s">
        <v>16</v>
      </c>
      <c r="D36" s="6">
        <v>20409936</v>
      </c>
      <c r="E36" s="5" t="s">
        <v>58</v>
      </c>
      <c r="F36" s="6">
        <v>1</v>
      </c>
      <c r="G36" s="7">
        <v>137.5</v>
      </c>
      <c r="H36" s="7">
        <f t="shared" si="1"/>
        <v>137.5</v>
      </c>
    </row>
    <row r="37" spans="1:8">
      <c r="A37" s="4">
        <v>46046</v>
      </c>
      <c r="B37" s="5">
        <v>1573332</v>
      </c>
      <c r="C37" s="5" t="s">
        <v>19</v>
      </c>
      <c r="D37" s="6">
        <v>20004752</v>
      </c>
      <c r="E37" s="5" t="s">
        <v>39</v>
      </c>
      <c r="F37" s="6">
        <v>1</v>
      </c>
      <c r="G37" s="7">
        <v>8</v>
      </c>
      <c r="H37" s="7">
        <f t="shared" si="1"/>
        <v>8</v>
      </c>
    </row>
    <row r="38" spans="1:8">
      <c r="A38" s="4">
        <v>46046</v>
      </c>
      <c r="B38" s="5">
        <v>1573355</v>
      </c>
      <c r="C38" s="5" t="s">
        <v>54</v>
      </c>
      <c r="D38" s="6">
        <v>20008060</v>
      </c>
      <c r="E38" s="5" t="s">
        <v>55</v>
      </c>
      <c r="F38" s="6">
        <v>4</v>
      </c>
      <c r="G38" s="7">
        <v>2.5</v>
      </c>
      <c r="H38" s="7">
        <f t="shared" si="1"/>
        <v>10</v>
      </c>
    </row>
    <row r="39" spans="1:8">
      <c r="A39" s="4">
        <v>46046</v>
      </c>
      <c r="B39" s="5">
        <v>1573330</v>
      </c>
      <c r="C39" s="5" t="s">
        <v>21</v>
      </c>
      <c r="D39" s="6">
        <v>20003267</v>
      </c>
      <c r="E39" s="5" t="s">
        <v>68</v>
      </c>
      <c r="F39" s="6">
        <v>3</v>
      </c>
      <c r="G39" s="7">
        <v>148.5</v>
      </c>
      <c r="H39" s="7">
        <v>445.5</v>
      </c>
    </row>
    <row r="40" spans="1:8">
      <c r="A40" s="4">
        <v>46046</v>
      </c>
      <c r="B40" s="5">
        <v>1573330</v>
      </c>
      <c r="C40" s="5" t="s">
        <v>21</v>
      </c>
      <c r="D40" s="6">
        <v>20003403</v>
      </c>
      <c r="E40" s="5" t="s">
        <v>69</v>
      </c>
      <c r="F40" s="6">
        <v>2</v>
      </c>
      <c r="G40" s="7">
        <v>198</v>
      </c>
      <c r="H40" s="7">
        <v>396</v>
      </c>
    </row>
    <row r="41" spans="1:8">
      <c r="A41" s="4">
        <v>46046</v>
      </c>
      <c r="B41" s="5">
        <v>1573330</v>
      </c>
      <c r="C41" s="5" t="s">
        <v>21</v>
      </c>
      <c r="D41" s="6">
        <v>20013468</v>
      </c>
      <c r="E41" s="5" t="s">
        <v>80</v>
      </c>
      <c r="F41" s="6">
        <v>2</v>
      </c>
      <c r="G41" s="7">
        <v>225.5</v>
      </c>
      <c r="H41" s="7">
        <v>451</v>
      </c>
    </row>
    <row r="42" spans="1:8">
      <c r="A42" s="4">
        <v>46046</v>
      </c>
      <c r="B42" s="5">
        <v>1573330</v>
      </c>
      <c r="C42" s="5" t="s">
        <v>19</v>
      </c>
      <c r="D42" s="6">
        <v>20007979</v>
      </c>
      <c r="E42" s="5" t="s">
        <v>44</v>
      </c>
      <c r="F42" s="6">
        <v>1</v>
      </c>
      <c r="G42" s="7">
        <v>16.5</v>
      </c>
      <c r="H42" s="7">
        <v>16.5</v>
      </c>
    </row>
    <row r="43" spans="1:8">
      <c r="A43" s="4">
        <v>46046</v>
      </c>
      <c r="B43" s="5">
        <v>1573330</v>
      </c>
      <c r="C43" s="5" t="s">
        <v>16</v>
      </c>
      <c r="D43" s="6">
        <v>20003474</v>
      </c>
      <c r="E43" s="5" t="s">
        <v>73</v>
      </c>
      <c r="F43" s="6">
        <v>5</v>
      </c>
      <c r="G43" s="7">
        <v>27.5</v>
      </c>
      <c r="H43" s="7">
        <v>137.5</v>
      </c>
    </row>
    <row r="44" spans="1:8">
      <c r="A44" s="8" t="s">
        <v>88</v>
      </c>
      <c r="B44" s="8"/>
      <c r="C44" s="8"/>
      <c r="D44" s="8"/>
      <c r="E44" s="8"/>
      <c r="F44" s="8"/>
      <c r="G44" s="8"/>
      <c r="H44" s="7">
        <f>SUM(H22:H43)</f>
        <v>3036</v>
      </c>
    </row>
  </sheetData>
  <autoFilter xmlns:etc="http://www.wps.cn/officeDocument/2017/etCustomData" ref="A21:H44" etc:filterBottomFollowUsedRange="0">
    <extLst/>
  </autoFilter>
  <mergeCells count="5">
    <mergeCell ref="A1:H1"/>
    <mergeCell ref="A15:G15"/>
    <mergeCell ref="A44:G44"/>
    <mergeCell ref="A2:H4"/>
    <mergeCell ref="A18:H20"/>
  </mergeCells>
  <pageMargins left="0.25" right="0.25" top="0.75" bottom="0.75" header="0.298611111111111" footer="0.298611111111111"/>
  <pageSetup paperSize="9" scale="9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分娩室</vt:lpstr>
      <vt:lpstr>门诊手术室</vt:lpstr>
      <vt:lpstr>手术室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2026-02-02T04:29:00Z</dcterms:created>
  <dcterms:modified xsi:type="dcterms:W3CDTF">2026-02-03T00:01:43Z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B71ACB245CDE461CB6AF33A208D58806_13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