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汇总" sheetId="10" r:id="rId1"/>
    <sheet name="妇科" sheetId="1" r:id="rId2"/>
    <sheet name="美容科" sheetId="2" r:id="rId3"/>
    <sheet name="肾六" sheetId="3" r:id="rId4"/>
    <sheet name="肾五科" sheetId="4" r:id="rId5"/>
    <sheet name="手术室" sheetId="5" r:id="rId6"/>
    <sheet name="外二肛肠二科" sheetId="6" r:id="rId7"/>
    <sheet name="针三科" sheetId="7" r:id="rId8"/>
    <sheet name="综合内科" sheetId="8" r:id="rId9"/>
  </sheets>
  <definedNames>
    <definedName name="_xlnm._FilterDatabase" localSheetId="1" hidden="1">妇科!$A$9:$K$33</definedName>
    <definedName name="_xlnm._FilterDatabase" localSheetId="2" hidden="1">美容科!$A$7:$K$45</definedName>
    <definedName name="_xlnm._FilterDatabase" localSheetId="5" hidden="1">手术室!$A$7:$K$58</definedName>
    <definedName name="_xlnm.Print_Titles" localSheetId="1">妇科!$1:$6</definedName>
    <definedName name="_xlnm.Print_Titles" localSheetId="2">美容科!$1:$6</definedName>
    <definedName name="_xlnm.Print_Titles" localSheetId="3">肾六!$1:$6</definedName>
    <definedName name="_xlnm.Print_Titles" localSheetId="4">肾五科!$1:$6</definedName>
    <definedName name="_xlnm.Print_Titles" localSheetId="5">手术室!$1:$6</definedName>
    <definedName name="_xlnm.Print_Titles" localSheetId="6">外二肛肠二科!$1:$6</definedName>
    <definedName name="_xlnm.Print_Titles" localSheetId="7">针三科!$1:$6</definedName>
    <definedName name="_xlnm.Print_Titles" localSheetId="8">综合内科!$1:$6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<sst xmlns="http://schemas.openxmlformats.org/spreadsheetml/2006/main" count="415" uniqueCount="88">
  <si>
    <t>祖研-黑龙江省中医医院（南岗院区）各科室2026年4月灭菌价格汇总</t>
  </si>
  <si>
    <t>科室</t>
  </si>
  <si>
    <t>价格</t>
  </si>
  <si>
    <t>妇科</t>
  </si>
  <si>
    <t>供应室</t>
  </si>
  <si>
    <t>美容科</t>
  </si>
  <si>
    <t>肾六</t>
  </si>
  <si>
    <t>肾五科</t>
  </si>
  <si>
    <t>手术室</t>
  </si>
  <si>
    <t>外二/肛肠二科</t>
  </si>
  <si>
    <t>针三科</t>
  </si>
  <si>
    <t>综合内科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</si>
  <si>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</si>
  <si>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</si>
  <si>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</si>
  <si>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</si>
  <si>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</si>
  <si>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</si>
  <si>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</si>
  <si>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黑龙江省中医医院（南岗院区）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</si>
  <si>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</si>
  <si>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</si>
  <si>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</si>
  <si>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</si>
  <si>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</si>
  <si>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</si>
  <si>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</si>
  <si>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</si>
  <si>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额外包(无纺布)</t>
  </si>
  <si>
    <t>棉球缸1镊子缸2/W6050</t>
  </si>
  <si>
    <t>镊子-10件/W6050</t>
  </si>
  <si>
    <t>额外包(纸塑袋)</t>
  </si>
  <si>
    <t>弯盘-1/Z2032</t>
  </si>
  <si>
    <t>器械包(ZSD)</t>
  </si>
  <si>
    <t>刮宫包</t>
  </si>
  <si>
    <t>止血钳-1/z1029</t>
  </si>
  <si>
    <t>敷料包(纸塑袋)</t>
  </si>
  <si>
    <t>棉球/Z1526</t>
  </si>
  <si>
    <t>换药盘包</t>
  </si>
  <si>
    <t>器械包-76件（筐1）/W9050</t>
  </si>
  <si>
    <t>剪刀-1/Z1026</t>
  </si>
  <si>
    <t>排针-52/w6050</t>
  </si>
  <si>
    <t>器械包-49件（筐1）/W9050</t>
  </si>
  <si>
    <t>器械包-89件（筐1）/W9050</t>
  </si>
  <si>
    <t>器械包-69件（筐1）/W9050</t>
  </si>
  <si>
    <t>镊子-1/z7526</t>
  </si>
  <si>
    <t>排针17/W6050</t>
  </si>
  <si>
    <t>排针30/W6050</t>
  </si>
  <si>
    <t>器械包-58件（筐1）/W9050</t>
  </si>
  <si>
    <t>排针12/W6050</t>
  </si>
  <si>
    <t>器械包-67件（筐1）/W9050</t>
  </si>
  <si>
    <t>器械包-62件（筐1）/W9050</t>
  </si>
  <si>
    <t>排针-47/w6050</t>
  </si>
  <si>
    <t>敷料包(无纺布包)</t>
  </si>
  <si>
    <t>无菌包（纱布）/W12050</t>
  </si>
  <si>
    <t>排针15/W6050</t>
  </si>
  <si>
    <t>排针20/W6050</t>
  </si>
  <si>
    <t>器械包-8（筐1）件/w9050</t>
  </si>
  <si>
    <t>排针-6/Z526</t>
  </si>
  <si>
    <t>排针20/Z1026</t>
  </si>
  <si>
    <t>排针13/Z1026</t>
  </si>
  <si>
    <t>排针15/Z1026</t>
  </si>
  <si>
    <t>器械包-10（筐1）件/w9050</t>
  </si>
  <si>
    <t>排针16/Z1026</t>
  </si>
  <si>
    <t>眼科剪4眼科镊1（筐1）/w9050</t>
  </si>
  <si>
    <t>器械包-9（筐1）件/w9050</t>
  </si>
  <si>
    <t>排针-23/Z1026</t>
  </si>
  <si>
    <t>开口器1舌钳子1压舌板1/Z1526</t>
  </si>
  <si>
    <t>棉球缸-1/z2530</t>
  </si>
  <si>
    <t>镊子缸-2/W6050</t>
  </si>
  <si>
    <t>器械包</t>
  </si>
  <si>
    <t>腹透包</t>
  </si>
  <si>
    <t>开腹包</t>
  </si>
  <si>
    <t>换药碗-1/Z2530</t>
  </si>
  <si>
    <t>吸引器头-1/z7530</t>
  </si>
  <si>
    <t>直角钳-2/z1530</t>
  </si>
  <si>
    <t>持物钳罐-2件/W6050</t>
  </si>
  <si>
    <t>肛肠包</t>
  </si>
  <si>
    <t>门诊大包</t>
  </si>
  <si>
    <t>瘘刀包-3件/z1026</t>
  </si>
  <si>
    <t>门诊小包</t>
  </si>
  <si>
    <t>透析器械包</t>
  </si>
  <si>
    <t>盆-1/W9050</t>
  </si>
  <si>
    <t>大纱布/Z3032</t>
  </si>
  <si>
    <t>镊子-32件/w6050</t>
  </si>
  <si>
    <t>镊子-36件/w6050</t>
  </si>
  <si>
    <t>镊子-22件/w6050</t>
  </si>
  <si>
    <t>棉球/Z3040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</si>
</sst>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5" xfId="0" applyNumberFormat="1" applyFont="1" applyFill="1" applyBorder="1" applyAlignment="1">
      <alignment horizontal="center" vertical="center" wrapText="1" readingOrder="1"/>
    </xf>
    <xf numFmtId="178" fontId="9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0</xdr:rowOff>
    </xdr:from>
    <xdr:to>
      <xdr:col>10</xdr:col>
      <xdr:colOff>767163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123825</xdr:rowOff>
    </xdr:from>
    <xdr:to>
      <xdr:col>10</xdr:col>
      <xdr:colOff>767163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123825</xdr:rowOff>
    </xdr:from>
    <xdr:to>
      <xdr:col>10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152400</xdr:rowOff>
    </xdr:from>
    <xdr:to>
      <xdr:col>10</xdr:col>
      <xdr:colOff>757638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19050</xdr:rowOff>
    </xdr:from>
    <xdr:to>
      <xdr:col>10</xdr:col>
      <xdr:colOff>700488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76200</xdr:rowOff>
    </xdr:from>
    <xdr:to>
      <xdr:col>10</xdr:col>
      <xdr:colOff>738588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76200</xdr:rowOff>
    </xdr:from>
    <xdr:to>
      <xdr:col>10</xdr:col>
      <xdr:colOff>795738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57150</xdr:rowOff>
    </xdr:from>
    <xdr:to>
      <xdr:col>10</xdr:col>
      <xdr:colOff>690963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9"/>
  <sheetViews>
    <sheetView tabSelected="1" view="pageBreakPreview" zoomScaleNormal="100" workbookViewId="0">
      <selection activeCell="C4" sqref="C4:E8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f>妇科!K10</f>
        <v>1878.5</v>
      </c>
      <c r="D4" s="20" t="s">
        <v>4</v>
      </c>
      <c r="E4" s="21">
        <v>0</v>
      </c>
    </row>
    <row r="5" customFormat="1" ht="30" customHeight="1" spans="2:5">
      <c r="B5" s="20" t="s">
        <v>5</v>
      </c>
      <c r="C5" s="21">
        <f>美容科!K8</f>
        <v>3391.5</v>
      </c>
      <c r="D5" s="20" t="s">
        <v>6</v>
      </c>
      <c r="E5" s="21">
        <f>肾六!K8</f>
        <v>16.5</v>
      </c>
    </row>
    <row r="6" customFormat="1" ht="30" customHeight="1" spans="2:5">
      <c r="B6" s="20" t="s">
        <v>7</v>
      </c>
      <c r="C6" s="21">
        <f>肾五科!K8</f>
        <v>65</v>
      </c>
      <c r="D6" s="20" t="s">
        <v>8</v>
      </c>
      <c r="E6" s="21">
        <f>手术室!K8</f>
        <v>4151.5</v>
      </c>
    </row>
    <row r="7" customFormat="1" ht="30" customHeight="1" spans="2:5">
      <c r="B7" s="20" t="s">
        <v>9</v>
      </c>
      <c r="C7" s="21">
        <f>外二肛肠二科!K8</f>
        <v>495</v>
      </c>
      <c r="D7" s="20" t="s">
        <v>10</v>
      </c>
      <c r="E7" s="21">
        <f>针三科!K8</f>
        <v>240</v>
      </c>
    </row>
    <row r="8" customFormat="1" ht="30" customHeight="1" spans="2:5">
      <c r="B8" s="20" t="s">
        <v>11</v>
      </c>
      <c r="C8" s="21">
        <f>综合内科!K8</f>
        <v>16.5</v>
      </c>
      <c r="D8" s="20" t="s">
        <v>12</v>
      </c>
      <c r="E8" s="20">
        <f>12*50</f>
        <v>600</v>
      </c>
    </row>
    <row r="9" customFormat="1" ht="30" customHeight="1" spans="2:5">
      <c r="B9" s="19" t="s">
        <v>13</v>
      </c>
      <c r="C9" s="21">
        <f>C4+C5+C6+C7+C8+E4+E5+E6+E7+E8</f>
        <v>10854.5</v>
      </c>
      <c r="D9" s="22">
        <f>C9</f>
        <v>10854.5</v>
      </c>
      <c r="E9" s="23" t="s">
        <v>14</v>
      </c>
    </row>
    <row r="10" customFormat="1" ht="30" customHeight="1" spans="2:5">
      <c r="B10" s="24" t="s">
        <v>14</v>
      </c>
      <c r="C10" s="24" t="s">
        <v>14</v>
      </c>
      <c r="D10" s="24" t="s">
        <v>14</v>
      </c>
      <c r="E10" s="24" t="s">
        <v>14</v>
      </c>
    </row>
    <row r="11" customFormat="1" ht="30" customHeight="1" spans="2:5">
      <c r="B11" s="24" t="s">
        <v>15</v>
      </c>
    </row>
    <row r="12" customFormat="1" ht="30" customHeight="1" spans="2:5">
      <c r="B12" s="25" t="s">
        <v>16</v>
      </c>
    </row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</sheetData>
  <mergeCells count="4">
    <mergeCell ref="B2:E2"/>
    <mergeCell ref="D9:E9"/>
    <mergeCell ref="B11:E11"/>
    <mergeCell ref="B12:E12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17</v>
      </c>
    </row>
    <row r="2" ht="23.05" customHeight="1"/>
    <row r="3" ht="2" customHeight="1"/>
    <row r="4" ht="15.2" customHeight="1" spans="2:12">
      <c r="B4" s="2" t="s">
        <v>18</v>
      </c>
    </row>
    <row r="6" ht="2.95" customHeight="1"/>
    <row r="7" ht="3.95" customHeight="1" spans="2:12"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</row>
    <row r="8" ht="15" spans="2:12">
      <c r="C8" s="3" t="s">
        <v>14</v>
      </c>
      <c r="D8" s="15" t="s">
        <v>19</v>
      </c>
      <c r="E8" s="8" t="s">
        <v>14</v>
      </c>
      <c r="F8" s="8" t="s">
        <v>14</v>
      </c>
      <c r="G8" s="8" t="s">
        <v>14</v>
      </c>
      <c r="H8" s="8" t="s">
        <v>14</v>
      </c>
      <c r="I8" s="16"/>
      <c r="J8" s="17"/>
      <c r="K8" s="17"/>
    </row>
    <row r="9" spans="2:12">
      <c r="C9" s="3" t="s">
        <v>14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</row>
    <row r="10" ht="14.25" spans="2:12">
      <c r="D10" s="7" t="s">
        <v>3</v>
      </c>
      <c r="E10" s="8" t="s">
        <v>14</v>
      </c>
      <c r="F10" s="8" t="s">
        <v>14</v>
      </c>
      <c r="G10" s="8" t="s">
        <v>14</v>
      </c>
      <c r="H10" s="8" t="s">
        <v>14</v>
      </c>
      <c r="I10" s="9">
        <v>69</v>
      </c>
      <c r="J10" s="10"/>
      <c r="K10" s="10">
        <f>SUM(K11:K33)</f>
        <v>1878.5</v>
      </c>
      <c r="L10">
        <f>K10+美容科!K8+肾六!K8+肾五科!K8+手术室!K8+外二肛肠二科!K8+针三科!K8+综合内科!K8</f>
        <v>10254.5</v>
      </c>
    </row>
    <row r="11" spans="2:12">
      <c r="D11" s="11">
        <v>46113</v>
      </c>
      <c r="E11" s="12">
        <v>1591255</v>
      </c>
      <c r="F11" s="12" t="s">
        <v>28</v>
      </c>
      <c r="G11" s="13">
        <v>20419780</v>
      </c>
      <c r="H11" s="12" t="s">
        <v>29</v>
      </c>
      <c r="I11" s="13">
        <v>4</v>
      </c>
      <c r="J11" s="14">
        <v>16.5</v>
      </c>
      <c r="K11" s="14">
        <f>J11*I11</f>
        <v>66</v>
      </c>
    </row>
    <row r="12" spans="2:12">
      <c r="D12" s="11">
        <v>46113</v>
      </c>
      <c r="E12" s="12">
        <v>1591255</v>
      </c>
      <c r="F12" s="12" t="s">
        <v>28</v>
      </c>
      <c r="G12" s="13">
        <v>20410092</v>
      </c>
      <c r="H12" s="12" t="s">
        <v>30</v>
      </c>
      <c r="I12" s="13">
        <v>2</v>
      </c>
      <c r="J12" s="14">
        <v>55</v>
      </c>
      <c r="K12" s="14">
        <f t="shared" ref="K12:K33" si="0">J12*I12</f>
        <v>110</v>
      </c>
    </row>
    <row r="13" spans="2:12">
      <c r="D13" s="11">
        <v>46116</v>
      </c>
      <c r="E13" s="12">
        <v>1592044</v>
      </c>
      <c r="F13" s="12" t="s">
        <v>31</v>
      </c>
      <c r="G13" s="13">
        <v>20417770</v>
      </c>
      <c r="H13" s="12" t="s">
        <v>32</v>
      </c>
      <c r="I13" s="13">
        <v>2</v>
      </c>
      <c r="J13" s="14">
        <v>13</v>
      </c>
      <c r="K13" s="14">
        <f t="shared" si="0"/>
        <v>26</v>
      </c>
    </row>
    <row r="14" spans="2:12">
      <c r="D14" s="11">
        <v>46116</v>
      </c>
      <c r="E14" s="12">
        <v>1592044</v>
      </c>
      <c r="F14" s="12" t="s">
        <v>33</v>
      </c>
      <c r="G14" s="13">
        <v>20409894</v>
      </c>
      <c r="H14" s="12" t="s">
        <v>34</v>
      </c>
      <c r="I14" s="13">
        <v>2</v>
      </c>
      <c r="J14" s="14">
        <v>110</v>
      </c>
      <c r="K14" s="14">
        <f t="shared" si="0"/>
        <v>220</v>
      </c>
    </row>
    <row r="15" spans="2:12">
      <c r="D15" s="11">
        <v>46116</v>
      </c>
      <c r="E15" s="12">
        <v>1592044</v>
      </c>
      <c r="F15" s="12" t="s">
        <v>28</v>
      </c>
      <c r="G15" s="13">
        <v>20410092</v>
      </c>
      <c r="H15" s="12" t="s">
        <v>30</v>
      </c>
      <c r="I15" s="13">
        <v>1</v>
      </c>
      <c r="J15" s="14">
        <v>55</v>
      </c>
      <c r="K15" s="14">
        <f t="shared" si="0"/>
        <v>55</v>
      </c>
    </row>
    <row r="16" spans="2:12">
      <c r="D16" s="11">
        <v>46121</v>
      </c>
      <c r="E16" s="12">
        <v>1593118</v>
      </c>
      <c r="F16" s="12" t="s">
        <v>31</v>
      </c>
      <c r="G16" s="13">
        <v>20417767</v>
      </c>
      <c r="H16" s="12" t="s">
        <v>35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46121</v>
      </c>
      <c r="E17" s="12">
        <v>1593118</v>
      </c>
      <c r="F17" s="12" t="s">
        <v>28</v>
      </c>
      <c r="G17" s="13">
        <v>20410092</v>
      </c>
      <c r="H17" s="12" t="s">
        <v>30</v>
      </c>
      <c r="I17" s="13">
        <v>3</v>
      </c>
      <c r="J17" s="14">
        <v>55</v>
      </c>
      <c r="K17" s="14">
        <f t="shared" si="0"/>
        <v>165</v>
      </c>
    </row>
    <row r="18" spans="4:11">
      <c r="D18" s="11">
        <v>46122</v>
      </c>
      <c r="E18" s="12">
        <v>1593871</v>
      </c>
      <c r="F18" s="12" t="s">
        <v>28</v>
      </c>
      <c r="G18" s="13">
        <v>20410092</v>
      </c>
      <c r="H18" s="12" t="s">
        <v>30</v>
      </c>
      <c r="I18" s="13">
        <v>3</v>
      </c>
      <c r="J18" s="14">
        <v>55</v>
      </c>
      <c r="K18" s="14">
        <f t="shared" si="0"/>
        <v>165</v>
      </c>
    </row>
    <row r="19" spans="4:11">
      <c r="D19" s="11">
        <v>46125</v>
      </c>
      <c r="E19" s="12">
        <v>1594468</v>
      </c>
      <c r="F19" s="12" t="s">
        <v>28</v>
      </c>
      <c r="G19" s="13">
        <v>20410092</v>
      </c>
      <c r="H19" s="12" t="s">
        <v>30</v>
      </c>
      <c r="I19" s="13">
        <v>1</v>
      </c>
      <c r="J19" s="14">
        <v>55</v>
      </c>
      <c r="K19" s="14">
        <f t="shared" si="0"/>
        <v>55</v>
      </c>
    </row>
    <row r="20" spans="4:11">
      <c r="D20" s="11">
        <v>46127</v>
      </c>
      <c r="E20" s="12">
        <v>1595192</v>
      </c>
      <c r="F20" s="12" t="s">
        <v>28</v>
      </c>
      <c r="G20" s="13">
        <v>20410092</v>
      </c>
      <c r="H20" s="12" t="s">
        <v>30</v>
      </c>
      <c r="I20" s="13">
        <v>2</v>
      </c>
      <c r="J20" s="14">
        <v>55</v>
      </c>
      <c r="K20" s="14">
        <f t="shared" si="0"/>
        <v>110</v>
      </c>
    </row>
    <row r="21" spans="4:11">
      <c r="D21" s="11">
        <v>46129</v>
      </c>
      <c r="E21" s="12">
        <v>1595950</v>
      </c>
      <c r="F21" s="12" t="s">
        <v>31</v>
      </c>
      <c r="G21" s="13">
        <v>20417770</v>
      </c>
      <c r="H21" s="12" t="s">
        <v>32</v>
      </c>
      <c r="I21" s="13">
        <v>1</v>
      </c>
      <c r="J21" s="14">
        <v>13</v>
      </c>
      <c r="K21" s="14">
        <f t="shared" si="0"/>
        <v>13</v>
      </c>
    </row>
    <row r="22" spans="4:11">
      <c r="D22" s="11">
        <v>46129</v>
      </c>
      <c r="E22" s="12">
        <v>1595950</v>
      </c>
      <c r="F22" s="12" t="s">
        <v>33</v>
      </c>
      <c r="G22" s="13">
        <v>20409894</v>
      </c>
      <c r="H22" s="12" t="s">
        <v>34</v>
      </c>
      <c r="I22" s="13">
        <v>1</v>
      </c>
      <c r="J22" s="14">
        <v>110</v>
      </c>
      <c r="K22" s="14">
        <f t="shared" si="0"/>
        <v>110</v>
      </c>
    </row>
    <row r="23" spans="4:11">
      <c r="D23" s="11">
        <v>46129</v>
      </c>
      <c r="E23" s="12">
        <v>1595950</v>
      </c>
      <c r="F23" s="12" t="s">
        <v>28</v>
      </c>
      <c r="G23" s="13">
        <v>20410092</v>
      </c>
      <c r="H23" s="12" t="s">
        <v>30</v>
      </c>
      <c r="I23" s="13">
        <v>1</v>
      </c>
      <c r="J23" s="14">
        <v>55</v>
      </c>
      <c r="K23" s="14">
        <f t="shared" si="0"/>
        <v>55</v>
      </c>
    </row>
    <row r="24" spans="4:11">
      <c r="D24" s="11">
        <v>46129</v>
      </c>
      <c r="E24" s="12">
        <v>1595950</v>
      </c>
      <c r="F24" s="12" t="s">
        <v>36</v>
      </c>
      <c r="G24" s="13">
        <v>20421981</v>
      </c>
      <c r="H24" s="12" t="s">
        <v>37</v>
      </c>
      <c r="I24" s="13">
        <v>30</v>
      </c>
      <c r="J24" s="14">
        <v>2.5</v>
      </c>
      <c r="K24" s="14">
        <f t="shared" si="0"/>
        <v>75</v>
      </c>
    </row>
    <row r="25" spans="4:11">
      <c r="D25" s="11">
        <v>46133</v>
      </c>
      <c r="E25" s="12">
        <v>1596580</v>
      </c>
      <c r="F25" s="12" t="s">
        <v>31</v>
      </c>
      <c r="G25" s="13">
        <v>20417767</v>
      </c>
      <c r="H25" s="12" t="s">
        <v>35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46133</v>
      </c>
      <c r="E26" s="12">
        <v>1596580</v>
      </c>
      <c r="F26" s="12" t="s">
        <v>28</v>
      </c>
      <c r="G26" s="13">
        <v>20410092</v>
      </c>
      <c r="H26" s="12" t="s">
        <v>30</v>
      </c>
      <c r="I26" s="13">
        <v>2</v>
      </c>
      <c r="J26" s="14">
        <v>55</v>
      </c>
      <c r="K26" s="14">
        <f t="shared" si="0"/>
        <v>110</v>
      </c>
    </row>
    <row r="27" spans="4:11">
      <c r="D27" s="11">
        <v>46133</v>
      </c>
      <c r="E27" s="12">
        <v>1596587</v>
      </c>
      <c r="F27" s="12" t="s">
        <v>28</v>
      </c>
      <c r="G27" s="13">
        <v>20410092</v>
      </c>
      <c r="H27" s="12" t="s">
        <v>30</v>
      </c>
      <c r="I27" s="13">
        <v>1</v>
      </c>
      <c r="J27" s="14">
        <v>55</v>
      </c>
      <c r="K27" s="14">
        <f t="shared" si="0"/>
        <v>55</v>
      </c>
    </row>
    <row r="28" spans="4:11">
      <c r="D28" s="11">
        <v>46135</v>
      </c>
      <c r="E28" s="12">
        <v>1597317</v>
      </c>
      <c r="F28" s="12" t="s">
        <v>28</v>
      </c>
      <c r="G28" s="13">
        <v>20410092</v>
      </c>
      <c r="H28" s="12" t="s">
        <v>30</v>
      </c>
      <c r="I28" s="13">
        <v>2</v>
      </c>
      <c r="J28" s="14">
        <v>55</v>
      </c>
      <c r="K28" s="14">
        <f t="shared" si="0"/>
        <v>110</v>
      </c>
    </row>
    <row r="29" spans="4:11">
      <c r="D29" s="11">
        <v>46136</v>
      </c>
      <c r="E29" s="12">
        <v>1598068</v>
      </c>
      <c r="F29" s="12" t="s">
        <v>28</v>
      </c>
      <c r="G29" s="13">
        <v>20410092</v>
      </c>
      <c r="H29" s="12" t="s">
        <v>30</v>
      </c>
      <c r="I29" s="13">
        <v>2</v>
      </c>
      <c r="J29" s="14">
        <v>55</v>
      </c>
      <c r="K29" s="14">
        <f t="shared" si="0"/>
        <v>110</v>
      </c>
    </row>
    <row r="30" spans="4:11">
      <c r="D30" s="11">
        <v>46140</v>
      </c>
      <c r="E30" s="12">
        <v>1598604</v>
      </c>
      <c r="F30" s="12" t="s">
        <v>31</v>
      </c>
      <c r="G30" s="13">
        <v>20417767</v>
      </c>
      <c r="H30" s="12" t="s">
        <v>35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46140</v>
      </c>
      <c r="E31" s="12">
        <v>1598604</v>
      </c>
      <c r="F31" s="12" t="s">
        <v>28</v>
      </c>
      <c r="G31" s="13">
        <v>20410092</v>
      </c>
      <c r="H31" s="12" t="s">
        <v>30</v>
      </c>
      <c r="I31" s="13">
        <v>2</v>
      </c>
      <c r="J31" s="14">
        <v>55</v>
      </c>
      <c r="K31" s="14">
        <f t="shared" si="0"/>
        <v>110</v>
      </c>
    </row>
    <row r="32" spans="4:11">
      <c r="D32" s="11">
        <v>46142</v>
      </c>
      <c r="E32" s="12">
        <v>1599423</v>
      </c>
      <c r="F32" s="12" t="s">
        <v>33</v>
      </c>
      <c r="G32" s="13">
        <v>20409899</v>
      </c>
      <c r="H32" s="12" t="s">
        <v>38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46142</v>
      </c>
      <c r="E33" s="12">
        <v>1599423</v>
      </c>
      <c r="F33" s="12" t="s">
        <v>28</v>
      </c>
      <c r="G33" s="13">
        <v>20410092</v>
      </c>
      <c r="H33" s="12" t="s">
        <v>30</v>
      </c>
      <c r="I33" s="13">
        <v>2</v>
      </c>
      <c r="J33" s="14">
        <v>55</v>
      </c>
      <c r="K33" s="14">
        <f t="shared" si="0"/>
        <v>110</v>
      </c>
    </row>
  </sheetData>
  <autoFilter xmlns:etc="http://www.wps.cn/officeDocument/2017/etCustomData" ref="A9:K33" etc:filterBottomFollowUsedRange="0">
    <extLst/>
  </autoFilter>
  <mergeCells count="6">
    <mergeCell ref="D8:H8"/>
    <mergeCell ref="D10:H10"/>
    <mergeCell ref="C9:C33"/>
    <mergeCell ref="B4:H5"/>
    <mergeCell ref="C1:H2"/>
    <mergeCell ref="A8:B3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5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45</v>
      </c>
      <c r="J8" s="10"/>
      <c r="K8" s="10">
        <f>SUM(K9:K44)</f>
        <v>3391.5</v>
      </c>
    </row>
    <row r="9" spans="1:11">
      <c r="D9" s="11">
        <v>46113</v>
      </c>
      <c r="E9" s="12">
        <v>1591256</v>
      </c>
      <c r="F9" s="12" t="s">
        <v>28</v>
      </c>
      <c r="G9" s="13">
        <v>20417295</v>
      </c>
      <c r="H9" s="12" t="s">
        <v>39</v>
      </c>
      <c r="I9" s="13">
        <v>1</v>
      </c>
      <c r="J9" s="14">
        <f>77*5.5</f>
        <v>423.5</v>
      </c>
      <c r="K9" s="14">
        <f>J9*I9</f>
        <v>423.5</v>
      </c>
    </row>
    <row r="10" spans="1:11">
      <c r="D10" s="11">
        <v>46116</v>
      </c>
      <c r="E10" s="12">
        <v>1592045</v>
      </c>
      <c r="F10" s="12" t="s">
        <v>31</v>
      </c>
      <c r="G10" s="13">
        <v>20420152</v>
      </c>
      <c r="H10" s="12" t="s">
        <v>40</v>
      </c>
      <c r="I10" s="13">
        <v>1</v>
      </c>
      <c r="J10" s="14">
        <v>8</v>
      </c>
      <c r="K10" s="14">
        <f t="shared" ref="K10:K44" si="0">J10*I10</f>
        <v>8</v>
      </c>
    </row>
    <row r="11" spans="1:11">
      <c r="D11" s="11">
        <v>46116</v>
      </c>
      <c r="E11" s="12">
        <v>1592045</v>
      </c>
      <c r="F11" s="12" t="s">
        <v>28</v>
      </c>
      <c r="G11" s="13">
        <v>20417763</v>
      </c>
      <c r="H11" s="12" t="s">
        <v>41</v>
      </c>
      <c r="I11" s="13">
        <v>1</v>
      </c>
      <c r="J11" s="14">
        <f>6*5.5</f>
        <v>33</v>
      </c>
      <c r="K11" s="14">
        <f t="shared" si="0"/>
        <v>33</v>
      </c>
    </row>
    <row r="12" spans="1:11">
      <c r="D12" s="11">
        <v>46116</v>
      </c>
      <c r="E12" s="12">
        <v>1592045</v>
      </c>
      <c r="F12" s="12" t="s">
        <v>28</v>
      </c>
      <c r="G12" s="13">
        <v>20417295</v>
      </c>
      <c r="H12" s="12" t="s">
        <v>42</v>
      </c>
      <c r="I12" s="13">
        <v>1</v>
      </c>
      <c r="J12" s="14">
        <f>50*5.5</f>
        <v>275</v>
      </c>
      <c r="K12" s="14">
        <f t="shared" si="0"/>
        <v>275</v>
      </c>
    </row>
    <row r="13" spans="1:11">
      <c r="D13" s="11">
        <v>46121</v>
      </c>
      <c r="E13" s="12">
        <v>1593119</v>
      </c>
      <c r="F13" s="12" t="s">
        <v>28</v>
      </c>
      <c r="G13" s="13">
        <v>20417295</v>
      </c>
      <c r="H13" s="12" t="s">
        <v>43</v>
      </c>
      <c r="I13" s="13">
        <v>1</v>
      </c>
      <c r="J13" s="14">
        <v>495</v>
      </c>
      <c r="K13" s="14">
        <f t="shared" si="0"/>
        <v>495</v>
      </c>
    </row>
    <row r="14" spans="1:11">
      <c r="D14" s="11">
        <v>46122</v>
      </c>
      <c r="E14" s="12">
        <v>1593872</v>
      </c>
      <c r="F14" s="12" t="s">
        <v>28</v>
      </c>
      <c r="G14" s="13">
        <v>20417295</v>
      </c>
      <c r="H14" s="12" t="s">
        <v>44</v>
      </c>
      <c r="I14" s="13">
        <v>1</v>
      </c>
      <c r="J14" s="14">
        <v>385</v>
      </c>
      <c r="K14" s="14">
        <f t="shared" si="0"/>
        <v>385</v>
      </c>
    </row>
    <row r="15" spans="1:11">
      <c r="D15" s="11">
        <v>46125</v>
      </c>
      <c r="E15" s="12">
        <v>1594469</v>
      </c>
      <c r="F15" s="12" t="s">
        <v>31</v>
      </c>
      <c r="G15" s="13">
        <v>20410051</v>
      </c>
      <c r="H15" s="12" t="s">
        <v>45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46125</v>
      </c>
      <c r="E16" s="12">
        <v>1594469</v>
      </c>
      <c r="F16" s="12" t="s">
        <v>28</v>
      </c>
      <c r="G16" s="13">
        <v>20421334</v>
      </c>
      <c r="H16" s="12" t="s">
        <v>46</v>
      </c>
      <c r="I16" s="13">
        <v>1</v>
      </c>
      <c r="J16" s="14">
        <f>2*5.5+2.5</f>
        <v>13.5</v>
      </c>
      <c r="K16" s="14">
        <f t="shared" si="0"/>
        <v>13.5</v>
      </c>
    </row>
    <row r="17" spans="4:11">
      <c r="D17" s="11">
        <v>46125</v>
      </c>
      <c r="E17" s="12">
        <v>1594469</v>
      </c>
      <c r="F17" s="12" t="s">
        <v>28</v>
      </c>
      <c r="G17" s="13">
        <v>20410093</v>
      </c>
      <c r="H17" s="12" t="s">
        <v>47</v>
      </c>
      <c r="I17" s="13">
        <v>1</v>
      </c>
      <c r="J17" s="14">
        <f>3*5.5</f>
        <v>16.5</v>
      </c>
      <c r="K17" s="14">
        <f t="shared" si="0"/>
        <v>16.5</v>
      </c>
    </row>
    <row r="18" spans="4:11">
      <c r="D18" s="11">
        <v>46125</v>
      </c>
      <c r="E18" s="12">
        <v>1594469</v>
      </c>
      <c r="F18" s="12" t="s">
        <v>28</v>
      </c>
      <c r="G18" s="13">
        <v>20417295</v>
      </c>
      <c r="H18" s="12" t="s">
        <v>48</v>
      </c>
      <c r="I18" s="13">
        <v>1</v>
      </c>
      <c r="J18" s="14">
        <v>324.5</v>
      </c>
      <c r="K18" s="14">
        <f t="shared" si="0"/>
        <v>324.5</v>
      </c>
    </row>
    <row r="19" spans="4:11">
      <c r="D19" s="11">
        <v>46127</v>
      </c>
      <c r="E19" s="12">
        <v>1595193</v>
      </c>
      <c r="F19" s="12" t="s">
        <v>28</v>
      </c>
      <c r="G19" s="13">
        <v>20421334</v>
      </c>
      <c r="H19" s="12" t="s">
        <v>49</v>
      </c>
      <c r="I19" s="13">
        <v>1</v>
      </c>
      <c r="J19" s="14">
        <f>2*5.5+2.5</f>
        <v>13.5</v>
      </c>
      <c r="K19" s="14">
        <f t="shared" si="0"/>
        <v>13.5</v>
      </c>
    </row>
    <row r="20" spans="4:11">
      <c r="D20" s="11">
        <v>46127</v>
      </c>
      <c r="E20" s="12">
        <v>1595193</v>
      </c>
      <c r="F20" s="12" t="s">
        <v>28</v>
      </c>
      <c r="G20" s="13">
        <v>20417295</v>
      </c>
      <c r="H20" s="12" t="s">
        <v>50</v>
      </c>
      <c r="I20" s="13">
        <v>1</v>
      </c>
      <c r="J20" s="14">
        <v>374</v>
      </c>
      <c r="K20" s="14">
        <f t="shared" si="0"/>
        <v>374</v>
      </c>
    </row>
    <row r="21" spans="4:11">
      <c r="D21" s="11">
        <v>46129</v>
      </c>
      <c r="E21" s="12">
        <v>1595951</v>
      </c>
      <c r="F21" s="12" t="s">
        <v>28</v>
      </c>
      <c r="G21" s="13">
        <v>20417295</v>
      </c>
      <c r="H21" s="12" t="s">
        <v>51</v>
      </c>
      <c r="I21" s="13">
        <v>1</v>
      </c>
      <c r="J21" s="14">
        <v>346.5</v>
      </c>
      <c r="K21" s="14">
        <f t="shared" si="0"/>
        <v>346.5</v>
      </c>
    </row>
    <row r="22" spans="4:11">
      <c r="D22" s="11">
        <v>46130</v>
      </c>
      <c r="E22" s="12">
        <v>1596004</v>
      </c>
      <c r="F22" s="12" t="s">
        <v>31</v>
      </c>
      <c r="G22" s="13">
        <v>20410051</v>
      </c>
      <c r="H22" s="12" t="s">
        <v>45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46130</v>
      </c>
      <c r="E23" s="12">
        <v>1596004</v>
      </c>
      <c r="F23" s="12" t="s">
        <v>28</v>
      </c>
      <c r="G23" s="13">
        <v>20417763</v>
      </c>
      <c r="H23" s="12" t="s">
        <v>52</v>
      </c>
      <c r="I23" s="13">
        <v>1</v>
      </c>
      <c r="J23" s="14">
        <f>5*5.5</f>
        <v>27.5</v>
      </c>
      <c r="K23" s="14">
        <f t="shared" si="0"/>
        <v>27.5</v>
      </c>
    </row>
    <row r="24" spans="4:11">
      <c r="D24" s="11">
        <v>46130</v>
      </c>
      <c r="E24" s="12">
        <v>1596042</v>
      </c>
      <c r="F24" s="12" t="s">
        <v>53</v>
      </c>
      <c r="G24" s="13">
        <v>20419189</v>
      </c>
      <c r="H24" s="12" t="s">
        <v>54</v>
      </c>
      <c r="I24" s="13">
        <v>1</v>
      </c>
      <c r="J24" s="14">
        <v>35</v>
      </c>
      <c r="K24" s="14">
        <f t="shared" si="0"/>
        <v>35</v>
      </c>
    </row>
    <row r="25" spans="4:11">
      <c r="D25" s="11">
        <v>46133</v>
      </c>
      <c r="E25" s="12">
        <v>1596581</v>
      </c>
      <c r="F25" s="12" t="s">
        <v>28</v>
      </c>
      <c r="G25" s="13">
        <v>20421334</v>
      </c>
      <c r="H25" s="12" t="s">
        <v>55</v>
      </c>
      <c r="I25" s="13">
        <v>1</v>
      </c>
      <c r="J25" s="14">
        <f>2*5.5+2.5</f>
        <v>13.5</v>
      </c>
      <c r="K25" s="14">
        <f t="shared" si="0"/>
        <v>13.5</v>
      </c>
    </row>
    <row r="26" spans="4:11">
      <c r="D26" s="11">
        <v>46133</v>
      </c>
      <c r="E26" s="12">
        <v>1596581</v>
      </c>
      <c r="F26" s="12" t="s">
        <v>28</v>
      </c>
      <c r="G26" s="13">
        <v>20410093</v>
      </c>
      <c r="H26" s="12" t="s">
        <v>56</v>
      </c>
      <c r="I26" s="13">
        <v>3</v>
      </c>
      <c r="J26" s="14">
        <f>2*5.5+2.5</f>
        <v>13.5</v>
      </c>
      <c r="K26" s="14">
        <f t="shared" si="0"/>
        <v>40.5</v>
      </c>
    </row>
    <row r="27" spans="4:11">
      <c r="D27" s="11">
        <v>46133</v>
      </c>
      <c r="E27" s="12">
        <v>1596581</v>
      </c>
      <c r="F27" s="12" t="s">
        <v>28</v>
      </c>
      <c r="G27" s="13">
        <v>20417764</v>
      </c>
      <c r="H27" s="12" t="s">
        <v>57</v>
      </c>
      <c r="I27" s="13">
        <v>1</v>
      </c>
      <c r="J27" s="14">
        <v>49.5</v>
      </c>
      <c r="K27" s="14">
        <f t="shared" si="0"/>
        <v>49.5</v>
      </c>
    </row>
    <row r="28" spans="4:11">
      <c r="D28" s="11">
        <v>46135</v>
      </c>
      <c r="E28" s="12">
        <v>1597318</v>
      </c>
      <c r="F28" s="12" t="s">
        <v>31</v>
      </c>
      <c r="G28" s="13">
        <v>20422632</v>
      </c>
      <c r="H28" s="12" t="s">
        <v>58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46135</v>
      </c>
      <c r="E29" s="12">
        <v>1597318</v>
      </c>
      <c r="F29" s="12" t="s">
        <v>28</v>
      </c>
      <c r="G29" s="13">
        <v>20410093</v>
      </c>
      <c r="H29" s="12" t="s">
        <v>59</v>
      </c>
      <c r="I29" s="13">
        <v>3</v>
      </c>
      <c r="J29" s="14">
        <f>2*5.5+2.5</f>
        <v>13.5</v>
      </c>
      <c r="K29" s="14">
        <f t="shared" si="0"/>
        <v>40.5</v>
      </c>
    </row>
    <row r="30" spans="4:11">
      <c r="D30" s="11">
        <v>46135</v>
      </c>
      <c r="E30" s="12">
        <v>1597318</v>
      </c>
      <c r="F30" s="12" t="s">
        <v>28</v>
      </c>
      <c r="G30" s="13">
        <v>20417764</v>
      </c>
      <c r="H30" s="12" t="s">
        <v>57</v>
      </c>
      <c r="I30" s="13">
        <v>1</v>
      </c>
      <c r="J30" s="14">
        <v>49.5</v>
      </c>
      <c r="K30" s="14">
        <f t="shared" si="0"/>
        <v>49.5</v>
      </c>
    </row>
    <row r="31" spans="4:11">
      <c r="D31" s="11">
        <v>46136</v>
      </c>
      <c r="E31" s="12">
        <v>1598067</v>
      </c>
      <c r="F31" s="12" t="s">
        <v>31</v>
      </c>
      <c r="G31" s="13">
        <v>20421334</v>
      </c>
      <c r="H31" s="12" t="s">
        <v>60</v>
      </c>
      <c r="I31" s="13">
        <v>1</v>
      </c>
      <c r="J31" s="14">
        <f>2*5.5+2.5</f>
        <v>13.5</v>
      </c>
      <c r="K31" s="14">
        <f t="shared" si="0"/>
        <v>13.5</v>
      </c>
    </row>
    <row r="32" spans="4:11">
      <c r="D32" s="11">
        <v>46136</v>
      </c>
      <c r="E32" s="12">
        <v>1598067</v>
      </c>
      <c r="F32" s="12" t="s">
        <v>31</v>
      </c>
      <c r="G32" s="13">
        <v>20421334</v>
      </c>
      <c r="H32" s="12" t="s">
        <v>61</v>
      </c>
      <c r="I32" s="13">
        <v>3</v>
      </c>
      <c r="J32" s="14">
        <f>2*5.5+2.5</f>
        <v>13.5</v>
      </c>
      <c r="K32" s="14">
        <f t="shared" si="0"/>
        <v>40.5</v>
      </c>
    </row>
    <row r="33" spans="4:11">
      <c r="D33" s="11">
        <v>46136</v>
      </c>
      <c r="E33" s="12">
        <v>1598067</v>
      </c>
      <c r="F33" s="12" t="s">
        <v>31</v>
      </c>
      <c r="G33" s="13">
        <v>20410093</v>
      </c>
      <c r="H33" s="12" t="s">
        <v>59</v>
      </c>
      <c r="I33" s="13">
        <v>1</v>
      </c>
      <c r="J33" s="14">
        <f>2*5.5+2.5</f>
        <v>13.5</v>
      </c>
      <c r="K33" s="14">
        <f t="shared" si="0"/>
        <v>13.5</v>
      </c>
    </row>
    <row r="34" spans="4:11">
      <c r="D34" s="11">
        <v>46136</v>
      </c>
      <c r="E34" s="12">
        <v>1598067</v>
      </c>
      <c r="F34" s="12" t="s">
        <v>28</v>
      </c>
      <c r="G34" s="13">
        <v>20417764</v>
      </c>
      <c r="H34" s="12" t="s">
        <v>62</v>
      </c>
      <c r="I34" s="13">
        <v>1</v>
      </c>
      <c r="J34" s="14">
        <v>60.5</v>
      </c>
      <c r="K34" s="14">
        <f t="shared" si="0"/>
        <v>60.5</v>
      </c>
    </row>
    <row r="35" spans="4:11">
      <c r="D35" s="11">
        <v>46140</v>
      </c>
      <c r="E35" s="12">
        <v>1598605</v>
      </c>
      <c r="F35" s="12" t="s">
        <v>31</v>
      </c>
      <c r="G35" s="13">
        <v>20423243</v>
      </c>
      <c r="H35" s="12" t="s">
        <v>63</v>
      </c>
      <c r="I35" s="13">
        <v>1</v>
      </c>
      <c r="J35" s="14">
        <f>2*5.5+2.5</f>
        <v>13.5</v>
      </c>
      <c r="K35" s="14">
        <f t="shared" si="0"/>
        <v>13.5</v>
      </c>
    </row>
    <row r="36" spans="4:11">
      <c r="D36" s="11">
        <v>46140</v>
      </c>
      <c r="E36" s="12">
        <v>1598605</v>
      </c>
      <c r="F36" s="12" t="s">
        <v>31</v>
      </c>
      <c r="G36" s="13">
        <v>20410093</v>
      </c>
      <c r="H36" s="12" t="s">
        <v>59</v>
      </c>
      <c r="I36" s="13">
        <v>3</v>
      </c>
      <c r="J36" s="14">
        <f>2*5.5+2.5</f>
        <v>13.5</v>
      </c>
      <c r="K36" s="14">
        <f t="shared" si="0"/>
        <v>40.5</v>
      </c>
    </row>
    <row r="37" spans="4:11">
      <c r="D37" s="11">
        <v>46140</v>
      </c>
      <c r="E37" s="12">
        <v>1598605</v>
      </c>
      <c r="F37" s="12" t="s">
        <v>28</v>
      </c>
      <c r="G37" s="13">
        <v>20423242</v>
      </c>
      <c r="H37" s="12" t="s">
        <v>64</v>
      </c>
      <c r="I37" s="13">
        <v>1</v>
      </c>
      <c r="J37" s="14">
        <f>6*5.5</f>
        <v>33</v>
      </c>
      <c r="K37" s="14">
        <f t="shared" si="0"/>
        <v>33</v>
      </c>
    </row>
    <row r="38" spans="4:11">
      <c r="D38" s="11">
        <v>46142</v>
      </c>
      <c r="E38" s="12">
        <v>1599424</v>
      </c>
      <c r="F38" s="12" t="s">
        <v>31</v>
      </c>
      <c r="G38" s="13">
        <v>20423243</v>
      </c>
      <c r="H38" s="12" t="s">
        <v>61</v>
      </c>
      <c r="I38" s="13">
        <v>1</v>
      </c>
      <c r="J38" s="14">
        <f>2*5.5+2.5</f>
        <v>13.5</v>
      </c>
      <c r="K38" s="14">
        <f t="shared" si="0"/>
        <v>13.5</v>
      </c>
    </row>
    <row r="39" spans="4:11">
      <c r="D39" s="11">
        <v>46142</v>
      </c>
      <c r="E39" s="12">
        <v>1599424</v>
      </c>
      <c r="F39" s="12" t="s">
        <v>31</v>
      </c>
      <c r="G39" s="13">
        <v>20410093</v>
      </c>
      <c r="H39" s="12" t="s">
        <v>59</v>
      </c>
      <c r="I39" s="13">
        <v>2</v>
      </c>
      <c r="J39" s="14">
        <f>2*5.5+2.5</f>
        <v>13.5</v>
      </c>
      <c r="K39" s="14">
        <f t="shared" si="0"/>
        <v>27</v>
      </c>
    </row>
    <row r="40" spans="4:11">
      <c r="D40" s="11">
        <v>46142</v>
      </c>
      <c r="E40" s="12">
        <v>1599424</v>
      </c>
      <c r="F40" s="12" t="s">
        <v>28</v>
      </c>
      <c r="G40" s="13">
        <v>20417764</v>
      </c>
      <c r="H40" s="12" t="s">
        <v>65</v>
      </c>
      <c r="I40" s="13">
        <v>1</v>
      </c>
      <c r="J40" s="14">
        <v>55</v>
      </c>
      <c r="K40" s="14">
        <f t="shared" si="0"/>
        <v>55</v>
      </c>
    </row>
    <row r="41" spans="4:11">
      <c r="D41" s="11">
        <v>46142</v>
      </c>
      <c r="E41" s="12">
        <v>1599879</v>
      </c>
      <c r="F41" s="12" t="s">
        <v>31</v>
      </c>
      <c r="G41" s="13">
        <v>20421334</v>
      </c>
      <c r="H41" s="12" t="s">
        <v>60</v>
      </c>
      <c r="I41" s="13">
        <v>1</v>
      </c>
      <c r="J41" s="14">
        <f>2*5.5+2.5</f>
        <v>13.5</v>
      </c>
      <c r="K41" s="14">
        <f t="shared" si="0"/>
        <v>13.5</v>
      </c>
    </row>
    <row r="42" spans="4:11">
      <c r="D42" s="11">
        <v>46142</v>
      </c>
      <c r="E42" s="12">
        <v>1599879</v>
      </c>
      <c r="F42" s="12" t="s">
        <v>31</v>
      </c>
      <c r="G42" s="13">
        <v>20410093</v>
      </c>
      <c r="H42" s="12" t="s">
        <v>59</v>
      </c>
      <c r="I42" s="13">
        <v>1</v>
      </c>
      <c r="J42" s="14">
        <f>2*5.5+2.5</f>
        <v>13.5</v>
      </c>
      <c r="K42" s="14">
        <f t="shared" si="0"/>
        <v>13.5</v>
      </c>
    </row>
    <row r="43" spans="4:11">
      <c r="D43" s="11">
        <v>46142</v>
      </c>
      <c r="E43" s="12">
        <v>1599879</v>
      </c>
      <c r="F43" s="12" t="s">
        <v>31</v>
      </c>
      <c r="G43" s="13">
        <v>20423243</v>
      </c>
      <c r="H43" s="12" t="s">
        <v>66</v>
      </c>
      <c r="I43" s="13">
        <v>1</v>
      </c>
      <c r="J43" s="14">
        <f>3*5.5</f>
        <v>16.5</v>
      </c>
      <c r="K43" s="14">
        <f t="shared" si="0"/>
        <v>16.5</v>
      </c>
    </row>
    <row r="44" spans="4:11">
      <c r="D44" s="11">
        <v>46142</v>
      </c>
      <c r="E44" s="12">
        <v>1599879</v>
      </c>
      <c r="F44" s="12" t="s">
        <v>28</v>
      </c>
      <c r="G44" s="13">
        <v>20417764</v>
      </c>
      <c r="H44" s="12" t="s">
        <v>57</v>
      </c>
      <c r="I44" s="13">
        <v>1</v>
      </c>
      <c r="J44" s="14">
        <v>49.5</v>
      </c>
      <c r="K44" s="14">
        <f t="shared" si="0"/>
        <v>49.5</v>
      </c>
    </row>
    <row r="45" ht="0.05" customHeight="1"/>
  </sheetData>
  <autoFilter xmlns:etc="http://www.wps.cn/officeDocument/2017/etCustomData" ref="A7:K45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6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16.5</v>
      </c>
    </row>
    <row r="9" spans="1:11">
      <c r="D9" s="11">
        <v>46133</v>
      </c>
      <c r="E9" s="12">
        <v>1596582</v>
      </c>
      <c r="F9" s="12" t="s">
        <v>31</v>
      </c>
      <c r="G9" s="13">
        <v>20422208</v>
      </c>
      <c r="H9" s="12" t="s">
        <v>67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7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4</v>
      </c>
      <c r="J8" s="10"/>
      <c r="K8" s="10">
        <v>65</v>
      </c>
    </row>
    <row r="9" spans="1:11">
      <c r="D9" s="11">
        <v>46136</v>
      </c>
      <c r="E9" s="12">
        <v>1598069</v>
      </c>
      <c r="F9" s="12" t="s">
        <v>28</v>
      </c>
      <c r="G9" s="13">
        <v>20409897</v>
      </c>
      <c r="H9" s="12" t="s">
        <v>68</v>
      </c>
      <c r="I9" s="13">
        <v>2</v>
      </c>
      <c r="J9" s="14">
        <v>16</v>
      </c>
      <c r="K9" s="14">
        <v>32</v>
      </c>
    </row>
    <row r="10" spans="1:11">
      <c r="D10" s="11">
        <v>46136</v>
      </c>
      <c r="E10" s="12">
        <v>1598069</v>
      </c>
      <c r="F10" s="12" t="s">
        <v>28</v>
      </c>
      <c r="G10" s="13">
        <v>20410049</v>
      </c>
      <c r="H10" s="12" t="s">
        <v>69</v>
      </c>
      <c r="I10" s="13">
        <v>2</v>
      </c>
      <c r="J10" s="14">
        <v>16.5</v>
      </c>
      <c r="K10" s="14">
        <v>33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8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78</v>
      </c>
      <c r="J8" s="10"/>
      <c r="K8" s="10">
        <f>SUM(K9:K58)</f>
        <v>4151.5</v>
      </c>
    </row>
    <row r="9" spans="1:11">
      <c r="D9" s="11">
        <v>46113</v>
      </c>
      <c r="E9" s="12">
        <v>1591257</v>
      </c>
      <c r="F9" s="12" t="s">
        <v>70</v>
      </c>
      <c r="G9" s="13">
        <v>20410116</v>
      </c>
      <c r="H9" s="12" t="s">
        <v>71</v>
      </c>
      <c r="I9" s="13">
        <v>1</v>
      </c>
      <c r="J9" s="14">
        <v>220</v>
      </c>
      <c r="K9" s="14">
        <f>J9*I9</f>
        <v>220</v>
      </c>
    </row>
    <row r="10" spans="1:11">
      <c r="D10" s="11">
        <v>46113</v>
      </c>
      <c r="E10" s="12">
        <v>1591257</v>
      </c>
      <c r="F10" s="12" t="s">
        <v>70</v>
      </c>
      <c r="G10" s="13">
        <v>20410108</v>
      </c>
      <c r="H10" s="12" t="s">
        <v>72</v>
      </c>
      <c r="I10" s="13">
        <v>1</v>
      </c>
      <c r="J10" s="14">
        <v>352</v>
      </c>
      <c r="K10" s="14">
        <f t="shared" ref="K10:K41" si="0">J10*I10</f>
        <v>352</v>
      </c>
    </row>
    <row r="11" spans="1:11">
      <c r="D11" s="11">
        <v>46113</v>
      </c>
      <c r="E11" s="12">
        <v>1591257</v>
      </c>
      <c r="F11" s="12" t="s">
        <v>31</v>
      </c>
      <c r="G11" s="13">
        <v>20417771</v>
      </c>
      <c r="H11" s="12" t="s">
        <v>73</v>
      </c>
      <c r="I11" s="13">
        <v>2</v>
      </c>
      <c r="J11" s="14">
        <v>16</v>
      </c>
      <c r="K11" s="14">
        <f t="shared" si="0"/>
        <v>32</v>
      </c>
    </row>
    <row r="12" spans="1:11">
      <c r="D12" s="11">
        <v>46113</v>
      </c>
      <c r="E12" s="12">
        <v>1591257</v>
      </c>
      <c r="F12" s="12" t="s">
        <v>31</v>
      </c>
      <c r="G12" s="13">
        <v>20417770</v>
      </c>
      <c r="H12" s="12" t="s">
        <v>32</v>
      </c>
      <c r="I12" s="13">
        <v>1</v>
      </c>
      <c r="J12" s="14">
        <v>13</v>
      </c>
      <c r="K12" s="14">
        <f t="shared" si="0"/>
        <v>13</v>
      </c>
    </row>
    <row r="13" spans="1:11">
      <c r="D13" s="11">
        <v>46113</v>
      </c>
      <c r="E13" s="12">
        <v>1591257</v>
      </c>
      <c r="F13" s="12" t="s">
        <v>31</v>
      </c>
      <c r="G13" s="13">
        <v>20419779</v>
      </c>
      <c r="H13" s="12" t="s">
        <v>74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46113</v>
      </c>
      <c r="E14" s="12">
        <v>1591257</v>
      </c>
      <c r="F14" s="12" t="s">
        <v>31</v>
      </c>
      <c r="G14" s="13">
        <v>20419778</v>
      </c>
      <c r="H14" s="12" t="s">
        <v>75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46113</v>
      </c>
      <c r="E15" s="12">
        <v>1591257</v>
      </c>
      <c r="F15" s="12" t="s">
        <v>28</v>
      </c>
      <c r="G15" s="13">
        <v>20410080</v>
      </c>
      <c r="H15" s="12" t="s">
        <v>76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46121</v>
      </c>
      <c r="E16" s="12">
        <v>1593120</v>
      </c>
      <c r="F16" s="12" t="s">
        <v>70</v>
      </c>
      <c r="G16" s="13">
        <v>20410122</v>
      </c>
      <c r="H16" s="12" t="s">
        <v>77</v>
      </c>
      <c r="I16" s="13">
        <v>1</v>
      </c>
      <c r="J16" s="14">
        <v>60.5</v>
      </c>
      <c r="K16" s="14">
        <f t="shared" si="0"/>
        <v>60.5</v>
      </c>
    </row>
    <row r="17" spans="4:11">
      <c r="D17" s="11">
        <v>46121</v>
      </c>
      <c r="E17" s="12">
        <v>1593120</v>
      </c>
      <c r="F17" s="12" t="s">
        <v>70</v>
      </c>
      <c r="G17" s="13">
        <v>20410120</v>
      </c>
      <c r="H17" s="12" t="s">
        <v>78</v>
      </c>
      <c r="I17" s="13">
        <v>1</v>
      </c>
      <c r="J17" s="14">
        <v>396</v>
      </c>
      <c r="K17" s="14">
        <f t="shared" si="0"/>
        <v>396</v>
      </c>
    </row>
    <row r="18" spans="4:11">
      <c r="D18" s="11">
        <v>46121</v>
      </c>
      <c r="E18" s="12">
        <v>1593120</v>
      </c>
      <c r="F18" s="12" t="s">
        <v>31</v>
      </c>
      <c r="G18" s="13">
        <v>20417771</v>
      </c>
      <c r="H18" s="12" t="s">
        <v>73</v>
      </c>
      <c r="I18" s="13">
        <v>2</v>
      </c>
      <c r="J18" s="14">
        <v>16</v>
      </c>
      <c r="K18" s="14">
        <f t="shared" si="0"/>
        <v>32</v>
      </c>
    </row>
    <row r="19" spans="4:11">
      <c r="D19" s="11">
        <v>46121</v>
      </c>
      <c r="E19" s="12">
        <v>1593120</v>
      </c>
      <c r="F19" s="12" t="s">
        <v>31</v>
      </c>
      <c r="G19" s="13">
        <v>20410123</v>
      </c>
      <c r="H19" s="12" t="s">
        <v>79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46121</v>
      </c>
      <c r="E20" s="12">
        <v>1593120</v>
      </c>
      <c r="F20" s="12" t="s">
        <v>31</v>
      </c>
      <c r="G20" s="13">
        <v>20417770</v>
      </c>
      <c r="H20" s="12" t="s">
        <v>32</v>
      </c>
      <c r="I20" s="13">
        <v>3</v>
      </c>
      <c r="J20" s="14">
        <v>13</v>
      </c>
      <c r="K20" s="14">
        <f t="shared" si="0"/>
        <v>39</v>
      </c>
    </row>
    <row r="21" spans="4:11">
      <c r="D21" s="11">
        <v>46121</v>
      </c>
      <c r="E21" s="12">
        <v>1593120</v>
      </c>
      <c r="F21" s="12" t="s">
        <v>28</v>
      </c>
      <c r="G21" s="13">
        <v>20410080</v>
      </c>
      <c r="H21" s="12" t="s">
        <v>76</v>
      </c>
      <c r="I21" s="13">
        <v>2</v>
      </c>
      <c r="J21" s="14">
        <v>16.5</v>
      </c>
      <c r="K21" s="14">
        <f t="shared" si="0"/>
        <v>33</v>
      </c>
    </row>
    <row r="22" spans="4:11">
      <c r="D22" s="11">
        <v>46125</v>
      </c>
      <c r="E22" s="12">
        <v>1594470</v>
      </c>
      <c r="F22" s="12" t="s">
        <v>70</v>
      </c>
      <c r="G22" s="13">
        <v>20410122</v>
      </c>
      <c r="H22" s="12" t="s">
        <v>77</v>
      </c>
      <c r="I22" s="13">
        <v>1</v>
      </c>
      <c r="J22" s="14">
        <v>60.5</v>
      </c>
      <c r="K22" s="14">
        <f t="shared" si="0"/>
        <v>60.5</v>
      </c>
    </row>
    <row r="23" spans="4:11">
      <c r="D23" s="11">
        <v>46125</v>
      </c>
      <c r="E23" s="12">
        <v>1594470</v>
      </c>
      <c r="F23" s="12" t="s">
        <v>31</v>
      </c>
      <c r="G23" s="13">
        <v>20417771</v>
      </c>
      <c r="H23" s="12" t="s">
        <v>73</v>
      </c>
      <c r="I23" s="13">
        <v>1</v>
      </c>
      <c r="J23" s="14">
        <v>16</v>
      </c>
      <c r="K23" s="14">
        <f t="shared" si="0"/>
        <v>16</v>
      </c>
    </row>
    <row r="24" spans="4:11">
      <c r="D24" s="11">
        <v>46125</v>
      </c>
      <c r="E24" s="12">
        <v>1594470</v>
      </c>
      <c r="F24" s="12" t="s">
        <v>31</v>
      </c>
      <c r="G24" s="13">
        <v>20410123</v>
      </c>
      <c r="H24" s="12" t="s">
        <v>79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46125</v>
      </c>
      <c r="E25" s="12">
        <v>1594470</v>
      </c>
      <c r="F25" s="12" t="s">
        <v>31</v>
      </c>
      <c r="G25" s="13">
        <v>20417770</v>
      </c>
      <c r="H25" s="12" t="s">
        <v>32</v>
      </c>
      <c r="I25" s="13">
        <v>1</v>
      </c>
      <c r="J25" s="14">
        <v>13</v>
      </c>
      <c r="K25" s="14">
        <f t="shared" si="0"/>
        <v>13</v>
      </c>
    </row>
    <row r="26" spans="4:11">
      <c r="D26" s="11">
        <v>46125</v>
      </c>
      <c r="E26" s="12">
        <v>1594470</v>
      </c>
      <c r="F26" s="12" t="s">
        <v>28</v>
      </c>
      <c r="G26" s="13">
        <v>20410080</v>
      </c>
      <c r="H26" s="12" t="s">
        <v>76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46129</v>
      </c>
      <c r="E27" s="12">
        <v>1595952</v>
      </c>
      <c r="F27" s="12" t="s">
        <v>70</v>
      </c>
      <c r="G27" s="13">
        <v>20410120</v>
      </c>
      <c r="H27" s="12" t="s">
        <v>78</v>
      </c>
      <c r="I27" s="13">
        <v>1</v>
      </c>
      <c r="J27" s="14">
        <v>396</v>
      </c>
      <c r="K27" s="14">
        <f t="shared" si="0"/>
        <v>396</v>
      </c>
    </row>
    <row r="28" spans="4:11">
      <c r="D28" s="11">
        <v>46129</v>
      </c>
      <c r="E28" s="12">
        <v>1595952</v>
      </c>
      <c r="F28" s="12" t="s">
        <v>31</v>
      </c>
      <c r="G28" s="13">
        <v>20417771</v>
      </c>
      <c r="H28" s="12" t="s">
        <v>73</v>
      </c>
      <c r="I28" s="13">
        <v>1</v>
      </c>
      <c r="J28" s="14">
        <v>16</v>
      </c>
      <c r="K28" s="14">
        <f t="shared" si="0"/>
        <v>16</v>
      </c>
    </row>
    <row r="29" spans="4:11">
      <c r="D29" s="11">
        <v>46129</v>
      </c>
      <c r="E29" s="12">
        <v>1595952</v>
      </c>
      <c r="F29" s="12" t="s">
        <v>31</v>
      </c>
      <c r="G29" s="13">
        <v>20420152</v>
      </c>
      <c r="H29" s="12" t="s">
        <v>40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46129</v>
      </c>
      <c r="E30" s="12">
        <v>1595952</v>
      </c>
      <c r="F30" s="12" t="s">
        <v>31</v>
      </c>
      <c r="G30" s="13">
        <v>20417770</v>
      </c>
      <c r="H30" s="12" t="s">
        <v>32</v>
      </c>
      <c r="I30" s="13">
        <v>1</v>
      </c>
      <c r="J30" s="14">
        <v>13</v>
      </c>
      <c r="K30" s="14">
        <f t="shared" si="0"/>
        <v>13</v>
      </c>
    </row>
    <row r="31" spans="4:11">
      <c r="D31" s="11">
        <v>46129</v>
      </c>
      <c r="E31" s="12">
        <v>1595952</v>
      </c>
      <c r="F31" s="12" t="s">
        <v>28</v>
      </c>
      <c r="G31" s="13">
        <v>20410080</v>
      </c>
      <c r="H31" s="12" t="s">
        <v>76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46135</v>
      </c>
      <c r="E32" s="12">
        <v>1597319</v>
      </c>
      <c r="F32" s="12" t="s">
        <v>70</v>
      </c>
      <c r="G32" s="13">
        <v>20410122</v>
      </c>
      <c r="H32" s="12" t="s">
        <v>77</v>
      </c>
      <c r="I32" s="13">
        <v>1</v>
      </c>
      <c r="J32" s="14">
        <v>60.5</v>
      </c>
      <c r="K32" s="14">
        <f t="shared" si="0"/>
        <v>60.5</v>
      </c>
    </row>
    <row r="33" spans="4:11">
      <c r="D33" s="11">
        <v>46135</v>
      </c>
      <c r="E33" s="12">
        <v>1597319</v>
      </c>
      <c r="F33" s="12" t="s">
        <v>31</v>
      </c>
      <c r="G33" s="13">
        <v>20417771</v>
      </c>
      <c r="H33" s="12" t="s">
        <v>73</v>
      </c>
      <c r="I33" s="13">
        <v>1</v>
      </c>
      <c r="J33" s="14">
        <v>16</v>
      </c>
      <c r="K33" s="14">
        <f t="shared" si="0"/>
        <v>16</v>
      </c>
    </row>
    <row r="34" spans="4:11">
      <c r="D34" s="11">
        <v>46135</v>
      </c>
      <c r="E34" s="12">
        <v>1597319</v>
      </c>
      <c r="F34" s="12" t="s">
        <v>31</v>
      </c>
      <c r="G34" s="13">
        <v>20417770</v>
      </c>
      <c r="H34" s="12" t="s">
        <v>32</v>
      </c>
      <c r="I34" s="13">
        <v>2</v>
      </c>
      <c r="J34" s="14">
        <v>13</v>
      </c>
      <c r="K34" s="14">
        <f t="shared" si="0"/>
        <v>26</v>
      </c>
    </row>
    <row r="35" spans="4:11">
      <c r="D35" s="11">
        <v>46135</v>
      </c>
      <c r="E35" s="12">
        <v>1597319</v>
      </c>
      <c r="F35" s="12" t="s">
        <v>28</v>
      </c>
      <c r="G35" s="13">
        <v>20410080</v>
      </c>
      <c r="H35" s="12" t="s">
        <v>76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46136</v>
      </c>
      <c r="E36" s="12">
        <v>1598042</v>
      </c>
      <c r="F36" s="12" t="s">
        <v>70</v>
      </c>
      <c r="G36" s="13">
        <v>20410116</v>
      </c>
      <c r="H36" s="12" t="s">
        <v>71</v>
      </c>
      <c r="I36" s="13">
        <v>1</v>
      </c>
      <c r="J36" s="14">
        <v>220</v>
      </c>
      <c r="K36" s="14">
        <f t="shared" si="0"/>
        <v>220</v>
      </c>
    </row>
    <row r="37" spans="4:11">
      <c r="D37" s="11">
        <v>46136</v>
      </c>
      <c r="E37" s="12">
        <v>1598042</v>
      </c>
      <c r="F37" s="12" t="s">
        <v>70</v>
      </c>
      <c r="G37" s="13">
        <v>20410122</v>
      </c>
      <c r="H37" s="12" t="s">
        <v>77</v>
      </c>
      <c r="I37" s="13">
        <v>1</v>
      </c>
      <c r="J37" s="14">
        <v>60.5</v>
      </c>
      <c r="K37" s="14">
        <f t="shared" si="0"/>
        <v>60.5</v>
      </c>
    </row>
    <row r="38" spans="4:11">
      <c r="D38" s="11">
        <v>46136</v>
      </c>
      <c r="E38" s="12">
        <v>1598042</v>
      </c>
      <c r="F38" s="12" t="s">
        <v>70</v>
      </c>
      <c r="G38" s="13">
        <v>20410117</v>
      </c>
      <c r="H38" s="12" t="s">
        <v>80</v>
      </c>
      <c r="I38" s="13">
        <v>1</v>
      </c>
      <c r="J38" s="14">
        <v>93.5</v>
      </c>
      <c r="K38" s="14">
        <f t="shared" si="0"/>
        <v>93.5</v>
      </c>
    </row>
    <row r="39" spans="4:11">
      <c r="D39" s="11">
        <v>46136</v>
      </c>
      <c r="E39" s="12">
        <v>1598042</v>
      </c>
      <c r="F39" s="12" t="s">
        <v>70</v>
      </c>
      <c r="G39" s="13">
        <v>20410111</v>
      </c>
      <c r="H39" s="12" t="s">
        <v>81</v>
      </c>
      <c r="I39" s="13">
        <v>1</v>
      </c>
      <c r="J39" s="14">
        <v>115.5</v>
      </c>
      <c r="K39" s="14">
        <f t="shared" si="0"/>
        <v>115.5</v>
      </c>
    </row>
    <row r="40" spans="4:11">
      <c r="D40" s="11">
        <v>46136</v>
      </c>
      <c r="E40" s="12">
        <v>1598042</v>
      </c>
      <c r="F40" s="12" t="s">
        <v>31</v>
      </c>
      <c r="G40" s="13">
        <v>20417771</v>
      </c>
      <c r="H40" s="12" t="s">
        <v>73</v>
      </c>
      <c r="I40" s="13">
        <v>4</v>
      </c>
      <c r="J40" s="14">
        <v>16</v>
      </c>
      <c r="K40" s="14">
        <f t="shared" si="0"/>
        <v>64</v>
      </c>
    </row>
    <row r="41" spans="4:11">
      <c r="D41" s="11">
        <v>46136</v>
      </c>
      <c r="E41" s="12">
        <v>1598042</v>
      </c>
      <c r="F41" s="12" t="s">
        <v>31</v>
      </c>
      <c r="G41" s="13">
        <v>20417770</v>
      </c>
      <c r="H41" s="12" t="s">
        <v>32</v>
      </c>
      <c r="I41" s="13">
        <v>5</v>
      </c>
      <c r="J41" s="14">
        <v>13</v>
      </c>
      <c r="K41" s="14">
        <f t="shared" si="0"/>
        <v>65</v>
      </c>
    </row>
    <row r="42" spans="4:11">
      <c r="D42" s="11">
        <v>46136</v>
      </c>
      <c r="E42" s="12">
        <v>1598042</v>
      </c>
      <c r="F42" s="12" t="s">
        <v>28</v>
      </c>
      <c r="G42" s="13">
        <v>20410080</v>
      </c>
      <c r="H42" s="12" t="s">
        <v>76</v>
      </c>
      <c r="I42" s="13">
        <v>3</v>
      </c>
      <c r="J42" s="14">
        <v>16.5</v>
      </c>
      <c r="K42" s="14">
        <f t="shared" ref="K42:K58" si="1">J42*I42</f>
        <v>49.5</v>
      </c>
    </row>
    <row r="43" spans="4:11">
      <c r="D43" s="11">
        <v>46136</v>
      </c>
      <c r="E43" s="12">
        <v>1598042</v>
      </c>
      <c r="F43" s="12" t="s">
        <v>28</v>
      </c>
      <c r="G43" s="13">
        <v>20422970</v>
      </c>
      <c r="H43" s="12" t="s">
        <v>82</v>
      </c>
      <c r="I43" s="13">
        <v>1</v>
      </c>
      <c r="J43" s="14">
        <v>16.5</v>
      </c>
      <c r="K43" s="14">
        <f t="shared" si="1"/>
        <v>16.5</v>
      </c>
    </row>
    <row r="44" spans="4:11">
      <c r="D44" s="11">
        <v>46140</v>
      </c>
      <c r="E44" s="12">
        <v>1598606</v>
      </c>
      <c r="F44" s="12" t="s">
        <v>70</v>
      </c>
      <c r="G44" s="13">
        <v>20410120</v>
      </c>
      <c r="H44" s="12" t="s">
        <v>78</v>
      </c>
      <c r="I44" s="13">
        <v>2</v>
      </c>
      <c r="J44" s="14">
        <v>396</v>
      </c>
      <c r="K44" s="14">
        <f t="shared" si="1"/>
        <v>792</v>
      </c>
    </row>
    <row r="45" spans="4:11">
      <c r="D45" s="11">
        <v>46140</v>
      </c>
      <c r="E45" s="12">
        <v>1598606</v>
      </c>
      <c r="F45" s="12" t="s">
        <v>31</v>
      </c>
      <c r="G45" s="13">
        <v>20417771</v>
      </c>
      <c r="H45" s="12" t="s">
        <v>73</v>
      </c>
      <c r="I45" s="13">
        <v>4</v>
      </c>
      <c r="J45" s="14">
        <v>16</v>
      </c>
      <c r="K45" s="14">
        <f t="shared" si="1"/>
        <v>64</v>
      </c>
    </row>
    <row r="46" spans="4:11">
      <c r="D46" s="11">
        <v>46140</v>
      </c>
      <c r="E46" s="12">
        <v>1598606</v>
      </c>
      <c r="F46" s="12" t="s">
        <v>31</v>
      </c>
      <c r="G46" s="13">
        <v>20417770</v>
      </c>
      <c r="H46" s="12" t="s">
        <v>32</v>
      </c>
      <c r="I46" s="13">
        <v>2</v>
      </c>
      <c r="J46" s="14">
        <v>13</v>
      </c>
      <c r="K46" s="14">
        <f t="shared" si="1"/>
        <v>26</v>
      </c>
    </row>
    <row r="47" spans="4:11">
      <c r="D47" s="11">
        <v>46140</v>
      </c>
      <c r="E47" s="12">
        <v>1598606</v>
      </c>
      <c r="F47" s="12" t="s">
        <v>28</v>
      </c>
      <c r="G47" s="13">
        <v>20410080</v>
      </c>
      <c r="H47" s="12" t="s">
        <v>76</v>
      </c>
      <c r="I47" s="13">
        <v>2</v>
      </c>
      <c r="J47" s="14">
        <v>16.5</v>
      </c>
      <c r="K47" s="14">
        <f t="shared" si="1"/>
        <v>33</v>
      </c>
    </row>
    <row r="48" spans="4:11">
      <c r="D48" s="11">
        <v>46142</v>
      </c>
      <c r="E48" s="12">
        <v>1599425</v>
      </c>
      <c r="F48" s="12" t="s">
        <v>70</v>
      </c>
      <c r="G48" s="13">
        <v>20410116</v>
      </c>
      <c r="H48" s="12" t="s">
        <v>71</v>
      </c>
      <c r="I48" s="13">
        <v>1</v>
      </c>
      <c r="J48" s="14">
        <v>220</v>
      </c>
      <c r="K48" s="14">
        <f t="shared" si="1"/>
        <v>220</v>
      </c>
    </row>
    <row r="49" spans="4:11">
      <c r="D49" s="11">
        <v>46142</v>
      </c>
      <c r="E49" s="12">
        <v>1599425</v>
      </c>
      <c r="F49" s="12" t="s">
        <v>31</v>
      </c>
      <c r="G49" s="13">
        <v>20417771</v>
      </c>
      <c r="H49" s="12" t="s">
        <v>73</v>
      </c>
      <c r="I49" s="13">
        <v>2</v>
      </c>
      <c r="J49" s="14">
        <v>16</v>
      </c>
      <c r="K49" s="14">
        <f t="shared" si="1"/>
        <v>32</v>
      </c>
    </row>
    <row r="50" spans="4:11">
      <c r="D50" s="11">
        <v>46142</v>
      </c>
      <c r="E50" s="12">
        <v>1599425</v>
      </c>
      <c r="F50" s="12" t="s">
        <v>31</v>
      </c>
      <c r="G50" s="13">
        <v>20417770</v>
      </c>
      <c r="H50" s="12" t="s">
        <v>32</v>
      </c>
      <c r="I50" s="13">
        <v>2</v>
      </c>
      <c r="J50" s="14">
        <v>13</v>
      </c>
      <c r="K50" s="14">
        <f t="shared" si="1"/>
        <v>26</v>
      </c>
    </row>
    <row r="51" spans="4:11">
      <c r="D51" s="11">
        <v>46142</v>
      </c>
      <c r="E51" s="12">
        <v>1599425</v>
      </c>
      <c r="F51" s="12" t="s">
        <v>28</v>
      </c>
      <c r="G51" s="13">
        <v>20410080</v>
      </c>
      <c r="H51" s="12" t="s">
        <v>76</v>
      </c>
      <c r="I51" s="13">
        <v>1</v>
      </c>
      <c r="J51" s="14">
        <v>16.5</v>
      </c>
      <c r="K51" s="14">
        <f t="shared" si="1"/>
        <v>16.5</v>
      </c>
    </row>
    <row r="52" spans="4:11">
      <c r="D52" s="11">
        <v>46142</v>
      </c>
      <c r="E52" s="12">
        <v>1599425</v>
      </c>
      <c r="F52" s="12" t="s">
        <v>28</v>
      </c>
      <c r="G52" s="13">
        <v>20422970</v>
      </c>
      <c r="H52" s="12" t="s">
        <v>82</v>
      </c>
      <c r="I52" s="13">
        <v>1</v>
      </c>
      <c r="J52" s="14">
        <v>16.5</v>
      </c>
      <c r="K52" s="14">
        <f t="shared" si="1"/>
        <v>16.5</v>
      </c>
    </row>
    <row r="53" spans="4:11">
      <c r="D53" s="11">
        <v>46142</v>
      </c>
      <c r="E53" s="12">
        <v>1599425</v>
      </c>
      <c r="F53" s="12" t="s">
        <v>36</v>
      </c>
      <c r="G53" s="13">
        <v>20418807</v>
      </c>
      <c r="H53" s="12" t="s">
        <v>83</v>
      </c>
      <c r="I53" s="13">
        <v>5</v>
      </c>
      <c r="J53" s="14">
        <v>4</v>
      </c>
      <c r="K53" s="14">
        <f t="shared" si="1"/>
        <v>20</v>
      </c>
    </row>
    <row r="54" spans="4:11">
      <c r="D54" s="11">
        <v>46142</v>
      </c>
      <c r="E54" s="12">
        <v>1599880</v>
      </c>
      <c r="F54" s="12" t="s">
        <v>70</v>
      </c>
      <c r="G54" s="13">
        <v>20410116</v>
      </c>
      <c r="H54" s="12" t="s">
        <v>71</v>
      </c>
      <c r="I54" s="13">
        <v>1</v>
      </c>
      <c r="J54" s="14">
        <v>220</v>
      </c>
      <c r="K54" s="14">
        <f t="shared" si="1"/>
        <v>220</v>
      </c>
    </row>
    <row r="55" spans="4:11">
      <c r="D55" s="11">
        <v>46142</v>
      </c>
      <c r="E55" s="12">
        <v>1599880</v>
      </c>
      <c r="F55" s="12" t="s">
        <v>31</v>
      </c>
      <c r="G55" s="13">
        <v>20417771</v>
      </c>
      <c r="H55" s="12" t="s">
        <v>73</v>
      </c>
      <c r="I55" s="13">
        <v>1</v>
      </c>
      <c r="J55" s="14">
        <v>16</v>
      </c>
      <c r="K55" s="14">
        <f t="shared" si="1"/>
        <v>16</v>
      </c>
    </row>
    <row r="56" spans="4:11">
      <c r="D56" s="11">
        <v>46142</v>
      </c>
      <c r="E56" s="12">
        <v>1599880</v>
      </c>
      <c r="F56" s="12" t="s">
        <v>31</v>
      </c>
      <c r="G56" s="13">
        <v>20417770</v>
      </c>
      <c r="H56" s="12" t="s">
        <v>32</v>
      </c>
      <c r="I56" s="13">
        <v>2</v>
      </c>
      <c r="J56" s="14">
        <v>13</v>
      </c>
      <c r="K56" s="14">
        <f t="shared" si="1"/>
        <v>26</v>
      </c>
    </row>
    <row r="57" spans="4:11">
      <c r="D57" s="11">
        <v>46142</v>
      </c>
      <c r="E57" s="12">
        <v>1599880</v>
      </c>
      <c r="F57" s="12" t="s">
        <v>28</v>
      </c>
      <c r="G57" s="13">
        <v>20410080</v>
      </c>
      <c r="H57" s="12" t="s">
        <v>76</v>
      </c>
      <c r="I57" s="13">
        <v>1</v>
      </c>
      <c r="J57" s="14">
        <v>16.5</v>
      </c>
      <c r="K57" s="14">
        <f t="shared" si="1"/>
        <v>16.5</v>
      </c>
    </row>
    <row r="58" spans="4:11">
      <c r="D58" s="11">
        <v>46142</v>
      </c>
      <c r="E58" s="12">
        <v>1599880</v>
      </c>
      <c r="F58" s="12" t="s">
        <v>28</v>
      </c>
      <c r="G58" s="13">
        <v>20422970</v>
      </c>
      <c r="H58" s="12" t="s">
        <v>82</v>
      </c>
      <c r="I58" s="13">
        <v>1</v>
      </c>
      <c r="J58" s="14">
        <v>16.5</v>
      </c>
      <c r="K58" s="14">
        <f t="shared" si="1"/>
        <v>16.5</v>
      </c>
    </row>
    <row r="59" ht="0.05" customHeight="1"/>
  </sheetData>
  <autoFilter xmlns:etc="http://www.wps.cn/officeDocument/2017/etCustomData" ref="A7:K58" etc:filterBottomFollowUsedRange="0">
    <extLst/>
  </autoFilter>
  <mergeCells count="5">
    <mergeCell ref="D8:H8"/>
    <mergeCell ref="C7:C58"/>
    <mergeCell ref="B4:H5"/>
    <mergeCell ref="A7:B5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9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3</v>
      </c>
      <c r="J8" s="10"/>
      <c r="K8" s="10">
        <v>495</v>
      </c>
    </row>
    <row r="9" spans="1:11">
      <c r="D9" s="11">
        <v>46116</v>
      </c>
      <c r="E9" s="12">
        <v>1592046</v>
      </c>
      <c r="F9" s="12" t="s">
        <v>28</v>
      </c>
      <c r="G9" s="13">
        <v>20417762</v>
      </c>
      <c r="H9" s="12" t="s">
        <v>84</v>
      </c>
      <c r="I9" s="13">
        <v>1</v>
      </c>
      <c r="J9" s="14">
        <v>176</v>
      </c>
      <c r="K9" s="14">
        <v>176</v>
      </c>
    </row>
    <row r="10" spans="1:11">
      <c r="D10" s="11">
        <v>46135</v>
      </c>
      <c r="E10" s="12">
        <v>1597320</v>
      </c>
      <c r="F10" s="12" t="s">
        <v>28</v>
      </c>
      <c r="G10" s="13">
        <v>20417762</v>
      </c>
      <c r="H10" s="12" t="s">
        <v>85</v>
      </c>
      <c r="I10" s="13">
        <v>1</v>
      </c>
      <c r="J10" s="14">
        <v>198</v>
      </c>
      <c r="K10" s="14">
        <v>198</v>
      </c>
    </row>
    <row r="11" spans="1:11">
      <c r="D11" s="11">
        <v>46142</v>
      </c>
      <c r="E11" s="12">
        <v>1599426</v>
      </c>
      <c r="F11" s="12" t="s">
        <v>28</v>
      </c>
      <c r="G11" s="13">
        <v>20417762</v>
      </c>
      <c r="H11" s="12" t="s">
        <v>86</v>
      </c>
      <c r="I11" s="13">
        <v>1</v>
      </c>
      <c r="J11" s="14">
        <v>121</v>
      </c>
      <c r="K11" s="14">
        <v>121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2" sqref="P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10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60</v>
      </c>
      <c r="J8" s="10"/>
      <c r="K8" s="10">
        <v>240</v>
      </c>
    </row>
    <row r="9" spans="1:11">
      <c r="D9" s="11">
        <v>46136</v>
      </c>
      <c r="E9" s="12">
        <v>1598034</v>
      </c>
      <c r="F9" s="12" t="s">
        <v>36</v>
      </c>
      <c r="G9" s="13">
        <v>20417769</v>
      </c>
      <c r="H9" s="12" t="s">
        <v>87</v>
      </c>
      <c r="I9" s="13">
        <v>60</v>
      </c>
      <c r="J9" s="14">
        <v>4</v>
      </c>
      <c r="K9" s="14">
        <v>240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3" sqref="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11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16.5</v>
      </c>
    </row>
    <row r="9" spans="1:11">
      <c r="D9" s="11">
        <v>46133</v>
      </c>
      <c r="E9" s="12">
        <v>1596583</v>
      </c>
      <c r="F9" s="12" t="s">
        <v>31</v>
      </c>
      <c r="G9" s="13">
        <v>20422208</v>
      </c>
      <c r="H9" s="12" t="s">
        <v>67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</vt:lpstr>
      <vt:lpstr>妇科</vt:lpstr>
      <vt:lpstr>美容科</vt:lpstr>
      <vt:lpstr>肾六</vt:lpstr>
      <vt:lpstr>肾五科</vt:lpstr>
      <vt:lpstr>手术室</vt:lpstr>
      <vt:lpstr>外二肛肠二科</vt:lpstr>
      <vt:lpstr>针三科</vt:lpstr>
      <vt:lpstr>综合内科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2026-06-04T01:18:00Z</dcterms:created>
  <dcterms:modified xsi:type="dcterms:W3CDTF">2026-06-11T05:10:55Z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5D78B53899CD43B48077C462660BFEE1_13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