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45" windowHeight="12255"/>
  </bookViews>
  <sheets>
    <sheet name="哈尔滨红十字妇产医院" sheetId="1" r:id="rId1"/>
    <sheet name="物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<sst xmlns="http://schemas.openxmlformats.org/spreadsheetml/2006/main" count="55" uniqueCount="49">
  <si>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r>
      <rPr>
        <b/>
        <sz val="14"/>
        <color rgb="FF000000"/>
        <rFont val="宋体"/>
        <charset val="134"/>
      </rPr>
      <t>哈尔滨市红十字中心医院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2026年5月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</si>
  <si>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</si>
  <si>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</si>
  <si>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ICU病房</t>
  </si>
  <si>
    <t>产二科</t>
  </si>
  <si>
    <t>产前诊断</t>
  </si>
  <si>
    <t>产四科</t>
  </si>
  <si>
    <t>产五科</t>
  </si>
  <si>
    <t>儿科</t>
  </si>
  <si>
    <t>耳鼻喉</t>
  </si>
  <si>
    <t>分娩室</t>
  </si>
  <si>
    <t>妇三</t>
  </si>
  <si>
    <t>妇一科</t>
  </si>
  <si>
    <t>妇幼门诊手术室</t>
  </si>
  <si>
    <t>供应室</t>
  </si>
  <si>
    <t>骨密度</t>
  </si>
  <si>
    <t>急诊</t>
  </si>
  <si>
    <t>计划生育</t>
  </si>
  <si>
    <t>介入科</t>
  </si>
  <si>
    <t>康复科</t>
  </si>
  <si>
    <t>抗衰门诊</t>
  </si>
  <si>
    <t>口腔科</t>
  </si>
  <si>
    <t>理疗科</t>
  </si>
  <si>
    <t>美容科（朝鲜医院）</t>
  </si>
  <si>
    <t>普外科</t>
  </si>
  <si>
    <t>腔镜手术室</t>
  </si>
  <si>
    <t>神内科</t>
  </si>
  <si>
    <t>生殖中心</t>
  </si>
  <si>
    <t>手术室</t>
  </si>
  <si>
    <t>胎心监护室</t>
  </si>
  <si>
    <t>心内科</t>
  </si>
  <si>
    <t>新生儿</t>
  </si>
  <si>
    <t>阴道镜</t>
  </si>
  <si>
    <t>加急灭菌费</t>
  </si>
  <si>
    <t>物流费</t>
  </si>
  <si>
    <t>加急物流费</t>
  </si>
  <si>
    <t>合计</t>
  </si>
  <si>
    <t/>
  </si>
  <si>
    <t>制表人：　　　　　　　　　核算人：　　　　　　　　甲方核算人：</t>
  </si>
  <si>
    <t>黑龙江省铂康医疗灭菌有限公司
2026年5月31日</t>
  </si>
  <si>
    <t>哈尔滨红十字妇产医院2026年5月物流明细汇总</t>
  </si>
  <si>
    <t>序号</t>
  </si>
  <si>
    <t>日期</t>
  </si>
  <si>
    <t>当日次数</t>
  </si>
  <si>
    <t>物流单价（元）</t>
  </si>
  <si>
    <t>合计（元）</t>
  </si>
  <si>
    <t>备注</t>
  </si>
  <si>
    <t>合计：叁仟壹佰元整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</si>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</sst>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[$-10804]0.00;\(0.00\)"/>
  </numFmts>
  <fonts count="29">
    <font>
      <sz val="11"/>
      <name val="宋体"/>
      <charset val="134"/>
      <scheme val="minor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20">
    <xf numFmtId="0" fontId="0" fillId="0" borderId="0" xfId="49" applyFont="1" applyFill="1" applyBorder="1"/>
    <xf numFmtId="0" fontId="0" fillId="0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31" fontId="4" fillId="2" borderId="0" xfId="0" applyNumberFormat="1" applyFont="1" applyFill="1" applyBorder="1" applyAlignment="1">
      <alignment horizontal="right" vertical="center"/>
    </xf>
    <xf numFmtId="0" fontId="5" fillId="0" borderId="0" xfId="49" applyNumberFormat="1" applyFont="1" applyFill="1" applyBorder="1" applyAlignment="1">
      <alignment horizontal="center" vertical="center" wrapText="1" readingOrder="1"/>
    </xf>
    <xf numFmtId="0" fontId="6" fillId="0" borderId="2" xfId="49" applyNumberFormat="1" applyFont="1" applyFill="1" applyBorder="1" applyAlignment="1">
      <alignment horizontal="center" vertical="center" wrapText="1" readingOrder="1"/>
    </xf>
    <xf numFmtId="0" fontId="7" fillId="0" borderId="2" xfId="49" applyNumberFormat="1" applyFont="1" applyFill="1" applyBorder="1" applyAlignment="1">
      <alignment horizontal="center" vertical="center" wrapText="1" readingOrder="1"/>
    </xf>
    <xf numFmtId="177" fontId="7" fillId="0" borderId="2" xfId="49" applyNumberFormat="1" applyFont="1" applyFill="1" applyBorder="1" applyAlignment="1">
      <alignment horizontal="center" vertical="center" wrapText="1" readingOrder="1"/>
    </xf>
    <xf numFmtId="0" fontId="0" fillId="0" borderId="3" xfId="49" applyFont="1" applyFill="1" applyBorder="1"/>
    <xf numFmtId="0" fontId="0" fillId="0" borderId="4" xfId="49" applyFont="1" applyFill="1" applyBorder="1"/>
    <xf numFmtId="176" fontId="7" fillId="0" borderId="2" xfId="49" applyNumberFormat="1" applyFont="1" applyFill="1" applyBorder="1" applyAlignment="1">
      <alignment horizontal="center" vertical="center" wrapText="1" readingOrder="1"/>
    </xf>
    <xf numFmtId="176" fontId="0" fillId="0" borderId="5" xfId="49" applyNumberFormat="1" applyFont="1" applyFill="1" applyBorder="1" applyAlignment="1">
      <alignment vertical="top" wrapText="1"/>
    </xf>
    <xf numFmtId="0" fontId="8" fillId="0" borderId="0" xfId="49" applyNumberFormat="1" applyFont="1" applyFill="1" applyBorder="1" applyAlignment="1">
      <alignment horizontal="left" vertical="top" wrapText="1" readingOrder="1"/>
    </xf>
    <xf numFmtId="0" fontId="8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5"/>
  <sheetViews>
    <sheetView showGridLines="0" tabSelected="1" view="pageBreakPreview" zoomScaleNormal="100" topLeftCell="A2" workbookViewId="0">
      <selection activeCell="E4" sqref="C4:C19 E4:E18"/>
    </sheetView>
  </sheetViews>
  <sheetFormatPr defaultColWidth="9" defaultRowHeight="13.5" outlineLevelCol="4"/>
  <cols>
    <col min="1" max="1" width="1.69166666666667" customWidth="1"/>
    <col min="2" max="2" width="32.625" customWidth="1"/>
    <col min="3" max="3" width="15.625" customWidth="1"/>
    <col min="4" max="4" width="32.625" customWidth="1"/>
    <col min="5" max="5" width="15.625" customWidth="1"/>
    <col min="6" max="6" width="9.875" customWidth="1"/>
  </cols>
  <sheetData>
    <row r="1" ht="14.95" customHeight="1"/>
    <row r="2" ht="25.5" customHeight="1" spans="2:5">
      <c r="B2" s="10" t="s">
        <v>0</v>
      </c>
    </row>
    <row r="3" ht="30" customHeight="1" spans="2:5">
      <c r="B3" s="11" t="s">
        <v>1</v>
      </c>
      <c r="C3" s="11" t="s">
        <v>2</v>
      </c>
      <c r="D3" s="11" t="s">
        <v>1</v>
      </c>
      <c r="E3" s="11" t="s">
        <v>2</v>
      </c>
    </row>
    <row r="4" ht="30" customHeight="1" spans="2:5">
      <c r="B4" s="12" t="s">
        <v>3</v>
      </c>
      <c r="C4" s="13">
        <v>369.5</v>
      </c>
      <c r="D4" s="12" t="s">
        <v>4</v>
      </c>
      <c r="E4" s="13">
        <v>55</v>
      </c>
    </row>
    <row r="5" ht="30" customHeight="1" spans="2:5">
      <c r="B5" s="12" t="s">
        <v>5</v>
      </c>
      <c r="C5" s="13">
        <v>394.5</v>
      </c>
      <c r="D5" s="12" t="s">
        <v>6</v>
      </c>
      <c r="E5" s="13">
        <v>154</v>
      </c>
    </row>
    <row r="6" ht="30" customHeight="1" spans="2:5">
      <c r="B6" s="12" t="s">
        <v>7</v>
      </c>
      <c r="C6" s="13">
        <v>22</v>
      </c>
      <c r="D6" s="12" t="s">
        <v>8</v>
      </c>
      <c r="E6" s="13">
        <v>32.5</v>
      </c>
    </row>
    <row r="7" ht="30" customHeight="1" spans="2:5">
      <c r="B7" s="12" t="s">
        <v>9</v>
      </c>
      <c r="C7" s="13">
        <v>2988.5</v>
      </c>
      <c r="D7" s="12" t="s">
        <v>10</v>
      </c>
      <c r="E7" s="13">
        <v>4177</v>
      </c>
    </row>
    <row r="8" ht="30" customHeight="1" spans="2:5">
      <c r="B8" s="12" t="s">
        <v>11</v>
      </c>
      <c r="C8" s="13">
        <v>309</v>
      </c>
      <c r="D8" s="12" t="s">
        <v>12</v>
      </c>
      <c r="E8" s="13">
        <v>504.5</v>
      </c>
    </row>
    <row r="9" ht="30" customHeight="1" spans="2:5">
      <c r="B9" s="12" t="s">
        <v>13</v>
      </c>
      <c r="C9" s="13">
        <v>2285</v>
      </c>
      <c r="D9" s="12" t="s">
        <v>14</v>
      </c>
      <c r="E9" s="13">
        <v>0</v>
      </c>
    </row>
    <row r="10" ht="30" customHeight="1" spans="2:5">
      <c r="B10" s="12" t="s">
        <v>15</v>
      </c>
      <c r="C10" s="13">
        <v>40</v>
      </c>
      <c r="D10" s="12" t="s">
        <v>16</v>
      </c>
      <c r="E10" s="13">
        <v>1806.5</v>
      </c>
    </row>
    <row r="11" ht="30" customHeight="1" spans="2:5">
      <c r="B11" s="12" t="s">
        <v>17</v>
      </c>
      <c r="C11" s="13">
        <v>16967.5</v>
      </c>
      <c r="D11" s="12" t="s">
        <v>18</v>
      </c>
      <c r="E11" s="13">
        <v>63</v>
      </c>
    </row>
    <row r="12" ht="30" customHeight="1" spans="2:5">
      <c r="B12" s="12" t="s">
        <v>19</v>
      </c>
      <c r="C12" s="13">
        <v>8</v>
      </c>
      <c r="D12" s="12" t="s">
        <v>20</v>
      </c>
      <c r="E12" s="13">
        <v>393</v>
      </c>
    </row>
    <row r="13" ht="30" customHeight="1" spans="2:5">
      <c r="B13" s="12" t="s">
        <v>21</v>
      </c>
      <c r="C13" s="13">
        <v>3869</v>
      </c>
      <c r="D13" s="12" t="s">
        <v>22</v>
      </c>
      <c r="E13" s="13">
        <v>88</v>
      </c>
    </row>
    <row r="14" ht="30" customHeight="1" spans="2:5">
      <c r="B14" s="12" t="s">
        <v>23</v>
      </c>
      <c r="C14" s="13">
        <v>702</v>
      </c>
      <c r="D14" s="12" t="s">
        <v>24</v>
      </c>
      <c r="E14" s="13">
        <v>833</v>
      </c>
    </row>
    <row r="15" ht="30" customHeight="1" spans="2:5">
      <c r="B15" s="12" t="s">
        <v>25</v>
      </c>
      <c r="C15" s="13">
        <v>32721</v>
      </c>
      <c r="D15" s="12" t="s">
        <v>26</v>
      </c>
      <c r="E15" s="13">
        <v>19</v>
      </c>
    </row>
    <row r="16" ht="30" customHeight="1" spans="2:5">
      <c r="B16" s="12" t="s">
        <v>27</v>
      </c>
      <c r="C16" s="13">
        <v>3709</v>
      </c>
      <c r="D16" s="12" t="s">
        <v>28</v>
      </c>
      <c r="E16" s="13">
        <v>73849</v>
      </c>
    </row>
    <row r="17" ht="30" customHeight="1" spans="2:5">
      <c r="B17" s="12" t="s">
        <v>29</v>
      </c>
      <c r="C17" s="13">
        <v>29.5</v>
      </c>
      <c r="D17" s="12" t="s">
        <v>30</v>
      </c>
      <c r="E17" s="13">
        <v>35</v>
      </c>
    </row>
    <row r="18" ht="30" customHeight="1" spans="2:5">
      <c r="B18" s="12" t="s">
        <v>31</v>
      </c>
      <c r="C18" s="13">
        <v>5252</v>
      </c>
      <c r="D18" s="12" t="s">
        <v>32</v>
      </c>
      <c r="E18" s="13">
        <v>735.5</v>
      </c>
    </row>
    <row r="19" ht="30" customHeight="1" spans="2:5">
      <c r="B19" s="12" t="s">
        <v>33</v>
      </c>
      <c r="C19" s="13">
        <v>5293.75</v>
      </c>
      <c r="D19" s="12" t="s">
        <v>34</v>
      </c>
      <c r="E19" s="13">
        <v>3100</v>
      </c>
    </row>
    <row r="20" ht="30" customHeight="1" spans="2:5">
      <c r="B20" s="12" t="s">
        <v>35</v>
      </c>
      <c r="C20" s="13">
        <v>450</v>
      </c>
      <c r="D20" s="14"/>
      <c r="E20" s="15"/>
    </row>
    <row r="21" ht="30" customHeight="1" spans="2:5">
      <c r="B21" s="11" t="s">
        <v>36</v>
      </c>
      <c r="C21" s="13">
        <f>C4+E4+C5+E5+C6+E6+C7+E7+C8+E8+C9+E9+C10+E10+C11+E11+C12+E12+C13+E13+C14+E14+C15+E15+C16+E16+C17+E17+C18+E18+C19+E19+C20</f>
        <v>161255.25</v>
      </c>
      <c r="D21" s="16">
        <f>C21</f>
        <v>161255.25</v>
      </c>
      <c r="E21" s="17" t="s">
        <v>37</v>
      </c>
    </row>
    <row r="22" spans="2:5">
      <c r="B22" s="18" t="s">
        <v>37</v>
      </c>
      <c r="C22" s="18" t="s">
        <v>37</v>
      </c>
      <c r="D22" s="18" t="s">
        <v>37</v>
      </c>
      <c r="E22" s="18" t="s">
        <v>37</v>
      </c>
    </row>
    <row r="23" ht="18" customHeight="1" spans="2:5">
      <c r="B23" s="18" t="s">
        <v>38</v>
      </c>
    </row>
    <row r="24" ht="27.75" customHeight="1" spans="2:5">
      <c r="B24" s="19" t="s">
        <v>39</v>
      </c>
    </row>
    <row r="25" ht="0.05" customHeight="1"/>
  </sheetData>
  <mergeCells count="4">
    <mergeCell ref="B2:E2"/>
    <mergeCell ref="D21:E21"/>
    <mergeCell ref="B23:E23"/>
    <mergeCell ref="B24:E24"/>
  </mergeCells>
  <pageMargins left="0.25" right="0.25" top="0.75" bottom="0.75" header="0.298611111111111" footer="0.298611111111111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17" workbookViewId="0">
      <selection activeCell="C5" sqref="C5"/>
    </sheetView>
  </sheetViews>
  <sheetFormatPr defaultColWidth="9" defaultRowHeight="13.5" outlineLevelCol="5"/>
  <cols>
    <col min="1" max="1" width="9.75833333333333" style="1" customWidth="1"/>
    <col min="2" max="2" width="22.275" style="1" customWidth="1"/>
    <col min="3" max="3" width="11.8833333333333" style="1" customWidth="1"/>
    <col min="4" max="4" width="21" style="1" customWidth="1"/>
    <col min="5" max="5" width="18.6916666666667" style="1" customWidth="1"/>
    <col min="6" max="6" width="17" style="1" customWidth="1"/>
    <col min="7" max="16384" width="9" style="1"/>
  </cols>
  <sheetData>
    <row r="1" s="1" customFormat="1" ht="25.5" spans="1:6">
      <c r="A1" s="2" t="s">
        <v>40</v>
      </c>
      <c r="B1" s="2"/>
      <c r="C1" s="2"/>
      <c r="D1" s="2"/>
      <c r="E1" s="2"/>
      <c r="F1" s="2"/>
    </row>
    <row r="2" s="1" customFormat="1" ht="20" customHeight="1" spans="1:6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</row>
    <row r="3" s="1" customFormat="1" ht="20" customHeight="1" spans="1:6">
      <c r="A3" s="4">
        <v>1</v>
      </c>
      <c r="B3" s="5">
        <v>46143</v>
      </c>
      <c r="C3" s="4">
        <v>2</v>
      </c>
      <c r="D3" s="4">
        <v>50</v>
      </c>
      <c r="E3" s="4">
        <f t="shared" ref="E3:E33" si="0">D3*C3</f>
        <v>100</v>
      </c>
      <c r="F3" s="4"/>
    </row>
    <row r="4" s="1" customFormat="1" ht="20" customHeight="1" spans="1:6">
      <c r="A4" s="4">
        <v>2</v>
      </c>
      <c r="B4" s="5">
        <v>46144</v>
      </c>
      <c r="C4" s="4">
        <v>2</v>
      </c>
      <c r="D4" s="4">
        <v>50</v>
      </c>
      <c r="E4" s="4">
        <f t="shared" si="0"/>
        <v>100</v>
      </c>
      <c r="F4" s="4"/>
    </row>
    <row r="5" s="1" customFormat="1" ht="20" customHeight="1" spans="1:6">
      <c r="A5" s="4">
        <v>3</v>
      </c>
      <c r="B5" s="5">
        <v>46145</v>
      </c>
      <c r="C5" s="4">
        <v>2</v>
      </c>
      <c r="D5" s="4">
        <v>50</v>
      </c>
      <c r="E5" s="4">
        <f t="shared" si="0"/>
        <v>100</v>
      </c>
      <c r="F5" s="4"/>
    </row>
    <row r="6" s="1" customFormat="1" ht="20" customHeight="1" spans="1:6">
      <c r="A6" s="4">
        <v>4</v>
      </c>
      <c r="B6" s="5">
        <v>46146</v>
      </c>
      <c r="C6" s="4">
        <v>2</v>
      </c>
      <c r="D6" s="4">
        <v>50</v>
      </c>
      <c r="E6" s="4">
        <f t="shared" si="0"/>
        <v>100</v>
      </c>
      <c r="F6" s="4"/>
    </row>
    <row r="7" s="1" customFormat="1" ht="20" customHeight="1" spans="1:6">
      <c r="A7" s="4">
        <v>5</v>
      </c>
      <c r="B7" s="5">
        <v>46147</v>
      </c>
      <c r="C7" s="4">
        <v>2</v>
      </c>
      <c r="D7" s="4">
        <v>50</v>
      </c>
      <c r="E7" s="4">
        <f t="shared" si="0"/>
        <v>100</v>
      </c>
      <c r="F7" s="4"/>
    </row>
    <row r="8" s="1" customFormat="1" ht="20" customHeight="1" spans="1:6">
      <c r="A8" s="4">
        <v>6</v>
      </c>
      <c r="B8" s="5">
        <v>46148</v>
      </c>
      <c r="C8" s="4">
        <v>2</v>
      </c>
      <c r="D8" s="4">
        <v>50</v>
      </c>
      <c r="E8" s="4">
        <f t="shared" si="0"/>
        <v>100</v>
      </c>
      <c r="F8" s="4"/>
    </row>
    <row r="9" s="1" customFormat="1" ht="20" customHeight="1" spans="1:6">
      <c r="A9" s="4">
        <v>7</v>
      </c>
      <c r="B9" s="5">
        <v>46149</v>
      </c>
      <c r="C9" s="4">
        <v>2</v>
      </c>
      <c r="D9" s="4">
        <v>50</v>
      </c>
      <c r="E9" s="4">
        <f t="shared" si="0"/>
        <v>100</v>
      </c>
      <c r="F9" s="4"/>
    </row>
    <row r="10" s="1" customFormat="1" ht="20" customHeight="1" spans="1:6">
      <c r="A10" s="4">
        <v>8</v>
      </c>
      <c r="B10" s="5">
        <v>46150</v>
      </c>
      <c r="C10" s="4">
        <v>2</v>
      </c>
      <c r="D10" s="4">
        <v>50</v>
      </c>
      <c r="E10" s="4">
        <f t="shared" si="0"/>
        <v>100</v>
      </c>
      <c r="F10" s="4"/>
    </row>
    <row r="11" s="1" customFormat="1" ht="20" customHeight="1" spans="1:6">
      <c r="A11" s="4">
        <v>9</v>
      </c>
      <c r="B11" s="5">
        <v>46151</v>
      </c>
      <c r="C11" s="4">
        <v>2</v>
      </c>
      <c r="D11" s="4">
        <v>50</v>
      </c>
      <c r="E11" s="4">
        <f t="shared" si="0"/>
        <v>100</v>
      </c>
      <c r="F11" s="4"/>
    </row>
    <row r="12" s="1" customFormat="1" ht="20" customHeight="1" spans="1:6">
      <c r="A12" s="4">
        <v>10</v>
      </c>
      <c r="B12" s="5">
        <v>46152</v>
      </c>
      <c r="C12" s="4">
        <v>2</v>
      </c>
      <c r="D12" s="4">
        <v>50</v>
      </c>
      <c r="E12" s="4">
        <f t="shared" si="0"/>
        <v>100</v>
      </c>
      <c r="F12" s="4"/>
    </row>
    <row r="13" s="1" customFormat="1" ht="20" customHeight="1" spans="1:6">
      <c r="A13" s="4">
        <v>11</v>
      </c>
      <c r="B13" s="5">
        <v>46153</v>
      </c>
      <c r="C13" s="4">
        <v>2</v>
      </c>
      <c r="D13" s="4">
        <v>50</v>
      </c>
      <c r="E13" s="4">
        <f t="shared" si="0"/>
        <v>100</v>
      </c>
      <c r="F13" s="4"/>
    </row>
    <row r="14" s="1" customFormat="1" ht="20" customHeight="1" spans="1:6">
      <c r="A14" s="4">
        <v>12</v>
      </c>
      <c r="B14" s="5">
        <v>46154</v>
      </c>
      <c r="C14" s="4">
        <v>2</v>
      </c>
      <c r="D14" s="4">
        <v>50</v>
      </c>
      <c r="E14" s="4">
        <f t="shared" si="0"/>
        <v>100</v>
      </c>
      <c r="F14" s="4"/>
    </row>
    <row r="15" s="1" customFormat="1" ht="20" customHeight="1" spans="1:6">
      <c r="A15" s="4">
        <v>13</v>
      </c>
      <c r="B15" s="5">
        <v>46155</v>
      </c>
      <c r="C15" s="4">
        <v>2</v>
      </c>
      <c r="D15" s="4">
        <v>50</v>
      </c>
      <c r="E15" s="4">
        <f t="shared" si="0"/>
        <v>100</v>
      </c>
      <c r="F15" s="4"/>
    </row>
    <row r="16" s="1" customFormat="1" ht="20" customHeight="1" spans="1:6">
      <c r="A16" s="4">
        <v>14</v>
      </c>
      <c r="B16" s="5">
        <v>46156</v>
      </c>
      <c r="C16" s="4">
        <v>2</v>
      </c>
      <c r="D16" s="4">
        <v>50</v>
      </c>
      <c r="E16" s="4">
        <f t="shared" si="0"/>
        <v>100</v>
      </c>
      <c r="F16" s="4"/>
    </row>
    <row r="17" s="1" customFormat="1" ht="20" customHeight="1" spans="1:6">
      <c r="A17" s="4">
        <v>15</v>
      </c>
      <c r="B17" s="5">
        <v>46157</v>
      </c>
      <c r="C17" s="4">
        <v>2</v>
      </c>
      <c r="D17" s="4">
        <v>50</v>
      </c>
      <c r="E17" s="4">
        <f t="shared" si="0"/>
        <v>100</v>
      </c>
      <c r="F17" s="4"/>
    </row>
    <row r="18" s="1" customFormat="1" ht="20" customHeight="1" spans="1:6">
      <c r="A18" s="4">
        <v>16</v>
      </c>
      <c r="B18" s="5">
        <v>46158</v>
      </c>
      <c r="C18" s="4">
        <v>2</v>
      </c>
      <c r="D18" s="4">
        <v>50</v>
      </c>
      <c r="E18" s="4">
        <f t="shared" si="0"/>
        <v>100</v>
      </c>
      <c r="F18" s="4"/>
    </row>
    <row r="19" s="1" customFormat="1" ht="20" customHeight="1" spans="1:6">
      <c r="A19" s="4">
        <v>17</v>
      </c>
      <c r="B19" s="5">
        <v>46159</v>
      </c>
      <c r="C19" s="4">
        <v>2</v>
      </c>
      <c r="D19" s="4">
        <v>50</v>
      </c>
      <c r="E19" s="4">
        <f t="shared" si="0"/>
        <v>100</v>
      </c>
      <c r="F19" s="4"/>
    </row>
    <row r="20" s="1" customFormat="1" ht="20" customHeight="1" spans="1:6">
      <c r="A20" s="4">
        <v>18</v>
      </c>
      <c r="B20" s="5">
        <v>46160</v>
      </c>
      <c r="C20" s="4">
        <v>2</v>
      </c>
      <c r="D20" s="4">
        <v>50</v>
      </c>
      <c r="E20" s="4">
        <f t="shared" si="0"/>
        <v>100</v>
      </c>
      <c r="F20" s="4"/>
    </row>
    <row r="21" s="1" customFormat="1" ht="20" customHeight="1" spans="1:6">
      <c r="A21" s="4">
        <v>19</v>
      </c>
      <c r="B21" s="5">
        <v>46161</v>
      </c>
      <c r="C21" s="4">
        <v>2</v>
      </c>
      <c r="D21" s="4">
        <v>50</v>
      </c>
      <c r="E21" s="4">
        <f t="shared" si="0"/>
        <v>100</v>
      </c>
      <c r="F21" s="4"/>
    </row>
    <row r="22" s="1" customFormat="1" ht="20" customHeight="1" spans="1:6">
      <c r="A22" s="4">
        <v>20</v>
      </c>
      <c r="B22" s="5">
        <v>46162</v>
      </c>
      <c r="C22" s="4">
        <v>2</v>
      </c>
      <c r="D22" s="4">
        <v>50</v>
      </c>
      <c r="E22" s="4">
        <f t="shared" si="0"/>
        <v>100</v>
      </c>
      <c r="F22" s="4"/>
    </row>
    <row r="23" s="1" customFormat="1" ht="20" customHeight="1" spans="1:6">
      <c r="A23" s="4">
        <v>21</v>
      </c>
      <c r="B23" s="5">
        <v>46163</v>
      </c>
      <c r="C23" s="4">
        <v>2</v>
      </c>
      <c r="D23" s="4">
        <v>50</v>
      </c>
      <c r="E23" s="4">
        <f t="shared" si="0"/>
        <v>100</v>
      </c>
      <c r="F23" s="4"/>
    </row>
    <row r="24" s="1" customFormat="1" ht="20" customHeight="1" spans="1:6">
      <c r="A24" s="4">
        <v>22</v>
      </c>
      <c r="B24" s="5">
        <v>46164</v>
      </c>
      <c r="C24" s="4">
        <v>2</v>
      </c>
      <c r="D24" s="4">
        <v>50</v>
      </c>
      <c r="E24" s="4">
        <f t="shared" si="0"/>
        <v>100</v>
      </c>
      <c r="F24" s="4"/>
    </row>
    <row r="25" s="1" customFormat="1" ht="20" customHeight="1" spans="1:6">
      <c r="A25" s="4">
        <v>23</v>
      </c>
      <c r="B25" s="5">
        <v>46165</v>
      </c>
      <c r="C25" s="4">
        <v>2</v>
      </c>
      <c r="D25" s="4">
        <v>50</v>
      </c>
      <c r="E25" s="4">
        <f t="shared" si="0"/>
        <v>100</v>
      </c>
      <c r="F25" s="4"/>
    </row>
    <row r="26" s="1" customFormat="1" ht="20" customHeight="1" spans="1:6">
      <c r="A26" s="4">
        <v>24</v>
      </c>
      <c r="B26" s="5">
        <v>46166</v>
      </c>
      <c r="C26" s="4">
        <v>2</v>
      </c>
      <c r="D26" s="4">
        <v>50</v>
      </c>
      <c r="E26" s="4">
        <f t="shared" si="0"/>
        <v>100</v>
      </c>
      <c r="F26" s="4"/>
    </row>
    <row r="27" s="1" customFormat="1" ht="20" customHeight="1" spans="1:6">
      <c r="A27" s="4">
        <v>25</v>
      </c>
      <c r="B27" s="5">
        <v>46167</v>
      </c>
      <c r="C27" s="4">
        <v>2</v>
      </c>
      <c r="D27" s="4">
        <v>50</v>
      </c>
      <c r="E27" s="4">
        <f t="shared" si="0"/>
        <v>100</v>
      </c>
      <c r="F27" s="4"/>
    </row>
    <row r="28" s="1" customFormat="1" ht="20" customHeight="1" spans="1:6">
      <c r="A28" s="4">
        <v>26</v>
      </c>
      <c r="B28" s="5">
        <v>46168</v>
      </c>
      <c r="C28" s="4">
        <v>2</v>
      </c>
      <c r="D28" s="4">
        <v>50</v>
      </c>
      <c r="E28" s="4">
        <f t="shared" si="0"/>
        <v>100</v>
      </c>
      <c r="F28" s="4"/>
    </row>
    <row r="29" s="1" customFormat="1" ht="20" customHeight="1" spans="1:6">
      <c r="A29" s="4">
        <v>27</v>
      </c>
      <c r="B29" s="5">
        <v>46169</v>
      </c>
      <c r="C29" s="4">
        <v>2</v>
      </c>
      <c r="D29" s="4">
        <v>50</v>
      </c>
      <c r="E29" s="4">
        <f t="shared" si="0"/>
        <v>100</v>
      </c>
      <c r="F29" s="4"/>
    </row>
    <row r="30" s="1" customFormat="1" ht="20" customHeight="1" spans="1:6">
      <c r="A30" s="4">
        <v>28</v>
      </c>
      <c r="B30" s="5">
        <v>46170</v>
      </c>
      <c r="C30" s="4">
        <v>2</v>
      </c>
      <c r="D30" s="4">
        <v>50</v>
      </c>
      <c r="E30" s="4">
        <f t="shared" si="0"/>
        <v>100</v>
      </c>
      <c r="F30" s="4"/>
    </row>
    <row r="31" s="1" customFormat="1" ht="20" customHeight="1" spans="1:6">
      <c r="A31" s="4">
        <v>29</v>
      </c>
      <c r="B31" s="5">
        <v>46171</v>
      </c>
      <c r="C31" s="4">
        <v>2</v>
      </c>
      <c r="D31" s="4">
        <v>50</v>
      </c>
      <c r="E31" s="4">
        <f t="shared" si="0"/>
        <v>100</v>
      </c>
      <c r="F31" s="4"/>
    </row>
    <row r="32" s="1" customFormat="1" ht="20" customHeight="1" spans="1:6">
      <c r="A32" s="4">
        <v>30</v>
      </c>
      <c r="B32" s="5">
        <v>46172</v>
      </c>
      <c r="C32" s="4">
        <v>2</v>
      </c>
      <c r="D32" s="4">
        <v>50</v>
      </c>
      <c r="E32" s="4">
        <f t="shared" si="0"/>
        <v>100</v>
      </c>
      <c r="F32" s="4"/>
    </row>
    <row r="33" s="1" customFormat="1" ht="20" customHeight="1" spans="1:6">
      <c r="A33" s="4">
        <v>31</v>
      </c>
      <c r="B33" s="5">
        <v>46173</v>
      </c>
      <c r="C33" s="4">
        <v>2</v>
      </c>
      <c r="D33" s="4">
        <v>50</v>
      </c>
      <c r="E33" s="4">
        <f t="shared" si="0"/>
        <v>100</v>
      </c>
      <c r="F33" s="6"/>
    </row>
    <row r="34" s="1" customFormat="1" ht="20" customHeight="1" spans="1:6">
      <c r="A34" s="4" t="s">
        <v>47</v>
      </c>
      <c r="B34" s="4"/>
      <c r="C34" s="4"/>
      <c r="D34" s="4"/>
      <c r="E34" s="4">
        <f>SUM(E3:E33)</f>
        <v>3100</v>
      </c>
      <c r="F34" s="6"/>
    </row>
    <row r="35" s="1" customFormat="1" ht="7" customHeight="1"/>
    <row r="36" s="1" customFormat="1" ht="18.75" spans="1:6">
      <c r="A36" s="7" t="s">
        <v>48</v>
      </c>
      <c r="B36" s="7"/>
      <c r="C36" s="7"/>
      <c r="D36" s="7"/>
      <c r="E36" s="7"/>
      <c r="F36" s="7"/>
    </row>
    <row r="37" s="1" customFormat="1" ht="15" customHeight="1" spans="1:6">
      <c r="A37" s="8"/>
      <c r="B37" s="9">
        <v>46173</v>
      </c>
      <c r="C37" s="9"/>
      <c r="D37" s="9"/>
      <c r="E37" s="9"/>
      <c r="F37" s="9"/>
    </row>
  </sheetData>
  <mergeCells count="4">
    <mergeCell ref="A1:F1"/>
    <mergeCell ref="A34:D34"/>
    <mergeCell ref="A36:F36"/>
    <mergeCell ref="B37:F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哈尔滨红十字妇产医院</vt:lpstr>
      <vt:lpstr>物流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2026-06-01T01:55:00Z</dcterms:created>
  <dcterms:modified xsi:type="dcterms:W3CDTF">2026-06-02T01:09:13Z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756932B9C29D49E6B9DCD71CAE367692_13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