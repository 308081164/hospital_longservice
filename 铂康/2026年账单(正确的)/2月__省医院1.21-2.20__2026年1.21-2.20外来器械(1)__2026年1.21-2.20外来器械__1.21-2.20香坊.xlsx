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 activeTab="11"/>
  </bookViews>
  <sheets>
    <sheet name="国药" sheetId="1" r:id="rId1"/>
    <sheet name="国药神外一" sheetId="6" r:id="rId2"/>
    <sheet name="国药骨一" sheetId="7" r:id="rId3"/>
    <sheet name="国药骨三" sheetId="8" r:id="rId4"/>
    <sheet name="耀旭" sheetId="2" r:id="rId5"/>
    <sheet name="耀旭骨一" sheetId="9" r:id="rId6"/>
    <sheet name="耀旭骨二" sheetId="10" r:id="rId7"/>
    <sheet name="耀旭骨三" sheetId="11" r:id="rId8"/>
    <sheet name="丰润加" sheetId="3" r:id="rId9"/>
    <sheet name="丰润加骨一" sheetId="12" r:id="rId10"/>
    <sheet name="丰润加骨三" sheetId="13" r:id="rId11"/>
    <sheet name="琅华" sheetId="4" r:id="rId12"/>
  </sheets>
  <definedNames>
    <definedName name="_xlnm._FilterDatabase" localSheetId="0" hidden="1">国药!$A$1:$P$101</definedName>
    <definedName name="_xlnm._FilterDatabase" localSheetId="4" hidden="1">耀旭!$A$1:$P$63</definedName>
    <definedName name="_xlnm._FilterDatabase" localSheetId="8" hidden="1">丰润加!$A$1:$P$78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<sst xmlns="http://schemas.openxmlformats.org/spreadsheetml/2006/main" count="4044" uniqueCount="182">
  <si>
    <t>客户名称</t>
  </si>
  <si>
    <t>运送点名称</t>
  </si>
  <si>
    <t>包名</t>
  </si>
  <si>
    <t>带量器械名称</t>
  </si>
  <si>
    <t>发货日期</t>
  </si>
  <si>
    <t>组件类型</t>
  </si>
  <si>
    <t>组件名</t>
  </si>
  <si>
    <t>组件数量</t>
  </si>
  <si>
    <t>单价</t>
  </si>
  <si>
    <t>金额</t>
  </si>
  <si>
    <t>省医院集采数量</t>
  </si>
  <si>
    <t>省医院集采金额</t>
  </si>
  <si>
    <t>厂家自付数量</t>
  </si>
  <si>
    <t>厂家自付金额</t>
  </si>
  <si>
    <t>科室</t>
  </si>
  <si>
    <t>医生</t>
  </si>
  <si>
    <t>国药器械黑龙江科学器材有限公司</t>
  </si>
  <si>
    <t>黑龙江省医院（香坊总院）</t>
  </si>
  <si>
    <t>周瑞发-混合型颈椎病  1/1</t>
  </si>
  <si>
    <t>颈后路</t>
  </si>
  <si>
    <t>器械</t>
  </si>
  <si>
    <t>外来器械组件</t>
  </si>
  <si>
    <t>神外一</t>
  </si>
  <si>
    <t>孙国章</t>
  </si>
  <si>
    <t xml:space="preserve">植入物-钉 </t>
  </si>
  <si>
    <t xml:space="preserve">植入物-板 </t>
  </si>
  <si>
    <t>器械-器皿</t>
  </si>
  <si>
    <t>自带篮筐</t>
  </si>
  <si>
    <t>申梅芹-指骨骨折  1/1</t>
  </si>
  <si>
    <t>指掌骨</t>
  </si>
  <si>
    <t>骨一</t>
  </si>
  <si>
    <t>康雪峰</t>
  </si>
  <si>
    <t>王春明-胫骨平台骨折1/2</t>
  </si>
  <si>
    <t>上肢</t>
  </si>
  <si>
    <t>崔巍</t>
  </si>
  <si>
    <t xml:space="preserve">组件-1 </t>
  </si>
  <si>
    <t>王春明-胫骨平台骨折2/2</t>
  </si>
  <si>
    <t>王春明-胫骨平台骨折  1/1</t>
  </si>
  <si>
    <t>李海兰-取骨折内固定装置1/1</t>
  </si>
  <si>
    <t>取出</t>
  </si>
  <si>
    <t>于素芹-股骨转子间骨折  1/5</t>
  </si>
  <si>
    <t>股骨髓内钉</t>
  </si>
  <si>
    <t>于素芹-股骨转子间骨折  2/5</t>
  </si>
  <si>
    <t>于素芹-股骨转子间骨折  3/5</t>
  </si>
  <si>
    <t xml:space="preserve">植入物 </t>
  </si>
  <si>
    <t>于素芹-股骨转子间骨折  4/5</t>
  </si>
  <si>
    <t>于素芹-股骨转子间骨折  5/5</t>
  </si>
  <si>
    <t>高升-脊膜瘤  1/4</t>
  </si>
  <si>
    <t>经皮钉棒</t>
  </si>
  <si>
    <t>高升-脊膜瘤  2/4</t>
  </si>
  <si>
    <t>高升-脊膜瘤  3/4</t>
  </si>
  <si>
    <t>高升-脊膜瘤  4/4</t>
  </si>
  <si>
    <t>韩旭-桡骨远端骨折  1/1</t>
  </si>
  <si>
    <t>2.7器械</t>
  </si>
  <si>
    <t>雷亮</t>
  </si>
  <si>
    <t>玄照芬-桡骨远端骨折1/1</t>
  </si>
  <si>
    <t>2.4上肢器械</t>
  </si>
  <si>
    <t>齐鹏飞</t>
  </si>
  <si>
    <t>张淑贤-肩胛骨骨折  1/1</t>
  </si>
  <si>
    <t>4.0空心钉</t>
  </si>
  <si>
    <t>李加龙</t>
  </si>
  <si>
    <t>鞠淑贤-肩袖损伤1/1</t>
  </si>
  <si>
    <t>肩关节</t>
  </si>
  <si>
    <t>骨三</t>
  </si>
  <si>
    <t>王岩</t>
  </si>
  <si>
    <t>王庆发-锁骨骨折1/1</t>
  </si>
  <si>
    <t>组件X1</t>
  </si>
  <si>
    <t>王艳芳-股骨颈骨折  1/2</t>
  </si>
  <si>
    <t>半髋</t>
  </si>
  <si>
    <t>王艳芳-股骨颈骨折  2/2</t>
  </si>
  <si>
    <t>韩旭-关节习惯性脱位1/2</t>
  </si>
  <si>
    <t>肩关节镜+3.5空心钉</t>
  </si>
  <si>
    <t>韩旭-关节习惯性脱位2/2</t>
  </si>
  <si>
    <t>刘亚楼-桡骨远端骨折1/3</t>
  </si>
  <si>
    <t>刘亚楼-桡骨远端骨折2/3-低温</t>
  </si>
  <si>
    <t>刘亚楼-桡骨远端骨折3/3-低温</t>
  </si>
  <si>
    <t>贾秋仙-膝关节前十字韧带损伤  1/3</t>
  </si>
  <si>
    <t>膝关节镜</t>
  </si>
  <si>
    <t>贾秋仙-膝关节前十字韧带损伤  2/3</t>
  </si>
  <si>
    <t>贾秋仙-膝关节前十字韧带损伤  3/3</t>
  </si>
  <si>
    <t>王菁湘-股骨骨折  （加件）</t>
  </si>
  <si>
    <t>植入物 -钉</t>
  </si>
  <si>
    <t>王菁湘-股骨骨折  1/4</t>
  </si>
  <si>
    <t>王菁湘-股骨骨折  2/4</t>
  </si>
  <si>
    <t>王菁湘-股骨骨折  3/4</t>
  </si>
  <si>
    <t>王菁湘-股骨骨折  4/4</t>
  </si>
  <si>
    <t>姜小明-肩胛骨骨折1/1</t>
  </si>
  <si>
    <t>3.5上肢器械</t>
  </si>
  <si>
    <t>张钊</t>
  </si>
  <si>
    <t>张洪涛-锁骨骨折1/1</t>
  </si>
  <si>
    <t>上肢器械</t>
  </si>
  <si>
    <t>黄志</t>
  </si>
  <si>
    <t>陈庆云-股骨转子间骨折2/5</t>
  </si>
  <si>
    <t>陈庆云-股骨转子间骨折4/5</t>
  </si>
  <si>
    <t>陈庆云-股骨转子间骨折5/5</t>
  </si>
  <si>
    <t>陈庆云-股骨转子间骨折1/5</t>
  </si>
  <si>
    <t>陈庆云-股骨转子间骨折3/5</t>
  </si>
  <si>
    <t>合计</t>
  </si>
  <si>
    <t>黑龙江省耀旭科技有限公司</t>
  </si>
  <si>
    <t>省医院（香坊）</t>
  </si>
  <si>
    <t>赵亭亭-闭合性胫骨平台骨折   1/1</t>
  </si>
  <si>
    <t>骨二</t>
  </si>
  <si>
    <t>郭万香-取除骨折内固定装置1/1</t>
  </si>
  <si>
    <t>任忠闰-胫骨平台骨折   1/1</t>
  </si>
  <si>
    <t>板</t>
  </si>
  <si>
    <t>柴其堃-踝关节骨折1/4</t>
  </si>
  <si>
    <t>上肢+3.5空心钉</t>
  </si>
  <si>
    <t>柴其堃-踝关节骨折2/4</t>
  </si>
  <si>
    <t>柴其堃-踝关节骨折3/4</t>
  </si>
  <si>
    <t>柴其堃-踝关节骨折4/4</t>
  </si>
  <si>
    <t>王智彤-踝关节骨折1/3</t>
  </si>
  <si>
    <t>上肢+2.4器械</t>
  </si>
  <si>
    <t>王智彤-踝关节骨折2/3</t>
  </si>
  <si>
    <t>王智彤-踝关节骨折3/3</t>
  </si>
  <si>
    <t>张凤珍-股骨粗隆间骨折1/5</t>
  </si>
  <si>
    <t>股骨髓内钉+4.0空心钉</t>
  </si>
  <si>
    <t>张凤珍-股骨粗隆间骨折2/5</t>
  </si>
  <si>
    <t>张凤珍-股骨粗隆间骨折3/5</t>
  </si>
  <si>
    <t>张凤珍-股骨粗隆间骨折4/5</t>
  </si>
  <si>
    <t>张凤珍-股骨粗隆间骨折5/5</t>
  </si>
  <si>
    <t>赵睿凯泽-取除骨折内固定装置1/1</t>
  </si>
  <si>
    <t>姜宇峰-取除骨折内固定  1/1</t>
  </si>
  <si>
    <t>王琴-骨关节病  6/9</t>
  </si>
  <si>
    <t>膝关节</t>
  </si>
  <si>
    <t>王琴-骨关节病  1/9</t>
  </si>
  <si>
    <t>王琴-骨关节病  2/9</t>
  </si>
  <si>
    <t>王琴-骨关节病  7/9</t>
  </si>
  <si>
    <t>王琴-骨关节病  3/9</t>
  </si>
  <si>
    <t>王琴-骨关节病  8/9</t>
  </si>
  <si>
    <t>王琴-骨关节病  9/9</t>
  </si>
  <si>
    <t>王琴-骨关节病  4/9</t>
  </si>
  <si>
    <t>王琴-骨关节病  5/9</t>
  </si>
  <si>
    <t>王琴-骨关节病1/1</t>
  </si>
  <si>
    <t>李洪颖-踝关节骨折1/1</t>
  </si>
  <si>
    <t>刘桂莲-桡骨远端骨折  1/2</t>
  </si>
  <si>
    <t>2.4器械</t>
  </si>
  <si>
    <t>刘桂莲-桡骨远端骨折  2/2</t>
  </si>
  <si>
    <t>齐齐哈尔锋润佳医疗器械有限公司</t>
  </si>
  <si>
    <t>黑龙江省医院（香坊）</t>
  </si>
  <si>
    <t>白文荣-踝关节骨折1/1</t>
  </si>
  <si>
    <t>上肢+2.7器械</t>
  </si>
  <si>
    <t>上肢+2.8器械</t>
  </si>
  <si>
    <t>上肢+2.9器械</t>
  </si>
  <si>
    <t>上肢+2.10器械</t>
  </si>
  <si>
    <t>宫祥龙-胫腓骨干骨折1/1</t>
  </si>
  <si>
    <t>胫骨髓内钉+上肢+2.4器械</t>
  </si>
  <si>
    <t>宫祥龙-胫腓骨干骨折1/5</t>
  </si>
  <si>
    <t>宫祥龙-胫腓骨干骨折2/5</t>
  </si>
  <si>
    <t>宫祥龙-胫腓骨干骨折3/5</t>
  </si>
  <si>
    <t>宫祥龙-胫腓骨干骨折4/5</t>
  </si>
  <si>
    <t>宫祥龙-胫腓骨干骨折5/5</t>
  </si>
  <si>
    <t>张明广-桡骨远端骨折1/1</t>
  </si>
  <si>
    <t>郝淑英-股骨转子间骨折  2/2</t>
  </si>
  <si>
    <t>郝淑英-股骨转子间骨折  1/2</t>
  </si>
  <si>
    <t>刘淑云-股骨转子间骨折  2/5</t>
  </si>
  <si>
    <t>刘淑云-股骨转子间骨折  4/5</t>
  </si>
  <si>
    <t>刘淑云-股骨转子间骨折  5/5</t>
  </si>
  <si>
    <t>刘淑云-股骨转子间骨折  1/5</t>
  </si>
  <si>
    <t>刘淑云-股骨转子间骨折  3/5</t>
  </si>
  <si>
    <t>赵洪微-锁骨骨折1/2</t>
  </si>
  <si>
    <t>赵洪微-锁骨骨折2/2</t>
  </si>
  <si>
    <t>高淑范-股骨转子间骨折  2/2</t>
  </si>
  <si>
    <t>高淑范-股骨转子间骨折  1/2</t>
  </si>
  <si>
    <t>那双涛-腓骨骨折  1/2</t>
  </si>
  <si>
    <t>上肢+2.4系统</t>
  </si>
  <si>
    <t>那双涛-腓骨骨折  2/2</t>
  </si>
  <si>
    <t>付玉东-踝关节骨折  1/1</t>
  </si>
  <si>
    <t>李晓军-趾骨骨折  2/2</t>
  </si>
  <si>
    <t>李晓军-趾骨骨折  1/2</t>
  </si>
  <si>
    <t>黄志红-腰椎间盘突出  2/3</t>
  </si>
  <si>
    <t>腰椎钉棒+融合</t>
  </si>
  <si>
    <t>王友成</t>
  </si>
  <si>
    <t>黄志红-腰椎间盘突出  3/3</t>
  </si>
  <si>
    <t>黄志红-腰椎间盘突出  1/3</t>
  </si>
  <si>
    <t>黄志红-腰椎间盘突出  1/1</t>
  </si>
  <si>
    <t>曹凤华-桡骨远端骨折  1/1</t>
  </si>
  <si>
    <t>黑龙江琅华商贸有限公司</t>
  </si>
  <si>
    <t>省医院（香坊总院）</t>
  </si>
  <si>
    <t>范淑云-股骨颈骨折1/2</t>
  </si>
  <si>
    <t>范淑云-股骨颈骨折2/2</t>
  </si>
  <si>
    <t>孙桂琴-股骨颈骨折1/2</t>
  </si>
  <si>
    <t>孙桂琴-股骨颈骨折2/2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</si>
</sst>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yyyy/m/d;@"/>
    <numFmt numFmtId="178" formatCode="#,##0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4D4D4D"/>
      <name val="Microsoft YaHei"/>
      <charset val="134"/>
    </font>
    <font>
      <sz val="10"/>
      <color theme="1"/>
      <name val="Microsoft YaHei"/>
      <charset val="134"/>
    </font>
    <font>
      <sz val="11"/>
      <name val="宋体"/>
      <charset val="134"/>
      <scheme val="minor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6" fillId="0" borderId="0"/>
  </cellStyleXfs>
  <cellXfs count="24">
    <xf numFmtId="0" fontId="0" fillId="0" borderId="0" xfId="0" applyAlignment="1">
      <alignment vertical="center"/>
    </xf>
    <xf numFmtId="0" fontId="1" fillId="2" borderId="1" xfId="49" applyNumberFormat="1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177" fontId="3" fillId="0" borderId="1" xfId="49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0" fontId="4" fillId="0" borderId="0" xfId="0" applyNumberFormat="1" applyFont="1" applyBorder="1" applyAlignment="1">
      <alignment horizontal="center" vertical="center" wrapText="1"/>
    </xf>
    <xf numFmtId="178" fontId="3" fillId="0" borderId="1" xfId="49" applyNumberFormat="1" applyFont="1" applyFill="1" applyBorder="1" applyAlignment="1">
      <alignment horizontal="center" vertical="center" wrapText="1" readingOrder="1"/>
    </xf>
    <xf numFmtId="0" fontId="5" fillId="0" borderId="0" xfId="49" applyFont="1" applyFill="1" applyBorder="1" applyAlignment="1"/>
    <xf numFmtId="0" fontId="6" fillId="0" borderId="1" xfId="49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5" fillId="0" borderId="0" xfId="49" applyFont="1" applyFill="1" applyBorder="1" applyAlignment="1">
      <alignment horizontal="center" vertical="center" wrapText="1"/>
    </xf>
    <xf numFmtId="0" fontId="6" fillId="0" borderId="0" xfId="49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49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topLeftCell="B87" workbookViewId="0">
      <selection activeCell="G115" sqref="G114:H115"/>
    </sheetView>
  </sheetViews>
  <sheetFormatPr defaultColWidth="9" defaultRowHeight="13.5"/>
  <cols>
    <col min="1" max="1" width="30.0083333333333" style="16" customWidth="1"/>
    <col min="2" max="2" width="27.0083333333333" style="16" customWidth="1"/>
    <col min="3" max="3" width="29.8416666666667" style="16" customWidth="1"/>
    <col min="4" max="4" width="16.0083333333333" style="16" customWidth="1"/>
    <col min="5" max="5" width="13.3416666666667" style="16" customWidth="1"/>
    <col min="6" max="6" width="12.3416666666667" style="16" customWidth="1"/>
    <col min="7" max="7" width="15.0083333333333" style="16" customWidth="1"/>
    <col min="8" max="8" width="12.3416666666667" style="16" customWidth="1"/>
    <col min="9" max="10" width="8.675" style="16" customWidth="1"/>
    <col min="11" max="12" width="17.8416666666667" style="16" customWidth="1"/>
    <col min="13" max="14" width="16.0083333333333" style="16" customWidth="1"/>
    <col min="15" max="16" width="8.675" style="16" customWidth="1"/>
    <col min="17" max="16384" width="9" style="16"/>
  </cols>
  <sheetData>
    <row r="1" s="16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16" customFormat="1" ht="22.5" customHeight="1" spans="1:16">
      <c r="A2" s="3" t="s">
        <v>16</v>
      </c>
      <c r="B2" s="3" t="s">
        <v>17</v>
      </c>
      <c r="C2" s="3" t="s">
        <v>18</v>
      </c>
      <c r="D2" s="4" t="s">
        <v>19</v>
      </c>
      <c r="E2" s="4">
        <v>46043.7744988426</v>
      </c>
      <c r="F2" s="3" t="s">
        <v>20</v>
      </c>
      <c r="G2" s="3" t="s">
        <v>21</v>
      </c>
      <c r="H2" s="3">
        <v>19</v>
      </c>
      <c r="I2" s="17">
        <v>3.3</v>
      </c>
      <c r="J2" s="17">
        <f t="shared" ref="J2:J6" si="0">H2*I2</f>
        <v>62.7</v>
      </c>
      <c r="K2" s="17">
        <v>19</v>
      </c>
      <c r="L2" s="17">
        <v>62.7</v>
      </c>
      <c r="M2" s="17"/>
      <c r="N2" s="17"/>
      <c r="O2" s="17" t="s">
        <v>22</v>
      </c>
      <c r="P2" s="17" t="s">
        <v>23</v>
      </c>
    </row>
    <row r="3" s="16" customFormat="1" ht="22.5" customHeight="1" spans="1:16">
      <c r="A3" s="3" t="s">
        <v>16</v>
      </c>
      <c r="B3" s="3" t="s">
        <v>17</v>
      </c>
      <c r="C3" s="3" t="s">
        <v>18</v>
      </c>
      <c r="D3" s="4" t="s">
        <v>19</v>
      </c>
      <c r="E3" s="4">
        <v>46043.7744988426</v>
      </c>
      <c r="F3" s="3" t="s">
        <v>20</v>
      </c>
      <c r="G3" s="3" t="s">
        <v>24</v>
      </c>
      <c r="H3" s="3">
        <v>120</v>
      </c>
      <c r="I3" s="17">
        <v>120</v>
      </c>
      <c r="J3" s="17">
        <v>120</v>
      </c>
      <c r="K3" s="17">
        <v>120</v>
      </c>
      <c r="L3" s="17">
        <v>120</v>
      </c>
      <c r="M3" s="17"/>
      <c r="N3" s="17"/>
      <c r="O3" s="17" t="s">
        <v>22</v>
      </c>
      <c r="P3" s="17" t="s">
        <v>23</v>
      </c>
    </row>
    <row r="4" s="16" customFormat="1" ht="22.5" customHeight="1" spans="1:16">
      <c r="A4" s="3" t="s">
        <v>16</v>
      </c>
      <c r="B4" s="3" t="s">
        <v>17</v>
      </c>
      <c r="C4" s="3" t="s">
        <v>18</v>
      </c>
      <c r="D4" s="4" t="s">
        <v>19</v>
      </c>
      <c r="E4" s="4">
        <v>46043.7744988426</v>
      </c>
      <c r="F4" s="3" t="s">
        <v>20</v>
      </c>
      <c r="G4" s="3" t="s">
        <v>25</v>
      </c>
      <c r="H4" s="3">
        <v>50</v>
      </c>
      <c r="I4" s="17">
        <v>3.3</v>
      </c>
      <c r="J4" s="17">
        <f t="shared" si="0"/>
        <v>165</v>
      </c>
      <c r="K4" s="17">
        <v>50</v>
      </c>
      <c r="L4" s="17">
        <v>165</v>
      </c>
      <c r="M4" s="17"/>
      <c r="N4" s="17"/>
      <c r="O4" s="17" t="s">
        <v>22</v>
      </c>
      <c r="P4" s="17" t="s">
        <v>23</v>
      </c>
    </row>
    <row r="5" s="16" customFormat="1" ht="22.5" customHeight="1" spans="1:16">
      <c r="A5" s="3" t="s">
        <v>16</v>
      </c>
      <c r="B5" s="3" t="s">
        <v>17</v>
      </c>
      <c r="C5" s="3" t="s">
        <v>18</v>
      </c>
      <c r="D5" s="4" t="s">
        <v>19</v>
      </c>
      <c r="E5" s="4">
        <v>46043.7744988426</v>
      </c>
      <c r="F5" s="3" t="s">
        <v>26</v>
      </c>
      <c r="G5" s="3" t="s">
        <v>27</v>
      </c>
      <c r="H5" s="3">
        <v>1</v>
      </c>
      <c r="I5" s="17">
        <v>3.3</v>
      </c>
      <c r="J5" s="17">
        <f t="shared" si="0"/>
        <v>3.3</v>
      </c>
      <c r="K5" s="17">
        <v>1</v>
      </c>
      <c r="L5" s="17">
        <v>3.3</v>
      </c>
      <c r="M5" s="17"/>
      <c r="N5" s="17"/>
      <c r="O5" s="17" t="s">
        <v>22</v>
      </c>
      <c r="P5" s="17" t="s">
        <v>23</v>
      </c>
    </row>
    <row r="6" ht="16.5" spans="1:16">
      <c r="A6" s="11" t="s">
        <v>16</v>
      </c>
      <c r="B6" s="11" t="s">
        <v>17</v>
      </c>
      <c r="C6" s="11" t="s">
        <v>28</v>
      </c>
      <c r="D6" s="12" t="s">
        <v>29</v>
      </c>
      <c r="E6" s="13">
        <v>46045.4645127662</v>
      </c>
      <c r="F6" s="11" t="s">
        <v>26</v>
      </c>
      <c r="G6" s="11" t="s">
        <v>27</v>
      </c>
      <c r="H6" s="22">
        <v>1</v>
      </c>
      <c r="I6" s="7">
        <v>3.3</v>
      </c>
      <c r="J6" s="7">
        <f t="shared" si="0"/>
        <v>3.3</v>
      </c>
      <c r="K6" s="7">
        <v>1</v>
      </c>
      <c r="L6" s="7">
        <v>3.3</v>
      </c>
      <c r="M6" s="7"/>
      <c r="N6" s="7"/>
      <c r="O6" s="5" t="s">
        <v>30</v>
      </c>
      <c r="P6" s="5" t="s">
        <v>31</v>
      </c>
    </row>
    <row r="7" ht="16.5" spans="1:16">
      <c r="A7" s="11" t="s">
        <v>16</v>
      </c>
      <c r="B7" s="11" t="s">
        <v>17</v>
      </c>
      <c r="C7" s="11" t="s">
        <v>28</v>
      </c>
      <c r="D7" s="12" t="s">
        <v>29</v>
      </c>
      <c r="E7" s="13">
        <v>46045.4645127662</v>
      </c>
      <c r="F7" s="11" t="s">
        <v>20</v>
      </c>
      <c r="G7" s="11" t="s">
        <v>24</v>
      </c>
      <c r="H7" s="22">
        <v>224</v>
      </c>
      <c r="I7" s="7">
        <v>120</v>
      </c>
      <c r="J7" s="7">
        <v>120</v>
      </c>
      <c r="K7" s="7">
        <v>224</v>
      </c>
      <c r="L7" s="7">
        <v>120</v>
      </c>
      <c r="M7" s="7"/>
      <c r="N7" s="7"/>
      <c r="O7" s="5" t="s">
        <v>30</v>
      </c>
      <c r="P7" s="5" t="s">
        <v>31</v>
      </c>
    </row>
    <row r="8" ht="16.5" spans="1:16">
      <c r="A8" s="11" t="s">
        <v>16</v>
      </c>
      <c r="B8" s="11" t="s">
        <v>17</v>
      </c>
      <c r="C8" s="11" t="s">
        <v>28</v>
      </c>
      <c r="D8" s="12" t="s">
        <v>29</v>
      </c>
      <c r="E8" s="13">
        <v>46045.4645127662</v>
      </c>
      <c r="F8" s="11" t="s">
        <v>20</v>
      </c>
      <c r="G8" s="11" t="s">
        <v>21</v>
      </c>
      <c r="H8" s="22">
        <v>32</v>
      </c>
      <c r="I8" s="7">
        <v>3.3</v>
      </c>
      <c r="J8" s="7">
        <f t="shared" ref="J8:J11" si="1">H8*I8</f>
        <v>105.6</v>
      </c>
      <c r="K8" s="7">
        <v>32</v>
      </c>
      <c r="L8" s="7">
        <v>105.6</v>
      </c>
      <c r="M8" s="7"/>
      <c r="N8" s="7"/>
      <c r="O8" s="5" t="s">
        <v>30</v>
      </c>
      <c r="P8" s="5" t="s">
        <v>31</v>
      </c>
    </row>
    <row r="9" ht="16.5" spans="1:16">
      <c r="A9" s="11" t="s">
        <v>16</v>
      </c>
      <c r="B9" s="11" t="s">
        <v>17</v>
      </c>
      <c r="C9" s="11" t="s">
        <v>28</v>
      </c>
      <c r="D9" s="12" t="s">
        <v>29</v>
      </c>
      <c r="E9" s="13">
        <v>46045.4645127662</v>
      </c>
      <c r="F9" s="11" t="s">
        <v>20</v>
      </c>
      <c r="G9" s="11" t="s">
        <v>25</v>
      </c>
      <c r="H9" s="22">
        <v>39</v>
      </c>
      <c r="I9" s="7">
        <v>3.3</v>
      </c>
      <c r="J9" s="7">
        <f t="shared" si="1"/>
        <v>128.7</v>
      </c>
      <c r="K9" s="7">
        <v>39</v>
      </c>
      <c r="L9" s="7">
        <v>128.7</v>
      </c>
      <c r="M9" s="7"/>
      <c r="N9" s="7"/>
      <c r="O9" s="5" t="s">
        <v>30</v>
      </c>
      <c r="P9" s="5" t="s">
        <v>31</v>
      </c>
    </row>
    <row r="10" ht="16.5" spans="1:16">
      <c r="A10" s="3" t="s">
        <v>16</v>
      </c>
      <c r="B10" s="3" t="s">
        <v>17</v>
      </c>
      <c r="C10" s="3" t="s">
        <v>32</v>
      </c>
      <c r="D10" s="4" t="s">
        <v>33</v>
      </c>
      <c r="E10" s="6">
        <v>46048.6531679398</v>
      </c>
      <c r="F10" s="3" t="s">
        <v>20</v>
      </c>
      <c r="G10" s="3" t="s">
        <v>25</v>
      </c>
      <c r="H10" s="15">
        <v>10</v>
      </c>
      <c r="I10" s="7">
        <v>3.3</v>
      </c>
      <c r="J10" s="7">
        <f t="shared" si="1"/>
        <v>33</v>
      </c>
      <c r="K10" s="7">
        <v>10</v>
      </c>
      <c r="L10" s="7">
        <v>33</v>
      </c>
      <c r="M10" s="7"/>
      <c r="N10" s="7"/>
      <c r="O10" s="5" t="s">
        <v>30</v>
      </c>
      <c r="P10" s="5" t="s">
        <v>34</v>
      </c>
    </row>
    <row r="11" ht="16.5" spans="1:16">
      <c r="A11" s="3" t="s">
        <v>16</v>
      </c>
      <c r="B11" s="3" t="s">
        <v>17</v>
      </c>
      <c r="C11" s="3" t="s">
        <v>32</v>
      </c>
      <c r="D11" s="4" t="s">
        <v>33</v>
      </c>
      <c r="E11" s="6">
        <v>46048.6531679398</v>
      </c>
      <c r="F11" s="3" t="s">
        <v>20</v>
      </c>
      <c r="G11" s="3" t="s">
        <v>35</v>
      </c>
      <c r="H11" s="15">
        <v>17</v>
      </c>
      <c r="I11" s="7">
        <v>3.3</v>
      </c>
      <c r="J11" s="7">
        <f t="shared" si="1"/>
        <v>56.1</v>
      </c>
      <c r="K11" s="7">
        <v>17</v>
      </c>
      <c r="L11" s="7">
        <v>56.1</v>
      </c>
      <c r="M11" s="7"/>
      <c r="N11" s="7"/>
      <c r="O11" s="5" t="s">
        <v>30</v>
      </c>
      <c r="P11" s="5" t="s">
        <v>34</v>
      </c>
    </row>
    <row r="12" ht="16.5" spans="1:16">
      <c r="A12" s="3" t="s">
        <v>16</v>
      </c>
      <c r="B12" s="3" t="s">
        <v>17</v>
      </c>
      <c r="C12" s="3" t="s">
        <v>32</v>
      </c>
      <c r="D12" s="4" t="s">
        <v>33</v>
      </c>
      <c r="E12" s="6">
        <v>46048.6531679398</v>
      </c>
      <c r="F12" s="3" t="s">
        <v>20</v>
      </c>
      <c r="G12" s="3" t="s">
        <v>24</v>
      </c>
      <c r="H12" s="15">
        <v>196</v>
      </c>
      <c r="I12" s="7">
        <v>120</v>
      </c>
      <c r="J12" s="7">
        <v>120</v>
      </c>
      <c r="K12" s="7">
        <v>196</v>
      </c>
      <c r="L12" s="7">
        <v>120</v>
      </c>
      <c r="M12" s="7"/>
      <c r="N12" s="7"/>
      <c r="O12" s="5" t="s">
        <v>30</v>
      </c>
      <c r="P12" s="5" t="s">
        <v>34</v>
      </c>
    </row>
    <row r="13" ht="16.5" spans="1:16">
      <c r="A13" s="3" t="s">
        <v>16</v>
      </c>
      <c r="B13" s="3" t="s">
        <v>17</v>
      </c>
      <c r="C13" s="3" t="s">
        <v>32</v>
      </c>
      <c r="D13" s="4" t="s">
        <v>33</v>
      </c>
      <c r="E13" s="6">
        <v>46048.6531679398</v>
      </c>
      <c r="F13" s="3" t="s">
        <v>26</v>
      </c>
      <c r="G13" s="3" t="s">
        <v>27</v>
      </c>
      <c r="H13" s="15">
        <v>1</v>
      </c>
      <c r="I13" s="7">
        <v>3.3</v>
      </c>
      <c r="J13" s="7">
        <f t="shared" ref="J13:J19" si="2">H13*I13</f>
        <v>3.3</v>
      </c>
      <c r="K13" s="7">
        <v>1</v>
      </c>
      <c r="L13" s="7">
        <v>3.3</v>
      </c>
      <c r="M13" s="7"/>
      <c r="N13" s="7"/>
      <c r="O13" s="5" t="s">
        <v>30</v>
      </c>
      <c r="P13" s="5" t="s">
        <v>34</v>
      </c>
    </row>
    <row r="14" ht="16.5" spans="1:16">
      <c r="A14" s="3" t="s">
        <v>16</v>
      </c>
      <c r="B14" s="3" t="s">
        <v>17</v>
      </c>
      <c r="C14" s="3" t="s">
        <v>36</v>
      </c>
      <c r="D14" s="4" t="s">
        <v>33</v>
      </c>
      <c r="E14" s="6">
        <v>46048.6531729977</v>
      </c>
      <c r="F14" s="3" t="s">
        <v>20</v>
      </c>
      <c r="G14" s="3" t="s">
        <v>35</v>
      </c>
      <c r="H14" s="15">
        <v>3</v>
      </c>
      <c r="I14" s="7">
        <v>3.3</v>
      </c>
      <c r="J14" s="7">
        <f t="shared" si="2"/>
        <v>9.9</v>
      </c>
      <c r="K14" s="7">
        <v>3</v>
      </c>
      <c r="L14" s="7">
        <v>9.9</v>
      </c>
      <c r="M14" s="7"/>
      <c r="N14" s="7"/>
      <c r="O14" s="5" t="s">
        <v>30</v>
      </c>
      <c r="P14" s="5" t="s">
        <v>34</v>
      </c>
    </row>
    <row r="15" ht="16.5" spans="1:16">
      <c r="A15" s="3" t="s">
        <v>16</v>
      </c>
      <c r="B15" s="3" t="s">
        <v>17</v>
      </c>
      <c r="C15" s="3" t="s">
        <v>36</v>
      </c>
      <c r="D15" s="4" t="s">
        <v>33</v>
      </c>
      <c r="E15" s="6">
        <v>46048.6531729977</v>
      </c>
      <c r="F15" s="3" t="s">
        <v>26</v>
      </c>
      <c r="G15" s="3" t="s">
        <v>27</v>
      </c>
      <c r="H15" s="15">
        <v>1</v>
      </c>
      <c r="I15" s="7">
        <v>3.3</v>
      </c>
      <c r="J15" s="7">
        <f t="shared" si="2"/>
        <v>3.3</v>
      </c>
      <c r="K15" s="7">
        <v>1</v>
      </c>
      <c r="L15" s="7">
        <v>3.3</v>
      </c>
      <c r="M15" s="7"/>
      <c r="N15" s="7"/>
      <c r="O15" s="5" t="s">
        <v>30</v>
      </c>
      <c r="P15" s="5" t="s">
        <v>34</v>
      </c>
    </row>
    <row r="16" ht="16.5" spans="1:16">
      <c r="A16" s="3" t="s">
        <v>16</v>
      </c>
      <c r="B16" s="3" t="s">
        <v>17</v>
      </c>
      <c r="C16" s="3" t="s">
        <v>37</v>
      </c>
      <c r="D16" s="4" t="s">
        <v>33</v>
      </c>
      <c r="E16" s="6">
        <v>46049.4523732639</v>
      </c>
      <c r="F16" s="3" t="s">
        <v>26</v>
      </c>
      <c r="G16" s="3" t="s">
        <v>27</v>
      </c>
      <c r="H16" s="15">
        <v>1</v>
      </c>
      <c r="I16" s="7">
        <v>3.3</v>
      </c>
      <c r="J16" s="7">
        <f t="shared" si="2"/>
        <v>3.3</v>
      </c>
      <c r="K16" s="7">
        <v>1</v>
      </c>
      <c r="L16" s="7">
        <v>3.3</v>
      </c>
      <c r="M16" s="7"/>
      <c r="N16" s="7"/>
      <c r="O16" s="5" t="s">
        <v>30</v>
      </c>
      <c r="P16" s="5" t="s">
        <v>34</v>
      </c>
    </row>
    <row r="17" ht="16.5" spans="1:16">
      <c r="A17" s="3" t="s">
        <v>16</v>
      </c>
      <c r="B17" s="3" t="s">
        <v>17</v>
      </c>
      <c r="C17" s="3" t="s">
        <v>37</v>
      </c>
      <c r="D17" s="4" t="s">
        <v>33</v>
      </c>
      <c r="E17" s="6">
        <v>46049.4523732639</v>
      </c>
      <c r="F17" s="3" t="s">
        <v>20</v>
      </c>
      <c r="G17" s="3" t="s">
        <v>21</v>
      </c>
      <c r="H17" s="15">
        <v>3</v>
      </c>
      <c r="I17" s="7">
        <v>3.3</v>
      </c>
      <c r="J17" s="7">
        <f t="shared" si="2"/>
        <v>9.9</v>
      </c>
      <c r="K17" s="7">
        <v>3</v>
      </c>
      <c r="L17" s="7">
        <v>9.9</v>
      </c>
      <c r="M17" s="7"/>
      <c r="N17" s="7"/>
      <c r="O17" s="5" t="s">
        <v>30</v>
      </c>
      <c r="P17" s="5" t="s">
        <v>34</v>
      </c>
    </row>
    <row r="18" ht="16.5" spans="1:16">
      <c r="A18" s="3" t="s">
        <v>16</v>
      </c>
      <c r="B18" s="3" t="s">
        <v>17</v>
      </c>
      <c r="C18" s="3" t="s">
        <v>38</v>
      </c>
      <c r="D18" s="4" t="s">
        <v>39</v>
      </c>
      <c r="E18" s="6">
        <v>46050.8901500347</v>
      </c>
      <c r="F18" s="3" t="s">
        <v>26</v>
      </c>
      <c r="G18" s="3" t="s">
        <v>27</v>
      </c>
      <c r="H18" s="15">
        <v>1</v>
      </c>
      <c r="I18" s="7">
        <v>3.3</v>
      </c>
      <c r="J18" s="7">
        <f t="shared" si="2"/>
        <v>3.3</v>
      </c>
      <c r="K18" s="7"/>
      <c r="L18" s="7"/>
      <c r="M18" s="7">
        <v>1</v>
      </c>
      <c r="N18" s="7">
        <v>3.3</v>
      </c>
      <c r="O18" s="5" t="s">
        <v>30</v>
      </c>
      <c r="P18" s="5" t="s">
        <v>34</v>
      </c>
    </row>
    <row r="19" ht="16.5" spans="1:16">
      <c r="A19" s="3" t="s">
        <v>16</v>
      </c>
      <c r="B19" s="3" t="s">
        <v>17</v>
      </c>
      <c r="C19" s="3" t="s">
        <v>38</v>
      </c>
      <c r="D19" s="4" t="s">
        <v>39</v>
      </c>
      <c r="E19" s="6">
        <v>46050.8901500347</v>
      </c>
      <c r="F19" s="3" t="s">
        <v>20</v>
      </c>
      <c r="G19" s="3" t="s">
        <v>35</v>
      </c>
      <c r="H19" s="15">
        <v>7</v>
      </c>
      <c r="I19" s="7">
        <v>3.3</v>
      </c>
      <c r="J19" s="7">
        <f t="shared" si="2"/>
        <v>23.1</v>
      </c>
      <c r="K19" s="7"/>
      <c r="L19" s="7"/>
      <c r="M19" s="7">
        <v>7</v>
      </c>
      <c r="N19" s="7">
        <v>23.1</v>
      </c>
      <c r="O19" s="5" t="s">
        <v>30</v>
      </c>
      <c r="P19" s="5" t="s">
        <v>34</v>
      </c>
    </row>
    <row r="20" ht="16.5" spans="1:16">
      <c r="A20" s="3" t="s">
        <v>16</v>
      </c>
      <c r="B20" s="3" t="s">
        <v>17</v>
      </c>
      <c r="C20" s="3" t="s">
        <v>40</v>
      </c>
      <c r="D20" s="4" t="s">
        <v>41</v>
      </c>
      <c r="E20" s="6">
        <v>46050.5847672106</v>
      </c>
      <c r="F20" s="3" t="s">
        <v>20</v>
      </c>
      <c r="G20" s="3" t="s">
        <v>24</v>
      </c>
      <c r="H20" s="3">
        <v>46</v>
      </c>
      <c r="I20" s="7">
        <v>120</v>
      </c>
      <c r="J20" s="7">
        <v>120</v>
      </c>
      <c r="K20" s="7">
        <v>46</v>
      </c>
      <c r="L20" s="7">
        <v>120</v>
      </c>
      <c r="M20" s="7"/>
      <c r="N20" s="7"/>
      <c r="O20" s="5" t="s">
        <v>30</v>
      </c>
      <c r="P20" s="5" t="s">
        <v>34</v>
      </c>
    </row>
    <row r="21" ht="16.5" spans="1:16">
      <c r="A21" s="3" t="s">
        <v>16</v>
      </c>
      <c r="B21" s="3" t="s">
        <v>17</v>
      </c>
      <c r="C21" s="3" t="s">
        <v>42</v>
      </c>
      <c r="D21" s="4" t="s">
        <v>41</v>
      </c>
      <c r="E21" s="6">
        <v>46050.5847763889</v>
      </c>
      <c r="F21" s="3" t="s">
        <v>20</v>
      </c>
      <c r="G21" s="3" t="s">
        <v>21</v>
      </c>
      <c r="H21" s="15">
        <v>11</v>
      </c>
      <c r="I21" s="7">
        <v>3.3</v>
      </c>
      <c r="J21" s="7">
        <f t="shared" ref="J21:J29" si="3">H21*I21</f>
        <v>36.3</v>
      </c>
      <c r="K21" s="7">
        <v>11</v>
      </c>
      <c r="L21" s="7">
        <v>36.3</v>
      </c>
      <c r="M21" s="7"/>
      <c r="N21" s="7"/>
      <c r="O21" s="5" t="s">
        <v>30</v>
      </c>
      <c r="P21" s="5" t="s">
        <v>34</v>
      </c>
    </row>
    <row r="22" ht="16.5" spans="1:16">
      <c r="A22" s="3" t="s">
        <v>16</v>
      </c>
      <c r="B22" s="3" t="s">
        <v>17</v>
      </c>
      <c r="C22" s="3" t="s">
        <v>42</v>
      </c>
      <c r="D22" s="4" t="s">
        <v>41</v>
      </c>
      <c r="E22" s="6">
        <v>46050.5847763889</v>
      </c>
      <c r="F22" s="3" t="s">
        <v>26</v>
      </c>
      <c r="G22" s="3" t="s">
        <v>27</v>
      </c>
      <c r="H22" s="15">
        <v>1</v>
      </c>
      <c r="I22" s="7">
        <v>3.3</v>
      </c>
      <c r="J22" s="7">
        <f t="shared" si="3"/>
        <v>3.3</v>
      </c>
      <c r="K22" s="7">
        <v>1</v>
      </c>
      <c r="L22" s="7">
        <v>3.3</v>
      </c>
      <c r="M22" s="7"/>
      <c r="N22" s="7"/>
      <c r="O22" s="5" t="s">
        <v>30</v>
      </c>
      <c r="P22" s="5" t="s">
        <v>34</v>
      </c>
    </row>
    <row r="23" ht="16.5" spans="1:16">
      <c r="A23" s="3" t="s">
        <v>16</v>
      </c>
      <c r="B23" s="3" t="s">
        <v>17</v>
      </c>
      <c r="C23" s="3" t="s">
        <v>43</v>
      </c>
      <c r="D23" s="4" t="s">
        <v>41</v>
      </c>
      <c r="E23" s="6">
        <v>46050.5847781597</v>
      </c>
      <c r="F23" s="3" t="s">
        <v>26</v>
      </c>
      <c r="G23" s="3" t="s">
        <v>27</v>
      </c>
      <c r="H23" s="15">
        <v>1</v>
      </c>
      <c r="I23" s="7">
        <v>3.3</v>
      </c>
      <c r="J23" s="7">
        <f t="shared" si="3"/>
        <v>3.3</v>
      </c>
      <c r="K23" s="7">
        <v>1</v>
      </c>
      <c r="L23" s="7">
        <v>3.3</v>
      </c>
      <c r="M23" s="7"/>
      <c r="N23" s="7"/>
      <c r="O23" s="5" t="s">
        <v>30</v>
      </c>
      <c r="P23" s="5" t="s">
        <v>34</v>
      </c>
    </row>
    <row r="24" ht="16.5" spans="1:16">
      <c r="A24" s="3" t="s">
        <v>16</v>
      </c>
      <c r="B24" s="3" t="s">
        <v>17</v>
      </c>
      <c r="C24" s="3" t="s">
        <v>43</v>
      </c>
      <c r="D24" s="4" t="s">
        <v>41</v>
      </c>
      <c r="E24" s="6">
        <v>46050.5847781597</v>
      </c>
      <c r="F24" s="3" t="s">
        <v>20</v>
      </c>
      <c r="G24" s="3" t="s">
        <v>44</v>
      </c>
      <c r="H24" s="15">
        <v>8</v>
      </c>
      <c r="I24" s="7">
        <v>3.3</v>
      </c>
      <c r="J24" s="7">
        <f t="shared" si="3"/>
        <v>26.4</v>
      </c>
      <c r="K24" s="7">
        <v>8</v>
      </c>
      <c r="L24" s="7">
        <v>26.4</v>
      </c>
      <c r="M24" s="7"/>
      <c r="N24" s="7"/>
      <c r="O24" s="5" t="s">
        <v>30</v>
      </c>
      <c r="P24" s="5" t="s">
        <v>34</v>
      </c>
    </row>
    <row r="25" ht="16.5" spans="1:16">
      <c r="A25" s="3" t="s">
        <v>16</v>
      </c>
      <c r="B25" s="3" t="s">
        <v>17</v>
      </c>
      <c r="C25" s="3" t="s">
        <v>43</v>
      </c>
      <c r="D25" s="4" t="s">
        <v>41</v>
      </c>
      <c r="E25" s="6">
        <v>46050.5847781597</v>
      </c>
      <c r="F25" s="3" t="s">
        <v>20</v>
      </c>
      <c r="G25" s="3" t="s">
        <v>21</v>
      </c>
      <c r="H25" s="15">
        <v>11</v>
      </c>
      <c r="I25" s="7">
        <v>3.3</v>
      </c>
      <c r="J25" s="7">
        <f t="shared" si="3"/>
        <v>36.3</v>
      </c>
      <c r="K25" s="7">
        <v>11</v>
      </c>
      <c r="L25" s="7">
        <v>36.3</v>
      </c>
      <c r="M25" s="7"/>
      <c r="N25" s="7"/>
      <c r="O25" s="5" t="s">
        <v>30</v>
      </c>
      <c r="P25" s="5" t="s">
        <v>34</v>
      </c>
    </row>
    <row r="26" ht="16.5" spans="1:16">
      <c r="A26" s="3" t="s">
        <v>16</v>
      </c>
      <c r="B26" s="3" t="s">
        <v>17</v>
      </c>
      <c r="C26" s="3" t="s">
        <v>45</v>
      </c>
      <c r="D26" s="4" t="s">
        <v>41</v>
      </c>
      <c r="E26" s="6">
        <v>46050.5847799769</v>
      </c>
      <c r="F26" s="3" t="s">
        <v>20</v>
      </c>
      <c r="G26" s="3" t="s">
        <v>21</v>
      </c>
      <c r="H26" s="15">
        <v>12</v>
      </c>
      <c r="I26" s="7">
        <v>3.3</v>
      </c>
      <c r="J26" s="7">
        <f t="shared" si="3"/>
        <v>39.6</v>
      </c>
      <c r="K26" s="7">
        <v>12</v>
      </c>
      <c r="L26" s="7">
        <v>39.6</v>
      </c>
      <c r="M26" s="7"/>
      <c r="N26" s="7"/>
      <c r="O26" s="5" t="s">
        <v>30</v>
      </c>
      <c r="P26" s="5" t="s">
        <v>34</v>
      </c>
    </row>
    <row r="27" ht="16.5" spans="1:16">
      <c r="A27" s="3" t="s">
        <v>16</v>
      </c>
      <c r="B27" s="3" t="s">
        <v>17</v>
      </c>
      <c r="C27" s="3" t="s">
        <v>45</v>
      </c>
      <c r="D27" s="4" t="s">
        <v>41</v>
      </c>
      <c r="E27" s="6">
        <v>46050.5847799769</v>
      </c>
      <c r="F27" s="3" t="s">
        <v>26</v>
      </c>
      <c r="G27" s="3" t="s">
        <v>27</v>
      </c>
      <c r="H27" s="15">
        <v>1</v>
      </c>
      <c r="I27" s="7">
        <v>3.3</v>
      </c>
      <c r="J27" s="7">
        <f t="shared" si="3"/>
        <v>3.3</v>
      </c>
      <c r="K27" s="7">
        <v>1</v>
      </c>
      <c r="L27" s="7">
        <v>3.3</v>
      </c>
      <c r="M27" s="7"/>
      <c r="N27" s="7"/>
      <c r="O27" s="5" t="s">
        <v>30</v>
      </c>
      <c r="P27" s="5" t="s">
        <v>34</v>
      </c>
    </row>
    <row r="28" ht="16.5" spans="1:16">
      <c r="A28" s="3" t="s">
        <v>16</v>
      </c>
      <c r="B28" s="3" t="s">
        <v>17</v>
      </c>
      <c r="C28" s="3" t="s">
        <v>46</v>
      </c>
      <c r="D28" s="4" t="s">
        <v>41</v>
      </c>
      <c r="E28" s="6">
        <v>46050.5847820949</v>
      </c>
      <c r="F28" s="3" t="s">
        <v>26</v>
      </c>
      <c r="G28" s="3" t="s">
        <v>27</v>
      </c>
      <c r="H28" s="15">
        <v>1</v>
      </c>
      <c r="I28" s="7">
        <v>3.3</v>
      </c>
      <c r="J28" s="7">
        <f t="shared" si="3"/>
        <v>3.3</v>
      </c>
      <c r="K28" s="7">
        <v>1</v>
      </c>
      <c r="L28" s="7">
        <v>3.3</v>
      </c>
      <c r="M28" s="7"/>
      <c r="N28" s="7"/>
      <c r="O28" s="5" t="s">
        <v>30</v>
      </c>
      <c r="P28" s="5" t="s">
        <v>34</v>
      </c>
    </row>
    <row r="29" ht="16.5" spans="1:16">
      <c r="A29" s="3" t="s">
        <v>16</v>
      </c>
      <c r="B29" s="3" t="s">
        <v>17</v>
      </c>
      <c r="C29" s="3" t="s">
        <v>46</v>
      </c>
      <c r="D29" s="4" t="s">
        <v>41</v>
      </c>
      <c r="E29" s="6">
        <v>46050.5847820949</v>
      </c>
      <c r="F29" s="3" t="s">
        <v>20</v>
      </c>
      <c r="G29" s="3" t="s">
        <v>21</v>
      </c>
      <c r="H29" s="15">
        <v>11</v>
      </c>
      <c r="I29" s="7">
        <v>3.3</v>
      </c>
      <c r="J29" s="7">
        <f t="shared" si="3"/>
        <v>36.3</v>
      </c>
      <c r="K29" s="7">
        <v>11</v>
      </c>
      <c r="L29" s="7">
        <v>36.3</v>
      </c>
      <c r="M29" s="7"/>
      <c r="N29" s="7"/>
      <c r="O29" s="5" t="s">
        <v>30</v>
      </c>
      <c r="P29" s="5" t="s">
        <v>34</v>
      </c>
    </row>
    <row r="30" ht="16.5" spans="1:16">
      <c r="A30" s="11" t="s">
        <v>16</v>
      </c>
      <c r="B30" s="11" t="s">
        <v>17</v>
      </c>
      <c r="C30" s="11" t="s">
        <v>47</v>
      </c>
      <c r="D30" s="12" t="s">
        <v>48</v>
      </c>
      <c r="E30" s="12">
        <v>46052.7773367708</v>
      </c>
      <c r="F30" s="11" t="s">
        <v>20</v>
      </c>
      <c r="G30" s="11" t="s">
        <v>24</v>
      </c>
      <c r="H30" s="11">
        <v>176</v>
      </c>
      <c r="I30" s="5">
        <v>120</v>
      </c>
      <c r="J30" s="5">
        <v>120</v>
      </c>
      <c r="K30" s="5">
        <v>176</v>
      </c>
      <c r="L30" s="5">
        <v>120</v>
      </c>
      <c r="M30" s="5"/>
      <c r="N30" s="5"/>
      <c r="O30" s="5" t="s">
        <v>30</v>
      </c>
      <c r="P30" s="5" t="s">
        <v>34</v>
      </c>
    </row>
    <row r="31" ht="16.5" spans="1:16">
      <c r="A31" s="11" t="s">
        <v>16</v>
      </c>
      <c r="B31" s="11" t="s">
        <v>17</v>
      </c>
      <c r="C31" s="11" t="s">
        <v>47</v>
      </c>
      <c r="D31" s="12" t="s">
        <v>48</v>
      </c>
      <c r="E31" s="12">
        <v>46052.7773367708</v>
      </c>
      <c r="F31" s="11" t="s">
        <v>26</v>
      </c>
      <c r="G31" s="11" t="s">
        <v>27</v>
      </c>
      <c r="H31" s="11">
        <v>1</v>
      </c>
      <c r="I31" s="5">
        <v>3.3</v>
      </c>
      <c r="J31" s="5">
        <f t="shared" ref="J31:J38" si="4">H31*I31</f>
        <v>3.3</v>
      </c>
      <c r="K31" s="5">
        <v>1</v>
      </c>
      <c r="L31" s="5">
        <v>3.3</v>
      </c>
      <c r="M31" s="5"/>
      <c r="N31" s="5"/>
      <c r="O31" s="5" t="s">
        <v>30</v>
      </c>
      <c r="P31" s="5" t="s">
        <v>34</v>
      </c>
    </row>
    <row r="32" ht="16.5" spans="1:16">
      <c r="A32" s="11" t="s">
        <v>16</v>
      </c>
      <c r="B32" s="11" t="s">
        <v>17</v>
      </c>
      <c r="C32" s="11" t="s">
        <v>49</v>
      </c>
      <c r="D32" s="12" t="s">
        <v>48</v>
      </c>
      <c r="E32" s="12">
        <v>46052.7773274653</v>
      </c>
      <c r="F32" s="11" t="s">
        <v>20</v>
      </c>
      <c r="G32" s="11" t="s">
        <v>21</v>
      </c>
      <c r="H32" s="11">
        <v>9</v>
      </c>
      <c r="I32" s="5">
        <v>3.3</v>
      </c>
      <c r="J32" s="5">
        <f t="shared" si="4"/>
        <v>29.7</v>
      </c>
      <c r="K32" s="5">
        <v>9</v>
      </c>
      <c r="L32" s="5">
        <v>29.7</v>
      </c>
      <c r="M32" s="5"/>
      <c r="N32" s="5"/>
      <c r="O32" s="5" t="s">
        <v>30</v>
      </c>
      <c r="P32" s="5" t="s">
        <v>34</v>
      </c>
    </row>
    <row r="33" ht="16.5" spans="1:16">
      <c r="A33" s="11" t="s">
        <v>16</v>
      </c>
      <c r="B33" s="11" t="s">
        <v>17</v>
      </c>
      <c r="C33" s="11" t="s">
        <v>49</v>
      </c>
      <c r="D33" s="12" t="s">
        <v>48</v>
      </c>
      <c r="E33" s="12">
        <v>46052.7773274653</v>
      </c>
      <c r="F33" s="11" t="s">
        <v>26</v>
      </c>
      <c r="G33" s="11" t="s">
        <v>27</v>
      </c>
      <c r="H33" s="11">
        <v>1</v>
      </c>
      <c r="I33" s="5">
        <v>3.3</v>
      </c>
      <c r="J33" s="5">
        <f t="shared" si="4"/>
        <v>3.3</v>
      </c>
      <c r="K33" s="5">
        <v>1</v>
      </c>
      <c r="L33" s="5">
        <v>3.3</v>
      </c>
      <c r="M33" s="5"/>
      <c r="N33" s="5"/>
      <c r="O33" s="5" t="s">
        <v>30</v>
      </c>
      <c r="P33" s="5" t="s">
        <v>34</v>
      </c>
    </row>
    <row r="34" ht="16.5" spans="1:16">
      <c r="A34" s="11" t="s">
        <v>16</v>
      </c>
      <c r="B34" s="11" t="s">
        <v>17</v>
      </c>
      <c r="C34" s="11" t="s">
        <v>50</v>
      </c>
      <c r="D34" s="12" t="s">
        <v>48</v>
      </c>
      <c r="E34" s="12">
        <v>46052.7773310995</v>
      </c>
      <c r="F34" s="11" t="s">
        <v>20</v>
      </c>
      <c r="G34" s="11" t="s">
        <v>21</v>
      </c>
      <c r="H34" s="11">
        <v>11</v>
      </c>
      <c r="I34" s="5">
        <v>3.3</v>
      </c>
      <c r="J34" s="5">
        <f t="shared" si="4"/>
        <v>36.3</v>
      </c>
      <c r="K34" s="5">
        <v>11</v>
      </c>
      <c r="L34" s="5">
        <v>36.3</v>
      </c>
      <c r="M34" s="5"/>
      <c r="N34" s="5"/>
      <c r="O34" s="5" t="s">
        <v>30</v>
      </c>
      <c r="P34" s="5" t="s">
        <v>34</v>
      </c>
    </row>
    <row r="35" ht="16.5" spans="1:16">
      <c r="A35" s="11" t="s">
        <v>16</v>
      </c>
      <c r="B35" s="11" t="s">
        <v>17</v>
      </c>
      <c r="C35" s="11" t="s">
        <v>50</v>
      </c>
      <c r="D35" s="12" t="s">
        <v>48</v>
      </c>
      <c r="E35" s="12">
        <v>46052.7773310995</v>
      </c>
      <c r="F35" s="11" t="s">
        <v>26</v>
      </c>
      <c r="G35" s="11" t="s">
        <v>27</v>
      </c>
      <c r="H35" s="11">
        <v>1</v>
      </c>
      <c r="I35" s="5">
        <v>3.3</v>
      </c>
      <c r="J35" s="5">
        <f t="shared" si="4"/>
        <v>3.3</v>
      </c>
      <c r="K35" s="5">
        <v>1</v>
      </c>
      <c r="L35" s="5">
        <v>3.3</v>
      </c>
      <c r="M35" s="5"/>
      <c r="N35" s="5"/>
      <c r="O35" s="5" t="s">
        <v>30</v>
      </c>
      <c r="P35" s="5" t="s">
        <v>34</v>
      </c>
    </row>
    <row r="36" ht="16.5" spans="1:16">
      <c r="A36" s="11" t="s">
        <v>16</v>
      </c>
      <c r="B36" s="11" t="s">
        <v>17</v>
      </c>
      <c r="C36" s="11" t="s">
        <v>51</v>
      </c>
      <c r="D36" s="12" t="s">
        <v>48</v>
      </c>
      <c r="E36" s="12">
        <v>46052.7773338773</v>
      </c>
      <c r="F36" s="11" t="s">
        <v>26</v>
      </c>
      <c r="G36" s="11" t="s">
        <v>27</v>
      </c>
      <c r="H36" s="11">
        <v>1</v>
      </c>
      <c r="I36" s="5">
        <v>3.3</v>
      </c>
      <c r="J36" s="5">
        <f t="shared" si="4"/>
        <v>3.3</v>
      </c>
      <c r="K36" s="5">
        <v>1</v>
      </c>
      <c r="L36" s="5">
        <v>3.3</v>
      </c>
      <c r="M36" s="5"/>
      <c r="N36" s="5"/>
      <c r="O36" s="5" t="s">
        <v>30</v>
      </c>
      <c r="P36" s="5" t="s">
        <v>34</v>
      </c>
    </row>
    <row r="37" ht="16.5" spans="1:16">
      <c r="A37" s="11" t="s">
        <v>16</v>
      </c>
      <c r="B37" s="11" t="s">
        <v>17</v>
      </c>
      <c r="C37" s="11" t="s">
        <v>51</v>
      </c>
      <c r="D37" s="12" t="s">
        <v>48</v>
      </c>
      <c r="E37" s="12">
        <v>46052.7773338773</v>
      </c>
      <c r="F37" s="11" t="s">
        <v>20</v>
      </c>
      <c r="G37" s="11" t="s">
        <v>21</v>
      </c>
      <c r="H37" s="11">
        <v>22</v>
      </c>
      <c r="I37" s="5">
        <v>3.3</v>
      </c>
      <c r="J37" s="5">
        <f t="shared" si="4"/>
        <v>72.6</v>
      </c>
      <c r="K37" s="5">
        <v>22</v>
      </c>
      <c r="L37" s="5">
        <v>72.6</v>
      </c>
      <c r="M37" s="5"/>
      <c r="N37" s="5"/>
      <c r="O37" s="5" t="s">
        <v>30</v>
      </c>
      <c r="P37" s="5" t="s">
        <v>34</v>
      </c>
    </row>
    <row r="38" ht="16.5" spans="1:16">
      <c r="A38" s="11" t="s">
        <v>16</v>
      </c>
      <c r="B38" s="11" t="s">
        <v>17</v>
      </c>
      <c r="C38" s="11" t="s">
        <v>52</v>
      </c>
      <c r="D38" s="12" t="s">
        <v>53</v>
      </c>
      <c r="E38" s="12">
        <v>46052.7314626505</v>
      </c>
      <c r="F38" s="11" t="s">
        <v>20</v>
      </c>
      <c r="G38" s="11" t="s">
        <v>25</v>
      </c>
      <c r="H38" s="11">
        <v>5</v>
      </c>
      <c r="I38" s="5">
        <v>3.3</v>
      </c>
      <c r="J38" s="5">
        <f t="shared" si="4"/>
        <v>16.5</v>
      </c>
      <c r="K38" s="5">
        <v>5</v>
      </c>
      <c r="L38" s="5">
        <v>16.5</v>
      </c>
      <c r="M38" s="5"/>
      <c r="N38" s="5"/>
      <c r="O38" s="5" t="s">
        <v>30</v>
      </c>
      <c r="P38" s="5" t="s">
        <v>54</v>
      </c>
    </row>
    <row r="39" ht="16.5" spans="1:16">
      <c r="A39" s="11" t="s">
        <v>16</v>
      </c>
      <c r="B39" s="11" t="s">
        <v>17</v>
      </c>
      <c r="C39" s="11" t="s">
        <v>52</v>
      </c>
      <c r="D39" s="12" t="s">
        <v>53</v>
      </c>
      <c r="E39" s="12">
        <v>46052.7314626505</v>
      </c>
      <c r="F39" s="11" t="s">
        <v>20</v>
      </c>
      <c r="G39" s="11" t="s">
        <v>24</v>
      </c>
      <c r="H39" s="11">
        <v>158</v>
      </c>
      <c r="I39" s="5">
        <v>120</v>
      </c>
      <c r="J39" s="5">
        <v>120</v>
      </c>
      <c r="K39" s="5">
        <v>158</v>
      </c>
      <c r="L39" s="5">
        <v>120</v>
      </c>
      <c r="M39" s="5"/>
      <c r="N39" s="5"/>
      <c r="O39" s="5" t="s">
        <v>30</v>
      </c>
      <c r="P39" s="5" t="s">
        <v>54</v>
      </c>
    </row>
    <row r="40" ht="16.5" spans="1:16">
      <c r="A40" s="11" t="s">
        <v>16</v>
      </c>
      <c r="B40" s="11" t="s">
        <v>17</v>
      </c>
      <c r="C40" s="11" t="s">
        <v>52</v>
      </c>
      <c r="D40" s="12" t="s">
        <v>53</v>
      </c>
      <c r="E40" s="12">
        <v>46052.7314626505</v>
      </c>
      <c r="F40" s="11" t="s">
        <v>20</v>
      </c>
      <c r="G40" s="11" t="s">
        <v>21</v>
      </c>
      <c r="H40" s="11">
        <v>13</v>
      </c>
      <c r="I40" s="5">
        <v>3.3</v>
      </c>
      <c r="J40" s="5">
        <f t="shared" ref="J40:J42" si="5">H40*I40</f>
        <v>42.9</v>
      </c>
      <c r="K40" s="5">
        <v>13</v>
      </c>
      <c r="L40" s="5">
        <v>42.9</v>
      </c>
      <c r="M40" s="5"/>
      <c r="N40" s="5"/>
      <c r="O40" s="5" t="s">
        <v>30</v>
      </c>
      <c r="P40" s="5" t="s">
        <v>54</v>
      </c>
    </row>
    <row r="41" ht="16.5" spans="1:16">
      <c r="A41" s="11" t="s">
        <v>16</v>
      </c>
      <c r="B41" s="11" t="s">
        <v>17</v>
      </c>
      <c r="C41" s="11" t="s">
        <v>52</v>
      </c>
      <c r="D41" s="12" t="s">
        <v>53</v>
      </c>
      <c r="E41" s="12">
        <v>46052.7314626505</v>
      </c>
      <c r="F41" s="11" t="s">
        <v>26</v>
      </c>
      <c r="G41" s="11" t="s">
        <v>27</v>
      </c>
      <c r="H41" s="11">
        <v>1</v>
      </c>
      <c r="I41" s="5">
        <v>3.3</v>
      </c>
      <c r="J41" s="5">
        <f t="shared" si="5"/>
        <v>3.3</v>
      </c>
      <c r="K41" s="5">
        <v>1</v>
      </c>
      <c r="L41" s="5">
        <v>3.3</v>
      </c>
      <c r="M41" s="5"/>
      <c r="N41" s="5"/>
      <c r="O41" s="5" t="s">
        <v>30</v>
      </c>
      <c r="P41" s="5" t="s">
        <v>54</v>
      </c>
    </row>
    <row r="42" ht="16.5" spans="1:16">
      <c r="A42" s="11" t="s">
        <v>16</v>
      </c>
      <c r="B42" s="11" t="s">
        <v>17</v>
      </c>
      <c r="C42" s="11" t="s">
        <v>55</v>
      </c>
      <c r="D42" s="12" t="s">
        <v>56</v>
      </c>
      <c r="E42" s="12">
        <v>46051.5000058681</v>
      </c>
      <c r="F42" s="11" t="s">
        <v>20</v>
      </c>
      <c r="G42" s="11" t="s">
        <v>25</v>
      </c>
      <c r="H42" s="11">
        <v>5</v>
      </c>
      <c r="I42" s="5">
        <v>3.3</v>
      </c>
      <c r="J42" s="5">
        <f t="shared" si="5"/>
        <v>16.5</v>
      </c>
      <c r="K42" s="5">
        <v>5</v>
      </c>
      <c r="L42" s="5">
        <v>16.5</v>
      </c>
      <c r="M42" s="5"/>
      <c r="N42" s="5"/>
      <c r="O42" s="5" t="s">
        <v>30</v>
      </c>
      <c r="P42" s="5" t="s">
        <v>57</v>
      </c>
    </row>
    <row r="43" ht="16.5" spans="1:16">
      <c r="A43" s="11" t="s">
        <v>16</v>
      </c>
      <c r="B43" s="11" t="s">
        <v>17</v>
      </c>
      <c r="C43" s="11" t="s">
        <v>55</v>
      </c>
      <c r="D43" s="12" t="s">
        <v>56</v>
      </c>
      <c r="E43" s="12">
        <v>46051.5000058681</v>
      </c>
      <c r="F43" s="11" t="s">
        <v>20</v>
      </c>
      <c r="G43" s="11" t="s">
        <v>24</v>
      </c>
      <c r="H43" s="11">
        <v>158</v>
      </c>
      <c r="I43" s="5">
        <v>120</v>
      </c>
      <c r="J43" s="5">
        <v>120</v>
      </c>
      <c r="K43" s="5">
        <v>158</v>
      </c>
      <c r="L43" s="5">
        <v>120</v>
      </c>
      <c r="M43" s="5"/>
      <c r="N43" s="5"/>
      <c r="O43" s="5" t="s">
        <v>30</v>
      </c>
      <c r="P43" s="5" t="s">
        <v>57</v>
      </c>
    </row>
    <row r="44" ht="16.5" spans="1:16">
      <c r="A44" s="11" t="s">
        <v>16</v>
      </c>
      <c r="B44" s="11" t="s">
        <v>17</v>
      </c>
      <c r="C44" s="11" t="s">
        <v>55</v>
      </c>
      <c r="D44" s="12" t="s">
        <v>56</v>
      </c>
      <c r="E44" s="12">
        <v>46051.5000058681</v>
      </c>
      <c r="F44" s="11" t="s">
        <v>20</v>
      </c>
      <c r="G44" s="11" t="s">
        <v>21</v>
      </c>
      <c r="H44" s="11">
        <v>14</v>
      </c>
      <c r="I44" s="5">
        <v>3.3</v>
      </c>
      <c r="J44" s="5">
        <f t="shared" ref="J44:J52" si="6">H44*I44</f>
        <v>46.2</v>
      </c>
      <c r="K44" s="5">
        <v>14</v>
      </c>
      <c r="L44" s="5">
        <v>46.2</v>
      </c>
      <c r="M44" s="5"/>
      <c r="N44" s="5"/>
      <c r="O44" s="5" t="s">
        <v>30</v>
      </c>
      <c r="P44" s="5" t="s">
        <v>57</v>
      </c>
    </row>
    <row r="45" ht="16.5" spans="1:16">
      <c r="A45" s="11" t="s">
        <v>16</v>
      </c>
      <c r="B45" s="11" t="s">
        <v>17</v>
      </c>
      <c r="C45" s="11" t="s">
        <v>55</v>
      </c>
      <c r="D45" s="12" t="s">
        <v>56</v>
      </c>
      <c r="E45" s="12">
        <v>46051.5000058681</v>
      </c>
      <c r="F45" s="11" t="s">
        <v>26</v>
      </c>
      <c r="G45" s="11" t="s">
        <v>27</v>
      </c>
      <c r="H45" s="11">
        <v>1</v>
      </c>
      <c r="I45" s="5">
        <v>3.3</v>
      </c>
      <c r="J45" s="5">
        <f t="shared" si="6"/>
        <v>3.3</v>
      </c>
      <c r="K45" s="5">
        <v>1</v>
      </c>
      <c r="L45" s="5">
        <v>3.3</v>
      </c>
      <c r="M45" s="5"/>
      <c r="N45" s="5"/>
      <c r="O45" s="5" t="s">
        <v>30</v>
      </c>
      <c r="P45" s="5" t="s">
        <v>57</v>
      </c>
    </row>
    <row r="46" ht="16.5" spans="1:16">
      <c r="A46" s="3" t="s">
        <v>16</v>
      </c>
      <c r="B46" s="3" t="s">
        <v>17</v>
      </c>
      <c r="C46" s="3" t="s">
        <v>58</v>
      </c>
      <c r="D46" s="4" t="s">
        <v>59</v>
      </c>
      <c r="E46" s="4">
        <v>46056.6725302431</v>
      </c>
      <c r="F46" s="3" t="s">
        <v>20</v>
      </c>
      <c r="G46" s="3" t="s">
        <v>21</v>
      </c>
      <c r="H46" s="3">
        <v>7</v>
      </c>
      <c r="I46" s="5">
        <v>3.3</v>
      </c>
      <c r="J46" s="5">
        <f t="shared" si="6"/>
        <v>23.1</v>
      </c>
      <c r="K46" s="5">
        <v>7</v>
      </c>
      <c r="L46" s="5">
        <v>23.1</v>
      </c>
      <c r="M46" s="5"/>
      <c r="N46" s="5"/>
      <c r="O46" s="5" t="s">
        <v>30</v>
      </c>
      <c r="P46" s="5" t="s">
        <v>60</v>
      </c>
    </row>
    <row r="47" ht="16.5" spans="1:16">
      <c r="A47" s="3" t="s">
        <v>16</v>
      </c>
      <c r="B47" s="3" t="s">
        <v>17</v>
      </c>
      <c r="C47" s="3" t="s">
        <v>58</v>
      </c>
      <c r="D47" s="4" t="s">
        <v>59</v>
      </c>
      <c r="E47" s="4">
        <v>46056.6725302431</v>
      </c>
      <c r="F47" s="3" t="s">
        <v>26</v>
      </c>
      <c r="G47" s="3" t="s">
        <v>27</v>
      </c>
      <c r="H47" s="3">
        <v>1</v>
      </c>
      <c r="I47" s="5">
        <v>3.3</v>
      </c>
      <c r="J47" s="5">
        <f t="shared" si="6"/>
        <v>3.3</v>
      </c>
      <c r="K47" s="5">
        <v>1</v>
      </c>
      <c r="L47" s="5">
        <v>3.3</v>
      </c>
      <c r="M47" s="5"/>
      <c r="N47" s="5"/>
      <c r="O47" s="5" t="s">
        <v>30</v>
      </c>
      <c r="P47" s="5" t="s">
        <v>60</v>
      </c>
    </row>
    <row r="48" ht="16.5" spans="1:16">
      <c r="A48" s="3" t="s">
        <v>16</v>
      </c>
      <c r="B48" s="3" t="s">
        <v>17</v>
      </c>
      <c r="C48" s="3" t="s">
        <v>61</v>
      </c>
      <c r="D48" s="4" t="s">
        <v>62</v>
      </c>
      <c r="E48" s="6">
        <v>46057.6603054051</v>
      </c>
      <c r="F48" s="3" t="s">
        <v>26</v>
      </c>
      <c r="G48" s="3" t="s">
        <v>27</v>
      </c>
      <c r="H48" s="15">
        <v>1</v>
      </c>
      <c r="I48" s="5">
        <v>3.3</v>
      </c>
      <c r="J48" s="5">
        <f t="shared" si="6"/>
        <v>3.3</v>
      </c>
      <c r="K48" s="5">
        <v>1</v>
      </c>
      <c r="L48" s="5">
        <v>3.3</v>
      </c>
      <c r="M48" s="5"/>
      <c r="N48" s="5"/>
      <c r="O48" s="5" t="s">
        <v>63</v>
      </c>
      <c r="P48" s="5" t="s">
        <v>64</v>
      </c>
    </row>
    <row r="49" ht="16.5" spans="1:16">
      <c r="A49" s="3" t="s">
        <v>16</v>
      </c>
      <c r="B49" s="3" t="s">
        <v>17</v>
      </c>
      <c r="C49" s="3" t="s">
        <v>61</v>
      </c>
      <c r="D49" s="4" t="s">
        <v>62</v>
      </c>
      <c r="E49" s="6">
        <v>46057.6603054051</v>
      </c>
      <c r="F49" s="3" t="s">
        <v>20</v>
      </c>
      <c r="G49" s="3" t="s">
        <v>21</v>
      </c>
      <c r="H49" s="15">
        <v>14</v>
      </c>
      <c r="I49" s="5">
        <v>3.3</v>
      </c>
      <c r="J49" s="5">
        <f t="shared" si="6"/>
        <v>46.2</v>
      </c>
      <c r="K49" s="5">
        <v>14</v>
      </c>
      <c r="L49" s="5">
        <v>46.2</v>
      </c>
      <c r="M49" s="5"/>
      <c r="N49" s="5"/>
      <c r="O49" s="5" t="s">
        <v>63</v>
      </c>
      <c r="P49" s="5" t="s">
        <v>64</v>
      </c>
    </row>
    <row r="50" ht="16.5" spans="1:16">
      <c r="A50" s="3" t="s">
        <v>16</v>
      </c>
      <c r="B50" s="3" t="s">
        <v>17</v>
      </c>
      <c r="C50" s="3" t="s">
        <v>65</v>
      </c>
      <c r="D50" s="4" t="s">
        <v>33</v>
      </c>
      <c r="E50" s="6">
        <v>46058.5695371181</v>
      </c>
      <c r="F50" s="3" t="s">
        <v>26</v>
      </c>
      <c r="G50" s="3" t="s">
        <v>27</v>
      </c>
      <c r="H50" s="15">
        <v>1</v>
      </c>
      <c r="I50" s="7">
        <v>3.3</v>
      </c>
      <c r="J50" s="7">
        <f t="shared" si="6"/>
        <v>3.3</v>
      </c>
      <c r="K50" s="7">
        <v>1</v>
      </c>
      <c r="L50" s="7">
        <v>3.3</v>
      </c>
      <c r="M50" s="7"/>
      <c r="N50" s="7"/>
      <c r="O50" s="7" t="s">
        <v>30</v>
      </c>
      <c r="P50" s="5" t="s">
        <v>31</v>
      </c>
    </row>
    <row r="51" ht="16.5" spans="1:16">
      <c r="A51" s="3" t="s">
        <v>16</v>
      </c>
      <c r="B51" s="3" t="s">
        <v>17</v>
      </c>
      <c r="C51" s="3" t="s">
        <v>65</v>
      </c>
      <c r="D51" s="4" t="s">
        <v>33</v>
      </c>
      <c r="E51" s="6">
        <v>46058.5695371181</v>
      </c>
      <c r="F51" s="3" t="s">
        <v>20</v>
      </c>
      <c r="G51" s="3" t="s">
        <v>25</v>
      </c>
      <c r="H51" s="15">
        <v>4</v>
      </c>
      <c r="I51" s="7">
        <v>3.3</v>
      </c>
      <c r="J51" s="7">
        <f t="shared" si="6"/>
        <v>13.2</v>
      </c>
      <c r="K51" s="7">
        <v>4</v>
      </c>
      <c r="L51" s="7">
        <v>13.2</v>
      </c>
      <c r="M51" s="7"/>
      <c r="N51" s="7"/>
      <c r="O51" s="7" t="s">
        <v>30</v>
      </c>
      <c r="P51" s="5" t="s">
        <v>31</v>
      </c>
    </row>
    <row r="52" ht="16.5" spans="1:16">
      <c r="A52" s="3" t="s">
        <v>16</v>
      </c>
      <c r="B52" s="3" t="s">
        <v>17</v>
      </c>
      <c r="C52" s="3" t="s">
        <v>65</v>
      </c>
      <c r="D52" s="4" t="s">
        <v>33</v>
      </c>
      <c r="E52" s="6">
        <v>46058.5695371181</v>
      </c>
      <c r="F52" s="3" t="s">
        <v>20</v>
      </c>
      <c r="G52" s="3" t="s">
        <v>66</v>
      </c>
      <c r="H52" s="15">
        <v>17</v>
      </c>
      <c r="I52" s="7">
        <v>3.3</v>
      </c>
      <c r="J52" s="7">
        <f t="shared" si="6"/>
        <v>56.1</v>
      </c>
      <c r="K52" s="7">
        <v>17</v>
      </c>
      <c r="L52" s="7">
        <v>56.1</v>
      </c>
      <c r="M52" s="7"/>
      <c r="N52" s="7"/>
      <c r="O52" s="7" t="s">
        <v>30</v>
      </c>
      <c r="P52" s="5" t="s">
        <v>31</v>
      </c>
    </row>
    <row r="53" ht="16.5" spans="1:16">
      <c r="A53" s="3" t="s">
        <v>16</v>
      </c>
      <c r="B53" s="3" t="s">
        <v>17</v>
      </c>
      <c r="C53" s="3" t="s">
        <v>65</v>
      </c>
      <c r="D53" s="4" t="s">
        <v>33</v>
      </c>
      <c r="E53" s="6">
        <v>46058.5695371181</v>
      </c>
      <c r="F53" s="3" t="s">
        <v>20</v>
      </c>
      <c r="G53" s="3" t="s">
        <v>24</v>
      </c>
      <c r="H53" s="15">
        <v>178</v>
      </c>
      <c r="I53" s="7">
        <v>120</v>
      </c>
      <c r="J53" s="7">
        <v>120</v>
      </c>
      <c r="K53" s="7">
        <v>178</v>
      </c>
      <c r="L53" s="7">
        <v>120</v>
      </c>
      <c r="M53" s="7"/>
      <c r="N53" s="7"/>
      <c r="O53" s="7" t="s">
        <v>30</v>
      </c>
      <c r="P53" s="5" t="s">
        <v>31</v>
      </c>
    </row>
    <row r="54" ht="16.5" spans="1:16">
      <c r="A54" s="3" t="s">
        <v>16</v>
      </c>
      <c r="B54" s="3" t="s">
        <v>17</v>
      </c>
      <c r="C54" s="3" t="s">
        <v>67</v>
      </c>
      <c r="D54" s="4" t="s">
        <v>68</v>
      </c>
      <c r="E54" s="6">
        <v>46058.8012223032</v>
      </c>
      <c r="F54" s="3" t="s">
        <v>26</v>
      </c>
      <c r="G54" s="3" t="s">
        <v>27</v>
      </c>
      <c r="H54" s="15">
        <v>1</v>
      </c>
      <c r="I54" s="7">
        <v>3.3</v>
      </c>
      <c r="J54" s="7">
        <f>H54*I54</f>
        <v>3.3</v>
      </c>
      <c r="K54" s="7">
        <v>1</v>
      </c>
      <c r="L54" s="7">
        <v>3.3</v>
      </c>
      <c r="M54" s="7"/>
      <c r="N54" s="7"/>
      <c r="O54" s="7" t="s">
        <v>30</v>
      </c>
      <c r="P54" s="5" t="s">
        <v>34</v>
      </c>
    </row>
    <row r="55" ht="16.5" spans="1:16">
      <c r="A55" s="3" t="s">
        <v>16</v>
      </c>
      <c r="B55" s="3" t="s">
        <v>17</v>
      </c>
      <c r="C55" s="3" t="s">
        <v>67</v>
      </c>
      <c r="D55" s="4" t="s">
        <v>68</v>
      </c>
      <c r="E55" s="6">
        <v>46058.8012223032</v>
      </c>
      <c r="F55" s="3" t="s">
        <v>20</v>
      </c>
      <c r="G55" s="3" t="s">
        <v>21</v>
      </c>
      <c r="H55" s="15">
        <v>10</v>
      </c>
      <c r="I55" s="7">
        <v>3.3</v>
      </c>
      <c r="J55" s="7">
        <f>H55*I55</f>
        <v>33</v>
      </c>
      <c r="K55" s="7">
        <v>10</v>
      </c>
      <c r="L55" s="7">
        <v>33</v>
      </c>
      <c r="M55" s="7"/>
      <c r="N55" s="7"/>
      <c r="O55" s="7" t="s">
        <v>30</v>
      </c>
      <c r="P55" s="5" t="s">
        <v>34</v>
      </c>
    </row>
    <row r="56" ht="16.5" spans="1:16">
      <c r="A56" s="3" t="s">
        <v>16</v>
      </c>
      <c r="B56" s="3" t="s">
        <v>17</v>
      </c>
      <c r="C56" s="3" t="s">
        <v>69</v>
      </c>
      <c r="D56" s="4" t="s">
        <v>68</v>
      </c>
      <c r="E56" s="6">
        <v>46058.8012236111</v>
      </c>
      <c r="F56" s="3" t="s">
        <v>26</v>
      </c>
      <c r="G56" s="3" t="s">
        <v>27</v>
      </c>
      <c r="H56" s="15">
        <v>1</v>
      </c>
      <c r="I56" s="7">
        <v>3.3</v>
      </c>
      <c r="J56" s="7">
        <f>H56*I56</f>
        <v>3.3</v>
      </c>
      <c r="K56" s="7">
        <v>1</v>
      </c>
      <c r="L56" s="7">
        <v>3.3</v>
      </c>
      <c r="M56" s="7"/>
      <c r="N56" s="7"/>
      <c r="O56" s="7" t="s">
        <v>30</v>
      </c>
      <c r="P56" s="5" t="s">
        <v>34</v>
      </c>
    </row>
    <row r="57" ht="16.5" spans="1:16">
      <c r="A57" s="3" t="s">
        <v>16</v>
      </c>
      <c r="B57" s="3" t="s">
        <v>17</v>
      </c>
      <c r="C57" s="3" t="s">
        <v>69</v>
      </c>
      <c r="D57" s="4" t="s">
        <v>68</v>
      </c>
      <c r="E57" s="6">
        <v>46058.8012236111</v>
      </c>
      <c r="F57" s="3" t="s">
        <v>20</v>
      </c>
      <c r="G57" s="3" t="s">
        <v>21</v>
      </c>
      <c r="H57" s="15">
        <v>36</v>
      </c>
      <c r="I57" s="7">
        <v>3.3</v>
      </c>
      <c r="J57" s="7">
        <f>H57*I57</f>
        <v>118.8</v>
      </c>
      <c r="K57" s="7">
        <v>27</v>
      </c>
      <c r="L57" s="7">
        <f>K57*3.3</f>
        <v>89.1</v>
      </c>
      <c r="M57" s="7">
        <v>9</v>
      </c>
      <c r="N57" s="7">
        <f>M57*3.3</f>
        <v>29.7</v>
      </c>
      <c r="O57" s="7" t="s">
        <v>30</v>
      </c>
      <c r="P57" s="5" t="s">
        <v>34</v>
      </c>
    </row>
    <row r="58" ht="16.5" spans="1:16">
      <c r="A58" s="3" t="s">
        <v>16</v>
      </c>
      <c r="B58" s="3" t="s">
        <v>17</v>
      </c>
      <c r="C58" s="3" t="s">
        <v>70</v>
      </c>
      <c r="D58" s="4" t="s">
        <v>71</v>
      </c>
      <c r="E58" s="6">
        <v>46059.8034580671</v>
      </c>
      <c r="F58" s="3" t="s">
        <v>26</v>
      </c>
      <c r="G58" s="3" t="s">
        <v>27</v>
      </c>
      <c r="H58" s="15">
        <v>1</v>
      </c>
      <c r="I58" s="7">
        <v>3.3</v>
      </c>
      <c r="J58" s="7">
        <f>H58*I58</f>
        <v>3.3</v>
      </c>
      <c r="K58" s="7">
        <v>1</v>
      </c>
      <c r="L58" s="7">
        <v>3.3</v>
      </c>
      <c r="M58" s="7"/>
      <c r="N58" s="7"/>
      <c r="O58" s="7" t="s">
        <v>63</v>
      </c>
      <c r="P58" s="5" t="s">
        <v>64</v>
      </c>
    </row>
    <row r="59" ht="16.5" spans="1:16">
      <c r="A59" s="3" t="s">
        <v>16</v>
      </c>
      <c r="B59" s="3" t="s">
        <v>17</v>
      </c>
      <c r="C59" s="3" t="s">
        <v>70</v>
      </c>
      <c r="D59" s="4" t="s">
        <v>71</v>
      </c>
      <c r="E59" s="6">
        <v>46059.8034580671</v>
      </c>
      <c r="F59" s="3" t="s">
        <v>20</v>
      </c>
      <c r="G59" s="3" t="s">
        <v>24</v>
      </c>
      <c r="H59" s="15">
        <v>47</v>
      </c>
      <c r="I59" s="7">
        <v>120</v>
      </c>
      <c r="J59" s="7">
        <v>120</v>
      </c>
      <c r="K59" s="7">
        <v>47</v>
      </c>
      <c r="L59" s="7">
        <v>120</v>
      </c>
      <c r="M59" s="7"/>
      <c r="N59" s="7"/>
      <c r="O59" s="7" t="s">
        <v>63</v>
      </c>
      <c r="P59" s="5" t="s">
        <v>64</v>
      </c>
    </row>
    <row r="60" ht="16.5" spans="1:16">
      <c r="A60" s="3" t="s">
        <v>16</v>
      </c>
      <c r="B60" s="3" t="s">
        <v>17</v>
      </c>
      <c r="C60" s="3" t="s">
        <v>70</v>
      </c>
      <c r="D60" s="4" t="s">
        <v>71</v>
      </c>
      <c r="E60" s="6">
        <v>46059.8034580671</v>
      </c>
      <c r="F60" s="3" t="s">
        <v>20</v>
      </c>
      <c r="G60" s="3" t="s">
        <v>35</v>
      </c>
      <c r="H60" s="15">
        <v>10</v>
      </c>
      <c r="I60" s="7">
        <v>3.3</v>
      </c>
      <c r="J60" s="7">
        <f t="shared" ref="J60:J64" si="7">H60*I60</f>
        <v>33</v>
      </c>
      <c r="K60" s="7">
        <v>10</v>
      </c>
      <c r="L60" s="7">
        <v>33</v>
      </c>
      <c r="M60" s="7"/>
      <c r="N60" s="7"/>
      <c r="O60" s="7" t="s">
        <v>63</v>
      </c>
      <c r="P60" s="5" t="s">
        <v>64</v>
      </c>
    </row>
    <row r="61" ht="16.5" spans="1:16">
      <c r="A61" s="3" t="s">
        <v>16</v>
      </c>
      <c r="B61" s="3" t="s">
        <v>17</v>
      </c>
      <c r="C61" s="3" t="s">
        <v>72</v>
      </c>
      <c r="D61" s="4" t="s">
        <v>71</v>
      </c>
      <c r="E61" s="6">
        <v>46059.8034648148</v>
      </c>
      <c r="F61" s="3" t="s">
        <v>20</v>
      </c>
      <c r="G61" s="3" t="s">
        <v>35</v>
      </c>
      <c r="H61" s="15">
        <v>14</v>
      </c>
      <c r="I61" s="7">
        <v>3.3</v>
      </c>
      <c r="J61" s="7">
        <f t="shared" si="7"/>
        <v>46.2</v>
      </c>
      <c r="K61" s="7">
        <v>14</v>
      </c>
      <c r="L61" s="7">
        <v>46.2</v>
      </c>
      <c r="M61" s="7"/>
      <c r="N61" s="7"/>
      <c r="O61" s="7" t="s">
        <v>63</v>
      </c>
      <c r="P61" s="5" t="s">
        <v>64</v>
      </c>
    </row>
    <row r="62" ht="16.5" spans="1:16">
      <c r="A62" s="3" t="s">
        <v>16</v>
      </c>
      <c r="B62" s="3" t="s">
        <v>17</v>
      </c>
      <c r="C62" s="3" t="s">
        <v>72</v>
      </c>
      <c r="D62" s="4" t="s">
        <v>71</v>
      </c>
      <c r="E62" s="6">
        <v>46059.8034648148</v>
      </c>
      <c r="F62" s="3" t="s">
        <v>26</v>
      </c>
      <c r="G62" s="3" t="s">
        <v>27</v>
      </c>
      <c r="H62" s="15">
        <v>1</v>
      </c>
      <c r="I62" s="7">
        <v>3.3</v>
      </c>
      <c r="J62" s="7">
        <f t="shared" si="7"/>
        <v>3.3</v>
      </c>
      <c r="K62" s="7">
        <v>1</v>
      </c>
      <c r="L62" s="7">
        <v>3.3</v>
      </c>
      <c r="M62" s="7"/>
      <c r="N62" s="7"/>
      <c r="O62" s="7" t="s">
        <v>63</v>
      </c>
      <c r="P62" s="5" t="s">
        <v>64</v>
      </c>
    </row>
    <row r="63" ht="16.5" spans="1:16">
      <c r="A63" s="3" t="s">
        <v>16</v>
      </c>
      <c r="B63" s="3" t="s">
        <v>17</v>
      </c>
      <c r="C63" s="3" t="s">
        <v>73</v>
      </c>
      <c r="D63" s="4" t="s">
        <v>53</v>
      </c>
      <c r="E63" s="4">
        <v>46060.4114349884</v>
      </c>
      <c r="F63" s="3" t="s">
        <v>26</v>
      </c>
      <c r="G63" s="3" t="s">
        <v>27</v>
      </c>
      <c r="H63" s="3">
        <v>1</v>
      </c>
      <c r="I63" s="5">
        <v>3.3</v>
      </c>
      <c r="J63" s="5">
        <f t="shared" si="7"/>
        <v>3.3</v>
      </c>
      <c r="K63" s="5"/>
      <c r="L63" s="5"/>
      <c r="M63" s="5">
        <v>1</v>
      </c>
      <c r="N63" s="5">
        <v>3.3</v>
      </c>
      <c r="O63" s="5" t="s">
        <v>30</v>
      </c>
      <c r="P63" s="5" t="s">
        <v>31</v>
      </c>
    </row>
    <row r="64" ht="16.5" spans="1:16">
      <c r="A64" s="3" t="s">
        <v>16</v>
      </c>
      <c r="B64" s="3" t="s">
        <v>17</v>
      </c>
      <c r="C64" s="3" t="s">
        <v>73</v>
      </c>
      <c r="D64" s="4" t="s">
        <v>53</v>
      </c>
      <c r="E64" s="4">
        <v>46060.4114349884</v>
      </c>
      <c r="F64" s="3" t="s">
        <v>20</v>
      </c>
      <c r="G64" s="3" t="s">
        <v>25</v>
      </c>
      <c r="H64" s="3">
        <v>5</v>
      </c>
      <c r="I64" s="5">
        <v>3.3</v>
      </c>
      <c r="J64" s="5">
        <f t="shared" si="7"/>
        <v>16.5</v>
      </c>
      <c r="K64" s="5">
        <v>5</v>
      </c>
      <c r="L64" s="5">
        <v>16.5</v>
      </c>
      <c r="M64" s="5"/>
      <c r="N64" s="5"/>
      <c r="O64" s="5" t="s">
        <v>30</v>
      </c>
      <c r="P64" s="5" t="s">
        <v>31</v>
      </c>
    </row>
    <row r="65" ht="16.5" spans="1:16">
      <c r="A65" s="3" t="s">
        <v>16</v>
      </c>
      <c r="B65" s="3" t="s">
        <v>17</v>
      </c>
      <c r="C65" s="3" t="s">
        <v>73</v>
      </c>
      <c r="D65" s="4" t="s">
        <v>53</v>
      </c>
      <c r="E65" s="4">
        <v>46060.4114349884</v>
      </c>
      <c r="F65" s="3" t="s">
        <v>20</v>
      </c>
      <c r="G65" s="3" t="s">
        <v>24</v>
      </c>
      <c r="H65" s="3">
        <v>158</v>
      </c>
      <c r="I65" s="5">
        <v>120</v>
      </c>
      <c r="J65" s="5">
        <v>120</v>
      </c>
      <c r="K65" s="5">
        <v>158</v>
      </c>
      <c r="L65" s="5">
        <v>120</v>
      </c>
      <c r="M65" s="5"/>
      <c r="N65" s="5"/>
      <c r="O65" s="5" t="s">
        <v>30</v>
      </c>
      <c r="P65" s="5" t="s">
        <v>31</v>
      </c>
    </row>
    <row r="66" ht="16.5" spans="1:16">
      <c r="A66" s="3" t="s">
        <v>16</v>
      </c>
      <c r="B66" s="3" t="s">
        <v>17</v>
      </c>
      <c r="C66" s="3" t="s">
        <v>73</v>
      </c>
      <c r="D66" s="4" t="s">
        <v>53</v>
      </c>
      <c r="E66" s="4">
        <v>46060.4114349884</v>
      </c>
      <c r="F66" s="3" t="s">
        <v>20</v>
      </c>
      <c r="G66" s="3" t="s">
        <v>35</v>
      </c>
      <c r="H66" s="3">
        <v>14</v>
      </c>
      <c r="I66" s="5">
        <v>3.3</v>
      </c>
      <c r="J66" s="5">
        <f t="shared" ref="J66:J74" si="8">H66*I66</f>
        <v>46.2</v>
      </c>
      <c r="K66" s="5">
        <v>13</v>
      </c>
      <c r="L66" s="5">
        <f>K66*3.3</f>
        <v>42.9</v>
      </c>
      <c r="M66" s="5">
        <v>1</v>
      </c>
      <c r="N66" s="5">
        <v>3.3</v>
      </c>
      <c r="O66" s="5" t="s">
        <v>30</v>
      </c>
      <c r="P66" s="5" t="s">
        <v>31</v>
      </c>
    </row>
    <row r="67" ht="16.5" spans="1:16">
      <c r="A67" s="3" t="s">
        <v>16</v>
      </c>
      <c r="B67" s="3" t="s">
        <v>17</v>
      </c>
      <c r="C67" s="3" t="s">
        <v>74</v>
      </c>
      <c r="D67" s="4" t="s">
        <v>53</v>
      </c>
      <c r="E67" s="4">
        <v>46060.4114376968</v>
      </c>
      <c r="F67" s="3" t="s">
        <v>20</v>
      </c>
      <c r="G67" s="3" t="s">
        <v>35</v>
      </c>
      <c r="H67" s="3">
        <v>3</v>
      </c>
      <c r="I67" s="5">
        <v>13.2</v>
      </c>
      <c r="J67" s="5">
        <f t="shared" si="8"/>
        <v>39.6</v>
      </c>
      <c r="K67" s="5">
        <v>3</v>
      </c>
      <c r="L67" s="5">
        <v>39.6</v>
      </c>
      <c r="M67" s="5"/>
      <c r="N67" s="5"/>
      <c r="O67" s="5" t="s">
        <v>30</v>
      </c>
      <c r="P67" s="5" t="s">
        <v>31</v>
      </c>
    </row>
    <row r="68" ht="16.5" spans="1:16">
      <c r="A68" s="3" t="s">
        <v>16</v>
      </c>
      <c r="B68" s="3" t="s">
        <v>17</v>
      </c>
      <c r="C68" s="3" t="s">
        <v>75</v>
      </c>
      <c r="D68" s="4" t="s">
        <v>53</v>
      </c>
      <c r="E68" s="4">
        <v>46060.4114396181</v>
      </c>
      <c r="F68" s="3" t="s">
        <v>20</v>
      </c>
      <c r="G68" s="3" t="s">
        <v>35</v>
      </c>
      <c r="H68" s="3">
        <v>1</v>
      </c>
      <c r="I68" s="5">
        <v>15</v>
      </c>
      <c r="J68" s="5">
        <v>15</v>
      </c>
      <c r="K68" s="5">
        <v>1</v>
      </c>
      <c r="L68" s="5">
        <v>15</v>
      </c>
      <c r="M68" s="5"/>
      <c r="N68" s="5"/>
      <c r="O68" s="5" t="s">
        <v>30</v>
      </c>
      <c r="P68" s="5" t="s">
        <v>31</v>
      </c>
    </row>
    <row r="69" ht="16.5" spans="1:16">
      <c r="A69" s="3" t="s">
        <v>16</v>
      </c>
      <c r="B69" s="3" t="s">
        <v>17</v>
      </c>
      <c r="C69" s="3" t="s">
        <v>76</v>
      </c>
      <c r="D69" s="4" t="s">
        <v>77</v>
      </c>
      <c r="E69" s="6">
        <v>46062.8341427894</v>
      </c>
      <c r="F69" s="3" t="s">
        <v>26</v>
      </c>
      <c r="G69" s="3" t="s">
        <v>27</v>
      </c>
      <c r="H69" s="3">
        <v>1</v>
      </c>
      <c r="I69" s="7">
        <v>3.3</v>
      </c>
      <c r="J69" s="7">
        <f t="shared" si="8"/>
        <v>3.3</v>
      </c>
      <c r="K69" s="7">
        <v>1</v>
      </c>
      <c r="L69" s="7">
        <v>3.3</v>
      </c>
      <c r="M69" s="7"/>
      <c r="N69" s="7"/>
      <c r="O69" s="5" t="s">
        <v>30</v>
      </c>
      <c r="P69" s="5" t="s">
        <v>34</v>
      </c>
    </row>
    <row r="70" ht="16.5" spans="1:16">
      <c r="A70" s="3" t="s">
        <v>16</v>
      </c>
      <c r="B70" s="3" t="s">
        <v>17</v>
      </c>
      <c r="C70" s="3" t="s">
        <v>76</v>
      </c>
      <c r="D70" s="4" t="s">
        <v>77</v>
      </c>
      <c r="E70" s="6">
        <v>46062.8341427894</v>
      </c>
      <c r="F70" s="3" t="s">
        <v>20</v>
      </c>
      <c r="G70" s="3" t="s">
        <v>21</v>
      </c>
      <c r="H70" s="3">
        <v>15</v>
      </c>
      <c r="I70" s="7">
        <v>3.3</v>
      </c>
      <c r="J70" s="7">
        <f t="shared" si="8"/>
        <v>49.5</v>
      </c>
      <c r="K70" s="7">
        <v>15</v>
      </c>
      <c r="L70" s="7">
        <v>49.5</v>
      </c>
      <c r="M70" s="7"/>
      <c r="N70" s="7"/>
      <c r="O70" s="5" t="s">
        <v>30</v>
      </c>
      <c r="P70" s="5" t="s">
        <v>34</v>
      </c>
    </row>
    <row r="71" ht="16.5" spans="1:16">
      <c r="A71" s="3" t="s">
        <v>16</v>
      </c>
      <c r="B71" s="3" t="s">
        <v>17</v>
      </c>
      <c r="C71" s="3" t="s">
        <v>78</v>
      </c>
      <c r="D71" s="4" t="s">
        <v>77</v>
      </c>
      <c r="E71" s="6">
        <v>46062.8341455208</v>
      </c>
      <c r="F71" s="3" t="s">
        <v>26</v>
      </c>
      <c r="G71" s="3" t="s">
        <v>27</v>
      </c>
      <c r="H71" s="3">
        <v>1</v>
      </c>
      <c r="I71" s="7">
        <v>3.3</v>
      </c>
      <c r="J71" s="7">
        <f t="shared" si="8"/>
        <v>3.3</v>
      </c>
      <c r="K71" s="7">
        <v>1</v>
      </c>
      <c r="L71" s="7">
        <v>3.3</v>
      </c>
      <c r="M71" s="7"/>
      <c r="N71" s="7"/>
      <c r="O71" s="5" t="s">
        <v>30</v>
      </c>
      <c r="P71" s="5" t="s">
        <v>34</v>
      </c>
    </row>
    <row r="72" ht="16.5" spans="1:16">
      <c r="A72" s="3" t="s">
        <v>16</v>
      </c>
      <c r="B72" s="3" t="s">
        <v>17</v>
      </c>
      <c r="C72" s="3" t="s">
        <v>78</v>
      </c>
      <c r="D72" s="4" t="s">
        <v>77</v>
      </c>
      <c r="E72" s="6">
        <v>46062.8341455208</v>
      </c>
      <c r="F72" s="3" t="s">
        <v>20</v>
      </c>
      <c r="G72" s="3" t="s">
        <v>21</v>
      </c>
      <c r="H72" s="3">
        <v>14</v>
      </c>
      <c r="I72" s="7">
        <v>3.3</v>
      </c>
      <c r="J72" s="7">
        <f t="shared" si="8"/>
        <v>46.2</v>
      </c>
      <c r="K72" s="7">
        <v>14</v>
      </c>
      <c r="L72" s="7">
        <v>46.2</v>
      </c>
      <c r="M72" s="7"/>
      <c r="N72" s="7"/>
      <c r="O72" s="5" t="s">
        <v>30</v>
      </c>
      <c r="P72" s="5" t="s">
        <v>34</v>
      </c>
    </row>
    <row r="73" ht="16.5" spans="1:16">
      <c r="A73" s="3" t="s">
        <v>16</v>
      </c>
      <c r="B73" s="3" t="s">
        <v>17</v>
      </c>
      <c r="C73" s="3" t="s">
        <v>79</v>
      </c>
      <c r="D73" s="4" t="s">
        <v>77</v>
      </c>
      <c r="E73" s="6">
        <v>46062.8341482986</v>
      </c>
      <c r="F73" s="3" t="s">
        <v>26</v>
      </c>
      <c r="G73" s="3" t="s">
        <v>27</v>
      </c>
      <c r="H73" s="3">
        <v>1</v>
      </c>
      <c r="I73" s="7">
        <v>3.3</v>
      </c>
      <c r="J73" s="7">
        <f t="shared" si="8"/>
        <v>3.3</v>
      </c>
      <c r="K73" s="7">
        <v>1</v>
      </c>
      <c r="L73" s="7">
        <v>3.3</v>
      </c>
      <c r="M73" s="7"/>
      <c r="N73" s="7"/>
      <c r="O73" s="5" t="s">
        <v>30</v>
      </c>
      <c r="P73" s="5" t="s">
        <v>34</v>
      </c>
    </row>
    <row r="74" ht="16.5" spans="1:16">
      <c r="A74" s="3" t="s">
        <v>16</v>
      </c>
      <c r="B74" s="3" t="s">
        <v>17</v>
      </c>
      <c r="C74" s="3" t="s">
        <v>79</v>
      </c>
      <c r="D74" s="4" t="s">
        <v>77</v>
      </c>
      <c r="E74" s="6">
        <v>46062.8341482986</v>
      </c>
      <c r="F74" s="3" t="s">
        <v>20</v>
      </c>
      <c r="G74" s="3" t="s">
        <v>21</v>
      </c>
      <c r="H74" s="3">
        <v>16</v>
      </c>
      <c r="I74" s="7">
        <v>3.3</v>
      </c>
      <c r="J74" s="7">
        <f t="shared" si="8"/>
        <v>52.8</v>
      </c>
      <c r="K74" s="7">
        <v>16</v>
      </c>
      <c r="L74" s="7">
        <v>52.8</v>
      </c>
      <c r="M74" s="7"/>
      <c r="N74" s="7"/>
      <c r="O74" s="5" t="s">
        <v>30</v>
      </c>
      <c r="P74" s="5" t="s">
        <v>34</v>
      </c>
    </row>
    <row r="75" ht="16.5" spans="1:16">
      <c r="A75" s="3" t="s">
        <v>16</v>
      </c>
      <c r="B75" s="3" t="s">
        <v>17</v>
      </c>
      <c r="C75" s="3" t="s">
        <v>80</v>
      </c>
      <c r="D75" s="4" t="s">
        <v>41</v>
      </c>
      <c r="E75" s="6">
        <v>46062.8341427894</v>
      </c>
      <c r="F75" s="3" t="s">
        <v>20</v>
      </c>
      <c r="G75" s="3" t="s">
        <v>81</v>
      </c>
      <c r="H75" s="3">
        <v>15</v>
      </c>
      <c r="I75" s="7">
        <v>30</v>
      </c>
      <c r="J75" s="7">
        <v>30</v>
      </c>
      <c r="K75" s="7">
        <v>15</v>
      </c>
      <c r="L75" s="7">
        <v>30</v>
      </c>
      <c r="M75" s="7"/>
      <c r="N75" s="7"/>
      <c r="O75" s="5" t="s">
        <v>30</v>
      </c>
      <c r="P75" s="5" t="s">
        <v>34</v>
      </c>
    </row>
    <row r="76" ht="16.5" spans="1:16">
      <c r="A76" s="3" t="s">
        <v>16</v>
      </c>
      <c r="B76" s="3" t="s">
        <v>17</v>
      </c>
      <c r="C76" s="3" t="s">
        <v>80</v>
      </c>
      <c r="D76" s="4" t="s">
        <v>41</v>
      </c>
      <c r="E76" s="6">
        <v>46062.8341427894</v>
      </c>
      <c r="F76" s="3" t="s">
        <v>26</v>
      </c>
      <c r="G76" s="3" t="s">
        <v>27</v>
      </c>
      <c r="H76" s="3">
        <v>1</v>
      </c>
      <c r="I76" s="7">
        <v>3.3</v>
      </c>
      <c r="J76" s="7">
        <f t="shared" ref="J76:J82" si="9">H76*I76</f>
        <v>3.3</v>
      </c>
      <c r="K76" s="7">
        <v>1</v>
      </c>
      <c r="L76" s="7">
        <v>3.3</v>
      </c>
      <c r="M76" s="7"/>
      <c r="N76" s="7"/>
      <c r="O76" s="5" t="s">
        <v>30</v>
      </c>
      <c r="P76" s="5" t="s">
        <v>34</v>
      </c>
    </row>
    <row r="77" ht="16.5" spans="1:16">
      <c r="A77" s="3" t="s">
        <v>16</v>
      </c>
      <c r="B77" s="3" t="s">
        <v>17</v>
      </c>
      <c r="C77" s="3" t="s">
        <v>82</v>
      </c>
      <c r="D77" s="4" t="s">
        <v>41</v>
      </c>
      <c r="E77" s="6">
        <v>46062.8341512384</v>
      </c>
      <c r="F77" s="3" t="s">
        <v>26</v>
      </c>
      <c r="G77" s="3" t="s">
        <v>27</v>
      </c>
      <c r="H77" s="3">
        <v>1</v>
      </c>
      <c r="I77" s="7">
        <v>3.3</v>
      </c>
      <c r="J77" s="7">
        <f t="shared" si="9"/>
        <v>3.3</v>
      </c>
      <c r="K77" s="7">
        <v>1</v>
      </c>
      <c r="L77" s="7">
        <v>3.3</v>
      </c>
      <c r="M77" s="7"/>
      <c r="N77" s="7"/>
      <c r="O77" s="5" t="s">
        <v>30</v>
      </c>
      <c r="P77" s="5" t="s">
        <v>34</v>
      </c>
    </row>
    <row r="78" ht="16.5" spans="1:16">
      <c r="A78" s="3" t="s">
        <v>16</v>
      </c>
      <c r="B78" s="3" t="s">
        <v>17</v>
      </c>
      <c r="C78" s="3" t="s">
        <v>82</v>
      </c>
      <c r="D78" s="4" t="s">
        <v>41</v>
      </c>
      <c r="E78" s="6">
        <v>46062.8341512384</v>
      </c>
      <c r="F78" s="3" t="s">
        <v>20</v>
      </c>
      <c r="G78" s="3" t="s">
        <v>21</v>
      </c>
      <c r="H78" s="3">
        <v>34</v>
      </c>
      <c r="I78" s="7">
        <v>3.3</v>
      </c>
      <c r="J78" s="7">
        <f t="shared" si="9"/>
        <v>112.2</v>
      </c>
      <c r="K78" s="7">
        <v>34</v>
      </c>
      <c r="L78" s="7">
        <v>112.2</v>
      </c>
      <c r="M78" s="7"/>
      <c r="N78" s="7"/>
      <c r="O78" s="5" t="s">
        <v>30</v>
      </c>
      <c r="P78" s="5" t="s">
        <v>34</v>
      </c>
    </row>
    <row r="79" ht="16.5" spans="1:16">
      <c r="A79" s="3" t="s">
        <v>16</v>
      </c>
      <c r="B79" s="3" t="s">
        <v>17</v>
      </c>
      <c r="C79" s="3" t="s">
        <v>83</v>
      </c>
      <c r="D79" s="4" t="s">
        <v>41</v>
      </c>
      <c r="E79" s="6">
        <v>46062.8341542824</v>
      </c>
      <c r="F79" s="3" t="s">
        <v>26</v>
      </c>
      <c r="G79" s="3" t="s">
        <v>27</v>
      </c>
      <c r="H79" s="3">
        <v>1</v>
      </c>
      <c r="I79" s="7">
        <v>3.3</v>
      </c>
      <c r="J79" s="7">
        <f t="shared" si="9"/>
        <v>3.3</v>
      </c>
      <c r="K79" s="7">
        <v>1</v>
      </c>
      <c r="L79" s="7">
        <v>3.3</v>
      </c>
      <c r="M79" s="7"/>
      <c r="N79" s="7"/>
      <c r="O79" s="5" t="s">
        <v>30</v>
      </c>
      <c r="P79" s="5" t="s">
        <v>34</v>
      </c>
    </row>
    <row r="80" ht="16.5" spans="1:16">
      <c r="A80" s="3" t="s">
        <v>16</v>
      </c>
      <c r="B80" s="3" t="s">
        <v>17</v>
      </c>
      <c r="C80" s="3" t="s">
        <v>83</v>
      </c>
      <c r="D80" s="4" t="s">
        <v>41</v>
      </c>
      <c r="E80" s="6">
        <v>46062.8341542824</v>
      </c>
      <c r="F80" s="3" t="s">
        <v>20</v>
      </c>
      <c r="G80" s="3" t="s">
        <v>21</v>
      </c>
      <c r="H80" s="3">
        <v>25</v>
      </c>
      <c r="I80" s="7">
        <v>3.3</v>
      </c>
      <c r="J80" s="7">
        <f t="shared" si="9"/>
        <v>82.5</v>
      </c>
      <c r="K80" s="7">
        <v>25</v>
      </c>
      <c r="L80" s="7">
        <v>82.5</v>
      </c>
      <c r="M80" s="7"/>
      <c r="N80" s="7"/>
      <c r="O80" s="5" t="s">
        <v>30</v>
      </c>
      <c r="P80" s="5" t="s">
        <v>34</v>
      </c>
    </row>
    <row r="81" ht="16.5" spans="1:16">
      <c r="A81" s="3" t="s">
        <v>16</v>
      </c>
      <c r="B81" s="3" t="s">
        <v>17</v>
      </c>
      <c r="C81" s="3" t="s">
        <v>84</v>
      </c>
      <c r="D81" s="4" t="s">
        <v>41</v>
      </c>
      <c r="E81" s="6">
        <v>46062.8341455208</v>
      </c>
      <c r="F81" s="3" t="s">
        <v>26</v>
      </c>
      <c r="G81" s="3" t="s">
        <v>27</v>
      </c>
      <c r="H81" s="3">
        <v>1</v>
      </c>
      <c r="I81" s="7">
        <v>3.3</v>
      </c>
      <c r="J81" s="7">
        <f t="shared" si="9"/>
        <v>3.3</v>
      </c>
      <c r="K81" s="7">
        <v>1</v>
      </c>
      <c r="L81" s="7">
        <v>3.3</v>
      </c>
      <c r="M81" s="7"/>
      <c r="N81" s="7"/>
      <c r="O81" s="5" t="s">
        <v>30</v>
      </c>
      <c r="P81" s="5" t="s">
        <v>34</v>
      </c>
    </row>
    <row r="82" ht="16.5" spans="1:16">
      <c r="A82" s="3" t="s">
        <v>16</v>
      </c>
      <c r="B82" s="3" t="s">
        <v>17</v>
      </c>
      <c r="C82" s="3" t="s">
        <v>84</v>
      </c>
      <c r="D82" s="4" t="s">
        <v>41</v>
      </c>
      <c r="E82" s="6">
        <v>46062.8341455208</v>
      </c>
      <c r="F82" s="3" t="s">
        <v>20</v>
      </c>
      <c r="G82" s="3" t="s">
        <v>21</v>
      </c>
      <c r="H82" s="3">
        <v>15</v>
      </c>
      <c r="I82" s="7">
        <v>3.3</v>
      </c>
      <c r="J82" s="7">
        <f t="shared" si="9"/>
        <v>49.5</v>
      </c>
      <c r="K82" s="7">
        <v>15</v>
      </c>
      <c r="L82" s="7">
        <v>49.5</v>
      </c>
      <c r="M82" s="7"/>
      <c r="N82" s="7"/>
      <c r="O82" s="5" t="s">
        <v>30</v>
      </c>
      <c r="P82" s="5" t="s">
        <v>34</v>
      </c>
    </row>
    <row r="83" ht="16.5" spans="1:16">
      <c r="A83" s="3" t="s">
        <v>16</v>
      </c>
      <c r="B83" s="3" t="s">
        <v>17</v>
      </c>
      <c r="C83" s="3" t="s">
        <v>85</v>
      </c>
      <c r="D83" s="4" t="s">
        <v>41</v>
      </c>
      <c r="E83" s="6">
        <v>46062.8341482986</v>
      </c>
      <c r="F83" s="3" t="s">
        <v>20</v>
      </c>
      <c r="G83" s="3" t="s">
        <v>24</v>
      </c>
      <c r="H83" s="3">
        <v>35</v>
      </c>
      <c r="I83" s="7">
        <v>120</v>
      </c>
      <c r="J83" s="7">
        <v>120</v>
      </c>
      <c r="K83" s="7">
        <v>35</v>
      </c>
      <c r="L83" s="7">
        <v>120</v>
      </c>
      <c r="M83" s="7"/>
      <c r="N83" s="7"/>
      <c r="O83" s="5" t="s">
        <v>30</v>
      </c>
      <c r="P83" s="5" t="s">
        <v>34</v>
      </c>
    </row>
    <row r="84" ht="16.5" spans="1:16">
      <c r="A84" s="3" t="s">
        <v>16</v>
      </c>
      <c r="B84" s="3" t="s">
        <v>17</v>
      </c>
      <c r="C84" s="3" t="s">
        <v>85</v>
      </c>
      <c r="D84" s="4" t="s">
        <v>41</v>
      </c>
      <c r="E84" s="6">
        <v>46062.8341482986</v>
      </c>
      <c r="F84" s="3" t="s">
        <v>26</v>
      </c>
      <c r="G84" s="3" t="s">
        <v>27</v>
      </c>
      <c r="H84" s="3">
        <v>1</v>
      </c>
      <c r="I84" s="7">
        <v>3.3</v>
      </c>
      <c r="J84" s="7">
        <f t="shared" ref="J84:J95" si="10">H84*I84</f>
        <v>3.3</v>
      </c>
      <c r="K84" s="7">
        <v>1</v>
      </c>
      <c r="L84" s="7">
        <v>3.3</v>
      </c>
      <c r="M84" s="7"/>
      <c r="N84" s="7"/>
      <c r="O84" s="5" t="s">
        <v>30</v>
      </c>
      <c r="P84" s="5" t="s">
        <v>34</v>
      </c>
    </row>
    <row r="85" ht="16.5" spans="1:16">
      <c r="A85" s="3" t="s">
        <v>16</v>
      </c>
      <c r="B85" s="3" t="s">
        <v>17</v>
      </c>
      <c r="C85" s="3" t="s">
        <v>86</v>
      </c>
      <c r="D85" s="4" t="s">
        <v>87</v>
      </c>
      <c r="E85" s="6">
        <v>46065.5013037037</v>
      </c>
      <c r="F85" s="3" t="s">
        <v>20</v>
      </c>
      <c r="G85" s="3" t="s">
        <v>35</v>
      </c>
      <c r="H85" s="3">
        <v>16</v>
      </c>
      <c r="I85" s="7">
        <v>3.3</v>
      </c>
      <c r="J85" s="7">
        <f t="shared" si="10"/>
        <v>52.8</v>
      </c>
      <c r="K85" s="7">
        <v>16</v>
      </c>
      <c r="L85" s="7">
        <v>52.8</v>
      </c>
      <c r="M85" s="7"/>
      <c r="N85" s="7"/>
      <c r="O85" s="5" t="s">
        <v>30</v>
      </c>
      <c r="P85" s="5" t="s">
        <v>88</v>
      </c>
    </row>
    <row r="86" ht="16.5" spans="1:16">
      <c r="A86" s="3" t="s">
        <v>16</v>
      </c>
      <c r="B86" s="3" t="s">
        <v>17</v>
      </c>
      <c r="C86" s="3" t="s">
        <v>86</v>
      </c>
      <c r="D86" s="4" t="s">
        <v>87</v>
      </c>
      <c r="E86" s="6">
        <v>46065.5013037037</v>
      </c>
      <c r="F86" s="3" t="s">
        <v>20</v>
      </c>
      <c r="G86" s="3" t="s">
        <v>24</v>
      </c>
      <c r="H86" s="3">
        <v>178</v>
      </c>
      <c r="I86" s="7">
        <v>120</v>
      </c>
      <c r="J86" s="7">
        <v>120</v>
      </c>
      <c r="K86" s="7">
        <v>48</v>
      </c>
      <c r="L86" s="7">
        <v>120</v>
      </c>
      <c r="M86" s="7">
        <f>H86-48</f>
        <v>130</v>
      </c>
      <c r="N86" s="7">
        <v>0</v>
      </c>
      <c r="O86" s="5" t="s">
        <v>30</v>
      </c>
      <c r="P86" s="5" t="s">
        <v>88</v>
      </c>
    </row>
    <row r="87" ht="16.5" spans="1:16">
      <c r="A87" s="3" t="s">
        <v>16</v>
      </c>
      <c r="B87" s="3" t="s">
        <v>17</v>
      </c>
      <c r="C87" s="3" t="s">
        <v>86</v>
      </c>
      <c r="D87" s="4" t="s">
        <v>87</v>
      </c>
      <c r="E87" s="6">
        <v>46065.5013037037</v>
      </c>
      <c r="F87" s="3" t="s">
        <v>20</v>
      </c>
      <c r="G87" s="3" t="s">
        <v>25</v>
      </c>
      <c r="H87" s="3">
        <v>4</v>
      </c>
      <c r="I87" s="7">
        <v>3.3</v>
      </c>
      <c r="J87" s="7">
        <f t="shared" si="10"/>
        <v>13.2</v>
      </c>
      <c r="K87" s="7">
        <v>4</v>
      </c>
      <c r="L87" s="7">
        <v>13.2</v>
      </c>
      <c r="M87" s="7"/>
      <c r="N87" s="7"/>
      <c r="O87" s="5" t="s">
        <v>30</v>
      </c>
      <c r="P87" s="5" t="s">
        <v>88</v>
      </c>
    </row>
    <row r="88" ht="16.5" spans="1:16">
      <c r="A88" s="3" t="s">
        <v>16</v>
      </c>
      <c r="B88" s="3" t="s">
        <v>17</v>
      </c>
      <c r="C88" s="3" t="s">
        <v>86</v>
      </c>
      <c r="D88" s="4" t="s">
        <v>87</v>
      </c>
      <c r="E88" s="6">
        <v>46065.5013037037</v>
      </c>
      <c r="F88" s="3" t="s">
        <v>26</v>
      </c>
      <c r="G88" s="3" t="s">
        <v>27</v>
      </c>
      <c r="H88" s="3">
        <v>1</v>
      </c>
      <c r="I88" s="7">
        <v>3.3</v>
      </c>
      <c r="J88" s="7">
        <f t="shared" si="10"/>
        <v>3.3</v>
      </c>
      <c r="K88" s="7">
        <v>1</v>
      </c>
      <c r="L88" s="7">
        <v>3.3</v>
      </c>
      <c r="M88" s="7"/>
      <c r="N88" s="7"/>
      <c r="O88" s="5" t="s">
        <v>30</v>
      </c>
      <c r="P88" s="5" t="s">
        <v>88</v>
      </c>
    </row>
    <row r="89" ht="16.5" spans="1:16">
      <c r="A89" s="3" t="s">
        <v>16</v>
      </c>
      <c r="B89" s="3" t="s">
        <v>17</v>
      </c>
      <c r="C89" s="3" t="s">
        <v>89</v>
      </c>
      <c r="D89" s="4" t="s">
        <v>90</v>
      </c>
      <c r="E89" s="6">
        <v>46071.5501534375</v>
      </c>
      <c r="F89" s="3" t="s">
        <v>20</v>
      </c>
      <c r="G89" s="3" t="s">
        <v>25</v>
      </c>
      <c r="H89" s="3">
        <v>4</v>
      </c>
      <c r="I89" s="7">
        <v>3.3</v>
      </c>
      <c r="J89" s="7">
        <f t="shared" si="10"/>
        <v>13.2</v>
      </c>
      <c r="K89" s="7">
        <v>4</v>
      </c>
      <c r="L89" s="7">
        <v>13.2</v>
      </c>
      <c r="M89" s="7"/>
      <c r="N89" s="7"/>
      <c r="O89" s="5" t="s">
        <v>30</v>
      </c>
      <c r="P89" s="5" t="s">
        <v>91</v>
      </c>
    </row>
    <row r="90" ht="16.5" spans="1:16">
      <c r="A90" s="3" t="s">
        <v>16</v>
      </c>
      <c r="B90" s="3" t="s">
        <v>17</v>
      </c>
      <c r="C90" s="3" t="s">
        <v>92</v>
      </c>
      <c r="D90" s="4" t="s">
        <v>41</v>
      </c>
      <c r="E90" s="6">
        <v>46073.4402525116</v>
      </c>
      <c r="F90" s="3" t="s">
        <v>20</v>
      </c>
      <c r="G90" s="3" t="s">
        <v>35</v>
      </c>
      <c r="H90" s="3">
        <v>11</v>
      </c>
      <c r="I90" s="7">
        <v>3.3</v>
      </c>
      <c r="J90" s="7">
        <f t="shared" si="10"/>
        <v>36.3</v>
      </c>
      <c r="K90" s="7">
        <v>11</v>
      </c>
      <c r="L90" s="7">
        <v>36.3</v>
      </c>
      <c r="M90" s="7"/>
      <c r="N90" s="7"/>
      <c r="O90" s="5" t="s">
        <v>30</v>
      </c>
      <c r="P90" s="5" t="s">
        <v>31</v>
      </c>
    </row>
    <row r="91" ht="16.5" spans="1:16">
      <c r="A91" s="3" t="s">
        <v>16</v>
      </c>
      <c r="B91" s="3" t="s">
        <v>17</v>
      </c>
      <c r="C91" s="3" t="s">
        <v>92</v>
      </c>
      <c r="D91" s="4" t="s">
        <v>41</v>
      </c>
      <c r="E91" s="6">
        <v>46073.4402525116</v>
      </c>
      <c r="F91" s="3" t="s">
        <v>26</v>
      </c>
      <c r="G91" s="3" t="s">
        <v>27</v>
      </c>
      <c r="H91" s="3">
        <v>1</v>
      </c>
      <c r="I91" s="7">
        <v>3.3</v>
      </c>
      <c r="J91" s="7">
        <f t="shared" si="10"/>
        <v>3.3</v>
      </c>
      <c r="K91" s="7">
        <v>1</v>
      </c>
      <c r="L91" s="7">
        <v>3.3</v>
      </c>
      <c r="M91" s="7"/>
      <c r="N91" s="7"/>
      <c r="O91" s="5" t="s">
        <v>30</v>
      </c>
      <c r="P91" s="5" t="s">
        <v>31</v>
      </c>
    </row>
    <row r="92" ht="16.5" spans="1:16">
      <c r="A92" s="3" t="s">
        <v>16</v>
      </c>
      <c r="B92" s="3" t="s">
        <v>17</v>
      </c>
      <c r="C92" s="3" t="s">
        <v>93</v>
      </c>
      <c r="D92" s="4" t="s">
        <v>41</v>
      </c>
      <c r="E92" s="6">
        <v>46073.4402575579</v>
      </c>
      <c r="F92" s="3" t="s">
        <v>20</v>
      </c>
      <c r="G92" s="3" t="s">
        <v>35</v>
      </c>
      <c r="H92" s="3">
        <v>8</v>
      </c>
      <c r="I92" s="7">
        <v>3.3</v>
      </c>
      <c r="J92" s="7">
        <f t="shared" si="10"/>
        <v>26.4</v>
      </c>
      <c r="K92" s="7">
        <v>8</v>
      </c>
      <c r="L92" s="7">
        <v>26.4</v>
      </c>
      <c r="M92" s="7"/>
      <c r="N92" s="7"/>
      <c r="O92" s="5" t="s">
        <v>30</v>
      </c>
      <c r="P92" s="5" t="s">
        <v>31</v>
      </c>
    </row>
    <row r="93" ht="16.5" spans="1:16">
      <c r="A93" s="3" t="s">
        <v>16</v>
      </c>
      <c r="B93" s="3" t="s">
        <v>17</v>
      </c>
      <c r="C93" s="3" t="s">
        <v>93</v>
      </c>
      <c r="D93" s="4" t="s">
        <v>41</v>
      </c>
      <c r="E93" s="6">
        <v>46073.4402575579</v>
      </c>
      <c r="F93" s="3" t="s">
        <v>26</v>
      </c>
      <c r="G93" s="3" t="s">
        <v>27</v>
      </c>
      <c r="H93" s="3">
        <v>1</v>
      </c>
      <c r="I93" s="7">
        <v>3.3</v>
      </c>
      <c r="J93" s="7">
        <f t="shared" si="10"/>
        <v>3.3</v>
      </c>
      <c r="K93" s="7">
        <v>1</v>
      </c>
      <c r="L93" s="7">
        <v>3.3</v>
      </c>
      <c r="M93" s="7"/>
      <c r="N93" s="7"/>
      <c r="O93" s="5" t="s">
        <v>30</v>
      </c>
      <c r="P93" s="5" t="s">
        <v>31</v>
      </c>
    </row>
    <row r="94" ht="16.5" spans="1:16">
      <c r="A94" s="3" t="s">
        <v>16</v>
      </c>
      <c r="B94" s="3" t="s">
        <v>17</v>
      </c>
      <c r="C94" s="3" t="s">
        <v>94</v>
      </c>
      <c r="D94" s="4" t="s">
        <v>41</v>
      </c>
      <c r="E94" s="6">
        <v>46073.4402591782</v>
      </c>
      <c r="F94" s="3" t="s">
        <v>20</v>
      </c>
      <c r="G94" s="3" t="s">
        <v>35</v>
      </c>
      <c r="H94" s="3">
        <v>11</v>
      </c>
      <c r="I94" s="7">
        <v>3.3</v>
      </c>
      <c r="J94" s="7">
        <f t="shared" si="10"/>
        <v>36.3</v>
      </c>
      <c r="K94" s="7">
        <v>11</v>
      </c>
      <c r="L94" s="7">
        <v>36.3</v>
      </c>
      <c r="M94" s="7"/>
      <c r="N94" s="7"/>
      <c r="O94" s="5" t="s">
        <v>30</v>
      </c>
      <c r="P94" s="5" t="s">
        <v>31</v>
      </c>
    </row>
    <row r="95" ht="16.5" spans="1:16">
      <c r="A95" s="3" t="s">
        <v>16</v>
      </c>
      <c r="B95" s="3" t="s">
        <v>17</v>
      </c>
      <c r="C95" s="3" t="s">
        <v>94</v>
      </c>
      <c r="D95" s="4" t="s">
        <v>41</v>
      </c>
      <c r="E95" s="6">
        <v>46073.4402591782</v>
      </c>
      <c r="F95" s="3" t="s">
        <v>26</v>
      </c>
      <c r="G95" s="3" t="s">
        <v>27</v>
      </c>
      <c r="H95" s="3">
        <v>1</v>
      </c>
      <c r="I95" s="7">
        <v>3.3</v>
      </c>
      <c r="J95" s="7">
        <f t="shared" si="10"/>
        <v>3.3</v>
      </c>
      <c r="K95" s="7">
        <v>1</v>
      </c>
      <c r="L95" s="7">
        <v>3.3</v>
      </c>
      <c r="M95" s="7"/>
      <c r="N95" s="7"/>
      <c r="O95" s="5" t="s">
        <v>30</v>
      </c>
      <c r="P95" s="5" t="s">
        <v>31</v>
      </c>
    </row>
    <row r="96" ht="16.5" spans="1:16">
      <c r="A96" s="3" t="s">
        <v>16</v>
      </c>
      <c r="B96" s="3" t="s">
        <v>17</v>
      </c>
      <c r="C96" s="3" t="s">
        <v>95</v>
      </c>
      <c r="D96" s="4" t="s">
        <v>41</v>
      </c>
      <c r="E96" s="6">
        <v>46073.4402608449</v>
      </c>
      <c r="F96" s="3" t="s">
        <v>20</v>
      </c>
      <c r="G96" s="3" t="s">
        <v>24</v>
      </c>
      <c r="H96" s="15">
        <v>45</v>
      </c>
      <c r="I96" s="7">
        <v>120</v>
      </c>
      <c r="J96" s="7">
        <v>120</v>
      </c>
      <c r="K96" s="7">
        <v>45</v>
      </c>
      <c r="L96" s="7">
        <v>120</v>
      </c>
      <c r="M96" s="7"/>
      <c r="N96" s="7"/>
      <c r="O96" s="5" t="s">
        <v>30</v>
      </c>
      <c r="P96" s="5" t="s">
        <v>31</v>
      </c>
    </row>
    <row r="97" ht="16.5" spans="1:16">
      <c r="A97" s="3" t="s">
        <v>16</v>
      </c>
      <c r="B97" s="3" t="s">
        <v>17</v>
      </c>
      <c r="C97" s="3" t="s">
        <v>95</v>
      </c>
      <c r="D97" s="4" t="s">
        <v>41</v>
      </c>
      <c r="E97" s="6">
        <v>46073.4402608449</v>
      </c>
      <c r="F97" s="3" t="s">
        <v>26</v>
      </c>
      <c r="G97" s="3" t="s">
        <v>27</v>
      </c>
      <c r="H97" s="3">
        <v>1</v>
      </c>
      <c r="I97" s="7">
        <v>3.3</v>
      </c>
      <c r="J97" s="7">
        <f t="shared" ref="J97:J100" si="11">H97*I97</f>
        <v>3.3</v>
      </c>
      <c r="K97" s="7">
        <v>1</v>
      </c>
      <c r="L97" s="7">
        <v>3.3</v>
      </c>
      <c r="M97" s="7"/>
      <c r="N97" s="7"/>
      <c r="O97" s="5" t="s">
        <v>30</v>
      </c>
      <c r="P97" s="5" t="s">
        <v>31</v>
      </c>
    </row>
    <row r="98" ht="16.5" spans="1:16">
      <c r="A98" s="3" t="s">
        <v>16</v>
      </c>
      <c r="B98" s="3" t="s">
        <v>17</v>
      </c>
      <c r="C98" s="3" t="s">
        <v>96</v>
      </c>
      <c r="D98" s="4" t="s">
        <v>41</v>
      </c>
      <c r="E98" s="6">
        <v>46073.4402627315</v>
      </c>
      <c r="F98" s="3" t="s">
        <v>20</v>
      </c>
      <c r="G98" s="3" t="s">
        <v>35</v>
      </c>
      <c r="H98" s="3">
        <v>12</v>
      </c>
      <c r="I98" s="7">
        <v>3.3</v>
      </c>
      <c r="J98" s="7">
        <f t="shared" si="11"/>
        <v>39.6</v>
      </c>
      <c r="K98" s="7">
        <v>12</v>
      </c>
      <c r="L98" s="7">
        <v>39.6</v>
      </c>
      <c r="M98" s="7"/>
      <c r="N98" s="7"/>
      <c r="O98" s="5" t="s">
        <v>30</v>
      </c>
      <c r="P98" s="5" t="s">
        <v>31</v>
      </c>
    </row>
    <row r="99" ht="16.5" spans="1:16">
      <c r="A99" s="3" t="s">
        <v>16</v>
      </c>
      <c r="B99" s="3" t="s">
        <v>17</v>
      </c>
      <c r="C99" s="3" t="s">
        <v>96</v>
      </c>
      <c r="D99" s="4" t="s">
        <v>41</v>
      </c>
      <c r="E99" s="6">
        <v>46073.4402627315</v>
      </c>
      <c r="F99" s="3" t="s">
        <v>20</v>
      </c>
      <c r="G99" s="3" t="s">
        <v>44</v>
      </c>
      <c r="H99" s="3">
        <v>8</v>
      </c>
      <c r="I99" s="7">
        <v>3.3</v>
      </c>
      <c r="J99" s="7">
        <f t="shared" si="11"/>
        <v>26.4</v>
      </c>
      <c r="K99" s="7">
        <v>8</v>
      </c>
      <c r="L99" s="7">
        <v>26.4</v>
      </c>
      <c r="M99" s="7"/>
      <c r="N99" s="7"/>
      <c r="O99" s="5" t="s">
        <v>30</v>
      </c>
      <c r="P99" s="5" t="s">
        <v>31</v>
      </c>
    </row>
    <row r="100" ht="16.5" spans="1:16">
      <c r="A100" s="3" t="s">
        <v>16</v>
      </c>
      <c r="B100" s="3" t="s">
        <v>17</v>
      </c>
      <c r="C100" s="3" t="s">
        <v>96</v>
      </c>
      <c r="D100" s="4" t="s">
        <v>41</v>
      </c>
      <c r="E100" s="6">
        <v>46073.4402627315</v>
      </c>
      <c r="F100" s="3" t="s">
        <v>26</v>
      </c>
      <c r="G100" s="3" t="s">
        <v>27</v>
      </c>
      <c r="H100" s="3">
        <v>1</v>
      </c>
      <c r="I100" s="7">
        <v>3.3</v>
      </c>
      <c r="J100" s="7">
        <f t="shared" si="11"/>
        <v>3.3</v>
      </c>
      <c r="K100" s="7">
        <v>1</v>
      </c>
      <c r="L100" s="7">
        <v>3.3</v>
      </c>
      <c r="M100" s="7"/>
      <c r="N100" s="7"/>
      <c r="O100" s="5" t="s">
        <v>30</v>
      </c>
      <c r="P100" s="5" t="s">
        <v>31</v>
      </c>
    </row>
    <row r="101" spans="1:16">
      <c r="A101" s="23"/>
      <c r="B101" s="23"/>
      <c r="C101" s="23" t="s">
        <v>97</v>
      </c>
      <c r="D101" s="23"/>
      <c r="E101" s="23"/>
      <c r="F101" s="23"/>
      <c r="G101" s="23"/>
      <c r="H101" s="23"/>
      <c r="I101" s="23"/>
      <c r="J101" s="23">
        <f>SUM(J2:J100)</f>
        <v>3868.8</v>
      </c>
      <c r="K101" s="23"/>
      <c r="L101" s="23">
        <f>SUM(L2:L100)</f>
        <v>3806.1</v>
      </c>
      <c r="M101" s="23"/>
      <c r="N101" s="23">
        <f>SUM(N2:N100)</f>
        <v>62.7</v>
      </c>
      <c r="O101" s="23"/>
      <c r="P101" s="23"/>
    </row>
    <row r="110" spans="1:16">
      <c r="H110" s="16">
        <f>L101+耀旭!L63+丰润加!L78+琅华!L10</f>
        <v>9423.3</v>
      </c>
    </row>
  </sheetData>
  <autoFilter xmlns:etc="http://www.wps.cn/officeDocument/2017/etCustomData" ref="A1:P10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view="pageBreakPreview" zoomScaleNormal="100" workbookViewId="0">
      <selection activeCell="K17" sqref="K17"/>
    </sheetView>
  </sheetViews>
  <sheetFormatPr defaultColWidth="9" defaultRowHeight="13.5"/>
  <cols>
    <col min="1" max="1" width="30.0083333333333" style="16" customWidth="1"/>
    <col min="2" max="2" width="27.0083333333333" style="16" customWidth="1"/>
    <col min="3" max="3" width="26.3416666666667" style="16" customWidth="1"/>
    <col min="4" max="4" width="16.0083333333333" style="16" customWidth="1"/>
    <col min="5" max="5" width="13.3416666666667" style="16" customWidth="1"/>
    <col min="6" max="6" width="12.3416666666667" style="16" customWidth="1"/>
    <col min="7" max="7" width="15.0083333333333" style="16" customWidth="1"/>
    <col min="8" max="8" width="12.3416666666667" style="16" customWidth="1"/>
    <col min="9" max="9" width="8.675" style="16" customWidth="1"/>
    <col min="10" max="10" width="8.675" style="16" hidden="1" customWidth="1"/>
    <col min="11" max="12" width="17.8416666666667" style="16" customWidth="1"/>
    <col min="13" max="14" width="16.0083333333333" style="16" hidden="1" customWidth="1"/>
    <col min="15" max="16" width="10.0083333333333" style="16" customWidth="1"/>
    <col min="17" max="16384" width="9" style="16"/>
  </cols>
  <sheetData>
    <row r="1" s="16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16" customFormat="1" ht="22.5" customHeight="1" spans="1:16">
      <c r="A2" s="3" t="s">
        <v>16</v>
      </c>
      <c r="B2" s="3" t="s">
        <v>17</v>
      </c>
      <c r="C2" s="3" t="s">
        <v>18</v>
      </c>
      <c r="D2" s="4" t="s">
        <v>19</v>
      </c>
      <c r="E2" s="4">
        <v>46043.7744988426</v>
      </c>
      <c r="F2" s="3" t="s">
        <v>20</v>
      </c>
      <c r="G2" s="3" t="s">
        <v>21</v>
      </c>
      <c r="H2" s="3">
        <v>19</v>
      </c>
      <c r="I2" s="17">
        <v>3.3</v>
      </c>
      <c r="J2" s="17">
        <v>62.7</v>
      </c>
      <c r="K2" s="17">
        <v>19</v>
      </c>
      <c r="L2" s="17">
        <v>62.7</v>
      </c>
      <c r="M2" s="17"/>
      <c r="N2" s="17"/>
      <c r="O2" s="17" t="s">
        <v>22</v>
      </c>
      <c r="P2" s="17" t="s">
        <v>23</v>
      </c>
    </row>
    <row r="3" s="16" customFormat="1" ht="22.5" customHeight="1" spans="1:16">
      <c r="A3" s="3" t="s">
        <v>16</v>
      </c>
      <c r="B3" s="3" t="s">
        <v>17</v>
      </c>
      <c r="C3" s="3" t="s">
        <v>18</v>
      </c>
      <c r="D3" s="4" t="s">
        <v>19</v>
      </c>
      <c r="E3" s="4">
        <v>46043.7744988426</v>
      </c>
      <c r="F3" s="3" t="s">
        <v>20</v>
      </c>
      <c r="G3" s="3" t="s">
        <v>24</v>
      </c>
      <c r="H3" s="3">
        <v>120</v>
      </c>
      <c r="I3" s="17">
        <v>120</v>
      </c>
      <c r="J3" s="17">
        <v>120</v>
      </c>
      <c r="K3" s="17">
        <v>120</v>
      </c>
      <c r="L3" s="17">
        <v>120</v>
      </c>
      <c r="M3" s="17"/>
      <c r="N3" s="17"/>
      <c r="O3" s="17" t="s">
        <v>22</v>
      </c>
      <c r="P3" s="17" t="s">
        <v>23</v>
      </c>
    </row>
    <row r="4" s="16" customFormat="1" ht="22.5" customHeight="1" spans="1:16">
      <c r="A4" s="3" t="s">
        <v>16</v>
      </c>
      <c r="B4" s="3" t="s">
        <v>17</v>
      </c>
      <c r="C4" s="3" t="s">
        <v>18</v>
      </c>
      <c r="D4" s="4" t="s">
        <v>19</v>
      </c>
      <c r="E4" s="4">
        <v>46043.7744988426</v>
      </c>
      <c r="F4" s="3" t="s">
        <v>20</v>
      </c>
      <c r="G4" s="3" t="s">
        <v>25</v>
      </c>
      <c r="H4" s="3">
        <v>50</v>
      </c>
      <c r="I4" s="17">
        <v>3.3</v>
      </c>
      <c r="J4" s="17">
        <v>165</v>
      </c>
      <c r="K4" s="17">
        <v>50</v>
      </c>
      <c r="L4" s="17">
        <v>165</v>
      </c>
      <c r="M4" s="17"/>
      <c r="N4" s="17"/>
      <c r="O4" s="17" t="s">
        <v>22</v>
      </c>
      <c r="P4" s="17" t="s">
        <v>23</v>
      </c>
    </row>
    <row r="5" s="16" customFormat="1" ht="22.5" customHeight="1" spans="1:16">
      <c r="A5" s="3" t="s">
        <v>16</v>
      </c>
      <c r="B5" s="3" t="s">
        <v>17</v>
      </c>
      <c r="C5" s="3" t="s">
        <v>18</v>
      </c>
      <c r="D5" s="4" t="s">
        <v>19</v>
      </c>
      <c r="E5" s="4">
        <v>46043.7744988426</v>
      </c>
      <c r="F5" s="3" t="s">
        <v>26</v>
      </c>
      <c r="G5" s="3" t="s">
        <v>27</v>
      </c>
      <c r="H5" s="3">
        <v>1</v>
      </c>
      <c r="I5" s="17">
        <v>3.3</v>
      </c>
      <c r="J5" s="17">
        <v>3.3</v>
      </c>
      <c r="K5" s="17">
        <v>1</v>
      </c>
      <c r="L5" s="17">
        <v>3.3</v>
      </c>
      <c r="M5" s="17"/>
      <c r="N5" s="17"/>
      <c r="O5" s="17" t="s">
        <v>22</v>
      </c>
      <c r="P5" s="17" t="s">
        <v>23</v>
      </c>
    </row>
    <row r="6" s="16" customFormat="1" ht="22.5" customHeight="1" spans="1:16">
      <c r="A6" s="17"/>
      <c r="B6" s="17"/>
      <c r="C6" s="17" t="s">
        <v>97</v>
      </c>
      <c r="D6" s="17"/>
      <c r="E6" s="17"/>
      <c r="F6" s="17"/>
      <c r="G6" s="17"/>
      <c r="H6" s="17"/>
      <c r="I6" s="17"/>
      <c r="J6" s="17"/>
      <c r="K6" s="17"/>
      <c r="L6" s="17">
        <f>SUM(L2:L5)</f>
        <v>351</v>
      </c>
      <c r="M6" s="17"/>
      <c r="N6" s="17"/>
      <c r="O6" s="17"/>
      <c r="P6" s="17"/>
    </row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251388888888889" right="0.251388888888889" top="0.751388888888889" bottom="0.751388888888889" header="0.298611111111111" footer="0.298611111111111"/>
  <pageSetup paperSize="9" scale="67" orientation="landscape" horizontalDpi="600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view="pageBreakPreview" zoomScaleNormal="100" topLeftCell="B1" workbookViewId="0">
      <selection activeCell="L2" sqref="L2:L89"/>
    </sheetView>
  </sheetViews>
  <sheetFormatPr defaultColWidth="9" defaultRowHeight="13.5"/>
  <cols>
    <col min="1" max="1" width="30.0083333333333" style="16" customWidth="1"/>
    <col min="2" max="2" width="27.0083333333333" style="16" customWidth="1"/>
    <col min="3" max="3" width="31.0083333333333" style="16" customWidth="1"/>
    <col min="4" max="4" width="16.0083333333333" style="16" customWidth="1"/>
    <col min="5" max="5" width="13.3416666666667" style="16" customWidth="1"/>
    <col min="6" max="6" width="12.3416666666667" style="16" customWidth="1"/>
    <col min="7" max="7" width="15.0083333333333" style="16" customWidth="1"/>
    <col min="8" max="8" width="12.3416666666667" style="16" customWidth="1"/>
    <col min="9" max="9" width="12.0083333333333" style="16" customWidth="1"/>
    <col min="10" max="10" width="12.0083333333333" style="16" hidden="1" customWidth="1"/>
    <col min="11" max="12" width="17.8416666666667" style="16" customWidth="1"/>
    <col min="13" max="14" width="16.0083333333333" style="16" hidden="1" customWidth="1"/>
    <col min="15" max="15" width="8.675" style="16" customWidth="1"/>
    <col min="16" max="16" width="10.0083333333333" style="16" customWidth="1"/>
    <col min="17" max="16384" width="9" style="16"/>
  </cols>
  <sheetData>
    <row r="1" s="16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16" customFormat="1" ht="22.5" customHeight="1" spans="1:16">
      <c r="A2" s="11" t="s">
        <v>16</v>
      </c>
      <c r="B2" s="11" t="s">
        <v>17</v>
      </c>
      <c r="C2" s="11" t="s">
        <v>28</v>
      </c>
      <c r="D2" s="12" t="s">
        <v>29</v>
      </c>
      <c r="E2" s="13">
        <v>46045.4645127662</v>
      </c>
      <c r="F2" s="11" t="s">
        <v>26</v>
      </c>
      <c r="G2" s="11" t="s">
        <v>27</v>
      </c>
      <c r="H2" s="11">
        <v>1</v>
      </c>
      <c r="I2" s="7">
        <v>3.3</v>
      </c>
      <c r="J2" s="7">
        <v>3.3</v>
      </c>
      <c r="K2" s="7">
        <v>1</v>
      </c>
      <c r="L2" s="7">
        <v>3.3</v>
      </c>
      <c r="M2" s="7"/>
      <c r="N2" s="7"/>
      <c r="O2" s="5" t="s">
        <v>30</v>
      </c>
      <c r="P2" s="5" t="s">
        <v>31</v>
      </c>
    </row>
    <row r="3" s="16" customFormat="1" ht="22.5" customHeight="1" spans="1:16">
      <c r="A3" s="11" t="s">
        <v>16</v>
      </c>
      <c r="B3" s="11" t="s">
        <v>17</v>
      </c>
      <c r="C3" s="11" t="s">
        <v>28</v>
      </c>
      <c r="D3" s="12" t="s">
        <v>29</v>
      </c>
      <c r="E3" s="13">
        <v>46045.4645127662</v>
      </c>
      <c r="F3" s="11" t="s">
        <v>20</v>
      </c>
      <c r="G3" s="11" t="s">
        <v>24</v>
      </c>
      <c r="H3" s="11">
        <v>224</v>
      </c>
      <c r="I3" s="7">
        <v>120</v>
      </c>
      <c r="J3" s="7">
        <v>120</v>
      </c>
      <c r="K3" s="7">
        <v>224</v>
      </c>
      <c r="L3" s="7">
        <v>120</v>
      </c>
      <c r="M3" s="7"/>
      <c r="N3" s="7"/>
      <c r="O3" s="5" t="s">
        <v>30</v>
      </c>
      <c r="P3" s="5" t="s">
        <v>31</v>
      </c>
    </row>
    <row r="4" s="16" customFormat="1" ht="22.5" customHeight="1" spans="1:16">
      <c r="A4" s="11" t="s">
        <v>16</v>
      </c>
      <c r="B4" s="11" t="s">
        <v>17</v>
      </c>
      <c r="C4" s="11" t="s">
        <v>28</v>
      </c>
      <c r="D4" s="12" t="s">
        <v>29</v>
      </c>
      <c r="E4" s="13">
        <v>46045.4645127662</v>
      </c>
      <c r="F4" s="11" t="s">
        <v>20</v>
      </c>
      <c r="G4" s="11" t="s">
        <v>21</v>
      </c>
      <c r="H4" s="11">
        <v>32</v>
      </c>
      <c r="I4" s="7">
        <v>3.3</v>
      </c>
      <c r="J4" s="7">
        <v>105.6</v>
      </c>
      <c r="K4" s="7">
        <v>32</v>
      </c>
      <c r="L4" s="7">
        <v>105.6</v>
      </c>
      <c r="M4" s="7"/>
      <c r="N4" s="7"/>
      <c r="O4" s="5" t="s">
        <v>30</v>
      </c>
      <c r="P4" s="5" t="s">
        <v>31</v>
      </c>
    </row>
    <row r="5" s="16" customFormat="1" ht="22.5" customHeight="1" spans="1:16">
      <c r="A5" s="11" t="s">
        <v>16</v>
      </c>
      <c r="B5" s="11" t="s">
        <v>17</v>
      </c>
      <c r="C5" s="11" t="s">
        <v>28</v>
      </c>
      <c r="D5" s="12" t="s">
        <v>29</v>
      </c>
      <c r="E5" s="13">
        <v>46045.4645127662</v>
      </c>
      <c r="F5" s="11" t="s">
        <v>20</v>
      </c>
      <c r="G5" s="11" t="s">
        <v>25</v>
      </c>
      <c r="H5" s="11">
        <v>39</v>
      </c>
      <c r="I5" s="7">
        <v>3.3</v>
      </c>
      <c r="J5" s="7">
        <v>128.7</v>
      </c>
      <c r="K5" s="7">
        <v>39</v>
      </c>
      <c r="L5" s="7">
        <v>128.7</v>
      </c>
      <c r="M5" s="7"/>
      <c r="N5" s="7"/>
      <c r="O5" s="5" t="s">
        <v>30</v>
      </c>
      <c r="P5" s="5" t="s">
        <v>31</v>
      </c>
    </row>
    <row r="6" s="16" customFormat="1" ht="22.5" customHeight="1" spans="1:16">
      <c r="A6" s="3" t="s">
        <v>16</v>
      </c>
      <c r="B6" s="3" t="s">
        <v>17</v>
      </c>
      <c r="C6" s="3" t="s">
        <v>32</v>
      </c>
      <c r="D6" s="4" t="s">
        <v>33</v>
      </c>
      <c r="E6" s="6">
        <v>46048.6531679398</v>
      </c>
      <c r="F6" s="3" t="s">
        <v>20</v>
      </c>
      <c r="G6" s="3" t="s">
        <v>25</v>
      </c>
      <c r="H6" s="3">
        <v>10</v>
      </c>
      <c r="I6" s="7">
        <v>3.3</v>
      </c>
      <c r="J6" s="7">
        <v>33</v>
      </c>
      <c r="K6" s="7">
        <v>10</v>
      </c>
      <c r="L6" s="7">
        <v>33</v>
      </c>
      <c r="M6" s="7"/>
      <c r="N6" s="7"/>
      <c r="O6" s="5" t="s">
        <v>30</v>
      </c>
      <c r="P6" s="5" t="s">
        <v>34</v>
      </c>
    </row>
    <row r="7" s="16" customFormat="1" ht="22.5" customHeight="1" spans="1:16">
      <c r="A7" s="3" t="s">
        <v>16</v>
      </c>
      <c r="B7" s="3" t="s">
        <v>17</v>
      </c>
      <c r="C7" s="3" t="s">
        <v>32</v>
      </c>
      <c r="D7" s="4" t="s">
        <v>33</v>
      </c>
      <c r="E7" s="6">
        <v>46048.6531679398</v>
      </c>
      <c r="F7" s="3" t="s">
        <v>20</v>
      </c>
      <c r="G7" s="3" t="s">
        <v>35</v>
      </c>
      <c r="H7" s="3">
        <v>17</v>
      </c>
      <c r="I7" s="7">
        <v>3.3</v>
      </c>
      <c r="J7" s="7">
        <v>56.1</v>
      </c>
      <c r="K7" s="7">
        <v>17</v>
      </c>
      <c r="L7" s="7">
        <v>56.1</v>
      </c>
      <c r="M7" s="7"/>
      <c r="N7" s="7"/>
      <c r="O7" s="5" t="s">
        <v>30</v>
      </c>
      <c r="P7" s="5" t="s">
        <v>34</v>
      </c>
    </row>
    <row r="8" s="16" customFormat="1" ht="22.5" customHeight="1" spans="1:16">
      <c r="A8" s="3" t="s">
        <v>16</v>
      </c>
      <c r="B8" s="3" t="s">
        <v>17</v>
      </c>
      <c r="C8" s="3" t="s">
        <v>32</v>
      </c>
      <c r="D8" s="4" t="s">
        <v>33</v>
      </c>
      <c r="E8" s="6">
        <v>46048.6531679398</v>
      </c>
      <c r="F8" s="3" t="s">
        <v>20</v>
      </c>
      <c r="G8" s="3" t="s">
        <v>24</v>
      </c>
      <c r="H8" s="3">
        <v>196</v>
      </c>
      <c r="I8" s="7">
        <v>120</v>
      </c>
      <c r="J8" s="7">
        <v>120</v>
      </c>
      <c r="K8" s="7">
        <v>196</v>
      </c>
      <c r="L8" s="7">
        <v>120</v>
      </c>
      <c r="M8" s="7"/>
      <c r="N8" s="7"/>
      <c r="O8" s="5" t="s">
        <v>30</v>
      </c>
      <c r="P8" s="5" t="s">
        <v>34</v>
      </c>
    </row>
    <row r="9" s="16" customFormat="1" ht="22.5" customHeight="1" spans="1:16">
      <c r="A9" s="3" t="s">
        <v>16</v>
      </c>
      <c r="B9" s="3" t="s">
        <v>17</v>
      </c>
      <c r="C9" s="3" t="s">
        <v>32</v>
      </c>
      <c r="D9" s="4" t="s">
        <v>33</v>
      </c>
      <c r="E9" s="6">
        <v>46048.6531679398</v>
      </c>
      <c r="F9" s="3" t="s">
        <v>26</v>
      </c>
      <c r="G9" s="3" t="s">
        <v>27</v>
      </c>
      <c r="H9" s="3">
        <v>1</v>
      </c>
      <c r="I9" s="7">
        <v>3.3</v>
      </c>
      <c r="J9" s="7">
        <v>3.3</v>
      </c>
      <c r="K9" s="7">
        <v>1</v>
      </c>
      <c r="L9" s="7">
        <v>3.3</v>
      </c>
      <c r="M9" s="7"/>
      <c r="N9" s="7"/>
      <c r="O9" s="5" t="s">
        <v>30</v>
      </c>
      <c r="P9" s="5" t="s">
        <v>34</v>
      </c>
    </row>
    <row r="10" s="16" customFormat="1" ht="22.5" customHeight="1" spans="1:16">
      <c r="A10" s="3" t="s">
        <v>16</v>
      </c>
      <c r="B10" s="3" t="s">
        <v>17</v>
      </c>
      <c r="C10" s="3" t="s">
        <v>36</v>
      </c>
      <c r="D10" s="4" t="s">
        <v>33</v>
      </c>
      <c r="E10" s="6">
        <v>46048.6531729977</v>
      </c>
      <c r="F10" s="3" t="s">
        <v>20</v>
      </c>
      <c r="G10" s="3" t="s">
        <v>35</v>
      </c>
      <c r="H10" s="3">
        <v>3</v>
      </c>
      <c r="I10" s="7">
        <v>3.3</v>
      </c>
      <c r="J10" s="7">
        <v>9.9</v>
      </c>
      <c r="K10" s="7">
        <v>3</v>
      </c>
      <c r="L10" s="7">
        <v>9.9</v>
      </c>
      <c r="M10" s="7"/>
      <c r="N10" s="7"/>
      <c r="O10" s="5" t="s">
        <v>30</v>
      </c>
      <c r="P10" s="5" t="s">
        <v>34</v>
      </c>
    </row>
    <row r="11" s="16" customFormat="1" ht="22.5" customHeight="1" spans="1:16">
      <c r="A11" s="3" t="s">
        <v>16</v>
      </c>
      <c r="B11" s="3" t="s">
        <v>17</v>
      </c>
      <c r="C11" s="3" t="s">
        <v>36</v>
      </c>
      <c r="D11" s="4" t="s">
        <v>33</v>
      </c>
      <c r="E11" s="6">
        <v>46048.6531729977</v>
      </c>
      <c r="F11" s="3" t="s">
        <v>26</v>
      </c>
      <c r="G11" s="3" t="s">
        <v>27</v>
      </c>
      <c r="H11" s="3">
        <v>1</v>
      </c>
      <c r="I11" s="7">
        <v>3.3</v>
      </c>
      <c r="J11" s="7">
        <v>3.3</v>
      </c>
      <c r="K11" s="7">
        <v>1</v>
      </c>
      <c r="L11" s="7">
        <v>3.3</v>
      </c>
      <c r="M11" s="7"/>
      <c r="N11" s="7"/>
      <c r="O11" s="5" t="s">
        <v>30</v>
      </c>
      <c r="P11" s="5" t="s">
        <v>34</v>
      </c>
    </row>
    <row r="12" s="16" customFormat="1" ht="22.5" customHeight="1" spans="1:16">
      <c r="A12" s="3" t="s">
        <v>16</v>
      </c>
      <c r="B12" s="3" t="s">
        <v>17</v>
      </c>
      <c r="C12" s="3" t="s">
        <v>37</v>
      </c>
      <c r="D12" s="4" t="s">
        <v>33</v>
      </c>
      <c r="E12" s="6">
        <v>46049.4523732639</v>
      </c>
      <c r="F12" s="3" t="s">
        <v>26</v>
      </c>
      <c r="G12" s="3" t="s">
        <v>27</v>
      </c>
      <c r="H12" s="3">
        <v>1</v>
      </c>
      <c r="I12" s="7">
        <v>3.3</v>
      </c>
      <c r="J12" s="7">
        <v>3.3</v>
      </c>
      <c r="K12" s="7">
        <v>1</v>
      </c>
      <c r="L12" s="7">
        <v>3.3</v>
      </c>
      <c r="M12" s="7"/>
      <c r="N12" s="7"/>
      <c r="O12" s="5" t="s">
        <v>30</v>
      </c>
      <c r="P12" s="5" t="s">
        <v>34</v>
      </c>
    </row>
    <row r="13" s="16" customFormat="1" ht="22.5" customHeight="1" spans="1:16">
      <c r="A13" s="3" t="s">
        <v>16</v>
      </c>
      <c r="B13" s="3" t="s">
        <v>17</v>
      </c>
      <c r="C13" s="3" t="s">
        <v>37</v>
      </c>
      <c r="D13" s="4" t="s">
        <v>33</v>
      </c>
      <c r="E13" s="6">
        <v>46049.4523732639</v>
      </c>
      <c r="F13" s="3" t="s">
        <v>20</v>
      </c>
      <c r="G13" s="3" t="s">
        <v>21</v>
      </c>
      <c r="H13" s="3">
        <v>3</v>
      </c>
      <c r="I13" s="7">
        <v>3.3</v>
      </c>
      <c r="J13" s="7">
        <v>9.9</v>
      </c>
      <c r="K13" s="7">
        <v>3</v>
      </c>
      <c r="L13" s="7">
        <v>9.9</v>
      </c>
      <c r="M13" s="7"/>
      <c r="N13" s="7"/>
      <c r="O13" s="5" t="s">
        <v>30</v>
      </c>
      <c r="P13" s="5" t="s">
        <v>34</v>
      </c>
    </row>
    <row r="14" s="16" customFormat="1" ht="22.5" customHeight="1" spans="1:16">
      <c r="A14" s="3" t="s">
        <v>16</v>
      </c>
      <c r="B14" s="3" t="s">
        <v>17</v>
      </c>
      <c r="C14" s="3" t="s">
        <v>38</v>
      </c>
      <c r="D14" s="4" t="s">
        <v>39</v>
      </c>
      <c r="E14" s="6">
        <v>46050.8901500347</v>
      </c>
      <c r="F14" s="3" t="s">
        <v>26</v>
      </c>
      <c r="G14" s="3" t="s">
        <v>27</v>
      </c>
      <c r="H14" s="3">
        <v>1</v>
      </c>
      <c r="I14" s="7">
        <v>3.3</v>
      </c>
      <c r="J14" s="7">
        <v>3.3</v>
      </c>
      <c r="K14" s="7"/>
      <c r="L14" s="7"/>
      <c r="M14" s="7">
        <v>1</v>
      </c>
      <c r="N14" s="7">
        <v>3.3</v>
      </c>
      <c r="O14" s="5" t="s">
        <v>30</v>
      </c>
      <c r="P14" s="5" t="s">
        <v>34</v>
      </c>
    </row>
    <row r="15" s="16" customFormat="1" ht="22.5" customHeight="1" spans="1:16">
      <c r="A15" s="3" t="s">
        <v>16</v>
      </c>
      <c r="B15" s="3" t="s">
        <v>17</v>
      </c>
      <c r="C15" s="3" t="s">
        <v>38</v>
      </c>
      <c r="D15" s="4" t="s">
        <v>39</v>
      </c>
      <c r="E15" s="6">
        <v>46050.8901500347</v>
      </c>
      <c r="F15" s="3" t="s">
        <v>20</v>
      </c>
      <c r="G15" s="3" t="s">
        <v>35</v>
      </c>
      <c r="H15" s="3">
        <v>7</v>
      </c>
      <c r="I15" s="7">
        <v>3.3</v>
      </c>
      <c r="J15" s="7">
        <v>23.1</v>
      </c>
      <c r="K15" s="7"/>
      <c r="L15" s="7"/>
      <c r="M15" s="7">
        <v>7</v>
      </c>
      <c r="N15" s="7">
        <v>23.1</v>
      </c>
      <c r="O15" s="5" t="s">
        <v>30</v>
      </c>
      <c r="P15" s="5" t="s">
        <v>34</v>
      </c>
    </row>
    <row r="16" s="16" customFormat="1" ht="22.5" customHeight="1" spans="1:16">
      <c r="A16" s="3" t="s">
        <v>16</v>
      </c>
      <c r="B16" s="3" t="s">
        <v>17</v>
      </c>
      <c r="C16" s="3" t="s">
        <v>40</v>
      </c>
      <c r="D16" s="4" t="s">
        <v>41</v>
      </c>
      <c r="E16" s="6">
        <v>46050.5847672106</v>
      </c>
      <c r="F16" s="3" t="s">
        <v>20</v>
      </c>
      <c r="G16" s="3" t="s">
        <v>24</v>
      </c>
      <c r="H16" s="3">
        <v>46</v>
      </c>
      <c r="I16" s="7">
        <v>120</v>
      </c>
      <c r="J16" s="7">
        <v>120</v>
      </c>
      <c r="K16" s="7">
        <v>46</v>
      </c>
      <c r="L16" s="7">
        <v>120</v>
      </c>
      <c r="M16" s="7"/>
      <c r="N16" s="7"/>
      <c r="O16" s="5" t="s">
        <v>30</v>
      </c>
      <c r="P16" s="5" t="s">
        <v>34</v>
      </c>
    </row>
    <row r="17" s="16" customFormat="1" ht="22.5" customHeight="1" spans="1:16">
      <c r="A17" s="3" t="s">
        <v>16</v>
      </c>
      <c r="B17" s="3" t="s">
        <v>17</v>
      </c>
      <c r="C17" s="3" t="s">
        <v>42</v>
      </c>
      <c r="D17" s="4" t="s">
        <v>41</v>
      </c>
      <c r="E17" s="6">
        <v>46050.5847763889</v>
      </c>
      <c r="F17" s="3" t="s">
        <v>20</v>
      </c>
      <c r="G17" s="3" t="s">
        <v>21</v>
      </c>
      <c r="H17" s="3">
        <v>11</v>
      </c>
      <c r="I17" s="7">
        <v>3.3</v>
      </c>
      <c r="J17" s="7">
        <v>36.3</v>
      </c>
      <c r="K17" s="7">
        <v>11</v>
      </c>
      <c r="L17" s="7">
        <v>36.3</v>
      </c>
      <c r="M17" s="7"/>
      <c r="N17" s="7"/>
      <c r="O17" s="5" t="s">
        <v>30</v>
      </c>
      <c r="P17" s="5" t="s">
        <v>34</v>
      </c>
    </row>
    <row r="18" s="16" customFormat="1" ht="22.5" customHeight="1" spans="1:16">
      <c r="A18" s="3" t="s">
        <v>16</v>
      </c>
      <c r="B18" s="3" t="s">
        <v>17</v>
      </c>
      <c r="C18" s="3" t="s">
        <v>42</v>
      </c>
      <c r="D18" s="4" t="s">
        <v>41</v>
      </c>
      <c r="E18" s="6">
        <v>46050.5847763889</v>
      </c>
      <c r="F18" s="3" t="s">
        <v>26</v>
      </c>
      <c r="G18" s="3" t="s">
        <v>27</v>
      </c>
      <c r="H18" s="3">
        <v>1</v>
      </c>
      <c r="I18" s="7">
        <v>3.3</v>
      </c>
      <c r="J18" s="7">
        <v>3.3</v>
      </c>
      <c r="K18" s="7">
        <v>1</v>
      </c>
      <c r="L18" s="7">
        <v>3.3</v>
      </c>
      <c r="M18" s="7"/>
      <c r="N18" s="7"/>
      <c r="O18" s="5" t="s">
        <v>30</v>
      </c>
      <c r="P18" s="5" t="s">
        <v>34</v>
      </c>
    </row>
    <row r="19" s="16" customFormat="1" ht="22.5" customHeight="1" spans="1:16">
      <c r="A19" s="3" t="s">
        <v>16</v>
      </c>
      <c r="B19" s="3" t="s">
        <v>17</v>
      </c>
      <c r="C19" s="3" t="s">
        <v>43</v>
      </c>
      <c r="D19" s="4" t="s">
        <v>41</v>
      </c>
      <c r="E19" s="6">
        <v>46050.5847781597</v>
      </c>
      <c r="F19" s="3" t="s">
        <v>26</v>
      </c>
      <c r="G19" s="3" t="s">
        <v>27</v>
      </c>
      <c r="H19" s="3">
        <v>1</v>
      </c>
      <c r="I19" s="7">
        <v>3.3</v>
      </c>
      <c r="J19" s="7">
        <v>3.3</v>
      </c>
      <c r="K19" s="7">
        <v>1</v>
      </c>
      <c r="L19" s="7">
        <v>3.3</v>
      </c>
      <c r="M19" s="7"/>
      <c r="N19" s="7"/>
      <c r="O19" s="5" t="s">
        <v>30</v>
      </c>
      <c r="P19" s="5" t="s">
        <v>34</v>
      </c>
    </row>
    <row r="20" s="16" customFormat="1" ht="22.5" customHeight="1" spans="1:16">
      <c r="A20" s="3" t="s">
        <v>16</v>
      </c>
      <c r="B20" s="3" t="s">
        <v>17</v>
      </c>
      <c r="C20" s="3" t="s">
        <v>43</v>
      </c>
      <c r="D20" s="4" t="s">
        <v>41</v>
      </c>
      <c r="E20" s="6">
        <v>46050.5847781597</v>
      </c>
      <c r="F20" s="3" t="s">
        <v>20</v>
      </c>
      <c r="G20" s="3" t="s">
        <v>44</v>
      </c>
      <c r="H20" s="3">
        <v>8</v>
      </c>
      <c r="I20" s="7">
        <v>3.3</v>
      </c>
      <c r="J20" s="7">
        <v>26.4</v>
      </c>
      <c r="K20" s="7">
        <v>8</v>
      </c>
      <c r="L20" s="7">
        <v>26.4</v>
      </c>
      <c r="M20" s="7"/>
      <c r="N20" s="7"/>
      <c r="O20" s="5" t="s">
        <v>30</v>
      </c>
      <c r="P20" s="5" t="s">
        <v>34</v>
      </c>
    </row>
    <row r="21" s="16" customFormat="1" ht="22.5" customHeight="1" spans="1:16">
      <c r="A21" s="3" t="s">
        <v>16</v>
      </c>
      <c r="B21" s="3" t="s">
        <v>17</v>
      </c>
      <c r="C21" s="3" t="s">
        <v>43</v>
      </c>
      <c r="D21" s="4" t="s">
        <v>41</v>
      </c>
      <c r="E21" s="6">
        <v>46050.5847781597</v>
      </c>
      <c r="F21" s="3" t="s">
        <v>20</v>
      </c>
      <c r="G21" s="3" t="s">
        <v>21</v>
      </c>
      <c r="H21" s="3">
        <v>11</v>
      </c>
      <c r="I21" s="7">
        <v>3.3</v>
      </c>
      <c r="J21" s="7">
        <v>36.3</v>
      </c>
      <c r="K21" s="7">
        <v>11</v>
      </c>
      <c r="L21" s="7">
        <v>36.3</v>
      </c>
      <c r="M21" s="7"/>
      <c r="N21" s="7"/>
      <c r="O21" s="5" t="s">
        <v>30</v>
      </c>
      <c r="P21" s="5" t="s">
        <v>34</v>
      </c>
    </row>
    <row r="22" s="16" customFormat="1" ht="22.5" customHeight="1" spans="1:16">
      <c r="A22" s="3" t="s">
        <v>16</v>
      </c>
      <c r="B22" s="3" t="s">
        <v>17</v>
      </c>
      <c r="C22" s="3" t="s">
        <v>45</v>
      </c>
      <c r="D22" s="4" t="s">
        <v>41</v>
      </c>
      <c r="E22" s="6">
        <v>46050.5847799769</v>
      </c>
      <c r="F22" s="3" t="s">
        <v>20</v>
      </c>
      <c r="G22" s="3" t="s">
        <v>21</v>
      </c>
      <c r="H22" s="3">
        <v>12</v>
      </c>
      <c r="I22" s="7">
        <v>3.3</v>
      </c>
      <c r="J22" s="7">
        <v>39.6</v>
      </c>
      <c r="K22" s="7">
        <v>12</v>
      </c>
      <c r="L22" s="7">
        <v>39.6</v>
      </c>
      <c r="M22" s="7"/>
      <c r="N22" s="7"/>
      <c r="O22" s="5" t="s">
        <v>30</v>
      </c>
      <c r="P22" s="5" t="s">
        <v>34</v>
      </c>
    </row>
    <row r="23" s="16" customFormat="1" ht="22.5" customHeight="1" spans="1:16">
      <c r="A23" s="3" t="s">
        <v>16</v>
      </c>
      <c r="B23" s="3" t="s">
        <v>17</v>
      </c>
      <c r="C23" s="3" t="s">
        <v>45</v>
      </c>
      <c r="D23" s="4" t="s">
        <v>41</v>
      </c>
      <c r="E23" s="6">
        <v>46050.5847799769</v>
      </c>
      <c r="F23" s="3" t="s">
        <v>26</v>
      </c>
      <c r="G23" s="3" t="s">
        <v>27</v>
      </c>
      <c r="H23" s="3">
        <v>1</v>
      </c>
      <c r="I23" s="7">
        <v>3.3</v>
      </c>
      <c r="J23" s="7">
        <v>3.3</v>
      </c>
      <c r="K23" s="7">
        <v>1</v>
      </c>
      <c r="L23" s="7">
        <v>3.3</v>
      </c>
      <c r="M23" s="7"/>
      <c r="N23" s="7"/>
      <c r="O23" s="5" t="s">
        <v>30</v>
      </c>
      <c r="P23" s="5" t="s">
        <v>34</v>
      </c>
    </row>
    <row r="24" s="16" customFormat="1" ht="22.5" customHeight="1" spans="1:16">
      <c r="A24" s="3" t="s">
        <v>16</v>
      </c>
      <c r="B24" s="3" t="s">
        <v>17</v>
      </c>
      <c r="C24" s="3" t="s">
        <v>46</v>
      </c>
      <c r="D24" s="4" t="s">
        <v>41</v>
      </c>
      <c r="E24" s="6">
        <v>46050.5847820949</v>
      </c>
      <c r="F24" s="3" t="s">
        <v>26</v>
      </c>
      <c r="G24" s="3" t="s">
        <v>27</v>
      </c>
      <c r="H24" s="3">
        <v>1</v>
      </c>
      <c r="I24" s="7">
        <v>3.3</v>
      </c>
      <c r="J24" s="7">
        <v>3.3</v>
      </c>
      <c r="K24" s="7">
        <v>1</v>
      </c>
      <c r="L24" s="7">
        <v>3.3</v>
      </c>
      <c r="M24" s="7"/>
      <c r="N24" s="7"/>
      <c r="O24" s="5" t="s">
        <v>30</v>
      </c>
      <c r="P24" s="5" t="s">
        <v>34</v>
      </c>
    </row>
    <row r="25" s="16" customFormat="1" ht="22.5" customHeight="1" spans="1:16">
      <c r="A25" s="3" t="s">
        <v>16</v>
      </c>
      <c r="B25" s="3" t="s">
        <v>17</v>
      </c>
      <c r="C25" s="3" t="s">
        <v>46</v>
      </c>
      <c r="D25" s="4" t="s">
        <v>41</v>
      </c>
      <c r="E25" s="6">
        <v>46050.5847820949</v>
      </c>
      <c r="F25" s="3" t="s">
        <v>20</v>
      </c>
      <c r="G25" s="3" t="s">
        <v>21</v>
      </c>
      <c r="H25" s="3">
        <v>11</v>
      </c>
      <c r="I25" s="7">
        <v>3.3</v>
      </c>
      <c r="J25" s="7">
        <v>36.3</v>
      </c>
      <c r="K25" s="7">
        <v>11</v>
      </c>
      <c r="L25" s="7">
        <v>36.3</v>
      </c>
      <c r="M25" s="7"/>
      <c r="N25" s="7"/>
      <c r="O25" s="5" t="s">
        <v>30</v>
      </c>
      <c r="P25" s="5" t="s">
        <v>34</v>
      </c>
    </row>
    <row r="26" s="16" customFormat="1" ht="22.5" customHeight="1" spans="1:16">
      <c r="A26" s="11" t="s">
        <v>16</v>
      </c>
      <c r="B26" s="11" t="s">
        <v>17</v>
      </c>
      <c r="C26" s="11" t="s">
        <v>47</v>
      </c>
      <c r="D26" s="12" t="s">
        <v>48</v>
      </c>
      <c r="E26" s="13">
        <v>46052.7773367708</v>
      </c>
      <c r="F26" s="11" t="s">
        <v>20</v>
      </c>
      <c r="G26" s="11" t="s">
        <v>24</v>
      </c>
      <c r="H26" s="11">
        <v>176</v>
      </c>
      <c r="I26" s="7">
        <v>120</v>
      </c>
      <c r="J26" s="7">
        <v>120</v>
      </c>
      <c r="K26" s="7">
        <v>176</v>
      </c>
      <c r="L26" s="7">
        <v>120</v>
      </c>
      <c r="M26" s="7"/>
      <c r="N26" s="7"/>
      <c r="O26" s="5" t="s">
        <v>30</v>
      </c>
      <c r="P26" s="5" t="s">
        <v>34</v>
      </c>
    </row>
    <row r="27" s="16" customFormat="1" ht="22.5" customHeight="1" spans="1:16">
      <c r="A27" s="11" t="s">
        <v>16</v>
      </c>
      <c r="B27" s="11" t="s">
        <v>17</v>
      </c>
      <c r="C27" s="11" t="s">
        <v>47</v>
      </c>
      <c r="D27" s="12" t="s">
        <v>48</v>
      </c>
      <c r="E27" s="13">
        <v>46052.7773367708</v>
      </c>
      <c r="F27" s="11" t="s">
        <v>26</v>
      </c>
      <c r="G27" s="11" t="s">
        <v>27</v>
      </c>
      <c r="H27" s="11">
        <v>1</v>
      </c>
      <c r="I27" s="7">
        <v>3.3</v>
      </c>
      <c r="J27" s="7">
        <v>3.3</v>
      </c>
      <c r="K27" s="7">
        <v>1</v>
      </c>
      <c r="L27" s="7">
        <v>3.3</v>
      </c>
      <c r="M27" s="7"/>
      <c r="N27" s="7"/>
      <c r="O27" s="5" t="s">
        <v>30</v>
      </c>
      <c r="P27" s="5" t="s">
        <v>34</v>
      </c>
    </row>
    <row r="28" s="16" customFormat="1" ht="22.5" customHeight="1" spans="1:16">
      <c r="A28" s="11" t="s">
        <v>16</v>
      </c>
      <c r="B28" s="11" t="s">
        <v>17</v>
      </c>
      <c r="C28" s="11" t="s">
        <v>49</v>
      </c>
      <c r="D28" s="12" t="s">
        <v>48</v>
      </c>
      <c r="E28" s="13">
        <v>46052.7773274653</v>
      </c>
      <c r="F28" s="11" t="s">
        <v>20</v>
      </c>
      <c r="G28" s="11" t="s">
        <v>21</v>
      </c>
      <c r="H28" s="11">
        <v>9</v>
      </c>
      <c r="I28" s="7">
        <v>3.3</v>
      </c>
      <c r="J28" s="7">
        <v>29.7</v>
      </c>
      <c r="K28" s="7">
        <v>9</v>
      </c>
      <c r="L28" s="7">
        <v>29.7</v>
      </c>
      <c r="M28" s="7"/>
      <c r="N28" s="7"/>
      <c r="O28" s="5" t="s">
        <v>30</v>
      </c>
      <c r="P28" s="5" t="s">
        <v>34</v>
      </c>
    </row>
    <row r="29" s="16" customFormat="1" ht="22.5" customHeight="1" spans="1:16">
      <c r="A29" s="11" t="s">
        <v>16</v>
      </c>
      <c r="B29" s="11" t="s">
        <v>17</v>
      </c>
      <c r="C29" s="11" t="s">
        <v>49</v>
      </c>
      <c r="D29" s="12" t="s">
        <v>48</v>
      </c>
      <c r="E29" s="13">
        <v>46052.7773274653</v>
      </c>
      <c r="F29" s="11" t="s">
        <v>26</v>
      </c>
      <c r="G29" s="11" t="s">
        <v>27</v>
      </c>
      <c r="H29" s="11">
        <v>1</v>
      </c>
      <c r="I29" s="7">
        <v>3.3</v>
      </c>
      <c r="J29" s="7">
        <v>3.3</v>
      </c>
      <c r="K29" s="7">
        <v>1</v>
      </c>
      <c r="L29" s="7">
        <v>3.3</v>
      </c>
      <c r="M29" s="7"/>
      <c r="N29" s="7"/>
      <c r="O29" s="5" t="s">
        <v>30</v>
      </c>
      <c r="P29" s="5" t="s">
        <v>34</v>
      </c>
    </row>
    <row r="30" s="16" customFormat="1" ht="22.5" customHeight="1" spans="1:16">
      <c r="A30" s="11" t="s">
        <v>16</v>
      </c>
      <c r="B30" s="11" t="s">
        <v>17</v>
      </c>
      <c r="C30" s="11" t="s">
        <v>50</v>
      </c>
      <c r="D30" s="12" t="s">
        <v>48</v>
      </c>
      <c r="E30" s="13">
        <v>46052.7773310995</v>
      </c>
      <c r="F30" s="11" t="s">
        <v>20</v>
      </c>
      <c r="G30" s="11" t="s">
        <v>21</v>
      </c>
      <c r="H30" s="11">
        <v>11</v>
      </c>
      <c r="I30" s="7">
        <v>3.3</v>
      </c>
      <c r="J30" s="7">
        <v>36.3</v>
      </c>
      <c r="K30" s="7">
        <v>11</v>
      </c>
      <c r="L30" s="7">
        <v>36.3</v>
      </c>
      <c r="M30" s="7"/>
      <c r="N30" s="7"/>
      <c r="O30" s="5" t="s">
        <v>30</v>
      </c>
      <c r="P30" s="5" t="s">
        <v>34</v>
      </c>
    </row>
    <row r="31" s="16" customFormat="1" ht="22.5" customHeight="1" spans="1:16">
      <c r="A31" s="11" t="s">
        <v>16</v>
      </c>
      <c r="B31" s="11" t="s">
        <v>17</v>
      </c>
      <c r="C31" s="11" t="s">
        <v>50</v>
      </c>
      <c r="D31" s="12" t="s">
        <v>48</v>
      </c>
      <c r="E31" s="13">
        <v>46052.7773310995</v>
      </c>
      <c r="F31" s="11" t="s">
        <v>26</v>
      </c>
      <c r="G31" s="11" t="s">
        <v>27</v>
      </c>
      <c r="H31" s="11">
        <v>1</v>
      </c>
      <c r="I31" s="7">
        <v>3.3</v>
      </c>
      <c r="J31" s="7">
        <v>3.3</v>
      </c>
      <c r="K31" s="7">
        <v>1</v>
      </c>
      <c r="L31" s="7">
        <v>3.3</v>
      </c>
      <c r="M31" s="7"/>
      <c r="N31" s="7"/>
      <c r="O31" s="5" t="s">
        <v>30</v>
      </c>
      <c r="P31" s="5" t="s">
        <v>34</v>
      </c>
    </row>
    <row r="32" s="16" customFormat="1" ht="22.5" customHeight="1" spans="1:16">
      <c r="A32" s="11" t="s">
        <v>16</v>
      </c>
      <c r="B32" s="11" t="s">
        <v>17</v>
      </c>
      <c r="C32" s="11" t="s">
        <v>51</v>
      </c>
      <c r="D32" s="12" t="s">
        <v>48</v>
      </c>
      <c r="E32" s="13">
        <v>46052.7773338773</v>
      </c>
      <c r="F32" s="11" t="s">
        <v>26</v>
      </c>
      <c r="G32" s="11" t="s">
        <v>27</v>
      </c>
      <c r="H32" s="11">
        <v>1</v>
      </c>
      <c r="I32" s="7">
        <v>3.3</v>
      </c>
      <c r="J32" s="7">
        <v>3.3</v>
      </c>
      <c r="K32" s="7">
        <v>1</v>
      </c>
      <c r="L32" s="7">
        <v>3.3</v>
      </c>
      <c r="M32" s="7"/>
      <c r="N32" s="7"/>
      <c r="O32" s="5" t="s">
        <v>30</v>
      </c>
      <c r="P32" s="5" t="s">
        <v>34</v>
      </c>
    </row>
    <row r="33" s="16" customFormat="1" ht="22.5" customHeight="1" spans="1:16">
      <c r="A33" s="11" t="s">
        <v>16</v>
      </c>
      <c r="B33" s="11" t="s">
        <v>17</v>
      </c>
      <c r="C33" s="11" t="s">
        <v>51</v>
      </c>
      <c r="D33" s="12" t="s">
        <v>48</v>
      </c>
      <c r="E33" s="13">
        <v>46052.7773338773</v>
      </c>
      <c r="F33" s="11" t="s">
        <v>20</v>
      </c>
      <c r="G33" s="11" t="s">
        <v>21</v>
      </c>
      <c r="H33" s="11">
        <v>22</v>
      </c>
      <c r="I33" s="7">
        <v>3.3</v>
      </c>
      <c r="J33" s="7">
        <v>72.6</v>
      </c>
      <c r="K33" s="7">
        <v>22</v>
      </c>
      <c r="L33" s="7">
        <v>72.6</v>
      </c>
      <c r="M33" s="7"/>
      <c r="N33" s="7"/>
      <c r="O33" s="5" t="s">
        <v>30</v>
      </c>
      <c r="P33" s="5" t="s">
        <v>34</v>
      </c>
    </row>
    <row r="34" s="16" customFormat="1" ht="22.5" customHeight="1" spans="1:16">
      <c r="A34" s="11" t="s">
        <v>16</v>
      </c>
      <c r="B34" s="11" t="s">
        <v>17</v>
      </c>
      <c r="C34" s="11" t="s">
        <v>52</v>
      </c>
      <c r="D34" s="12" t="s">
        <v>53</v>
      </c>
      <c r="E34" s="13">
        <v>46052.7314626505</v>
      </c>
      <c r="F34" s="11" t="s">
        <v>20</v>
      </c>
      <c r="G34" s="11" t="s">
        <v>25</v>
      </c>
      <c r="H34" s="11">
        <v>5</v>
      </c>
      <c r="I34" s="7">
        <v>3.3</v>
      </c>
      <c r="J34" s="7">
        <v>16.5</v>
      </c>
      <c r="K34" s="7">
        <v>5</v>
      </c>
      <c r="L34" s="7">
        <v>16.5</v>
      </c>
      <c r="M34" s="7"/>
      <c r="N34" s="7"/>
      <c r="O34" s="5" t="s">
        <v>30</v>
      </c>
      <c r="P34" s="5" t="s">
        <v>54</v>
      </c>
    </row>
    <row r="35" s="16" customFormat="1" ht="22.5" customHeight="1" spans="1:16">
      <c r="A35" s="11" t="s">
        <v>16</v>
      </c>
      <c r="B35" s="11" t="s">
        <v>17</v>
      </c>
      <c r="C35" s="11" t="s">
        <v>52</v>
      </c>
      <c r="D35" s="12" t="s">
        <v>53</v>
      </c>
      <c r="E35" s="13">
        <v>46052.7314626505</v>
      </c>
      <c r="F35" s="11" t="s">
        <v>20</v>
      </c>
      <c r="G35" s="11" t="s">
        <v>24</v>
      </c>
      <c r="H35" s="11">
        <v>158</v>
      </c>
      <c r="I35" s="7">
        <v>120</v>
      </c>
      <c r="J35" s="7">
        <v>120</v>
      </c>
      <c r="K35" s="7">
        <v>158</v>
      </c>
      <c r="L35" s="7">
        <v>120</v>
      </c>
      <c r="M35" s="7"/>
      <c r="N35" s="7"/>
      <c r="O35" s="5" t="s">
        <v>30</v>
      </c>
      <c r="P35" s="5" t="s">
        <v>54</v>
      </c>
    </row>
    <row r="36" s="16" customFormat="1" ht="22.5" customHeight="1" spans="1:16">
      <c r="A36" s="11" t="s">
        <v>16</v>
      </c>
      <c r="B36" s="11" t="s">
        <v>17</v>
      </c>
      <c r="C36" s="11" t="s">
        <v>52</v>
      </c>
      <c r="D36" s="12" t="s">
        <v>53</v>
      </c>
      <c r="E36" s="13">
        <v>46052.7314626505</v>
      </c>
      <c r="F36" s="11" t="s">
        <v>20</v>
      </c>
      <c r="G36" s="11" t="s">
        <v>21</v>
      </c>
      <c r="H36" s="11">
        <v>13</v>
      </c>
      <c r="I36" s="7">
        <v>3.3</v>
      </c>
      <c r="J36" s="7">
        <v>42.9</v>
      </c>
      <c r="K36" s="7">
        <v>13</v>
      </c>
      <c r="L36" s="7">
        <v>42.9</v>
      </c>
      <c r="M36" s="7"/>
      <c r="N36" s="7"/>
      <c r="O36" s="5" t="s">
        <v>30</v>
      </c>
      <c r="P36" s="5" t="s">
        <v>54</v>
      </c>
    </row>
    <row r="37" s="16" customFormat="1" ht="22.5" customHeight="1" spans="1:16">
      <c r="A37" s="11" t="s">
        <v>16</v>
      </c>
      <c r="B37" s="11" t="s">
        <v>17</v>
      </c>
      <c r="C37" s="11" t="s">
        <v>52</v>
      </c>
      <c r="D37" s="12" t="s">
        <v>53</v>
      </c>
      <c r="E37" s="13">
        <v>46052.7314626505</v>
      </c>
      <c r="F37" s="11" t="s">
        <v>26</v>
      </c>
      <c r="G37" s="11" t="s">
        <v>27</v>
      </c>
      <c r="H37" s="11">
        <v>1</v>
      </c>
      <c r="I37" s="7">
        <v>3.3</v>
      </c>
      <c r="J37" s="7">
        <v>3.3</v>
      </c>
      <c r="K37" s="7">
        <v>1</v>
      </c>
      <c r="L37" s="7">
        <v>3.3</v>
      </c>
      <c r="M37" s="7"/>
      <c r="N37" s="7"/>
      <c r="O37" s="5" t="s">
        <v>30</v>
      </c>
      <c r="P37" s="5" t="s">
        <v>54</v>
      </c>
    </row>
    <row r="38" s="16" customFormat="1" ht="22.5" customHeight="1" spans="1:16">
      <c r="A38" s="11" t="s">
        <v>16</v>
      </c>
      <c r="B38" s="11" t="s">
        <v>17</v>
      </c>
      <c r="C38" s="11" t="s">
        <v>55</v>
      </c>
      <c r="D38" s="12" t="s">
        <v>56</v>
      </c>
      <c r="E38" s="13">
        <v>46051.5000058681</v>
      </c>
      <c r="F38" s="11" t="s">
        <v>20</v>
      </c>
      <c r="G38" s="11" t="s">
        <v>25</v>
      </c>
      <c r="H38" s="11">
        <v>5</v>
      </c>
      <c r="I38" s="7">
        <v>3.3</v>
      </c>
      <c r="J38" s="7">
        <v>16.5</v>
      </c>
      <c r="K38" s="7">
        <v>5</v>
      </c>
      <c r="L38" s="7">
        <v>16.5</v>
      </c>
      <c r="M38" s="7"/>
      <c r="N38" s="7"/>
      <c r="O38" s="5" t="s">
        <v>30</v>
      </c>
      <c r="P38" s="5" t="s">
        <v>57</v>
      </c>
    </row>
    <row r="39" s="16" customFormat="1" ht="22.5" customHeight="1" spans="1:16">
      <c r="A39" s="11" t="s">
        <v>16</v>
      </c>
      <c r="B39" s="11" t="s">
        <v>17</v>
      </c>
      <c r="C39" s="11" t="s">
        <v>55</v>
      </c>
      <c r="D39" s="12" t="s">
        <v>56</v>
      </c>
      <c r="E39" s="13">
        <v>46051.5000058681</v>
      </c>
      <c r="F39" s="11" t="s">
        <v>20</v>
      </c>
      <c r="G39" s="11" t="s">
        <v>24</v>
      </c>
      <c r="H39" s="11">
        <v>158</v>
      </c>
      <c r="I39" s="7">
        <v>120</v>
      </c>
      <c r="J39" s="7">
        <v>120</v>
      </c>
      <c r="K39" s="7">
        <v>158</v>
      </c>
      <c r="L39" s="7">
        <v>120</v>
      </c>
      <c r="M39" s="7"/>
      <c r="N39" s="7"/>
      <c r="O39" s="5" t="s">
        <v>30</v>
      </c>
      <c r="P39" s="5" t="s">
        <v>57</v>
      </c>
    </row>
    <row r="40" s="16" customFormat="1" ht="22.5" customHeight="1" spans="1:16">
      <c r="A40" s="11" t="s">
        <v>16</v>
      </c>
      <c r="B40" s="11" t="s">
        <v>17</v>
      </c>
      <c r="C40" s="11" t="s">
        <v>55</v>
      </c>
      <c r="D40" s="12" t="s">
        <v>56</v>
      </c>
      <c r="E40" s="13">
        <v>46051.5000058681</v>
      </c>
      <c r="F40" s="11" t="s">
        <v>20</v>
      </c>
      <c r="G40" s="11" t="s">
        <v>21</v>
      </c>
      <c r="H40" s="11">
        <v>14</v>
      </c>
      <c r="I40" s="7">
        <v>3.3</v>
      </c>
      <c r="J40" s="7">
        <v>46.2</v>
      </c>
      <c r="K40" s="7">
        <v>14</v>
      </c>
      <c r="L40" s="7">
        <v>46.2</v>
      </c>
      <c r="M40" s="7"/>
      <c r="N40" s="7"/>
      <c r="O40" s="5" t="s">
        <v>30</v>
      </c>
      <c r="P40" s="5" t="s">
        <v>57</v>
      </c>
    </row>
    <row r="41" s="16" customFormat="1" ht="22.5" customHeight="1" spans="1:16">
      <c r="A41" s="11" t="s">
        <v>16</v>
      </c>
      <c r="B41" s="11" t="s">
        <v>17</v>
      </c>
      <c r="C41" s="11" t="s">
        <v>55</v>
      </c>
      <c r="D41" s="12" t="s">
        <v>56</v>
      </c>
      <c r="E41" s="13">
        <v>46051.5000058681</v>
      </c>
      <c r="F41" s="11" t="s">
        <v>26</v>
      </c>
      <c r="G41" s="11" t="s">
        <v>27</v>
      </c>
      <c r="H41" s="11">
        <v>1</v>
      </c>
      <c r="I41" s="7">
        <v>3.3</v>
      </c>
      <c r="J41" s="7">
        <v>3.3</v>
      </c>
      <c r="K41" s="7">
        <v>1</v>
      </c>
      <c r="L41" s="7">
        <v>3.3</v>
      </c>
      <c r="M41" s="7"/>
      <c r="N41" s="7"/>
      <c r="O41" s="5" t="s">
        <v>30</v>
      </c>
      <c r="P41" s="5" t="s">
        <v>57</v>
      </c>
    </row>
    <row r="42" s="16" customFormat="1" ht="22.5" customHeight="1" spans="1:16">
      <c r="A42" s="3" t="s">
        <v>16</v>
      </c>
      <c r="B42" s="3" t="s">
        <v>17</v>
      </c>
      <c r="C42" s="3" t="s">
        <v>58</v>
      </c>
      <c r="D42" s="4" t="s">
        <v>59</v>
      </c>
      <c r="E42" s="6">
        <v>46056.6725302431</v>
      </c>
      <c r="F42" s="3" t="s">
        <v>20</v>
      </c>
      <c r="G42" s="3" t="s">
        <v>21</v>
      </c>
      <c r="H42" s="3">
        <v>7</v>
      </c>
      <c r="I42" s="7">
        <v>3.3</v>
      </c>
      <c r="J42" s="7">
        <v>23.1</v>
      </c>
      <c r="K42" s="7">
        <v>7</v>
      </c>
      <c r="L42" s="7">
        <v>23.1</v>
      </c>
      <c r="M42" s="7"/>
      <c r="N42" s="7"/>
      <c r="O42" s="5" t="s">
        <v>30</v>
      </c>
      <c r="P42" s="5" t="s">
        <v>60</v>
      </c>
    </row>
    <row r="43" s="16" customFormat="1" ht="22.5" customHeight="1" spans="1:16">
      <c r="A43" s="3" t="s">
        <v>16</v>
      </c>
      <c r="B43" s="3" t="s">
        <v>17</v>
      </c>
      <c r="C43" s="3" t="s">
        <v>58</v>
      </c>
      <c r="D43" s="4" t="s">
        <v>59</v>
      </c>
      <c r="E43" s="6">
        <v>46056.6725302431</v>
      </c>
      <c r="F43" s="3" t="s">
        <v>26</v>
      </c>
      <c r="G43" s="3" t="s">
        <v>27</v>
      </c>
      <c r="H43" s="3">
        <v>1</v>
      </c>
      <c r="I43" s="7">
        <v>3.3</v>
      </c>
      <c r="J43" s="7">
        <v>3.3</v>
      </c>
      <c r="K43" s="7">
        <v>1</v>
      </c>
      <c r="L43" s="7">
        <v>3.3</v>
      </c>
      <c r="M43" s="7"/>
      <c r="N43" s="7"/>
      <c r="O43" s="5" t="s">
        <v>30</v>
      </c>
      <c r="P43" s="5" t="s">
        <v>60</v>
      </c>
    </row>
    <row r="44" s="16" customFormat="1" ht="22.5" customHeight="1" spans="1:16">
      <c r="A44" s="3" t="s">
        <v>16</v>
      </c>
      <c r="B44" s="3" t="s">
        <v>17</v>
      </c>
      <c r="C44" s="3" t="s">
        <v>65</v>
      </c>
      <c r="D44" s="4" t="s">
        <v>33</v>
      </c>
      <c r="E44" s="6">
        <v>46058.5695371181</v>
      </c>
      <c r="F44" s="3" t="s">
        <v>26</v>
      </c>
      <c r="G44" s="3" t="s">
        <v>27</v>
      </c>
      <c r="H44" s="3">
        <v>1</v>
      </c>
      <c r="I44" s="7">
        <v>3.3</v>
      </c>
      <c r="J44" s="7">
        <v>3.3</v>
      </c>
      <c r="K44" s="7">
        <v>1</v>
      </c>
      <c r="L44" s="7">
        <v>3.3</v>
      </c>
      <c r="M44" s="7"/>
      <c r="N44" s="7"/>
      <c r="O44" s="7" t="s">
        <v>30</v>
      </c>
      <c r="P44" s="5" t="s">
        <v>31</v>
      </c>
    </row>
    <row r="45" s="16" customFormat="1" ht="22.5" customHeight="1" spans="1:16">
      <c r="A45" s="3" t="s">
        <v>16</v>
      </c>
      <c r="B45" s="3" t="s">
        <v>17</v>
      </c>
      <c r="C45" s="3" t="s">
        <v>65</v>
      </c>
      <c r="D45" s="4" t="s">
        <v>33</v>
      </c>
      <c r="E45" s="6">
        <v>46058.5695371181</v>
      </c>
      <c r="F45" s="3" t="s">
        <v>20</v>
      </c>
      <c r="G45" s="3" t="s">
        <v>25</v>
      </c>
      <c r="H45" s="3">
        <v>4</v>
      </c>
      <c r="I45" s="7">
        <v>3.3</v>
      </c>
      <c r="J45" s="7">
        <v>13.2</v>
      </c>
      <c r="K45" s="7">
        <v>4</v>
      </c>
      <c r="L45" s="7">
        <v>13.2</v>
      </c>
      <c r="M45" s="7"/>
      <c r="N45" s="7"/>
      <c r="O45" s="7" t="s">
        <v>30</v>
      </c>
      <c r="P45" s="5" t="s">
        <v>31</v>
      </c>
    </row>
    <row r="46" s="16" customFormat="1" ht="22.5" customHeight="1" spans="1:16">
      <c r="A46" s="3" t="s">
        <v>16</v>
      </c>
      <c r="B46" s="3" t="s">
        <v>17</v>
      </c>
      <c r="C46" s="3" t="s">
        <v>65</v>
      </c>
      <c r="D46" s="4" t="s">
        <v>33</v>
      </c>
      <c r="E46" s="6">
        <v>46058.5695371181</v>
      </c>
      <c r="F46" s="3" t="s">
        <v>20</v>
      </c>
      <c r="G46" s="3" t="s">
        <v>66</v>
      </c>
      <c r="H46" s="3">
        <v>17</v>
      </c>
      <c r="I46" s="7">
        <v>3.3</v>
      </c>
      <c r="J46" s="7">
        <v>56.1</v>
      </c>
      <c r="K46" s="7">
        <v>17</v>
      </c>
      <c r="L46" s="7">
        <v>56.1</v>
      </c>
      <c r="M46" s="7"/>
      <c r="N46" s="7"/>
      <c r="O46" s="7" t="s">
        <v>30</v>
      </c>
      <c r="P46" s="5" t="s">
        <v>31</v>
      </c>
    </row>
    <row r="47" s="16" customFormat="1" ht="22.5" customHeight="1" spans="1:16">
      <c r="A47" s="3" t="s">
        <v>16</v>
      </c>
      <c r="B47" s="3" t="s">
        <v>17</v>
      </c>
      <c r="C47" s="3" t="s">
        <v>65</v>
      </c>
      <c r="D47" s="4" t="s">
        <v>33</v>
      </c>
      <c r="E47" s="6">
        <v>46058.5695371181</v>
      </c>
      <c r="F47" s="3" t="s">
        <v>20</v>
      </c>
      <c r="G47" s="3" t="s">
        <v>24</v>
      </c>
      <c r="H47" s="3">
        <v>178</v>
      </c>
      <c r="I47" s="7">
        <v>120</v>
      </c>
      <c r="J47" s="7">
        <v>120</v>
      </c>
      <c r="K47" s="7">
        <v>178</v>
      </c>
      <c r="L47" s="7">
        <v>120</v>
      </c>
      <c r="M47" s="7"/>
      <c r="N47" s="7"/>
      <c r="O47" s="7" t="s">
        <v>30</v>
      </c>
      <c r="P47" s="5" t="s">
        <v>31</v>
      </c>
    </row>
    <row r="48" s="16" customFormat="1" ht="22.5" customHeight="1" spans="1:16">
      <c r="A48" s="3" t="s">
        <v>16</v>
      </c>
      <c r="B48" s="3" t="s">
        <v>17</v>
      </c>
      <c r="C48" s="3" t="s">
        <v>67</v>
      </c>
      <c r="D48" s="4" t="s">
        <v>68</v>
      </c>
      <c r="E48" s="6">
        <v>46058.8012223032</v>
      </c>
      <c r="F48" s="3" t="s">
        <v>26</v>
      </c>
      <c r="G48" s="3" t="s">
        <v>27</v>
      </c>
      <c r="H48" s="3">
        <v>1</v>
      </c>
      <c r="I48" s="7">
        <v>3.3</v>
      </c>
      <c r="J48" s="7">
        <v>3.3</v>
      </c>
      <c r="K48" s="7">
        <v>1</v>
      </c>
      <c r="L48" s="7">
        <v>3.3</v>
      </c>
      <c r="M48" s="7"/>
      <c r="N48" s="7"/>
      <c r="O48" s="7" t="s">
        <v>30</v>
      </c>
      <c r="P48" s="5" t="s">
        <v>34</v>
      </c>
    </row>
    <row r="49" s="16" customFormat="1" ht="22.5" customHeight="1" spans="1:16">
      <c r="A49" s="3" t="s">
        <v>16</v>
      </c>
      <c r="B49" s="3" t="s">
        <v>17</v>
      </c>
      <c r="C49" s="3" t="s">
        <v>67</v>
      </c>
      <c r="D49" s="4" t="s">
        <v>68</v>
      </c>
      <c r="E49" s="6">
        <v>46058.8012223032</v>
      </c>
      <c r="F49" s="3" t="s">
        <v>20</v>
      </c>
      <c r="G49" s="3" t="s">
        <v>21</v>
      </c>
      <c r="H49" s="3">
        <v>10</v>
      </c>
      <c r="I49" s="7">
        <v>3.3</v>
      </c>
      <c r="J49" s="7">
        <v>33</v>
      </c>
      <c r="K49" s="7">
        <v>10</v>
      </c>
      <c r="L49" s="7">
        <v>33</v>
      </c>
      <c r="M49" s="7"/>
      <c r="N49" s="7"/>
      <c r="O49" s="7" t="s">
        <v>30</v>
      </c>
      <c r="P49" s="5" t="s">
        <v>34</v>
      </c>
    </row>
    <row r="50" s="16" customFormat="1" ht="22.5" customHeight="1" spans="1:16">
      <c r="A50" s="3" t="s">
        <v>16</v>
      </c>
      <c r="B50" s="3" t="s">
        <v>17</v>
      </c>
      <c r="C50" s="3" t="s">
        <v>69</v>
      </c>
      <c r="D50" s="4" t="s">
        <v>68</v>
      </c>
      <c r="E50" s="6">
        <v>46058.8012236111</v>
      </c>
      <c r="F50" s="3" t="s">
        <v>26</v>
      </c>
      <c r="G50" s="3" t="s">
        <v>27</v>
      </c>
      <c r="H50" s="3">
        <v>1</v>
      </c>
      <c r="I50" s="7">
        <v>3.3</v>
      </c>
      <c r="J50" s="7">
        <v>3.3</v>
      </c>
      <c r="K50" s="7">
        <v>1</v>
      </c>
      <c r="L50" s="7">
        <v>3.3</v>
      </c>
      <c r="M50" s="7"/>
      <c r="N50" s="7"/>
      <c r="O50" s="7" t="s">
        <v>30</v>
      </c>
      <c r="P50" s="5" t="s">
        <v>34</v>
      </c>
    </row>
    <row r="51" s="16" customFormat="1" ht="22.5" customHeight="1" spans="1:16">
      <c r="A51" s="3" t="s">
        <v>16</v>
      </c>
      <c r="B51" s="3" t="s">
        <v>17</v>
      </c>
      <c r="C51" s="3" t="s">
        <v>69</v>
      </c>
      <c r="D51" s="4" t="s">
        <v>68</v>
      </c>
      <c r="E51" s="6">
        <v>46058.8012236111</v>
      </c>
      <c r="F51" s="3" t="s">
        <v>20</v>
      </c>
      <c r="G51" s="3" t="s">
        <v>21</v>
      </c>
      <c r="H51" s="3">
        <v>36</v>
      </c>
      <c r="I51" s="7">
        <v>3.3</v>
      </c>
      <c r="J51" s="7">
        <v>118.8</v>
      </c>
      <c r="K51" s="7">
        <v>27</v>
      </c>
      <c r="L51" s="7">
        <v>89.1</v>
      </c>
      <c r="M51" s="7">
        <v>9</v>
      </c>
      <c r="N51" s="7">
        <v>29.7</v>
      </c>
      <c r="O51" s="7" t="s">
        <v>30</v>
      </c>
      <c r="P51" s="5" t="s">
        <v>34</v>
      </c>
    </row>
    <row r="52" s="16" customFormat="1" ht="22.5" customHeight="1" spans="1:16">
      <c r="A52" s="3" t="s">
        <v>16</v>
      </c>
      <c r="B52" s="3" t="s">
        <v>17</v>
      </c>
      <c r="C52" s="3" t="s">
        <v>73</v>
      </c>
      <c r="D52" s="4" t="s">
        <v>53</v>
      </c>
      <c r="E52" s="6">
        <v>46060.4114349884</v>
      </c>
      <c r="F52" s="3" t="s">
        <v>26</v>
      </c>
      <c r="G52" s="3" t="s">
        <v>27</v>
      </c>
      <c r="H52" s="3">
        <v>1</v>
      </c>
      <c r="I52" s="7">
        <v>3.3</v>
      </c>
      <c r="J52" s="7">
        <v>3.3</v>
      </c>
      <c r="K52" s="7"/>
      <c r="L52" s="7"/>
      <c r="M52" s="7">
        <v>1</v>
      </c>
      <c r="N52" s="7">
        <v>3.3</v>
      </c>
      <c r="O52" s="5" t="s">
        <v>30</v>
      </c>
      <c r="P52" s="5" t="s">
        <v>31</v>
      </c>
    </row>
    <row r="53" s="16" customFormat="1" ht="22.5" customHeight="1" spans="1:16">
      <c r="A53" s="3" t="s">
        <v>16</v>
      </c>
      <c r="B53" s="3" t="s">
        <v>17</v>
      </c>
      <c r="C53" s="3" t="s">
        <v>73</v>
      </c>
      <c r="D53" s="4" t="s">
        <v>53</v>
      </c>
      <c r="E53" s="6">
        <v>46060.4114349884</v>
      </c>
      <c r="F53" s="3" t="s">
        <v>20</v>
      </c>
      <c r="G53" s="3" t="s">
        <v>25</v>
      </c>
      <c r="H53" s="3">
        <v>5</v>
      </c>
      <c r="I53" s="7">
        <v>3.3</v>
      </c>
      <c r="J53" s="7">
        <v>16.5</v>
      </c>
      <c r="K53" s="7">
        <v>5</v>
      </c>
      <c r="L53" s="7">
        <v>16.5</v>
      </c>
      <c r="M53" s="7"/>
      <c r="N53" s="7"/>
      <c r="O53" s="5" t="s">
        <v>30</v>
      </c>
      <c r="P53" s="5" t="s">
        <v>31</v>
      </c>
    </row>
    <row r="54" s="16" customFormat="1" ht="22.5" customHeight="1" spans="1:16">
      <c r="A54" s="3" t="s">
        <v>16</v>
      </c>
      <c r="B54" s="3" t="s">
        <v>17</v>
      </c>
      <c r="C54" s="3" t="s">
        <v>73</v>
      </c>
      <c r="D54" s="4" t="s">
        <v>53</v>
      </c>
      <c r="E54" s="6">
        <v>46060.4114349884</v>
      </c>
      <c r="F54" s="3" t="s">
        <v>20</v>
      </c>
      <c r="G54" s="3" t="s">
        <v>24</v>
      </c>
      <c r="H54" s="3">
        <v>158</v>
      </c>
      <c r="I54" s="7">
        <v>120</v>
      </c>
      <c r="J54" s="7">
        <v>120</v>
      </c>
      <c r="K54" s="7">
        <v>158</v>
      </c>
      <c r="L54" s="7">
        <v>120</v>
      </c>
      <c r="M54" s="7"/>
      <c r="N54" s="7"/>
      <c r="O54" s="5" t="s">
        <v>30</v>
      </c>
      <c r="P54" s="5" t="s">
        <v>31</v>
      </c>
    </row>
    <row r="55" s="16" customFormat="1" ht="22.5" customHeight="1" spans="1:16">
      <c r="A55" s="3" t="s">
        <v>16</v>
      </c>
      <c r="B55" s="3" t="s">
        <v>17</v>
      </c>
      <c r="C55" s="3" t="s">
        <v>73</v>
      </c>
      <c r="D55" s="4" t="s">
        <v>53</v>
      </c>
      <c r="E55" s="6">
        <v>46060.4114349884</v>
      </c>
      <c r="F55" s="3" t="s">
        <v>20</v>
      </c>
      <c r="G55" s="3" t="s">
        <v>35</v>
      </c>
      <c r="H55" s="3">
        <v>14</v>
      </c>
      <c r="I55" s="7">
        <v>3.3</v>
      </c>
      <c r="J55" s="7">
        <v>46.2</v>
      </c>
      <c r="K55" s="7">
        <v>13</v>
      </c>
      <c r="L55" s="7">
        <v>42.9</v>
      </c>
      <c r="M55" s="7">
        <v>1</v>
      </c>
      <c r="N55" s="7">
        <v>3.3</v>
      </c>
      <c r="O55" s="5" t="s">
        <v>30</v>
      </c>
      <c r="P55" s="5" t="s">
        <v>31</v>
      </c>
    </row>
    <row r="56" s="16" customFormat="1" ht="22.5" customHeight="1" spans="1:16">
      <c r="A56" s="3" t="s">
        <v>16</v>
      </c>
      <c r="B56" s="3" t="s">
        <v>17</v>
      </c>
      <c r="C56" s="3" t="s">
        <v>74</v>
      </c>
      <c r="D56" s="4" t="s">
        <v>53</v>
      </c>
      <c r="E56" s="6">
        <v>46060.4114376968</v>
      </c>
      <c r="F56" s="3" t="s">
        <v>20</v>
      </c>
      <c r="G56" s="3" t="s">
        <v>35</v>
      </c>
      <c r="H56" s="3">
        <v>3</v>
      </c>
      <c r="I56" s="7">
        <v>13.2</v>
      </c>
      <c r="J56" s="7">
        <v>39.6</v>
      </c>
      <c r="K56" s="7">
        <v>3</v>
      </c>
      <c r="L56" s="7">
        <v>39.6</v>
      </c>
      <c r="M56" s="7"/>
      <c r="N56" s="7"/>
      <c r="O56" s="5" t="s">
        <v>30</v>
      </c>
      <c r="P56" s="5" t="s">
        <v>31</v>
      </c>
    </row>
    <row r="57" s="16" customFormat="1" ht="22.5" customHeight="1" spans="1:16">
      <c r="A57" s="3" t="s">
        <v>16</v>
      </c>
      <c r="B57" s="3" t="s">
        <v>17</v>
      </c>
      <c r="C57" s="3" t="s">
        <v>75</v>
      </c>
      <c r="D57" s="4" t="s">
        <v>53</v>
      </c>
      <c r="E57" s="6">
        <v>46060.4114396181</v>
      </c>
      <c r="F57" s="3" t="s">
        <v>20</v>
      </c>
      <c r="G57" s="3" t="s">
        <v>35</v>
      </c>
      <c r="H57" s="3">
        <v>1</v>
      </c>
      <c r="I57" s="7">
        <v>15</v>
      </c>
      <c r="J57" s="7">
        <v>15</v>
      </c>
      <c r="K57" s="7">
        <v>1</v>
      </c>
      <c r="L57" s="7">
        <v>15</v>
      </c>
      <c r="M57" s="7"/>
      <c r="N57" s="7"/>
      <c r="O57" s="5" t="s">
        <v>30</v>
      </c>
      <c r="P57" s="5" t="s">
        <v>31</v>
      </c>
    </row>
    <row r="58" s="16" customFormat="1" ht="22.5" customHeight="1" spans="1:16">
      <c r="A58" s="3" t="s">
        <v>16</v>
      </c>
      <c r="B58" s="3" t="s">
        <v>17</v>
      </c>
      <c r="C58" s="3" t="s">
        <v>76</v>
      </c>
      <c r="D58" s="4" t="s">
        <v>77</v>
      </c>
      <c r="E58" s="6">
        <v>46062.8341427894</v>
      </c>
      <c r="F58" s="3" t="s">
        <v>26</v>
      </c>
      <c r="G58" s="3" t="s">
        <v>27</v>
      </c>
      <c r="H58" s="3">
        <v>1</v>
      </c>
      <c r="I58" s="7">
        <v>3.3</v>
      </c>
      <c r="J58" s="7">
        <v>3.3</v>
      </c>
      <c r="K58" s="7">
        <v>1</v>
      </c>
      <c r="L58" s="7">
        <v>3.3</v>
      </c>
      <c r="M58" s="7"/>
      <c r="N58" s="7"/>
      <c r="O58" s="5" t="s">
        <v>30</v>
      </c>
      <c r="P58" s="5" t="s">
        <v>34</v>
      </c>
    </row>
    <row r="59" s="16" customFormat="1" ht="22.5" customHeight="1" spans="1:16">
      <c r="A59" s="3" t="s">
        <v>16</v>
      </c>
      <c r="B59" s="3" t="s">
        <v>17</v>
      </c>
      <c r="C59" s="3" t="s">
        <v>76</v>
      </c>
      <c r="D59" s="4" t="s">
        <v>77</v>
      </c>
      <c r="E59" s="6">
        <v>46062.8341427894</v>
      </c>
      <c r="F59" s="3" t="s">
        <v>20</v>
      </c>
      <c r="G59" s="3" t="s">
        <v>21</v>
      </c>
      <c r="H59" s="3">
        <v>15</v>
      </c>
      <c r="I59" s="7">
        <v>3.3</v>
      </c>
      <c r="J59" s="7">
        <v>49.5</v>
      </c>
      <c r="K59" s="7">
        <v>15</v>
      </c>
      <c r="L59" s="7">
        <v>49.5</v>
      </c>
      <c r="M59" s="7"/>
      <c r="N59" s="7"/>
      <c r="O59" s="5" t="s">
        <v>30</v>
      </c>
      <c r="P59" s="5" t="s">
        <v>34</v>
      </c>
    </row>
    <row r="60" s="16" customFormat="1" ht="22.5" customHeight="1" spans="1:16">
      <c r="A60" s="3" t="s">
        <v>16</v>
      </c>
      <c r="B60" s="3" t="s">
        <v>17</v>
      </c>
      <c r="C60" s="3" t="s">
        <v>78</v>
      </c>
      <c r="D60" s="4" t="s">
        <v>77</v>
      </c>
      <c r="E60" s="6">
        <v>46062.8341455208</v>
      </c>
      <c r="F60" s="3" t="s">
        <v>26</v>
      </c>
      <c r="G60" s="3" t="s">
        <v>27</v>
      </c>
      <c r="H60" s="3">
        <v>1</v>
      </c>
      <c r="I60" s="7">
        <v>3.3</v>
      </c>
      <c r="J60" s="7">
        <v>3.3</v>
      </c>
      <c r="K60" s="7">
        <v>1</v>
      </c>
      <c r="L60" s="7">
        <v>3.3</v>
      </c>
      <c r="M60" s="7"/>
      <c r="N60" s="7"/>
      <c r="O60" s="5" t="s">
        <v>30</v>
      </c>
      <c r="P60" s="5" t="s">
        <v>34</v>
      </c>
    </row>
    <row r="61" s="16" customFormat="1" ht="22.5" customHeight="1" spans="1:16">
      <c r="A61" s="3" t="s">
        <v>16</v>
      </c>
      <c r="B61" s="3" t="s">
        <v>17</v>
      </c>
      <c r="C61" s="3" t="s">
        <v>78</v>
      </c>
      <c r="D61" s="4" t="s">
        <v>77</v>
      </c>
      <c r="E61" s="6">
        <v>46062.8341455208</v>
      </c>
      <c r="F61" s="3" t="s">
        <v>20</v>
      </c>
      <c r="G61" s="3" t="s">
        <v>21</v>
      </c>
      <c r="H61" s="3">
        <v>14</v>
      </c>
      <c r="I61" s="7">
        <v>3.3</v>
      </c>
      <c r="J61" s="7">
        <v>46.2</v>
      </c>
      <c r="K61" s="7">
        <v>14</v>
      </c>
      <c r="L61" s="7">
        <v>46.2</v>
      </c>
      <c r="M61" s="7"/>
      <c r="N61" s="7"/>
      <c r="O61" s="5" t="s">
        <v>30</v>
      </c>
      <c r="P61" s="5" t="s">
        <v>34</v>
      </c>
    </row>
    <row r="62" s="16" customFormat="1" ht="22.5" customHeight="1" spans="1:16">
      <c r="A62" s="3" t="s">
        <v>16</v>
      </c>
      <c r="B62" s="3" t="s">
        <v>17</v>
      </c>
      <c r="C62" s="3" t="s">
        <v>79</v>
      </c>
      <c r="D62" s="4" t="s">
        <v>77</v>
      </c>
      <c r="E62" s="6">
        <v>46062.8341482986</v>
      </c>
      <c r="F62" s="3" t="s">
        <v>26</v>
      </c>
      <c r="G62" s="3" t="s">
        <v>27</v>
      </c>
      <c r="H62" s="3">
        <v>1</v>
      </c>
      <c r="I62" s="7">
        <v>3.3</v>
      </c>
      <c r="J62" s="7">
        <v>3.3</v>
      </c>
      <c r="K62" s="7">
        <v>1</v>
      </c>
      <c r="L62" s="7">
        <v>3.3</v>
      </c>
      <c r="M62" s="7"/>
      <c r="N62" s="7"/>
      <c r="O62" s="5" t="s">
        <v>30</v>
      </c>
      <c r="P62" s="5" t="s">
        <v>34</v>
      </c>
    </row>
    <row r="63" s="16" customFormat="1" ht="22.5" customHeight="1" spans="1:16">
      <c r="A63" s="3" t="s">
        <v>16</v>
      </c>
      <c r="B63" s="3" t="s">
        <v>17</v>
      </c>
      <c r="C63" s="3" t="s">
        <v>79</v>
      </c>
      <c r="D63" s="4" t="s">
        <v>77</v>
      </c>
      <c r="E63" s="6">
        <v>46062.8341482986</v>
      </c>
      <c r="F63" s="3" t="s">
        <v>20</v>
      </c>
      <c r="G63" s="3" t="s">
        <v>21</v>
      </c>
      <c r="H63" s="3">
        <v>16</v>
      </c>
      <c r="I63" s="7">
        <v>3.3</v>
      </c>
      <c r="J63" s="7">
        <v>52.8</v>
      </c>
      <c r="K63" s="7">
        <v>16</v>
      </c>
      <c r="L63" s="7">
        <v>52.8</v>
      </c>
      <c r="M63" s="7"/>
      <c r="N63" s="7"/>
      <c r="O63" s="5" t="s">
        <v>30</v>
      </c>
      <c r="P63" s="5" t="s">
        <v>34</v>
      </c>
    </row>
    <row r="64" s="16" customFormat="1" ht="22.5" customHeight="1" spans="1:16">
      <c r="A64" s="3" t="s">
        <v>16</v>
      </c>
      <c r="B64" s="3" t="s">
        <v>17</v>
      </c>
      <c r="C64" s="3" t="s">
        <v>80</v>
      </c>
      <c r="D64" s="4" t="s">
        <v>41</v>
      </c>
      <c r="E64" s="6">
        <v>46062.8341427894</v>
      </c>
      <c r="F64" s="3" t="s">
        <v>20</v>
      </c>
      <c r="G64" s="3" t="s">
        <v>81</v>
      </c>
      <c r="H64" s="3">
        <v>15</v>
      </c>
      <c r="I64" s="7">
        <v>30</v>
      </c>
      <c r="J64" s="7">
        <v>30</v>
      </c>
      <c r="K64" s="7">
        <v>15</v>
      </c>
      <c r="L64" s="7">
        <v>30</v>
      </c>
      <c r="M64" s="7"/>
      <c r="N64" s="7"/>
      <c r="O64" s="5" t="s">
        <v>30</v>
      </c>
      <c r="P64" s="5" t="s">
        <v>34</v>
      </c>
    </row>
    <row r="65" s="16" customFormat="1" ht="22.5" customHeight="1" spans="1:16">
      <c r="A65" s="3" t="s">
        <v>16</v>
      </c>
      <c r="B65" s="3" t="s">
        <v>17</v>
      </c>
      <c r="C65" s="3" t="s">
        <v>80</v>
      </c>
      <c r="D65" s="4" t="s">
        <v>41</v>
      </c>
      <c r="E65" s="6">
        <v>46062.8341427894</v>
      </c>
      <c r="F65" s="3" t="s">
        <v>26</v>
      </c>
      <c r="G65" s="3" t="s">
        <v>27</v>
      </c>
      <c r="H65" s="3">
        <v>1</v>
      </c>
      <c r="I65" s="7">
        <v>3.3</v>
      </c>
      <c r="J65" s="7">
        <v>3.3</v>
      </c>
      <c r="K65" s="7">
        <v>1</v>
      </c>
      <c r="L65" s="7">
        <v>3.3</v>
      </c>
      <c r="M65" s="7"/>
      <c r="N65" s="7"/>
      <c r="O65" s="5" t="s">
        <v>30</v>
      </c>
      <c r="P65" s="5" t="s">
        <v>34</v>
      </c>
    </row>
    <row r="66" s="16" customFormat="1" ht="22.5" customHeight="1" spans="1:16">
      <c r="A66" s="3" t="s">
        <v>16</v>
      </c>
      <c r="B66" s="3" t="s">
        <v>17</v>
      </c>
      <c r="C66" s="3" t="s">
        <v>82</v>
      </c>
      <c r="D66" s="4" t="s">
        <v>41</v>
      </c>
      <c r="E66" s="6">
        <v>46062.8341512384</v>
      </c>
      <c r="F66" s="3" t="s">
        <v>26</v>
      </c>
      <c r="G66" s="3" t="s">
        <v>27</v>
      </c>
      <c r="H66" s="3">
        <v>1</v>
      </c>
      <c r="I66" s="7">
        <v>3.3</v>
      </c>
      <c r="J66" s="7">
        <v>3.3</v>
      </c>
      <c r="K66" s="7">
        <v>1</v>
      </c>
      <c r="L66" s="7">
        <v>3.3</v>
      </c>
      <c r="M66" s="7"/>
      <c r="N66" s="7"/>
      <c r="O66" s="5" t="s">
        <v>30</v>
      </c>
      <c r="P66" s="5" t="s">
        <v>34</v>
      </c>
    </row>
    <row r="67" s="16" customFormat="1" ht="22.5" customHeight="1" spans="1:16">
      <c r="A67" s="3" t="s">
        <v>16</v>
      </c>
      <c r="B67" s="3" t="s">
        <v>17</v>
      </c>
      <c r="C67" s="3" t="s">
        <v>82</v>
      </c>
      <c r="D67" s="4" t="s">
        <v>41</v>
      </c>
      <c r="E67" s="6">
        <v>46062.8341512384</v>
      </c>
      <c r="F67" s="3" t="s">
        <v>20</v>
      </c>
      <c r="G67" s="3" t="s">
        <v>21</v>
      </c>
      <c r="H67" s="3">
        <v>34</v>
      </c>
      <c r="I67" s="7">
        <v>3.3</v>
      </c>
      <c r="J67" s="7">
        <v>112.2</v>
      </c>
      <c r="K67" s="7">
        <v>34</v>
      </c>
      <c r="L67" s="7">
        <v>112.2</v>
      </c>
      <c r="M67" s="7"/>
      <c r="N67" s="7"/>
      <c r="O67" s="5" t="s">
        <v>30</v>
      </c>
      <c r="P67" s="5" t="s">
        <v>34</v>
      </c>
    </row>
    <row r="68" s="16" customFormat="1" ht="22.5" customHeight="1" spans="1:16">
      <c r="A68" s="3" t="s">
        <v>16</v>
      </c>
      <c r="B68" s="3" t="s">
        <v>17</v>
      </c>
      <c r="C68" s="3" t="s">
        <v>83</v>
      </c>
      <c r="D68" s="4" t="s">
        <v>41</v>
      </c>
      <c r="E68" s="6">
        <v>46062.8341542824</v>
      </c>
      <c r="F68" s="3" t="s">
        <v>26</v>
      </c>
      <c r="G68" s="3" t="s">
        <v>27</v>
      </c>
      <c r="H68" s="3">
        <v>1</v>
      </c>
      <c r="I68" s="7">
        <v>3.3</v>
      </c>
      <c r="J68" s="7">
        <v>3.3</v>
      </c>
      <c r="K68" s="7">
        <v>1</v>
      </c>
      <c r="L68" s="7">
        <v>3.3</v>
      </c>
      <c r="M68" s="7"/>
      <c r="N68" s="7"/>
      <c r="O68" s="5" t="s">
        <v>30</v>
      </c>
      <c r="P68" s="5" t="s">
        <v>34</v>
      </c>
    </row>
    <row r="69" s="16" customFormat="1" ht="22.5" customHeight="1" spans="1:16">
      <c r="A69" s="3" t="s">
        <v>16</v>
      </c>
      <c r="B69" s="3" t="s">
        <v>17</v>
      </c>
      <c r="C69" s="3" t="s">
        <v>83</v>
      </c>
      <c r="D69" s="4" t="s">
        <v>41</v>
      </c>
      <c r="E69" s="6">
        <v>46062.8341542824</v>
      </c>
      <c r="F69" s="3" t="s">
        <v>20</v>
      </c>
      <c r="G69" s="3" t="s">
        <v>21</v>
      </c>
      <c r="H69" s="3">
        <v>25</v>
      </c>
      <c r="I69" s="7">
        <v>3.3</v>
      </c>
      <c r="J69" s="7">
        <v>82.5</v>
      </c>
      <c r="K69" s="7">
        <v>25</v>
      </c>
      <c r="L69" s="7">
        <v>82.5</v>
      </c>
      <c r="M69" s="7"/>
      <c r="N69" s="7"/>
      <c r="O69" s="5" t="s">
        <v>30</v>
      </c>
      <c r="P69" s="5" t="s">
        <v>34</v>
      </c>
    </row>
    <row r="70" s="16" customFormat="1" ht="22.5" customHeight="1" spans="1:16">
      <c r="A70" s="3" t="s">
        <v>16</v>
      </c>
      <c r="B70" s="3" t="s">
        <v>17</v>
      </c>
      <c r="C70" s="3" t="s">
        <v>84</v>
      </c>
      <c r="D70" s="4" t="s">
        <v>41</v>
      </c>
      <c r="E70" s="6">
        <v>46062.8341455208</v>
      </c>
      <c r="F70" s="3" t="s">
        <v>26</v>
      </c>
      <c r="G70" s="3" t="s">
        <v>27</v>
      </c>
      <c r="H70" s="3">
        <v>1</v>
      </c>
      <c r="I70" s="7">
        <v>3.3</v>
      </c>
      <c r="J70" s="7">
        <v>3.3</v>
      </c>
      <c r="K70" s="7">
        <v>1</v>
      </c>
      <c r="L70" s="7">
        <v>3.3</v>
      </c>
      <c r="M70" s="7"/>
      <c r="N70" s="7"/>
      <c r="O70" s="5" t="s">
        <v>30</v>
      </c>
      <c r="P70" s="5" t="s">
        <v>34</v>
      </c>
    </row>
    <row r="71" s="16" customFormat="1" ht="22.5" customHeight="1" spans="1:16">
      <c r="A71" s="3" t="s">
        <v>16</v>
      </c>
      <c r="B71" s="3" t="s">
        <v>17</v>
      </c>
      <c r="C71" s="3" t="s">
        <v>84</v>
      </c>
      <c r="D71" s="4" t="s">
        <v>41</v>
      </c>
      <c r="E71" s="6">
        <v>46062.8341455208</v>
      </c>
      <c r="F71" s="3" t="s">
        <v>20</v>
      </c>
      <c r="G71" s="3" t="s">
        <v>21</v>
      </c>
      <c r="H71" s="3">
        <v>15</v>
      </c>
      <c r="I71" s="7">
        <v>3.3</v>
      </c>
      <c r="J71" s="7">
        <v>49.5</v>
      </c>
      <c r="K71" s="7">
        <v>15</v>
      </c>
      <c r="L71" s="7">
        <v>49.5</v>
      </c>
      <c r="M71" s="7"/>
      <c r="N71" s="7"/>
      <c r="O71" s="5" t="s">
        <v>30</v>
      </c>
      <c r="P71" s="5" t="s">
        <v>34</v>
      </c>
    </row>
    <row r="72" s="16" customFormat="1" ht="22.5" customHeight="1" spans="1:16">
      <c r="A72" s="3" t="s">
        <v>16</v>
      </c>
      <c r="B72" s="3" t="s">
        <v>17</v>
      </c>
      <c r="C72" s="3" t="s">
        <v>85</v>
      </c>
      <c r="D72" s="4" t="s">
        <v>41</v>
      </c>
      <c r="E72" s="6">
        <v>46062.8341482986</v>
      </c>
      <c r="F72" s="3" t="s">
        <v>20</v>
      </c>
      <c r="G72" s="3" t="s">
        <v>24</v>
      </c>
      <c r="H72" s="3">
        <v>35</v>
      </c>
      <c r="I72" s="7">
        <v>120</v>
      </c>
      <c r="J72" s="7">
        <v>120</v>
      </c>
      <c r="K72" s="7">
        <v>35</v>
      </c>
      <c r="L72" s="7">
        <v>120</v>
      </c>
      <c r="M72" s="7"/>
      <c r="N72" s="7"/>
      <c r="O72" s="5" t="s">
        <v>30</v>
      </c>
      <c r="P72" s="5" t="s">
        <v>34</v>
      </c>
    </row>
    <row r="73" s="16" customFormat="1" ht="22.5" customHeight="1" spans="1:16">
      <c r="A73" s="3" t="s">
        <v>16</v>
      </c>
      <c r="B73" s="3" t="s">
        <v>17</v>
      </c>
      <c r="C73" s="3" t="s">
        <v>85</v>
      </c>
      <c r="D73" s="4" t="s">
        <v>41</v>
      </c>
      <c r="E73" s="6">
        <v>46062.8341482986</v>
      </c>
      <c r="F73" s="3" t="s">
        <v>26</v>
      </c>
      <c r="G73" s="3" t="s">
        <v>27</v>
      </c>
      <c r="H73" s="3">
        <v>1</v>
      </c>
      <c r="I73" s="7">
        <v>3.3</v>
      </c>
      <c r="J73" s="7">
        <v>3.3</v>
      </c>
      <c r="K73" s="7">
        <v>1</v>
      </c>
      <c r="L73" s="7">
        <v>3.3</v>
      </c>
      <c r="M73" s="7"/>
      <c r="N73" s="7"/>
      <c r="O73" s="5" t="s">
        <v>30</v>
      </c>
      <c r="P73" s="5" t="s">
        <v>34</v>
      </c>
    </row>
    <row r="74" s="16" customFormat="1" ht="22.5" customHeight="1" spans="1:16">
      <c r="A74" s="3" t="s">
        <v>16</v>
      </c>
      <c r="B74" s="3" t="s">
        <v>17</v>
      </c>
      <c r="C74" s="3" t="s">
        <v>86</v>
      </c>
      <c r="D74" s="4" t="s">
        <v>87</v>
      </c>
      <c r="E74" s="6">
        <v>46065.5013037037</v>
      </c>
      <c r="F74" s="3" t="s">
        <v>20</v>
      </c>
      <c r="G74" s="3" t="s">
        <v>35</v>
      </c>
      <c r="H74" s="3">
        <v>16</v>
      </c>
      <c r="I74" s="7">
        <v>3.3</v>
      </c>
      <c r="J74" s="7">
        <v>52.8</v>
      </c>
      <c r="K74" s="7">
        <v>16</v>
      </c>
      <c r="L74" s="7">
        <v>52.8</v>
      </c>
      <c r="M74" s="7"/>
      <c r="N74" s="7"/>
      <c r="O74" s="5" t="s">
        <v>30</v>
      </c>
      <c r="P74" s="5" t="s">
        <v>88</v>
      </c>
    </row>
    <row r="75" s="16" customFormat="1" ht="22.5" customHeight="1" spans="1:16">
      <c r="A75" s="3" t="s">
        <v>16</v>
      </c>
      <c r="B75" s="3" t="s">
        <v>17</v>
      </c>
      <c r="C75" s="3" t="s">
        <v>86</v>
      </c>
      <c r="D75" s="4" t="s">
        <v>87</v>
      </c>
      <c r="E75" s="6">
        <v>46065.5013037037</v>
      </c>
      <c r="F75" s="3" t="s">
        <v>20</v>
      </c>
      <c r="G75" s="3" t="s">
        <v>24</v>
      </c>
      <c r="H75" s="3">
        <v>178</v>
      </c>
      <c r="I75" s="7">
        <v>120</v>
      </c>
      <c r="J75" s="7">
        <v>120</v>
      </c>
      <c r="K75" s="7">
        <v>48</v>
      </c>
      <c r="L75" s="7">
        <v>120</v>
      </c>
      <c r="M75" s="7">
        <v>130</v>
      </c>
      <c r="N75" s="7">
        <v>0</v>
      </c>
      <c r="O75" s="5" t="s">
        <v>30</v>
      </c>
      <c r="P75" s="5" t="s">
        <v>88</v>
      </c>
    </row>
    <row r="76" s="16" customFormat="1" ht="22.5" customHeight="1" spans="1:16">
      <c r="A76" s="3" t="s">
        <v>16</v>
      </c>
      <c r="B76" s="3" t="s">
        <v>17</v>
      </c>
      <c r="C76" s="3" t="s">
        <v>86</v>
      </c>
      <c r="D76" s="4" t="s">
        <v>87</v>
      </c>
      <c r="E76" s="6">
        <v>46065.5013037037</v>
      </c>
      <c r="F76" s="3" t="s">
        <v>20</v>
      </c>
      <c r="G76" s="3" t="s">
        <v>25</v>
      </c>
      <c r="H76" s="3">
        <v>4</v>
      </c>
      <c r="I76" s="7">
        <v>3.3</v>
      </c>
      <c r="J76" s="7">
        <v>13.2</v>
      </c>
      <c r="K76" s="7">
        <v>4</v>
      </c>
      <c r="L76" s="7">
        <v>13.2</v>
      </c>
      <c r="M76" s="7"/>
      <c r="N76" s="7"/>
      <c r="O76" s="5" t="s">
        <v>30</v>
      </c>
      <c r="P76" s="5" t="s">
        <v>88</v>
      </c>
    </row>
    <row r="77" s="16" customFormat="1" ht="22.5" customHeight="1" spans="1:16">
      <c r="A77" s="3" t="s">
        <v>16</v>
      </c>
      <c r="B77" s="3" t="s">
        <v>17</v>
      </c>
      <c r="C77" s="3" t="s">
        <v>86</v>
      </c>
      <c r="D77" s="4" t="s">
        <v>87</v>
      </c>
      <c r="E77" s="6">
        <v>46065.5013037037</v>
      </c>
      <c r="F77" s="3" t="s">
        <v>26</v>
      </c>
      <c r="G77" s="3" t="s">
        <v>27</v>
      </c>
      <c r="H77" s="3">
        <v>1</v>
      </c>
      <c r="I77" s="7">
        <v>3.3</v>
      </c>
      <c r="J77" s="7">
        <v>3.3</v>
      </c>
      <c r="K77" s="7">
        <v>1</v>
      </c>
      <c r="L77" s="7">
        <v>3.3</v>
      </c>
      <c r="M77" s="7"/>
      <c r="N77" s="7"/>
      <c r="O77" s="5" t="s">
        <v>30</v>
      </c>
      <c r="P77" s="5" t="s">
        <v>88</v>
      </c>
    </row>
    <row r="78" s="16" customFormat="1" ht="22.5" customHeight="1" spans="1:16">
      <c r="A78" s="3" t="s">
        <v>16</v>
      </c>
      <c r="B78" s="3" t="s">
        <v>17</v>
      </c>
      <c r="C78" s="3" t="s">
        <v>89</v>
      </c>
      <c r="D78" s="4" t="s">
        <v>90</v>
      </c>
      <c r="E78" s="6">
        <v>46071.5501534375</v>
      </c>
      <c r="F78" s="3" t="s">
        <v>20</v>
      </c>
      <c r="G78" s="3" t="s">
        <v>25</v>
      </c>
      <c r="H78" s="3">
        <v>4</v>
      </c>
      <c r="I78" s="7">
        <v>3.3</v>
      </c>
      <c r="J78" s="7">
        <v>13.2</v>
      </c>
      <c r="K78" s="7">
        <v>4</v>
      </c>
      <c r="L78" s="7">
        <v>13.2</v>
      </c>
      <c r="M78" s="7"/>
      <c r="N78" s="7"/>
      <c r="O78" s="5" t="s">
        <v>30</v>
      </c>
      <c r="P78" s="5" t="s">
        <v>91</v>
      </c>
    </row>
    <row r="79" s="16" customFormat="1" ht="22.5" customHeight="1" spans="1:16">
      <c r="A79" s="3" t="s">
        <v>16</v>
      </c>
      <c r="B79" s="3" t="s">
        <v>17</v>
      </c>
      <c r="C79" s="3" t="s">
        <v>92</v>
      </c>
      <c r="D79" s="4" t="s">
        <v>41</v>
      </c>
      <c r="E79" s="6">
        <v>46073.4402525116</v>
      </c>
      <c r="F79" s="3" t="s">
        <v>20</v>
      </c>
      <c r="G79" s="3" t="s">
        <v>35</v>
      </c>
      <c r="H79" s="3">
        <v>11</v>
      </c>
      <c r="I79" s="7">
        <v>3.3</v>
      </c>
      <c r="J79" s="7">
        <v>36.3</v>
      </c>
      <c r="K79" s="7">
        <v>11</v>
      </c>
      <c r="L79" s="7">
        <v>36.3</v>
      </c>
      <c r="M79" s="7"/>
      <c r="N79" s="7"/>
      <c r="O79" s="5" t="s">
        <v>30</v>
      </c>
      <c r="P79" s="5" t="s">
        <v>31</v>
      </c>
    </row>
    <row r="80" s="16" customFormat="1" ht="22.5" customHeight="1" spans="1:16">
      <c r="A80" s="3" t="s">
        <v>16</v>
      </c>
      <c r="B80" s="3" t="s">
        <v>17</v>
      </c>
      <c r="C80" s="3" t="s">
        <v>92</v>
      </c>
      <c r="D80" s="4" t="s">
        <v>41</v>
      </c>
      <c r="E80" s="6">
        <v>46073.4402525116</v>
      </c>
      <c r="F80" s="3" t="s">
        <v>26</v>
      </c>
      <c r="G80" s="3" t="s">
        <v>27</v>
      </c>
      <c r="H80" s="3">
        <v>1</v>
      </c>
      <c r="I80" s="7">
        <v>3.3</v>
      </c>
      <c r="J80" s="7">
        <v>3.3</v>
      </c>
      <c r="K80" s="7">
        <v>1</v>
      </c>
      <c r="L80" s="7">
        <v>3.3</v>
      </c>
      <c r="M80" s="7"/>
      <c r="N80" s="7"/>
      <c r="O80" s="5" t="s">
        <v>30</v>
      </c>
      <c r="P80" s="5" t="s">
        <v>31</v>
      </c>
    </row>
    <row r="81" s="16" customFormat="1" ht="22.5" customHeight="1" spans="1:16">
      <c r="A81" s="3" t="s">
        <v>16</v>
      </c>
      <c r="B81" s="3" t="s">
        <v>17</v>
      </c>
      <c r="C81" s="3" t="s">
        <v>93</v>
      </c>
      <c r="D81" s="4" t="s">
        <v>41</v>
      </c>
      <c r="E81" s="6">
        <v>46073.4402575579</v>
      </c>
      <c r="F81" s="3" t="s">
        <v>20</v>
      </c>
      <c r="G81" s="3" t="s">
        <v>35</v>
      </c>
      <c r="H81" s="3">
        <v>8</v>
      </c>
      <c r="I81" s="7">
        <v>3.3</v>
      </c>
      <c r="J81" s="7">
        <v>26.4</v>
      </c>
      <c r="K81" s="7">
        <v>8</v>
      </c>
      <c r="L81" s="7">
        <v>26.4</v>
      </c>
      <c r="M81" s="7"/>
      <c r="N81" s="7"/>
      <c r="O81" s="5" t="s">
        <v>30</v>
      </c>
      <c r="P81" s="5" t="s">
        <v>31</v>
      </c>
    </row>
    <row r="82" s="16" customFormat="1" ht="22.5" customHeight="1" spans="1:16">
      <c r="A82" s="3" t="s">
        <v>16</v>
      </c>
      <c r="B82" s="3" t="s">
        <v>17</v>
      </c>
      <c r="C82" s="3" t="s">
        <v>93</v>
      </c>
      <c r="D82" s="4" t="s">
        <v>41</v>
      </c>
      <c r="E82" s="6">
        <v>46073.4402575579</v>
      </c>
      <c r="F82" s="3" t="s">
        <v>26</v>
      </c>
      <c r="G82" s="3" t="s">
        <v>27</v>
      </c>
      <c r="H82" s="3">
        <v>1</v>
      </c>
      <c r="I82" s="7">
        <v>3.3</v>
      </c>
      <c r="J82" s="7">
        <v>3.3</v>
      </c>
      <c r="K82" s="7">
        <v>1</v>
      </c>
      <c r="L82" s="7">
        <v>3.3</v>
      </c>
      <c r="M82" s="7"/>
      <c r="N82" s="7"/>
      <c r="O82" s="5" t="s">
        <v>30</v>
      </c>
      <c r="P82" s="5" t="s">
        <v>31</v>
      </c>
    </row>
    <row r="83" s="16" customFormat="1" ht="22.5" customHeight="1" spans="1:16">
      <c r="A83" s="3" t="s">
        <v>16</v>
      </c>
      <c r="B83" s="3" t="s">
        <v>17</v>
      </c>
      <c r="C83" s="3" t="s">
        <v>94</v>
      </c>
      <c r="D83" s="4" t="s">
        <v>41</v>
      </c>
      <c r="E83" s="6">
        <v>46073.4402591782</v>
      </c>
      <c r="F83" s="3" t="s">
        <v>20</v>
      </c>
      <c r="G83" s="3" t="s">
        <v>35</v>
      </c>
      <c r="H83" s="3">
        <v>11</v>
      </c>
      <c r="I83" s="7">
        <v>3.3</v>
      </c>
      <c r="J83" s="7">
        <v>36.3</v>
      </c>
      <c r="K83" s="7">
        <v>11</v>
      </c>
      <c r="L83" s="7">
        <v>36.3</v>
      </c>
      <c r="M83" s="7"/>
      <c r="N83" s="7"/>
      <c r="O83" s="5" t="s">
        <v>30</v>
      </c>
      <c r="P83" s="5" t="s">
        <v>31</v>
      </c>
    </row>
    <row r="84" s="16" customFormat="1" ht="22.5" customHeight="1" spans="1:16">
      <c r="A84" s="3" t="s">
        <v>16</v>
      </c>
      <c r="B84" s="3" t="s">
        <v>17</v>
      </c>
      <c r="C84" s="3" t="s">
        <v>94</v>
      </c>
      <c r="D84" s="4" t="s">
        <v>41</v>
      </c>
      <c r="E84" s="6">
        <v>46073.4402591782</v>
      </c>
      <c r="F84" s="3" t="s">
        <v>26</v>
      </c>
      <c r="G84" s="3" t="s">
        <v>27</v>
      </c>
      <c r="H84" s="3">
        <v>1</v>
      </c>
      <c r="I84" s="7">
        <v>3.3</v>
      </c>
      <c r="J84" s="7">
        <v>3.3</v>
      </c>
      <c r="K84" s="7">
        <v>1</v>
      </c>
      <c r="L84" s="7">
        <v>3.3</v>
      </c>
      <c r="M84" s="7"/>
      <c r="N84" s="7"/>
      <c r="O84" s="5" t="s">
        <v>30</v>
      </c>
      <c r="P84" s="5" t="s">
        <v>31</v>
      </c>
    </row>
    <row r="85" s="16" customFormat="1" ht="22.5" customHeight="1" spans="1:16">
      <c r="A85" s="3" t="s">
        <v>16</v>
      </c>
      <c r="B85" s="3" t="s">
        <v>17</v>
      </c>
      <c r="C85" s="3" t="s">
        <v>95</v>
      </c>
      <c r="D85" s="4" t="s">
        <v>41</v>
      </c>
      <c r="E85" s="6">
        <v>46073.4402608449</v>
      </c>
      <c r="F85" s="3" t="s">
        <v>20</v>
      </c>
      <c r="G85" s="3" t="s">
        <v>24</v>
      </c>
      <c r="H85" s="3">
        <v>45</v>
      </c>
      <c r="I85" s="7">
        <v>120</v>
      </c>
      <c r="J85" s="7">
        <v>120</v>
      </c>
      <c r="K85" s="7">
        <v>45</v>
      </c>
      <c r="L85" s="7">
        <v>120</v>
      </c>
      <c r="M85" s="7"/>
      <c r="N85" s="7"/>
      <c r="O85" s="5" t="s">
        <v>30</v>
      </c>
      <c r="P85" s="5" t="s">
        <v>31</v>
      </c>
    </row>
    <row r="86" s="16" customFormat="1" ht="22.5" customHeight="1" spans="1:16">
      <c r="A86" s="3" t="s">
        <v>16</v>
      </c>
      <c r="B86" s="3" t="s">
        <v>17</v>
      </c>
      <c r="C86" s="3" t="s">
        <v>95</v>
      </c>
      <c r="D86" s="4" t="s">
        <v>41</v>
      </c>
      <c r="E86" s="6">
        <v>46073.4402608449</v>
      </c>
      <c r="F86" s="3" t="s">
        <v>26</v>
      </c>
      <c r="G86" s="3" t="s">
        <v>27</v>
      </c>
      <c r="H86" s="3">
        <v>1</v>
      </c>
      <c r="I86" s="7">
        <v>3.3</v>
      </c>
      <c r="J86" s="7">
        <v>3.3</v>
      </c>
      <c r="K86" s="7">
        <v>1</v>
      </c>
      <c r="L86" s="7">
        <v>3.3</v>
      </c>
      <c r="M86" s="7"/>
      <c r="N86" s="7"/>
      <c r="O86" s="5" t="s">
        <v>30</v>
      </c>
      <c r="P86" s="5" t="s">
        <v>31</v>
      </c>
    </row>
    <row r="87" s="16" customFormat="1" ht="22.5" customHeight="1" spans="1:16">
      <c r="A87" s="3" t="s">
        <v>16</v>
      </c>
      <c r="B87" s="3" t="s">
        <v>17</v>
      </c>
      <c r="C87" s="3" t="s">
        <v>96</v>
      </c>
      <c r="D87" s="4" t="s">
        <v>41</v>
      </c>
      <c r="E87" s="6">
        <v>46073.4402627315</v>
      </c>
      <c r="F87" s="3" t="s">
        <v>20</v>
      </c>
      <c r="G87" s="3" t="s">
        <v>35</v>
      </c>
      <c r="H87" s="3">
        <v>12</v>
      </c>
      <c r="I87" s="7">
        <v>3.3</v>
      </c>
      <c r="J87" s="7">
        <v>39.6</v>
      </c>
      <c r="K87" s="7">
        <v>12</v>
      </c>
      <c r="L87" s="7">
        <v>39.6</v>
      </c>
      <c r="M87" s="7"/>
      <c r="N87" s="7"/>
      <c r="O87" s="5" t="s">
        <v>30</v>
      </c>
      <c r="P87" s="5" t="s">
        <v>31</v>
      </c>
    </row>
    <row r="88" s="16" customFormat="1" ht="22.5" customHeight="1" spans="1:16">
      <c r="A88" s="3" t="s">
        <v>16</v>
      </c>
      <c r="B88" s="3" t="s">
        <v>17</v>
      </c>
      <c r="C88" s="3" t="s">
        <v>96</v>
      </c>
      <c r="D88" s="4" t="s">
        <v>41</v>
      </c>
      <c r="E88" s="6">
        <v>46073.4402627315</v>
      </c>
      <c r="F88" s="3" t="s">
        <v>20</v>
      </c>
      <c r="G88" s="3" t="s">
        <v>44</v>
      </c>
      <c r="H88" s="3">
        <v>8</v>
      </c>
      <c r="I88" s="7">
        <v>3.3</v>
      </c>
      <c r="J88" s="7">
        <v>26.4</v>
      </c>
      <c r="K88" s="7">
        <v>8</v>
      </c>
      <c r="L88" s="7">
        <v>26.4</v>
      </c>
      <c r="M88" s="7"/>
      <c r="N88" s="7"/>
      <c r="O88" s="5" t="s">
        <v>30</v>
      </c>
      <c r="P88" s="5" t="s">
        <v>31</v>
      </c>
    </row>
    <row r="89" s="16" customFormat="1" ht="22.5" customHeight="1" spans="1:16">
      <c r="A89" s="3" t="s">
        <v>16</v>
      </c>
      <c r="B89" s="3" t="s">
        <v>17</v>
      </c>
      <c r="C89" s="3" t="s">
        <v>96</v>
      </c>
      <c r="D89" s="4" t="s">
        <v>41</v>
      </c>
      <c r="E89" s="6">
        <v>46073.4402627315</v>
      </c>
      <c r="F89" s="3" t="s">
        <v>26</v>
      </c>
      <c r="G89" s="3" t="s">
        <v>27</v>
      </c>
      <c r="H89" s="3">
        <v>1</v>
      </c>
      <c r="I89" s="7">
        <v>3.3</v>
      </c>
      <c r="J89" s="7">
        <v>3.3</v>
      </c>
      <c r="K89" s="7">
        <v>1</v>
      </c>
      <c r="L89" s="7">
        <v>3.3</v>
      </c>
      <c r="M89" s="7"/>
      <c r="N89" s="7"/>
      <c r="O89" s="5" t="s">
        <v>30</v>
      </c>
      <c r="P89" s="5" t="s">
        <v>31</v>
      </c>
    </row>
    <row r="90" s="16" customFormat="1" ht="22.5" customHeight="1" spans="1:16">
      <c r="A90" s="17"/>
      <c r="B90" s="17"/>
      <c r="C90" s="17" t="s">
        <v>97</v>
      </c>
      <c r="D90" s="17"/>
      <c r="E90" s="17"/>
      <c r="F90" s="17"/>
      <c r="G90" s="17"/>
      <c r="H90" s="19"/>
      <c r="I90" s="19"/>
      <c r="J90" s="19"/>
      <c r="K90" s="19"/>
      <c r="L90" s="19">
        <v>3199.8</v>
      </c>
      <c r="M90" s="19"/>
      <c r="N90" s="19">
        <f>SUM(N2:N89)</f>
        <v>62.7</v>
      </c>
      <c r="O90" s="17"/>
      <c r="P90" s="17"/>
    </row>
    <row r="91" s="16" customFormat="1" ht="22.5" customHeight="1" spans="1:16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="16" customFormat="1" ht="22.5" customHeight="1" spans="1:16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="16" customFormat="1" ht="22.5" customHeight="1" spans="1:16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</row>
    <row r="94" s="16" customFormat="1" ht="22.5" customHeight="1" spans="1:16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="16" customFormat="1" ht="22.5" customHeight="1" spans="1:16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="16" customFormat="1" ht="22.5" customHeight="1" spans="1:1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="16" customFormat="1" ht="22.5" customHeight="1" spans="1:16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="16" customFormat="1" ht="22.5" customHeight="1" spans="1:16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="16" customFormat="1" ht="22.5" customHeight="1" spans="1:16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</row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251388888888889" right="0.251388888888889" top="0.751388888888889" bottom="0.751388888888889" header="0.298611111111111" footer="0.298611111111111"/>
  <pageSetup paperSize="9" scale="65" orientation="landscape" horizontalDpi="600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view="pageBreakPreview" zoomScaleNormal="100" workbookViewId="0">
      <selection activeCell="L2" sqref="L2:L8"/>
    </sheetView>
  </sheetViews>
  <sheetFormatPr defaultColWidth="9" defaultRowHeight="13.5"/>
  <cols>
    <col min="1" max="1" width="30.0083333333333" style="16" customWidth="1"/>
    <col min="2" max="2" width="27.0083333333333" style="16" customWidth="1"/>
    <col min="3" max="3" width="25.3416666666667" style="16" customWidth="1"/>
    <col min="4" max="4" width="22.175" style="16" customWidth="1"/>
    <col min="5" max="6" width="12.3416666666667" style="16" customWidth="1"/>
    <col min="7" max="7" width="15.0083333333333" style="16" customWidth="1"/>
    <col min="8" max="8" width="12.3416666666667" style="16" customWidth="1"/>
    <col min="9" max="9" width="8.675" style="16" customWidth="1"/>
    <col min="10" max="10" width="8.675" style="16" hidden="1" customWidth="1"/>
    <col min="11" max="12" width="17.8416666666667" style="16" customWidth="1"/>
    <col min="13" max="14" width="16.0083333333333" style="16" hidden="1" customWidth="1"/>
    <col min="15" max="16" width="8.675" style="16" customWidth="1"/>
    <col min="17" max="16384" width="9" style="16"/>
  </cols>
  <sheetData>
    <row r="1" s="16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16" customFormat="1" ht="22.5" customHeight="1" spans="1:16">
      <c r="A2" s="3" t="s">
        <v>16</v>
      </c>
      <c r="B2" s="3" t="s">
        <v>17</v>
      </c>
      <c r="C2" s="3" t="s">
        <v>61</v>
      </c>
      <c r="D2" s="4" t="s">
        <v>62</v>
      </c>
      <c r="E2" s="6">
        <v>46057.6603054051</v>
      </c>
      <c r="F2" s="3" t="s">
        <v>26</v>
      </c>
      <c r="G2" s="3" t="s">
        <v>27</v>
      </c>
      <c r="H2" s="15">
        <v>1</v>
      </c>
      <c r="I2" s="5">
        <v>3.3</v>
      </c>
      <c r="J2" s="5">
        <v>3.3</v>
      </c>
      <c r="K2" s="5">
        <v>1</v>
      </c>
      <c r="L2" s="5">
        <v>3.3</v>
      </c>
      <c r="M2" s="5"/>
      <c r="N2" s="5"/>
      <c r="O2" s="5" t="s">
        <v>63</v>
      </c>
      <c r="P2" s="5" t="s">
        <v>64</v>
      </c>
    </row>
    <row r="3" s="16" customFormat="1" ht="22.5" customHeight="1" spans="1:16">
      <c r="A3" s="3" t="s">
        <v>16</v>
      </c>
      <c r="B3" s="3" t="s">
        <v>17</v>
      </c>
      <c r="C3" s="3" t="s">
        <v>61</v>
      </c>
      <c r="D3" s="4" t="s">
        <v>62</v>
      </c>
      <c r="E3" s="6">
        <v>46057.6603054051</v>
      </c>
      <c r="F3" s="3" t="s">
        <v>20</v>
      </c>
      <c r="G3" s="3" t="s">
        <v>21</v>
      </c>
      <c r="H3" s="15">
        <v>14</v>
      </c>
      <c r="I3" s="5">
        <v>3.3</v>
      </c>
      <c r="J3" s="5">
        <v>46.2</v>
      </c>
      <c r="K3" s="5">
        <v>14</v>
      </c>
      <c r="L3" s="5">
        <v>46.2</v>
      </c>
      <c r="M3" s="5"/>
      <c r="N3" s="5"/>
      <c r="O3" s="5" t="s">
        <v>63</v>
      </c>
      <c r="P3" s="5" t="s">
        <v>64</v>
      </c>
    </row>
    <row r="4" s="16" customFormat="1" ht="22.5" customHeight="1" spans="1:16">
      <c r="A4" s="3" t="s">
        <v>16</v>
      </c>
      <c r="B4" s="3" t="s">
        <v>17</v>
      </c>
      <c r="C4" s="3" t="s">
        <v>70</v>
      </c>
      <c r="D4" s="4" t="s">
        <v>71</v>
      </c>
      <c r="E4" s="6">
        <v>46059.8034580671</v>
      </c>
      <c r="F4" s="3" t="s">
        <v>26</v>
      </c>
      <c r="G4" s="3" t="s">
        <v>27</v>
      </c>
      <c r="H4" s="15">
        <v>1</v>
      </c>
      <c r="I4" s="7">
        <v>3.3</v>
      </c>
      <c r="J4" s="7">
        <v>3.3</v>
      </c>
      <c r="K4" s="7">
        <v>1</v>
      </c>
      <c r="L4" s="7">
        <v>3.3</v>
      </c>
      <c r="M4" s="7"/>
      <c r="N4" s="7"/>
      <c r="O4" s="7" t="s">
        <v>63</v>
      </c>
      <c r="P4" s="5" t="s">
        <v>64</v>
      </c>
    </row>
    <row r="5" s="16" customFormat="1" ht="22.5" customHeight="1" spans="1:16">
      <c r="A5" s="3" t="s">
        <v>16</v>
      </c>
      <c r="B5" s="3" t="s">
        <v>17</v>
      </c>
      <c r="C5" s="3" t="s">
        <v>70</v>
      </c>
      <c r="D5" s="4" t="s">
        <v>71</v>
      </c>
      <c r="E5" s="6">
        <v>46059.8034580671</v>
      </c>
      <c r="F5" s="3" t="s">
        <v>20</v>
      </c>
      <c r="G5" s="3" t="s">
        <v>24</v>
      </c>
      <c r="H5" s="15">
        <v>47</v>
      </c>
      <c r="I5" s="7">
        <v>120</v>
      </c>
      <c r="J5" s="7">
        <v>120</v>
      </c>
      <c r="K5" s="7">
        <v>47</v>
      </c>
      <c r="L5" s="7">
        <v>120</v>
      </c>
      <c r="M5" s="7"/>
      <c r="N5" s="7"/>
      <c r="O5" s="7" t="s">
        <v>63</v>
      </c>
      <c r="P5" s="5" t="s">
        <v>64</v>
      </c>
    </row>
    <row r="6" s="16" customFormat="1" ht="22.5" customHeight="1" spans="1:16">
      <c r="A6" s="3" t="s">
        <v>16</v>
      </c>
      <c r="B6" s="3" t="s">
        <v>17</v>
      </c>
      <c r="C6" s="3" t="s">
        <v>70</v>
      </c>
      <c r="D6" s="4" t="s">
        <v>71</v>
      </c>
      <c r="E6" s="6">
        <v>46059.8034580671</v>
      </c>
      <c r="F6" s="3" t="s">
        <v>20</v>
      </c>
      <c r="G6" s="3" t="s">
        <v>35</v>
      </c>
      <c r="H6" s="15">
        <v>10</v>
      </c>
      <c r="I6" s="7">
        <v>3.3</v>
      </c>
      <c r="J6" s="7">
        <v>33</v>
      </c>
      <c r="K6" s="7">
        <v>10</v>
      </c>
      <c r="L6" s="7">
        <v>33</v>
      </c>
      <c r="M6" s="7"/>
      <c r="N6" s="7"/>
      <c r="O6" s="7" t="s">
        <v>63</v>
      </c>
      <c r="P6" s="5" t="s">
        <v>64</v>
      </c>
    </row>
    <row r="7" s="16" customFormat="1" ht="22.5" customHeight="1" spans="1:16">
      <c r="A7" s="3" t="s">
        <v>16</v>
      </c>
      <c r="B7" s="3" t="s">
        <v>17</v>
      </c>
      <c r="C7" s="3" t="s">
        <v>72</v>
      </c>
      <c r="D7" s="4" t="s">
        <v>71</v>
      </c>
      <c r="E7" s="6">
        <v>46059.8034648148</v>
      </c>
      <c r="F7" s="3" t="s">
        <v>20</v>
      </c>
      <c r="G7" s="3" t="s">
        <v>35</v>
      </c>
      <c r="H7" s="15">
        <v>14</v>
      </c>
      <c r="I7" s="7">
        <v>3.3</v>
      </c>
      <c r="J7" s="7">
        <v>46.2</v>
      </c>
      <c r="K7" s="7">
        <v>14</v>
      </c>
      <c r="L7" s="7">
        <v>46.2</v>
      </c>
      <c r="M7" s="7"/>
      <c r="N7" s="7"/>
      <c r="O7" s="7" t="s">
        <v>63</v>
      </c>
      <c r="P7" s="5" t="s">
        <v>64</v>
      </c>
    </row>
    <row r="8" s="16" customFormat="1" ht="22.5" customHeight="1" spans="1:16">
      <c r="A8" s="3" t="s">
        <v>16</v>
      </c>
      <c r="B8" s="3" t="s">
        <v>17</v>
      </c>
      <c r="C8" s="3" t="s">
        <v>72</v>
      </c>
      <c r="D8" s="4" t="s">
        <v>71</v>
      </c>
      <c r="E8" s="6">
        <v>46059.8034648148</v>
      </c>
      <c r="F8" s="3" t="s">
        <v>26</v>
      </c>
      <c r="G8" s="3" t="s">
        <v>27</v>
      </c>
      <c r="H8" s="15">
        <v>1</v>
      </c>
      <c r="I8" s="7">
        <v>3.3</v>
      </c>
      <c r="J8" s="7">
        <v>3.3</v>
      </c>
      <c r="K8" s="7">
        <v>1</v>
      </c>
      <c r="L8" s="7">
        <v>3.3</v>
      </c>
      <c r="M8" s="7"/>
      <c r="N8" s="7"/>
      <c r="O8" s="7" t="s">
        <v>63</v>
      </c>
      <c r="P8" s="5" t="s">
        <v>64</v>
      </c>
    </row>
    <row r="9" s="16" customFormat="1" ht="22.5" customHeight="1" spans="1:16">
      <c r="A9" s="17"/>
      <c r="B9" s="17"/>
      <c r="C9" s="17" t="s">
        <v>97</v>
      </c>
      <c r="D9" s="17"/>
      <c r="E9" s="17"/>
      <c r="F9" s="17"/>
      <c r="G9" s="17"/>
      <c r="H9" s="17"/>
      <c r="I9" s="17"/>
      <c r="J9" s="17"/>
      <c r="K9" s="17"/>
      <c r="L9" s="17">
        <f>SUM(L2:L8)</f>
        <v>255.3</v>
      </c>
      <c r="M9" s="17"/>
      <c r="N9" s="17"/>
      <c r="O9" s="17"/>
      <c r="P9" s="17"/>
    </row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251388888888889" right="0.251388888888889" top="0.751388888888889" bottom="0.751388888888889" header="0.298611111111111" footer="0.298611111111111"/>
  <pageSetup paperSize="9" scale="66" orientation="landscape" horizontalDpi="600"/>
  <headerFooter>
    <oddFooter>&amp;C第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view="pageBreakPreview" zoomScaleNormal="100" topLeftCell="F57" workbookViewId="0">
      <selection activeCell="S62" sqref="S62"/>
    </sheetView>
  </sheetViews>
  <sheetFormatPr defaultColWidth="9" defaultRowHeight="13.5"/>
  <cols>
    <col min="1" max="1" width="27.0083333333333" style="16" customWidth="1"/>
    <col min="2" max="2" width="16.675" style="16" customWidth="1"/>
    <col min="3" max="3" width="30.0083333333333" style="16" customWidth="1"/>
    <col min="4" max="4" width="23.8416666666667" style="16" customWidth="1"/>
    <col min="5" max="5" width="13.3416666666667" style="16" customWidth="1"/>
    <col min="6" max="6" width="12.3416666666667" style="16" customWidth="1"/>
    <col min="7" max="7" width="15.0083333333333" style="16" customWidth="1"/>
    <col min="8" max="8" width="12.3416666666667" style="16" customWidth="1"/>
    <col min="9" max="9" width="8.675" style="16" customWidth="1"/>
    <col min="10" max="10" width="9.34166666666667" style="16" hidden="1" customWidth="1"/>
    <col min="11" max="12" width="17.8416666666667" style="16" hidden="1" customWidth="1"/>
    <col min="13" max="14" width="16.0083333333333" style="16" customWidth="1"/>
    <col min="15" max="15" width="8.675" style="16" customWidth="1"/>
    <col min="16" max="16" width="10.0083333333333" style="16" customWidth="1"/>
    <col min="17" max="16384" width="9" style="16"/>
  </cols>
  <sheetData>
    <row r="1" s="16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16" customFormat="1" ht="22.5" customHeight="1" spans="1:16">
      <c r="A2" s="3" t="s">
        <v>98</v>
      </c>
      <c r="B2" s="3" t="s">
        <v>99</v>
      </c>
      <c r="C2" s="3" t="s">
        <v>100</v>
      </c>
      <c r="D2" s="4" t="s">
        <v>39</v>
      </c>
      <c r="E2" s="4">
        <v>46043.7745974537</v>
      </c>
      <c r="F2" s="3" t="s">
        <v>26</v>
      </c>
      <c r="G2" s="3" t="s">
        <v>27</v>
      </c>
      <c r="H2" s="3">
        <v>1</v>
      </c>
      <c r="I2" s="17">
        <v>3.3</v>
      </c>
      <c r="J2" s="17">
        <f t="shared" ref="J2:J9" si="0">H2*I2</f>
        <v>3.3</v>
      </c>
      <c r="K2" s="17"/>
      <c r="L2" s="17"/>
      <c r="M2" s="17">
        <v>1</v>
      </c>
      <c r="N2" s="17">
        <v>3.3</v>
      </c>
      <c r="O2" s="17" t="s">
        <v>101</v>
      </c>
      <c r="P2" s="17" t="s">
        <v>91</v>
      </c>
    </row>
    <row r="3" s="16" customFormat="1" ht="22.5" customHeight="1" spans="1:16">
      <c r="A3" s="3" t="s">
        <v>98</v>
      </c>
      <c r="B3" s="3" t="s">
        <v>99</v>
      </c>
      <c r="C3" s="3" t="s">
        <v>100</v>
      </c>
      <c r="D3" s="4" t="s">
        <v>39</v>
      </c>
      <c r="E3" s="4">
        <v>46043.7745974537</v>
      </c>
      <c r="F3" s="3" t="s">
        <v>20</v>
      </c>
      <c r="G3" s="3" t="s">
        <v>21</v>
      </c>
      <c r="H3" s="3">
        <v>8</v>
      </c>
      <c r="I3" s="17">
        <v>3.3</v>
      </c>
      <c r="J3" s="17">
        <f t="shared" si="0"/>
        <v>26.4</v>
      </c>
      <c r="K3" s="17"/>
      <c r="L3" s="17"/>
      <c r="M3" s="17">
        <v>8</v>
      </c>
      <c r="N3" s="17">
        <v>26.4</v>
      </c>
      <c r="O3" s="17" t="s">
        <v>101</v>
      </c>
      <c r="P3" s="17" t="s">
        <v>91</v>
      </c>
    </row>
    <row r="4" ht="22.5" customHeight="1" spans="1:16">
      <c r="A4" s="3" t="s">
        <v>98</v>
      </c>
      <c r="B4" s="3" t="s">
        <v>99</v>
      </c>
      <c r="C4" s="3" t="s">
        <v>102</v>
      </c>
      <c r="D4" s="4" t="s">
        <v>39</v>
      </c>
      <c r="E4" s="6">
        <v>46044.8618593403</v>
      </c>
      <c r="F4" s="3" t="s">
        <v>20</v>
      </c>
      <c r="G4" s="3" t="s">
        <v>35</v>
      </c>
      <c r="H4" s="3">
        <v>1</v>
      </c>
      <c r="I4" s="7">
        <v>9.9</v>
      </c>
      <c r="J4" s="7">
        <v>9.9</v>
      </c>
      <c r="K4" s="7"/>
      <c r="L4" s="7"/>
      <c r="M4" s="7">
        <v>1</v>
      </c>
      <c r="N4" s="7">
        <v>9.9</v>
      </c>
      <c r="O4" s="5" t="s">
        <v>101</v>
      </c>
      <c r="P4" s="5" t="s">
        <v>91</v>
      </c>
    </row>
    <row r="5" ht="22.5" customHeight="1" spans="1:16">
      <c r="A5" s="3" t="s">
        <v>98</v>
      </c>
      <c r="B5" s="3" t="s">
        <v>99</v>
      </c>
      <c r="C5" s="3" t="s">
        <v>103</v>
      </c>
      <c r="D5" s="4" t="s">
        <v>104</v>
      </c>
      <c r="E5" s="6">
        <v>46050.5848569792</v>
      </c>
      <c r="F5" s="3" t="s">
        <v>20</v>
      </c>
      <c r="G5" s="3" t="s">
        <v>25</v>
      </c>
      <c r="H5" s="15">
        <v>11</v>
      </c>
      <c r="I5" s="7">
        <v>3.3</v>
      </c>
      <c r="J5" s="7">
        <f t="shared" si="0"/>
        <v>36.3</v>
      </c>
      <c r="K5" s="7">
        <v>11</v>
      </c>
      <c r="L5" s="7">
        <v>36.3</v>
      </c>
      <c r="M5" s="7"/>
      <c r="N5" s="7"/>
      <c r="O5" s="5" t="s">
        <v>101</v>
      </c>
      <c r="P5" s="5" t="s">
        <v>91</v>
      </c>
    </row>
    <row r="6" ht="22.5" customHeight="1" spans="1:16">
      <c r="A6" s="11" t="s">
        <v>98</v>
      </c>
      <c r="B6" s="11" t="s">
        <v>99</v>
      </c>
      <c r="C6" s="11" t="s">
        <v>105</v>
      </c>
      <c r="D6" s="12" t="s">
        <v>106</v>
      </c>
      <c r="E6" s="12">
        <v>46051.6682553588</v>
      </c>
      <c r="F6" s="11" t="s">
        <v>20</v>
      </c>
      <c r="G6" s="11" t="s">
        <v>35</v>
      </c>
      <c r="H6" s="11">
        <v>37</v>
      </c>
      <c r="I6" s="5">
        <v>3.3</v>
      </c>
      <c r="J6" s="5">
        <f t="shared" si="0"/>
        <v>122.1</v>
      </c>
      <c r="K6" s="5">
        <v>37</v>
      </c>
      <c r="L6" s="5">
        <v>122.1</v>
      </c>
      <c r="M6" s="5"/>
      <c r="N6" s="5"/>
      <c r="O6" s="5" t="s">
        <v>101</v>
      </c>
      <c r="P6" s="5" t="s">
        <v>91</v>
      </c>
    </row>
    <row r="7" ht="22.5" customHeight="1" spans="1:16">
      <c r="A7" s="11" t="s">
        <v>98</v>
      </c>
      <c r="B7" s="11" t="s">
        <v>99</v>
      </c>
      <c r="C7" s="11" t="s">
        <v>105</v>
      </c>
      <c r="D7" s="12" t="s">
        <v>106</v>
      </c>
      <c r="E7" s="12">
        <v>46051.6682553588</v>
      </c>
      <c r="F7" s="11" t="s">
        <v>20</v>
      </c>
      <c r="G7" s="11" t="s">
        <v>25</v>
      </c>
      <c r="H7" s="11">
        <v>7</v>
      </c>
      <c r="I7" s="5">
        <v>3.3</v>
      </c>
      <c r="J7" s="5">
        <f t="shared" si="0"/>
        <v>23.1</v>
      </c>
      <c r="K7" s="5">
        <v>7</v>
      </c>
      <c r="L7" s="5">
        <v>23.1</v>
      </c>
      <c r="M7" s="5"/>
      <c r="N7" s="5"/>
      <c r="O7" s="5" t="s">
        <v>101</v>
      </c>
      <c r="P7" s="5" t="s">
        <v>91</v>
      </c>
    </row>
    <row r="8" ht="22.5" customHeight="1" spans="1:16">
      <c r="A8" s="11" t="s">
        <v>98</v>
      </c>
      <c r="B8" s="11" t="s">
        <v>99</v>
      </c>
      <c r="C8" s="11" t="s">
        <v>105</v>
      </c>
      <c r="D8" s="12" t="s">
        <v>106</v>
      </c>
      <c r="E8" s="12">
        <v>46051.6682553588</v>
      </c>
      <c r="F8" s="11" t="s">
        <v>26</v>
      </c>
      <c r="G8" s="11" t="s">
        <v>27</v>
      </c>
      <c r="H8" s="11">
        <v>1</v>
      </c>
      <c r="I8" s="5">
        <v>3.3</v>
      </c>
      <c r="J8" s="5">
        <f t="shared" si="0"/>
        <v>3.3</v>
      </c>
      <c r="K8" s="5">
        <v>1</v>
      </c>
      <c r="L8" s="5">
        <v>3.3</v>
      </c>
      <c r="M8" s="5"/>
      <c r="N8" s="5"/>
      <c r="O8" s="5" t="s">
        <v>101</v>
      </c>
      <c r="P8" s="5" t="s">
        <v>91</v>
      </c>
    </row>
    <row r="9" ht="22.5" customHeight="1" spans="1:16">
      <c r="A9" s="11" t="s">
        <v>98</v>
      </c>
      <c r="B9" s="11" t="s">
        <v>99</v>
      </c>
      <c r="C9" s="11" t="s">
        <v>107</v>
      </c>
      <c r="D9" s="12" t="s">
        <v>106</v>
      </c>
      <c r="E9" s="12">
        <v>46051.6682423958</v>
      </c>
      <c r="F9" s="11" t="s">
        <v>26</v>
      </c>
      <c r="G9" s="11" t="s">
        <v>27</v>
      </c>
      <c r="H9" s="11">
        <v>1</v>
      </c>
      <c r="I9" s="5">
        <v>3.3</v>
      </c>
      <c r="J9" s="5">
        <f t="shared" si="0"/>
        <v>3.3</v>
      </c>
      <c r="K9" s="5">
        <v>1</v>
      </c>
      <c r="L9" s="5">
        <v>3.3</v>
      </c>
      <c r="M9" s="5"/>
      <c r="N9" s="5"/>
      <c r="O9" s="5" t="s">
        <v>101</v>
      </c>
      <c r="P9" s="5" t="s">
        <v>91</v>
      </c>
    </row>
    <row r="10" ht="22.5" customHeight="1" spans="1:16">
      <c r="A10" s="11" t="s">
        <v>98</v>
      </c>
      <c r="B10" s="11" t="s">
        <v>99</v>
      </c>
      <c r="C10" s="11" t="s">
        <v>107</v>
      </c>
      <c r="D10" s="12" t="s">
        <v>106</v>
      </c>
      <c r="E10" s="12">
        <v>46051.6682423958</v>
      </c>
      <c r="F10" s="11" t="s">
        <v>20</v>
      </c>
      <c r="G10" s="11" t="s">
        <v>24</v>
      </c>
      <c r="H10" s="11">
        <v>230</v>
      </c>
      <c r="I10" s="5">
        <v>120</v>
      </c>
      <c r="J10" s="5">
        <v>120</v>
      </c>
      <c r="K10" s="5">
        <v>230</v>
      </c>
      <c r="L10" s="5">
        <v>120</v>
      </c>
      <c r="M10" s="5"/>
      <c r="N10" s="5"/>
      <c r="O10" s="5" t="s">
        <v>101</v>
      </c>
      <c r="P10" s="5" t="s">
        <v>91</v>
      </c>
    </row>
    <row r="11" ht="22.5" customHeight="1" spans="1:16">
      <c r="A11" s="11" t="s">
        <v>98</v>
      </c>
      <c r="B11" s="11" t="s">
        <v>99</v>
      </c>
      <c r="C11" s="11" t="s">
        <v>108</v>
      </c>
      <c r="D11" s="12" t="s">
        <v>106</v>
      </c>
      <c r="E11" s="12">
        <v>46051.6682457176</v>
      </c>
      <c r="F11" s="11" t="s">
        <v>26</v>
      </c>
      <c r="G11" s="11" t="s">
        <v>27</v>
      </c>
      <c r="H11" s="11">
        <v>1</v>
      </c>
      <c r="I11" s="5">
        <v>3.3</v>
      </c>
      <c r="J11" s="5">
        <f t="shared" ref="J11:J14" si="1">H11*I11</f>
        <v>3.3</v>
      </c>
      <c r="K11" s="5">
        <v>1</v>
      </c>
      <c r="L11" s="5">
        <v>3.3</v>
      </c>
      <c r="M11" s="5"/>
      <c r="N11" s="5"/>
      <c r="O11" s="5" t="s">
        <v>101</v>
      </c>
      <c r="P11" s="5" t="s">
        <v>91</v>
      </c>
    </row>
    <row r="12" ht="22.5" customHeight="1" spans="1:16">
      <c r="A12" s="11" t="s">
        <v>98</v>
      </c>
      <c r="B12" s="11" t="s">
        <v>99</v>
      </c>
      <c r="C12" s="11" t="s">
        <v>108</v>
      </c>
      <c r="D12" s="12" t="s">
        <v>106</v>
      </c>
      <c r="E12" s="12">
        <v>46051.6682457176</v>
      </c>
      <c r="F12" s="11" t="s">
        <v>20</v>
      </c>
      <c r="G12" s="11" t="s">
        <v>24</v>
      </c>
      <c r="H12" s="11">
        <v>133</v>
      </c>
      <c r="I12" s="5">
        <v>30</v>
      </c>
      <c r="J12" s="5">
        <v>30</v>
      </c>
      <c r="K12" s="5">
        <v>83</v>
      </c>
      <c r="L12" s="5">
        <v>30</v>
      </c>
      <c r="M12" s="5">
        <f>H12-K12</f>
        <v>50</v>
      </c>
      <c r="N12" s="5">
        <v>0</v>
      </c>
      <c r="O12" s="5" t="s">
        <v>101</v>
      </c>
      <c r="P12" s="5" t="s">
        <v>91</v>
      </c>
    </row>
    <row r="13" ht="22.5" customHeight="1" spans="1:16">
      <c r="A13" s="11" t="s">
        <v>98</v>
      </c>
      <c r="B13" s="11" t="s">
        <v>99</v>
      </c>
      <c r="C13" s="11" t="s">
        <v>109</v>
      </c>
      <c r="D13" s="12" t="s">
        <v>106</v>
      </c>
      <c r="E13" s="12">
        <v>46051.6682489236</v>
      </c>
      <c r="F13" s="11" t="s">
        <v>20</v>
      </c>
      <c r="G13" s="11" t="s">
        <v>35</v>
      </c>
      <c r="H13" s="11">
        <v>20</v>
      </c>
      <c r="I13" s="5">
        <v>3.3</v>
      </c>
      <c r="J13" s="5">
        <f t="shared" si="1"/>
        <v>66</v>
      </c>
      <c r="K13" s="5">
        <v>20</v>
      </c>
      <c r="L13" s="5">
        <v>66</v>
      </c>
      <c r="M13" s="5"/>
      <c r="N13" s="5"/>
      <c r="O13" s="5" t="s">
        <v>101</v>
      </c>
      <c r="P13" s="5" t="s">
        <v>91</v>
      </c>
    </row>
    <row r="14" ht="22.5" customHeight="1" spans="1:16">
      <c r="A14" s="11" t="s">
        <v>98</v>
      </c>
      <c r="B14" s="11" t="s">
        <v>99</v>
      </c>
      <c r="C14" s="11" t="s">
        <v>109</v>
      </c>
      <c r="D14" s="12" t="s">
        <v>106</v>
      </c>
      <c r="E14" s="12">
        <v>46051.6682489236</v>
      </c>
      <c r="F14" s="11" t="s">
        <v>26</v>
      </c>
      <c r="G14" s="11" t="s">
        <v>27</v>
      </c>
      <c r="H14" s="11">
        <v>1</v>
      </c>
      <c r="I14" s="5">
        <v>3.3</v>
      </c>
      <c r="J14" s="5">
        <f t="shared" si="1"/>
        <v>3.3</v>
      </c>
      <c r="K14" s="5">
        <v>1</v>
      </c>
      <c r="L14" s="5">
        <v>3.3</v>
      </c>
      <c r="M14" s="5"/>
      <c r="N14" s="5"/>
      <c r="O14" s="5" t="s">
        <v>101</v>
      </c>
      <c r="P14" s="5" t="s">
        <v>91</v>
      </c>
    </row>
    <row r="15" ht="22.5" customHeight="1" spans="1:16">
      <c r="A15" s="11" t="s">
        <v>98</v>
      </c>
      <c r="B15" s="11" t="s">
        <v>99</v>
      </c>
      <c r="C15" s="11" t="s">
        <v>109</v>
      </c>
      <c r="D15" s="12" t="s">
        <v>106</v>
      </c>
      <c r="E15" s="12">
        <v>46051.6682489236</v>
      </c>
      <c r="F15" s="11" t="s">
        <v>20</v>
      </c>
      <c r="G15" s="11" t="s">
        <v>24</v>
      </c>
      <c r="H15" s="11">
        <v>38</v>
      </c>
      <c r="I15" s="5">
        <v>30</v>
      </c>
      <c r="J15" s="5">
        <v>30</v>
      </c>
      <c r="K15" s="5"/>
      <c r="L15" s="5"/>
      <c r="M15" s="5">
        <v>38</v>
      </c>
      <c r="N15" s="5">
        <v>30</v>
      </c>
      <c r="O15" s="5" t="s">
        <v>101</v>
      </c>
      <c r="P15" s="5" t="s">
        <v>91</v>
      </c>
    </row>
    <row r="16" ht="22.5" customHeight="1" spans="1:16">
      <c r="A16" s="11" t="s">
        <v>98</v>
      </c>
      <c r="B16" s="11" t="s">
        <v>99</v>
      </c>
      <c r="C16" s="11" t="s">
        <v>110</v>
      </c>
      <c r="D16" s="12" t="s">
        <v>111</v>
      </c>
      <c r="E16" s="12">
        <v>46051.6682457176</v>
      </c>
      <c r="F16" s="11" t="s">
        <v>26</v>
      </c>
      <c r="G16" s="11" t="s">
        <v>27</v>
      </c>
      <c r="H16" s="11">
        <v>1</v>
      </c>
      <c r="I16" s="5">
        <v>3.3</v>
      </c>
      <c r="J16" s="5">
        <f t="shared" ref="J16:J21" si="2">H16*I16</f>
        <v>3.3</v>
      </c>
      <c r="K16" s="5">
        <v>1</v>
      </c>
      <c r="L16" s="5">
        <v>3.3</v>
      </c>
      <c r="M16" s="5"/>
      <c r="N16" s="5"/>
      <c r="O16" s="5" t="s">
        <v>101</v>
      </c>
      <c r="P16" s="5" t="s">
        <v>91</v>
      </c>
    </row>
    <row r="17" ht="22.5" customHeight="1" spans="1:16">
      <c r="A17" s="11" t="s">
        <v>98</v>
      </c>
      <c r="B17" s="11" t="s">
        <v>99</v>
      </c>
      <c r="C17" s="11" t="s">
        <v>110</v>
      </c>
      <c r="D17" s="12" t="s">
        <v>111</v>
      </c>
      <c r="E17" s="12">
        <v>46051.6682457176</v>
      </c>
      <c r="F17" s="11" t="s">
        <v>20</v>
      </c>
      <c r="G17" s="11" t="s">
        <v>24</v>
      </c>
      <c r="H17" s="11">
        <v>239</v>
      </c>
      <c r="I17" s="5">
        <v>120</v>
      </c>
      <c r="J17" s="5">
        <v>120</v>
      </c>
      <c r="K17" s="5">
        <v>239</v>
      </c>
      <c r="L17" s="5">
        <v>120</v>
      </c>
      <c r="M17" s="5"/>
      <c r="N17" s="5"/>
      <c r="O17" s="5" t="s">
        <v>101</v>
      </c>
      <c r="P17" s="5" t="s">
        <v>91</v>
      </c>
    </row>
    <row r="18" ht="22.5" customHeight="1" spans="1:16">
      <c r="A18" s="11" t="s">
        <v>98</v>
      </c>
      <c r="B18" s="11" t="s">
        <v>99</v>
      </c>
      <c r="C18" s="11" t="s">
        <v>112</v>
      </c>
      <c r="D18" s="12" t="s">
        <v>111</v>
      </c>
      <c r="E18" s="12">
        <v>46051.6682489236</v>
      </c>
      <c r="F18" s="11" t="s">
        <v>20</v>
      </c>
      <c r="G18" s="11" t="s">
        <v>25</v>
      </c>
      <c r="H18" s="11">
        <v>7</v>
      </c>
      <c r="I18" s="5">
        <v>3.3</v>
      </c>
      <c r="J18" s="5">
        <f t="shared" si="2"/>
        <v>23.1</v>
      </c>
      <c r="K18" s="5">
        <v>7</v>
      </c>
      <c r="L18" s="5">
        <v>23.1</v>
      </c>
      <c r="M18" s="5"/>
      <c r="N18" s="5"/>
      <c r="O18" s="5" t="s">
        <v>101</v>
      </c>
      <c r="P18" s="5" t="s">
        <v>91</v>
      </c>
    </row>
    <row r="19" ht="22.5" customHeight="1" spans="1:16">
      <c r="A19" s="11" t="s">
        <v>98</v>
      </c>
      <c r="B19" s="11" t="s">
        <v>99</v>
      </c>
      <c r="C19" s="11" t="s">
        <v>112</v>
      </c>
      <c r="D19" s="12" t="s">
        <v>111</v>
      </c>
      <c r="E19" s="12">
        <v>46051.6682489236</v>
      </c>
      <c r="F19" s="11" t="s">
        <v>20</v>
      </c>
      <c r="G19" s="11" t="s">
        <v>21</v>
      </c>
      <c r="H19" s="11">
        <v>30</v>
      </c>
      <c r="I19" s="5">
        <v>3.3</v>
      </c>
      <c r="J19" s="5">
        <f t="shared" si="2"/>
        <v>99</v>
      </c>
      <c r="K19" s="5">
        <v>30</v>
      </c>
      <c r="L19" s="5">
        <v>99</v>
      </c>
      <c r="M19" s="5"/>
      <c r="N19" s="5"/>
      <c r="O19" s="5" t="s">
        <v>101</v>
      </c>
      <c r="P19" s="5" t="s">
        <v>91</v>
      </c>
    </row>
    <row r="20" ht="22.5" customHeight="1" spans="1:16">
      <c r="A20" s="11" t="s">
        <v>98</v>
      </c>
      <c r="B20" s="11" t="s">
        <v>99</v>
      </c>
      <c r="C20" s="11" t="s">
        <v>112</v>
      </c>
      <c r="D20" s="12" t="s">
        <v>111</v>
      </c>
      <c r="E20" s="12">
        <v>46051.6682489236</v>
      </c>
      <c r="F20" s="11" t="s">
        <v>26</v>
      </c>
      <c r="G20" s="11" t="s">
        <v>27</v>
      </c>
      <c r="H20" s="11">
        <v>1</v>
      </c>
      <c r="I20" s="5">
        <v>3.3</v>
      </c>
      <c r="J20" s="5">
        <f t="shared" si="2"/>
        <v>3.3</v>
      </c>
      <c r="K20" s="5">
        <v>1</v>
      </c>
      <c r="L20" s="5">
        <v>3.3</v>
      </c>
      <c r="M20" s="5"/>
      <c r="N20" s="5"/>
      <c r="O20" s="5" t="s">
        <v>101</v>
      </c>
      <c r="P20" s="5" t="s">
        <v>91</v>
      </c>
    </row>
    <row r="21" ht="22.5" customHeight="1" spans="1:16">
      <c r="A21" s="11" t="s">
        <v>98</v>
      </c>
      <c r="B21" s="11" t="s">
        <v>99</v>
      </c>
      <c r="C21" s="11" t="s">
        <v>113</v>
      </c>
      <c r="D21" s="12" t="s">
        <v>111</v>
      </c>
      <c r="E21" s="12">
        <v>46051.6682520833</v>
      </c>
      <c r="F21" s="11" t="s">
        <v>26</v>
      </c>
      <c r="G21" s="11" t="s">
        <v>27</v>
      </c>
      <c r="H21" s="11">
        <v>1</v>
      </c>
      <c r="I21" s="5">
        <v>3.3</v>
      </c>
      <c r="J21" s="5">
        <f t="shared" si="2"/>
        <v>3.3</v>
      </c>
      <c r="K21" s="5">
        <v>1</v>
      </c>
      <c r="L21" s="5">
        <v>3.3</v>
      </c>
      <c r="M21" s="5"/>
      <c r="N21" s="5"/>
      <c r="O21" s="5" t="s">
        <v>101</v>
      </c>
      <c r="P21" s="5" t="s">
        <v>91</v>
      </c>
    </row>
    <row r="22" ht="22.5" customHeight="1" spans="1:16">
      <c r="A22" s="11" t="s">
        <v>98</v>
      </c>
      <c r="B22" s="11" t="s">
        <v>99</v>
      </c>
      <c r="C22" s="11" t="s">
        <v>113</v>
      </c>
      <c r="D22" s="12" t="s">
        <v>111</v>
      </c>
      <c r="E22" s="12">
        <v>46051.6682520833</v>
      </c>
      <c r="F22" s="11" t="s">
        <v>20</v>
      </c>
      <c r="G22" s="11" t="s">
        <v>24</v>
      </c>
      <c r="H22" s="11">
        <v>107</v>
      </c>
      <c r="I22" s="5">
        <v>30</v>
      </c>
      <c r="J22" s="5">
        <v>30</v>
      </c>
      <c r="K22" s="5">
        <v>107</v>
      </c>
      <c r="L22" s="5">
        <v>30</v>
      </c>
      <c r="M22" s="5"/>
      <c r="N22" s="5"/>
      <c r="O22" s="5" t="s">
        <v>101</v>
      </c>
      <c r="P22" s="5" t="s">
        <v>91</v>
      </c>
    </row>
    <row r="23" ht="22.5" customHeight="1" spans="1:16">
      <c r="A23" s="11" t="s">
        <v>98</v>
      </c>
      <c r="B23" s="11" t="s">
        <v>99</v>
      </c>
      <c r="C23" s="11" t="s">
        <v>113</v>
      </c>
      <c r="D23" s="12" t="s">
        <v>111</v>
      </c>
      <c r="E23" s="12">
        <v>46051.6682520833</v>
      </c>
      <c r="F23" s="11" t="s">
        <v>20</v>
      </c>
      <c r="G23" s="11" t="s">
        <v>21</v>
      </c>
      <c r="H23" s="11">
        <v>16</v>
      </c>
      <c r="I23" s="5">
        <v>3.3</v>
      </c>
      <c r="J23" s="5">
        <f t="shared" ref="J23:J56" si="3">H23*I23</f>
        <v>52.8</v>
      </c>
      <c r="K23" s="5">
        <v>16</v>
      </c>
      <c r="L23" s="5">
        <v>52.8</v>
      </c>
      <c r="M23" s="5"/>
      <c r="N23" s="5"/>
      <c r="O23" s="5" t="s">
        <v>101</v>
      </c>
      <c r="P23" s="5" t="s">
        <v>91</v>
      </c>
    </row>
    <row r="24" ht="22.5" customHeight="1" spans="1:16">
      <c r="A24" s="11" t="s">
        <v>98</v>
      </c>
      <c r="B24" s="11" t="s">
        <v>99</v>
      </c>
      <c r="C24" s="11" t="s">
        <v>114</v>
      </c>
      <c r="D24" s="12" t="s">
        <v>115</v>
      </c>
      <c r="E24" s="12">
        <v>46051.5002989583</v>
      </c>
      <c r="F24" s="11" t="s">
        <v>20</v>
      </c>
      <c r="G24" s="11" t="s">
        <v>81</v>
      </c>
      <c r="H24" s="11">
        <v>64</v>
      </c>
      <c r="I24" s="5">
        <v>120</v>
      </c>
      <c r="J24" s="5">
        <v>120</v>
      </c>
      <c r="K24" s="5">
        <v>64</v>
      </c>
      <c r="L24" s="5">
        <v>120</v>
      </c>
      <c r="M24" s="5"/>
      <c r="N24" s="5"/>
      <c r="O24" s="5" t="s">
        <v>30</v>
      </c>
      <c r="P24" s="5" t="s">
        <v>31</v>
      </c>
    </row>
    <row r="25" ht="22.5" customHeight="1" spans="1:16">
      <c r="A25" s="11" t="s">
        <v>98</v>
      </c>
      <c r="B25" s="11" t="s">
        <v>99</v>
      </c>
      <c r="C25" s="11" t="s">
        <v>114</v>
      </c>
      <c r="D25" s="12" t="s">
        <v>115</v>
      </c>
      <c r="E25" s="12">
        <v>46051.5002989583</v>
      </c>
      <c r="F25" s="11" t="s">
        <v>20</v>
      </c>
      <c r="G25" s="11" t="s">
        <v>35</v>
      </c>
      <c r="H25" s="11">
        <v>1</v>
      </c>
      <c r="I25" s="5">
        <v>3.3</v>
      </c>
      <c r="J25" s="5">
        <f t="shared" si="3"/>
        <v>3.3</v>
      </c>
      <c r="K25" s="5">
        <v>1</v>
      </c>
      <c r="L25" s="5">
        <v>3.3</v>
      </c>
      <c r="M25" s="5"/>
      <c r="N25" s="5"/>
      <c r="O25" s="5" t="s">
        <v>30</v>
      </c>
      <c r="P25" s="5" t="s">
        <v>31</v>
      </c>
    </row>
    <row r="26" ht="22.5" customHeight="1" spans="1:16">
      <c r="A26" s="11" t="s">
        <v>98</v>
      </c>
      <c r="B26" s="11" t="s">
        <v>99</v>
      </c>
      <c r="C26" s="11" t="s">
        <v>114</v>
      </c>
      <c r="D26" s="12" t="s">
        <v>115</v>
      </c>
      <c r="E26" s="12">
        <v>46051.5002989583</v>
      </c>
      <c r="F26" s="11" t="s">
        <v>26</v>
      </c>
      <c r="G26" s="11" t="s">
        <v>27</v>
      </c>
      <c r="H26" s="11">
        <v>1</v>
      </c>
      <c r="I26" s="5">
        <v>3.3</v>
      </c>
      <c r="J26" s="5">
        <f t="shared" si="3"/>
        <v>3.3</v>
      </c>
      <c r="K26" s="5">
        <v>1</v>
      </c>
      <c r="L26" s="5">
        <v>3.3</v>
      </c>
      <c r="M26" s="5"/>
      <c r="N26" s="5"/>
      <c r="O26" s="5" t="s">
        <v>30</v>
      </c>
      <c r="P26" s="5" t="s">
        <v>31</v>
      </c>
    </row>
    <row r="27" ht="22.5" customHeight="1" spans="1:16">
      <c r="A27" s="11" t="s">
        <v>98</v>
      </c>
      <c r="B27" s="11" t="s">
        <v>99</v>
      </c>
      <c r="C27" s="11" t="s">
        <v>116</v>
      </c>
      <c r="D27" s="12" t="s">
        <v>115</v>
      </c>
      <c r="E27" s="12">
        <v>46051.5003008449</v>
      </c>
      <c r="F27" s="11" t="s">
        <v>20</v>
      </c>
      <c r="G27" s="11" t="s">
        <v>35</v>
      </c>
      <c r="H27" s="11">
        <v>22</v>
      </c>
      <c r="I27" s="5">
        <v>3.3</v>
      </c>
      <c r="J27" s="5">
        <f t="shared" si="3"/>
        <v>72.6</v>
      </c>
      <c r="K27" s="5">
        <v>22</v>
      </c>
      <c r="L27" s="5">
        <v>72.6</v>
      </c>
      <c r="M27" s="5"/>
      <c r="N27" s="5"/>
      <c r="O27" s="5" t="s">
        <v>30</v>
      </c>
      <c r="P27" s="5" t="s">
        <v>31</v>
      </c>
    </row>
    <row r="28" ht="22.5" customHeight="1" spans="1:16">
      <c r="A28" s="11" t="s">
        <v>98</v>
      </c>
      <c r="B28" s="11" t="s">
        <v>99</v>
      </c>
      <c r="C28" s="11" t="s">
        <v>116</v>
      </c>
      <c r="D28" s="12" t="s">
        <v>115</v>
      </c>
      <c r="E28" s="12">
        <v>46051.5003008449</v>
      </c>
      <c r="F28" s="11" t="s">
        <v>26</v>
      </c>
      <c r="G28" s="11" t="s">
        <v>27</v>
      </c>
      <c r="H28" s="11">
        <v>1</v>
      </c>
      <c r="I28" s="5">
        <v>3.3</v>
      </c>
      <c r="J28" s="5">
        <f t="shared" si="3"/>
        <v>3.3</v>
      </c>
      <c r="K28" s="5">
        <v>1</v>
      </c>
      <c r="L28" s="5">
        <v>3.3</v>
      </c>
      <c r="M28" s="5"/>
      <c r="N28" s="5"/>
      <c r="O28" s="5" t="s">
        <v>30</v>
      </c>
      <c r="P28" s="5" t="s">
        <v>31</v>
      </c>
    </row>
    <row r="29" ht="22.5" customHeight="1" spans="1:16">
      <c r="A29" s="11" t="s">
        <v>98</v>
      </c>
      <c r="B29" s="11" t="s">
        <v>99</v>
      </c>
      <c r="C29" s="11" t="s">
        <v>117</v>
      </c>
      <c r="D29" s="12" t="s">
        <v>115</v>
      </c>
      <c r="E29" s="12">
        <v>46051.5003025463</v>
      </c>
      <c r="F29" s="11" t="s">
        <v>20</v>
      </c>
      <c r="G29" s="11" t="s">
        <v>35</v>
      </c>
      <c r="H29" s="11">
        <v>22</v>
      </c>
      <c r="I29" s="5">
        <v>3.3</v>
      </c>
      <c r="J29" s="5">
        <f t="shared" si="3"/>
        <v>72.6</v>
      </c>
      <c r="K29" s="5">
        <v>22</v>
      </c>
      <c r="L29" s="5">
        <v>72.6</v>
      </c>
      <c r="M29" s="5"/>
      <c r="N29" s="5"/>
      <c r="O29" s="5" t="s">
        <v>30</v>
      </c>
      <c r="P29" s="5" t="s">
        <v>31</v>
      </c>
    </row>
    <row r="30" ht="22.5" customHeight="1" spans="1:16">
      <c r="A30" s="11" t="s">
        <v>98</v>
      </c>
      <c r="B30" s="11" t="s">
        <v>99</v>
      </c>
      <c r="C30" s="11" t="s">
        <v>117</v>
      </c>
      <c r="D30" s="12" t="s">
        <v>115</v>
      </c>
      <c r="E30" s="12">
        <v>46051.5003025463</v>
      </c>
      <c r="F30" s="11" t="s">
        <v>26</v>
      </c>
      <c r="G30" s="11" t="s">
        <v>27</v>
      </c>
      <c r="H30" s="11">
        <v>1</v>
      </c>
      <c r="I30" s="5">
        <v>3.3</v>
      </c>
      <c r="J30" s="5">
        <f t="shared" si="3"/>
        <v>3.3</v>
      </c>
      <c r="K30" s="5">
        <v>1</v>
      </c>
      <c r="L30" s="5">
        <v>3.3</v>
      </c>
      <c r="M30" s="5"/>
      <c r="N30" s="5"/>
      <c r="O30" s="5" t="s">
        <v>30</v>
      </c>
      <c r="P30" s="5" t="s">
        <v>31</v>
      </c>
    </row>
    <row r="31" ht="22.5" customHeight="1" spans="1:16">
      <c r="A31" s="11" t="s">
        <v>98</v>
      </c>
      <c r="B31" s="11" t="s">
        <v>99</v>
      </c>
      <c r="C31" s="11" t="s">
        <v>118</v>
      </c>
      <c r="D31" s="12" t="s">
        <v>115</v>
      </c>
      <c r="E31" s="12">
        <v>46051.5003045139</v>
      </c>
      <c r="F31" s="11" t="s">
        <v>20</v>
      </c>
      <c r="G31" s="11" t="s">
        <v>35</v>
      </c>
      <c r="H31" s="11">
        <v>14</v>
      </c>
      <c r="I31" s="5">
        <v>3.3</v>
      </c>
      <c r="J31" s="5">
        <f t="shared" si="3"/>
        <v>46.2</v>
      </c>
      <c r="K31" s="5">
        <v>14</v>
      </c>
      <c r="L31" s="5">
        <v>46.2</v>
      </c>
      <c r="M31" s="5"/>
      <c r="N31" s="5"/>
      <c r="O31" s="5" t="s">
        <v>30</v>
      </c>
      <c r="P31" s="5" t="s">
        <v>31</v>
      </c>
    </row>
    <row r="32" ht="22.5" customHeight="1" spans="1:16">
      <c r="A32" s="11" t="s">
        <v>98</v>
      </c>
      <c r="B32" s="11" t="s">
        <v>99</v>
      </c>
      <c r="C32" s="11" t="s">
        <v>118</v>
      </c>
      <c r="D32" s="12" t="s">
        <v>115</v>
      </c>
      <c r="E32" s="12">
        <v>46051.5003045139</v>
      </c>
      <c r="F32" s="11" t="s">
        <v>26</v>
      </c>
      <c r="G32" s="11" t="s">
        <v>27</v>
      </c>
      <c r="H32" s="11">
        <v>1</v>
      </c>
      <c r="I32" s="5">
        <v>3.3</v>
      </c>
      <c r="J32" s="5">
        <f t="shared" si="3"/>
        <v>3.3</v>
      </c>
      <c r="K32" s="5">
        <v>1</v>
      </c>
      <c r="L32" s="5">
        <v>3.3</v>
      </c>
      <c r="M32" s="5"/>
      <c r="N32" s="5"/>
      <c r="O32" s="5" t="s">
        <v>30</v>
      </c>
      <c r="P32" s="5" t="s">
        <v>31</v>
      </c>
    </row>
    <row r="33" ht="22.5" customHeight="1" spans="1:16">
      <c r="A33" s="11" t="s">
        <v>98</v>
      </c>
      <c r="B33" s="11" t="s">
        <v>99</v>
      </c>
      <c r="C33" s="11" t="s">
        <v>119</v>
      </c>
      <c r="D33" s="12" t="s">
        <v>115</v>
      </c>
      <c r="E33" s="12">
        <v>46051.5003065972</v>
      </c>
      <c r="F33" s="11" t="s">
        <v>20</v>
      </c>
      <c r="G33" s="11" t="s">
        <v>35</v>
      </c>
      <c r="H33" s="11">
        <v>18</v>
      </c>
      <c r="I33" s="5">
        <v>3.3</v>
      </c>
      <c r="J33" s="5">
        <f t="shared" si="3"/>
        <v>59.4</v>
      </c>
      <c r="K33" s="5">
        <v>18</v>
      </c>
      <c r="L33" s="5">
        <v>59.4</v>
      </c>
      <c r="M33" s="5"/>
      <c r="N33" s="5"/>
      <c r="O33" s="5" t="s">
        <v>30</v>
      </c>
      <c r="P33" s="5" t="s">
        <v>31</v>
      </c>
    </row>
    <row r="34" ht="22.5" customHeight="1" spans="1:16">
      <c r="A34" s="11" t="s">
        <v>98</v>
      </c>
      <c r="B34" s="11" t="s">
        <v>99</v>
      </c>
      <c r="C34" s="11" t="s">
        <v>119</v>
      </c>
      <c r="D34" s="12" t="s">
        <v>115</v>
      </c>
      <c r="E34" s="12">
        <v>46051.5003065972</v>
      </c>
      <c r="F34" s="11" t="s">
        <v>26</v>
      </c>
      <c r="G34" s="11" t="s">
        <v>27</v>
      </c>
      <c r="H34" s="11">
        <v>1</v>
      </c>
      <c r="I34" s="5">
        <v>3.3</v>
      </c>
      <c r="J34" s="5">
        <f t="shared" si="3"/>
        <v>3.3</v>
      </c>
      <c r="K34" s="5">
        <v>1</v>
      </c>
      <c r="L34" s="5">
        <v>3.3</v>
      </c>
      <c r="M34" s="5"/>
      <c r="N34" s="5"/>
      <c r="O34" s="5" t="s">
        <v>30</v>
      </c>
      <c r="P34" s="5" t="s">
        <v>31</v>
      </c>
    </row>
    <row r="35" ht="22.5" customHeight="1" spans="1:16">
      <c r="A35" s="11" t="s">
        <v>98</v>
      </c>
      <c r="B35" s="11" t="s">
        <v>99</v>
      </c>
      <c r="C35" s="11" t="s">
        <v>120</v>
      </c>
      <c r="D35" s="12" t="s">
        <v>39</v>
      </c>
      <c r="E35" s="12">
        <v>46051.6682423958</v>
      </c>
      <c r="F35" s="11" t="s">
        <v>20</v>
      </c>
      <c r="G35" s="11" t="s">
        <v>35</v>
      </c>
      <c r="H35" s="11">
        <v>4</v>
      </c>
      <c r="I35" s="5">
        <v>3.3</v>
      </c>
      <c r="J35" s="5">
        <f t="shared" si="3"/>
        <v>13.2</v>
      </c>
      <c r="K35" s="5"/>
      <c r="L35" s="5"/>
      <c r="M35" s="5">
        <v>4</v>
      </c>
      <c r="N35" s="5">
        <v>13.2</v>
      </c>
      <c r="O35" s="5" t="s">
        <v>101</v>
      </c>
      <c r="P35" s="5" t="s">
        <v>91</v>
      </c>
    </row>
    <row r="36" ht="22.5" customHeight="1" spans="1:16">
      <c r="A36" s="11" t="s">
        <v>98</v>
      </c>
      <c r="B36" s="11" t="s">
        <v>99</v>
      </c>
      <c r="C36" s="11" t="s">
        <v>120</v>
      </c>
      <c r="D36" s="12" t="s">
        <v>39</v>
      </c>
      <c r="E36" s="12">
        <v>46051.6682423958</v>
      </c>
      <c r="F36" s="11" t="s">
        <v>26</v>
      </c>
      <c r="G36" s="11" t="s">
        <v>27</v>
      </c>
      <c r="H36" s="11">
        <v>1</v>
      </c>
      <c r="I36" s="5">
        <v>3.3</v>
      </c>
      <c r="J36" s="5">
        <f t="shared" si="3"/>
        <v>3.3</v>
      </c>
      <c r="K36" s="5"/>
      <c r="L36" s="5"/>
      <c r="M36" s="5">
        <v>1</v>
      </c>
      <c r="N36" s="5">
        <v>3.3</v>
      </c>
      <c r="O36" s="5" t="s">
        <v>101</v>
      </c>
      <c r="P36" s="5" t="s">
        <v>91</v>
      </c>
    </row>
    <row r="37" ht="22.5" customHeight="1" spans="1:16">
      <c r="A37" s="3" t="s">
        <v>98</v>
      </c>
      <c r="B37" s="3" t="s">
        <v>99</v>
      </c>
      <c r="C37" s="3" t="s">
        <v>121</v>
      </c>
      <c r="D37" s="4" t="s">
        <v>39</v>
      </c>
      <c r="E37" s="4">
        <v>46056.4633251157</v>
      </c>
      <c r="F37" s="3" t="s">
        <v>20</v>
      </c>
      <c r="G37" s="3" t="s">
        <v>66</v>
      </c>
      <c r="H37" s="3">
        <v>2</v>
      </c>
      <c r="I37" s="5">
        <v>3.3</v>
      </c>
      <c r="J37" s="5">
        <f t="shared" si="3"/>
        <v>6.6</v>
      </c>
      <c r="K37" s="5"/>
      <c r="L37" s="5"/>
      <c r="M37" s="5">
        <v>2</v>
      </c>
      <c r="N37" s="5">
        <v>6.6</v>
      </c>
      <c r="O37" s="5" t="s">
        <v>101</v>
      </c>
      <c r="P37" s="5" t="s">
        <v>91</v>
      </c>
    </row>
    <row r="38" ht="22.5" customHeight="1" spans="1:16">
      <c r="A38" s="3" t="s">
        <v>98</v>
      </c>
      <c r="B38" s="3" t="s">
        <v>99</v>
      </c>
      <c r="C38" s="3" t="s">
        <v>121</v>
      </c>
      <c r="D38" s="4" t="s">
        <v>39</v>
      </c>
      <c r="E38" s="4">
        <v>46056.4633251157</v>
      </c>
      <c r="F38" s="3" t="s">
        <v>26</v>
      </c>
      <c r="G38" s="3" t="s">
        <v>27</v>
      </c>
      <c r="H38" s="3">
        <v>1</v>
      </c>
      <c r="I38" s="5">
        <v>3.3</v>
      </c>
      <c r="J38" s="5">
        <f t="shared" si="3"/>
        <v>3.3</v>
      </c>
      <c r="K38" s="5"/>
      <c r="L38" s="5"/>
      <c r="M38" s="5">
        <v>1</v>
      </c>
      <c r="N38" s="5">
        <v>3.3</v>
      </c>
      <c r="O38" s="5" t="s">
        <v>101</v>
      </c>
      <c r="P38" s="5" t="s">
        <v>91</v>
      </c>
    </row>
    <row r="39" ht="22.5" customHeight="1" spans="1:16">
      <c r="A39" s="3" t="s">
        <v>98</v>
      </c>
      <c r="B39" s="3" t="s">
        <v>99</v>
      </c>
      <c r="C39" s="3" t="s">
        <v>122</v>
      </c>
      <c r="D39" s="4" t="s">
        <v>123</v>
      </c>
      <c r="E39" s="4">
        <v>46056.6726356481</v>
      </c>
      <c r="F39" s="3" t="s">
        <v>20</v>
      </c>
      <c r="G39" s="3" t="s">
        <v>21</v>
      </c>
      <c r="H39" s="3">
        <v>24</v>
      </c>
      <c r="I39" s="5">
        <v>3.3</v>
      </c>
      <c r="J39" s="5">
        <f t="shared" si="3"/>
        <v>79.2</v>
      </c>
      <c r="K39" s="3">
        <v>24</v>
      </c>
      <c r="L39" s="5">
        <f t="shared" ref="L39:L56" si="4">K39*3.3</f>
        <v>79.2</v>
      </c>
      <c r="M39" s="5"/>
      <c r="N39" s="5"/>
      <c r="O39" s="5" t="s">
        <v>30</v>
      </c>
      <c r="P39" s="5" t="s">
        <v>34</v>
      </c>
    </row>
    <row r="40" ht="22.5" customHeight="1" spans="1:16">
      <c r="A40" s="3" t="s">
        <v>98</v>
      </c>
      <c r="B40" s="3" t="s">
        <v>99</v>
      </c>
      <c r="C40" s="3" t="s">
        <v>122</v>
      </c>
      <c r="D40" s="4" t="s">
        <v>123</v>
      </c>
      <c r="E40" s="4">
        <v>46056.6726356481</v>
      </c>
      <c r="F40" s="3" t="s">
        <v>26</v>
      </c>
      <c r="G40" s="3" t="s">
        <v>27</v>
      </c>
      <c r="H40" s="3">
        <v>1</v>
      </c>
      <c r="I40" s="5">
        <v>3.3</v>
      </c>
      <c r="J40" s="5">
        <f t="shared" si="3"/>
        <v>3.3</v>
      </c>
      <c r="K40" s="3">
        <v>1</v>
      </c>
      <c r="L40" s="5">
        <f t="shared" si="4"/>
        <v>3.3</v>
      </c>
      <c r="M40" s="5"/>
      <c r="N40" s="5"/>
      <c r="O40" s="5" t="s">
        <v>30</v>
      </c>
      <c r="P40" s="5" t="s">
        <v>34</v>
      </c>
    </row>
    <row r="41" ht="22.5" customHeight="1" spans="1:16">
      <c r="A41" s="3" t="s">
        <v>98</v>
      </c>
      <c r="B41" s="3" t="s">
        <v>99</v>
      </c>
      <c r="C41" s="3" t="s">
        <v>124</v>
      </c>
      <c r="D41" s="4" t="s">
        <v>123</v>
      </c>
      <c r="E41" s="4">
        <v>46056.6726356481</v>
      </c>
      <c r="F41" s="3" t="s">
        <v>20</v>
      </c>
      <c r="G41" s="3" t="s">
        <v>21</v>
      </c>
      <c r="H41" s="3">
        <v>9</v>
      </c>
      <c r="I41" s="5">
        <v>3.3</v>
      </c>
      <c r="J41" s="5">
        <f t="shared" si="3"/>
        <v>29.7</v>
      </c>
      <c r="K41" s="3">
        <v>9</v>
      </c>
      <c r="L41" s="5">
        <f t="shared" si="4"/>
        <v>29.7</v>
      </c>
      <c r="M41" s="5"/>
      <c r="N41" s="5"/>
      <c r="O41" s="5" t="s">
        <v>30</v>
      </c>
      <c r="P41" s="5" t="s">
        <v>34</v>
      </c>
    </row>
    <row r="42" ht="22.5" customHeight="1" spans="1:16">
      <c r="A42" s="3" t="s">
        <v>98</v>
      </c>
      <c r="B42" s="3" t="s">
        <v>99</v>
      </c>
      <c r="C42" s="3" t="s">
        <v>124</v>
      </c>
      <c r="D42" s="4" t="s">
        <v>123</v>
      </c>
      <c r="E42" s="4">
        <v>46056.6726356481</v>
      </c>
      <c r="F42" s="3" t="s">
        <v>26</v>
      </c>
      <c r="G42" s="3" t="s">
        <v>27</v>
      </c>
      <c r="H42" s="3">
        <v>1</v>
      </c>
      <c r="I42" s="5">
        <v>3.3</v>
      </c>
      <c r="J42" s="5">
        <f t="shared" si="3"/>
        <v>3.3</v>
      </c>
      <c r="K42" s="3">
        <v>1</v>
      </c>
      <c r="L42" s="5">
        <f t="shared" si="4"/>
        <v>3.3</v>
      </c>
      <c r="M42" s="5"/>
      <c r="N42" s="5"/>
      <c r="O42" s="5" t="s">
        <v>30</v>
      </c>
      <c r="P42" s="5" t="s">
        <v>34</v>
      </c>
    </row>
    <row r="43" ht="22.5" customHeight="1" spans="1:16">
      <c r="A43" s="3" t="s">
        <v>98</v>
      </c>
      <c r="B43" s="3" t="s">
        <v>99</v>
      </c>
      <c r="C43" s="3" t="s">
        <v>125</v>
      </c>
      <c r="D43" s="4" t="s">
        <v>123</v>
      </c>
      <c r="E43" s="4">
        <v>46056.6726373843</v>
      </c>
      <c r="F43" s="3" t="s">
        <v>20</v>
      </c>
      <c r="G43" s="3" t="s">
        <v>21</v>
      </c>
      <c r="H43" s="3">
        <v>14</v>
      </c>
      <c r="I43" s="5">
        <v>3.3</v>
      </c>
      <c r="J43" s="5">
        <f t="shared" si="3"/>
        <v>46.2</v>
      </c>
      <c r="K43" s="3">
        <v>14</v>
      </c>
      <c r="L43" s="5">
        <f t="shared" si="4"/>
        <v>46.2</v>
      </c>
      <c r="M43" s="5"/>
      <c r="N43" s="5"/>
      <c r="O43" s="5" t="s">
        <v>30</v>
      </c>
      <c r="P43" s="5" t="s">
        <v>34</v>
      </c>
    </row>
    <row r="44" ht="22.5" customHeight="1" spans="1:16">
      <c r="A44" s="3" t="s">
        <v>98</v>
      </c>
      <c r="B44" s="3" t="s">
        <v>99</v>
      </c>
      <c r="C44" s="3" t="s">
        <v>125</v>
      </c>
      <c r="D44" s="4" t="s">
        <v>123</v>
      </c>
      <c r="E44" s="4">
        <v>46056.6726373843</v>
      </c>
      <c r="F44" s="3" t="s">
        <v>26</v>
      </c>
      <c r="G44" s="3" t="s">
        <v>27</v>
      </c>
      <c r="H44" s="3">
        <v>1</v>
      </c>
      <c r="I44" s="5">
        <v>3.3</v>
      </c>
      <c r="J44" s="5">
        <f t="shared" si="3"/>
        <v>3.3</v>
      </c>
      <c r="K44" s="3">
        <v>1</v>
      </c>
      <c r="L44" s="5">
        <f t="shared" si="4"/>
        <v>3.3</v>
      </c>
      <c r="M44" s="5"/>
      <c r="N44" s="5"/>
      <c r="O44" s="5" t="s">
        <v>30</v>
      </c>
      <c r="P44" s="5" t="s">
        <v>34</v>
      </c>
    </row>
    <row r="45" ht="22.5" customHeight="1" spans="1:16">
      <c r="A45" s="3" t="s">
        <v>98</v>
      </c>
      <c r="B45" s="3" t="s">
        <v>99</v>
      </c>
      <c r="C45" s="3" t="s">
        <v>126</v>
      </c>
      <c r="D45" s="4" t="s">
        <v>123</v>
      </c>
      <c r="E45" s="4">
        <v>46056.6726373843</v>
      </c>
      <c r="F45" s="3" t="s">
        <v>20</v>
      </c>
      <c r="G45" s="3" t="s">
        <v>21</v>
      </c>
      <c r="H45" s="3">
        <v>33</v>
      </c>
      <c r="I45" s="5">
        <v>3.3</v>
      </c>
      <c r="J45" s="5">
        <f t="shared" si="3"/>
        <v>108.9</v>
      </c>
      <c r="K45" s="3">
        <v>33</v>
      </c>
      <c r="L45" s="5">
        <f t="shared" si="4"/>
        <v>108.9</v>
      </c>
      <c r="M45" s="5"/>
      <c r="N45" s="5"/>
      <c r="O45" s="5" t="s">
        <v>30</v>
      </c>
      <c r="P45" s="5" t="s">
        <v>34</v>
      </c>
    </row>
    <row r="46" ht="22.5" customHeight="1" spans="1:16">
      <c r="A46" s="3" t="s">
        <v>98</v>
      </c>
      <c r="B46" s="3" t="s">
        <v>99</v>
      </c>
      <c r="C46" s="3" t="s">
        <v>126</v>
      </c>
      <c r="D46" s="4" t="s">
        <v>123</v>
      </c>
      <c r="E46" s="4">
        <v>46056.6726373843</v>
      </c>
      <c r="F46" s="3" t="s">
        <v>26</v>
      </c>
      <c r="G46" s="3" t="s">
        <v>27</v>
      </c>
      <c r="H46" s="3">
        <v>1</v>
      </c>
      <c r="I46" s="5">
        <v>3.3</v>
      </c>
      <c r="J46" s="5">
        <f t="shared" si="3"/>
        <v>3.3</v>
      </c>
      <c r="K46" s="3">
        <v>1</v>
      </c>
      <c r="L46" s="5">
        <f t="shared" si="4"/>
        <v>3.3</v>
      </c>
      <c r="M46" s="5"/>
      <c r="N46" s="5"/>
      <c r="O46" s="5" t="s">
        <v>30</v>
      </c>
      <c r="P46" s="5" t="s">
        <v>34</v>
      </c>
    </row>
    <row r="47" ht="22.5" customHeight="1" spans="1:16">
      <c r="A47" s="3" t="s">
        <v>98</v>
      </c>
      <c r="B47" s="3" t="s">
        <v>99</v>
      </c>
      <c r="C47" s="3" t="s">
        <v>127</v>
      </c>
      <c r="D47" s="4" t="s">
        <v>123</v>
      </c>
      <c r="E47" s="4">
        <v>46056.6726393171</v>
      </c>
      <c r="F47" s="3" t="s">
        <v>20</v>
      </c>
      <c r="G47" s="3" t="s">
        <v>21</v>
      </c>
      <c r="H47" s="3">
        <v>8</v>
      </c>
      <c r="I47" s="5">
        <v>3.3</v>
      </c>
      <c r="J47" s="5">
        <f t="shared" si="3"/>
        <v>26.4</v>
      </c>
      <c r="K47" s="3">
        <v>8</v>
      </c>
      <c r="L47" s="5">
        <f t="shared" si="4"/>
        <v>26.4</v>
      </c>
      <c r="M47" s="5"/>
      <c r="N47" s="5"/>
      <c r="O47" s="5" t="s">
        <v>30</v>
      </c>
      <c r="P47" s="5" t="s">
        <v>34</v>
      </c>
    </row>
    <row r="48" ht="22.5" customHeight="1" spans="1:16">
      <c r="A48" s="3" t="s">
        <v>98</v>
      </c>
      <c r="B48" s="3" t="s">
        <v>99</v>
      </c>
      <c r="C48" s="3" t="s">
        <v>127</v>
      </c>
      <c r="D48" s="4" t="s">
        <v>123</v>
      </c>
      <c r="E48" s="4">
        <v>46056.6726393171</v>
      </c>
      <c r="F48" s="3" t="s">
        <v>26</v>
      </c>
      <c r="G48" s="3" t="s">
        <v>27</v>
      </c>
      <c r="H48" s="3">
        <v>1</v>
      </c>
      <c r="I48" s="5">
        <v>3.3</v>
      </c>
      <c r="J48" s="5">
        <f t="shared" si="3"/>
        <v>3.3</v>
      </c>
      <c r="K48" s="3">
        <v>1</v>
      </c>
      <c r="L48" s="5">
        <f t="shared" si="4"/>
        <v>3.3</v>
      </c>
      <c r="M48" s="5"/>
      <c r="N48" s="5"/>
      <c r="O48" s="5" t="s">
        <v>30</v>
      </c>
      <c r="P48" s="5" t="s">
        <v>34</v>
      </c>
    </row>
    <row r="49" ht="22.5" customHeight="1" spans="1:16">
      <c r="A49" s="3" t="s">
        <v>98</v>
      </c>
      <c r="B49" s="3" t="s">
        <v>99</v>
      </c>
      <c r="C49" s="3" t="s">
        <v>128</v>
      </c>
      <c r="D49" s="4" t="s">
        <v>123</v>
      </c>
      <c r="E49" s="4">
        <v>46056.6726393171</v>
      </c>
      <c r="F49" s="3" t="s">
        <v>20</v>
      </c>
      <c r="G49" s="3" t="s">
        <v>21</v>
      </c>
      <c r="H49" s="3">
        <v>8</v>
      </c>
      <c r="I49" s="5">
        <v>3.3</v>
      </c>
      <c r="J49" s="5">
        <f t="shared" si="3"/>
        <v>26.4</v>
      </c>
      <c r="K49" s="3">
        <v>8</v>
      </c>
      <c r="L49" s="5">
        <f t="shared" si="4"/>
        <v>26.4</v>
      </c>
      <c r="M49" s="5"/>
      <c r="N49" s="5"/>
      <c r="O49" s="5" t="s">
        <v>30</v>
      </c>
      <c r="P49" s="5" t="s">
        <v>34</v>
      </c>
    </row>
    <row r="50" ht="22.5" customHeight="1" spans="1:16">
      <c r="A50" s="3" t="s">
        <v>98</v>
      </c>
      <c r="B50" s="3" t="s">
        <v>99</v>
      </c>
      <c r="C50" s="3" t="s">
        <v>128</v>
      </c>
      <c r="D50" s="4" t="s">
        <v>123</v>
      </c>
      <c r="E50" s="4">
        <v>46056.6726393171</v>
      </c>
      <c r="F50" s="3" t="s">
        <v>26</v>
      </c>
      <c r="G50" s="3" t="s">
        <v>27</v>
      </c>
      <c r="H50" s="3">
        <v>1</v>
      </c>
      <c r="I50" s="5">
        <v>3.3</v>
      </c>
      <c r="J50" s="5">
        <f t="shared" si="3"/>
        <v>3.3</v>
      </c>
      <c r="K50" s="3">
        <v>1</v>
      </c>
      <c r="L50" s="5">
        <f t="shared" si="4"/>
        <v>3.3</v>
      </c>
      <c r="M50" s="5"/>
      <c r="N50" s="5"/>
      <c r="O50" s="5" t="s">
        <v>30</v>
      </c>
      <c r="P50" s="5" t="s">
        <v>34</v>
      </c>
    </row>
    <row r="51" ht="22.5" customHeight="1" spans="1:16">
      <c r="A51" s="3" t="s">
        <v>98</v>
      </c>
      <c r="B51" s="3" t="s">
        <v>99</v>
      </c>
      <c r="C51" s="3" t="s">
        <v>129</v>
      </c>
      <c r="D51" s="4" t="s">
        <v>123</v>
      </c>
      <c r="E51" s="4">
        <v>46056.6726410532</v>
      </c>
      <c r="F51" s="3" t="s">
        <v>20</v>
      </c>
      <c r="G51" s="3" t="s">
        <v>21</v>
      </c>
      <c r="H51" s="3">
        <v>3</v>
      </c>
      <c r="I51" s="5">
        <v>3.3</v>
      </c>
      <c r="J51" s="5">
        <f t="shared" si="3"/>
        <v>9.9</v>
      </c>
      <c r="K51" s="3">
        <v>3</v>
      </c>
      <c r="L51" s="5">
        <f t="shared" si="4"/>
        <v>9.9</v>
      </c>
      <c r="M51" s="5"/>
      <c r="N51" s="5"/>
      <c r="O51" s="5" t="s">
        <v>30</v>
      </c>
      <c r="P51" s="5" t="s">
        <v>34</v>
      </c>
    </row>
    <row r="52" ht="22.5" customHeight="1" spans="1:16">
      <c r="A52" s="3" t="s">
        <v>98</v>
      </c>
      <c r="B52" s="3" t="s">
        <v>99</v>
      </c>
      <c r="C52" s="3" t="s">
        <v>129</v>
      </c>
      <c r="D52" s="4" t="s">
        <v>123</v>
      </c>
      <c r="E52" s="4">
        <v>46056.6726410532</v>
      </c>
      <c r="F52" s="3" t="s">
        <v>26</v>
      </c>
      <c r="G52" s="3" t="s">
        <v>27</v>
      </c>
      <c r="H52" s="3">
        <v>1</v>
      </c>
      <c r="I52" s="5">
        <v>3.3</v>
      </c>
      <c r="J52" s="5">
        <f t="shared" si="3"/>
        <v>3.3</v>
      </c>
      <c r="K52" s="3">
        <v>1</v>
      </c>
      <c r="L52" s="5">
        <f t="shared" si="4"/>
        <v>3.3</v>
      </c>
      <c r="M52" s="5"/>
      <c r="N52" s="5"/>
      <c r="O52" s="5" t="s">
        <v>30</v>
      </c>
      <c r="P52" s="5" t="s">
        <v>34</v>
      </c>
    </row>
    <row r="53" ht="22.5" customHeight="1" spans="1:16">
      <c r="A53" s="3" t="s">
        <v>98</v>
      </c>
      <c r="B53" s="3" t="s">
        <v>99</v>
      </c>
      <c r="C53" s="3" t="s">
        <v>130</v>
      </c>
      <c r="D53" s="4" t="s">
        <v>123</v>
      </c>
      <c r="E53" s="4">
        <v>46056.672641169</v>
      </c>
      <c r="F53" s="3" t="s">
        <v>20</v>
      </c>
      <c r="G53" s="3" t="s">
        <v>21</v>
      </c>
      <c r="H53" s="3">
        <v>11</v>
      </c>
      <c r="I53" s="5">
        <v>3.3</v>
      </c>
      <c r="J53" s="5">
        <f t="shared" si="3"/>
        <v>36.3</v>
      </c>
      <c r="K53" s="3">
        <v>11</v>
      </c>
      <c r="L53" s="5">
        <f t="shared" si="4"/>
        <v>36.3</v>
      </c>
      <c r="M53" s="5"/>
      <c r="N53" s="5"/>
      <c r="O53" s="5" t="s">
        <v>30</v>
      </c>
      <c r="P53" s="5" t="s">
        <v>34</v>
      </c>
    </row>
    <row r="54" ht="22.5" customHeight="1" spans="1:16">
      <c r="A54" s="3" t="s">
        <v>98</v>
      </c>
      <c r="B54" s="3" t="s">
        <v>99</v>
      </c>
      <c r="C54" s="3" t="s">
        <v>130</v>
      </c>
      <c r="D54" s="4" t="s">
        <v>123</v>
      </c>
      <c r="E54" s="4">
        <v>46056.672641169</v>
      </c>
      <c r="F54" s="3" t="s">
        <v>26</v>
      </c>
      <c r="G54" s="3" t="s">
        <v>27</v>
      </c>
      <c r="H54" s="3">
        <v>1</v>
      </c>
      <c r="I54" s="5">
        <v>3.3</v>
      </c>
      <c r="J54" s="5">
        <f t="shared" si="3"/>
        <v>3.3</v>
      </c>
      <c r="K54" s="3">
        <v>1</v>
      </c>
      <c r="L54" s="5">
        <f t="shared" si="4"/>
        <v>3.3</v>
      </c>
      <c r="M54" s="5"/>
      <c r="N54" s="5"/>
      <c r="O54" s="5" t="s">
        <v>30</v>
      </c>
      <c r="P54" s="5" t="s">
        <v>34</v>
      </c>
    </row>
    <row r="55" ht="22.5" customHeight="1" spans="1:16">
      <c r="A55" s="3" t="s">
        <v>98</v>
      </c>
      <c r="B55" s="3" t="s">
        <v>99</v>
      </c>
      <c r="C55" s="3" t="s">
        <v>131</v>
      </c>
      <c r="D55" s="4" t="s">
        <v>123</v>
      </c>
      <c r="E55" s="4">
        <v>46056.6726452893</v>
      </c>
      <c r="F55" s="3" t="s">
        <v>20</v>
      </c>
      <c r="G55" s="3" t="s">
        <v>21</v>
      </c>
      <c r="H55" s="3">
        <v>35</v>
      </c>
      <c r="I55" s="5">
        <v>3.3</v>
      </c>
      <c r="J55" s="5">
        <f t="shared" si="3"/>
        <v>115.5</v>
      </c>
      <c r="K55" s="3">
        <v>35</v>
      </c>
      <c r="L55" s="5">
        <f t="shared" si="4"/>
        <v>115.5</v>
      </c>
      <c r="M55" s="5"/>
      <c r="N55" s="5"/>
      <c r="O55" s="5" t="s">
        <v>30</v>
      </c>
      <c r="P55" s="5" t="s">
        <v>34</v>
      </c>
    </row>
    <row r="56" ht="22.5" customHeight="1" spans="1:16">
      <c r="A56" s="3" t="s">
        <v>98</v>
      </c>
      <c r="B56" s="3" t="s">
        <v>99</v>
      </c>
      <c r="C56" s="3" t="s">
        <v>131</v>
      </c>
      <c r="D56" s="4" t="s">
        <v>123</v>
      </c>
      <c r="E56" s="4">
        <v>46056.6726452893</v>
      </c>
      <c r="F56" s="3" t="s">
        <v>26</v>
      </c>
      <c r="G56" s="3" t="s">
        <v>27</v>
      </c>
      <c r="H56" s="3">
        <v>1</v>
      </c>
      <c r="I56" s="5">
        <v>3.3</v>
      </c>
      <c r="J56" s="5">
        <f t="shared" si="3"/>
        <v>3.3</v>
      </c>
      <c r="K56" s="3">
        <v>1</v>
      </c>
      <c r="L56" s="5">
        <f t="shared" si="4"/>
        <v>3.3</v>
      </c>
      <c r="M56" s="5"/>
      <c r="N56" s="5"/>
      <c r="O56" s="5" t="s">
        <v>30</v>
      </c>
      <c r="P56" s="5" t="s">
        <v>34</v>
      </c>
    </row>
    <row r="57" ht="22.5" customHeight="1" spans="1:16">
      <c r="A57" s="3" t="s">
        <v>98</v>
      </c>
      <c r="B57" s="3" t="s">
        <v>99</v>
      </c>
      <c r="C57" s="3" t="s">
        <v>132</v>
      </c>
      <c r="D57" s="4" t="s">
        <v>123</v>
      </c>
      <c r="E57" s="4">
        <v>46056.782966169</v>
      </c>
      <c r="F57" s="3" t="s">
        <v>20</v>
      </c>
      <c r="G57" s="3" t="s">
        <v>35</v>
      </c>
      <c r="H57" s="3">
        <v>1</v>
      </c>
      <c r="I57" s="5">
        <v>9.9</v>
      </c>
      <c r="J57" s="5">
        <v>9.9</v>
      </c>
      <c r="K57" s="3">
        <v>1</v>
      </c>
      <c r="L57" s="5">
        <v>9.9</v>
      </c>
      <c r="M57" s="5"/>
      <c r="N57" s="5"/>
      <c r="O57" s="5" t="s">
        <v>30</v>
      </c>
      <c r="P57" s="5" t="s">
        <v>34</v>
      </c>
    </row>
    <row r="58" ht="22.5" customHeight="1" spans="1:16">
      <c r="A58" s="3" t="s">
        <v>98</v>
      </c>
      <c r="B58" s="3" t="s">
        <v>99</v>
      </c>
      <c r="C58" s="3" t="s">
        <v>133</v>
      </c>
      <c r="D58" s="4" t="s">
        <v>33</v>
      </c>
      <c r="E58" s="6">
        <v>46058.6677825579</v>
      </c>
      <c r="F58" s="3" t="s">
        <v>20</v>
      </c>
      <c r="G58" s="3" t="s">
        <v>35</v>
      </c>
      <c r="H58" s="15">
        <v>6</v>
      </c>
      <c r="I58" s="7">
        <v>3.3</v>
      </c>
      <c r="J58" s="7">
        <f t="shared" ref="J58:J61" si="5">H58*I58</f>
        <v>19.8</v>
      </c>
      <c r="K58" s="7">
        <v>6</v>
      </c>
      <c r="L58" s="7">
        <v>19.8</v>
      </c>
      <c r="M58" s="7"/>
      <c r="N58" s="7"/>
      <c r="O58" s="7" t="s">
        <v>101</v>
      </c>
      <c r="P58" s="5" t="s">
        <v>91</v>
      </c>
    </row>
    <row r="59" ht="22.5" customHeight="1" spans="1:16">
      <c r="A59" s="3" t="s">
        <v>98</v>
      </c>
      <c r="B59" s="3" t="s">
        <v>99</v>
      </c>
      <c r="C59" s="3" t="s">
        <v>134</v>
      </c>
      <c r="D59" s="4" t="s">
        <v>135</v>
      </c>
      <c r="E59" s="6">
        <v>46062.7111550116</v>
      </c>
      <c r="F59" s="3" t="s">
        <v>26</v>
      </c>
      <c r="G59" s="3" t="s">
        <v>27</v>
      </c>
      <c r="H59" s="3">
        <v>1</v>
      </c>
      <c r="I59" s="7">
        <v>3.3</v>
      </c>
      <c r="J59" s="7">
        <f t="shared" si="5"/>
        <v>3.3</v>
      </c>
      <c r="K59" s="7">
        <v>1</v>
      </c>
      <c r="L59" s="7">
        <v>3.3</v>
      </c>
      <c r="M59" s="7"/>
      <c r="N59" s="7"/>
      <c r="O59" s="5" t="s">
        <v>63</v>
      </c>
      <c r="P59" s="5" t="s">
        <v>64</v>
      </c>
    </row>
    <row r="60" ht="22.5" customHeight="1" spans="1:16">
      <c r="A60" s="3" t="s">
        <v>98</v>
      </c>
      <c r="B60" s="3" t="s">
        <v>99</v>
      </c>
      <c r="C60" s="3" t="s">
        <v>134</v>
      </c>
      <c r="D60" s="4" t="s">
        <v>135</v>
      </c>
      <c r="E60" s="6">
        <v>46062.7111550116</v>
      </c>
      <c r="F60" s="3" t="s">
        <v>20</v>
      </c>
      <c r="G60" s="3" t="s">
        <v>25</v>
      </c>
      <c r="H60" s="3">
        <v>15</v>
      </c>
      <c r="I60" s="7">
        <v>3.3</v>
      </c>
      <c r="J60" s="7">
        <f t="shared" si="5"/>
        <v>49.5</v>
      </c>
      <c r="K60" s="7">
        <v>15</v>
      </c>
      <c r="L60" s="7">
        <v>49.5</v>
      </c>
      <c r="M60" s="7"/>
      <c r="N60" s="7"/>
      <c r="O60" s="5" t="s">
        <v>63</v>
      </c>
      <c r="P60" s="5" t="s">
        <v>64</v>
      </c>
    </row>
    <row r="61" ht="22.5" customHeight="1" spans="1:16">
      <c r="A61" s="3" t="s">
        <v>98</v>
      </c>
      <c r="B61" s="3" t="s">
        <v>99</v>
      </c>
      <c r="C61" s="3" t="s">
        <v>134</v>
      </c>
      <c r="D61" s="4" t="s">
        <v>135</v>
      </c>
      <c r="E61" s="6">
        <v>46062.7111550116</v>
      </c>
      <c r="F61" s="3" t="s">
        <v>20</v>
      </c>
      <c r="G61" s="3" t="s">
        <v>21</v>
      </c>
      <c r="H61" s="3">
        <v>34</v>
      </c>
      <c r="I61" s="7">
        <v>3.3</v>
      </c>
      <c r="J61" s="7">
        <f t="shared" si="5"/>
        <v>112.2</v>
      </c>
      <c r="K61" s="7">
        <v>34</v>
      </c>
      <c r="L61" s="7">
        <v>112.2</v>
      </c>
      <c r="M61" s="7"/>
      <c r="N61" s="7"/>
      <c r="O61" s="5" t="s">
        <v>63</v>
      </c>
      <c r="P61" s="5" t="s">
        <v>64</v>
      </c>
    </row>
    <row r="62" ht="22.5" customHeight="1" spans="1:16">
      <c r="A62" s="3" t="s">
        <v>98</v>
      </c>
      <c r="B62" s="3" t="s">
        <v>99</v>
      </c>
      <c r="C62" s="3" t="s">
        <v>136</v>
      </c>
      <c r="D62" s="4" t="s">
        <v>135</v>
      </c>
      <c r="E62" s="6">
        <v>46062.7111579861</v>
      </c>
      <c r="F62" s="3" t="s">
        <v>20</v>
      </c>
      <c r="G62" s="3" t="s">
        <v>24</v>
      </c>
      <c r="H62" s="3">
        <v>142</v>
      </c>
      <c r="I62" s="7">
        <v>120</v>
      </c>
      <c r="J62" s="7">
        <v>120</v>
      </c>
      <c r="K62" s="7">
        <v>142</v>
      </c>
      <c r="L62" s="7">
        <v>120</v>
      </c>
      <c r="M62" s="7"/>
      <c r="N62" s="7"/>
      <c r="O62" s="5" t="s">
        <v>63</v>
      </c>
      <c r="P62" s="5" t="s">
        <v>64</v>
      </c>
    </row>
    <row r="63" ht="22.5" customHeight="1" spans="1:16">
      <c r="A63" s="18"/>
      <c r="B63" s="18"/>
      <c r="C63" s="5" t="s">
        <v>97</v>
      </c>
      <c r="D63" s="18"/>
      <c r="E63" s="18"/>
      <c r="F63" s="18"/>
      <c r="G63" s="18"/>
      <c r="H63" s="18"/>
      <c r="I63" s="18"/>
      <c r="J63" s="18">
        <f t="shared" ref="H63:N63" si="6">SUM(J2:J62)</f>
        <v>2055</v>
      </c>
      <c r="K63" s="18">
        <f t="shared" si="6"/>
        <v>1293</v>
      </c>
      <c r="L63" s="18">
        <f t="shared" si="6"/>
        <v>1959</v>
      </c>
      <c r="M63" s="18"/>
      <c r="N63" s="18">
        <f t="shared" si="6"/>
        <v>96</v>
      </c>
      <c r="O63" s="18"/>
      <c r="P63" s="18"/>
    </row>
    <row r="64" spans="1:16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</sheetData>
  <autoFilter xmlns:etc="http://www.wps.cn/officeDocument/2017/etCustomData" ref="A1:P63" etc:filterBottomFollowUsedRange="0">
    <extLst/>
  </autoFilter>
  <pageMargins left="0.25" right="0.25" top="0.75" bottom="0.75" header="0.298611111111111" footer="0.298611111111111"/>
  <pageSetup paperSize="9" scale="65" orientation="landscape"/>
  <headerFooter/>
  <rowBreaks count="1" manualBreakCount="1">
    <brk id="3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view="pageBreakPreview" zoomScaleNormal="100" topLeftCell="B21" workbookViewId="0">
      <selection activeCell="G34" sqref="G34"/>
    </sheetView>
  </sheetViews>
  <sheetFormatPr defaultColWidth="9" defaultRowHeight="13.5"/>
  <cols>
    <col min="1" max="1" width="27.0083333333333" style="16" customWidth="1"/>
    <col min="2" max="2" width="16.675" style="16" customWidth="1"/>
    <col min="3" max="3" width="27.0083333333333" style="16" customWidth="1"/>
    <col min="4" max="4" width="23.8416666666667" style="16" customWidth="1"/>
    <col min="5" max="5" width="13.3416666666667" style="16" customWidth="1"/>
    <col min="6" max="6" width="12.3416666666667" style="16" customWidth="1"/>
    <col min="7" max="7" width="15.0083333333333" style="16" customWidth="1"/>
    <col min="8" max="8" width="12.3416666666667" style="16" customWidth="1"/>
    <col min="9" max="9" width="9.34166666666667" style="16" customWidth="1"/>
    <col min="10" max="10" width="9.34166666666667" style="16" hidden="1" customWidth="1"/>
    <col min="11" max="12" width="17.8416666666667" style="16" customWidth="1"/>
    <col min="13" max="14" width="16.0083333333333" style="16" hidden="1" customWidth="1"/>
    <col min="15" max="15" width="8.675" style="16" customWidth="1"/>
    <col min="16" max="16" width="10.0083333333333" style="16" customWidth="1"/>
    <col min="17" max="16384" width="9" style="16"/>
  </cols>
  <sheetData>
    <row r="1" s="16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16" customFormat="1" ht="22.5" customHeight="1" spans="1:16">
      <c r="A2" s="11" t="s">
        <v>98</v>
      </c>
      <c r="B2" s="11" t="s">
        <v>99</v>
      </c>
      <c r="C2" s="11" t="s">
        <v>114</v>
      </c>
      <c r="D2" s="12" t="s">
        <v>115</v>
      </c>
      <c r="E2" s="12">
        <v>46051.5002989583</v>
      </c>
      <c r="F2" s="11" t="s">
        <v>20</v>
      </c>
      <c r="G2" s="11" t="s">
        <v>81</v>
      </c>
      <c r="H2" s="11">
        <v>64</v>
      </c>
      <c r="I2" s="5">
        <v>120</v>
      </c>
      <c r="J2" s="5">
        <v>120</v>
      </c>
      <c r="K2" s="5">
        <v>64</v>
      </c>
      <c r="L2" s="5">
        <v>120</v>
      </c>
      <c r="M2" s="5"/>
      <c r="N2" s="5"/>
      <c r="O2" s="5" t="s">
        <v>30</v>
      </c>
      <c r="P2" s="5" t="s">
        <v>31</v>
      </c>
    </row>
    <row r="3" s="16" customFormat="1" ht="22.5" customHeight="1" spans="1:16">
      <c r="A3" s="11" t="s">
        <v>98</v>
      </c>
      <c r="B3" s="11" t="s">
        <v>99</v>
      </c>
      <c r="C3" s="11" t="s">
        <v>114</v>
      </c>
      <c r="D3" s="12" t="s">
        <v>115</v>
      </c>
      <c r="E3" s="12">
        <v>46051.5002989583</v>
      </c>
      <c r="F3" s="11" t="s">
        <v>20</v>
      </c>
      <c r="G3" s="11" t="s">
        <v>35</v>
      </c>
      <c r="H3" s="11">
        <v>1</v>
      </c>
      <c r="I3" s="5">
        <v>3.3</v>
      </c>
      <c r="J3" s="5">
        <v>3.3</v>
      </c>
      <c r="K3" s="5">
        <v>1</v>
      </c>
      <c r="L3" s="5">
        <v>3.3</v>
      </c>
      <c r="M3" s="5"/>
      <c r="N3" s="5"/>
      <c r="O3" s="5" t="s">
        <v>30</v>
      </c>
      <c r="P3" s="5" t="s">
        <v>31</v>
      </c>
    </row>
    <row r="4" s="16" customFormat="1" ht="22.5" customHeight="1" spans="1:16">
      <c r="A4" s="11" t="s">
        <v>98</v>
      </c>
      <c r="B4" s="11" t="s">
        <v>99</v>
      </c>
      <c r="C4" s="11" t="s">
        <v>114</v>
      </c>
      <c r="D4" s="12" t="s">
        <v>115</v>
      </c>
      <c r="E4" s="12">
        <v>46051.5002989583</v>
      </c>
      <c r="F4" s="11" t="s">
        <v>26</v>
      </c>
      <c r="G4" s="11" t="s">
        <v>27</v>
      </c>
      <c r="H4" s="11">
        <v>1</v>
      </c>
      <c r="I4" s="5">
        <v>3.3</v>
      </c>
      <c r="J4" s="5">
        <v>3.3</v>
      </c>
      <c r="K4" s="5">
        <v>1</v>
      </c>
      <c r="L4" s="5">
        <v>3.3</v>
      </c>
      <c r="M4" s="5"/>
      <c r="N4" s="5"/>
      <c r="O4" s="5" t="s">
        <v>30</v>
      </c>
      <c r="P4" s="5" t="s">
        <v>31</v>
      </c>
    </row>
    <row r="5" s="16" customFormat="1" ht="22.5" customHeight="1" spans="1:16">
      <c r="A5" s="11" t="s">
        <v>98</v>
      </c>
      <c r="B5" s="11" t="s">
        <v>99</v>
      </c>
      <c r="C5" s="11" t="s">
        <v>116</v>
      </c>
      <c r="D5" s="12" t="s">
        <v>115</v>
      </c>
      <c r="E5" s="12">
        <v>46051.5003008449</v>
      </c>
      <c r="F5" s="11" t="s">
        <v>20</v>
      </c>
      <c r="G5" s="11" t="s">
        <v>35</v>
      </c>
      <c r="H5" s="11">
        <v>22</v>
      </c>
      <c r="I5" s="5">
        <v>3.3</v>
      </c>
      <c r="J5" s="5">
        <v>72.6</v>
      </c>
      <c r="K5" s="5">
        <v>22</v>
      </c>
      <c r="L5" s="5">
        <v>72.6</v>
      </c>
      <c r="M5" s="5"/>
      <c r="N5" s="5"/>
      <c r="O5" s="5" t="s">
        <v>30</v>
      </c>
      <c r="P5" s="5" t="s">
        <v>31</v>
      </c>
    </row>
    <row r="6" s="16" customFormat="1" ht="22.5" customHeight="1" spans="1:16">
      <c r="A6" s="11" t="s">
        <v>98</v>
      </c>
      <c r="B6" s="11" t="s">
        <v>99</v>
      </c>
      <c r="C6" s="11" t="s">
        <v>116</v>
      </c>
      <c r="D6" s="12" t="s">
        <v>115</v>
      </c>
      <c r="E6" s="12">
        <v>46051.5003008449</v>
      </c>
      <c r="F6" s="11" t="s">
        <v>26</v>
      </c>
      <c r="G6" s="11" t="s">
        <v>27</v>
      </c>
      <c r="H6" s="11">
        <v>1</v>
      </c>
      <c r="I6" s="5">
        <v>3.3</v>
      </c>
      <c r="J6" s="5">
        <v>3.3</v>
      </c>
      <c r="K6" s="5">
        <v>1</v>
      </c>
      <c r="L6" s="5">
        <v>3.3</v>
      </c>
      <c r="M6" s="5"/>
      <c r="N6" s="5"/>
      <c r="O6" s="5" t="s">
        <v>30</v>
      </c>
      <c r="P6" s="5" t="s">
        <v>31</v>
      </c>
    </row>
    <row r="7" s="16" customFormat="1" ht="22.5" customHeight="1" spans="1:16">
      <c r="A7" s="11" t="s">
        <v>98</v>
      </c>
      <c r="B7" s="11" t="s">
        <v>99</v>
      </c>
      <c r="C7" s="11" t="s">
        <v>117</v>
      </c>
      <c r="D7" s="12" t="s">
        <v>115</v>
      </c>
      <c r="E7" s="12">
        <v>46051.5003025463</v>
      </c>
      <c r="F7" s="11" t="s">
        <v>20</v>
      </c>
      <c r="G7" s="11" t="s">
        <v>35</v>
      </c>
      <c r="H7" s="11">
        <v>22</v>
      </c>
      <c r="I7" s="5">
        <v>3.3</v>
      </c>
      <c r="J7" s="5">
        <v>72.6</v>
      </c>
      <c r="K7" s="5">
        <v>22</v>
      </c>
      <c r="L7" s="5">
        <v>72.6</v>
      </c>
      <c r="M7" s="5"/>
      <c r="N7" s="5"/>
      <c r="O7" s="5" t="s">
        <v>30</v>
      </c>
      <c r="P7" s="5" t="s">
        <v>31</v>
      </c>
    </row>
    <row r="8" s="16" customFormat="1" ht="22.5" customHeight="1" spans="1:16">
      <c r="A8" s="11" t="s">
        <v>98</v>
      </c>
      <c r="B8" s="11" t="s">
        <v>99</v>
      </c>
      <c r="C8" s="11" t="s">
        <v>117</v>
      </c>
      <c r="D8" s="12" t="s">
        <v>115</v>
      </c>
      <c r="E8" s="12">
        <v>46051.5003025463</v>
      </c>
      <c r="F8" s="11" t="s">
        <v>26</v>
      </c>
      <c r="G8" s="11" t="s">
        <v>27</v>
      </c>
      <c r="H8" s="11">
        <v>1</v>
      </c>
      <c r="I8" s="5">
        <v>3.3</v>
      </c>
      <c r="J8" s="5">
        <v>3.3</v>
      </c>
      <c r="K8" s="5">
        <v>1</v>
      </c>
      <c r="L8" s="5">
        <v>3.3</v>
      </c>
      <c r="M8" s="5"/>
      <c r="N8" s="5"/>
      <c r="O8" s="5" t="s">
        <v>30</v>
      </c>
      <c r="P8" s="5" t="s">
        <v>31</v>
      </c>
    </row>
    <row r="9" s="16" customFormat="1" ht="22.5" customHeight="1" spans="1:16">
      <c r="A9" s="11" t="s">
        <v>98</v>
      </c>
      <c r="B9" s="11" t="s">
        <v>99</v>
      </c>
      <c r="C9" s="11" t="s">
        <v>118</v>
      </c>
      <c r="D9" s="12" t="s">
        <v>115</v>
      </c>
      <c r="E9" s="12">
        <v>46051.5003045139</v>
      </c>
      <c r="F9" s="11" t="s">
        <v>20</v>
      </c>
      <c r="G9" s="11" t="s">
        <v>35</v>
      </c>
      <c r="H9" s="11">
        <v>14</v>
      </c>
      <c r="I9" s="5">
        <v>3.3</v>
      </c>
      <c r="J9" s="5">
        <v>46.2</v>
      </c>
      <c r="K9" s="5">
        <v>14</v>
      </c>
      <c r="L9" s="5">
        <v>46.2</v>
      </c>
      <c r="M9" s="5"/>
      <c r="N9" s="5"/>
      <c r="O9" s="5" t="s">
        <v>30</v>
      </c>
      <c r="P9" s="5" t="s">
        <v>31</v>
      </c>
    </row>
    <row r="10" s="16" customFormat="1" ht="22.5" customHeight="1" spans="1:16">
      <c r="A10" s="11" t="s">
        <v>98</v>
      </c>
      <c r="B10" s="11" t="s">
        <v>99</v>
      </c>
      <c r="C10" s="11" t="s">
        <v>118</v>
      </c>
      <c r="D10" s="12" t="s">
        <v>115</v>
      </c>
      <c r="E10" s="12">
        <v>46051.5003045139</v>
      </c>
      <c r="F10" s="11" t="s">
        <v>26</v>
      </c>
      <c r="G10" s="11" t="s">
        <v>27</v>
      </c>
      <c r="H10" s="11">
        <v>1</v>
      </c>
      <c r="I10" s="5">
        <v>3.3</v>
      </c>
      <c r="J10" s="5">
        <v>3.3</v>
      </c>
      <c r="K10" s="5">
        <v>1</v>
      </c>
      <c r="L10" s="5">
        <v>3.3</v>
      </c>
      <c r="M10" s="5"/>
      <c r="N10" s="5"/>
      <c r="O10" s="5" t="s">
        <v>30</v>
      </c>
      <c r="P10" s="5" t="s">
        <v>31</v>
      </c>
    </row>
    <row r="11" s="16" customFormat="1" ht="22.5" customHeight="1" spans="1:16">
      <c r="A11" s="11" t="s">
        <v>98</v>
      </c>
      <c r="B11" s="11" t="s">
        <v>99</v>
      </c>
      <c r="C11" s="11" t="s">
        <v>119</v>
      </c>
      <c r="D11" s="12" t="s">
        <v>115</v>
      </c>
      <c r="E11" s="12">
        <v>46051.5003065972</v>
      </c>
      <c r="F11" s="11" t="s">
        <v>20</v>
      </c>
      <c r="G11" s="11" t="s">
        <v>35</v>
      </c>
      <c r="H11" s="11">
        <v>18</v>
      </c>
      <c r="I11" s="5">
        <v>3.3</v>
      </c>
      <c r="J11" s="5">
        <v>59.4</v>
      </c>
      <c r="K11" s="5">
        <v>18</v>
      </c>
      <c r="L11" s="5">
        <v>59.4</v>
      </c>
      <c r="M11" s="5"/>
      <c r="N11" s="5"/>
      <c r="O11" s="5" t="s">
        <v>30</v>
      </c>
      <c r="P11" s="5" t="s">
        <v>31</v>
      </c>
    </row>
    <row r="12" s="16" customFormat="1" ht="22.5" customHeight="1" spans="1:16">
      <c r="A12" s="11" t="s">
        <v>98</v>
      </c>
      <c r="B12" s="11" t="s">
        <v>99</v>
      </c>
      <c r="C12" s="11" t="s">
        <v>119</v>
      </c>
      <c r="D12" s="12" t="s">
        <v>115</v>
      </c>
      <c r="E12" s="12">
        <v>46051.5003065972</v>
      </c>
      <c r="F12" s="11" t="s">
        <v>26</v>
      </c>
      <c r="G12" s="11" t="s">
        <v>27</v>
      </c>
      <c r="H12" s="11">
        <v>1</v>
      </c>
      <c r="I12" s="5">
        <v>3.3</v>
      </c>
      <c r="J12" s="5">
        <v>3.3</v>
      </c>
      <c r="K12" s="5">
        <v>1</v>
      </c>
      <c r="L12" s="5">
        <v>3.3</v>
      </c>
      <c r="M12" s="5"/>
      <c r="N12" s="5"/>
      <c r="O12" s="5" t="s">
        <v>30</v>
      </c>
      <c r="P12" s="5" t="s">
        <v>31</v>
      </c>
    </row>
    <row r="13" s="16" customFormat="1" ht="22.5" customHeight="1" spans="1:16">
      <c r="A13" s="3" t="s">
        <v>98</v>
      </c>
      <c r="B13" s="3" t="s">
        <v>99</v>
      </c>
      <c r="C13" s="3" t="s">
        <v>122</v>
      </c>
      <c r="D13" s="4" t="s">
        <v>123</v>
      </c>
      <c r="E13" s="4">
        <v>46056.6726356481</v>
      </c>
      <c r="F13" s="3" t="s">
        <v>20</v>
      </c>
      <c r="G13" s="3" t="s">
        <v>21</v>
      </c>
      <c r="H13" s="3">
        <v>24</v>
      </c>
      <c r="I13" s="5">
        <v>3.3</v>
      </c>
      <c r="J13" s="5">
        <v>79.2</v>
      </c>
      <c r="K13" s="3">
        <v>24</v>
      </c>
      <c r="L13" s="5">
        <v>79.2</v>
      </c>
      <c r="M13" s="5"/>
      <c r="N13" s="5"/>
      <c r="O13" s="5" t="s">
        <v>30</v>
      </c>
      <c r="P13" s="5" t="s">
        <v>34</v>
      </c>
    </row>
    <row r="14" s="16" customFormat="1" ht="22.5" customHeight="1" spans="1:16">
      <c r="A14" s="3" t="s">
        <v>98</v>
      </c>
      <c r="B14" s="3" t="s">
        <v>99</v>
      </c>
      <c r="C14" s="3" t="s">
        <v>122</v>
      </c>
      <c r="D14" s="4" t="s">
        <v>123</v>
      </c>
      <c r="E14" s="4">
        <v>46056.6726356481</v>
      </c>
      <c r="F14" s="3" t="s">
        <v>26</v>
      </c>
      <c r="G14" s="3" t="s">
        <v>27</v>
      </c>
      <c r="H14" s="3">
        <v>1</v>
      </c>
      <c r="I14" s="5">
        <v>3.3</v>
      </c>
      <c r="J14" s="5">
        <v>3.3</v>
      </c>
      <c r="K14" s="3">
        <v>1</v>
      </c>
      <c r="L14" s="5">
        <v>3.3</v>
      </c>
      <c r="M14" s="5"/>
      <c r="N14" s="5"/>
      <c r="O14" s="5" t="s">
        <v>30</v>
      </c>
      <c r="P14" s="5" t="s">
        <v>34</v>
      </c>
    </row>
    <row r="15" s="16" customFormat="1" ht="22.5" customHeight="1" spans="1:16">
      <c r="A15" s="3" t="s">
        <v>98</v>
      </c>
      <c r="B15" s="3" t="s">
        <v>99</v>
      </c>
      <c r="C15" s="3" t="s">
        <v>124</v>
      </c>
      <c r="D15" s="4" t="s">
        <v>123</v>
      </c>
      <c r="E15" s="4">
        <v>46056.6726356481</v>
      </c>
      <c r="F15" s="3" t="s">
        <v>20</v>
      </c>
      <c r="G15" s="3" t="s">
        <v>21</v>
      </c>
      <c r="H15" s="3">
        <v>9</v>
      </c>
      <c r="I15" s="5">
        <v>3.3</v>
      </c>
      <c r="J15" s="5">
        <v>29.7</v>
      </c>
      <c r="K15" s="3">
        <v>9</v>
      </c>
      <c r="L15" s="5">
        <v>29.7</v>
      </c>
      <c r="M15" s="5"/>
      <c r="N15" s="5"/>
      <c r="O15" s="5" t="s">
        <v>30</v>
      </c>
      <c r="P15" s="5" t="s">
        <v>34</v>
      </c>
    </row>
    <row r="16" s="16" customFormat="1" ht="22.5" customHeight="1" spans="1:16">
      <c r="A16" s="3" t="s">
        <v>98</v>
      </c>
      <c r="B16" s="3" t="s">
        <v>99</v>
      </c>
      <c r="C16" s="3" t="s">
        <v>124</v>
      </c>
      <c r="D16" s="4" t="s">
        <v>123</v>
      </c>
      <c r="E16" s="4">
        <v>46056.6726356481</v>
      </c>
      <c r="F16" s="3" t="s">
        <v>26</v>
      </c>
      <c r="G16" s="3" t="s">
        <v>27</v>
      </c>
      <c r="H16" s="3">
        <v>1</v>
      </c>
      <c r="I16" s="5">
        <v>3.3</v>
      </c>
      <c r="J16" s="5">
        <v>3.3</v>
      </c>
      <c r="K16" s="3">
        <v>1</v>
      </c>
      <c r="L16" s="5">
        <v>3.3</v>
      </c>
      <c r="M16" s="5"/>
      <c r="N16" s="5"/>
      <c r="O16" s="5" t="s">
        <v>30</v>
      </c>
      <c r="P16" s="5" t="s">
        <v>34</v>
      </c>
    </row>
    <row r="17" s="16" customFormat="1" ht="22.5" customHeight="1" spans="1:16">
      <c r="A17" s="3" t="s">
        <v>98</v>
      </c>
      <c r="B17" s="3" t="s">
        <v>99</v>
      </c>
      <c r="C17" s="3" t="s">
        <v>125</v>
      </c>
      <c r="D17" s="4" t="s">
        <v>123</v>
      </c>
      <c r="E17" s="4">
        <v>46056.6726373843</v>
      </c>
      <c r="F17" s="3" t="s">
        <v>20</v>
      </c>
      <c r="G17" s="3" t="s">
        <v>21</v>
      </c>
      <c r="H17" s="3">
        <v>14</v>
      </c>
      <c r="I17" s="5">
        <v>3.3</v>
      </c>
      <c r="J17" s="5">
        <v>46.2</v>
      </c>
      <c r="K17" s="3">
        <v>14</v>
      </c>
      <c r="L17" s="5">
        <v>46.2</v>
      </c>
      <c r="M17" s="5"/>
      <c r="N17" s="5"/>
      <c r="O17" s="5" t="s">
        <v>30</v>
      </c>
      <c r="P17" s="5" t="s">
        <v>34</v>
      </c>
    </row>
    <row r="18" s="16" customFormat="1" ht="22.5" customHeight="1" spans="1:16">
      <c r="A18" s="3" t="s">
        <v>98</v>
      </c>
      <c r="B18" s="3" t="s">
        <v>99</v>
      </c>
      <c r="C18" s="3" t="s">
        <v>125</v>
      </c>
      <c r="D18" s="4" t="s">
        <v>123</v>
      </c>
      <c r="E18" s="4">
        <v>46056.6726373843</v>
      </c>
      <c r="F18" s="3" t="s">
        <v>26</v>
      </c>
      <c r="G18" s="3" t="s">
        <v>27</v>
      </c>
      <c r="H18" s="3">
        <v>1</v>
      </c>
      <c r="I18" s="5">
        <v>3.3</v>
      </c>
      <c r="J18" s="5">
        <v>3.3</v>
      </c>
      <c r="K18" s="3">
        <v>1</v>
      </c>
      <c r="L18" s="5">
        <v>3.3</v>
      </c>
      <c r="M18" s="5"/>
      <c r="N18" s="5"/>
      <c r="O18" s="5" t="s">
        <v>30</v>
      </c>
      <c r="P18" s="5" t="s">
        <v>34</v>
      </c>
    </row>
    <row r="19" s="16" customFormat="1" ht="22.5" customHeight="1" spans="1:16">
      <c r="A19" s="3" t="s">
        <v>98</v>
      </c>
      <c r="B19" s="3" t="s">
        <v>99</v>
      </c>
      <c r="C19" s="3" t="s">
        <v>126</v>
      </c>
      <c r="D19" s="4" t="s">
        <v>123</v>
      </c>
      <c r="E19" s="4">
        <v>46056.6726373843</v>
      </c>
      <c r="F19" s="3" t="s">
        <v>20</v>
      </c>
      <c r="G19" s="3" t="s">
        <v>21</v>
      </c>
      <c r="H19" s="3">
        <v>33</v>
      </c>
      <c r="I19" s="5">
        <v>3.3</v>
      </c>
      <c r="J19" s="5">
        <v>108.9</v>
      </c>
      <c r="K19" s="3">
        <v>33</v>
      </c>
      <c r="L19" s="5">
        <v>108.9</v>
      </c>
      <c r="M19" s="5"/>
      <c r="N19" s="5"/>
      <c r="O19" s="5" t="s">
        <v>30</v>
      </c>
      <c r="P19" s="5" t="s">
        <v>34</v>
      </c>
    </row>
    <row r="20" s="16" customFormat="1" ht="22.5" customHeight="1" spans="1:16">
      <c r="A20" s="3" t="s">
        <v>98</v>
      </c>
      <c r="B20" s="3" t="s">
        <v>99</v>
      </c>
      <c r="C20" s="3" t="s">
        <v>126</v>
      </c>
      <c r="D20" s="4" t="s">
        <v>123</v>
      </c>
      <c r="E20" s="4">
        <v>46056.6726373843</v>
      </c>
      <c r="F20" s="3" t="s">
        <v>26</v>
      </c>
      <c r="G20" s="3" t="s">
        <v>27</v>
      </c>
      <c r="H20" s="3">
        <v>1</v>
      </c>
      <c r="I20" s="5">
        <v>3.3</v>
      </c>
      <c r="J20" s="5">
        <v>3.3</v>
      </c>
      <c r="K20" s="3">
        <v>1</v>
      </c>
      <c r="L20" s="5">
        <v>3.3</v>
      </c>
      <c r="M20" s="5"/>
      <c r="N20" s="5"/>
      <c r="O20" s="5" t="s">
        <v>30</v>
      </c>
      <c r="P20" s="5" t="s">
        <v>34</v>
      </c>
    </row>
    <row r="21" s="16" customFormat="1" ht="22.5" customHeight="1" spans="1:16">
      <c r="A21" s="3" t="s">
        <v>98</v>
      </c>
      <c r="B21" s="3" t="s">
        <v>99</v>
      </c>
      <c r="C21" s="3" t="s">
        <v>127</v>
      </c>
      <c r="D21" s="4" t="s">
        <v>123</v>
      </c>
      <c r="E21" s="4">
        <v>46056.6726393171</v>
      </c>
      <c r="F21" s="3" t="s">
        <v>20</v>
      </c>
      <c r="G21" s="3" t="s">
        <v>21</v>
      </c>
      <c r="H21" s="3">
        <v>8</v>
      </c>
      <c r="I21" s="5">
        <v>3.3</v>
      </c>
      <c r="J21" s="5">
        <v>26.4</v>
      </c>
      <c r="K21" s="3">
        <v>8</v>
      </c>
      <c r="L21" s="5">
        <v>26.4</v>
      </c>
      <c r="M21" s="5"/>
      <c r="N21" s="5"/>
      <c r="O21" s="5" t="s">
        <v>30</v>
      </c>
      <c r="P21" s="5" t="s">
        <v>34</v>
      </c>
    </row>
    <row r="22" s="16" customFormat="1" ht="22.5" customHeight="1" spans="1:16">
      <c r="A22" s="3" t="s">
        <v>98</v>
      </c>
      <c r="B22" s="3" t="s">
        <v>99</v>
      </c>
      <c r="C22" s="3" t="s">
        <v>127</v>
      </c>
      <c r="D22" s="4" t="s">
        <v>123</v>
      </c>
      <c r="E22" s="4">
        <v>46056.6726393171</v>
      </c>
      <c r="F22" s="3" t="s">
        <v>26</v>
      </c>
      <c r="G22" s="3" t="s">
        <v>27</v>
      </c>
      <c r="H22" s="3">
        <v>1</v>
      </c>
      <c r="I22" s="5">
        <v>3.3</v>
      </c>
      <c r="J22" s="5">
        <v>3.3</v>
      </c>
      <c r="K22" s="3">
        <v>1</v>
      </c>
      <c r="L22" s="5">
        <v>3.3</v>
      </c>
      <c r="M22" s="5"/>
      <c r="N22" s="5"/>
      <c r="O22" s="5" t="s">
        <v>30</v>
      </c>
      <c r="P22" s="5" t="s">
        <v>34</v>
      </c>
    </row>
    <row r="23" s="16" customFormat="1" ht="22.5" customHeight="1" spans="1:16">
      <c r="A23" s="3" t="s">
        <v>98</v>
      </c>
      <c r="B23" s="3" t="s">
        <v>99</v>
      </c>
      <c r="C23" s="3" t="s">
        <v>128</v>
      </c>
      <c r="D23" s="4" t="s">
        <v>123</v>
      </c>
      <c r="E23" s="4">
        <v>46056.6726393171</v>
      </c>
      <c r="F23" s="3" t="s">
        <v>20</v>
      </c>
      <c r="G23" s="3" t="s">
        <v>21</v>
      </c>
      <c r="H23" s="3">
        <v>8</v>
      </c>
      <c r="I23" s="5">
        <v>3.3</v>
      </c>
      <c r="J23" s="5">
        <v>26.4</v>
      </c>
      <c r="K23" s="3">
        <v>8</v>
      </c>
      <c r="L23" s="5">
        <v>26.4</v>
      </c>
      <c r="M23" s="5"/>
      <c r="N23" s="5"/>
      <c r="O23" s="5" t="s">
        <v>30</v>
      </c>
      <c r="P23" s="5" t="s">
        <v>34</v>
      </c>
    </row>
    <row r="24" s="16" customFormat="1" ht="22.5" customHeight="1" spans="1:16">
      <c r="A24" s="3" t="s">
        <v>98</v>
      </c>
      <c r="B24" s="3" t="s">
        <v>99</v>
      </c>
      <c r="C24" s="3" t="s">
        <v>128</v>
      </c>
      <c r="D24" s="4" t="s">
        <v>123</v>
      </c>
      <c r="E24" s="4">
        <v>46056.6726393171</v>
      </c>
      <c r="F24" s="3" t="s">
        <v>26</v>
      </c>
      <c r="G24" s="3" t="s">
        <v>27</v>
      </c>
      <c r="H24" s="3">
        <v>1</v>
      </c>
      <c r="I24" s="5">
        <v>3.3</v>
      </c>
      <c r="J24" s="5">
        <v>3.3</v>
      </c>
      <c r="K24" s="3">
        <v>1</v>
      </c>
      <c r="L24" s="5">
        <v>3.3</v>
      </c>
      <c r="M24" s="5"/>
      <c r="N24" s="5"/>
      <c r="O24" s="5" t="s">
        <v>30</v>
      </c>
      <c r="P24" s="5" t="s">
        <v>34</v>
      </c>
    </row>
    <row r="25" s="16" customFormat="1" ht="22.5" customHeight="1" spans="1:16">
      <c r="A25" s="3" t="s">
        <v>98</v>
      </c>
      <c r="B25" s="3" t="s">
        <v>99</v>
      </c>
      <c r="C25" s="3" t="s">
        <v>129</v>
      </c>
      <c r="D25" s="4" t="s">
        <v>123</v>
      </c>
      <c r="E25" s="4">
        <v>46056.6726410532</v>
      </c>
      <c r="F25" s="3" t="s">
        <v>20</v>
      </c>
      <c r="G25" s="3" t="s">
        <v>21</v>
      </c>
      <c r="H25" s="3">
        <v>3</v>
      </c>
      <c r="I25" s="5">
        <v>3.3</v>
      </c>
      <c r="J25" s="5">
        <v>9.9</v>
      </c>
      <c r="K25" s="3">
        <v>3</v>
      </c>
      <c r="L25" s="5">
        <v>9.9</v>
      </c>
      <c r="M25" s="5"/>
      <c r="N25" s="5"/>
      <c r="O25" s="5" t="s">
        <v>30</v>
      </c>
      <c r="P25" s="5" t="s">
        <v>34</v>
      </c>
    </row>
    <row r="26" s="16" customFormat="1" ht="22.5" customHeight="1" spans="1:16">
      <c r="A26" s="3" t="s">
        <v>98</v>
      </c>
      <c r="B26" s="3" t="s">
        <v>99</v>
      </c>
      <c r="C26" s="3" t="s">
        <v>129</v>
      </c>
      <c r="D26" s="4" t="s">
        <v>123</v>
      </c>
      <c r="E26" s="4">
        <v>46056.6726410532</v>
      </c>
      <c r="F26" s="3" t="s">
        <v>26</v>
      </c>
      <c r="G26" s="3" t="s">
        <v>27</v>
      </c>
      <c r="H26" s="3">
        <v>1</v>
      </c>
      <c r="I26" s="5">
        <v>3.3</v>
      </c>
      <c r="J26" s="5">
        <v>3.3</v>
      </c>
      <c r="K26" s="3">
        <v>1</v>
      </c>
      <c r="L26" s="5">
        <v>3.3</v>
      </c>
      <c r="M26" s="5"/>
      <c r="N26" s="5"/>
      <c r="O26" s="5" t="s">
        <v>30</v>
      </c>
      <c r="P26" s="5" t="s">
        <v>34</v>
      </c>
    </row>
    <row r="27" s="16" customFormat="1" ht="22.5" customHeight="1" spans="1:16">
      <c r="A27" s="3" t="s">
        <v>98</v>
      </c>
      <c r="B27" s="3" t="s">
        <v>99</v>
      </c>
      <c r="C27" s="3" t="s">
        <v>130</v>
      </c>
      <c r="D27" s="4" t="s">
        <v>123</v>
      </c>
      <c r="E27" s="4">
        <v>46056.672641169</v>
      </c>
      <c r="F27" s="3" t="s">
        <v>20</v>
      </c>
      <c r="G27" s="3" t="s">
        <v>21</v>
      </c>
      <c r="H27" s="3">
        <v>11</v>
      </c>
      <c r="I27" s="5">
        <v>3.3</v>
      </c>
      <c r="J27" s="5">
        <v>36.3</v>
      </c>
      <c r="K27" s="3">
        <v>11</v>
      </c>
      <c r="L27" s="5">
        <v>36.3</v>
      </c>
      <c r="M27" s="5"/>
      <c r="N27" s="5"/>
      <c r="O27" s="5" t="s">
        <v>30</v>
      </c>
      <c r="P27" s="5" t="s">
        <v>34</v>
      </c>
    </row>
    <row r="28" s="16" customFormat="1" ht="22.5" customHeight="1" spans="1:16">
      <c r="A28" s="3" t="s">
        <v>98</v>
      </c>
      <c r="B28" s="3" t="s">
        <v>99</v>
      </c>
      <c r="C28" s="3" t="s">
        <v>130</v>
      </c>
      <c r="D28" s="4" t="s">
        <v>123</v>
      </c>
      <c r="E28" s="4">
        <v>46056.672641169</v>
      </c>
      <c r="F28" s="3" t="s">
        <v>26</v>
      </c>
      <c r="G28" s="3" t="s">
        <v>27</v>
      </c>
      <c r="H28" s="3">
        <v>1</v>
      </c>
      <c r="I28" s="5">
        <v>3.3</v>
      </c>
      <c r="J28" s="5">
        <v>3.3</v>
      </c>
      <c r="K28" s="3">
        <v>1</v>
      </c>
      <c r="L28" s="5">
        <v>3.3</v>
      </c>
      <c r="M28" s="5"/>
      <c r="N28" s="5"/>
      <c r="O28" s="5" t="s">
        <v>30</v>
      </c>
      <c r="P28" s="5" t="s">
        <v>34</v>
      </c>
    </row>
    <row r="29" s="16" customFormat="1" ht="22.5" customHeight="1" spans="1:16">
      <c r="A29" s="3" t="s">
        <v>98</v>
      </c>
      <c r="B29" s="3" t="s">
        <v>99</v>
      </c>
      <c r="C29" s="3" t="s">
        <v>131</v>
      </c>
      <c r="D29" s="4" t="s">
        <v>123</v>
      </c>
      <c r="E29" s="4">
        <v>46056.6726452893</v>
      </c>
      <c r="F29" s="3" t="s">
        <v>20</v>
      </c>
      <c r="G29" s="3" t="s">
        <v>21</v>
      </c>
      <c r="H29" s="3">
        <v>35</v>
      </c>
      <c r="I29" s="5">
        <v>3.3</v>
      </c>
      <c r="J29" s="5">
        <v>115.5</v>
      </c>
      <c r="K29" s="3">
        <v>35</v>
      </c>
      <c r="L29" s="5">
        <v>115.5</v>
      </c>
      <c r="M29" s="5"/>
      <c r="N29" s="5"/>
      <c r="O29" s="5" t="s">
        <v>30</v>
      </c>
      <c r="P29" s="5" t="s">
        <v>34</v>
      </c>
    </row>
    <row r="30" s="16" customFormat="1" ht="22.5" customHeight="1" spans="1:16">
      <c r="A30" s="3" t="s">
        <v>98</v>
      </c>
      <c r="B30" s="3" t="s">
        <v>99</v>
      </c>
      <c r="C30" s="3" t="s">
        <v>131</v>
      </c>
      <c r="D30" s="4" t="s">
        <v>123</v>
      </c>
      <c r="E30" s="4">
        <v>46056.6726452893</v>
      </c>
      <c r="F30" s="3" t="s">
        <v>26</v>
      </c>
      <c r="G30" s="3" t="s">
        <v>27</v>
      </c>
      <c r="H30" s="3">
        <v>1</v>
      </c>
      <c r="I30" s="5">
        <v>3.3</v>
      </c>
      <c r="J30" s="5">
        <v>3.3</v>
      </c>
      <c r="K30" s="3">
        <v>1</v>
      </c>
      <c r="L30" s="5">
        <v>3.3</v>
      </c>
      <c r="M30" s="5"/>
      <c r="N30" s="5"/>
      <c r="O30" s="5" t="s">
        <v>30</v>
      </c>
      <c r="P30" s="5" t="s">
        <v>34</v>
      </c>
    </row>
    <row r="31" s="16" customFormat="1" ht="22.5" customHeight="1" spans="1:16">
      <c r="A31" s="3" t="s">
        <v>98</v>
      </c>
      <c r="B31" s="3" t="s">
        <v>99</v>
      </c>
      <c r="C31" s="3" t="s">
        <v>132</v>
      </c>
      <c r="D31" s="4" t="s">
        <v>123</v>
      </c>
      <c r="E31" s="4">
        <v>46056.782966169</v>
      </c>
      <c r="F31" s="3" t="s">
        <v>20</v>
      </c>
      <c r="G31" s="3" t="s">
        <v>35</v>
      </c>
      <c r="H31" s="3">
        <v>1</v>
      </c>
      <c r="I31" s="5">
        <v>9.9</v>
      </c>
      <c r="J31" s="5">
        <v>9.9</v>
      </c>
      <c r="K31" s="3">
        <v>1</v>
      </c>
      <c r="L31" s="5">
        <v>9.9</v>
      </c>
      <c r="M31" s="5"/>
      <c r="N31" s="5"/>
      <c r="O31" s="5" t="s">
        <v>30</v>
      </c>
      <c r="P31" s="5" t="s">
        <v>34</v>
      </c>
    </row>
    <row r="32" s="16" customFormat="1" ht="22.5" customHeight="1" spans="1:16">
      <c r="A32" s="5"/>
      <c r="B32" s="5"/>
      <c r="C32" s="5" t="s">
        <v>97</v>
      </c>
      <c r="D32" s="5"/>
      <c r="E32" s="5"/>
      <c r="F32" s="5"/>
      <c r="G32" s="5"/>
      <c r="H32" s="5"/>
      <c r="I32" s="5"/>
      <c r="J32" s="5"/>
      <c r="K32" s="5"/>
      <c r="L32" s="5">
        <v>908.7</v>
      </c>
      <c r="M32" s="5"/>
      <c r="N32" s="5"/>
      <c r="O32" s="5"/>
      <c r="P32" s="5"/>
    </row>
    <row r="33" s="16" customFormat="1" spans="1:16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="16" customFormat="1" spans="1:16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="16" customFormat="1" spans="1:16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251388888888889" right="0.251388888888889" top="0.751388888888889" bottom="0.751388888888889" header="0.298611111111111" footer="0.298611111111111"/>
  <pageSetup paperSize="9" scale="68" orientation="landscape" horizontalDpi="600"/>
  <headerFooter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view="pageBreakPreview" zoomScaleNormal="100" topLeftCell="A13" workbookViewId="0">
      <selection activeCell="L2" sqref="L2:L28"/>
    </sheetView>
  </sheetViews>
  <sheetFormatPr defaultColWidth="9" defaultRowHeight="13.5"/>
  <cols>
    <col min="1" max="1" width="27.0083333333333" style="16" customWidth="1"/>
    <col min="2" max="2" width="16.675" style="16" customWidth="1"/>
    <col min="3" max="3" width="30.0083333333333" style="16" customWidth="1"/>
    <col min="4" max="4" width="16.8416666666667" style="16" customWidth="1"/>
    <col min="5" max="5" width="13.3416666666667" style="16" customWidth="1"/>
    <col min="6" max="6" width="12.3416666666667" style="16" customWidth="1"/>
    <col min="7" max="7" width="15.0083333333333" style="16" customWidth="1"/>
    <col min="8" max="8" width="12.3416666666667" style="16" customWidth="1"/>
    <col min="9" max="9" width="8.675" style="16" customWidth="1"/>
    <col min="10" max="10" width="9.34166666666667" style="16" hidden="1" customWidth="1"/>
    <col min="11" max="12" width="17.8416666666667" style="16" customWidth="1"/>
    <col min="13" max="14" width="16.0083333333333" style="16" hidden="1" customWidth="1"/>
    <col min="15" max="16" width="8.675" style="16" customWidth="1"/>
    <col min="17" max="16384" width="9" style="16"/>
  </cols>
  <sheetData>
    <row r="1" s="16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16" customFormat="1" ht="22.5" customHeight="1" spans="1:16">
      <c r="A2" s="3" t="s">
        <v>98</v>
      </c>
      <c r="B2" s="3" t="s">
        <v>99</v>
      </c>
      <c r="C2" s="3" t="s">
        <v>100</v>
      </c>
      <c r="D2" s="4" t="s">
        <v>39</v>
      </c>
      <c r="E2" s="4">
        <v>46043.7745974537</v>
      </c>
      <c r="F2" s="3" t="s">
        <v>26</v>
      </c>
      <c r="G2" s="3" t="s">
        <v>27</v>
      </c>
      <c r="H2" s="3">
        <v>1</v>
      </c>
      <c r="I2" s="17">
        <v>3.3</v>
      </c>
      <c r="J2" s="17">
        <v>3.3</v>
      </c>
      <c r="K2" s="17"/>
      <c r="L2" s="17"/>
      <c r="M2" s="17">
        <v>1</v>
      </c>
      <c r="N2" s="17">
        <v>3.3</v>
      </c>
      <c r="O2" s="17" t="s">
        <v>101</v>
      </c>
      <c r="P2" s="17" t="s">
        <v>91</v>
      </c>
    </row>
    <row r="3" s="16" customFormat="1" ht="22.5" customHeight="1" spans="1:16">
      <c r="A3" s="3" t="s">
        <v>98</v>
      </c>
      <c r="B3" s="3" t="s">
        <v>99</v>
      </c>
      <c r="C3" s="3" t="s">
        <v>100</v>
      </c>
      <c r="D3" s="4" t="s">
        <v>39</v>
      </c>
      <c r="E3" s="4">
        <v>46043.7745974537</v>
      </c>
      <c r="F3" s="3" t="s">
        <v>20</v>
      </c>
      <c r="G3" s="3" t="s">
        <v>21</v>
      </c>
      <c r="H3" s="3">
        <v>8</v>
      </c>
      <c r="I3" s="17">
        <v>3.3</v>
      </c>
      <c r="J3" s="17">
        <v>26.4</v>
      </c>
      <c r="K3" s="17"/>
      <c r="L3" s="17"/>
      <c r="M3" s="17">
        <v>8</v>
      </c>
      <c r="N3" s="17">
        <v>26.4</v>
      </c>
      <c r="O3" s="17" t="s">
        <v>101</v>
      </c>
      <c r="P3" s="17" t="s">
        <v>91</v>
      </c>
    </row>
    <row r="4" s="16" customFormat="1" ht="22.5" customHeight="1" spans="1:16">
      <c r="A4" s="3" t="s">
        <v>98</v>
      </c>
      <c r="B4" s="3" t="s">
        <v>99</v>
      </c>
      <c r="C4" s="3" t="s">
        <v>102</v>
      </c>
      <c r="D4" s="4" t="s">
        <v>39</v>
      </c>
      <c r="E4" s="6">
        <v>46044.8618593403</v>
      </c>
      <c r="F4" s="3" t="s">
        <v>20</v>
      </c>
      <c r="G4" s="3" t="s">
        <v>35</v>
      </c>
      <c r="H4" s="3">
        <v>1</v>
      </c>
      <c r="I4" s="7">
        <v>9.9</v>
      </c>
      <c r="J4" s="7">
        <v>9.9</v>
      </c>
      <c r="K4" s="7"/>
      <c r="L4" s="7"/>
      <c r="M4" s="7">
        <v>1</v>
      </c>
      <c r="N4" s="7">
        <v>9.9</v>
      </c>
      <c r="O4" s="5" t="s">
        <v>101</v>
      </c>
      <c r="P4" s="5" t="s">
        <v>91</v>
      </c>
    </row>
    <row r="5" s="16" customFormat="1" ht="22.5" customHeight="1" spans="1:16">
      <c r="A5" s="3" t="s">
        <v>98</v>
      </c>
      <c r="B5" s="3" t="s">
        <v>99</v>
      </c>
      <c r="C5" s="3" t="s">
        <v>103</v>
      </c>
      <c r="D5" s="4" t="s">
        <v>104</v>
      </c>
      <c r="E5" s="6">
        <v>46050.5848569792</v>
      </c>
      <c r="F5" s="3" t="s">
        <v>20</v>
      </c>
      <c r="G5" s="3" t="s">
        <v>25</v>
      </c>
      <c r="H5" s="15">
        <v>11</v>
      </c>
      <c r="I5" s="7">
        <v>3.3</v>
      </c>
      <c r="J5" s="7">
        <v>36.3</v>
      </c>
      <c r="K5" s="7">
        <v>11</v>
      </c>
      <c r="L5" s="7">
        <v>36.3</v>
      </c>
      <c r="M5" s="7"/>
      <c r="N5" s="7"/>
      <c r="O5" s="5" t="s">
        <v>101</v>
      </c>
      <c r="P5" s="5" t="s">
        <v>91</v>
      </c>
    </row>
    <row r="6" s="16" customFormat="1" ht="22.5" customHeight="1" spans="1:16">
      <c r="A6" s="11" t="s">
        <v>98</v>
      </c>
      <c r="B6" s="11" t="s">
        <v>99</v>
      </c>
      <c r="C6" s="11" t="s">
        <v>105</v>
      </c>
      <c r="D6" s="12" t="s">
        <v>106</v>
      </c>
      <c r="E6" s="12">
        <v>46051.6682553588</v>
      </c>
      <c r="F6" s="11" t="s">
        <v>20</v>
      </c>
      <c r="G6" s="11" t="s">
        <v>35</v>
      </c>
      <c r="H6" s="11">
        <v>37</v>
      </c>
      <c r="I6" s="5">
        <v>3.3</v>
      </c>
      <c r="J6" s="5">
        <v>122.1</v>
      </c>
      <c r="K6" s="5">
        <v>37</v>
      </c>
      <c r="L6" s="5">
        <v>122.1</v>
      </c>
      <c r="M6" s="5"/>
      <c r="N6" s="5"/>
      <c r="O6" s="5" t="s">
        <v>101</v>
      </c>
      <c r="P6" s="5" t="s">
        <v>91</v>
      </c>
    </row>
    <row r="7" s="16" customFormat="1" ht="22.5" customHeight="1" spans="1:16">
      <c r="A7" s="11" t="s">
        <v>98</v>
      </c>
      <c r="B7" s="11" t="s">
        <v>99</v>
      </c>
      <c r="C7" s="11" t="s">
        <v>105</v>
      </c>
      <c r="D7" s="12" t="s">
        <v>106</v>
      </c>
      <c r="E7" s="12">
        <v>46051.6682553588</v>
      </c>
      <c r="F7" s="11" t="s">
        <v>20</v>
      </c>
      <c r="G7" s="11" t="s">
        <v>25</v>
      </c>
      <c r="H7" s="11">
        <v>7</v>
      </c>
      <c r="I7" s="5">
        <v>3.3</v>
      </c>
      <c r="J7" s="5">
        <v>23.1</v>
      </c>
      <c r="K7" s="5">
        <v>7</v>
      </c>
      <c r="L7" s="5">
        <v>23.1</v>
      </c>
      <c r="M7" s="5"/>
      <c r="N7" s="5"/>
      <c r="O7" s="5" t="s">
        <v>101</v>
      </c>
      <c r="P7" s="5" t="s">
        <v>91</v>
      </c>
    </row>
    <row r="8" s="16" customFormat="1" ht="22.5" customHeight="1" spans="1:16">
      <c r="A8" s="11" t="s">
        <v>98</v>
      </c>
      <c r="B8" s="11" t="s">
        <v>99</v>
      </c>
      <c r="C8" s="11" t="s">
        <v>105</v>
      </c>
      <c r="D8" s="12" t="s">
        <v>106</v>
      </c>
      <c r="E8" s="12">
        <v>46051.6682553588</v>
      </c>
      <c r="F8" s="11" t="s">
        <v>26</v>
      </c>
      <c r="G8" s="11" t="s">
        <v>27</v>
      </c>
      <c r="H8" s="11">
        <v>1</v>
      </c>
      <c r="I8" s="5">
        <v>3.3</v>
      </c>
      <c r="J8" s="5">
        <v>3.3</v>
      </c>
      <c r="K8" s="5">
        <v>1</v>
      </c>
      <c r="L8" s="5">
        <v>3.3</v>
      </c>
      <c r="M8" s="5"/>
      <c r="N8" s="5"/>
      <c r="O8" s="5" t="s">
        <v>101</v>
      </c>
      <c r="P8" s="5" t="s">
        <v>91</v>
      </c>
    </row>
    <row r="9" s="16" customFormat="1" ht="22.5" customHeight="1" spans="1:16">
      <c r="A9" s="11" t="s">
        <v>98</v>
      </c>
      <c r="B9" s="11" t="s">
        <v>99</v>
      </c>
      <c r="C9" s="11" t="s">
        <v>107</v>
      </c>
      <c r="D9" s="12" t="s">
        <v>106</v>
      </c>
      <c r="E9" s="12">
        <v>46051.6682423958</v>
      </c>
      <c r="F9" s="11" t="s">
        <v>26</v>
      </c>
      <c r="G9" s="11" t="s">
        <v>27</v>
      </c>
      <c r="H9" s="11">
        <v>1</v>
      </c>
      <c r="I9" s="5">
        <v>3.3</v>
      </c>
      <c r="J9" s="5">
        <v>3.3</v>
      </c>
      <c r="K9" s="5">
        <v>1</v>
      </c>
      <c r="L9" s="5">
        <v>3.3</v>
      </c>
      <c r="M9" s="5"/>
      <c r="N9" s="5"/>
      <c r="O9" s="5" t="s">
        <v>101</v>
      </c>
      <c r="P9" s="5" t="s">
        <v>91</v>
      </c>
    </row>
    <row r="10" s="16" customFormat="1" ht="22.5" customHeight="1" spans="1:16">
      <c r="A10" s="11" t="s">
        <v>98</v>
      </c>
      <c r="B10" s="11" t="s">
        <v>99</v>
      </c>
      <c r="C10" s="11" t="s">
        <v>107</v>
      </c>
      <c r="D10" s="12" t="s">
        <v>106</v>
      </c>
      <c r="E10" s="12">
        <v>46051.6682423958</v>
      </c>
      <c r="F10" s="11" t="s">
        <v>20</v>
      </c>
      <c r="G10" s="11" t="s">
        <v>24</v>
      </c>
      <c r="H10" s="11">
        <v>230</v>
      </c>
      <c r="I10" s="5">
        <v>120</v>
      </c>
      <c r="J10" s="5">
        <v>120</v>
      </c>
      <c r="K10" s="5">
        <v>230</v>
      </c>
      <c r="L10" s="5">
        <v>120</v>
      </c>
      <c r="M10" s="5"/>
      <c r="N10" s="5"/>
      <c r="O10" s="5" t="s">
        <v>101</v>
      </c>
      <c r="P10" s="5" t="s">
        <v>91</v>
      </c>
    </row>
    <row r="11" s="16" customFormat="1" ht="22.5" customHeight="1" spans="1:16">
      <c r="A11" s="11" t="s">
        <v>98</v>
      </c>
      <c r="B11" s="11" t="s">
        <v>99</v>
      </c>
      <c r="C11" s="11" t="s">
        <v>108</v>
      </c>
      <c r="D11" s="12" t="s">
        <v>106</v>
      </c>
      <c r="E11" s="12">
        <v>46051.6682457176</v>
      </c>
      <c r="F11" s="11" t="s">
        <v>26</v>
      </c>
      <c r="G11" s="11" t="s">
        <v>27</v>
      </c>
      <c r="H11" s="11">
        <v>1</v>
      </c>
      <c r="I11" s="5">
        <v>3.3</v>
      </c>
      <c r="J11" s="5">
        <v>3.3</v>
      </c>
      <c r="K11" s="5">
        <v>1</v>
      </c>
      <c r="L11" s="5">
        <v>3.3</v>
      </c>
      <c r="M11" s="5"/>
      <c r="N11" s="5"/>
      <c r="O11" s="5" t="s">
        <v>101</v>
      </c>
      <c r="P11" s="5" t="s">
        <v>91</v>
      </c>
    </row>
    <row r="12" s="16" customFormat="1" ht="22.5" customHeight="1" spans="1:16">
      <c r="A12" s="11" t="s">
        <v>98</v>
      </c>
      <c r="B12" s="11" t="s">
        <v>99</v>
      </c>
      <c r="C12" s="11" t="s">
        <v>108</v>
      </c>
      <c r="D12" s="12" t="s">
        <v>106</v>
      </c>
      <c r="E12" s="12">
        <v>46051.6682457176</v>
      </c>
      <c r="F12" s="11" t="s">
        <v>20</v>
      </c>
      <c r="G12" s="11" t="s">
        <v>24</v>
      </c>
      <c r="H12" s="11">
        <v>133</v>
      </c>
      <c r="I12" s="5">
        <v>30</v>
      </c>
      <c r="J12" s="5">
        <v>30</v>
      </c>
      <c r="K12" s="5">
        <v>83</v>
      </c>
      <c r="L12" s="5">
        <v>30</v>
      </c>
      <c r="M12" s="5">
        <v>50</v>
      </c>
      <c r="N12" s="5"/>
      <c r="O12" s="5" t="s">
        <v>101</v>
      </c>
      <c r="P12" s="5" t="s">
        <v>91</v>
      </c>
    </row>
    <row r="13" s="16" customFormat="1" ht="22.5" customHeight="1" spans="1:16">
      <c r="A13" s="11" t="s">
        <v>98</v>
      </c>
      <c r="B13" s="11" t="s">
        <v>99</v>
      </c>
      <c r="C13" s="11" t="s">
        <v>109</v>
      </c>
      <c r="D13" s="12" t="s">
        <v>106</v>
      </c>
      <c r="E13" s="12">
        <v>46051.6682489236</v>
      </c>
      <c r="F13" s="11" t="s">
        <v>20</v>
      </c>
      <c r="G13" s="11" t="s">
        <v>35</v>
      </c>
      <c r="H13" s="11">
        <v>20</v>
      </c>
      <c r="I13" s="5">
        <v>3.3</v>
      </c>
      <c r="J13" s="5">
        <v>66</v>
      </c>
      <c r="K13" s="5">
        <v>20</v>
      </c>
      <c r="L13" s="5">
        <v>66</v>
      </c>
      <c r="M13" s="5"/>
      <c r="N13" s="5"/>
      <c r="O13" s="5" t="s">
        <v>101</v>
      </c>
      <c r="P13" s="5" t="s">
        <v>91</v>
      </c>
    </row>
    <row r="14" s="16" customFormat="1" ht="22.5" customHeight="1" spans="1:16">
      <c r="A14" s="11" t="s">
        <v>98</v>
      </c>
      <c r="B14" s="11" t="s">
        <v>99</v>
      </c>
      <c r="C14" s="11" t="s">
        <v>109</v>
      </c>
      <c r="D14" s="12" t="s">
        <v>106</v>
      </c>
      <c r="E14" s="12">
        <v>46051.6682489236</v>
      </c>
      <c r="F14" s="11" t="s">
        <v>26</v>
      </c>
      <c r="G14" s="11" t="s">
        <v>27</v>
      </c>
      <c r="H14" s="11">
        <v>1</v>
      </c>
      <c r="I14" s="5">
        <v>3.3</v>
      </c>
      <c r="J14" s="5">
        <v>3.3</v>
      </c>
      <c r="K14" s="5">
        <v>1</v>
      </c>
      <c r="L14" s="5">
        <v>3.3</v>
      </c>
      <c r="M14" s="5"/>
      <c r="N14" s="5"/>
      <c r="O14" s="5" t="s">
        <v>101</v>
      </c>
      <c r="P14" s="5" t="s">
        <v>91</v>
      </c>
    </row>
    <row r="15" s="16" customFormat="1" ht="22.5" customHeight="1" spans="1:16">
      <c r="A15" s="11" t="s">
        <v>98</v>
      </c>
      <c r="B15" s="11" t="s">
        <v>99</v>
      </c>
      <c r="C15" s="11" t="s">
        <v>109</v>
      </c>
      <c r="D15" s="12" t="s">
        <v>106</v>
      </c>
      <c r="E15" s="12">
        <v>46051.6682489236</v>
      </c>
      <c r="F15" s="11" t="s">
        <v>20</v>
      </c>
      <c r="G15" s="11" t="s">
        <v>24</v>
      </c>
      <c r="H15" s="11">
        <v>38</v>
      </c>
      <c r="I15" s="5">
        <v>30</v>
      </c>
      <c r="J15" s="5">
        <v>30</v>
      </c>
      <c r="K15" s="5"/>
      <c r="L15" s="5"/>
      <c r="M15" s="5">
        <v>38</v>
      </c>
      <c r="N15" s="5">
        <v>30</v>
      </c>
      <c r="O15" s="5" t="s">
        <v>101</v>
      </c>
      <c r="P15" s="5" t="s">
        <v>91</v>
      </c>
    </row>
    <row r="16" s="16" customFormat="1" ht="22.5" customHeight="1" spans="1:16">
      <c r="A16" s="11" t="s">
        <v>98</v>
      </c>
      <c r="B16" s="11" t="s">
        <v>99</v>
      </c>
      <c r="C16" s="11" t="s">
        <v>110</v>
      </c>
      <c r="D16" s="12" t="s">
        <v>111</v>
      </c>
      <c r="E16" s="12">
        <v>46051.6682457176</v>
      </c>
      <c r="F16" s="11" t="s">
        <v>26</v>
      </c>
      <c r="G16" s="11" t="s">
        <v>27</v>
      </c>
      <c r="H16" s="11">
        <v>1</v>
      </c>
      <c r="I16" s="5">
        <v>3.3</v>
      </c>
      <c r="J16" s="5">
        <v>3.3</v>
      </c>
      <c r="K16" s="5">
        <v>1</v>
      </c>
      <c r="L16" s="5">
        <v>3.3</v>
      </c>
      <c r="M16" s="5"/>
      <c r="N16" s="5"/>
      <c r="O16" s="5" t="s">
        <v>101</v>
      </c>
      <c r="P16" s="5" t="s">
        <v>91</v>
      </c>
    </row>
    <row r="17" s="16" customFormat="1" ht="22.5" customHeight="1" spans="1:16">
      <c r="A17" s="11" t="s">
        <v>98</v>
      </c>
      <c r="B17" s="11" t="s">
        <v>99</v>
      </c>
      <c r="C17" s="11" t="s">
        <v>110</v>
      </c>
      <c r="D17" s="12" t="s">
        <v>111</v>
      </c>
      <c r="E17" s="12">
        <v>46051.6682457176</v>
      </c>
      <c r="F17" s="11" t="s">
        <v>20</v>
      </c>
      <c r="G17" s="11" t="s">
        <v>24</v>
      </c>
      <c r="H17" s="11">
        <v>239</v>
      </c>
      <c r="I17" s="5">
        <v>120</v>
      </c>
      <c r="J17" s="5">
        <v>120</v>
      </c>
      <c r="K17" s="5">
        <v>239</v>
      </c>
      <c r="L17" s="5">
        <v>120</v>
      </c>
      <c r="M17" s="5"/>
      <c r="N17" s="5"/>
      <c r="O17" s="5" t="s">
        <v>101</v>
      </c>
      <c r="P17" s="5" t="s">
        <v>91</v>
      </c>
    </row>
    <row r="18" s="16" customFormat="1" ht="22.5" customHeight="1" spans="1:16">
      <c r="A18" s="11" t="s">
        <v>98</v>
      </c>
      <c r="B18" s="11" t="s">
        <v>99</v>
      </c>
      <c r="C18" s="11" t="s">
        <v>112</v>
      </c>
      <c r="D18" s="12" t="s">
        <v>111</v>
      </c>
      <c r="E18" s="12">
        <v>46051.6682489236</v>
      </c>
      <c r="F18" s="11" t="s">
        <v>20</v>
      </c>
      <c r="G18" s="11" t="s">
        <v>25</v>
      </c>
      <c r="H18" s="11">
        <v>7</v>
      </c>
      <c r="I18" s="5">
        <v>3.3</v>
      </c>
      <c r="J18" s="5">
        <v>23.1</v>
      </c>
      <c r="K18" s="5">
        <v>7</v>
      </c>
      <c r="L18" s="5">
        <v>23.1</v>
      </c>
      <c r="M18" s="5"/>
      <c r="N18" s="5"/>
      <c r="O18" s="5" t="s">
        <v>101</v>
      </c>
      <c r="P18" s="5" t="s">
        <v>91</v>
      </c>
    </row>
    <row r="19" s="16" customFormat="1" ht="22.5" customHeight="1" spans="1:16">
      <c r="A19" s="11" t="s">
        <v>98</v>
      </c>
      <c r="B19" s="11" t="s">
        <v>99</v>
      </c>
      <c r="C19" s="11" t="s">
        <v>112</v>
      </c>
      <c r="D19" s="12" t="s">
        <v>111</v>
      </c>
      <c r="E19" s="12">
        <v>46051.6682489236</v>
      </c>
      <c r="F19" s="11" t="s">
        <v>20</v>
      </c>
      <c r="G19" s="11" t="s">
        <v>21</v>
      </c>
      <c r="H19" s="11">
        <v>30</v>
      </c>
      <c r="I19" s="5">
        <v>3.3</v>
      </c>
      <c r="J19" s="5">
        <v>99</v>
      </c>
      <c r="K19" s="5">
        <v>30</v>
      </c>
      <c r="L19" s="5">
        <v>99</v>
      </c>
      <c r="M19" s="5"/>
      <c r="N19" s="5"/>
      <c r="O19" s="5" t="s">
        <v>101</v>
      </c>
      <c r="P19" s="5" t="s">
        <v>91</v>
      </c>
    </row>
    <row r="20" s="16" customFormat="1" ht="22.5" customHeight="1" spans="1:16">
      <c r="A20" s="11" t="s">
        <v>98</v>
      </c>
      <c r="B20" s="11" t="s">
        <v>99</v>
      </c>
      <c r="C20" s="11" t="s">
        <v>112</v>
      </c>
      <c r="D20" s="12" t="s">
        <v>111</v>
      </c>
      <c r="E20" s="12">
        <v>46051.6682489236</v>
      </c>
      <c r="F20" s="11" t="s">
        <v>26</v>
      </c>
      <c r="G20" s="11" t="s">
        <v>27</v>
      </c>
      <c r="H20" s="11">
        <v>1</v>
      </c>
      <c r="I20" s="5">
        <v>3.3</v>
      </c>
      <c r="J20" s="5">
        <v>3.3</v>
      </c>
      <c r="K20" s="5">
        <v>1</v>
      </c>
      <c r="L20" s="5">
        <v>3.3</v>
      </c>
      <c r="M20" s="5"/>
      <c r="N20" s="5"/>
      <c r="O20" s="5" t="s">
        <v>101</v>
      </c>
      <c r="P20" s="5" t="s">
        <v>91</v>
      </c>
    </row>
    <row r="21" s="16" customFormat="1" ht="22.5" customHeight="1" spans="1:16">
      <c r="A21" s="11" t="s">
        <v>98</v>
      </c>
      <c r="B21" s="11" t="s">
        <v>99</v>
      </c>
      <c r="C21" s="11" t="s">
        <v>113</v>
      </c>
      <c r="D21" s="12" t="s">
        <v>111</v>
      </c>
      <c r="E21" s="12">
        <v>46051.6682520833</v>
      </c>
      <c r="F21" s="11" t="s">
        <v>26</v>
      </c>
      <c r="G21" s="11" t="s">
        <v>27</v>
      </c>
      <c r="H21" s="11">
        <v>1</v>
      </c>
      <c r="I21" s="5">
        <v>3.3</v>
      </c>
      <c r="J21" s="5">
        <v>3.3</v>
      </c>
      <c r="K21" s="5">
        <v>1</v>
      </c>
      <c r="L21" s="5">
        <v>3.3</v>
      </c>
      <c r="M21" s="5"/>
      <c r="N21" s="5"/>
      <c r="O21" s="5" t="s">
        <v>101</v>
      </c>
      <c r="P21" s="5" t="s">
        <v>91</v>
      </c>
    </row>
    <row r="22" s="16" customFormat="1" ht="22.5" customHeight="1" spans="1:16">
      <c r="A22" s="11" t="s">
        <v>98</v>
      </c>
      <c r="B22" s="11" t="s">
        <v>99</v>
      </c>
      <c r="C22" s="11" t="s">
        <v>113</v>
      </c>
      <c r="D22" s="12" t="s">
        <v>111</v>
      </c>
      <c r="E22" s="12">
        <v>46051.6682520833</v>
      </c>
      <c r="F22" s="11" t="s">
        <v>20</v>
      </c>
      <c r="G22" s="11" t="s">
        <v>24</v>
      </c>
      <c r="H22" s="11">
        <v>107</v>
      </c>
      <c r="I22" s="5">
        <v>30</v>
      </c>
      <c r="J22" s="5">
        <v>30</v>
      </c>
      <c r="K22" s="5">
        <v>107</v>
      </c>
      <c r="L22" s="5">
        <v>30</v>
      </c>
      <c r="M22" s="5"/>
      <c r="N22" s="5"/>
      <c r="O22" s="5" t="s">
        <v>101</v>
      </c>
      <c r="P22" s="5" t="s">
        <v>91</v>
      </c>
    </row>
    <row r="23" s="16" customFormat="1" ht="22.5" customHeight="1" spans="1:16">
      <c r="A23" s="11" t="s">
        <v>98</v>
      </c>
      <c r="B23" s="11" t="s">
        <v>99</v>
      </c>
      <c r="C23" s="11" t="s">
        <v>113</v>
      </c>
      <c r="D23" s="12" t="s">
        <v>111</v>
      </c>
      <c r="E23" s="12">
        <v>46051.6682520833</v>
      </c>
      <c r="F23" s="11" t="s">
        <v>20</v>
      </c>
      <c r="G23" s="11" t="s">
        <v>21</v>
      </c>
      <c r="H23" s="11">
        <v>16</v>
      </c>
      <c r="I23" s="5">
        <v>3.3</v>
      </c>
      <c r="J23" s="5">
        <v>52.8</v>
      </c>
      <c r="K23" s="5">
        <v>16</v>
      </c>
      <c r="L23" s="5">
        <v>52.8</v>
      </c>
      <c r="M23" s="5"/>
      <c r="N23" s="5"/>
      <c r="O23" s="5" t="s">
        <v>101</v>
      </c>
      <c r="P23" s="5" t="s">
        <v>91</v>
      </c>
    </row>
    <row r="24" s="16" customFormat="1" ht="22.5" customHeight="1" spans="1:16">
      <c r="A24" s="11" t="s">
        <v>98</v>
      </c>
      <c r="B24" s="11" t="s">
        <v>99</v>
      </c>
      <c r="C24" s="11" t="s">
        <v>120</v>
      </c>
      <c r="D24" s="12" t="s">
        <v>39</v>
      </c>
      <c r="E24" s="12">
        <v>46051.6682423958</v>
      </c>
      <c r="F24" s="11" t="s">
        <v>20</v>
      </c>
      <c r="G24" s="11" t="s">
        <v>35</v>
      </c>
      <c r="H24" s="11">
        <v>4</v>
      </c>
      <c r="I24" s="5">
        <v>3.3</v>
      </c>
      <c r="J24" s="5">
        <v>13.2</v>
      </c>
      <c r="K24" s="5"/>
      <c r="L24" s="5"/>
      <c r="M24" s="5">
        <v>4</v>
      </c>
      <c r="N24" s="5">
        <v>13.2</v>
      </c>
      <c r="O24" s="5" t="s">
        <v>101</v>
      </c>
      <c r="P24" s="5" t="s">
        <v>91</v>
      </c>
    </row>
    <row r="25" s="16" customFormat="1" ht="22.5" customHeight="1" spans="1:16">
      <c r="A25" s="11" t="s">
        <v>98</v>
      </c>
      <c r="B25" s="11" t="s">
        <v>99</v>
      </c>
      <c r="C25" s="11" t="s">
        <v>120</v>
      </c>
      <c r="D25" s="12" t="s">
        <v>39</v>
      </c>
      <c r="E25" s="12">
        <v>46051.6682423958</v>
      </c>
      <c r="F25" s="11" t="s">
        <v>26</v>
      </c>
      <c r="G25" s="11" t="s">
        <v>27</v>
      </c>
      <c r="H25" s="11">
        <v>1</v>
      </c>
      <c r="I25" s="5">
        <v>3.3</v>
      </c>
      <c r="J25" s="5">
        <v>3.3</v>
      </c>
      <c r="K25" s="5"/>
      <c r="L25" s="5"/>
      <c r="M25" s="5">
        <v>1</v>
      </c>
      <c r="N25" s="5">
        <v>3.3</v>
      </c>
      <c r="O25" s="5" t="s">
        <v>101</v>
      </c>
      <c r="P25" s="5" t="s">
        <v>91</v>
      </c>
    </row>
    <row r="26" s="16" customFormat="1" ht="22.5" customHeight="1" spans="1:16">
      <c r="A26" s="3" t="s">
        <v>98</v>
      </c>
      <c r="B26" s="3" t="s">
        <v>99</v>
      </c>
      <c r="C26" s="3" t="s">
        <v>121</v>
      </c>
      <c r="D26" s="4" t="s">
        <v>39</v>
      </c>
      <c r="E26" s="4">
        <v>46056.4633251157</v>
      </c>
      <c r="F26" s="3" t="s">
        <v>20</v>
      </c>
      <c r="G26" s="3" t="s">
        <v>66</v>
      </c>
      <c r="H26" s="3">
        <v>2</v>
      </c>
      <c r="I26" s="5">
        <v>3.3</v>
      </c>
      <c r="J26" s="5">
        <v>6.6</v>
      </c>
      <c r="K26" s="5"/>
      <c r="L26" s="5"/>
      <c r="M26" s="5">
        <v>2</v>
      </c>
      <c r="N26" s="5">
        <v>6.6</v>
      </c>
      <c r="O26" s="5" t="s">
        <v>101</v>
      </c>
      <c r="P26" s="5" t="s">
        <v>91</v>
      </c>
    </row>
    <row r="27" s="16" customFormat="1" ht="22.5" customHeight="1" spans="1:16">
      <c r="A27" s="3" t="s">
        <v>98</v>
      </c>
      <c r="B27" s="3" t="s">
        <v>99</v>
      </c>
      <c r="C27" s="3" t="s">
        <v>121</v>
      </c>
      <c r="D27" s="4" t="s">
        <v>39</v>
      </c>
      <c r="E27" s="4">
        <v>46056.4633251157</v>
      </c>
      <c r="F27" s="3" t="s">
        <v>26</v>
      </c>
      <c r="G27" s="3" t="s">
        <v>27</v>
      </c>
      <c r="H27" s="3">
        <v>1</v>
      </c>
      <c r="I27" s="5">
        <v>3.3</v>
      </c>
      <c r="J27" s="5">
        <v>3.3</v>
      </c>
      <c r="K27" s="5"/>
      <c r="L27" s="5"/>
      <c r="M27" s="5">
        <v>1</v>
      </c>
      <c r="N27" s="5">
        <v>3.3</v>
      </c>
      <c r="O27" s="5" t="s">
        <v>101</v>
      </c>
      <c r="P27" s="5" t="s">
        <v>91</v>
      </c>
    </row>
    <row r="28" s="16" customFormat="1" ht="22.5" customHeight="1" spans="1:16">
      <c r="A28" s="3" t="s">
        <v>98</v>
      </c>
      <c r="B28" s="3" t="s">
        <v>99</v>
      </c>
      <c r="C28" s="3" t="s">
        <v>133</v>
      </c>
      <c r="D28" s="4" t="s">
        <v>33</v>
      </c>
      <c r="E28" s="6">
        <v>46058.6677825579</v>
      </c>
      <c r="F28" s="3" t="s">
        <v>20</v>
      </c>
      <c r="G28" s="3" t="s">
        <v>35</v>
      </c>
      <c r="H28" s="15">
        <v>6</v>
      </c>
      <c r="I28" s="7">
        <v>3.3</v>
      </c>
      <c r="J28" s="7">
        <v>19.8</v>
      </c>
      <c r="K28" s="7">
        <v>6</v>
      </c>
      <c r="L28" s="7">
        <v>19.8</v>
      </c>
      <c r="M28" s="7"/>
      <c r="N28" s="7"/>
      <c r="O28" s="7" t="s">
        <v>101</v>
      </c>
      <c r="P28" s="5" t="s">
        <v>91</v>
      </c>
    </row>
    <row r="29" s="16" customFormat="1" ht="22.5" customHeight="1" spans="1:16">
      <c r="A29" s="5"/>
      <c r="B29" s="5"/>
      <c r="C29" s="5" t="s">
        <v>97</v>
      </c>
      <c r="D29" s="5"/>
      <c r="E29" s="5"/>
      <c r="F29" s="5"/>
      <c r="G29" s="5"/>
      <c r="H29" s="5"/>
      <c r="I29" s="5"/>
      <c r="J29" s="5"/>
      <c r="K29" s="5"/>
      <c r="L29" s="5">
        <v>765.3</v>
      </c>
      <c r="M29" s="5"/>
      <c r="N29" s="5">
        <v>96</v>
      </c>
      <c r="O29" s="5"/>
      <c r="P29" s="5"/>
    </row>
    <row r="30" s="16" customFormat="1" spans="1:16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="16" customFormat="1" spans="1:16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="16" customFormat="1" spans="1:16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251388888888889" right="0.251388888888889" top="0.751388888888889" bottom="0.751388888888889" header="0.298611111111111" footer="0.298611111111111"/>
  <pageSetup paperSize="9" scale="71" orientation="landscape" horizontalDpi="600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view="pageBreakPreview" zoomScaleNormal="100" workbookViewId="0">
      <selection activeCell="K20" sqref="K19:K20"/>
    </sheetView>
  </sheetViews>
  <sheetFormatPr defaultColWidth="9" defaultRowHeight="13.5"/>
  <cols>
    <col min="1" max="1" width="27.0083333333333" style="16" customWidth="1"/>
    <col min="2" max="2" width="16.675" style="16" customWidth="1"/>
    <col min="3" max="3" width="26.3416666666667" style="16" customWidth="1"/>
    <col min="4" max="4" width="16.0083333333333" style="16" customWidth="1"/>
    <col min="5" max="6" width="12.3416666666667" style="16" customWidth="1"/>
    <col min="7" max="7" width="15.0083333333333" style="16" customWidth="1"/>
    <col min="8" max="8" width="12.3416666666667" style="16" customWidth="1"/>
    <col min="9" max="9" width="8.675" style="16" customWidth="1"/>
    <col min="10" max="10" width="9.34166666666667" style="16" hidden="1" customWidth="1"/>
    <col min="11" max="12" width="17.8416666666667" style="16" customWidth="1"/>
    <col min="13" max="14" width="16.0083333333333" style="16" hidden="1" customWidth="1"/>
    <col min="15" max="16" width="8.675" style="16" customWidth="1"/>
    <col min="17" max="16384" width="9" style="16"/>
  </cols>
  <sheetData>
    <row r="1" s="16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16" customFormat="1" ht="22.5" customHeight="1" spans="1:16">
      <c r="A2" s="3" t="s">
        <v>98</v>
      </c>
      <c r="B2" s="3" t="s">
        <v>99</v>
      </c>
      <c r="C2" s="3" t="s">
        <v>134</v>
      </c>
      <c r="D2" s="4" t="s">
        <v>135</v>
      </c>
      <c r="E2" s="6">
        <v>46062.7111550116</v>
      </c>
      <c r="F2" s="3" t="s">
        <v>26</v>
      </c>
      <c r="G2" s="3" t="s">
        <v>27</v>
      </c>
      <c r="H2" s="3">
        <v>1</v>
      </c>
      <c r="I2" s="7">
        <v>3.3</v>
      </c>
      <c r="J2" s="7">
        <v>3.3</v>
      </c>
      <c r="K2" s="7">
        <v>1</v>
      </c>
      <c r="L2" s="7">
        <v>3.3</v>
      </c>
      <c r="M2" s="7"/>
      <c r="N2" s="7"/>
      <c r="O2" s="5" t="s">
        <v>63</v>
      </c>
      <c r="P2" s="5" t="s">
        <v>64</v>
      </c>
    </row>
    <row r="3" s="16" customFormat="1" ht="22.5" customHeight="1" spans="1:16">
      <c r="A3" s="3" t="s">
        <v>98</v>
      </c>
      <c r="B3" s="3" t="s">
        <v>99</v>
      </c>
      <c r="C3" s="3" t="s">
        <v>134</v>
      </c>
      <c r="D3" s="4" t="s">
        <v>135</v>
      </c>
      <c r="E3" s="6">
        <v>46062.7111550116</v>
      </c>
      <c r="F3" s="3" t="s">
        <v>20</v>
      </c>
      <c r="G3" s="3" t="s">
        <v>25</v>
      </c>
      <c r="H3" s="3">
        <v>15</v>
      </c>
      <c r="I3" s="7">
        <v>3.3</v>
      </c>
      <c r="J3" s="7">
        <v>49.5</v>
      </c>
      <c r="K3" s="7">
        <v>15</v>
      </c>
      <c r="L3" s="7">
        <v>49.5</v>
      </c>
      <c r="M3" s="7"/>
      <c r="N3" s="7"/>
      <c r="O3" s="5" t="s">
        <v>63</v>
      </c>
      <c r="P3" s="5" t="s">
        <v>64</v>
      </c>
    </row>
    <row r="4" s="16" customFormat="1" ht="22.5" customHeight="1" spans="1:16">
      <c r="A4" s="3" t="s">
        <v>98</v>
      </c>
      <c r="B4" s="3" t="s">
        <v>99</v>
      </c>
      <c r="C4" s="3" t="s">
        <v>134</v>
      </c>
      <c r="D4" s="4" t="s">
        <v>135</v>
      </c>
      <c r="E4" s="6">
        <v>46062.7111550116</v>
      </c>
      <c r="F4" s="3" t="s">
        <v>20</v>
      </c>
      <c r="G4" s="3" t="s">
        <v>21</v>
      </c>
      <c r="H4" s="3">
        <v>34</v>
      </c>
      <c r="I4" s="7">
        <v>3.3</v>
      </c>
      <c r="J4" s="7">
        <v>112.2</v>
      </c>
      <c r="K4" s="7">
        <v>34</v>
      </c>
      <c r="L4" s="7">
        <v>112.2</v>
      </c>
      <c r="M4" s="7"/>
      <c r="N4" s="7"/>
      <c r="O4" s="5" t="s">
        <v>63</v>
      </c>
      <c r="P4" s="5" t="s">
        <v>64</v>
      </c>
    </row>
    <row r="5" s="16" customFormat="1" ht="22.5" customHeight="1" spans="1:16">
      <c r="A5" s="3" t="s">
        <v>98</v>
      </c>
      <c r="B5" s="3" t="s">
        <v>99</v>
      </c>
      <c r="C5" s="3" t="s">
        <v>136</v>
      </c>
      <c r="D5" s="4" t="s">
        <v>135</v>
      </c>
      <c r="E5" s="6">
        <v>46062.7111579861</v>
      </c>
      <c r="F5" s="3" t="s">
        <v>20</v>
      </c>
      <c r="G5" s="3" t="s">
        <v>24</v>
      </c>
      <c r="H5" s="3">
        <v>142</v>
      </c>
      <c r="I5" s="7">
        <v>120</v>
      </c>
      <c r="J5" s="7">
        <v>120</v>
      </c>
      <c r="K5" s="7">
        <v>142</v>
      </c>
      <c r="L5" s="7">
        <v>120</v>
      </c>
      <c r="M5" s="7"/>
      <c r="N5" s="7"/>
      <c r="O5" s="5" t="s">
        <v>63</v>
      </c>
      <c r="P5" s="5" t="s">
        <v>64</v>
      </c>
    </row>
    <row r="6" s="16" customFormat="1" ht="22.5" customHeight="1" spans="1:16">
      <c r="A6" s="5"/>
      <c r="B6" s="5"/>
      <c r="C6" s="5" t="s">
        <v>97</v>
      </c>
      <c r="D6" s="5"/>
      <c r="E6" s="5"/>
      <c r="F6" s="5"/>
      <c r="G6" s="5"/>
      <c r="H6" s="5"/>
      <c r="I6" s="5"/>
      <c r="J6" s="5"/>
      <c r="K6" s="5"/>
      <c r="L6" s="5">
        <f>SUM(L2:L5)</f>
        <v>285</v>
      </c>
      <c r="M6" s="5"/>
      <c r="N6" s="5"/>
      <c r="O6" s="5"/>
      <c r="P6" s="5"/>
    </row>
    <row r="7" s="16" customFormat="1" spans="1:16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="16" customFormat="1" spans="1:16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="16" customFormat="1" spans="1:16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251388888888889" right="0.251388888888889" top="0.751388888888889" bottom="0.751388888888889" header="0.298611111111111" footer="0.298611111111111"/>
  <pageSetup paperSize="9" scale="72" orientation="landscape" horizontalDpi="600"/>
  <headerFooter>
    <oddFooter>&amp;C第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6"/>
  <sheetViews>
    <sheetView view="pageBreakPreview" zoomScaleNormal="100" topLeftCell="B1" workbookViewId="0">
      <selection activeCell="S10" sqref="S10"/>
    </sheetView>
  </sheetViews>
  <sheetFormatPr defaultColWidth="9" defaultRowHeight="13.5"/>
  <cols>
    <col min="1" max="1" width="30.0083333333333" customWidth="1"/>
    <col min="2" max="2" width="23.675" customWidth="1"/>
    <col min="3" max="3" width="26.3416666666667" customWidth="1"/>
    <col min="4" max="4" width="26.675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10.3416666666667" customWidth="1"/>
    <col min="10" max="10" width="10.3416666666667" hidden="1" customWidth="1"/>
    <col min="11" max="12" width="17.8416666666667" hidden="1" customWidth="1"/>
    <col min="13" max="14" width="16.0083333333333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2" t="s">
        <v>14</v>
      </c>
      <c r="P1" s="2" t="s">
        <v>15</v>
      </c>
    </row>
    <row r="2" ht="22.5" customHeight="1" spans="1:16">
      <c r="A2" s="3" t="s">
        <v>137</v>
      </c>
      <c r="B2" s="3" t="s">
        <v>138</v>
      </c>
      <c r="C2" s="3" t="s">
        <v>139</v>
      </c>
      <c r="D2" s="4" t="s">
        <v>140</v>
      </c>
      <c r="E2" s="6">
        <v>46044.8626558681</v>
      </c>
      <c r="F2" s="3" t="s">
        <v>20</v>
      </c>
      <c r="G2" s="3" t="s">
        <v>35</v>
      </c>
      <c r="H2" s="3">
        <v>29</v>
      </c>
      <c r="I2" s="7">
        <v>3.3</v>
      </c>
      <c r="J2" s="7">
        <f>I2*H2</f>
        <v>95.7</v>
      </c>
      <c r="K2" s="7">
        <v>29</v>
      </c>
      <c r="L2" s="7">
        <v>95.7</v>
      </c>
      <c r="M2" s="7"/>
      <c r="N2" s="7"/>
      <c r="O2" s="5" t="s">
        <v>30</v>
      </c>
      <c r="P2" s="5" t="s">
        <v>34</v>
      </c>
    </row>
    <row r="3" ht="22.5" customHeight="1" spans="1:16">
      <c r="A3" s="3" t="s">
        <v>137</v>
      </c>
      <c r="B3" s="3" t="s">
        <v>138</v>
      </c>
      <c r="C3" s="3" t="s">
        <v>139</v>
      </c>
      <c r="D3" s="4" t="s">
        <v>141</v>
      </c>
      <c r="E3" s="6">
        <v>46044.8626558681</v>
      </c>
      <c r="F3" s="3" t="s">
        <v>20</v>
      </c>
      <c r="G3" s="3" t="s">
        <v>24</v>
      </c>
      <c r="H3" s="3">
        <v>224</v>
      </c>
      <c r="I3" s="7">
        <v>120</v>
      </c>
      <c r="J3" s="7">
        <v>120</v>
      </c>
      <c r="K3" s="7">
        <v>224</v>
      </c>
      <c r="L3" s="7">
        <v>120</v>
      </c>
      <c r="M3" s="7"/>
      <c r="N3" s="7"/>
      <c r="O3" s="5" t="s">
        <v>30</v>
      </c>
      <c r="P3" s="5" t="s">
        <v>34</v>
      </c>
    </row>
    <row r="4" ht="22.5" customHeight="1" spans="1:16">
      <c r="A4" s="3" t="s">
        <v>137</v>
      </c>
      <c r="B4" s="3" t="s">
        <v>138</v>
      </c>
      <c r="C4" s="3" t="s">
        <v>139</v>
      </c>
      <c r="D4" s="4" t="s">
        <v>142</v>
      </c>
      <c r="E4" s="6">
        <v>46044.8626558681</v>
      </c>
      <c r="F4" s="3" t="s">
        <v>20</v>
      </c>
      <c r="G4" s="3" t="s">
        <v>25</v>
      </c>
      <c r="H4" s="3">
        <v>6</v>
      </c>
      <c r="I4" s="7">
        <v>3.3</v>
      </c>
      <c r="J4" s="7">
        <f>I4*H4</f>
        <v>19.8</v>
      </c>
      <c r="K4" s="7">
        <v>6</v>
      </c>
      <c r="L4" s="7">
        <v>19.8</v>
      </c>
      <c r="M4" s="7"/>
      <c r="N4" s="7"/>
      <c r="O4" s="5" t="s">
        <v>30</v>
      </c>
      <c r="P4" s="5" t="s">
        <v>34</v>
      </c>
    </row>
    <row r="5" ht="22.5" customHeight="1" spans="1:16">
      <c r="A5" s="3" t="s">
        <v>137</v>
      </c>
      <c r="B5" s="3" t="s">
        <v>138</v>
      </c>
      <c r="C5" s="3" t="s">
        <v>139</v>
      </c>
      <c r="D5" s="4" t="s">
        <v>143</v>
      </c>
      <c r="E5" s="6">
        <v>46044.8626558681</v>
      </c>
      <c r="F5" s="3" t="s">
        <v>26</v>
      </c>
      <c r="G5" s="3" t="s">
        <v>27</v>
      </c>
      <c r="H5" s="3">
        <v>1</v>
      </c>
      <c r="I5" s="7">
        <v>3.3</v>
      </c>
      <c r="J5" s="7">
        <v>3.3</v>
      </c>
      <c r="K5" s="7">
        <v>1</v>
      </c>
      <c r="L5" s="7">
        <v>3.3</v>
      </c>
      <c r="M5" s="7"/>
      <c r="N5" s="7"/>
      <c r="O5" s="5" t="s">
        <v>30</v>
      </c>
      <c r="P5" s="5" t="s">
        <v>34</v>
      </c>
    </row>
    <row r="6" ht="22.5" customHeight="1" spans="1:16">
      <c r="A6" s="11" t="s">
        <v>137</v>
      </c>
      <c r="B6" s="11" t="s">
        <v>138</v>
      </c>
      <c r="C6" s="11" t="s">
        <v>144</v>
      </c>
      <c r="D6" s="12" t="s">
        <v>145</v>
      </c>
      <c r="E6" s="13">
        <v>46047.5292269329</v>
      </c>
      <c r="F6" s="11" t="s">
        <v>20</v>
      </c>
      <c r="G6" s="11" t="s">
        <v>25</v>
      </c>
      <c r="H6" s="11">
        <v>4</v>
      </c>
      <c r="I6" s="7">
        <v>3.3</v>
      </c>
      <c r="J6" s="7">
        <f t="shared" ref="J6:J15" si="0">H6*I6</f>
        <v>13.2</v>
      </c>
      <c r="K6" s="7">
        <v>4</v>
      </c>
      <c r="L6" s="7">
        <v>13.2</v>
      </c>
      <c r="M6" s="7"/>
      <c r="N6" s="7"/>
      <c r="O6" s="5" t="s">
        <v>30</v>
      </c>
      <c r="P6" s="5" t="s">
        <v>31</v>
      </c>
    </row>
    <row r="7" ht="22.5" customHeight="1" spans="1:16">
      <c r="A7" s="11" t="s">
        <v>137</v>
      </c>
      <c r="B7" s="11" t="s">
        <v>138</v>
      </c>
      <c r="C7" s="11" t="s">
        <v>146</v>
      </c>
      <c r="D7" s="12" t="s">
        <v>145</v>
      </c>
      <c r="E7" s="13">
        <v>46047.5292238773</v>
      </c>
      <c r="F7" s="11" t="s">
        <v>20</v>
      </c>
      <c r="G7" s="11" t="s">
        <v>35</v>
      </c>
      <c r="H7" s="11">
        <v>27</v>
      </c>
      <c r="I7" s="7">
        <v>3.3</v>
      </c>
      <c r="J7" s="7">
        <f t="shared" si="0"/>
        <v>89.1</v>
      </c>
      <c r="K7" s="7">
        <v>27</v>
      </c>
      <c r="L7" s="7">
        <v>89.1</v>
      </c>
      <c r="M7" s="7"/>
      <c r="N7" s="7"/>
      <c r="O7" s="5" t="s">
        <v>30</v>
      </c>
      <c r="P7" s="5" t="s">
        <v>31</v>
      </c>
    </row>
    <row r="8" ht="22.5" customHeight="1" spans="1:16">
      <c r="A8" s="11" t="s">
        <v>137</v>
      </c>
      <c r="B8" s="11" t="s">
        <v>138</v>
      </c>
      <c r="C8" s="11" t="s">
        <v>146</v>
      </c>
      <c r="D8" s="12" t="s">
        <v>145</v>
      </c>
      <c r="E8" s="13">
        <v>46047.5292238773</v>
      </c>
      <c r="F8" s="11" t="s">
        <v>20</v>
      </c>
      <c r="G8" s="11" t="s">
        <v>24</v>
      </c>
      <c r="H8" s="11">
        <v>73</v>
      </c>
      <c r="I8" s="7">
        <v>30</v>
      </c>
      <c r="J8" s="7">
        <v>30</v>
      </c>
      <c r="K8" s="7">
        <v>73</v>
      </c>
      <c r="L8" s="7">
        <v>30</v>
      </c>
      <c r="M8" s="7"/>
      <c r="N8" s="7"/>
      <c r="O8" s="5" t="s">
        <v>30</v>
      </c>
      <c r="P8" s="5" t="s">
        <v>31</v>
      </c>
    </row>
    <row r="9" ht="22.5" customHeight="1" spans="1:16">
      <c r="A9" s="11" t="s">
        <v>137</v>
      </c>
      <c r="B9" s="11" t="s">
        <v>138</v>
      </c>
      <c r="C9" s="11" t="s">
        <v>146</v>
      </c>
      <c r="D9" s="12" t="s">
        <v>145</v>
      </c>
      <c r="E9" s="13">
        <v>46047.5292238773</v>
      </c>
      <c r="F9" s="11" t="s">
        <v>26</v>
      </c>
      <c r="G9" s="11" t="s">
        <v>27</v>
      </c>
      <c r="H9" s="11">
        <v>1</v>
      </c>
      <c r="I9" s="7">
        <v>3.3</v>
      </c>
      <c r="J9" s="7">
        <f t="shared" si="0"/>
        <v>3.3</v>
      </c>
      <c r="K9" s="7">
        <v>1</v>
      </c>
      <c r="L9" s="7">
        <v>3.3</v>
      </c>
      <c r="M9" s="7"/>
      <c r="N9" s="7"/>
      <c r="O9" s="5" t="s">
        <v>30</v>
      </c>
      <c r="P9" s="5" t="s">
        <v>31</v>
      </c>
    </row>
    <row r="10" ht="22.5" customHeight="1" spans="1:16">
      <c r="A10" s="11" t="s">
        <v>137</v>
      </c>
      <c r="B10" s="11" t="s">
        <v>138</v>
      </c>
      <c r="C10" s="11" t="s">
        <v>147</v>
      </c>
      <c r="D10" s="12" t="s">
        <v>145</v>
      </c>
      <c r="E10" s="13">
        <v>46047.5292269329</v>
      </c>
      <c r="F10" s="11" t="s">
        <v>26</v>
      </c>
      <c r="G10" s="11" t="s">
        <v>27</v>
      </c>
      <c r="H10" s="11">
        <v>1</v>
      </c>
      <c r="I10" s="7">
        <v>3.3</v>
      </c>
      <c r="J10" s="7">
        <f t="shared" si="0"/>
        <v>3.3</v>
      </c>
      <c r="K10" s="7">
        <v>1</v>
      </c>
      <c r="L10" s="7">
        <v>3.3</v>
      </c>
      <c r="M10" s="7"/>
      <c r="N10" s="7"/>
      <c r="O10" s="5" t="s">
        <v>30</v>
      </c>
      <c r="P10" s="5" t="s">
        <v>31</v>
      </c>
    </row>
    <row r="11" ht="22.5" customHeight="1" spans="1:16">
      <c r="A11" s="11" t="s">
        <v>137</v>
      </c>
      <c r="B11" s="11" t="s">
        <v>138</v>
      </c>
      <c r="C11" s="11" t="s">
        <v>147</v>
      </c>
      <c r="D11" s="12" t="s">
        <v>145</v>
      </c>
      <c r="E11" s="13">
        <v>46047.5292269329</v>
      </c>
      <c r="F11" s="11" t="s">
        <v>20</v>
      </c>
      <c r="G11" s="11" t="s">
        <v>35</v>
      </c>
      <c r="H11" s="11">
        <v>20</v>
      </c>
      <c r="I11" s="7">
        <v>3.3</v>
      </c>
      <c r="J11" s="7">
        <f t="shared" si="0"/>
        <v>66</v>
      </c>
      <c r="K11" s="7">
        <v>20</v>
      </c>
      <c r="L11" s="7">
        <v>66</v>
      </c>
      <c r="M11" s="7"/>
      <c r="N11" s="7"/>
      <c r="O11" s="5" t="s">
        <v>30</v>
      </c>
      <c r="P11" s="5" t="s">
        <v>31</v>
      </c>
    </row>
    <row r="12" ht="22.5" customHeight="1" spans="1:16">
      <c r="A12" s="11" t="s">
        <v>137</v>
      </c>
      <c r="B12" s="11" t="s">
        <v>138</v>
      </c>
      <c r="C12" s="11" t="s">
        <v>148</v>
      </c>
      <c r="D12" s="12" t="s">
        <v>145</v>
      </c>
      <c r="E12" s="13">
        <v>46047.5292299421</v>
      </c>
      <c r="F12" s="11" t="s">
        <v>20</v>
      </c>
      <c r="G12" s="11" t="s">
        <v>35</v>
      </c>
      <c r="H12" s="11">
        <v>11</v>
      </c>
      <c r="I12" s="7">
        <v>3.3</v>
      </c>
      <c r="J12" s="7">
        <f t="shared" si="0"/>
        <v>36.3</v>
      </c>
      <c r="K12" s="7">
        <v>11</v>
      </c>
      <c r="L12" s="14">
        <v>36.3</v>
      </c>
      <c r="M12" s="7"/>
      <c r="N12" s="7"/>
      <c r="O12" s="5" t="s">
        <v>30</v>
      </c>
      <c r="P12" s="5" t="s">
        <v>31</v>
      </c>
    </row>
    <row r="13" ht="22.5" customHeight="1" spans="1:16">
      <c r="A13" s="11" t="s">
        <v>137</v>
      </c>
      <c r="B13" s="11" t="s">
        <v>138</v>
      </c>
      <c r="C13" s="11" t="s">
        <v>148</v>
      </c>
      <c r="D13" s="12" t="s">
        <v>145</v>
      </c>
      <c r="E13" s="13">
        <v>46047.5292299421</v>
      </c>
      <c r="F13" s="11" t="s">
        <v>26</v>
      </c>
      <c r="G13" s="11" t="s">
        <v>27</v>
      </c>
      <c r="H13" s="11">
        <v>1</v>
      </c>
      <c r="I13" s="7">
        <v>3.3</v>
      </c>
      <c r="J13" s="7">
        <f t="shared" si="0"/>
        <v>3.3</v>
      </c>
      <c r="K13" s="7">
        <v>1</v>
      </c>
      <c r="L13" s="7">
        <v>3.3</v>
      </c>
      <c r="M13" s="7"/>
      <c r="N13" s="7"/>
      <c r="O13" s="5" t="s">
        <v>30</v>
      </c>
      <c r="P13" s="5" t="s">
        <v>31</v>
      </c>
    </row>
    <row r="14" ht="22.5" customHeight="1" spans="1:16">
      <c r="A14" s="11" t="s">
        <v>137</v>
      </c>
      <c r="B14" s="11" t="s">
        <v>138</v>
      </c>
      <c r="C14" s="11" t="s">
        <v>149</v>
      </c>
      <c r="D14" s="12" t="s">
        <v>145</v>
      </c>
      <c r="E14" s="13">
        <v>46047.5292330208</v>
      </c>
      <c r="F14" s="11" t="s">
        <v>26</v>
      </c>
      <c r="G14" s="11" t="s">
        <v>27</v>
      </c>
      <c r="H14" s="11">
        <v>1</v>
      </c>
      <c r="I14" s="7">
        <v>3.3</v>
      </c>
      <c r="J14" s="7">
        <f t="shared" si="0"/>
        <v>3.3</v>
      </c>
      <c r="K14" s="7">
        <v>1</v>
      </c>
      <c r="L14" s="7">
        <v>3.3</v>
      </c>
      <c r="M14" s="7"/>
      <c r="N14" s="7"/>
      <c r="O14" s="5" t="s">
        <v>30</v>
      </c>
      <c r="P14" s="5" t="s">
        <v>31</v>
      </c>
    </row>
    <row r="15" ht="22.5" customHeight="1" spans="1:16">
      <c r="A15" s="11" t="s">
        <v>137</v>
      </c>
      <c r="B15" s="11" t="s">
        <v>138</v>
      </c>
      <c r="C15" s="11" t="s">
        <v>149</v>
      </c>
      <c r="D15" s="12" t="s">
        <v>145</v>
      </c>
      <c r="E15" s="13">
        <v>46047.5292330208</v>
      </c>
      <c r="F15" s="11" t="s">
        <v>20</v>
      </c>
      <c r="G15" s="11" t="s">
        <v>25</v>
      </c>
      <c r="H15" s="11">
        <v>12</v>
      </c>
      <c r="I15" s="7">
        <v>3.3</v>
      </c>
      <c r="J15" s="7">
        <f t="shared" si="0"/>
        <v>39.6</v>
      </c>
      <c r="K15" s="7">
        <v>12</v>
      </c>
      <c r="L15" s="7">
        <v>39.6</v>
      </c>
      <c r="M15" s="7"/>
      <c r="N15" s="7"/>
      <c r="O15" s="5" t="s">
        <v>30</v>
      </c>
      <c r="P15" s="5" t="s">
        <v>31</v>
      </c>
    </row>
    <row r="16" ht="22.5" customHeight="1" spans="1:16">
      <c r="A16" s="11" t="s">
        <v>137</v>
      </c>
      <c r="B16" s="11" t="s">
        <v>138</v>
      </c>
      <c r="C16" s="11" t="s">
        <v>149</v>
      </c>
      <c r="D16" s="12" t="s">
        <v>145</v>
      </c>
      <c r="E16" s="13">
        <v>46047.5292330208</v>
      </c>
      <c r="F16" s="11" t="s">
        <v>20</v>
      </c>
      <c r="G16" s="11" t="s">
        <v>24</v>
      </c>
      <c r="H16" s="11">
        <v>216</v>
      </c>
      <c r="I16" s="7">
        <v>120</v>
      </c>
      <c r="J16" s="7">
        <v>120</v>
      </c>
      <c r="K16" s="7">
        <v>216</v>
      </c>
      <c r="L16" s="7">
        <v>120</v>
      </c>
      <c r="M16" s="7"/>
      <c r="N16" s="7"/>
      <c r="O16" s="5" t="s">
        <v>30</v>
      </c>
      <c r="P16" s="5" t="s">
        <v>31</v>
      </c>
    </row>
    <row r="17" ht="22.5" customHeight="1" spans="1:16">
      <c r="A17" s="11" t="s">
        <v>137</v>
      </c>
      <c r="B17" s="11" t="s">
        <v>138</v>
      </c>
      <c r="C17" s="11" t="s">
        <v>149</v>
      </c>
      <c r="D17" s="12" t="s">
        <v>145</v>
      </c>
      <c r="E17" s="13">
        <v>46047.5292330208</v>
      </c>
      <c r="F17" s="11" t="s">
        <v>20</v>
      </c>
      <c r="G17" s="11" t="s">
        <v>35</v>
      </c>
      <c r="H17" s="11">
        <v>24</v>
      </c>
      <c r="I17" s="7">
        <v>3.3</v>
      </c>
      <c r="J17" s="7">
        <f t="shared" ref="J17:J20" si="1">H17*I17</f>
        <v>79.2</v>
      </c>
      <c r="K17" s="7">
        <v>24</v>
      </c>
      <c r="L17" s="7">
        <v>79.2</v>
      </c>
      <c r="M17" s="7"/>
      <c r="N17" s="7"/>
      <c r="O17" s="5" t="s">
        <v>30</v>
      </c>
      <c r="P17" s="5" t="s">
        <v>31</v>
      </c>
    </row>
    <row r="18" ht="22.5" customHeight="1" spans="1:16">
      <c r="A18" s="11" t="s">
        <v>137</v>
      </c>
      <c r="B18" s="11" t="s">
        <v>138</v>
      </c>
      <c r="C18" s="11" t="s">
        <v>150</v>
      </c>
      <c r="D18" s="12" t="s">
        <v>145</v>
      </c>
      <c r="E18" s="13">
        <v>46047.5292363079</v>
      </c>
      <c r="F18" s="11" t="s">
        <v>20</v>
      </c>
      <c r="G18" s="11" t="s">
        <v>35</v>
      </c>
      <c r="H18" s="11">
        <v>5</v>
      </c>
      <c r="I18" s="7">
        <v>3.3</v>
      </c>
      <c r="J18" s="7">
        <f t="shared" si="1"/>
        <v>16.5</v>
      </c>
      <c r="K18" s="7">
        <v>5</v>
      </c>
      <c r="L18" s="7">
        <v>16.5</v>
      </c>
      <c r="M18" s="7"/>
      <c r="N18" s="7"/>
      <c r="O18" s="5" t="s">
        <v>30</v>
      </c>
      <c r="P18" s="5" t="s">
        <v>31</v>
      </c>
    </row>
    <row r="19" ht="22.5" customHeight="1" spans="1:16">
      <c r="A19" s="11" t="s">
        <v>137</v>
      </c>
      <c r="B19" s="11" t="s">
        <v>138</v>
      </c>
      <c r="C19" s="11" t="s">
        <v>150</v>
      </c>
      <c r="D19" s="12" t="s">
        <v>145</v>
      </c>
      <c r="E19" s="13">
        <v>46047.5292363079</v>
      </c>
      <c r="F19" s="11" t="s">
        <v>26</v>
      </c>
      <c r="G19" s="11" t="s">
        <v>27</v>
      </c>
      <c r="H19" s="11">
        <v>1</v>
      </c>
      <c r="I19" s="7">
        <v>3.3</v>
      </c>
      <c r="J19" s="7">
        <f t="shared" si="1"/>
        <v>3.3</v>
      </c>
      <c r="K19" s="7">
        <v>1</v>
      </c>
      <c r="L19" s="7">
        <v>3.3</v>
      </c>
      <c r="M19" s="7"/>
      <c r="N19" s="7"/>
      <c r="O19" s="5" t="s">
        <v>30</v>
      </c>
      <c r="P19" s="5" t="s">
        <v>31</v>
      </c>
    </row>
    <row r="20" ht="22.5" customHeight="1" spans="1:16">
      <c r="A20" s="11" t="s">
        <v>137</v>
      </c>
      <c r="B20" s="11" t="s">
        <v>138</v>
      </c>
      <c r="C20" s="11" t="s">
        <v>151</v>
      </c>
      <c r="D20" s="12" t="s">
        <v>135</v>
      </c>
      <c r="E20" s="13">
        <v>46047.5292238773</v>
      </c>
      <c r="F20" s="11" t="s">
        <v>20</v>
      </c>
      <c r="G20" s="11" t="s">
        <v>35</v>
      </c>
      <c r="H20" s="11">
        <v>7</v>
      </c>
      <c r="I20" s="7">
        <v>3.3</v>
      </c>
      <c r="J20" s="7">
        <f t="shared" si="1"/>
        <v>23.1</v>
      </c>
      <c r="K20" s="7">
        <v>7</v>
      </c>
      <c r="L20" s="7">
        <v>23.1</v>
      </c>
      <c r="M20" s="7"/>
      <c r="N20" s="7"/>
      <c r="O20" s="5" t="s">
        <v>30</v>
      </c>
      <c r="P20" s="5" t="s">
        <v>31</v>
      </c>
    </row>
    <row r="21" ht="22.5" customHeight="1" spans="1:16">
      <c r="A21" s="11" t="s">
        <v>137</v>
      </c>
      <c r="B21" s="11" t="s">
        <v>138</v>
      </c>
      <c r="C21" s="11" t="s">
        <v>151</v>
      </c>
      <c r="D21" s="12" t="s">
        <v>135</v>
      </c>
      <c r="E21" s="13">
        <v>46047.5292238773</v>
      </c>
      <c r="F21" s="11" t="s">
        <v>20</v>
      </c>
      <c r="G21" s="11" t="s">
        <v>24</v>
      </c>
      <c r="H21" s="11">
        <v>75</v>
      </c>
      <c r="I21" s="7">
        <v>120</v>
      </c>
      <c r="J21" s="7">
        <v>120</v>
      </c>
      <c r="K21" s="7">
        <v>74</v>
      </c>
      <c r="L21" s="7">
        <v>120</v>
      </c>
      <c r="M21" s="7">
        <v>1</v>
      </c>
      <c r="N21" s="7">
        <v>0</v>
      </c>
      <c r="O21" s="5" t="s">
        <v>30</v>
      </c>
      <c r="P21" s="5" t="s">
        <v>31</v>
      </c>
    </row>
    <row r="22" ht="22.5" customHeight="1" spans="1:16">
      <c r="A22" s="11" t="s">
        <v>137</v>
      </c>
      <c r="B22" s="11" t="s">
        <v>138</v>
      </c>
      <c r="C22" s="11" t="s">
        <v>151</v>
      </c>
      <c r="D22" s="12" t="s">
        <v>135</v>
      </c>
      <c r="E22" s="13">
        <v>46047.5292238773</v>
      </c>
      <c r="F22" s="11" t="s">
        <v>20</v>
      </c>
      <c r="G22" s="11" t="s">
        <v>25</v>
      </c>
      <c r="H22" s="11">
        <v>5</v>
      </c>
      <c r="I22" s="7">
        <v>3.3</v>
      </c>
      <c r="J22" s="7">
        <f t="shared" ref="J22:J25" si="2">H22*I22</f>
        <v>16.5</v>
      </c>
      <c r="K22" s="7">
        <v>5</v>
      </c>
      <c r="L22" s="7">
        <v>16.5</v>
      </c>
      <c r="M22" s="7"/>
      <c r="N22" s="7"/>
      <c r="O22" s="5" t="s">
        <v>30</v>
      </c>
      <c r="P22" s="5" t="s">
        <v>31</v>
      </c>
    </row>
    <row r="23" ht="22.5" customHeight="1" spans="1:16">
      <c r="A23" s="11" t="s">
        <v>137</v>
      </c>
      <c r="B23" s="11" t="s">
        <v>138</v>
      </c>
      <c r="C23" s="11" t="s">
        <v>151</v>
      </c>
      <c r="D23" s="12" t="s">
        <v>135</v>
      </c>
      <c r="E23" s="13">
        <v>46047.5292238773</v>
      </c>
      <c r="F23" s="11" t="s">
        <v>26</v>
      </c>
      <c r="G23" s="11" t="s">
        <v>27</v>
      </c>
      <c r="H23" s="11">
        <v>1</v>
      </c>
      <c r="I23" s="7">
        <v>3.3</v>
      </c>
      <c r="J23" s="7">
        <f t="shared" si="2"/>
        <v>3.3</v>
      </c>
      <c r="K23" s="7">
        <v>1</v>
      </c>
      <c r="L23" s="7">
        <v>3.3</v>
      </c>
      <c r="M23" s="7"/>
      <c r="N23" s="7"/>
      <c r="O23" s="5" t="s">
        <v>30</v>
      </c>
      <c r="P23" s="5" t="s">
        <v>31</v>
      </c>
    </row>
    <row r="24" ht="22.5" customHeight="1" spans="1:16">
      <c r="A24" s="3" t="s">
        <v>137</v>
      </c>
      <c r="B24" s="3" t="s">
        <v>138</v>
      </c>
      <c r="C24" s="3" t="s">
        <v>152</v>
      </c>
      <c r="D24" s="4" t="s">
        <v>41</v>
      </c>
      <c r="E24" s="6">
        <v>46048.7559241088</v>
      </c>
      <c r="F24" s="3" t="s">
        <v>20</v>
      </c>
      <c r="G24" s="3" t="s">
        <v>21</v>
      </c>
      <c r="H24" s="3">
        <v>5</v>
      </c>
      <c r="I24" s="7">
        <v>3.3</v>
      </c>
      <c r="J24" s="7">
        <f t="shared" si="2"/>
        <v>16.5</v>
      </c>
      <c r="K24" s="7">
        <v>5</v>
      </c>
      <c r="L24" s="7">
        <v>16.5</v>
      </c>
      <c r="M24" s="7"/>
      <c r="N24" s="7"/>
      <c r="O24" s="5" t="s">
        <v>30</v>
      </c>
      <c r="P24" s="5" t="s">
        <v>60</v>
      </c>
    </row>
    <row r="25" ht="22.5" customHeight="1" spans="1:16">
      <c r="A25" s="3" t="s">
        <v>137</v>
      </c>
      <c r="B25" s="3" t="s">
        <v>138</v>
      </c>
      <c r="C25" s="3" t="s">
        <v>152</v>
      </c>
      <c r="D25" s="4" t="s">
        <v>41</v>
      </c>
      <c r="E25" s="6">
        <v>46048.7559241088</v>
      </c>
      <c r="F25" s="3" t="s">
        <v>26</v>
      </c>
      <c r="G25" s="3" t="s">
        <v>27</v>
      </c>
      <c r="H25" s="3">
        <v>1</v>
      </c>
      <c r="I25" s="7">
        <v>3.3</v>
      </c>
      <c r="J25" s="7">
        <f t="shared" si="2"/>
        <v>3.3</v>
      </c>
      <c r="K25" s="7">
        <v>1</v>
      </c>
      <c r="L25" s="7">
        <v>3.3</v>
      </c>
      <c r="M25" s="7"/>
      <c r="N25" s="7"/>
      <c r="O25" s="5" t="s">
        <v>30</v>
      </c>
      <c r="P25" s="5" t="s">
        <v>60</v>
      </c>
    </row>
    <row r="26" ht="22.5" customHeight="1" spans="1:16">
      <c r="A26" s="3" t="s">
        <v>137</v>
      </c>
      <c r="B26" s="3" t="s">
        <v>138</v>
      </c>
      <c r="C26" s="3" t="s">
        <v>153</v>
      </c>
      <c r="D26" s="4" t="s">
        <v>41</v>
      </c>
      <c r="E26" s="6">
        <v>46048.7559258102</v>
      </c>
      <c r="F26" s="3" t="s">
        <v>20</v>
      </c>
      <c r="G26" s="3" t="s">
        <v>81</v>
      </c>
      <c r="H26" s="3">
        <v>29</v>
      </c>
      <c r="I26" s="7">
        <v>120</v>
      </c>
      <c r="J26" s="7">
        <v>120</v>
      </c>
      <c r="K26" s="7">
        <v>29</v>
      </c>
      <c r="L26" s="7">
        <v>120</v>
      </c>
      <c r="M26" s="7"/>
      <c r="N26" s="7"/>
      <c r="O26" s="5" t="s">
        <v>30</v>
      </c>
      <c r="P26" s="5" t="s">
        <v>60</v>
      </c>
    </row>
    <row r="27" ht="22.5" customHeight="1" spans="1:16">
      <c r="A27" s="3" t="s">
        <v>137</v>
      </c>
      <c r="B27" s="3" t="s">
        <v>138</v>
      </c>
      <c r="C27" s="3" t="s">
        <v>153</v>
      </c>
      <c r="D27" s="4" t="s">
        <v>41</v>
      </c>
      <c r="E27" s="6">
        <v>46048.7559258102</v>
      </c>
      <c r="F27" s="3" t="s">
        <v>20</v>
      </c>
      <c r="G27" s="3" t="s">
        <v>21</v>
      </c>
      <c r="H27" s="3">
        <v>40</v>
      </c>
      <c r="I27" s="7">
        <v>3.3</v>
      </c>
      <c r="J27" s="7">
        <f t="shared" ref="J27:J37" si="3">H27*I27</f>
        <v>132</v>
      </c>
      <c r="K27" s="7">
        <v>40</v>
      </c>
      <c r="L27" s="7">
        <v>132</v>
      </c>
      <c r="M27" s="7"/>
      <c r="N27" s="7"/>
      <c r="O27" s="5" t="s">
        <v>30</v>
      </c>
      <c r="P27" s="5" t="s">
        <v>60</v>
      </c>
    </row>
    <row r="28" ht="22.5" customHeight="1" spans="1:16">
      <c r="A28" s="3" t="s">
        <v>137</v>
      </c>
      <c r="B28" s="3" t="s">
        <v>138</v>
      </c>
      <c r="C28" s="3" t="s">
        <v>153</v>
      </c>
      <c r="D28" s="4" t="s">
        <v>41</v>
      </c>
      <c r="E28" s="6">
        <v>46048.7559258102</v>
      </c>
      <c r="F28" s="3" t="s">
        <v>26</v>
      </c>
      <c r="G28" s="3" t="s">
        <v>27</v>
      </c>
      <c r="H28" s="3">
        <v>1</v>
      </c>
      <c r="I28" s="7">
        <v>3.3</v>
      </c>
      <c r="J28" s="7">
        <f t="shared" si="3"/>
        <v>3.3</v>
      </c>
      <c r="K28" s="7">
        <v>1</v>
      </c>
      <c r="L28" s="7">
        <v>3.3</v>
      </c>
      <c r="M28" s="7"/>
      <c r="N28" s="7"/>
      <c r="O28" s="5" t="s">
        <v>30</v>
      </c>
      <c r="P28" s="5" t="s">
        <v>60</v>
      </c>
    </row>
    <row r="29" ht="22.5" customHeight="1" spans="1:16">
      <c r="A29" s="3" t="s">
        <v>137</v>
      </c>
      <c r="B29" s="3" t="s">
        <v>138</v>
      </c>
      <c r="C29" s="3" t="s">
        <v>154</v>
      </c>
      <c r="D29" s="4" t="s">
        <v>41</v>
      </c>
      <c r="E29" s="6">
        <v>46049.8359665856</v>
      </c>
      <c r="F29" s="3" t="s">
        <v>26</v>
      </c>
      <c r="G29" s="3" t="s">
        <v>27</v>
      </c>
      <c r="H29" s="3">
        <v>1</v>
      </c>
      <c r="I29" s="7">
        <v>3.3</v>
      </c>
      <c r="J29" s="7">
        <f t="shared" si="3"/>
        <v>3.3</v>
      </c>
      <c r="K29" s="7">
        <v>1</v>
      </c>
      <c r="L29" s="7">
        <v>3.3</v>
      </c>
      <c r="M29" s="7"/>
      <c r="N29" s="7"/>
      <c r="O29" s="5" t="s">
        <v>30</v>
      </c>
      <c r="P29" s="5" t="s">
        <v>31</v>
      </c>
    </row>
    <row r="30" ht="22.5" customHeight="1" spans="1:16">
      <c r="A30" s="3" t="s">
        <v>137</v>
      </c>
      <c r="B30" s="3" t="s">
        <v>138</v>
      </c>
      <c r="C30" s="3" t="s">
        <v>154</v>
      </c>
      <c r="D30" s="4" t="s">
        <v>41</v>
      </c>
      <c r="E30" s="6">
        <v>46049.8359665856</v>
      </c>
      <c r="F30" s="3" t="s">
        <v>20</v>
      </c>
      <c r="G30" s="3" t="s">
        <v>21</v>
      </c>
      <c r="H30" s="3">
        <v>40</v>
      </c>
      <c r="I30" s="7">
        <v>3.3</v>
      </c>
      <c r="J30" s="7">
        <f t="shared" si="3"/>
        <v>132</v>
      </c>
      <c r="K30" s="7">
        <v>40</v>
      </c>
      <c r="L30" s="7">
        <v>132</v>
      </c>
      <c r="M30" s="7"/>
      <c r="N30" s="7"/>
      <c r="O30" s="5" t="s">
        <v>30</v>
      </c>
      <c r="P30" s="5" t="s">
        <v>31</v>
      </c>
    </row>
    <row r="31" ht="22.5" customHeight="1" spans="1:16">
      <c r="A31" s="3" t="s">
        <v>137</v>
      </c>
      <c r="B31" s="3" t="s">
        <v>138</v>
      </c>
      <c r="C31" s="3" t="s">
        <v>155</v>
      </c>
      <c r="D31" s="4" t="s">
        <v>41</v>
      </c>
      <c r="E31" s="6">
        <v>46049.8359704861</v>
      </c>
      <c r="F31" s="3" t="s">
        <v>26</v>
      </c>
      <c r="G31" s="3" t="s">
        <v>27</v>
      </c>
      <c r="H31" s="3">
        <v>1</v>
      </c>
      <c r="I31" s="7">
        <v>3.3</v>
      </c>
      <c r="J31" s="7">
        <f t="shared" si="3"/>
        <v>3.3</v>
      </c>
      <c r="K31" s="7">
        <v>1</v>
      </c>
      <c r="L31" s="7">
        <v>3.3</v>
      </c>
      <c r="M31" s="7"/>
      <c r="N31" s="7"/>
      <c r="O31" s="5" t="s">
        <v>30</v>
      </c>
      <c r="P31" s="5" t="s">
        <v>31</v>
      </c>
    </row>
    <row r="32" ht="22.5" customHeight="1" spans="1:16">
      <c r="A32" s="3" t="s">
        <v>137</v>
      </c>
      <c r="B32" s="3" t="s">
        <v>138</v>
      </c>
      <c r="C32" s="3" t="s">
        <v>155</v>
      </c>
      <c r="D32" s="4" t="s">
        <v>41</v>
      </c>
      <c r="E32" s="6">
        <v>46049.8359704861</v>
      </c>
      <c r="F32" s="3" t="s">
        <v>20</v>
      </c>
      <c r="G32" s="3" t="s">
        <v>21</v>
      </c>
      <c r="H32" s="3">
        <v>5</v>
      </c>
      <c r="I32" s="7">
        <v>3.3</v>
      </c>
      <c r="J32" s="7">
        <f t="shared" si="3"/>
        <v>16.5</v>
      </c>
      <c r="K32" s="7">
        <v>5</v>
      </c>
      <c r="L32" s="7">
        <v>16.5</v>
      </c>
      <c r="M32" s="7"/>
      <c r="N32" s="7"/>
      <c r="O32" s="5" t="s">
        <v>30</v>
      </c>
      <c r="P32" s="5" t="s">
        <v>31</v>
      </c>
    </row>
    <row r="33" ht="22.5" customHeight="1" spans="1:16">
      <c r="A33" s="3" t="s">
        <v>137</v>
      </c>
      <c r="B33" s="3" t="s">
        <v>138</v>
      </c>
      <c r="C33" s="3" t="s">
        <v>156</v>
      </c>
      <c r="D33" s="4" t="s">
        <v>41</v>
      </c>
      <c r="E33" s="6">
        <v>46049.8359741898</v>
      </c>
      <c r="F33" s="3" t="s">
        <v>20</v>
      </c>
      <c r="G33" s="3" t="s">
        <v>21</v>
      </c>
      <c r="H33" s="3">
        <v>5</v>
      </c>
      <c r="I33" s="7">
        <v>3.3</v>
      </c>
      <c r="J33" s="7">
        <f t="shared" si="3"/>
        <v>16.5</v>
      </c>
      <c r="K33" s="7">
        <v>5</v>
      </c>
      <c r="L33" s="7">
        <v>16.5</v>
      </c>
      <c r="M33" s="7"/>
      <c r="N33" s="7"/>
      <c r="O33" s="5" t="s">
        <v>30</v>
      </c>
      <c r="P33" s="5" t="s">
        <v>31</v>
      </c>
    </row>
    <row r="34" ht="22.5" customHeight="1" spans="1:16">
      <c r="A34" s="3" t="s">
        <v>137</v>
      </c>
      <c r="B34" s="3" t="s">
        <v>138</v>
      </c>
      <c r="C34" s="3" t="s">
        <v>156</v>
      </c>
      <c r="D34" s="4" t="s">
        <v>41</v>
      </c>
      <c r="E34" s="6">
        <v>46049.8359741898</v>
      </c>
      <c r="F34" s="3" t="s">
        <v>26</v>
      </c>
      <c r="G34" s="3" t="s">
        <v>27</v>
      </c>
      <c r="H34" s="3">
        <v>1</v>
      </c>
      <c r="I34" s="7">
        <v>3.3</v>
      </c>
      <c r="J34" s="7">
        <f t="shared" si="3"/>
        <v>3.3</v>
      </c>
      <c r="K34" s="7">
        <v>1</v>
      </c>
      <c r="L34" s="7">
        <v>3.3</v>
      </c>
      <c r="M34" s="7"/>
      <c r="N34" s="7"/>
      <c r="O34" s="5" t="s">
        <v>30</v>
      </c>
      <c r="P34" s="5" t="s">
        <v>31</v>
      </c>
    </row>
    <row r="35" ht="22.5" customHeight="1" spans="1:16">
      <c r="A35" s="3" t="s">
        <v>137</v>
      </c>
      <c r="B35" s="3" t="s">
        <v>138</v>
      </c>
      <c r="C35" s="3" t="s">
        <v>157</v>
      </c>
      <c r="D35" s="4" t="s">
        <v>41</v>
      </c>
      <c r="E35" s="6">
        <v>46049.8359780093</v>
      </c>
      <c r="F35" s="3" t="s">
        <v>26</v>
      </c>
      <c r="G35" s="3" t="s">
        <v>27</v>
      </c>
      <c r="H35" s="3">
        <v>1</v>
      </c>
      <c r="I35" s="7">
        <v>3.3</v>
      </c>
      <c r="J35" s="7">
        <f t="shared" si="3"/>
        <v>3.3</v>
      </c>
      <c r="K35" s="7">
        <v>1</v>
      </c>
      <c r="L35" s="7">
        <v>3.3</v>
      </c>
      <c r="M35" s="7"/>
      <c r="N35" s="7"/>
      <c r="O35" s="5" t="s">
        <v>30</v>
      </c>
      <c r="P35" s="5" t="s">
        <v>31</v>
      </c>
    </row>
    <row r="36" ht="22.5" customHeight="1" spans="1:16">
      <c r="A36" s="3" t="s">
        <v>137</v>
      </c>
      <c r="B36" s="3" t="s">
        <v>138</v>
      </c>
      <c r="C36" s="3" t="s">
        <v>157</v>
      </c>
      <c r="D36" s="4" t="s">
        <v>41</v>
      </c>
      <c r="E36" s="6">
        <v>46049.8359780093</v>
      </c>
      <c r="F36" s="3" t="s">
        <v>20</v>
      </c>
      <c r="G36" s="3" t="s">
        <v>44</v>
      </c>
      <c r="H36" s="3">
        <v>12</v>
      </c>
      <c r="I36" s="7">
        <v>3.3</v>
      </c>
      <c r="J36" s="7">
        <f t="shared" si="3"/>
        <v>39.6</v>
      </c>
      <c r="K36" s="7">
        <v>12</v>
      </c>
      <c r="L36" s="7">
        <v>39.6</v>
      </c>
      <c r="M36" s="7"/>
      <c r="N36" s="7"/>
      <c r="O36" s="5" t="s">
        <v>30</v>
      </c>
      <c r="P36" s="5" t="s">
        <v>31</v>
      </c>
    </row>
    <row r="37" ht="22.5" customHeight="1" spans="1:16">
      <c r="A37" s="3" t="s">
        <v>137</v>
      </c>
      <c r="B37" s="3" t="s">
        <v>138</v>
      </c>
      <c r="C37" s="3" t="s">
        <v>157</v>
      </c>
      <c r="D37" s="4" t="s">
        <v>41</v>
      </c>
      <c r="E37" s="6">
        <v>46049.8359780093</v>
      </c>
      <c r="F37" s="3" t="s">
        <v>20</v>
      </c>
      <c r="G37" s="3" t="s">
        <v>21</v>
      </c>
      <c r="H37" s="3">
        <v>7</v>
      </c>
      <c r="I37" s="7">
        <v>3.3</v>
      </c>
      <c r="J37" s="7">
        <f t="shared" si="3"/>
        <v>23.1</v>
      </c>
      <c r="K37" s="7">
        <v>7</v>
      </c>
      <c r="L37" s="7">
        <v>23.1</v>
      </c>
      <c r="M37" s="7"/>
      <c r="N37" s="7"/>
      <c r="O37" s="5" t="s">
        <v>30</v>
      </c>
      <c r="P37" s="5" t="s">
        <v>31</v>
      </c>
    </row>
    <row r="38" ht="22.5" customHeight="1" spans="1:16">
      <c r="A38" s="3" t="s">
        <v>137</v>
      </c>
      <c r="B38" s="3" t="s">
        <v>138</v>
      </c>
      <c r="C38" s="3" t="s">
        <v>158</v>
      </c>
      <c r="D38" s="4" t="s">
        <v>41</v>
      </c>
      <c r="E38" s="6">
        <v>46049.8359819097</v>
      </c>
      <c r="F38" s="3" t="s">
        <v>20</v>
      </c>
      <c r="G38" s="3" t="s">
        <v>24</v>
      </c>
      <c r="H38" s="3">
        <v>29</v>
      </c>
      <c r="I38" s="7">
        <v>120</v>
      </c>
      <c r="J38" s="7">
        <v>120</v>
      </c>
      <c r="K38" s="7">
        <v>29</v>
      </c>
      <c r="L38" s="7">
        <v>120</v>
      </c>
      <c r="M38" s="7"/>
      <c r="N38" s="7"/>
      <c r="O38" s="5" t="s">
        <v>30</v>
      </c>
      <c r="P38" s="5" t="s">
        <v>31</v>
      </c>
    </row>
    <row r="39" ht="22.5" customHeight="1" spans="1:16">
      <c r="A39" s="3" t="s">
        <v>137</v>
      </c>
      <c r="B39" s="3" t="s">
        <v>138</v>
      </c>
      <c r="C39" s="3" t="s">
        <v>159</v>
      </c>
      <c r="D39" s="4" t="s">
        <v>33</v>
      </c>
      <c r="E39" s="6">
        <v>46050.8956640046</v>
      </c>
      <c r="F39" s="3" t="s">
        <v>20</v>
      </c>
      <c r="G39" s="3" t="s">
        <v>35</v>
      </c>
      <c r="H39" s="3">
        <v>31</v>
      </c>
      <c r="I39" s="7">
        <v>3.3</v>
      </c>
      <c r="J39" s="7">
        <f t="shared" ref="J39:J42" si="4">H39*I39</f>
        <v>102.3</v>
      </c>
      <c r="K39" s="7">
        <v>31</v>
      </c>
      <c r="L39" s="7">
        <v>102.3</v>
      </c>
      <c r="M39" s="7"/>
      <c r="N39" s="7"/>
      <c r="O39" s="5" t="s">
        <v>30</v>
      </c>
      <c r="P39" s="5" t="s">
        <v>88</v>
      </c>
    </row>
    <row r="40" ht="22.5" customHeight="1" spans="1:16">
      <c r="A40" s="3" t="s">
        <v>137</v>
      </c>
      <c r="B40" s="3" t="s">
        <v>138</v>
      </c>
      <c r="C40" s="3" t="s">
        <v>159</v>
      </c>
      <c r="D40" s="4" t="s">
        <v>33</v>
      </c>
      <c r="E40" s="6">
        <v>46050.8956640046</v>
      </c>
      <c r="F40" s="3" t="s">
        <v>26</v>
      </c>
      <c r="G40" s="3" t="s">
        <v>27</v>
      </c>
      <c r="H40" s="3">
        <v>1</v>
      </c>
      <c r="I40" s="7">
        <v>3.3</v>
      </c>
      <c r="J40" s="7">
        <f t="shared" si="4"/>
        <v>3.3</v>
      </c>
      <c r="K40" s="7">
        <v>1</v>
      </c>
      <c r="L40" s="7">
        <v>3.3</v>
      </c>
      <c r="M40" s="7"/>
      <c r="N40" s="7"/>
      <c r="O40" s="5" t="s">
        <v>30</v>
      </c>
      <c r="P40" s="5" t="s">
        <v>88</v>
      </c>
    </row>
    <row r="41" ht="22.5" customHeight="1" spans="1:16">
      <c r="A41" s="3" t="s">
        <v>137</v>
      </c>
      <c r="B41" s="3" t="s">
        <v>138</v>
      </c>
      <c r="C41" s="3" t="s">
        <v>159</v>
      </c>
      <c r="D41" s="4" t="s">
        <v>33</v>
      </c>
      <c r="E41" s="6">
        <v>46050.8956640046</v>
      </c>
      <c r="F41" s="3" t="s">
        <v>20</v>
      </c>
      <c r="G41" s="3" t="s">
        <v>25</v>
      </c>
      <c r="H41" s="3">
        <v>6</v>
      </c>
      <c r="I41" s="7">
        <v>3.3</v>
      </c>
      <c r="J41" s="7">
        <f t="shared" si="4"/>
        <v>19.8</v>
      </c>
      <c r="K41" s="7">
        <v>6</v>
      </c>
      <c r="L41" s="7">
        <v>19.8</v>
      </c>
      <c r="M41" s="7"/>
      <c r="N41" s="7"/>
      <c r="O41" s="5" t="s">
        <v>30</v>
      </c>
      <c r="P41" s="5" t="s">
        <v>88</v>
      </c>
    </row>
    <row r="42" ht="22.5" customHeight="1" spans="1:16">
      <c r="A42" s="3" t="s">
        <v>137</v>
      </c>
      <c r="B42" s="3" t="s">
        <v>138</v>
      </c>
      <c r="C42" s="3" t="s">
        <v>160</v>
      </c>
      <c r="D42" s="4" t="s">
        <v>33</v>
      </c>
      <c r="E42" s="6">
        <v>46050.895669294</v>
      </c>
      <c r="F42" s="3" t="s">
        <v>26</v>
      </c>
      <c r="G42" s="3" t="s">
        <v>27</v>
      </c>
      <c r="H42" s="3">
        <v>1</v>
      </c>
      <c r="I42" s="7">
        <v>3.3</v>
      </c>
      <c r="J42" s="7">
        <f t="shared" si="4"/>
        <v>3.3</v>
      </c>
      <c r="K42" s="7">
        <v>1</v>
      </c>
      <c r="L42" s="7">
        <v>3.3</v>
      </c>
      <c r="M42" s="7"/>
      <c r="N42" s="7"/>
      <c r="O42" s="5" t="s">
        <v>30</v>
      </c>
      <c r="P42" s="5" t="s">
        <v>88</v>
      </c>
    </row>
    <row r="43" ht="22.5" customHeight="1" spans="1:16">
      <c r="A43" s="3" t="s">
        <v>137</v>
      </c>
      <c r="B43" s="3" t="s">
        <v>138</v>
      </c>
      <c r="C43" s="3" t="s">
        <v>160</v>
      </c>
      <c r="D43" s="4" t="s">
        <v>33</v>
      </c>
      <c r="E43" s="6">
        <v>46050.895669294</v>
      </c>
      <c r="F43" s="3" t="s">
        <v>20</v>
      </c>
      <c r="G43" s="3" t="s">
        <v>24</v>
      </c>
      <c r="H43" s="3">
        <v>204</v>
      </c>
      <c r="I43" s="7">
        <v>120</v>
      </c>
      <c r="J43" s="7">
        <v>120</v>
      </c>
      <c r="K43" s="7">
        <v>204</v>
      </c>
      <c r="L43" s="7">
        <v>120</v>
      </c>
      <c r="M43" s="7"/>
      <c r="N43" s="7"/>
      <c r="O43" s="5" t="s">
        <v>30</v>
      </c>
      <c r="P43" s="5" t="s">
        <v>88</v>
      </c>
    </row>
    <row r="44" ht="22.5" customHeight="1" spans="1:16">
      <c r="A44" s="3" t="s">
        <v>137</v>
      </c>
      <c r="B44" s="3" t="s">
        <v>138</v>
      </c>
      <c r="C44" s="3" t="s">
        <v>161</v>
      </c>
      <c r="D44" s="4" t="s">
        <v>41</v>
      </c>
      <c r="E44" s="6">
        <v>46057.6604537384</v>
      </c>
      <c r="F44" s="3" t="s">
        <v>20</v>
      </c>
      <c r="G44" s="3" t="s">
        <v>21</v>
      </c>
      <c r="H44" s="3">
        <v>47</v>
      </c>
      <c r="I44" s="7">
        <v>3.3</v>
      </c>
      <c r="J44" s="7">
        <f t="shared" ref="J44:J46" si="5">H44*I44</f>
        <v>155.1</v>
      </c>
      <c r="K44" s="7">
        <v>47</v>
      </c>
      <c r="L44" s="7">
        <v>155.1</v>
      </c>
      <c r="M44" s="7"/>
      <c r="N44" s="7"/>
      <c r="O44" s="5" t="s">
        <v>63</v>
      </c>
      <c r="P44" s="5" t="s">
        <v>64</v>
      </c>
    </row>
    <row r="45" ht="22.5" customHeight="1" spans="1:16">
      <c r="A45" s="3" t="s">
        <v>137</v>
      </c>
      <c r="B45" s="3" t="s">
        <v>138</v>
      </c>
      <c r="C45" s="3" t="s">
        <v>161</v>
      </c>
      <c r="D45" s="4" t="s">
        <v>41</v>
      </c>
      <c r="E45" s="6">
        <v>46057.6604537384</v>
      </c>
      <c r="F45" s="3" t="s">
        <v>26</v>
      </c>
      <c r="G45" s="3" t="s">
        <v>27</v>
      </c>
      <c r="H45" s="3">
        <v>1</v>
      </c>
      <c r="I45" s="7">
        <v>3.3</v>
      </c>
      <c r="J45" s="7">
        <f t="shared" si="5"/>
        <v>3.3</v>
      </c>
      <c r="K45" s="7">
        <v>1</v>
      </c>
      <c r="L45" s="7">
        <v>3.3</v>
      </c>
      <c r="M45" s="7"/>
      <c r="N45" s="7"/>
      <c r="O45" s="5" t="s">
        <v>63</v>
      </c>
      <c r="P45" s="5" t="s">
        <v>64</v>
      </c>
    </row>
    <row r="46" ht="22.5" customHeight="1" spans="1:16">
      <c r="A46" s="3" t="s">
        <v>137</v>
      </c>
      <c r="B46" s="3" t="s">
        <v>138</v>
      </c>
      <c r="C46" s="3" t="s">
        <v>162</v>
      </c>
      <c r="D46" s="4" t="s">
        <v>41</v>
      </c>
      <c r="E46" s="6">
        <v>46057.6604562847</v>
      </c>
      <c r="F46" s="3" t="s">
        <v>26</v>
      </c>
      <c r="G46" s="3" t="s">
        <v>27</v>
      </c>
      <c r="H46" s="3">
        <v>1</v>
      </c>
      <c r="I46" s="7">
        <v>3.3</v>
      </c>
      <c r="J46" s="7">
        <f t="shared" si="5"/>
        <v>3.3</v>
      </c>
      <c r="K46" s="7">
        <v>1</v>
      </c>
      <c r="L46" s="7">
        <v>3.3</v>
      </c>
      <c r="M46" s="7"/>
      <c r="N46" s="7"/>
      <c r="O46" s="5" t="s">
        <v>63</v>
      </c>
      <c r="P46" s="5" t="s">
        <v>64</v>
      </c>
    </row>
    <row r="47" ht="22.5" customHeight="1" spans="1:16">
      <c r="A47" s="3" t="s">
        <v>137</v>
      </c>
      <c r="B47" s="3" t="s">
        <v>138</v>
      </c>
      <c r="C47" s="3" t="s">
        <v>162</v>
      </c>
      <c r="D47" s="4" t="s">
        <v>41</v>
      </c>
      <c r="E47" s="6">
        <v>46057.6604562847</v>
      </c>
      <c r="F47" s="3" t="s">
        <v>20</v>
      </c>
      <c r="G47" s="3" t="s">
        <v>24</v>
      </c>
      <c r="H47" s="3">
        <v>41</v>
      </c>
      <c r="I47" s="7">
        <v>120</v>
      </c>
      <c r="J47" s="7">
        <v>120</v>
      </c>
      <c r="K47" s="7">
        <v>41</v>
      </c>
      <c r="L47" s="7">
        <v>120</v>
      </c>
      <c r="M47" s="7"/>
      <c r="N47" s="7"/>
      <c r="O47" s="5" t="s">
        <v>63</v>
      </c>
      <c r="P47" s="5" t="s">
        <v>64</v>
      </c>
    </row>
    <row r="48" ht="22.5" customHeight="1" spans="1:16">
      <c r="A48" s="3" t="s">
        <v>137</v>
      </c>
      <c r="B48" s="3" t="s">
        <v>138</v>
      </c>
      <c r="C48" s="3" t="s">
        <v>65</v>
      </c>
      <c r="D48" s="4" t="s">
        <v>33</v>
      </c>
      <c r="E48" s="6">
        <v>46058.5693908912</v>
      </c>
      <c r="F48" s="3" t="s">
        <v>20</v>
      </c>
      <c r="G48" s="3" t="s">
        <v>21</v>
      </c>
      <c r="H48" s="3">
        <v>5</v>
      </c>
      <c r="I48" s="7">
        <v>3.3</v>
      </c>
      <c r="J48" s="7">
        <f t="shared" ref="J48:J50" si="6">H48*I48</f>
        <v>16.5</v>
      </c>
      <c r="K48" s="7">
        <v>5</v>
      </c>
      <c r="L48" s="7">
        <v>16.5</v>
      </c>
      <c r="M48" s="7"/>
      <c r="N48" s="7"/>
      <c r="O48" s="7" t="s">
        <v>30</v>
      </c>
      <c r="P48" s="5" t="s">
        <v>31</v>
      </c>
    </row>
    <row r="49" ht="22.5" customHeight="1" spans="1:16">
      <c r="A49" s="3" t="s">
        <v>137</v>
      </c>
      <c r="B49" s="3" t="s">
        <v>138</v>
      </c>
      <c r="C49" s="3" t="s">
        <v>163</v>
      </c>
      <c r="D49" s="4" t="s">
        <v>164</v>
      </c>
      <c r="E49" s="6">
        <v>46058.801288044</v>
      </c>
      <c r="F49" s="3" t="s">
        <v>20</v>
      </c>
      <c r="G49" s="3" t="s">
        <v>25</v>
      </c>
      <c r="H49" s="3">
        <v>5</v>
      </c>
      <c r="I49" s="7">
        <v>3.3</v>
      </c>
      <c r="J49" s="7">
        <f t="shared" si="6"/>
        <v>16.5</v>
      </c>
      <c r="K49" s="7">
        <v>5</v>
      </c>
      <c r="L49" s="7">
        <v>16.5</v>
      </c>
      <c r="M49" s="7"/>
      <c r="N49" s="7"/>
      <c r="O49" s="7" t="s">
        <v>63</v>
      </c>
      <c r="P49" s="5" t="s">
        <v>64</v>
      </c>
    </row>
    <row r="50" ht="22.5" customHeight="1" spans="1:16">
      <c r="A50" s="3" t="s">
        <v>137</v>
      </c>
      <c r="B50" s="3" t="s">
        <v>138</v>
      </c>
      <c r="C50" s="3" t="s">
        <v>163</v>
      </c>
      <c r="D50" s="4" t="s">
        <v>164</v>
      </c>
      <c r="E50" s="6">
        <v>46058.801288044</v>
      </c>
      <c r="F50" s="3" t="s">
        <v>26</v>
      </c>
      <c r="G50" s="3" t="s">
        <v>27</v>
      </c>
      <c r="H50" s="3">
        <v>1</v>
      </c>
      <c r="I50" s="7">
        <v>3.3</v>
      </c>
      <c r="J50" s="7">
        <f t="shared" si="6"/>
        <v>3.3</v>
      </c>
      <c r="K50" s="7">
        <v>1</v>
      </c>
      <c r="L50" s="7">
        <v>3.3</v>
      </c>
      <c r="M50" s="7"/>
      <c r="N50" s="7"/>
      <c r="O50" s="7" t="s">
        <v>63</v>
      </c>
      <c r="P50" s="5" t="s">
        <v>64</v>
      </c>
    </row>
    <row r="51" ht="22.5" customHeight="1" spans="1:16">
      <c r="A51" s="3" t="s">
        <v>137</v>
      </c>
      <c r="B51" s="3" t="s">
        <v>138</v>
      </c>
      <c r="C51" s="3" t="s">
        <v>163</v>
      </c>
      <c r="D51" s="4" t="s">
        <v>164</v>
      </c>
      <c r="E51" s="6">
        <v>46058.801288044</v>
      </c>
      <c r="F51" s="3" t="s">
        <v>20</v>
      </c>
      <c r="G51" s="3" t="s">
        <v>24</v>
      </c>
      <c r="H51" s="3">
        <v>227</v>
      </c>
      <c r="I51" s="7">
        <v>120</v>
      </c>
      <c r="J51" s="7">
        <v>120</v>
      </c>
      <c r="K51" s="7">
        <v>213</v>
      </c>
      <c r="L51" s="7">
        <v>120</v>
      </c>
      <c r="M51" s="7">
        <v>14</v>
      </c>
      <c r="N51" s="7">
        <v>0</v>
      </c>
      <c r="O51" s="7" t="s">
        <v>63</v>
      </c>
      <c r="P51" s="5" t="s">
        <v>64</v>
      </c>
    </row>
    <row r="52" ht="22.5" customHeight="1" spans="1:16">
      <c r="A52" s="3" t="s">
        <v>137</v>
      </c>
      <c r="B52" s="3" t="s">
        <v>138</v>
      </c>
      <c r="C52" s="3" t="s">
        <v>163</v>
      </c>
      <c r="D52" s="4" t="s">
        <v>164</v>
      </c>
      <c r="E52" s="6">
        <v>46058.801288044</v>
      </c>
      <c r="F52" s="3" t="s">
        <v>20</v>
      </c>
      <c r="G52" s="3" t="s">
        <v>21</v>
      </c>
      <c r="H52" s="3">
        <v>25</v>
      </c>
      <c r="I52" s="7">
        <v>3.3</v>
      </c>
      <c r="J52" s="7">
        <f t="shared" ref="J52:J55" si="7">H52*I52</f>
        <v>82.5</v>
      </c>
      <c r="K52" s="7">
        <v>25</v>
      </c>
      <c r="L52" s="7">
        <v>82.5</v>
      </c>
      <c r="M52" s="7"/>
      <c r="N52" s="7"/>
      <c r="O52" s="7" t="s">
        <v>63</v>
      </c>
      <c r="P52" s="5" t="s">
        <v>64</v>
      </c>
    </row>
    <row r="53" ht="22.5" customHeight="1" spans="1:16">
      <c r="A53" s="3" t="s">
        <v>137</v>
      </c>
      <c r="B53" s="3" t="s">
        <v>138</v>
      </c>
      <c r="C53" s="3" t="s">
        <v>165</v>
      </c>
      <c r="D53" s="4" t="s">
        <v>164</v>
      </c>
      <c r="E53" s="6">
        <v>46058.8012895486</v>
      </c>
      <c r="F53" s="3" t="s">
        <v>20</v>
      </c>
      <c r="G53" s="3" t="s">
        <v>21</v>
      </c>
      <c r="H53" s="3">
        <v>11</v>
      </c>
      <c r="I53" s="7">
        <v>3.3</v>
      </c>
      <c r="J53" s="7">
        <f t="shared" si="7"/>
        <v>36.3</v>
      </c>
      <c r="K53" s="7">
        <v>11</v>
      </c>
      <c r="L53" s="7">
        <v>36.3</v>
      </c>
      <c r="M53" s="7"/>
      <c r="N53" s="7"/>
      <c r="O53" s="7" t="s">
        <v>63</v>
      </c>
      <c r="P53" s="5" t="s">
        <v>64</v>
      </c>
    </row>
    <row r="54" ht="22.5" customHeight="1" spans="1:16">
      <c r="A54" s="3" t="s">
        <v>137</v>
      </c>
      <c r="B54" s="3" t="s">
        <v>138</v>
      </c>
      <c r="C54" s="3" t="s">
        <v>165</v>
      </c>
      <c r="D54" s="4" t="s">
        <v>164</v>
      </c>
      <c r="E54" s="6">
        <v>46058.8012895486</v>
      </c>
      <c r="F54" s="3" t="s">
        <v>20</v>
      </c>
      <c r="G54" s="3" t="s">
        <v>24</v>
      </c>
      <c r="H54" s="3">
        <v>32</v>
      </c>
      <c r="I54" s="7">
        <v>30</v>
      </c>
      <c r="J54" s="7">
        <v>30</v>
      </c>
      <c r="K54" s="7">
        <v>32</v>
      </c>
      <c r="L54" s="7">
        <v>30</v>
      </c>
      <c r="M54" s="7"/>
      <c r="N54" s="7"/>
      <c r="O54" s="7" t="s">
        <v>63</v>
      </c>
      <c r="P54" s="5" t="s">
        <v>64</v>
      </c>
    </row>
    <row r="55" ht="22.5" customHeight="1" spans="1:16">
      <c r="A55" s="3" t="s">
        <v>137</v>
      </c>
      <c r="B55" s="3" t="s">
        <v>138</v>
      </c>
      <c r="C55" s="3" t="s">
        <v>165</v>
      </c>
      <c r="D55" s="4" t="s">
        <v>164</v>
      </c>
      <c r="E55" s="6">
        <v>46058.8012895486</v>
      </c>
      <c r="F55" s="3" t="s">
        <v>26</v>
      </c>
      <c r="G55" s="3" t="s">
        <v>27</v>
      </c>
      <c r="H55" s="3">
        <v>1</v>
      </c>
      <c r="I55" s="7">
        <v>3.3</v>
      </c>
      <c r="J55" s="7">
        <f t="shared" si="7"/>
        <v>3.3</v>
      </c>
      <c r="K55" s="7">
        <v>1</v>
      </c>
      <c r="L55" s="7">
        <v>3.3</v>
      </c>
      <c r="M55" s="7"/>
      <c r="N55" s="7"/>
      <c r="O55" s="7" t="s">
        <v>63</v>
      </c>
      <c r="P55" s="5" t="s">
        <v>64</v>
      </c>
    </row>
    <row r="56" ht="22.5" customHeight="1" spans="1:16">
      <c r="A56" s="3" t="s">
        <v>137</v>
      </c>
      <c r="B56" s="3" t="s">
        <v>138</v>
      </c>
      <c r="C56" s="3" t="s">
        <v>166</v>
      </c>
      <c r="D56" s="4" t="s">
        <v>111</v>
      </c>
      <c r="E56" s="4">
        <v>46061.4484961806</v>
      </c>
      <c r="F56" s="3" t="s">
        <v>26</v>
      </c>
      <c r="G56" s="3" t="s">
        <v>27</v>
      </c>
      <c r="H56" s="3">
        <v>1</v>
      </c>
      <c r="I56" s="7">
        <v>3.3</v>
      </c>
      <c r="J56" s="7">
        <v>3.3</v>
      </c>
      <c r="K56" s="7">
        <v>1</v>
      </c>
      <c r="L56" s="7">
        <v>3.3</v>
      </c>
      <c r="M56" s="7"/>
      <c r="N56" s="7"/>
      <c r="O56" s="5" t="s">
        <v>30</v>
      </c>
      <c r="P56" s="5" t="s">
        <v>34</v>
      </c>
    </row>
    <row r="57" ht="22.5" customHeight="1" spans="1:16">
      <c r="A57" s="3" t="s">
        <v>137</v>
      </c>
      <c r="B57" s="3" t="s">
        <v>138</v>
      </c>
      <c r="C57" s="3" t="s">
        <v>166</v>
      </c>
      <c r="D57" s="4" t="s">
        <v>111</v>
      </c>
      <c r="E57" s="4">
        <v>46061.4484961806</v>
      </c>
      <c r="F57" s="3" t="s">
        <v>20</v>
      </c>
      <c r="G57" s="3" t="s">
        <v>25</v>
      </c>
      <c r="H57" s="3">
        <v>7</v>
      </c>
      <c r="I57" s="7">
        <v>3.3</v>
      </c>
      <c r="J57" s="7">
        <f t="shared" ref="J57:J62" si="8">H57*I57</f>
        <v>23.1</v>
      </c>
      <c r="K57" s="7">
        <v>7</v>
      </c>
      <c r="L57" s="7">
        <v>23.1</v>
      </c>
      <c r="M57" s="7"/>
      <c r="N57" s="7"/>
      <c r="O57" s="5" t="s">
        <v>30</v>
      </c>
      <c r="P57" s="5" t="s">
        <v>34</v>
      </c>
    </row>
    <row r="58" ht="22.5" customHeight="1" spans="1:16">
      <c r="A58" s="3" t="s">
        <v>137</v>
      </c>
      <c r="B58" s="3" t="s">
        <v>138</v>
      </c>
      <c r="C58" s="3" t="s">
        <v>166</v>
      </c>
      <c r="D58" s="4" t="s">
        <v>111</v>
      </c>
      <c r="E58" s="4">
        <v>46061.4484961806</v>
      </c>
      <c r="F58" s="3" t="s">
        <v>20</v>
      </c>
      <c r="G58" s="3" t="s">
        <v>24</v>
      </c>
      <c r="H58" s="3">
        <v>221</v>
      </c>
      <c r="I58" s="7">
        <v>120</v>
      </c>
      <c r="J58" s="7">
        <v>120</v>
      </c>
      <c r="K58" s="7">
        <v>213</v>
      </c>
      <c r="L58" s="7">
        <v>120</v>
      </c>
      <c r="M58" s="7">
        <f>H58-K58</f>
        <v>8</v>
      </c>
      <c r="N58" s="7">
        <v>0</v>
      </c>
      <c r="O58" s="5" t="s">
        <v>30</v>
      </c>
      <c r="P58" s="5" t="s">
        <v>34</v>
      </c>
    </row>
    <row r="59" ht="22.5" customHeight="1" spans="1:16">
      <c r="A59" s="3" t="s">
        <v>137</v>
      </c>
      <c r="B59" s="3" t="s">
        <v>138</v>
      </c>
      <c r="C59" s="3" t="s">
        <v>166</v>
      </c>
      <c r="D59" s="4" t="s">
        <v>111</v>
      </c>
      <c r="E59" s="4">
        <v>46061.4484961806</v>
      </c>
      <c r="F59" s="3" t="s">
        <v>20</v>
      </c>
      <c r="G59" s="3" t="s">
        <v>21</v>
      </c>
      <c r="H59" s="3">
        <v>25</v>
      </c>
      <c r="I59" s="7">
        <v>3.3</v>
      </c>
      <c r="J59" s="7">
        <f t="shared" si="8"/>
        <v>82.5</v>
      </c>
      <c r="K59" s="7">
        <v>25</v>
      </c>
      <c r="L59" s="7">
        <v>82.5</v>
      </c>
      <c r="M59" s="7"/>
      <c r="N59" s="7"/>
      <c r="O59" s="5" t="s">
        <v>30</v>
      </c>
      <c r="P59" s="5" t="s">
        <v>34</v>
      </c>
    </row>
    <row r="60" ht="22.5" customHeight="1" spans="1:16">
      <c r="A60" s="3" t="s">
        <v>137</v>
      </c>
      <c r="B60" s="3" t="s">
        <v>138</v>
      </c>
      <c r="C60" s="3" t="s">
        <v>167</v>
      </c>
      <c r="D60" s="4" t="s">
        <v>33</v>
      </c>
      <c r="E60" s="6">
        <v>46066.4157261921</v>
      </c>
      <c r="F60" s="3" t="s">
        <v>26</v>
      </c>
      <c r="G60" s="3" t="s">
        <v>27</v>
      </c>
      <c r="H60" s="3">
        <v>1</v>
      </c>
      <c r="I60" s="7">
        <v>3.3</v>
      </c>
      <c r="J60" s="7">
        <f t="shared" si="8"/>
        <v>3.3</v>
      </c>
      <c r="K60" s="7"/>
      <c r="L60" s="7"/>
      <c r="M60" s="7">
        <v>1</v>
      </c>
      <c r="N60" s="7">
        <v>3.3</v>
      </c>
      <c r="O60" s="5" t="s">
        <v>30</v>
      </c>
      <c r="P60" s="5" t="s">
        <v>31</v>
      </c>
    </row>
    <row r="61" ht="22.5" customHeight="1" spans="1:16">
      <c r="A61" s="3" t="s">
        <v>137</v>
      </c>
      <c r="B61" s="3" t="s">
        <v>138</v>
      </c>
      <c r="C61" s="3" t="s">
        <v>167</v>
      </c>
      <c r="D61" s="4" t="s">
        <v>33</v>
      </c>
      <c r="E61" s="6">
        <v>46066.4157261921</v>
      </c>
      <c r="F61" s="3" t="s">
        <v>20</v>
      </c>
      <c r="G61" s="3" t="s">
        <v>21</v>
      </c>
      <c r="H61" s="3">
        <v>29</v>
      </c>
      <c r="I61" s="7">
        <v>3.3</v>
      </c>
      <c r="J61" s="7">
        <f t="shared" si="8"/>
        <v>95.7</v>
      </c>
      <c r="K61" s="7">
        <v>29</v>
      </c>
      <c r="L61" s="7">
        <v>95.7</v>
      </c>
      <c r="M61" s="7"/>
      <c r="N61" s="7"/>
      <c r="O61" s="5" t="s">
        <v>30</v>
      </c>
      <c r="P61" s="5" t="s">
        <v>31</v>
      </c>
    </row>
    <row r="62" ht="22.5" customHeight="1" spans="1:16">
      <c r="A62" s="3" t="s">
        <v>137</v>
      </c>
      <c r="B62" s="3" t="s">
        <v>138</v>
      </c>
      <c r="C62" s="3" t="s">
        <v>168</v>
      </c>
      <c r="D62" s="4" t="s">
        <v>33</v>
      </c>
      <c r="E62" s="6">
        <v>46066.415728206</v>
      </c>
      <c r="F62" s="3" t="s">
        <v>20</v>
      </c>
      <c r="G62" s="3" t="s">
        <v>25</v>
      </c>
      <c r="H62" s="3">
        <v>13</v>
      </c>
      <c r="I62" s="7">
        <v>3.3</v>
      </c>
      <c r="J62" s="7">
        <f t="shared" si="8"/>
        <v>42.9</v>
      </c>
      <c r="K62" s="7">
        <v>13</v>
      </c>
      <c r="L62" s="7">
        <v>42.9</v>
      </c>
      <c r="M62" s="7"/>
      <c r="N62" s="7"/>
      <c r="O62" s="5" t="s">
        <v>30</v>
      </c>
      <c r="P62" s="5" t="s">
        <v>31</v>
      </c>
    </row>
    <row r="63" ht="22.5" customHeight="1" spans="1:16">
      <c r="A63" s="3" t="s">
        <v>137</v>
      </c>
      <c r="B63" s="3" t="s">
        <v>138</v>
      </c>
      <c r="C63" s="3" t="s">
        <v>168</v>
      </c>
      <c r="D63" s="4" t="s">
        <v>33</v>
      </c>
      <c r="E63" s="6">
        <v>46066.415728206</v>
      </c>
      <c r="F63" s="3" t="s">
        <v>20</v>
      </c>
      <c r="G63" s="3" t="s">
        <v>24</v>
      </c>
      <c r="H63" s="3">
        <v>71</v>
      </c>
      <c r="I63" s="7">
        <v>120</v>
      </c>
      <c r="J63" s="7">
        <v>120</v>
      </c>
      <c r="K63" s="7">
        <v>71</v>
      </c>
      <c r="L63" s="7">
        <v>120</v>
      </c>
      <c r="M63" s="7"/>
      <c r="N63" s="7"/>
      <c r="O63" s="5" t="s">
        <v>30</v>
      </c>
      <c r="P63" s="5" t="s">
        <v>31</v>
      </c>
    </row>
    <row r="64" ht="22.5" customHeight="1" spans="1:16">
      <c r="A64" s="3" t="s">
        <v>137</v>
      </c>
      <c r="B64" s="3" t="s">
        <v>138</v>
      </c>
      <c r="C64" s="3" t="s">
        <v>168</v>
      </c>
      <c r="D64" s="4" t="s">
        <v>33</v>
      </c>
      <c r="E64" s="6">
        <v>46066.415728206</v>
      </c>
      <c r="F64" s="3" t="s">
        <v>20</v>
      </c>
      <c r="G64" s="3" t="s">
        <v>21</v>
      </c>
      <c r="H64" s="3">
        <v>10</v>
      </c>
      <c r="I64" s="7">
        <v>3.3</v>
      </c>
      <c r="J64" s="7">
        <v>33</v>
      </c>
      <c r="K64" s="7">
        <v>10</v>
      </c>
      <c r="L64" s="7">
        <v>33</v>
      </c>
      <c r="M64" s="7"/>
      <c r="N64" s="7"/>
      <c r="O64" s="5" t="s">
        <v>30</v>
      </c>
      <c r="P64" s="5" t="s">
        <v>31</v>
      </c>
    </row>
    <row r="65" ht="22.5" customHeight="1" spans="1:16">
      <c r="A65" s="3" t="s">
        <v>137</v>
      </c>
      <c r="B65" s="3" t="s">
        <v>138</v>
      </c>
      <c r="C65" s="3" t="s">
        <v>168</v>
      </c>
      <c r="D65" s="4" t="s">
        <v>33</v>
      </c>
      <c r="E65" s="6">
        <v>46066.415728206</v>
      </c>
      <c r="F65" s="3" t="s">
        <v>26</v>
      </c>
      <c r="G65" s="3" t="s">
        <v>27</v>
      </c>
      <c r="H65" s="3">
        <v>1</v>
      </c>
      <c r="I65" s="7">
        <v>3.3</v>
      </c>
      <c r="J65" s="7">
        <v>3.3</v>
      </c>
      <c r="K65" s="7">
        <v>1</v>
      </c>
      <c r="L65" s="7">
        <v>3.3</v>
      </c>
      <c r="M65" s="7"/>
      <c r="N65" s="7"/>
      <c r="O65" s="5" t="s">
        <v>30</v>
      </c>
      <c r="P65" s="5" t="s">
        <v>31</v>
      </c>
    </row>
    <row r="66" ht="22.5" customHeight="1" spans="1:16">
      <c r="A66" s="3" t="s">
        <v>137</v>
      </c>
      <c r="B66" s="3" t="s">
        <v>138</v>
      </c>
      <c r="C66" s="3" t="s">
        <v>169</v>
      </c>
      <c r="D66" s="4" t="s">
        <v>170</v>
      </c>
      <c r="E66" s="6">
        <v>46067.4858591435</v>
      </c>
      <c r="F66" s="3" t="s">
        <v>26</v>
      </c>
      <c r="G66" s="3" t="s">
        <v>27</v>
      </c>
      <c r="H66" s="3">
        <v>1</v>
      </c>
      <c r="I66" s="7">
        <v>3.3</v>
      </c>
      <c r="J66" s="7">
        <f t="shared" ref="J66:J70" si="9">H66*I66</f>
        <v>3.3</v>
      </c>
      <c r="K66" s="7">
        <v>1</v>
      </c>
      <c r="L66" s="7">
        <v>3.3</v>
      </c>
      <c r="M66" s="7"/>
      <c r="N66" s="7"/>
      <c r="O66" s="5" t="s">
        <v>30</v>
      </c>
      <c r="P66" s="5" t="s">
        <v>171</v>
      </c>
    </row>
    <row r="67" ht="22.5" customHeight="1" spans="1:16">
      <c r="A67" s="3" t="s">
        <v>137</v>
      </c>
      <c r="B67" s="3" t="s">
        <v>138</v>
      </c>
      <c r="C67" s="3" t="s">
        <v>169</v>
      </c>
      <c r="D67" s="4" t="s">
        <v>170</v>
      </c>
      <c r="E67" s="6">
        <v>46067.4858591435</v>
      </c>
      <c r="F67" s="3" t="s">
        <v>20</v>
      </c>
      <c r="G67" s="3" t="s">
        <v>66</v>
      </c>
      <c r="H67" s="3">
        <v>40</v>
      </c>
      <c r="I67" s="7">
        <v>3.3</v>
      </c>
      <c r="J67" s="7">
        <f t="shared" si="9"/>
        <v>132</v>
      </c>
      <c r="K67" s="7">
        <v>40</v>
      </c>
      <c r="L67" s="7">
        <v>132</v>
      </c>
      <c r="M67" s="7"/>
      <c r="N67" s="7"/>
      <c r="O67" s="5" t="s">
        <v>30</v>
      </c>
      <c r="P67" s="5" t="s">
        <v>171</v>
      </c>
    </row>
    <row r="68" ht="22.5" customHeight="1" spans="1:16">
      <c r="A68" s="3" t="s">
        <v>137</v>
      </c>
      <c r="B68" s="3" t="s">
        <v>138</v>
      </c>
      <c r="C68" s="3" t="s">
        <v>172</v>
      </c>
      <c r="D68" s="4" t="s">
        <v>170</v>
      </c>
      <c r="E68" s="6">
        <v>46067.4858622685</v>
      </c>
      <c r="F68" s="3" t="s">
        <v>20</v>
      </c>
      <c r="G68" s="3" t="s">
        <v>66</v>
      </c>
      <c r="H68" s="3">
        <v>9</v>
      </c>
      <c r="I68" s="7">
        <v>3.3</v>
      </c>
      <c r="J68" s="7">
        <f t="shared" si="9"/>
        <v>29.7</v>
      </c>
      <c r="K68" s="7">
        <v>9</v>
      </c>
      <c r="L68" s="7">
        <v>29.7</v>
      </c>
      <c r="M68" s="7"/>
      <c r="N68" s="7"/>
      <c r="O68" s="5" t="s">
        <v>30</v>
      </c>
      <c r="P68" s="5" t="s">
        <v>171</v>
      </c>
    </row>
    <row r="69" ht="22.5" customHeight="1" spans="1:16">
      <c r="A69" s="3" t="s">
        <v>137</v>
      </c>
      <c r="B69" s="3" t="s">
        <v>138</v>
      </c>
      <c r="C69" s="3" t="s">
        <v>172</v>
      </c>
      <c r="D69" s="4" t="s">
        <v>170</v>
      </c>
      <c r="E69" s="6">
        <v>46067.4858622685</v>
      </c>
      <c r="F69" s="3" t="s">
        <v>26</v>
      </c>
      <c r="G69" s="3" t="s">
        <v>27</v>
      </c>
      <c r="H69" s="3">
        <v>1</v>
      </c>
      <c r="I69" s="7">
        <v>3.3</v>
      </c>
      <c r="J69" s="7">
        <f t="shared" si="9"/>
        <v>3.3</v>
      </c>
      <c r="K69" s="7">
        <v>1</v>
      </c>
      <c r="L69" s="7">
        <v>3.3</v>
      </c>
      <c r="M69" s="7"/>
      <c r="N69" s="7"/>
      <c r="O69" s="5" t="s">
        <v>30</v>
      </c>
      <c r="P69" s="5" t="s">
        <v>171</v>
      </c>
    </row>
    <row r="70" ht="22.5" customHeight="1" spans="1:16">
      <c r="A70" s="3" t="s">
        <v>137</v>
      </c>
      <c r="B70" s="3" t="s">
        <v>138</v>
      </c>
      <c r="C70" s="3" t="s">
        <v>173</v>
      </c>
      <c r="D70" s="4" t="s">
        <v>170</v>
      </c>
      <c r="E70" s="6">
        <v>46067.4858649653</v>
      </c>
      <c r="F70" s="3" t="s">
        <v>26</v>
      </c>
      <c r="G70" s="3" t="s">
        <v>27</v>
      </c>
      <c r="H70" s="3">
        <v>1</v>
      </c>
      <c r="I70" s="7">
        <v>3.3</v>
      </c>
      <c r="J70" s="7">
        <f t="shared" si="9"/>
        <v>3.3</v>
      </c>
      <c r="K70" s="7">
        <v>1</v>
      </c>
      <c r="L70" s="7">
        <v>3.3</v>
      </c>
      <c r="M70" s="7"/>
      <c r="N70" s="7"/>
      <c r="O70" s="5" t="s">
        <v>30</v>
      </c>
      <c r="P70" s="5" t="s">
        <v>171</v>
      </c>
    </row>
    <row r="71" ht="22.5" customHeight="1" spans="1:16">
      <c r="A71" s="3" t="s">
        <v>137</v>
      </c>
      <c r="B71" s="3" t="s">
        <v>138</v>
      </c>
      <c r="C71" s="3" t="s">
        <v>173</v>
      </c>
      <c r="D71" s="4" t="s">
        <v>170</v>
      </c>
      <c r="E71" s="6">
        <v>46067.4858649653</v>
      </c>
      <c r="F71" s="3" t="s">
        <v>20</v>
      </c>
      <c r="G71" s="3" t="s">
        <v>24</v>
      </c>
      <c r="H71" s="15">
        <v>96</v>
      </c>
      <c r="I71" s="7">
        <v>120</v>
      </c>
      <c r="J71" s="7">
        <v>120</v>
      </c>
      <c r="K71" s="7">
        <v>96</v>
      </c>
      <c r="L71" s="7">
        <v>120</v>
      </c>
      <c r="M71" s="7"/>
      <c r="N71" s="7"/>
      <c r="O71" s="5" t="s">
        <v>30</v>
      </c>
      <c r="P71" s="5" t="s">
        <v>171</v>
      </c>
    </row>
    <row r="72" ht="22.5" customHeight="1" spans="1:16">
      <c r="A72" s="3" t="s">
        <v>137</v>
      </c>
      <c r="B72" s="3" t="s">
        <v>138</v>
      </c>
      <c r="C72" s="3" t="s">
        <v>174</v>
      </c>
      <c r="D72" s="4" t="s">
        <v>170</v>
      </c>
      <c r="E72" s="6">
        <v>46067.6765466782</v>
      </c>
      <c r="F72" s="3" t="s">
        <v>20</v>
      </c>
      <c r="G72" s="3" t="s">
        <v>21</v>
      </c>
      <c r="H72" s="3">
        <v>5</v>
      </c>
      <c r="I72" s="7">
        <v>3.3</v>
      </c>
      <c r="J72" s="7">
        <f t="shared" ref="J72:J74" si="10">H72*I72</f>
        <v>16.5</v>
      </c>
      <c r="K72" s="7">
        <v>5</v>
      </c>
      <c r="L72" s="7">
        <v>16.5</v>
      </c>
      <c r="M72" s="7"/>
      <c r="N72" s="7"/>
      <c r="O72" s="5" t="s">
        <v>30</v>
      </c>
      <c r="P72" s="5" t="s">
        <v>171</v>
      </c>
    </row>
    <row r="73" ht="22.5" customHeight="1" spans="1:16">
      <c r="A73" s="3" t="s">
        <v>137</v>
      </c>
      <c r="B73" s="3" t="s">
        <v>138</v>
      </c>
      <c r="C73" s="3" t="s">
        <v>174</v>
      </c>
      <c r="D73" s="4" t="s">
        <v>170</v>
      </c>
      <c r="E73" s="6">
        <v>46067.6765466782</v>
      </c>
      <c r="F73" s="3" t="s">
        <v>26</v>
      </c>
      <c r="G73" s="3" t="s">
        <v>27</v>
      </c>
      <c r="H73" s="3">
        <v>1</v>
      </c>
      <c r="I73" s="7">
        <v>3.3</v>
      </c>
      <c r="J73" s="7">
        <f t="shared" si="10"/>
        <v>3.3</v>
      </c>
      <c r="K73" s="7">
        <v>1</v>
      </c>
      <c r="L73" s="7">
        <v>3.3</v>
      </c>
      <c r="M73" s="7"/>
      <c r="N73" s="7"/>
      <c r="O73" s="5" t="s">
        <v>30</v>
      </c>
      <c r="P73" s="5" t="s">
        <v>171</v>
      </c>
    </row>
    <row r="74" ht="22.5" customHeight="1" spans="1:16">
      <c r="A74" s="3" t="s">
        <v>137</v>
      </c>
      <c r="B74" s="3" t="s">
        <v>138</v>
      </c>
      <c r="C74" s="3" t="s">
        <v>175</v>
      </c>
      <c r="D74" s="4" t="s">
        <v>135</v>
      </c>
      <c r="E74" s="6">
        <v>46068.4568937153</v>
      </c>
      <c r="F74" s="3" t="s">
        <v>20</v>
      </c>
      <c r="G74" s="3" t="s">
        <v>25</v>
      </c>
      <c r="H74" s="3">
        <v>5</v>
      </c>
      <c r="I74" s="7">
        <v>3.3</v>
      </c>
      <c r="J74" s="7">
        <f t="shared" si="10"/>
        <v>16.5</v>
      </c>
      <c r="K74" s="7">
        <v>5</v>
      </c>
      <c r="L74" s="7">
        <v>16.5</v>
      </c>
      <c r="M74" s="7"/>
      <c r="N74" s="7"/>
      <c r="O74" s="5" t="s">
        <v>30</v>
      </c>
      <c r="P74" s="5" t="s">
        <v>34</v>
      </c>
    </row>
    <row r="75" ht="22.5" customHeight="1" spans="1:16">
      <c r="A75" s="3" t="s">
        <v>137</v>
      </c>
      <c r="B75" s="3" t="s">
        <v>138</v>
      </c>
      <c r="C75" s="3" t="s">
        <v>175</v>
      </c>
      <c r="D75" s="4" t="s">
        <v>135</v>
      </c>
      <c r="E75" s="6">
        <v>46068.4568937153</v>
      </c>
      <c r="F75" s="3" t="s">
        <v>20</v>
      </c>
      <c r="G75" s="3" t="s">
        <v>24</v>
      </c>
      <c r="H75" s="15">
        <v>72</v>
      </c>
      <c r="I75" s="7">
        <v>120</v>
      </c>
      <c r="J75" s="7">
        <v>120</v>
      </c>
      <c r="K75" s="7">
        <v>72</v>
      </c>
      <c r="L75" s="7">
        <v>120</v>
      </c>
      <c r="M75" s="7"/>
      <c r="N75" s="7"/>
      <c r="O75" s="5" t="s">
        <v>30</v>
      </c>
      <c r="P75" s="5" t="s">
        <v>34</v>
      </c>
    </row>
    <row r="76" ht="22.5" customHeight="1" spans="1:16">
      <c r="A76" s="3" t="s">
        <v>137</v>
      </c>
      <c r="B76" s="3" t="s">
        <v>138</v>
      </c>
      <c r="C76" s="3" t="s">
        <v>175</v>
      </c>
      <c r="D76" s="4" t="s">
        <v>135</v>
      </c>
      <c r="E76" s="6">
        <v>46068.4568937153</v>
      </c>
      <c r="F76" s="3" t="s">
        <v>20</v>
      </c>
      <c r="G76" s="3" t="s">
        <v>21</v>
      </c>
      <c r="H76" s="3">
        <v>11</v>
      </c>
      <c r="I76" s="7">
        <v>3.3</v>
      </c>
      <c r="J76" s="7">
        <f>H76*I76</f>
        <v>36.3</v>
      </c>
      <c r="K76" s="7">
        <v>11</v>
      </c>
      <c r="L76" s="7">
        <v>36.3</v>
      </c>
      <c r="M76" s="7"/>
      <c r="N76" s="7"/>
      <c r="O76" s="5" t="s">
        <v>30</v>
      </c>
      <c r="P76" s="5" t="s">
        <v>34</v>
      </c>
    </row>
    <row r="77" ht="22.5" customHeight="1" spans="1:16">
      <c r="A77" s="3" t="s">
        <v>137</v>
      </c>
      <c r="B77" s="3" t="s">
        <v>138</v>
      </c>
      <c r="C77" s="3" t="s">
        <v>175</v>
      </c>
      <c r="D77" s="4" t="s">
        <v>135</v>
      </c>
      <c r="E77" s="6">
        <v>46068.4568937153</v>
      </c>
      <c r="F77" s="3" t="s">
        <v>26</v>
      </c>
      <c r="G77" s="3" t="s">
        <v>27</v>
      </c>
      <c r="H77" s="3">
        <v>1</v>
      </c>
      <c r="I77" s="7">
        <v>3.3</v>
      </c>
      <c r="J77" s="7">
        <f>H77*I77</f>
        <v>3.3</v>
      </c>
      <c r="K77" s="7">
        <v>1</v>
      </c>
      <c r="L77" s="7">
        <v>3.3</v>
      </c>
      <c r="M77" s="7"/>
      <c r="N77" s="7"/>
      <c r="O77" s="5" t="s">
        <v>30</v>
      </c>
      <c r="P77" s="5" t="s">
        <v>34</v>
      </c>
    </row>
    <row r="78" ht="22.5" customHeight="1" spans="1:16">
      <c r="A78" s="5"/>
      <c r="B78" s="5"/>
      <c r="C78" s="5" t="s">
        <v>97</v>
      </c>
      <c r="D78" s="5"/>
      <c r="E78" s="5"/>
      <c r="F78" s="5"/>
      <c r="G78" s="5"/>
      <c r="H78" s="5"/>
      <c r="I78" s="5"/>
      <c r="J78" s="5"/>
      <c r="K78" s="5"/>
      <c r="L78" s="5">
        <f>SUM(L2:L77)</f>
        <v>3394.2</v>
      </c>
      <c r="M78" s="5"/>
      <c r="N78" s="5">
        <f>SUM(N2:N77)</f>
        <v>3.3</v>
      </c>
      <c r="O78" s="5"/>
      <c r="P78" s="5"/>
    </row>
    <row r="79" ht="22.5" customHeight="1" spans="1:1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ht="22.5" customHeight="1" spans="1:1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ht="22.5" customHeight="1" spans="1:1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ht="22.5" customHeight="1" spans="1:1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ht="22.5" customHeight="1" spans="1:1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ht="22.5" customHeight="1" spans="1:1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ht="22.5" customHeight="1" spans="1:1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ht="22.5" customHeight="1" spans="1:1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</sheetData>
  <autoFilter xmlns:etc="http://www.wps.cn/officeDocument/2017/etCustomData" ref="A1:P78" etc:filterBottomFollowUsedRange="0">
    <extLst/>
  </autoFilter>
  <pageMargins left="0.25" right="0.25" top="0.75" bottom="0.75" header="0.298611111111111" footer="0.298611111111111"/>
  <pageSetup paperSize="9" scale="66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5"/>
  <sheetViews>
    <sheetView view="pageBreakPreview" zoomScaleNormal="100" topLeftCell="B57" workbookViewId="0">
      <selection activeCell="J39" sqref="J$1:J$1048576"/>
    </sheetView>
  </sheetViews>
  <sheetFormatPr defaultColWidth="9" defaultRowHeight="13.5"/>
  <cols>
    <col min="1" max="1" width="30.0083333333333" customWidth="1"/>
    <col min="2" max="2" width="23.675" customWidth="1"/>
    <col min="3" max="3" width="26.3416666666667" customWidth="1"/>
    <col min="4" max="4" width="26.675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8.675" customWidth="1"/>
    <col min="10" max="10" width="9.34166666666667" hidden="1" customWidth="1"/>
    <col min="11" max="12" width="17.8416666666667" customWidth="1"/>
    <col min="13" max="14" width="16.0083333333333" hidden="1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2" t="s">
        <v>14</v>
      </c>
      <c r="P1" s="2" t="s">
        <v>15</v>
      </c>
    </row>
    <row r="2" ht="22.5" customHeight="1" spans="1:16">
      <c r="A2" s="3" t="s">
        <v>137</v>
      </c>
      <c r="B2" s="3" t="s">
        <v>138</v>
      </c>
      <c r="C2" s="3" t="s">
        <v>139</v>
      </c>
      <c r="D2" s="4" t="s">
        <v>140</v>
      </c>
      <c r="E2" s="6">
        <v>46044.8626558681</v>
      </c>
      <c r="F2" s="3" t="s">
        <v>20</v>
      </c>
      <c r="G2" s="3" t="s">
        <v>35</v>
      </c>
      <c r="H2" s="3">
        <v>29</v>
      </c>
      <c r="I2" s="7">
        <v>3.3</v>
      </c>
      <c r="J2" s="7">
        <v>95.7</v>
      </c>
      <c r="K2" s="7">
        <v>29</v>
      </c>
      <c r="L2" s="7">
        <v>95.7</v>
      </c>
      <c r="M2" s="7"/>
      <c r="N2" s="7"/>
      <c r="O2" s="5" t="s">
        <v>30</v>
      </c>
      <c r="P2" s="5" t="s">
        <v>34</v>
      </c>
    </row>
    <row r="3" ht="22.5" customHeight="1" spans="1:16">
      <c r="A3" s="3" t="s">
        <v>137</v>
      </c>
      <c r="B3" s="3" t="s">
        <v>138</v>
      </c>
      <c r="C3" s="3" t="s">
        <v>139</v>
      </c>
      <c r="D3" s="4" t="s">
        <v>141</v>
      </c>
      <c r="E3" s="6">
        <v>46044.8626558681</v>
      </c>
      <c r="F3" s="3" t="s">
        <v>20</v>
      </c>
      <c r="G3" s="3" t="s">
        <v>24</v>
      </c>
      <c r="H3" s="3">
        <v>224</v>
      </c>
      <c r="I3" s="7">
        <v>120</v>
      </c>
      <c r="J3" s="7">
        <v>120</v>
      </c>
      <c r="K3" s="7">
        <v>224</v>
      </c>
      <c r="L3" s="7">
        <v>120</v>
      </c>
      <c r="M3" s="7"/>
      <c r="N3" s="7"/>
      <c r="O3" s="5" t="s">
        <v>30</v>
      </c>
      <c r="P3" s="5" t="s">
        <v>34</v>
      </c>
    </row>
    <row r="4" ht="22.5" customHeight="1" spans="1:16">
      <c r="A4" s="3" t="s">
        <v>137</v>
      </c>
      <c r="B4" s="3" t="s">
        <v>138</v>
      </c>
      <c r="C4" s="3" t="s">
        <v>139</v>
      </c>
      <c r="D4" s="4" t="s">
        <v>142</v>
      </c>
      <c r="E4" s="6">
        <v>46044.8626558681</v>
      </c>
      <c r="F4" s="3" t="s">
        <v>20</v>
      </c>
      <c r="G4" s="3" t="s">
        <v>25</v>
      </c>
      <c r="H4" s="3">
        <v>6</v>
      </c>
      <c r="I4" s="7">
        <v>3.3</v>
      </c>
      <c r="J4" s="7">
        <v>19.8</v>
      </c>
      <c r="K4" s="7">
        <v>6</v>
      </c>
      <c r="L4" s="7">
        <v>19.8</v>
      </c>
      <c r="M4" s="7"/>
      <c r="N4" s="7"/>
      <c r="O4" s="5" t="s">
        <v>30</v>
      </c>
      <c r="P4" s="5" t="s">
        <v>34</v>
      </c>
    </row>
    <row r="5" ht="22.5" customHeight="1" spans="1:16">
      <c r="A5" s="3" t="s">
        <v>137</v>
      </c>
      <c r="B5" s="3" t="s">
        <v>138</v>
      </c>
      <c r="C5" s="3" t="s">
        <v>139</v>
      </c>
      <c r="D5" s="4" t="s">
        <v>143</v>
      </c>
      <c r="E5" s="6">
        <v>46044.8626558681</v>
      </c>
      <c r="F5" s="3" t="s">
        <v>26</v>
      </c>
      <c r="G5" s="3" t="s">
        <v>27</v>
      </c>
      <c r="H5" s="3">
        <v>1</v>
      </c>
      <c r="I5" s="7">
        <v>3.3</v>
      </c>
      <c r="J5" s="7">
        <v>3.3</v>
      </c>
      <c r="K5" s="7">
        <v>1</v>
      </c>
      <c r="L5" s="7">
        <v>3.3</v>
      </c>
      <c r="M5" s="7"/>
      <c r="N5" s="7"/>
      <c r="O5" s="5" t="s">
        <v>30</v>
      </c>
      <c r="P5" s="5" t="s">
        <v>34</v>
      </c>
    </row>
    <row r="6" ht="22.5" customHeight="1" spans="1:16">
      <c r="A6" s="11" t="s">
        <v>137</v>
      </c>
      <c r="B6" s="11" t="s">
        <v>138</v>
      </c>
      <c r="C6" s="11" t="s">
        <v>144</v>
      </c>
      <c r="D6" s="12" t="s">
        <v>145</v>
      </c>
      <c r="E6" s="13">
        <v>46047.5292269329</v>
      </c>
      <c r="F6" s="11" t="s">
        <v>20</v>
      </c>
      <c r="G6" s="11" t="s">
        <v>25</v>
      </c>
      <c r="H6" s="11">
        <v>4</v>
      </c>
      <c r="I6" s="7">
        <v>3.3</v>
      </c>
      <c r="J6" s="7">
        <v>13.2</v>
      </c>
      <c r="K6" s="7">
        <v>4</v>
      </c>
      <c r="L6" s="7">
        <v>13.2</v>
      </c>
      <c r="M6" s="7"/>
      <c r="N6" s="7"/>
      <c r="O6" s="5" t="s">
        <v>30</v>
      </c>
      <c r="P6" s="5" t="s">
        <v>31</v>
      </c>
    </row>
    <row r="7" ht="22.5" customHeight="1" spans="1:16">
      <c r="A7" s="11" t="s">
        <v>137</v>
      </c>
      <c r="B7" s="11" t="s">
        <v>138</v>
      </c>
      <c r="C7" s="11" t="s">
        <v>146</v>
      </c>
      <c r="D7" s="12" t="s">
        <v>145</v>
      </c>
      <c r="E7" s="13">
        <v>46047.5292238773</v>
      </c>
      <c r="F7" s="11" t="s">
        <v>20</v>
      </c>
      <c r="G7" s="11" t="s">
        <v>35</v>
      </c>
      <c r="H7" s="11">
        <v>27</v>
      </c>
      <c r="I7" s="7">
        <v>3.3</v>
      </c>
      <c r="J7" s="7">
        <v>89.1</v>
      </c>
      <c r="K7" s="7">
        <v>27</v>
      </c>
      <c r="L7" s="7">
        <v>89.1</v>
      </c>
      <c r="M7" s="7"/>
      <c r="N7" s="7"/>
      <c r="O7" s="5" t="s">
        <v>30</v>
      </c>
      <c r="P7" s="5" t="s">
        <v>31</v>
      </c>
    </row>
    <row r="8" ht="22.5" customHeight="1" spans="1:16">
      <c r="A8" s="11" t="s">
        <v>137</v>
      </c>
      <c r="B8" s="11" t="s">
        <v>138</v>
      </c>
      <c r="C8" s="11" t="s">
        <v>146</v>
      </c>
      <c r="D8" s="12" t="s">
        <v>145</v>
      </c>
      <c r="E8" s="13">
        <v>46047.5292238773</v>
      </c>
      <c r="F8" s="11" t="s">
        <v>20</v>
      </c>
      <c r="G8" s="11" t="s">
        <v>24</v>
      </c>
      <c r="H8" s="11">
        <v>73</v>
      </c>
      <c r="I8" s="7">
        <v>30</v>
      </c>
      <c r="J8" s="7">
        <v>30</v>
      </c>
      <c r="K8" s="7">
        <v>73</v>
      </c>
      <c r="L8" s="7">
        <v>30</v>
      </c>
      <c r="M8" s="7"/>
      <c r="N8" s="7"/>
      <c r="O8" s="5" t="s">
        <v>30</v>
      </c>
      <c r="P8" s="5" t="s">
        <v>31</v>
      </c>
    </row>
    <row r="9" ht="22.5" customHeight="1" spans="1:16">
      <c r="A9" s="11" t="s">
        <v>137</v>
      </c>
      <c r="B9" s="11" t="s">
        <v>138</v>
      </c>
      <c r="C9" s="11" t="s">
        <v>146</v>
      </c>
      <c r="D9" s="12" t="s">
        <v>145</v>
      </c>
      <c r="E9" s="13">
        <v>46047.5292238773</v>
      </c>
      <c r="F9" s="11" t="s">
        <v>26</v>
      </c>
      <c r="G9" s="11" t="s">
        <v>27</v>
      </c>
      <c r="H9" s="11">
        <v>1</v>
      </c>
      <c r="I9" s="7">
        <v>3.3</v>
      </c>
      <c r="J9" s="7">
        <v>3.3</v>
      </c>
      <c r="K9" s="7">
        <v>1</v>
      </c>
      <c r="L9" s="7">
        <v>3.3</v>
      </c>
      <c r="M9" s="7"/>
      <c r="N9" s="7"/>
      <c r="O9" s="5" t="s">
        <v>30</v>
      </c>
      <c r="P9" s="5" t="s">
        <v>31</v>
      </c>
    </row>
    <row r="10" ht="22.5" customHeight="1" spans="1:16">
      <c r="A10" s="11" t="s">
        <v>137</v>
      </c>
      <c r="B10" s="11" t="s">
        <v>138</v>
      </c>
      <c r="C10" s="11" t="s">
        <v>147</v>
      </c>
      <c r="D10" s="12" t="s">
        <v>145</v>
      </c>
      <c r="E10" s="13">
        <v>46047.5292269329</v>
      </c>
      <c r="F10" s="11" t="s">
        <v>26</v>
      </c>
      <c r="G10" s="11" t="s">
        <v>27</v>
      </c>
      <c r="H10" s="11">
        <v>1</v>
      </c>
      <c r="I10" s="7">
        <v>3.3</v>
      </c>
      <c r="J10" s="7">
        <v>3.3</v>
      </c>
      <c r="K10" s="7">
        <v>1</v>
      </c>
      <c r="L10" s="7">
        <v>3.3</v>
      </c>
      <c r="M10" s="7"/>
      <c r="N10" s="7"/>
      <c r="O10" s="5" t="s">
        <v>30</v>
      </c>
      <c r="P10" s="5" t="s">
        <v>31</v>
      </c>
    </row>
    <row r="11" ht="22.5" customHeight="1" spans="1:16">
      <c r="A11" s="11" t="s">
        <v>137</v>
      </c>
      <c r="B11" s="11" t="s">
        <v>138</v>
      </c>
      <c r="C11" s="11" t="s">
        <v>147</v>
      </c>
      <c r="D11" s="12" t="s">
        <v>145</v>
      </c>
      <c r="E11" s="13">
        <v>46047.5292269329</v>
      </c>
      <c r="F11" s="11" t="s">
        <v>20</v>
      </c>
      <c r="G11" s="11" t="s">
        <v>35</v>
      </c>
      <c r="H11" s="11">
        <v>20</v>
      </c>
      <c r="I11" s="7">
        <v>3.3</v>
      </c>
      <c r="J11" s="7">
        <v>66</v>
      </c>
      <c r="K11" s="7">
        <v>20</v>
      </c>
      <c r="L11" s="7">
        <v>66</v>
      </c>
      <c r="M11" s="7"/>
      <c r="N11" s="7"/>
      <c r="O11" s="5" t="s">
        <v>30</v>
      </c>
      <c r="P11" s="5" t="s">
        <v>31</v>
      </c>
    </row>
    <row r="12" ht="22.5" customHeight="1" spans="1:16">
      <c r="A12" s="11" t="s">
        <v>137</v>
      </c>
      <c r="B12" s="11" t="s">
        <v>138</v>
      </c>
      <c r="C12" s="11" t="s">
        <v>148</v>
      </c>
      <c r="D12" s="12" t="s">
        <v>145</v>
      </c>
      <c r="E12" s="13">
        <v>46047.5292299421</v>
      </c>
      <c r="F12" s="11" t="s">
        <v>20</v>
      </c>
      <c r="G12" s="11" t="s">
        <v>35</v>
      </c>
      <c r="H12" s="11">
        <v>11</v>
      </c>
      <c r="I12" s="7">
        <v>3.3</v>
      </c>
      <c r="J12" s="7">
        <v>36.3</v>
      </c>
      <c r="K12" s="7">
        <v>11</v>
      </c>
      <c r="L12" s="14">
        <v>36.3</v>
      </c>
      <c r="M12" s="7"/>
      <c r="N12" s="7"/>
      <c r="O12" s="5" t="s">
        <v>30</v>
      </c>
      <c r="P12" s="5" t="s">
        <v>31</v>
      </c>
    </row>
    <row r="13" ht="22.5" customHeight="1" spans="1:16">
      <c r="A13" s="11" t="s">
        <v>137</v>
      </c>
      <c r="B13" s="11" t="s">
        <v>138</v>
      </c>
      <c r="C13" s="11" t="s">
        <v>148</v>
      </c>
      <c r="D13" s="12" t="s">
        <v>145</v>
      </c>
      <c r="E13" s="13">
        <v>46047.5292299421</v>
      </c>
      <c r="F13" s="11" t="s">
        <v>26</v>
      </c>
      <c r="G13" s="11" t="s">
        <v>27</v>
      </c>
      <c r="H13" s="11">
        <v>1</v>
      </c>
      <c r="I13" s="7">
        <v>3.3</v>
      </c>
      <c r="J13" s="7">
        <v>3.3</v>
      </c>
      <c r="K13" s="7">
        <v>1</v>
      </c>
      <c r="L13" s="7">
        <v>3.3</v>
      </c>
      <c r="M13" s="7"/>
      <c r="N13" s="7"/>
      <c r="O13" s="5" t="s">
        <v>30</v>
      </c>
      <c r="P13" s="5" t="s">
        <v>31</v>
      </c>
    </row>
    <row r="14" ht="22.5" customHeight="1" spans="1:16">
      <c r="A14" s="11" t="s">
        <v>137</v>
      </c>
      <c r="B14" s="11" t="s">
        <v>138</v>
      </c>
      <c r="C14" s="11" t="s">
        <v>149</v>
      </c>
      <c r="D14" s="12" t="s">
        <v>145</v>
      </c>
      <c r="E14" s="13">
        <v>46047.5292330208</v>
      </c>
      <c r="F14" s="11" t="s">
        <v>26</v>
      </c>
      <c r="G14" s="11" t="s">
        <v>27</v>
      </c>
      <c r="H14" s="11">
        <v>1</v>
      </c>
      <c r="I14" s="7">
        <v>3.3</v>
      </c>
      <c r="J14" s="7">
        <v>3.3</v>
      </c>
      <c r="K14" s="7">
        <v>1</v>
      </c>
      <c r="L14" s="7">
        <v>3.3</v>
      </c>
      <c r="M14" s="7"/>
      <c r="N14" s="7"/>
      <c r="O14" s="5" t="s">
        <v>30</v>
      </c>
      <c r="P14" s="5" t="s">
        <v>31</v>
      </c>
    </row>
    <row r="15" ht="22.5" customHeight="1" spans="1:16">
      <c r="A15" s="11" t="s">
        <v>137</v>
      </c>
      <c r="B15" s="11" t="s">
        <v>138</v>
      </c>
      <c r="C15" s="11" t="s">
        <v>149</v>
      </c>
      <c r="D15" s="12" t="s">
        <v>145</v>
      </c>
      <c r="E15" s="13">
        <v>46047.5292330208</v>
      </c>
      <c r="F15" s="11" t="s">
        <v>20</v>
      </c>
      <c r="G15" s="11" t="s">
        <v>25</v>
      </c>
      <c r="H15" s="11">
        <v>12</v>
      </c>
      <c r="I15" s="7">
        <v>3.3</v>
      </c>
      <c r="J15" s="7">
        <v>39.6</v>
      </c>
      <c r="K15" s="7">
        <v>12</v>
      </c>
      <c r="L15" s="7">
        <v>39.6</v>
      </c>
      <c r="M15" s="7"/>
      <c r="N15" s="7"/>
      <c r="O15" s="5" t="s">
        <v>30</v>
      </c>
      <c r="P15" s="5" t="s">
        <v>31</v>
      </c>
    </row>
    <row r="16" ht="22.5" customHeight="1" spans="1:16">
      <c r="A16" s="11" t="s">
        <v>137</v>
      </c>
      <c r="B16" s="11" t="s">
        <v>138</v>
      </c>
      <c r="C16" s="11" t="s">
        <v>149</v>
      </c>
      <c r="D16" s="12" t="s">
        <v>145</v>
      </c>
      <c r="E16" s="13">
        <v>46047.5292330208</v>
      </c>
      <c r="F16" s="11" t="s">
        <v>20</v>
      </c>
      <c r="G16" s="11" t="s">
        <v>24</v>
      </c>
      <c r="H16" s="11">
        <v>216</v>
      </c>
      <c r="I16" s="7">
        <v>120</v>
      </c>
      <c r="J16" s="7">
        <v>120</v>
      </c>
      <c r="K16" s="7">
        <v>216</v>
      </c>
      <c r="L16" s="7">
        <v>120</v>
      </c>
      <c r="M16" s="7"/>
      <c r="N16" s="7"/>
      <c r="O16" s="5" t="s">
        <v>30</v>
      </c>
      <c r="P16" s="5" t="s">
        <v>31</v>
      </c>
    </row>
    <row r="17" ht="22.5" customHeight="1" spans="1:16">
      <c r="A17" s="11" t="s">
        <v>137</v>
      </c>
      <c r="B17" s="11" t="s">
        <v>138</v>
      </c>
      <c r="C17" s="11" t="s">
        <v>149</v>
      </c>
      <c r="D17" s="12" t="s">
        <v>145</v>
      </c>
      <c r="E17" s="13">
        <v>46047.5292330208</v>
      </c>
      <c r="F17" s="11" t="s">
        <v>20</v>
      </c>
      <c r="G17" s="11" t="s">
        <v>35</v>
      </c>
      <c r="H17" s="11">
        <v>24</v>
      </c>
      <c r="I17" s="7">
        <v>3.3</v>
      </c>
      <c r="J17" s="7">
        <v>79.2</v>
      </c>
      <c r="K17" s="7">
        <v>24</v>
      </c>
      <c r="L17" s="7">
        <v>79.2</v>
      </c>
      <c r="M17" s="7"/>
      <c r="N17" s="7"/>
      <c r="O17" s="5" t="s">
        <v>30</v>
      </c>
      <c r="P17" s="5" t="s">
        <v>31</v>
      </c>
    </row>
    <row r="18" ht="22.5" customHeight="1" spans="1:16">
      <c r="A18" s="11" t="s">
        <v>137</v>
      </c>
      <c r="B18" s="11" t="s">
        <v>138</v>
      </c>
      <c r="C18" s="11" t="s">
        <v>150</v>
      </c>
      <c r="D18" s="12" t="s">
        <v>145</v>
      </c>
      <c r="E18" s="13">
        <v>46047.5292363079</v>
      </c>
      <c r="F18" s="11" t="s">
        <v>20</v>
      </c>
      <c r="G18" s="11" t="s">
        <v>35</v>
      </c>
      <c r="H18" s="11">
        <v>5</v>
      </c>
      <c r="I18" s="7">
        <v>3.3</v>
      </c>
      <c r="J18" s="7">
        <v>16.5</v>
      </c>
      <c r="K18" s="7">
        <v>5</v>
      </c>
      <c r="L18" s="7">
        <v>16.5</v>
      </c>
      <c r="M18" s="7"/>
      <c r="N18" s="7"/>
      <c r="O18" s="5" t="s">
        <v>30</v>
      </c>
      <c r="P18" s="5" t="s">
        <v>31</v>
      </c>
    </row>
    <row r="19" ht="22.5" customHeight="1" spans="1:16">
      <c r="A19" s="11" t="s">
        <v>137</v>
      </c>
      <c r="B19" s="11" t="s">
        <v>138</v>
      </c>
      <c r="C19" s="11" t="s">
        <v>150</v>
      </c>
      <c r="D19" s="12" t="s">
        <v>145</v>
      </c>
      <c r="E19" s="13">
        <v>46047.5292363079</v>
      </c>
      <c r="F19" s="11" t="s">
        <v>26</v>
      </c>
      <c r="G19" s="11" t="s">
        <v>27</v>
      </c>
      <c r="H19" s="11">
        <v>1</v>
      </c>
      <c r="I19" s="7">
        <v>3.3</v>
      </c>
      <c r="J19" s="7">
        <v>3.3</v>
      </c>
      <c r="K19" s="7">
        <v>1</v>
      </c>
      <c r="L19" s="7">
        <v>3.3</v>
      </c>
      <c r="M19" s="7"/>
      <c r="N19" s="7"/>
      <c r="O19" s="5" t="s">
        <v>30</v>
      </c>
      <c r="P19" s="5" t="s">
        <v>31</v>
      </c>
    </row>
    <row r="20" ht="22.5" customHeight="1" spans="1:16">
      <c r="A20" s="11" t="s">
        <v>137</v>
      </c>
      <c r="B20" s="11" t="s">
        <v>138</v>
      </c>
      <c r="C20" s="11" t="s">
        <v>151</v>
      </c>
      <c r="D20" s="12" t="s">
        <v>135</v>
      </c>
      <c r="E20" s="13">
        <v>46047.5292238773</v>
      </c>
      <c r="F20" s="11" t="s">
        <v>20</v>
      </c>
      <c r="G20" s="11" t="s">
        <v>35</v>
      </c>
      <c r="H20" s="11">
        <v>7</v>
      </c>
      <c r="I20" s="7">
        <v>3.3</v>
      </c>
      <c r="J20" s="7">
        <v>23.1</v>
      </c>
      <c r="K20" s="7">
        <v>7</v>
      </c>
      <c r="L20" s="7">
        <v>23.1</v>
      </c>
      <c r="M20" s="7"/>
      <c r="N20" s="7"/>
      <c r="O20" s="5" t="s">
        <v>30</v>
      </c>
      <c r="P20" s="5" t="s">
        <v>31</v>
      </c>
    </row>
    <row r="21" ht="22.5" customHeight="1" spans="1:16">
      <c r="A21" s="11" t="s">
        <v>137</v>
      </c>
      <c r="B21" s="11" t="s">
        <v>138</v>
      </c>
      <c r="C21" s="11" t="s">
        <v>151</v>
      </c>
      <c r="D21" s="12" t="s">
        <v>135</v>
      </c>
      <c r="E21" s="13">
        <v>46047.5292238773</v>
      </c>
      <c r="F21" s="11" t="s">
        <v>20</v>
      </c>
      <c r="G21" s="11" t="s">
        <v>24</v>
      </c>
      <c r="H21" s="11">
        <v>75</v>
      </c>
      <c r="I21" s="7">
        <v>120</v>
      </c>
      <c r="J21" s="7">
        <v>120</v>
      </c>
      <c r="K21" s="7">
        <v>74</v>
      </c>
      <c r="L21" s="7">
        <v>120</v>
      </c>
      <c r="M21" s="7">
        <v>1</v>
      </c>
      <c r="N21" s="7">
        <v>0</v>
      </c>
      <c r="O21" s="5" t="s">
        <v>30</v>
      </c>
      <c r="P21" s="5" t="s">
        <v>31</v>
      </c>
    </row>
    <row r="22" ht="22.5" customHeight="1" spans="1:16">
      <c r="A22" s="11" t="s">
        <v>137</v>
      </c>
      <c r="B22" s="11" t="s">
        <v>138</v>
      </c>
      <c r="C22" s="11" t="s">
        <v>151</v>
      </c>
      <c r="D22" s="12" t="s">
        <v>135</v>
      </c>
      <c r="E22" s="13">
        <v>46047.5292238773</v>
      </c>
      <c r="F22" s="11" t="s">
        <v>20</v>
      </c>
      <c r="G22" s="11" t="s">
        <v>25</v>
      </c>
      <c r="H22" s="11">
        <v>5</v>
      </c>
      <c r="I22" s="7">
        <v>3.3</v>
      </c>
      <c r="J22" s="7">
        <v>16.5</v>
      </c>
      <c r="K22" s="7">
        <v>5</v>
      </c>
      <c r="L22" s="7">
        <v>16.5</v>
      </c>
      <c r="M22" s="7"/>
      <c r="N22" s="7"/>
      <c r="O22" s="5" t="s">
        <v>30</v>
      </c>
      <c r="P22" s="5" t="s">
        <v>31</v>
      </c>
    </row>
    <row r="23" ht="22.5" customHeight="1" spans="1:16">
      <c r="A23" s="11" t="s">
        <v>137</v>
      </c>
      <c r="B23" s="11" t="s">
        <v>138</v>
      </c>
      <c r="C23" s="11" t="s">
        <v>151</v>
      </c>
      <c r="D23" s="12" t="s">
        <v>135</v>
      </c>
      <c r="E23" s="13">
        <v>46047.5292238773</v>
      </c>
      <c r="F23" s="11" t="s">
        <v>26</v>
      </c>
      <c r="G23" s="11" t="s">
        <v>27</v>
      </c>
      <c r="H23" s="11">
        <v>1</v>
      </c>
      <c r="I23" s="7">
        <v>3.3</v>
      </c>
      <c r="J23" s="7">
        <v>3.3</v>
      </c>
      <c r="K23" s="7">
        <v>1</v>
      </c>
      <c r="L23" s="7">
        <v>3.3</v>
      </c>
      <c r="M23" s="7"/>
      <c r="N23" s="7"/>
      <c r="O23" s="5" t="s">
        <v>30</v>
      </c>
      <c r="P23" s="5" t="s">
        <v>31</v>
      </c>
    </row>
    <row r="24" ht="22.5" customHeight="1" spans="1:16">
      <c r="A24" s="3" t="s">
        <v>137</v>
      </c>
      <c r="B24" s="3" t="s">
        <v>138</v>
      </c>
      <c r="C24" s="3" t="s">
        <v>152</v>
      </c>
      <c r="D24" s="4" t="s">
        <v>41</v>
      </c>
      <c r="E24" s="6">
        <v>46048.7559241088</v>
      </c>
      <c r="F24" s="3" t="s">
        <v>20</v>
      </c>
      <c r="G24" s="3" t="s">
        <v>21</v>
      </c>
      <c r="H24" s="3">
        <v>5</v>
      </c>
      <c r="I24" s="7">
        <v>3.3</v>
      </c>
      <c r="J24" s="7">
        <v>16.5</v>
      </c>
      <c r="K24" s="7">
        <v>5</v>
      </c>
      <c r="L24" s="7">
        <v>16.5</v>
      </c>
      <c r="M24" s="7"/>
      <c r="N24" s="7"/>
      <c r="O24" s="5" t="s">
        <v>30</v>
      </c>
      <c r="P24" s="5" t="s">
        <v>60</v>
      </c>
    </row>
    <row r="25" ht="22.5" customHeight="1" spans="1:16">
      <c r="A25" s="3" t="s">
        <v>137</v>
      </c>
      <c r="B25" s="3" t="s">
        <v>138</v>
      </c>
      <c r="C25" s="3" t="s">
        <v>152</v>
      </c>
      <c r="D25" s="4" t="s">
        <v>41</v>
      </c>
      <c r="E25" s="6">
        <v>46048.7559241088</v>
      </c>
      <c r="F25" s="3" t="s">
        <v>26</v>
      </c>
      <c r="G25" s="3" t="s">
        <v>27</v>
      </c>
      <c r="H25" s="3">
        <v>1</v>
      </c>
      <c r="I25" s="7">
        <v>3.3</v>
      </c>
      <c r="J25" s="7">
        <v>3.3</v>
      </c>
      <c r="K25" s="7">
        <v>1</v>
      </c>
      <c r="L25" s="7">
        <v>3.3</v>
      </c>
      <c r="M25" s="7"/>
      <c r="N25" s="7"/>
      <c r="O25" s="5" t="s">
        <v>30</v>
      </c>
      <c r="P25" s="5" t="s">
        <v>60</v>
      </c>
    </row>
    <row r="26" ht="22.5" customHeight="1" spans="1:16">
      <c r="A26" s="3" t="s">
        <v>137</v>
      </c>
      <c r="B26" s="3" t="s">
        <v>138</v>
      </c>
      <c r="C26" s="3" t="s">
        <v>153</v>
      </c>
      <c r="D26" s="4" t="s">
        <v>41</v>
      </c>
      <c r="E26" s="6">
        <v>46048.7559258102</v>
      </c>
      <c r="F26" s="3" t="s">
        <v>20</v>
      </c>
      <c r="G26" s="3" t="s">
        <v>81</v>
      </c>
      <c r="H26" s="3">
        <v>29</v>
      </c>
      <c r="I26" s="7">
        <v>120</v>
      </c>
      <c r="J26" s="7">
        <v>120</v>
      </c>
      <c r="K26" s="7">
        <v>29</v>
      </c>
      <c r="L26" s="7">
        <v>120</v>
      </c>
      <c r="M26" s="7"/>
      <c r="N26" s="7"/>
      <c r="O26" s="5" t="s">
        <v>30</v>
      </c>
      <c r="P26" s="5" t="s">
        <v>60</v>
      </c>
    </row>
    <row r="27" ht="22.5" customHeight="1" spans="1:16">
      <c r="A27" s="3" t="s">
        <v>137</v>
      </c>
      <c r="B27" s="3" t="s">
        <v>138</v>
      </c>
      <c r="C27" s="3" t="s">
        <v>153</v>
      </c>
      <c r="D27" s="4" t="s">
        <v>41</v>
      </c>
      <c r="E27" s="6">
        <v>46048.7559258102</v>
      </c>
      <c r="F27" s="3" t="s">
        <v>20</v>
      </c>
      <c r="G27" s="3" t="s">
        <v>21</v>
      </c>
      <c r="H27" s="3">
        <v>40</v>
      </c>
      <c r="I27" s="7">
        <v>3.3</v>
      </c>
      <c r="J27" s="7">
        <v>132</v>
      </c>
      <c r="K27" s="7">
        <v>40</v>
      </c>
      <c r="L27" s="7">
        <v>132</v>
      </c>
      <c r="M27" s="7"/>
      <c r="N27" s="7"/>
      <c r="O27" s="5" t="s">
        <v>30</v>
      </c>
      <c r="P27" s="5" t="s">
        <v>60</v>
      </c>
    </row>
    <row r="28" ht="22.5" customHeight="1" spans="1:16">
      <c r="A28" s="3" t="s">
        <v>137</v>
      </c>
      <c r="B28" s="3" t="s">
        <v>138</v>
      </c>
      <c r="C28" s="3" t="s">
        <v>153</v>
      </c>
      <c r="D28" s="4" t="s">
        <v>41</v>
      </c>
      <c r="E28" s="6">
        <v>46048.7559258102</v>
      </c>
      <c r="F28" s="3" t="s">
        <v>26</v>
      </c>
      <c r="G28" s="3" t="s">
        <v>27</v>
      </c>
      <c r="H28" s="3">
        <v>1</v>
      </c>
      <c r="I28" s="7">
        <v>3.3</v>
      </c>
      <c r="J28" s="7">
        <v>3.3</v>
      </c>
      <c r="K28" s="7">
        <v>1</v>
      </c>
      <c r="L28" s="7">
        <v>3.3</v>
      </c>
      <c r="M28" s="7"/>
      <c r="N28" s="7"/>
      <c r="O28" s="5" t="s">
        <v>30</v>
      </c>
      <c r="P28" s="5" t="s">
        <v>60</v>
      </c>
    </row>
    <row r="29" ht="22.5" customHeight="1" spans="1:16">
      <c r="A29" s="3" t="s">
        <v>137</v>
      </c>
      <c r="B29" s="3" t="s">
        <v>138</v>
      </c>
      <c r="C29" s="3" t="s">
        <v>154</v>
      </c>
      <c r="D29" s="4" t="s">
        <v>41</v>
      </c>
      <c r="E29" s="6">
        <v>46049.8359665856</v>
      </c>
      <c r="F29" s="3" t="s">
        <v>26</v>
      </c>
      <c r="G29" s="3" t="s">
        <v>27</v>
      </c>
      <c r="H29" s="3">
        <v>1</v>
      </c>
      <c r="I29" s="7">
        <v>3.3</v>
      </c>
      <c r="J29" s="7">
        <v>3.3</v>
      </c>
      <c r="K29" s="7">
        <v>1</v>
      </c>
      <c r="L29" s="7">
        <v>3.3</v>
      </c>
      <c r="M29" s="7"/>
      <c r="N29" s="7"/>
      <c r="O29" s="5" t="s">
        <v>30</v>
      </c>
      <c r="P29" s="5" t="s">
        <v>31</v>
      </c>
    </row>
    <row r="30" ht="22.5" customHeight="1" spans="1:16">
      <c r="A30" s="3" t="s">
        <v>137</v>
      </c>
      <c r="B30" s="3" t="s">
        <v>138</v>
      </c>
      <c r="C30" s="3" t="s">
        <v>154</v>
      </c>
      <c r="D30" s="4" t="s">
        <v>41</v>
      </c>
      <c r="E30" s="6">
        <v>46049.8359665856</v>
      </c>
      <c r="F30" s="3" t="s">
        <v>20</v>
      </c>
      <c r="G30" s="3" t="s">
        <v>21</v>
      </c>
      <c r="H30" s="3">
        <v>40</v>
      </c>
      <c r="I30" s="7">
        <v>3.3</v>
      </c>
      <c r="J30" s="7">
        <v>132</v>
      </c>
      <c r="K30" s="7">
        <v>40</v>
      </c>
      <c r="L30" s="7">
        <v>132</v>
      </c>
      <c r="M30" s="7"/>
      <c r="N30" s="7"/>
      <c r="O30" s="5" t="s">
        <v>30</v>
      </c>
      <c r="P30" s="5" t="s">
        <v>31</v>
      </c>
    </row>
    <row r="31" ht="22.5" customHeight="1" spans="1:16">
      <c r="A31" s="3" t="s">
        <v>137</v>
      </c>
      <c r="B31" s="3" t="s">
        <v>138</v>
      </c>
      <c r="C31" s="3" t="s">
        <v>155</v>
      </c>
      <c r="D31" s="4" t="s">
        <v>41</v>
      </c>
      <c r="E31" s="6">
        <v>46049.8359704861</v>
      </c>
      <c r="F31" s="3" t="s">
        <v>26</v>
      </c>
      <c r="G31" s="3" t="s">
        <v>27</v>
      </c>
      <c r="H31" s="3">
        <v>1</v>
      </c>
      <c r="I31" s="7">
        <v>3.3</v>
      </c>
      <c r="J31" s="7">
        <v>3.3</v>
      </c>
      <c r="K31" s="7">
        <v>1</v>
      </c>
      <c r="L31" s="7">
        <v>3.3</v>
      </c>
      <c r="M31" s="7"/>
      <c r="N31" s="7"/>
      <c r="O31" s="5" t="s">
        <v>30</v>
      </c>
      <c r="P31" s="5" t="s">
        <v>31</v>
      </c>
    </row>
    <row r="32" ht="22.5" customHeight="1" spans="1:16">
      <c r="A32" s="3" t="s">
        <v>137</v>
      </c>
      <c r="B32" s="3" t="s">
        <v>138</v>
      </c>
      <c r="C32" s="3" t="s">
        <v>155</v>
      </c>
      <c r="D32" s="4" t="s">
        <v>41</v>
      </c>
      <c r="E32" s="6">
        <v>46049.8359704861</v>
      </c>
      <c r="F32" s="3" t="s">
        <v>20</v>
      </c>
      <c r="G32" s="3" t="s">
        <v>21</v>
      </c>
      <c r="H32" s="3">
        <v>5</v>
      </c>
      <c r="I32" s="7">
        <v>3.3</v>
      </c>
      <c r="J32" s="7">
        <v>16.5</v>
      </c>
      <c r="K32" s="7">
        <v>5</v>
      </c>
      <c r="L32" s="7">
        <v>16.5</v>
      </c>
      <c r="M32" s="7"/>
      <c r="N32" s="7"/>
      <c r="O32" s="5" t="s">
        <v>30</v>
      </c>
      <c r="P32" s="5" t="s">
        <v>31</v>
      </c>
    </row>
    <row r="33" ht="22.5" customHeight="1" spans="1:16">
      <c r="A33" s="3" t="s">
        <v>137</v>
      </c>
      <c r="B33" s="3" t="s">
        <v>138</v>
      </c>
      <c r="C33" s="3" t="s">
        <v>156</v>
      </c>
      <c r="D33" s="4" t="s">
        <v>41</v>
      </c>
      <c r="E33" s="6">
        <v>46049.8359741898</v>
      </c>
      <c r="F33" s="3" t="s">
        <v>20</v>
      </c>
      <c r="G33" s="3" t="s">
        <v>21</v>
      </c>
      <c r="H33" s="3">
        <v>5</v>
      </c>
      <c r="I33" s="7">
        <v>3.3</v>
      </c>
      <c r="J33" s="7">
        <v>16.5</v>
      </c>
      <c r="K33" s="7">
        <v>5</v>
      </c>
      <c r="L33" s="7">
        <v>16.5</v>
      </c>
      <c r="M33" s="7"/>
      <c r="N33" s="7"/>
      <c r="O33" s="5" t="s">
        <v>30</v>
      </c>
      <c r="P33" s="5" t="s">
        <v>31</v>
      </c>
    </row>
    <row r="34" ht="22.5" customHeight="1" spans="1:16">
      <c r="A34" s="3" t="s">
        <v>137</v>
      </c>
      <c r="B34" s="3" t="s">
        <v>138</v>
      </c>
      <c r="C34" s="3" t="s">
        <v>156</v>
      </c>
      <c r="D34" s="4" t="s">
        <v>41</v>
      </c>
      <c r="E34" s="6">
        <v>46049.8359741898</v>
      </c>
      <c r="F34" s="3" t="s">
        <v>26</v>
      </c>
      <c r="G34" s="3" t="s">
        <v>27</v>
      </c>
      <c r="H34" s="3">
        <v>1</v>
      </c>
      <c r="I34" s="7">
        <v>3.3</v>
      </c>
      <c r="J34" s="7">
        <v>3.3</v>
      </c>
      <c r="K34" s="7">
        <v>1</v>
      </c>
      <c r="L34" s="7">
        <v>3.3</v>
      </c>
      <c r="M34" s="7"/>
      <c r="N34" s="7"/>
      <c r="O34" s="5" t="s">
        <v>30</v>
      </c>
      <c r="P34" s="5" t="s">
        <v>31</v>
      </c>
    </row>
    <row r="35" ht="22.5" customHeight="1" spans="1:16">
      <c r="A35" s="3" t="s">
        <v>137</v>
      </c>
      <c r="B35" s="3" t="s">
        <v>138</v>
      </c>
      <c r="C35" s="3" t="s">
        <v>157</v>
      </c>
      <c r="D35" s="4" t="s">
        <v>41</v>
      </c>
      <c r="E35" s="6">
        <v>46049.8359780093</v>
      </c>
      <c r="F35" s="3" t="s">
        <v>26</v>
      </c>
      <c r="G35" s="3" t="s">
        <v>27</v>
      </c>
      <c r="H35" s="3">
        <v>1</v>
      </c>
      <c r="I35" s="7">
        <v>3.3</v>
      </c>
      <c r="J35" s="7">
        <v>3.3</v>
      </c>
      <c r="K35" s="7">
        <v>1</v>
      </c>
      <c r="L35" s="7">
        <v>3.3</v>
      </c>
      <c r="M35" s="7"/>
      <c r="N35" s="7"/>
      <c r="O35" s="5" t="s">
        <v>30</v>
      </c>
      <c r="P35" s="5" t="s">
        <v>31</v>
      </c>
    </row>
    <row r="36" ht="22.5" customHeight="1" spans="1:16">
      <c r="A36" s="3" t="s">
        <v>137</v>
      </c>
      <c r="B36" s="3" t="s">
        <v>138</v>
      </c>
      <c r="C36" s="3" t="s">
        <v>157</v>
      </c>
      <c r="D36" s="4" t="s">
        <v>41</v>
      </c>
      <c r="E36" s="6">
        <v>46049.8359780093</v>
      </c>
      <c r="F36" s="3" t="s">
        <v>20</v>
      </c>
      <c r="G36" s="3" t="s">
        <v>44</v>
      </c>
      <c r="H36" s="3">
        <v>12</v>
      </c>
      <c r="I36" s="7">
        <v>3.3</v>
      </c>
      <c r="J36" s="7">
        <v>39.6</v>
      </c>
      <c r="K36" s="7">
        <v>12</v>
      </c>
      <c r="L36" s="7">
        <v>39.6</v>
      </c>
      <c r="M36" s="7"/>
      <c r="N36" s="7"/>
      <c r="O36" s="5" t="s">
        <v>30</v>
      </c>
      <c r="P36" s="5" t="s">
        <v>31</v>
      </c>
    </row>
    <row r="37" ht="22.5" customHeight="1" spans="1:16">
      <c r="A37" s="3" t="s">
        <v>137</v>
      </c>
      <c r="B37" s="3" t="s">
        <v>138</v>
      </c>
      <c r="C37" s="3" t="s">
        <v>157</v>
      </c>
      <c r="D37" s="4" t="s">
        <v>41</v>
      </c>
      <c r="E37" s="6">
        <v>46049.8359780093</v>
      </c>
      <c r="F37" s="3" t="s">
        <v>20</v>
      </c>
      <c r="G37" s="3" t="s">
        <v>21</v>
      </c>
      <c r="H37" s="3">
        <v>7</v>
      </c>
      <c r="I37" s="7">
        <v>3.3</v>
      </c>
      <c r="J37" s="7">
        <v>23.1</v>
      </c>
      <c r="K37" s="7">
        <v>7</v>
      </c>
      <c r="L37" s="7">
        <v>23.1</v>
      </c>
      <c r="M37" s="7"/>
      <c r="N37" s="7"/>
      <c r="O37" s="5" t="s">
        <v>30</v>
      </c>
      <c r="P37" s="5" t="s">
        <v>31</v>
      </c>
    </row>
    <row r="38" ht="22.5" customHeight="1" spans="1:16">
      <c r="A38" s="3" t="s">
        <v>137</v>
      </c>
      <c r="B38" s="3" t="s">
        <v>138</v>
      </c>
      <c r="C38" s="3" t="s">
        <v>158</v>
      </c>
      <c r="D38" s="4" t="s">
        <v>41</v>
      </c>
      <c r="E38" s="6">
        <v>46049.8359819097</v>
      </c>
      <c r="F38" s="3" t="s">
        <v>20</v>
      </c>
      <c r="G38" s="3" t="s">
        <v>24</v>
      </c>
      <c r="H38" s="3">
        <v>29</v>
      </c>
      <c r="I38" s="7">
        <v>120</v>
      </c>
      <c r="J38" s="7">
        <v>120</v>
      </c>
      <c r="K38" s="7">
        <v>29</v>
      </c>
      <c r="L38" s="7">
        <v>120</v>
      </c>
      <c r="M38" s="7"/>
      <c r="N38" s="7"/>
      <c r="O38" s="5" t="s">
        <v>30</v>
      </c>
      <c r="P38" s="5" t="s">
        <v>31</v>
      </c>
    </row>
    <row r="39" ht="22.5" customHeight="1" spans="1:16">
      <c r="A39" s="3" t="s">
        <v>137</v>
      </c>
      <c r="B39" s="3" t="s">
        <v>138</v>
      </c>
      <c r="C39" s="3" t="s">
        <v>159</v>
      </c>
      <c r="D39" s="4" t="s">
        <v>33</v>
      </c>
      <c r="E39" s="6">
        <v>46050.8956640046</v>
      </c>
      <c r="F39" s="3" t="s">
        <v>20</v>
      </c>
      <c r="G39" s="3" t="s">
        <v>35</v>
      </c>
      <c r="H39" s="3">
        <v>31</v>
      </c>
      <c r="I39" s="7">
        <v>3.3</v>
      </c>
      <c r="J39" s="7">
        <v>102.3</v>
      </c>
      <c r="K39" s="7">
        <v>31</v>
      </c>
      <c r="L39" s="7">
        <v>102.3</v>
      </c>
      <c r="M39" s="7"/>
      <c r="N39" s="7"/>
      <c r="O39" s="5" t="s">
        <v>30</v>
      </c>
      <c r="P39" s="5" t="s">
        <v>88</v>
      </c>
    </row>
    <row r="40" ht="22.5" customHeight="1" spans="1:16">
      <c r="A40" s="3" t="s">
        <v>137</v>
      </c>
      <c r="B40" s="3" t="s">
        <v>138</v>
      </c>
      <c r="C40" s="3" t="s">
        <v>159</v>
      </c>
      <c r="D40" s="4" t="s">
        <v>33</v>
      </c>
      <c r="E40" s="6">
        <v>46050.8956640046</v>
      </c>
      <c r="F40" s="3" t="s">
        <v>26</v>
      </c>
      <c r="G40" s="3" t="s">
        <v>27</v>
      </c>
      <c r="H40" s="3">
        <v>1</v>
      </c>
      <c r="I40" s="7">
        <v>3.3</v>
      </c>
      <c r="J40" s="7">
        <v>3.3</v>
      </c>
      <c r="K40" s="7">
        <v>1</v>
      </c>
      <c r="L40" s="7">
        <v>3.3</v>
      </c>
      <c r="M40" s="7"/>
      <c r="N40" s="7"/>
      <c r="O40" s="5" t="s">
        <v>30</v>
      </c>
      <c r="P40" s="5" t="s">
        <v>88</v>
      </c>
    </row>
    <row r="41" ht="22.5" customHeight="1" spans="1:16">
      <c r="A41" s="3" t="s">
        <v>137</v>
      </c>
      <c r="B41" s="3" t="s">
        <v>138</v>
      </c>
      <c r="C41" s="3" t="s">
        <v>159</v>
      </c>
      <c r="D41" s="4" t="s">
        <v>33</v>
      </c>
      <c r="E41" s="6">
        <v>46050.8956640046</v>
      </c>
      <c r="F41" s="3" t="s">
        <v>20</v>
      </c>
      <c r="G41" s="3" t="s">
        <v>25</v>
      </c>
      <c r="H41" s="3">
        <v>6</v>
      </c>
      <c r="I41" s="7">
        <v>3.3</v>
      </c>
      <c r="J41" s="7">
        <v>19.8</v>
      </c>
      <c r="K41" s="7">
        <v>6</v>
      </c>
      <c r="L41" s="7">
        <v>19.8</v>
      </c>
      <c r="M41" s="7"/>
      <c r="N41" s="7"/>
      <c r="O41" s="5" t="s">
        <v>30</v>
      </c>
      <c r="P41" s="5" t="s">
        <v>88</v>
      </c>
    </row>
    <row r="42" ht="22.5" customHeight="1" spans="1:16">
      <c r="A42" s="3" t="s">
        <v>137</v>
      </c>
      <c r="B42" s="3" t="s">
        <v>138</v>
      </c>
      <c r="C42" s="3" t="s">
        <v>160</v>
      </c>
      <c r="D42" s="4" t="s">
        <v>33</v>
      </c>
      <c r="E42" s="6">
        <v>46050.895669294</v>
      </c>
      <c r="F42" s="3" t="s">
        <v>26</v>
      </c>
      <c r="G42" s="3" t="s">
        <v>27</v>
      </c>
      <c r="H42" s="3">
        <v>1</v>
      </c>
      <c r="I42" s="7">
        <v>3.3</v>
      </c>
      <c r="J42" s="7">
        <v>3.3</v>
      </c>
      <c r="K42" s="7">
        <v>1</v>
      </c>
      <c r="L42" s="7">
        <v>3.3</v>
      </c>
      <c r="M42" s="7"/>
      <c r="N42" s="7"/>
      <c r="O42" s="5" t="s">
        <v>30</v>
      </c>
      <c r="P42" s="5" t="s">
        <v>88</v>
      </c>
    </row>
    <row r="43" ht="22.5" customHeight="1" spans="1:16">
      <c r="A43" s="3" t="s">
        <v>137</v>
      </c>
      <c r="B43" s="3" t="s">
        <v>138</v>
      </c>
      <c r="C43" s="3" t="s">
        <v>160</v>
      </c>
      <c r="D43" s="4" t="s">
        <v>33</v>
      </c>
      <c r="E43" s="6">
        <v>46050.895669294</v>
      </c>
      <c r="F43" s="3" t="s">
        <v>20</v>
      </c>
      <c r="G43" s="3" t="s">
        <v>24</v>
      </c>
      <c r="H43" s="3">
        <v>204</v>
      </c>
      <c r="I43" s="7">
        <v>120</v>
      </c>
      <c r="J43" s="7">
        <v>120</v>
      </c>
      <c r="K43" s="7">
        <v>204</v>
      </c>
      <c r="L43" s="7">
        <v>120</v>
      </c>
      <c r="M43" s="7"/>
      <c r="N43" s="7"/>
      <c r="O43" s="5" t="s">
        <v>30</v>
      </c>
      <c r="P43" s="5" t="s">
        <v>88</v>
      </c>
    </row>
    <row r="44" ht="22.5" customHeight="1" spans="1:16">
      <c r="A44" s="3" t="s">
        <v>137</v>
      </c>
      <c r="B44" s="3" t="s">
        <v>138</v>
      </c>
      <c r="C44" s="3" t="s">
        <v>65</v>
      </c>
      <c r="D44" s="4" t="s">
        <v>33</v>
      </c>
      <c r="E44" s="6">
        <v>46058.5693908912</v>
      </c>
      <c r="F44" s="3" t="s">
        <v>20</v>
      </c>
      <c r="G44" s="3" t="s">
        <v>21</v>
      </c>
      <c r="H44" s="3">
        <v>5</v>
      </c>
      <c r="I44" s="7">
        <v>3.3</v>
      </c>
      <c r="J44" s="7">
        <v>16.5</v>
      </c>
      <c r="K44" s="7">
        <v>5</v>
      </c>
      <c r="L44" s="7">
        <v>16.5</v>
      </c>
      <c r="M44" s="7"/>
      <c r="N44" s="7"/>
      <c r="O44" s="7" t="s">
        <v>30</v>
      </c>
      <c r="P44" s="5" t="s">
        <v>31</v>
      </c>
    </row>
    <row r="45" ht="22.5" customHeight="1" spans="1:16">
      <c r="A45" s="3" t="s">
        <v>137</v>
      </c>
      <c r="B45" s="3" t="s">
        <v>138</v>
      </c>
      <c r="C45" s="3" t="s">
        <v>166</v>
      </c>
      <c r="D45" s="4" t="s">
        <v>111</v>
      </c>
      <c r="E45" s="4">
        <v>46061.4484961806</v>
      </c>
      <c r="F45" s="3" t="s">
        <v>26</v>
      </c>
      <c r="G45" s="3" t="s">
        <v>27</v>
      </c>
      <c r="H45" s="3">
        <v>1</v>
      </c>
      <c r="I45" s="7">
        <v>3.3</v>
      </c>
      <c r="J45" s="7">
        <v>3.3</v>
      </c>
      <c r="K45" s="7">
        <v>1</v>
      </c>
      <c r="L45" s="7">
        <v>3.3</v>
      </c>
      <c r="M45" s="7"/>
      <c r="N45" s="7"/>
      <c r="O45" s="5" t="s">
        <v>30</v>
      </c>
      <c r="P45" s="5" t="s">
        <v>34</v>
      </c>
    </row>
    <row r="46" ht="22.5" customHeight="1" spans="1:16">
      <c r="A46" s="3" t="s">
        <v>137</v>
      </c>
      <c r="B46" s="3" t="s">
        <v>138</v>
      </c>
      <c r="C46" s="3" t="s">
        <v>166</v>
      </c>
      <c r="D46" s="4" t="s">
        <v>111</v>
      </c>
      <c r="E46" s="4">
        <v>46061.4484961806</v>
      </c>
      <c r="F46" s="3" t="s">
        <v>20</v>
      </c>
      <c r="G46" s="3" t="s">
        <v>25</v>
      </c>
      <c r="H46" s="3">
        <v>7</v>
      </c>
      <c r="I46" s="7">
        <v>3.3</v>
      </c>
      <c r="J46" s="7">
        <v>23.1</v>
      </c>
      <c r="K46" s="7">
        <v>7</v>
      </c>
      <c r="L46" s="7">
        <v>23.1</v>
      </c>
      <c r="M46" s="7"/>
      <c r="N46" s="7"/>
      <c r="O46" s="5" t="s">
        <v>30</v>
      </c>
      <c r="P46" s="5" t="s">
        <v>34</v>
      </c>
    </row>
    <row r="47" ht="22.5" customHeight="1" spans="1:16">
      <c r="A47" s="3" t="s">
        <v>137</v>
      </c>
      <c r="B47" s="3" t="s">
        <v>138</v>
      </c>
      <c r="C47" s="3" t="s">
        <v>166</v>
      </c>
      <c r="D47" s="4" t="s">
        <v>111</v>
      </c>
      <c r="E47" s="4">
        <v>46061.4484961806</v>
      </c>
      <c r="F47" s="3" t="s">
        <v>20</v>
      </c>
      <c r="G47" s="3" t="s">
        <v>24</v>
      </c>
      <c r="H47" s="3">
        <v>221</v>
      </c>
      <c r="I47" s="7">
        <v>120</v>
      </c>
      <c r="J47" s="7">
        <v>120</v>
      </c>
      <c r="K47" s="7">
        <v>213</v>
      </c>
      <c r="L47" s="7">
        <v>120</v>
      </c>
      <c r="M47" s="7">
        <v>8</v>
      </c>
      <c r="N47" s="7">
        <v>0</v>
      </c>
      <c r="O47" s="5" t="s">
        <v>30</v>
      </c>
      <c r="P47" s="5" t="s">
        <v>34</v>
      </c>
    </row>
    <row r="48" ht="22.5" customHeight="1" spans="1:16">
      <c r="A48" s="3" t="s">
        <v>137</v>
      </c>
      <c r="B48" s="3" t="s">
        <v>138</v>
      </c>
      <c r="C48" s="3" t="s">
        <v>166</v>
      </c>
      <c r="D48" s="4" t="s">
        <v>111</v>
      </c>
      <c r="E48" s="4">
        <v>46061.4484961806</v>
      </c>
      <c r="F48" s="3" t="s">
        <v>20</v>
      </c>
      <c r="G48" s="3" t="s">
        <v>21</v>
      </c>
      <c r="H48" s="3">
        <v>25</v>
      </c>
      <c r="I48" s="7">
        <v>3.3</v>
      </c>
      <c r="J48" s="7">
        <v>82.5</v>
      </c>
      <c r="K48" s="7">
        <v>25</v>
      </c>
      <c r="L48" s="7">
        <v>82.5</v>
      </c>
      <c r="M48" s="7"/>
      <c r="N48" s="7"/>
      <c r="O48" s="5" t="s">
        <v>30</v>
      </c>
      <c r="P48" s="5" t="s">
        <v>34</v>
      </c>
    </row>
    <row r="49" ht="22.5" customHeight="1" spans="1:16">
      <c r="A49" s="3" t="s">
        <v>137</v>
      </c>
      <c r="B49" s="3" t="s">
        <v>138</v>
      </c>
      <c r="C49" s="3" t="s">
        <v>167</v>
      </c>
      <c r="D49" s="4" t="s">
        <v>33</v>
      </c>
      <c r="E49" s="6">
        <v>46066.4157261921</v>
      </c>
      <c r="F49" s="3" t="s">
        <v>26</v>
      </c>
      <c r="G49" s="3" t="s">
        <v>27</v>
      </c>
      <c r="H49" s="3">
        <v>1</v>
      </c>
      <c r="I49" s="7">
        <v>3.3</v>
      </c>
      <c r="J49" s="7">
        <v>3.3</v>
      </c>
      <c r="K49" s="7"/>
      <c r="L49" s="7"/>
      <c r="M49" s="7">
        <v>1</v>
      </c>
      <c r="N49" s="7">
        <v>3.3</v>
      </c>
      <c r="O49" s="5" t="s">
        <v>30</v>
      </c>
      <c r="P49" s="5" t="s">
        <v>31</v>
      </c>
    </row>
    <row r="50" ht="22.5" customHeight="1" spans="1:16">
      <c r="A50" s="3" t="s">
        <v>137</v>
      </c>
      <c r="B50" s="3" t="s">
        <v>138</v>
      </c>
      <c r="C50" s="3" t="s">
        <v>167</v>
      </c>
      <c r="D50" s="4" t="s">
        <v>33</v>
      </c>
      <c r="E50" s="6">
        <v>46066.4157261921</v>
      </c>
      <c r="F50" s="3" t="s">
        <v>20</v>
      </c>
      <c r="G50" s="3" t="s">
        <v>21</v>
      </c>
      <c r="H50" s="3">
        <v>29</v>
      </c>
      <c r="I50" s="7">
        <v>3.3</v>
      </c>
      <c r="J50" s="7">
        <v>95.7</v>
      </c>
      <c r="K50" s="7">
        <v>29</v>
      </c>
      <c r="L50" s="7">
        <v>95.7</v>
      </c>
      <c r="M50" s="7"/>
      <c r="N50" s="7"/>
      <c r="O50" s="5" t="s">
        <v>30</v>
      </c>
      <c r="P50" s="5" t="s">
        <v>31</v>
      </c>
    </row>
    <row r="51" ht="22.5" customHeight="1" spans="1:16">
      <c r="A51" s="3" t="s">
        <v>137</v>
      </c>
      <c r="B51" s="3" t="s">
        <v>138</v>
      </c>
      <c r="C51" s="3" t="s">
        <v>168</v>
      </c>
      <c r="D51" s="4" t="s">
        <v>33</v>
      </c>
      <c r="E51" s="6">
        <v>46066.415728206</v>
      </c>
      <c r="F51" s="3" t="s">
        <v>20</v>
      </c>
      <c r="G51" s="3" t="s">
        <v>25</v>
      </c>
      <c r="H51" s="3">
        <v>13</v>
      </c>
      <c r="I51" s="7">
        <v>3.3</v>
      </c>
      <c r="J51" s="7">
        <v>42.9</v>
      </c>
      <c r="K51" s="7">
        <v>13</v>
      </c>
      <c r="L51" s="7">
        <v>42.9</v>
      </c>
      <c r="M51" s="7"/>
      <c r="N51" s="7"/>
      <c r="O51" s="5" t="s">
        <v>30</v>
      </c>
      <c r="P51" s="5" t="s">
        <v>31</v>
      </c>
    </row>
    <row r="52" ht="22.5" customHeight="1" spans="1:16">
      <c r="A52" s="3" t="s">
        <v>137</v>
      </c>
      <c r="B52" s="3" t="s">
        <v>138</v>
      </c>
      <c r="C52" s="3" t="s">
        <v>168</v>
      </c>
      <c r="D52" s="4" t="s">
        <v>33</v>
      </c>
      <c r="E52" s="6">
        <v>46066.415728206</v>
      </c>
      <c r="F52" s="3" t="s">
        <v>20</v>
      </c>
      <c r="G52" s="3" t="s">
        <v>24</v>
      </c>
      <c r="H52" s="3">
        <v>71</v>
      </c>
      <c r="I52" s="7">
        <v>120</v>
      </c>
      <c r="J52" s="7">
        <v>120</v>
      </c>
      <c r="K52" s="7">
        <v>71</v>
      </c>
      <c r="L52" s="7">
        <v>120</v>
      </c>
      <c r="M52" s="7"/>
      <c r="N52" s="7"/>
      <c r="O52" s="5" t="s">
        <v>30</v>
      </c>
      <c r="P52" s="5" t="s">
        <v>31</v>
      </c>
    </row>
    <row r="53" ht="22.5" customHeight="1" spans="1:16">
      <c r="A53" s="3" t="s">
        <v>137</v>
      </c>
      <c r="B53" s="3" t="s">
        <v>138</v>
      </c>
      <c r="C53" s="3" t="s">
        <v>168</v>
      </c>
      <c r="D53" s="4" t="s">
        <v>33</v>
      </c>
      <c r="E53" s="6">
        <v>46066.415728206</v>
      </c>
      <c r="F53" s="3" t="s">
        <v>20</v>
      </c>
      <c r="G53" s="3" t="s">
        <v>21</v>
      </c>
      <c r="H53" s="3">
        <v>10</v>
      </c>
      <c r="I53" s="7">
        <v>3.3</v>
      </c>
      <c r="J53" s="7">
        <v>33</v>
      </c>
      <c r="K53" s="7">
        <v>10</v>
      </c>
      <c r="L53" s="7">
        <v>33</v>
      </c>
      <c r="M53" s="7"/>
      <c r="N53" s="7"/>
      <c r="O53" s="5" t="s">
        <v>30</v>
      </c>
      <c r="P53" s="5" t="s">
        <v>31</v>
      </c>
    </row>
    <row r="54" ht="22.5" customHeight="1" spans="1:16">
      <c r="A54" s="3" t="s">
        <v>137</v>
      </c>
      <c r="B54" s="3" t="s">
        <v>138</v>
      </c>
      <c r="C54" s="3" t="s">
        <v>168</v>
      </c>
      <c r="D54" s="4" t="s">
        <v>33</v>
      </c>
      <c r="E54" s="6">
        <v>46066.415728206</v>
      </c>
      <c r="F54" s="3" t="s">
        <v>26</v>
      </c>
      <c r="G54" s="3" t="s">
        <v>27</v>
      </c>
      <c r="H54" s="3">
        <v>1</v>
      </c>
      <c r="I54" s="7">
        <v>3.3</v>
      </c>
      <c r="J54" s="7">
        <v>3.3</v>
      </c>
      <c r="K54" s="7">
        <v>1</v>
      </c>
      <c r="L54" s="7">
        <v>3.3</v>
      </c>
      <c r="M54" s="7"/>
      <c r="N54" s="7"/>
      <c r="O54" s="5" t="s">
        <v>30</v>
      </c>
      <c r="P54" s="5" t="s">
        <v>31</v>
      </c>
    </row>
    <row r="55" ht="22.5" customHeight="1" spans="1:16">
      <c r="A55" s="3" t="s">
        <v>137</v>
      </c>
      <c r="B55" s="3" t="s">
        <v>138</v>
      </c>
      <c r="C55" s="3" t="s">
        <v>169</v>
      </c>
      <c r="D55" s="4" t="s">
        <v>170</v>
      </c>
      <c r="E55" s="6">
        <v>46067.4858591435</v>
      </c>
      <c r="F55" s="3" t="s">
        <v>26</v>
      </c>
      <c r="G55" s="3" t="s">
        <v>27</v>
      </c>
      <c r="H55" s="3">
        <v>1</v>
      </c>
      <c r="I55" s="7">
        <v>3.3</v>
      </c>
      <c r="J55" s="7">
        <v>3.3</v>
      </c>
      <c r="K55" s="7">
        <v>1</v>
      </c>
      <c r="L55" s="7">
        <v>3.3</v>
      </c>
      <c r="M55" s="7"/>
      <c r="N55" s="7"/>
      <c r="O55" s="5" t="s">
        <v>30</v>
      </c>
      <c r="P55" s="5" t="s">
        <v>171</v>
      </c>
    </row>
    <row r="56" ht="22.5" customHeight="1" spans="1:16">
      <c r="A56" s="3" t="s">
        <v>137</v>
      </c>
      <c r="B56" s="3" t="s">
        <v>138</v>
      </c>
      <c r="C56" s="3" t="s">
        <v>169</v>
      </c>
      <c r="D56" s="4" t="s">
        <v>170</v>
      </c>
      <c r="E56" s="6">
        <v>46067.4858591435</v>
      </c>
      <c r="F56" s="3" t="s">
        <v>20</v>
      </c>
      <c r="G56" s="3" t="s">
        <v>66</v>
      </c>
      <c r="H56" s="3">
        <v>40</v>
      </c>
      <c r="I56" s="7">
        <v>3.3</v>
      </c>
      <c r="J56" s="7">
        <v>132</v>
      </c>
      <c r="K56" s="7">
        <v>40</v>
      </c>
      <c r="L56" s="7">
        <v>132</v>
      </c>
      <c r="M56" s="7"/>
      <c r="N56" s="7"/>
      <c r="O56" s="5" t="s">
        <v>30</v>
      </c>
      <c r="P56" s="5" t="s">
        <v>171</v>
      </c>
    </row>
    <row r="57" ht="22.5" customHeight="1" spans="1:16">
      <c r="A57" s="3" t="s">
        <v>137</v>
      </c>
      <c r="B57" s="3" t="s">
        <v>138</v>
      </c>
      <c r="C57" s="3" t="s">
        <v>172</v>
      </c>
      <c r="D57" s="4" t="s">
        <v>170</v>
      </c>
      <c r="E57" s="6">
        <v>46067.4858622685</v>
      </c>
      <c r="F57" s="3" t="s">
        <v>20</v>
      </c>
      <c r="G57" s="3" t="s">
        <v>66</v>
      </c>
      <c r="H57" s="3">
        <v>9</v>
      </c>
      <c r="I57" s="7">
        <v>3.3</v>
      </c>
      <c r="J57" s="7">
        <v>29.7</v>
      </c>
      <c r="K57" s="7">
        <v>9</v>
      </c>
      <c r="L57" s="7">
        <v>29.7</v>
      </c>
      <c r="M57" s="7"/>
      <c r="N57" s="7"/>
      <c r="O57" s="5" t="s">
        <v>30</v>
      </c>
      <c r="P57" s="5" t="s">
        <v>171</v>
      </c>
    </row>
    <row r="58" ht="22.5" customHeight="1" spans="1:16">
      <c r="A58" s="3" t="s">
        <v>137</v>
      </c>
      <c r="B58" s="3" t="s">
        <v>138</v>
      </c>
      <c r="C58" s="3" t="s">
        <v>172</v>
      </c>
      <c r="D58" s="4" t="s">
        <v>170</v>
      </c>
      <c r="E58" s="6">
        <v>46067.4858622685</v>
      </c>
      <c r="F58" s="3" t="s">
        <v>26</v>
      </c>
      <c r="G58" s="3" t="s">
        <v>27</v>
      </c>
      <c r="H58" s="3">
        <v>1</v>
      </c>
      <c r="I58" s="7">
        <v>3.3</v>
      </c>
      <c r="J58" s="7">
        <v>3.3</v>
      </c>
      <c r="K58" s="7">
        <v>1</v>
      </c>
      <c r="L58" s="7">
        <v>3.3</v>
      </c>
      <c r="M58" s="7"/>
      <c r="N58" s="7"/>
      <c r="O58" s="5" t="s">
        <v>30</v>
      </c>
      <c r="P58" s="5" t="s">
        <v>171</v>
      </c>
    </row>
    <row r="59" ht="22.5" customHeight="1" spans="1:16">
      <c r="A59" s="3" t="s">
        <v>137</v>
      </c>
      <c r="B59" s="3" t="s">
        <v>138</v>
      </c>
      <c r="C59" s="3" t="s">
        <v>173</v>
      </c>
      <c r="D59" s="4" t="s">
        <v>170</v>
      </c>
      <c r="E59" s="6">
        <v>46067.4858649653</v>
      </c>
      <c r="F59" s="3" t="s">
        <v>26</v>
      </c>
      <c r="G59" s="3" t="s">
        <v>27</v>
      </c>
      <c r="H59" s="3">
        <v>1</v>
      </c>
      <c r="I59" s="7">
        <v>3.3</v>
      </c>
      <c r="J59" s="7">
        <v>3.3</v>
      </c>
      <c r="K59" s="7">
        <v>1</v>
      </c>
      <c r="L59" s="7">
        <v>3.3</v>
      </c>
      <c r="M59" s="7"/>
      <c r="N59" s="7"/>
      <c r="O59" s="5" t="s">
        <v>30</v>
      </c>
      <c r="P59" s="5" t="s">
        <v>171</v>
      </c>
    </row>
    <row r="60" ht="22.5" customHeight="1" spans="1:16">
      <c r="A60" s="3" t="s">
        <v>137</v>
      </c>
      <c r="B60" s="3" t="s">
        <v>138</v>
      </c>
      <c r="C60" s="3" t="s">
        <v>173</v>
      </c>
      <c r="D60" s="4" t="s">
        <v>170</v>
      </c>
      <c r="E60" s="6">
        <v>46067.4858649653</v>
      </c>
      <c r="F60" s="3" t="s">
        <v>20</v>
      </c>
      <c r="G60" s="3" t="s">
        <v>24</v>
      </c>
      <c r="H60" s="15">
        <v>96</v>
      </c>
      <c r="I60" s="7">
        <v>120</v>
      </c>
      <c r="J60" s="7">
        <v>120</v>
      </c>
      <c r="K60" s="7">
        <v>96</v>
      </c>
      <c r="L60" s="7">
        <v>120</v>
      </c>
      <c r="M60" s="7"/>
      <c r="N60" s="7"/>
      <c r="O60" s="5" t="s">
        <v>30</v>
      </c>
      <c r="P60" s="5" t="s">
        <v>171</v>
      </c>
    </row>
    <row r="61" ht="22.5" customHeight="1" spans="1:16">
      <c r="A61" s="3" t="s">
        <v>137</v>
      </c>
      <c r="B61" s="3" t="s">
        <v>138</v>
      </c>
      <c r="C61" s="3" t="s">
        <v>174</v>
      </c>
      <c r="D61" s="4" t="s">
        <v>170</v>
      </c>
      <c r="E61" s="6">
        <v>46067.6765466782</v>
      </c>
      <c r="F61" s="3" t="s">
        <v>20</v>
      </c>
      <c r="G61" s="3" t="s">
        <v>21</v>
      </c>
      <c r="H61" s="3">
        <v>5</v>
      </c>
      <c r="I61" s="7">
        <v>3.3</v>
      </c>
      <c r="J61" s="7">
        <v>16.5</v>
      </c>
      <c r="K61" s="7">
        <v>5</v>
      </c>
      <c r="L61" s="7">
        <v>16.5</v>
      </c>
      <c r="M61" s="7"/>
      <c r="N61" s="7"/>
      <c r="O61" s="5" t="s">
        <v>30</v>
      </c>
      <c r="P61" s="5" t="s">
        <v>171</v>
      </c>
    </row>
    <row r="62" ht="22.5" customHeight="1" spans="1:16">
      <c r="A62" s="3" t="s">
        <v>137</v>
      </c>
      <c r="B62" s="3" t="s">
        <v>138</v>
      </c>
      <c r="C62" s="3" t="s">
        <v>174</v>
      </c>
      <c r="D62" s="4" t="s">
        <v>170</v>
      </c>
      <c r="E62" s="6">
        <v>46067.6765466782</v>
      </c>
      <c r="F62" s="3" t="s">
        <v>26</v>
      </c>
      <c r="G62" s="3" t="s">
        <v>27</v>
      </c>
      <c r="H62" s="3">
        <v>1</v>
      </c>
      <c r="I62" s="7">
        <v>3.3</v>
      </c>
      <c r="J62" s="7">
        <v>3.3</v>
      </c>
      <c r="K62" s="7">
        <v>1</v>
      </c>
      <c r="L62" s="7">
        <v>3.3</v>
      </c>
      <c r="M62" s="7"/>
      <c r="N62" s="7"/>
      <c r="O62" s="5" t="s">
        <v>30</v>
      </c>
      <c r="P62" s="5" t="s">
        <v>171</v>
      </c>
    </row>
    <row r="63" ht="22.5" customHeight="1" spans="1:16">
      <c r="A63" s="3" t="s">
        <v>137</v>
      </c>
      <c r="B63" s="3" t="s">
        <v>138</v>
      </c>
      <c r="C63" s="3" t="s">
        <v>175</v>
      </c>
      <c r="D63" s="4" t="s">
        <v>135</v>
      </c>
      <c r="E63" s="6">
        <v>46068.4568937153</v>
      </c>
      <c r="F63" s="3" t="s">
        <v>20</v>
      </c>
      <c r="G63" s="3" t="s">
        <v>25</v>
      </c>
      <c r="H63" s="3">
        <v>5</v>
      </c>
      <c r="I63" s="7">
        <v>3.3</v>
      </c>
      <c r="J63" s="7">
        <v>16.5</v>
      </c>
      <c r="K63" s="7">
        <v>5</v>
      </c>
      <c r="L63" s="7">
        <v>16.5</v>
      </c>
      <c r="M63" s="7"/>
      <c r="N63" s="7"/>
      <c r="O63" s="5" t="s">
        <v>30</v>
      </c>
      <c r="P63" s="5" t="s">
        <v>34</v>
      </c>
    </row>
    <row r="64" ht="22.5" customHeight="1" spans="1:16">
      <c r="A64" s="3" t="s">
        <v>137</v>
      </c>
      <c r="B64" s="3" t="s">
        <v>138</v>
      </c>
      <c r="C64" s="3" t="s">
        <v>175</v>
      </c>
      <c r="D64" s="4" t="s">
        <v>135</v>
      </c>
      <c r="E64" s="6">
        <v>46068.4568937153</v>
      </c>
      <c r="F64" s="3" t="s">
        <v>20</v>
      </c>
      <c r="G64" s="3" t="s">
        <v>24</v>
      </c>
      <c r="H64" s="15">
        <v>72</v>
      </c>
      <c r="I64" s="7">
        <v>120</v>
      </c>
      <c r="J64" s="7">
        <v>120</v>
      </c>
      <c r="K64" s="7">
        <v>72</v>
      </c>
      <c r="L64" s="7">
        <v>120</v>
      </c>
      <c r="M64" s="7"/>
      <c r="N64" s="7"/>
      <c r="O64" s="5" t="s">
        <v>30</v>
      </c>
      <c r="P64" s="5" t="s">
        <v>34</v>
      </c>
    </row>
    <row r="65" ht="22.5" customHeight="1" spans="1:16">
      <c r="A65" s="3" t="s">
        <v>137</v>
      </c>
      <c r="B65" s="3" t="s">
        <v>138</v>
      </c>
      <c r="C65" s="3" t="s">
        <v>175</v>
      </c>
      <c r="D65" s="4" t="s">
        <v>135</v>
      </c>
      <c r="E65" s="6">
        <v>46068.4568937153</v>
      </c>
      <c r="F65" s="3" t="s">
        <v>20</v>
      </c>
      <c r="G65" s="3" t="s">
        <v>21</v>
      </c>
      <c r="H65" s="3">
        <v>11</v>
      </c>
      <c r="I65" s="7">
        <v>3.3</v>
      </c>
      <c r="J65" s="7">
        <v>36.3</v>
      </c>
      <c r="K65" s="7">
        <v>11</v>
      </c>
      <c r="L65" s="7">
        <v>36.3</v>
      </c>
      <c r="M65" s="7"/>
      <c r="N65" s="7"/>
      <c r="O65" s="5" t="s">
        <v>30</v>
      </c>
      <c r="P65" s="5" t="s">
        <v>34</v>
      </c>
    </row>
    <row r="66" ht="22.5" customHeight="1" spans="1:16">
      <c r="A66" s="3" t="s">
        <v>137</v>
      </c>
      <c r="B66" s="3" t="s">
        <v>138</v>
      </c>
      <c r="C66" s="3" t="s">
        <v>175</v>
      </c>
      <c r="D66" s="4" t="s">
        <v>135</v>
      </c>
      <c r="E66" s="6">
        <v>46068.4568937153</v>
      </c>
      <c r="F66" s="3" t="s">
        <v>26</v>
      </c>
      <c r="G66" s="3" t="s">
        <v>27</v>
      </c>
      <c r="H66" s="3">
        <v>1</v>
      </c>
      <c r="I66" s="7">
        <v>3.3</v>
      </c>
      <c r="J66" s="7">
        <v>3.3</v>
      </c>
      <c r="K66" s="7">
        <v>1</v>
      </c>
      <c r="L66" s="7">
        <v>3.3</v>
      </c>
      <c r="M66" s="7"/>
      <c r="N66" s="7"/>
      <c r="O66" s="5" t="s">
        <v>30</v>
      </c>
      <c r="P66" s="5" t="s">
        <v>34</v>
      </c>
    </row>
    <row r="67" ht="22.5" customHeight="1" spans="1:16">
      <c r="A67" s="5"/>
      <c r="B67" s="5"/>
      <c r="C67" s="5" t="s">
        <v>97</v>
      </c>
      <c r="D67" s="5"/>
      <c r="E67" s="5"/>
      <c r="F67" s="5"/>
      <c r="G67" s="5"/>
      <c r="H67" s="5"/>
      <c r="I67" s="5"/>
      <c r="J67" s="5"/>
      <c r="K67" s="5"/>
      <c r="L67" s="5">
        <v>2820.6</v>
      </c>
      <c r="M67" s="5"/>
      <c r="N67" s="5">
        <v>3.3</v>
      </c>
      <c r="O67" s="5"/>
      <c r="P67" s="5"/>
    </row>
    <row r="68" ht="22.5" customHeight="1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ht="22.5" customHeight="1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ht="22.5" customHeight="1" spans="1:1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ht="22.5" customHeight="1" spans="1:1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ht="22.5" customHeight="1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ht="22.5" customHeight="1" spans="1:1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ht="22.5" customHeight="1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ht="22.5" customHeight="1" spans="1:1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</sheetData>
  <pageMargins left="0.251388888888889" right="0.251388888888889" top="0.751388888888889" bottom="0.751388888888889" header="0.298611111111111" footer="0.298611111111111"/>
  <pageSetup paperSize="9" scale="63" orientation="landscape" horizontalDpi="600"/>
  <headerFooter>
    <oddFooter>&amp;C第 &amp;P 页，共 &amp;N 页</oddFooter>
  </headerFooter>
  <rowBreaks count="1" manualBreakCount="1">
    <brk id="3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view="pageBreakPreview" zoomScaleNormal="100" workbookViewId="0">
      <selection activeCell="M1" sqref="M$1:N$1048576"/>
    </sheetView>
  </sheetViews>
  <sheetFormatPr defaultColWidth="9" defaultRowHeight="13.5"/>
  <cols>
    <col min="1" max="1" width="27.0083333333333" customWidth="1"/>
    <col min="2" max="2" width="20.675" customWidth="1"/>
    <col min="3" max="3" width="23.0083333333333" customWidth="1"/>
    <col min="4" max="4" width="14.0083333333333" customWidth="1"/>
    <col min="5" max="6" width="10.3416666666667" customWidth="1"/>
    <col min="7" max="7" width="13.0083333333333" customWidth="1"/>
    <col min="8" max="8" width="10.3416666666667" customWidth="1"/>
    <col min="9" max="9" width="6.675" customWidth="1"/>
    <col min="10" max="10" width="7.34166666666667" hidden="1" customWidth="1"/>
    <col min="11" max="12" width="15.8416666666667" customWidth="1"/>
    <col min="13" max="14" width="14.0083333333333" hidden="1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2" t="s">
        <v>14</v>
      </c>
      <c r="P1" s="2" t="s">
        <v>15</v>
      </c>
    </row>
    <row r="2" ht="18.5" customHeight="1" spans="1:16">
      <c r="A2" s="3" t="s">
        <v>137</v>
      </c>
      <c r="B2" s="3" t="s">
        <v>138</v>
      </c>
      <c r="C2" s="3" t="s">
        <v>161</v>
      </c>
      <c r="D2" s="4" t="s">
        <v>41</v>
      </c>
      <c r="E2" s="6">
        <v>46057.6604537384</v>
      </c>
      <c r="F2" s="3" t="s">
        <v>20</v>
      </c>
      <c r="G2" s="3" t="s">
        <v>21</v>
      </c>
      <c r="H2" s="3">
        <v>47</v>
      </c>
      <c r="I2" s="7">
        <v>3.3</v>
      </c>
      <c r="J2" s="7">
        <v>155.1</v>
      </c>
      <c r="K2" s="7">
        <v>47</v>
      </c>
      <c r="L2" s="7">
        <v>155.1</v>
      </c>
      <c r="M2" s="7"/>
      <c r="N2" s="7"/>
      <c r="O2" s="5" t="s">
        <v>63</v>
      </c>
      <c r="P2" s="5" t="s">
        <v>64</v>
      </c>
    </row>
    <row r="3" ht="18.5" customHeight="1" spans="1:16">
      <c r="A3" s="3" t="s">
        <v>137</v>
      </c>
      <c r="B3" s="3" t="s">
        <v>138</v>
      </c>
      <c r="C3" s="3" t="s">
        <v>161</v>
      </c>
      <c r="D3" s="4" t="s">
        <v>41</v>
      </c>
      <c r="E3" s="6">
        <v>46057.6604537384</v>
      </c>
      <c r="F3" s="3" t="s">
        <v>26</v>
      </c>
      <c r="G3" s="3" t="s">
        <v>27</v>
      </c>
      <c r="H3" s="3">
        <v>1</v>
      </c>
      <c r="I3" s="7">
        <v>3.3</v>
      </c>
      <c r="J3" s="7">
        <v>3.3</v>
      </c>
      <c r="K3" s="7">
        <v>1</v>
      </c>
      <c r="L3" s="7">
        <v>3.3</v>
      </c>
      <c r="M3" s="7"/>
      <c r="N3" s="7"/>
      <c r="O3" s="5" t="s">
        <v>63</v>
      </c>
      <c r="P3" s="5" t="s">
        <v>64</v>
      </c>
    </row>
    <row r="4" ht="18.5" customHeight="1" spans="1:16">
      <c r="A4" s="3" t="s">
        <v>137</v>
      </c>
      <c r="B4" s="3" t="s">
        <v>138</v>
      </c>
      <c r="C4" s="3" t="s">
        <v>162</v>
      </c>
      <c r="D4" s="4" t="s">
        <v>41</v>
      </c>
      <c r="E4" s="6">
        <v>46057.6604562847</v>
      </c>
      <c r="F4" s="3" t="s">
        <v>26</v>
      </c>
      <c r="G4" s="3" t="s">
        <v>27</v>
      </c>
      <c r="H4" s="3">
        <v>1</v>
      </c>
      <c r="I4" s="7">
        <v>3.3</v>
      </c>
      <c r="J4" s="7">
        <v>3.3</v>
      </c>
      <c r="K4" s="7">
        <v>1</v>
      </c>
      <c r="L4" s="7">
        <v>3.3</v>
      </c>
      <c r="M4" s="7"/>
      <c r="N4" s="7"/>
      <c r="O4" s="5" t="s">
        <v>63</v>
      </c>
      <c r="P4" s="5" t="s">
        <v>64</v>
      </c>
    </row>
    <row r="5" ht="18.5" customHeight="1" spans="1:16">
      <c r="A5" s="3" t="s">
        <v>137</v>
      </c>
      <c r="B5" s="3" t="s">
        <v>138</v>
      </c>
      <c r="C5" s="3" t="s">
        <v>162</v>
      </c>
      <c r="D5" s="4" t="s">
        <v>41</v>
      </c>
      <c r="E5" s="6">
        <v>46057.6604562847</v>
      </c>
      <c r="F5" s="3" t="s">
        <v>20</v>
      </c>
      <c r="G5" s="3" t="s">
        <v>24</v>
      </c>
      <c r="H5" s="3">
        <v>41</v>
      </c>
      <c r="I5" s="7">
        <v>120</v>
      </c>
      <c r="J5" s="7">
        <v>120</v>
      </c>
      <c r="K5" s="7">
        <v>41</v>
      </c>
      <c r="L5" s="7">
        <v>120</v>
      </c>
      <c r="M5" s="7"/>
      <c r="N5" s="7"/>
      <c r="O5" s="5" t="s">
        <v>63</v>
      </c>
      <c r="P5" s="5" t="s">
        <v>64</v>
      </c>
    </row>
    <row r="6" ht="18.5" customHeight="1" spans="1:16">
      <c r="A6" s="3" t="s">
        <v>137</v>
      </c>
      <c r="B6" s="3" t="s">
        <v>138</v>
      </c>
      <c r="C6" s="3" t="s">
        <v>163</v>
      </c>
      <c r="D6" s="4" t="s">
        <v>164</v>
      </c>
      <c r="E6" s="6">
        <v>46058.801288044</v>
      </c>
      <c r="F6" s="3" t="s">
        <v>20</v>
      </c>
      <c r="G6" s="3" t="s">
        <v>25</v>
      </c>
      <c r="H6" s="3">
        <v>5</v>
      </c>
      <c r="I6" s="7">
        <v>3.3</v>
      </c>
      <c r="J6" s="7">
        <v>16.5</v>
      </c>
      <c r="K6" s="7">
        <v>5</v>
      </c>
      <c r="L6" s="7">
        <v>16.5</v>
      </c>
      <c r="M6" s="7"/>
      <c r="N6" s="7"/>
      <c r="O6" s="7" t="s">
        <v>63</v>
      </c>
      <c r="P6" s="5" t="s">
        <v>64</v>
      </c>
    </row>
    <row r="7" ht="18.5" customHeight="1" spans="1:16">
      <c r="A7" s="3" t="s">
        <v>137</v>
      </c>
      <c r="B7" s="3" t="s">
        <v>138</v>
      </c>
      <c r="C7" s="3" t="s">
        <v>163</v>
      </c>
      <c r="D7" s="4" t="s">
        <v>164</v>
      </c>
      <c r="E7" s="6">
        <v>46058.801288044</v>
      </c>
      <c r="F7" s="3" t="s">
        <v>26</v>
      </c>
      <c r="G7" s="3" t="s">
        <v>27</v>
      </c>
      <c r="H7" s="3">
        <v>1</v>
      </c>
      <c r="I7" s="7">
        <v>3.3</v>
      </c>
      <c r="J7" s="7">
        <v>3.3</v>
      </c>
      <c r="K7" s="7">
        <v>1</v>
      </c>
      <c r="L7" s="7">
        <v>3.3</v>
      </c>
      <c r="M7" s="7"/>
      <c r="N7" s="7"/>
      <c r="O7" s="7" t="s">
        <v>63</v>
      </c>
      <c r="P7" s="5" t="s">
        <v>64</v>
      </c>
    </row>
    <row r="8" ht="18.5" customHeight="1" spans="1:16">
      <c r="A8" s="3" t="s">
        <v>137</v>
      </c>
      <c r="B8" s="3" t="s">
        <v>138</v>
      </c>
      <c r="C8" s="3" t="s">
        <v>163</v>
      </c>
      <c r="D8" s="4" t="s">
        <v>164</v>
      </c>
      <c r="E8" s="6">
        <v>46058.801288044</v>
      </c>
      <c r="F8" s="3" t="s">
        <v>20</v>
      </c>
      <c r="G8" s="3" t="s">
        <v>24</v>
      </c>
      <c r="H8" s="3">
        <v>227</v>
      </c>
      <c r="I8" s="7">
        <v>120</v>
      </c>
      <c r="J8" s="7">
        <v>120</v>
      </c>
      <c r="K8" s="7">
        <v>213</v>
      </c>
      <c r="L8" s="7">
        <v>120</v>
      </c>
      <c r="M8" s="7">
        <v>14</v>
      </c>
      <c r="N8" s="7">
        <v>0</v>
      </c>
      <c r="O8" s="7" t="s">
        <v>63</v>
      </c>
      <c r="P8" s="5" t="s">
        <v>64</v>
      </c>
    </row>
    <row r="9" ht="18.5" customHeight="1" spans="1:16">
      <c r="A9" s="3" t="s">
        <v>137</v>
      </c>
      <c r="B9" s="3" t="s">
        <v>138</v>
      </c>
      <c r="C9" s="3" t="s">
        <v>163</v>
      </c>
      <c r="D9" s="4" t="s">
        <v>164</v>
      </c>
      <c r="E9" s="6">
        <v>46058.801288044</v>
      </c>
      <c r="F9" s="3" t="s">
        <v>20</v>
      </c>
      <c r="G9" s="3" t="s">
        <v>21</v>
      </c>
      <c r="H9" s="3">
        <v>25</v>
      </c>
      <c r="I9" s="7">
        <v>3.3</v>
      </c>
      <c r="J9" s="7">
        <v>82.5</v>
      </c>
      <c r="K9" s="7">
        <v>25</v>
      </c>
      <c r="L9" s="7">
        <v>82.5</v>
      </c>
      <c r="M9" s="7"/>
      <c r="N9" s="7"/>
      <c r="O9" s="7" t="s">
        <v>63</v>
      </c>
      <c r="P9" s="5" t="s">
        <v>64</v>
      </c>
    </row>
    <row r="10" ht="18.5" customHeight="1" spans="1:16">
      <c r="A10" s="3" t="s">
        <v>137</v>
      </c>
      <c r="B10" s="3" t="s">
        <v>138</v>
      </c>
      <c r="C10" s="3" t="s">
        <v>165</v>
      </c>
      <c r="D10" s="4" t="s">
        <v>164</v>
      </c>
      <c r="E10" s="6">
        <v>46058.8012895486</v>
      </c>
      <c r="F10" s="3" t="s">
        <v>20</v>
      </c>
      <c r="G10" s="3" t="s">
        <v>21</v>
      </c>
      <c r="H10" s="3">
        <v>11</v>
      </c>
      <c r="I10" s="7">
        <v>3.3</v>
      </c>
      <c r="J10" s="7">
        <v>36.3</v>
      </c>
      <c r="K10" s="7">
        <v>11</v>
      </c>
      <c r="L10" s="7">
        <v>36.3</v>
      </c>
      <c r="M10" s="7"/>
      <c r="N10" s="7"/>
      <c r="O10" s="7" t="s">
        <v>63</v>
      </c>
      <c r="P10" s="5" t="s">
        <v>64</v>
      </c>
    </row>
    <row r="11" ht="18.5" customHeight="1" spans="1:16">
      <c r="A11" s="3" t="s">
        <v>137</v>
      </c>
      <c r="B11" s="3" t="s">
        <v>138</v>
      </c>
      <c r="C11" s="3" t="s">
        <v>165</v>
      </c>
      <c r="D11" s="4" t="s">
        <v>164</v>
      </c>
      <c r="E11" s="6">
        <v>46058.8012895486</v>
      </c>
      <c r="F11" s="3" t="s">
        <v>20</v>
      </c>
      <c r="G11" s="3" t="s">
        <v>24</v>
      </c>
      <c r="H11" s="3">
        <v>32</v>
      </c>
      <c r="I11" s="7">
        <v>30</v>
      </c>
      <c r="J11" s="7">
        <v>30</v>
      </c>
      <c r="K11" s="7">
        <v>32</v>
      </c>
      <c r="L11" s="7">
        <v>30</v>
      </c>
      <c r="M11" s="7"/>
      <c r="N11" s="7"/>
      <c r="O11" s="7" t="s">
        <v>63</v>
      </c>
      <c r="P11" s="5" t="s">
        <v>64</v>
      </c>
    </row>
    <row r="12" ht="18.5" customHeight="1" spans="1:16">
      <c r="A12" s="3" t="s">
        <v>137</v>
      </c>
      <c r="B12" s="3" t="s">
        <v>138</v>
      </c>
      <c r="C12" s="3" t="s">
        <v>165</v>
      </c>
      <c r="D12" s="4" t="s">
        <v>164</v>
      </c>
      <c r="E12" s="6">
        <v>46058.8012895486</v>
      </c>
      <c r="F12" s="3" t="s">
        <v>26</v>
      </c>
      <c r="G12" s="3" t="s">
        <v>27</v>
      </c>
      <c r="H12" s="3">
        <v>1</v>
      </c>
      <c r="I12" s="7">
        <v>3.3</v>
      </c>
      <c r="J12" s="7">
        <v>3.3</v>
      </c>
      <c r="K12" s="7">
        <v>1</v>
      </c>
      <c r="L12" s="7">
        <v>3.3</v>
      </c>
      <c r="M12" s="7"/>
      <c r="N12" s="7"/>
      <c r="O12" s="7" t="s">
        <v>63</v>
      </c>
      <c r="P12" s="5" t="s">
        <v>64</v>
      </c>
    </row>
    <row r="13" ht="18.5" customHeight="1" spans="1:16">
      <c r="A13" s="5"/>
      <c r="B13" s="5"/>
      <c r="C13" s="5" t="s">
        <v>97</v>
      </c>
      <c r="D13" s="5"/>
      <c r="E13" s="5"/>
      <c r="F13" s="5"/>
      <c r="G13" s="5"/>
      <c r="H13" s="5"/>
      <c r="I13" s="5"/>
      <c r="J13" s="5"/>
      <c r="K13" s="5"/>
      <c r="L13" s="5">
        <f>SUM(L2:L12)</f>
        <v>573.6</v>
      </c>
      <c r="M13" s="5"/>
      <c r="N13" s="5"/>
      <c r="O13" s="5"/>
      <c r="P13" s="5"/>
    </row>
    <row r="14" ht="22.5" customHeight="1" spans="1:1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22.5" customHeight="1" spans="1:1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22.5" customHeight="1" spans="1: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22.5" customHeight="1" spans="1:1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22.5" customHeight="1" spans="1:1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22.5" customHeight="1" spans="1:1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ht="22.5" customHeight="1" spans="1:1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ht="22.5" customHeight="1" spans="1:1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</sheetData>
  <pageMargins left="0.251388888888889" right="0.251388888888889" top="0.751388888888889" bottom="0.751388888888889" header="0.298611111111111" footer="0.298611111111111"/>
  <pageSetup paperSize="9" scale="80" orientation="landscape" horizontalDpi="600"/>
  <headerFooter>
    <oddFooter>&amp;C第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view="pageBreakPreview" zoomScaleNormal="100" topLeftCell="B1" workbookViewId="0">
      <selection activeCell="N17" sqref="N16:N17"/>
    </sheetView>
  </sheetViews>
  <sheetFormatPr defaultColWidth="9" defaultRowHeight="13.5"/>
  <cols>
    <col min="1" max="1" width="25.3416666666667" customWidth="1"/>
    <col min="2" max="2" width="22.0083333333333" customWidth="1"/>
    <col min="3" max="3" width="23.675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8.675" customWidth="1"/>
    <col min="10" max="10" width="9.34166666666667" hidden="1" customWidth="1"/>
    <col min="11" max="12" width="17.8416666666667" hidden="1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2.5" customHeight="1" spans="1:16">
      <c r="A2" s="3" t="s">
        <v>176</v>
      </c>
      <c r="B2" s="3" t="s">
        <v>177</v>
      </c>
      <c r="C2" s="3" t="s">
        <v>178</v>
      </c>
      <c r="D2" s="4" t="s">
        <v>68</v>
      </c>
      <c r="E2" s="4">
        <v>46055.6783284375</v>
      </c>
      <c r="F2" s="3" t="s">
        <v>26</v>
      </c>
      <c r="G2" s="3" t="s">
        <v>27</v>
      </c>
      <c r="H2" s="3">
        <v>1</v>
      </c>
      <c r="I2" s="5">
        <v>3.3</v>
      </c>
      <c r="J2" s="5">
        <f t="shared" ref="J2:J9" si="0">H2*I2</f>
        <v>3.3</v>
      </c>
      <c r="K2" s="5">
        <v>1</v>
      </c>
      <c r="L2" s="5">
        <v>3.3</v>
      </c>
      <c r="M2" s="5"/>
      <c r="N2" s="5"/>
      <c r="O2" s="5" t="s">
        <v>101</v>
      </c>
      <c r="P2" s="5" t="s">
        <v>91</v>
      </c>
    </row>
    <row r="3" ht="22.5" customHeight="1" spans="1:16">
      <c r="A3" s="3" t="s">
        <v>176</v>
      </c>
      <c r="B3" s="3" t="s">
        <v>177</v>
      </c>
      <c r="C3" s="3" t="s">
        <v>178</v>
      </c>
      <c r="D3" s="4" t="s">
        <v>68</v>
      </c>
      <c r="E3" s="4">
        <v>46055.6783284375</v>
      </c>
      <c r="F3" s="3" t="s">
        <v>20</v>
      </c>
      <c r="G3" s="3" t="s">
        <v>21</v>
      </c>
      <c r="H3" s="3">
        <v>20</v>
      </c>
      <c r="I3" s="5">
        <v>3.3</v>
      </c>
      <c r="J3" s="5">
        <f t="shared" si="0"/>
        <v>66</v>
      </c>
      <c r="K3" s="5">
        <v>11</v>
      </c>
      <c r="L3" s="5">
        <f>K3*3.3</f>
        <v>36.3</v>
      </c>
      <c r="M3" s="5">
        <v>9</v>
      </c>
      <c r="N3" s="5">
        <f>M3*3.3</f>
        <v>29.7</v>
      </c>
      <c r="O3" s="5" t="s">
        <v>101</v>
      </c>
      <c r="P3" s="5" t="s">
        <v>91</v>
      </c>
    </row>
    <row r="4" ht="22.5" customHeight="1" spans="1:16">
      <c r="A4" s="3" t="s">
        <v>176</v>
      </c>
      <c r="B4" s="3" t="s">
        <v>177</v>
      </c>
      <c r="C4" s="3" t="s">
        <v>179</v>
      </c>
      <c r="D4" s="4" t="s">
        <v>68</v>
      </c>
      <c r="E4" s="4">
        <v>46055.6783315972</v>
      </c>
      <c r="F4" s="3" t="s">
        <v>20</v>
      </c>
      <c r="G4" s="3" t="s">
        <v>21</v>
      </c>
      <c r="H4" s="3">
        <v>27</v>
      </c>
      <c r="I4" s="5">
        <v>3.3</v>
      </c>
      <c r="J4" s="5">
        <f t="shared" si="0"/>
        <v>89.1</v>
      </c>
      <c r="K4" s="5">
        <v>27</v>
      </c>
      <c r="L4" s="5">
        <v>89.1</v>
      </c>
      <c r="M4" s="5"/>
      <c r="N4" s="5"/>
      <c r="O4" s="5" t="s">
        <v>101</v>
      </c>
      <c r="P4" s="5" t="s">
        <v>91</v>
      </c>
    </row>
    <row r="5" ht="22.5" customHeight="1" spans="1:16">
      <c r="A5" s="3" t="s">
        <v>176</v>
      </c>
      <c r="B5" s="3" t="s">
        <v>177</v>
      </c>
      <c r="C5" s="3" t="s">
        <v>179</v>
      </c>
      <c r="D5" s="4" t="s">
        <v>68</v>
      </c>
      <c r="E5" s="4">
        <v>46055.6783315972</v>
      </c>
      <c r="F5" s="3" t="s">
        <v>26</v>
      </c>
      <c r="G5" s="3" t="s">
        <v>27</v>
      </c>
      <c r="H5" s="3">
        <v>1</v>
      </c>
      <c r="I5" s="5">
        <v>3.3</v>
      </c>
      <c r="J5" s="5">
        <f t="shared" si="0"/>
        <v>3.3</v>
      </c>
      <c r="K5" s="5">
        <v>1</v>
      </c>
      <c r="L5" s="5">
        <v>3.3</v>
      </c>
      <c r="M5" s="5"/>
      <c r="N5" s="5"/>
      <c r="O5" s="5" t="s">
        <v>101</v>
      </c>
      <c r="P5" s="5" t="s">
        <v>91</v>
      </c>
    </row>
    <row r="6" ht="22.5" customHeight="1" spans="1:16">
      <c r="A6" s="3" t="s">
        <v>176</v>
      </c>
      <c r="B6" s="3" t="s">
        <v>177</v>
      </c>
      <c r="C6" s="3" t="s">
        <v>180</v>
      </c>
      <c r="D6" s="4" t="s">
        <v>68</v>
      </c>
      <c r="E6" s="6">
        <v>46065.5941959491</v>
      </c>
      <c r="F6" s="3" t="s">
        <v>20</v>
      </c>
      <c r="G6" s="3" t="s">
        <v>35</v>
      </c>
      <c r="H6" s="3">
        <v>19</v>
      </c>
      <c r="I6" s="7">
        <v>3.3</v>
      </c>
      <c r="J6" s="7">
        <f t="shared" si="0"/>
        <v>62.7</v>
      </c>
      <c r="K6" s="7">
        <v>10</v>
      </c>
      <c r="L6" s="7">
        <v>33</v>
      </c>
      <c r="M6" s="7">
        <v>9</v>
      </c>
      <c r="N6" s="7">
        <f>M6*3.3</f>
        <v>29.7</v>
      </c>
      <c r="O6" s="5" t="s">
        <v>101</v>
      </c>
      <c r="P6" s="5" t="s">
        <v>91</v>
      </c>
    </row>
    <row r="7" ht="22.5" customHeight="1" spans="1:16">
      <c r="A7" s="3" t="s">
        <v>176</v>
      </c>
      <c r="B7" s="3" t="s">
        <v>177</v>
      </c>
      <c r="C7" s="3" t="s">
        <v>180</v>
      </c>
      <c r="D7" s="4" t="s">
        <v>68</v>
      </c>
      <c r="E7" s="6">
        <v>46065.5941959491</v>
      </c>
      <c r="F7" s="3" t="s">
        <v>26</v>
      </c>
      <c r="G7" s="3" t="s">
        <v>27</v>
      </c>
      <c r="H7" s="3">
        <v>1</v>
      </c>
      <c r="I7" s="7">
        <v>3.3</v>
      </c>
      <c r="J7" s="7">
        <f t="shared" si="0"/>
        <v>3.3</v>
      </c>
      <c r="K7" s="7">
        <v>1</v>
      </c>
      <c r="L7" s="7">
        <v>3.3</v>
      </c>
      <c r="M7" s="7"/>
      <c r="N7" s="7"/>
      <c r="O7" s="5" t="s">
        <v>101</v>
      </c>
      <c r="P7" s="5" t="s">
        <v>91</v>
      </c>
    </row>
    <row r="8" ht="22.5" customHeight="1" spans="1:16">
      <c r="A8" s="3" t="s">
        <v>176</v>
      </c>
      <c r="B8" s="3" t="s">
        <v>177</v>
      </c>
      <c r="C8" s="3" t="s">
        <v>181</v>
      </c>
      <c r="D8" s="4" t="s">
        <v>68</v>
      </c>
      <c r="E8" s="6">
        <v>46065.5941982292</v>
      </c>
      <c r="F8" s="3" t="s">
        <v>20</v>
      </c>
      <c r="G8" s="3" t="s">
        <v>35</v>
      </c>
      <c r="H8" s="3">
        <v>28</v>
      </c>
      <c r="I8" s="7">
        <v>3.3</v>
      </c>
      <c r="J8" s="7">
        <f t="shared" si="0"/>
        <v>92.4</v>
      </c>
      <c r="K8" s="7">
        <v>28</v>
      </c>
      <c r="L8" s="7">
        <v>92.4</v>
      </c>
      <c r="M8" s="7"/>
      <c r="N8" s="7"/>
      <c r="O8" s="5" t="s">
        <v>101</v>
      </c>
      <c r="P8" s="5" t="s">
        <v>91</v>
      </c>
    </row>
    <row r="9" ht="22.5" customHeight="1" spans="1:16">
      <c r="A9" s="3" t="s">
        <v>176</v>
      </c>
      <c r="B9" s="3" t="s">
        <v>177</v>
      </c>
      <c r="C9" s="3" t="s">
        <v>181</v>
      </c>
      <c r="D9" s="4" t="s">
        <v>68</v>
      </c>
      <c r="E9" s="6">
        <v>46065.5941982292</v>
      </c>
      <c r="F9" s="3" t="s">
        <v>26</v>
      </c>
      <c r="G9" s="3" t="s">
        <v>27</v>
      </c>
      <c r="H9" s="3">
        <v>1</v>
      </c>
      <c r="I9" s="7">
        <v>3.3</v>
      </c>
      <c r="J9" s="7">
        <f t="shared" si="0"/>
        <v>3.3</v>
      </c>
      <c r="K9" s="7">
        <v>1</v>
      </c>
      <c r="L9" s="7">
        <v>3.3</v>
      </c>
      <c r="M9" s="7"/>
      <c r="N9" s="7"/>
      <c r="O9" s="5" t="s">
        <v>101</v>
      </c>
      <c r="P9" s="5" t="s">
        <v>91</v>
      </c>
    </row>
    <row r="10" ht="22.5" customHeight="1" spans="1:16">
      <c r="A10" s="5"/>
      <c r="B10" s="5"/>
      <c r="C10" s="5" t="s">
        <v>97</v>
      </c>
      <c r="D10" s="5"/>
      <c r="E10" s="5"/>
      <c r="F10" s="5"/>
      <c r="G10" s="5"/>
      <c r="H10" s="5"/>
      <c r="I10" s="5"/>
      <c r="J10" s="5">
        <f t="shared" ref="H10:N10" si="1">SUM(J2:J9)</f>
        <v>323.4</v>
      </c>
      <c r="K10" s="5"/>
      <c r="L10" s="5">
        <f t="shared" si="1"/>
        <v>264</v>
      </c>
      <c r="M10" s="5"/>
      <c r="N10" s="5">
        <f t="shared" si="1"/>
        <v>59.4</v>
      </c>
      <c r="O10" s="5"/>
      <c r="P10" s="5"/>
    </row>
    <row r="11" ht="22.5" customHeight="1" spans="1:1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ht="22.5" customHeight="1" spans="1:1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ht="22.5" customHeight="1" spans="1:1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22.5" customHeight="1" spans="1:1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22.5" customHeight="1" spans="1:1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22.5" customHeight="1" spans="1: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22.5" customHeight="1" spans="1:1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</sheetData>
  <pageMargins left="0.251388888888889" right="0.251388888888889" top="0.751388888888889" bottom="0.751388888888889" header="0.298611111111111" footer="0.298611111111111"/>
  <pageSetup paperSize="9" scale="72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国药</vt:lpstr>
      <vt:lpstr>国药神外一</vt:lpstr>
      <vt:lpstr>国药骨一</vt:lpstr>
      <vt:lpstr>国药骨三</vt:lpstr>
      <vt:lpstr>耀旭</vt:lpstr>
      <vt:lpstr>耀旭骨一</vt:lpstr>
      <vt:lpstr>耀旭骨二</vt:lpstr>
      <vt:lpstr>耀旭骨三</vt:lpstr>
      <vt:lpstr>丰润加</vt:lpstr>
      <vt:lpstr>丰润加骨一</vt:lpstr>
      <vt:lpstr>丰润加骨三</vt:lpstr>
      <vt:lpstr>琅华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2026-03-16T06:14:13Z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0358A9088725483AA288EB5D45C0B197_12</vt:lpwstr>
  </property>
  <property fmtid="{D5CDD505-2E9C-101B-9397-08002B2CF9AE}" pid="4" name="CalculationRule">
    <vt:i4>0</vt:i4>
  </property>
</Properties>
</file>