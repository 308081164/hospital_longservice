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85" windowHeight="11655" activeTab="2"/>
  </bookViews>
  <sheets>
    <sheet name="分娩室" sheetId="1" r:id="rId1"/>
    <sheet name="门诊手术室" sheetId="2" r:id="rId2"/>
    <sheet name="手术室" sheetId="3" r:id="rId3"/>
  </sheets>
  <definedNames>
    <definedName name="_xlnm._FilterDatabase" localSheetId="0" hidden="1">分娩室!$A$9:$K$19</definedName>
    <definedName name="_xlnm._FilterDatabase" localSheetId="1" hidden="1">门诊手术室!$A$7:$K$21</definedName>
    <definedName name="_xlnm._FilterDatabase" localSheetId="2" hidden="1">手术室!$A$7:$K$41</definedName>
    <definedName name="_xlnm.Print_Titles" localSheetId="0">分娩室!$1:$6</definedName>
    <definedName name="_xlnm.Print_Titles" localSheetId="1">门诊手术室!$1:$6</definedName>
    <definedName name="_xlnm.Print_Titles" localSheetId="2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<sst xmlns="http://schemas.openxmlformats.org/spreadsheetml/2006/main" count="178" uniqueCount="47">
  <si>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</si>
  <si>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</si>
  <si>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</si>
  <si>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黑龙江维多利亚妇产医院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</si>
  <si>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</si>
  <si>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</si>
  <si>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</si>
  <si>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</si>
  <si>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</si>
  <si>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</si>
  <si>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</si>
  <si>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</si>
  <si>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分娩室</t>
  </si>
  <si>
    <t>额外包(纸塑袋)</t>
  </si>
  <si>
    <t>带架方盘-2/Z3044</t>
  </si>
  <si>
    <t>方盘-1/Z3044</t>
  </si>
  <si>
    <t>器械包(ZSD)</t>
  </si>
  <si>
    <t>剖宫产-3件</t>
  </si>
  <si>
    <t>额外包(无纺布)</t>
  </si>
  <si>
    <t>穿颅包-8/W6050</t>
  </si>
  <si>
    <t>器械包</t>
  </si>
  <si>
    <t>正常产包</t>
  </si>
  <si>
    <t>门诊手术室</t>
  </si>
  <si>
    <t>刮勺-1/Z7530</t>
  </si>
  <si>
    <t>上环器-1/Z1035</t>
  </si>
  <si>
    <t>拆线包</t>
  </si>
  <si>
    <t>宫颈包-7</t>
  </si>
  <si>
    <t>人流包</t>
  </si>
  <si>
    <t>上取包</t>
  </si>
  <si>
    <t>换药包-3/W6050</t>
  </si>
  <si>
    <t>剪刀-1/Z1029</t>
  </si>
  <si>
    <t>麻杯-1/z1520</t>
  </si>
  <si>
    <t>弯盘-2/Z2032</t>
  </si>
  <si>
    <t>手术室</t>
  </si>
  <si>
    <t>宫腔镜包</t>
  </si>
  <si>
    <t>剖腹包</t>
  </si>
  <si>
    <t>剖宫产包</t>
  </si>
  <si>
    <t>持物钳罐-2/Z2044</t>
  </si>
  <si>
    <t>碗2杯1/Z2530</t>
  </si>
  <si>
    <t>盆2盘2碗1/W9050</t>
  </si>
  <si>
    <t>腹腔镜包</t>
  </si>
  <si>
    <t>窥器-1/Z1526</t>
  </si>
  <si>
    <t>计划生育包</t>
  </si>
  <si>
    <t>器械包(低温等离子)</t>
  </si>
  <si>
    <t>腹腔镜器械</t>
  </si>
  <si>
    <t>修补包</t>
  </si>
  <si>
    <t>盆1碗1杯1/W6050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</si>
</sst>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9525</xdr:rowOff>
    </xdr:from>
    <xdr:to>
      <xdr:col>9</xdr:col>
      <xdr:colOff>757003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0</xdr:rowOff>
    </xdr:from>
    <xdr:to>
      <xdr:col>9</xdr:col>
      <xdr:colOff>804628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0</xdr:row>
      <xdr:rowOff>161925</xdr:rowOff>
    </xdr:from>
    <xdr:to>
      <xdr:col>9</xdr:col>
      <xdr:colOff>823678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1619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showGridLines="0" view="pageBreakPreview" zoomScaleNormal="100" topLeftCell="B1" workbookViewId="0">
      <pane ySplit="6" topLeftCell="A7" activePane="bottomLeft" state="frozen"/>
      <selection/>
      <selection pane="bottomLeft" activeCell="H16" sqref="H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16</v>
      </c>
      <c r="J10" s="10"/>
      <c r="K10" s="10">
        <v>321.5</v>
      </c>
    </row>
    <row r="11" spans="2:11">
      <c r="D11" s="11">
        <v>46059</v>
      </c>
      <c r="E11" s="12">
        <v>1576904</v>
      </c>
      <c r="F11" s="12" t="s">
        <v>13</v>
      </c>
      <c r="G11" s="13">
        <v>20357697</v>
      </c>
      <c r="H11" s="12" t="s">
        <v>14</v>
      </c>
      <c r="I11" s="13">
        <v>1</v>
      </c>
      <c r="J11" s="14">
        <v>16.5</v>
      </c>
      <c r="K11" s="14">
        <v>16.5</v>
      </c>
    </row>
    <row r="12" spans="2:11">
      <c r="D12" s="11">
        <v>46059</v>
      </c>
      <c r="E12" s="12">
        <v>1576904</v>
      </c>
      <c r="F12" s="12" t="s">
        <v>13</v>
      </c>
      <c r="G12" s="13">
        <v>20008119</v>
      </c>
      <c r="H12" s="12" t="s">
        <v>15</v>
      </c>
      <c r="I12" s="13">
        <v>3</v>
      </c>
      <c r="J12" s="14">
        <v>16</v>
      </c>
      <c r="K12" s="14">
        <v>48</v>
      </c>
    </row>
    <row r="13" spans="2:11">
      <c r="D13" s="11">
        <v>46063</v>
      </c>
      <c r="E13" s="12">
        <v>1577750</v>
      </c>
      <c r="F13" s="12" t="s">
        <v>16</v>
      </c>
      <c r="G13" s="13">
        <v>20004647</v>
      </c>
      <c r="H13" s="12" t="s">
        <v>17</v>
      </c>
      <c r="I13" s="13">
        <v>1</v>
      </c>
      <c r="J13" s="14">
        <v>16.5</v>
      </c>
      <c r="K13" s="14">
        <v>16.5</v>
      </c>
    </row>
    <row r="14" spans="2:11">
      <c r="D14" s="11">
        <v>46065</v>
      </c>
      <c r="E14" s="12">
        <v>1578387</v>
      </c>
      <c r="F14" s="12" t="s">
        <v>13</v>
      </c>
      <c r="G14" s="13">
        <v>20357697</v>
      </c>
      <c r="H14" s="12" t="s">
        <v>14</v>
      </c>
      <c r="I14" s="13">
        <v>2</v>
      </c>
      <c r="J14" s="14">
        <v>16.5</v>
      </c>
      <c r="K14" s="14">
        <v>33</v>
      </c>
    </row>
    <row r="15" spans="2:11">
      <c r="D15" s="11">
        <v>46065</v>
      </c>
      <c r="E15" s="12">
        <v>1578387</v>
      </c>
      <c r="F15" s="12" t="s">
        <v>13</v>
      </c>
      <c r="G15" s="13">
        <v>20008119</v>
      </c>
      <c r="H15" s="12" t="s">
        <v>15</v>
      </c>
      <c r="I15" s="13">
        <v>3</v>
      </c>
      <c r="J15" s="14">
        <v>16</v>
      </c>
      <c r="K15" s="14">
        <v>48</v>
      </c>
    </row>
    <row r="16" spans="2:11">
      <c r="D16" s="11">
        <v>46065</v>
      </c>
      <c r="E16" s="12">
        <v>1578387</v>
      </c>
      <c r="F16" s="12" t="s">
        <v>18</v>
      </c>
      <c r="G16" s="13">
        <v>20324181</v>
      </c>
      <c r="H16" s="12" t="s">
        <v>19</v>
      </c>
      <c r="I16" s="13">
        <v>1</v>
      </c>
      <c r="J16" s="14">
        <v>44</v>
      </c>
      <c r="K16" s="14">
        <v>44</v>
      </c>
    </row>
    <row r="17" spans="4:11">
      <c r="D17" s="11">
        <v>46077</v>
      </c>
      <c r="E17" s="12">
        <v>1579731</v>
      </c>
      <c r="F17" s="12" t="s">
        <v>16</v>
      </c>
      <c r="G17" s="13">
        <v>20004647</v>
      </c>
      <c r="H17" s="12" t="s">
        <v>17</v>
      </c>
      <c r="I17" s="13">
        <v>1</v>
      </c>
      <c r="J17" s="14">
        <v>16.5</v>
      </c>
      <c r="K17" s="14">
        <v>16.5</v>
      </c>
    </row>
    <row r="18" spans="4:11">
      <c r="D18" s="11">
        <v>46078</v>
      </c>
      <c r="E18" s="12">
        <v>1580016</v>
      </c>
      <c r="F18" s="12" t="s">
        <v>20</v>
      </c>
      <c r="G18" s="13">
        <v>20004648</v>
      </c>
      <c r="H18" s="12" t="s">
        <v>21</v>
      </c>
      <c r="I18" s="13">
        <v>1</v>
      </c>
      <c r="J18" s="14">
        <v>49.5</v>
      </c>
      <c r="K18" s="14">
        <v>49.5</v>
      </c>
    </row>
    <row r="19" spans="4:11">
      <c r="D19" s="11">
        <v>46080</v>
      </c>
      <c r="E19" s="12">
        <v>1580743</v>
      </c>
      <c r="F19" s="12" t="s">
        <v>16</v>
      </c>
      <c r="G19" s="13">
        <v>20004647</v>
      </c>
      <c r="H19" s="12" t="s">
        <v>17</v>
      </c>
      <c r="I19" s="13">
        <v>3</v>
      </c>
      <c r="J19" s="14">
        <v>16.5</v>
      </c>
      <c r="K19" s="14">
        <v>49.5</v>
      </c>
    </row>
    <row r="20" ht="0.05" customHeight="1"/>
  </sheetData>
  <autoFilter xmlns:etc="http://www.wps.cn/officeDocument/2017/etCustomData" ref="A9:K19" etc:filterBottomFollowUsedRange="0">
    <extLst/>
  </autoFilter>
  <mergeCells count="6">
    <mergeCell ref="D8:H8"/>
    <mergeCell ref="D10:H10"/>
    <mergeCell ref="C9:C19"/>
    <mergeCell ref="B4:H5"/>
    <mergeCell ref="A8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16:18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31" sqref="K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22</v>
      </c>
      <c r="E8" s="8" t="s">
        <v>2</v>
      </c>
      <c r="F8" s="8" t="s">
        <v>2</v>
      </c>
      <c r="G8" s="8" t="s">
        <v>2</v>
      </c>
      <c r="H8" s="8" t="s">
        <v>2</v>
      </c>
      <c r="I8" s="9">
        <v>20</v>
      </c>
      <c r="J8" s="10"/>
      <c r="K8" s="10">
        <f>SUM(K9:K21)</f>
        <v>1256</v>
      </c>
    </row>
    <row r="9" spans="1:11">
      <c r="D9" s="11">
        <v>46065</v>
      </c>
      <c r="E9" s="12">
        <v>1578388</v>
      </c>
      <c r="F9" s="12" t="s">
        <v>13</v>
      </c>
      <c r="G9" s="13">
        <v>20008369</v>
      </c>
      <c r="H9" s="12" t="s">
        <v>23</v>
      </c>
      <c r="I9" s="13">
        <v>1</v>
      </c>
      <c r="J9" s="14">
        <v>8</v>
      </c>
      <c r="K9" s="14">
        <f>I9*J9</f>
        <v>8</v>
      </c>
    </row>
    <row r="10" spans="1:11">
      <c r="D10" s="11">
        <v>46065</v>
      </c>
      <c r="E10" s="12">
        <v>1578388</v>
      </c>
      <c r="F10" s="12" t="s">
        <v>13</v>
      </c>
      <c r="G10" s="13">
        <v>20003274</v>
      </c>
      <c r="H10" s="12" t="s">
        <v>24</v>
      </c>
      <c r="I10" s="13">
        <v>1</v>
      </c>
      <c r="J10" s="14">
        <v>8</v>
      </c>
      <c r="K10" s="14">
        <f t="shared" ref="K10:K21" si="0">I10*J10</f>
        <v>8</v>
      </c>
    </row>
    <row r="11" spans="1:11">
      <c r="D11" s="11">
        <v>46065</v>
      </c>
      <c r="E11" s="12">
        <v>1578388</v>
      </c>
      <c r="F11" s="12" t="s">
        <v>16</v>
      </c>
      <c r="G11" s="13">
        <v>20007818</v>
      </c>
      <c r="H11" s="12" t="s">
        <v>25</v>
      </c>
      <c r="I11" s="13">
        <v>1</v>
      </c>
      <c r="J11" s="14">
        <v>27.5</v>
      </c>
      <c r="K11" s="14">
        <f t="shared" si="0"/>
        <v>27.5</v>
      </c>
    </row>
    <row r="12" spans="1:11">
      <c r="D12" s="11">
        <v>46065</v>
      </c>
      <c r="E12" s="12">
        <v>1578388</v>
      </c>
      <c r="F12" s="12" t="s">
        <v>16</v>
      </c>
      <c r="G12" s="13">
        <v>20007893</v>
      </c>
      <c r="H12" s="12" t="s">
        <v>26</v>
      </c>
      <c r="I12" s="13">
        <v>1</v>
      </c>
      <c r="J12" s="14">
        <v>38.5</v>
      </c>
      <c r="K12" s="14">
        <f t="shared" si="0"/>
        <v>38.5</v>
      </c>
    </row>
    <row r="13" spans="1:11">
      <c r="D13" s="11">
        <v>46065</v>
      </c>
      <c r="E13" s="12">
        <v>1578388</v>
      </c>
      <c r="F13" s="12" t="s">
        <v>16</v>
      </c>
      <c r="G13" s="13">
        <v>20004550</v>
      </c>
      <c r="H13" s="12" t="s">
        <v>27</v>
      </c>
      <c r="I13" s="13">
        <v>3</v>
      </c>
      <c r="J13" s="14">
        <v>110</v>
      </c>
      <c r="K13" s="14">
        <f t="shared" si="0"/>
        <v>330</v>
      </c>
    </row>
    <row r="14" spans="1:11">
      <c r="D14" s="11">
        <v>46065</v>
      </c>
      <c r="E14" s="12">
        <v>1578388</v>
      </c>
      <c r="F14" s="12" t="s">
        <v>16</v>
      </c>
      <c r="G14" s="13">
        <v>20004907</v>
      </c>
      <c r="H14" s="12" t="s">
        <v>28</v>
      </c>
      <c r="I14" s="13">
        <v>1</v>
      </c>
      <c r="J14" s="14">
        <v>71.5</v>
      </c>
      <c r="K14" s="14">
        <f t="shared" si="0"/>
        <v>71.5</v>
      </c>
    </row>
    <row r="15" spans="1:11">
      <c r="D15" s="11">
        <v>46065</v>
      </c>
      <c r="E15" s="12">
        <v>1578388</v>
      </c>
      <c r="F15" s="12" t="s">
        <v>18</v>
      </c>
      <c r="G15" s="13">
        <v>20346272</v>
      </c>
      <c r="H15" s="12" t="s">
        <v>29</v>
      </c>
      <c r="I15" s="13">
        <v>1</v>
      </c>
      <c r="J15" s="14">
        <v>16.5</v>
      </c>
      <c r="K15" s="14">
        <f t="shared" si="0"/>
        <v>16.5</v>
      </c>
    </row>
    <row r="16" spans="1:11">
      <c r="D16" s="11">
        <v>46078</v>
      </c>
      <c r="E16" s="12">
        <v>1580017</v>
      </c>
      <c r="F16" s="12" t="s">
        <v>13</v>
      </c>
      <c r="G16" s="13">
        <v>20004752</v>
      </c>
      <c r="H16" s="12" t="s">
        <v>30</v>
      </c>
      <c r="I16" s="13">
        <v>1</v>
      </c>
      <c r="J16" s="14">
        <v>8</v>
      </c>
      <c r="K16" s="14">
        <f t="shared" si="0"/>
        <v>8</v>
      </c>
    </row>
    <row r="17" spans="4:11">
      <c r="D17" s="11">
        <v>46078</v>
      </c>
      <c r="E17" s="12">
        <v>1580017</v>
      </c>
      <c r="F17" s="12" t="s">
        <v>13</v>
      </c>
      <c r="G17" s="13">
        <v>20413424</v>
      </c>
      <c r="H17" s="12" t="s">
        <v>31</v>
      </c>
      <c r="I17" s="13">
        <v>1</v>
      </c>
      <c r="J17" s="14">
        <v>11</v>
      </c>
      <c r="K17" s="14">
        <f t="shared" si="0"/>
        <v>11</v>
      </c>
    </row>
    <row r="18" spans="4:11">
      <c r="D18" s="11">
        <v>46078</v>
      </c>
      <c r="E18" s="12">
        <v>1580017</v>
      </c>
      <c r="F18" s="12" t="s">
        <v>13</v>
      </c>
      <c r="G18" s="13">
        <v>20413419</v>
      </c>
      <c r="H18" s="12" t="s">
        <v>32</v>
      </c>
      <c r="I18" s="13">
        <v>1</v>
      </c>
      <c r="J18" s="14">
        <v>16.5</v>
      </c>
      <c r="K18" s="14">
        <f t="shared" si="0"/>
        <v>16.5</v>
      </c>
    </row>
    <row r="19" spans="4:11">
      <c r="D19" s="11">
        <v>46078</v>
      </c>
      <c r="E19" s="12">
        <v>1580017</v>
      </c>
      <c r="F19" s="12" t="s">
        <v>16</v>
      </c>
      <c r="G19" s="13">
        <v>20007818</v>
      </c>
      <c r="H19" s="12" t="s">
        <v>25</v>
      </c>
      <c r="I19" s="13">
        <v>1</v>
      </c>
      <c r="J19" s="14">
        <v>27.5</v>
      </c>
      <c r="K19" s="14">
        <f t="shared" si="0"/>
        <v>27.5</v>
      </c>
    </row>
    <row r="20" spans="4:11">
      <c r="D20" s="11">
        <v>46078</v>
      </c>
      <c r="E20" s="12">
        <v>1580017</v>
      </c>
      <c r="F20" s="12" t="s">
        <v>16</v>
      </c>
      <c r="G20" s="13">
        <v>20004550</v>
      </c>
      <c r="H20" s="12" t="s">
        <v>27</v>
      </c>
      <c r="I20" s="13">
        <v>5</v>
      </c>
      <c r="J20" s="14">
        <v>110</v>
      </c>
      <c r="K20" s="14">
        <f t="shared" si="0"/>
        <v>550</v>
      </c>
    </row>
    <row r="21" spans="4:11">
      <c r="D21" s="11">
        <v>46078</v>
      </c>
      <c r="E21" s="12">
        <v>1580017</v>
      </c>
      <c r="F21" s="12" t="s">
        <v>16</v>
      </c>
      <c r="G21" s="13">
        <v>20004907</v>
      </c>
      <c r="H21" s="12" t="s">
        <v>28</v>
      </c>
      <c r="I21" s="13">
        <v>2</v>
      </c>
      <c r="J21" s="14">
        <v>71.5</v>
      </c>
      <c r="K21" s="14">
        <f t="shared" si="0"/>
        <v>143</v>
      </c>
    </row>
    <row r="22" ht="0.05" customHeight="1"/>
  </sheetData>
  <autoFilter xmlns:etc="http://www.wps.cn/officeDocument/2017/etCustomData" ref="A7:K21" etc:filterBottomFollowUsedRange="0">
    <extLst/>
  </autoFilter>
  <mergeCells count="5">
    <mergeCell ref="D8:H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16:18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showGridLines="0" tabSelected="1" view="pageBreakPreview" zoomScaleNormal="100" topLeftCell="C1" workbookViewId="0">
      <pane ySplit="6" topLeftCell="A7" activePane="bottomLeft" state="frozen"/>
      <selection/>
      <selection pane="bottomLeft" activeCell="E32" sqref="E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33</v>
      </c>
      <c r="E8" s="8" t="s">
        <v>2</v>
      </c>
      <c r="F8" s="8" t="s">
        <v>2</v>
      </c>
      <c r="G8" s="8" t="s">
        <v>2</v>
      </c>
      <c r="H8" s="8" t="s">
        <v>2</v>
      </c>
      <c r="I8" s="9">
        <v>52</v>
      </c>
      <c r="J8" s="10"/>
      <c r="K8" s="10">
        <v>6366.5</v>
      </c>
    </row>
    <row r="9" spans="1:11">
      <c r="D9" s="11">
        <v>46056</v>
      </c>
      <c r="E9" s="12">
        <v>1575873</v>
      </c>
      <c r="F9" s="12" t="s">
        <v>20</v>
      </c>
      <c r="G9" s="13">
        <v>20003403</v>
      </c>
      <c r="H9" s="12" t="s">
        <v>34</v>
      </c>
      <c r="I9" s="13">
        <v>1</v>
      </c>
      <c r="J9" s="14">
        <v>198</v>
      </c>
      <c r="K9" s="14">
        <f>J9*I9</f>
        <v>198</v>
      </c>
    </row>
    <row r="10" spans="1:11">
      <c r="D10" s="11">
        <v>46056</v>
      </c>
      <c r="E10" s="12">
        <v>1575873</v>
      </c>
      <c r="F10" s="12" t="s">
        <v>20</v>
      </c>
      <c r="G10" s="13">
        <v>20007279</v>
      </c>
      <c r="H10" s="12" t="s">
        <v>35</v>
      </c>
      <c r="I10" s="13">
        <v>2</v>
      </c>
      <c r="J10" s="14">
        <v>302.5</v>
      </c>
      <c r="K10" s="14">
        <f t="shared" ref="K10:K41" si="0">J10*I10</f>
        <v>605</v>
      </c>
    </row>
    <row r="11" spans="1:11">
      <c r="D11" s="11">
        <v>46056</v>
      </c>
      <c r="E11" s="12">
        <v>1575873</v>
      </c>
      <c r="F11" s="12" t="s">
        <v>20</v>
      </c>
      <c r="G11" s="13">
        <v>20013468</v>
      </c>
      <c r="H11" s="12" t="s">
        <v>36</v>
      </c>
      <c r="I11" s="13">
        <v>1</v>
      </c>
      <c r="J11" s="14">
        <v>225.5</v>
      </c>
      <c r="K11" s="14">
        <f t="shared" si="0"/>
        <v>225.5</v>
      </c>
    </row>
    <row r="12" spans="1:11">
      <c r="D12" s="11">
        <v>46056</v>
      </c>
      <c r="E12" s="12">
        <v>1575873</v>
      </c>
      <c r="F12" s="12" t="s">
        <v>13</v>
      </c>
      <c r="G12" s="13">
        <v>20007979</v>
      </c>
      <c r="H12" s="12" t="s">
        <v>37</v>
      </c>
      <c r="I12" s="13">
        <v>1</v>
      </c>
      <c r="J12" s="14">
        <v>16.5</v>
      </c>
      <c r="K12" s="14">
        <f t="shared" si="0"/>
        <v>16.5</v>
      </c>
    </row>
    <row r="13" spans="1:11">
      <c r="D13" s="11">
        <v>46056</v>
      </c>
      <c r="E13" s="12">
        <v>1575873</v>
      </c>
      <c r="F13" s="12" t="s">
        <v>13</v>
      </c>
      <c r="G13" s="13">
        <v>20313788</v>
      </c>
      <c r="H13" s="12" t="s">
        <v>38</v>
      </c>
      <c r="I13" s="13">
        <v>2</v>
      </c>
      <c r="J13" s="14">
        <v>16.5</v>
      </c>
      <c r="K13" s="14">
        <f t="shared" si="0"/>
        <v>33</v>
      </c>
    </row>
    <row r="14" spans="1:11">
      <c r="D14" s="11">
        <v>46056</v>
      </c>
      <c r="E14" s="12">
        <v>1575873</v>
      </c>
      <c r="F14" s="12" t="s">
        <v>18</v>
      </c>
      <c r="G14" s="13">
        <v>20003474</v>
      </c>
      <c r="H14" s="12" t="s">
        <v>39</v>
      </c>
      <c r="I14" s="13">
        <v>1</v>
      </c>
      <c r="J14" s="14">
        <v>27.5</v>
      </c>
      <c r="K14" s="14">
        <f t="shared" si="0"/>
        <v>27.5</v>
      </c>
    </row>
    <row r="15" spans="1:11">
      <c r="D15" s="11">
        <v>46062</v>
      </c>
      <c r="E15" s="12">
        <v>1577368</v>
      </c>
      <c r="F15" s="12" t="s">
        <v>20</v>
      </c>
      <c r="G15" s="13">
        <v>20003267</v>
      </c>
      <c r="H15" s="12" t="s">
        <v>40</v>
      </c>
      <c r="I15" s="13">
        <v>1</v>
      </c>
      <c r="J15" s="14">
        <v>148.5</v>
      </c>
      <c r="K15" s="14">
        <f t="shared" si="0"/>
        <v>148.5</v>
      </c>
    </row>
    <row r="16" spans="1:11">
      <c r="D16" s="11">
        <v>46062</v>
      </c>
      <c r="E16" s="12">
        <v>1577368</v>
      </c>
      <c r="F16" s="12" t="s">
        <v>20</v>
      </c>
      <c r="G16" s="13">
        <v>20003403</v>
      </c>
      <c r="H16" s="12" t="s">
        <v>34</v>
      </c>
      <c r="I16" s="13">
        <v>1</v>
      </c>
      <c r="J16" s="14">
        <v>198</v>
      </c>
      <c r="K16" s="14">
        <f t="shared" si="0"/>
        <v>198</v>
      </c>
    </row>
    <row r="17" spans="4:11">
      <c r="D17" s="11">
        <v>46062</v>
      </c>
      <c r="E17" s="12">
        <v>1577368</v>
      </c>
      <c r="F17" s="12" t="s">
        <v>20</v>
      </c>
      <c r="G17" s="13">
        <v>20013468</v>
      </c>
      <c r="H17" s="12" t="s">
        <v>36</v>
      </c>
      <c r="I17" s="13">
        <v>1</v>
      </c>
      <c r="J17" s="14">
        <v>225.5</v>
      </c>
      <c r="K17" s="14">
        <f t="shared" si="0"/>
        <v>225.5</v>
      </c>
    </row>
    <row r="18" spans="4:11">
      <c r="D18" s="11">
        <v>46062</v>
      </c>
      <c r="E18" s="12">
        <v>1577368</v>
      </c>
      <c r="F18" s="12" t="s">
        <v>13</v>
      </c>
      <c r="G18" s="13">
        <v>20007979</v>
      </c>
      <c r="H18" s="12" t="s">
        <v>37</v>
      </c>
      <c r="I18" s="13">
        <v>1</v>
      </c>
      <c r="J18" s="14">
        <v>16.5</v>
      </c>
      <c r="K18" s="14">
        <f t="shared" si="0"/>
        <v>16.5</v>
      </c>
    </row>
    <row r="19" spans="4:11">
      <c r="D19" s="11">
        <v>46062</v>
      </c>
      <c r="E19" s="12">
        <v>1577368</v>
      </c>
      <c r="F19" s="12" t="s">
        <v>18</v>
      </c>
      <c r="G19" s="13">
        <v>20003474</v>
      </c>
      <c r="H19" s="12" t="s">
        <v>39</v>
      </c>
      <c r="I19" s="13">
        <v>2</v>
      </c>
      <c r="J19" s="14">
        <v>27.5</v>
      </c>
      <c r="K19" s="14">
        <f t="shared" si="0"/>
        <v>55</v>
      </c>
    </row>
    <row r="20" spans="4:11">
      <c r="D20" s="11">
        <v>46063</v>
      </c>
      <c r="E20" s="12">
        <v>1577751</v>
      </c>
      <c r="F20" s="12" t="s">
        <v>20</v>
      </c>
      <c r="G20" s="13">
        <v>20003403</v>
      </c>
      <c r="H20" s="12" t="s">
        <v>34</v>
      </c>
      <c r="I20" s="13">
        <v>1</v>
      </c>
      <c r="J20" s="14">
        <v>198</v>
      </c>
      <c r="K20" s="14">
        <f t="shared" si="0"/>
        <v>198</v>
      </c>
    </row>
    <row r="21" spans="4:11">
      <c r="D21" s="11">
        <v>46063</v>
      </c>
      <c r="E21" s="12">
        <v>1577751</v>
      </c>
      <c r="F21" s="12" t="s">
        <v>20</v>
      </c>
      <c r="G21" s="13">
        <v>20013468</v>
      </c>
      <c r="H21" s="12" t="s">
        <v>36</v>
      </c>
      <c r="I21" s="13">
        <v>4</v>
      </c>
      <c r="J21" s="14">
        <v>225.5</v>
      </c>
      <c r="K21" s="14">
        <f t="shared" si="0"/>
        <v>902</v>
      </c>
    </row>
    <row r="22" spans="4:11">
      <c r="D22" s="11">
        <v>46063</v>
      </c>
      <c r="E22" s="12">
        <v>1577751</v>
      </c>
      <c r="F22" s="12" t="s">
        <v>13</v>
      </c>
      <c r="G22" s="13">
        <v>20007979</v>
      </c>
      <c r="H22" s="12" t="s">
        <v>37</v>
      </c>
      <c r="I22" s="13">
        <v>1</v>
      </c>
      <c r="J22" s="14">
        <v>16.5</v>
      </c>
      <c r="K22" s="14">
        <f t="shared" si="0"/>
        <v>16.5</v>
      </c>
    </row>
    <row r="23" spans="4:11">
      <c r="D23" s="11">
        <v>46063</v>
      </c>
      <c r="E23" s="12">
        <v>1577751</v>
      </c>
      <c r="F23" s="12" t="s">
        <v>13</v>
      </c>
      <c r="G23" s="13">
        <v>20401173</v>
      </c>
      <c r="H23" s="12" t="s">
        <v>41</v>
      </c>
      <c r="I23" s="13">
        <v>1</v>
      </c>
      <c r="J23" s="14">
        <v>11</v>
      </c>
      <c r="K23" s="14">
        <f t="shared" si="0"/>
        <v>11</v>
      </c>
    </row>
    <row r="24" spans="4:11">
      <c r="D24" s="11">
        <v>46063</v>
      </c>
      <c r="E24" s="12">
        <v>1577751</v>
      </c>
      <c r="F24" s="12" t="s">
        <v>16</v>
      </c>
      <c r="G24" s="13">
        <v>20003397</v>
      </c>
      <c r="H24" s="12" t="s">
        <v>42</v>
      </c>
      <c r="I24" s="13">
        <v>1</v>
      </c>
      <c r="J24" s="14">
        <v>121</v>
      </c>
      <c r="K24" s="14">
        <f t="shared" si="0"/>
        <v>121</v>
      </c>
    </row>
    <row r="25" spans="4:11">
      <c r="D25" s="11">
        <v>46063</v>
      </c>
      <c r="E25" s="12">
        <v>1577751</v>
      </c>
      <c r="F25" s="12" t="s">
        <v>18</v>
      </c>
      <c r="G25" s="13">
        <v>20003474</v>
      </c>
      <c r="H25" s="12" t="s">
        <v>39</v>
      </c>
      <c r="I25" s="13">
        <v>4</v>
      </c>
      <c r="J25" s="14">
        <v>27.5</v>
      </c>
      <c r="K25" s="14">
        <f t="shared" si="0"/>
        <v>110</v>
      </c>
    </row>
    <row r="26" spans="4:11">
      <c r="D26" s="11">
        <v>46064</v>
      </c>
      <c r="E26" s="12">
        <v>1578012</v>
      </c>
      <c r="F26" s="12" t="s">
        <v>20</v>
      </c>
      <c r="G26" s="13">
        <v>20003267</v>
      </c>
      <c r="H26" s="12" t="s">
        <v>40</v>
      </c>
      <c r="I26" s="13">
        <v>3</v>
      </c>
      <c r="J26" s="14">
        <v>148.5</v>
      </c>
      <c r="K26" s="14">
        <f t="shared" si="0"/>
        <v>445.5</v>
      </c>
    </row>
    <row r="27" spans="4:11">
      <c r="D27" s="11">
        <v>46064</v>
      </c>
      <c r="E27" s="12">
        <v>1578012</v>
      </c>
      <c r="F27" s="12" t="s">
        <v>20</v>
      </c>
      <c r="G27" s="13">
        <v>20003403</v>
      </c>
      <c r="H27" s="12" t="s">
        <v>34</v>
      </c>
      <c r="I27" s="13">
        <v>1</v>
      </c>
      <c r="J27" s="14">
        <v>198</v>
      </c>
      <c r="K27" s="14">
        <f t="shared" si="0"/>
        <v>198</v>
      </c>
    </row>
    <row r="28" spans="4:11">
      <c r="D28" s="11">
        <v>46064</v>
      </c>
      <c r="E28" s="12">
        <v>1578012</v>
      </c>
      <c r="F28" s="12" t="s">
        <v>20</v>
      </c>
      <c r="G28" s="13">
        <v>20013468</v>
      </c>
      <c r="H28" s="12" t="s">
        <v>36</v>
      </c>
      <c r="I28" s="13">
        <v>1</v>
      </c>
      <c r="J28" s="14">
        <v>225.5</v>
      </c>
      <c r="K28" s="14">
        <f t="shared" si="0"/>
        <v>225.5</v>
      </c>
    </row>
    <row r="29" spans="4:11">
      <c r="D29" s="11">
        <v>46064</v>
      </c>
      <c r="E29" s="12">
        <v>1578012</v>
      </c>
      <c r="F29" s="12" t="s">
        <v>13</v>
      </c>
      <c r="G29" s="13">
        <v>20007979</v>
      </c>
      <c r="H29" s="12" t="s">
        <v>37</v>
      </c>
      <c r="I29" s="13">
        <v>1</v>
      </c>
      <c r="J29" s="14">
        <v>16.5</v>
      </c>
      <c r="K29" s="14">
        <f t="shared" si="0"/>
        <v>16.5</v>
      </c>
    </row>
    <row r="30" spans="4:11">
      <c r="D30" s="11">
        <v>46064</v>
      </c>
      <c r="E30" s="12">
        <v>1578012</v>
      </c>
      <c r="F30" s="12" t="s">
        <v>16</v>
      </c>
      <c r="G30" s="13">
        <v>20003397</v>
      </c>
      <c r="H30" s="12" t="s">
        <v>42</v>
      </c>
      <c r="I30" s="13">
        <v>1</v>
      </c>
      <c r="J30" s="14">
        <v>121</v>
      </c>
      <c r="K30" s="14">
        <f t="shared" si="0"/>
        <v>121</v>
      </c>
    </row>
    <row r="31" spans="4:11">
      <c r="D31" s="11">
        <v>46064</v>
      </c>
      <c r="E31" s="12">
        <v>1578012</v>
      </c>
      <c r="F31" s="12" t="s">
        <v>18</v>
      </c>
      <c r="G31" s="13">
        <v>20003474</v>
      </c>
      <c r="H31" s="12" t="s">
        <v>39</v>
      </c>
      <c r="I31" s="13">
        <v>4</v>
      </c>
      <c r="J31" s="14">
        <v>27.5</v>
      </c>
      <c r="K31" s="14">
        <f t="shared" si="0"/>
        <v>110</v>
      </c>
    </row>
    <row r="32" spans="4:11">
      <c r="D32" s="11">
        <v>46064</v>
      </c>
      <c r="E32" s="12">
        <v>1578160</v>
      </c>
      <c r="F32" s="12" t="s">
        <v>43</v>
      </c>
      <c r="G32" s="13">
        <v>20007990</v>
      </c>
      <c r="H32" s="12" t="s">
        <v>44</v>
      </c>
      <c r="I32" s="13">
        <v>1</v>
      </c>
      <c r="J32" s="14">
        <v>465</v>
      </c>
      <c r="K32" s="14">
        <f t="shared" si="0"/>
        <v>465</v>
      </c>
    </row>
    <row r="33" spans="4:11">
      <c r="D33" s="11">
        <v>46065</v>
      </c>
      <c r="E33" s="12">
        <v>1578389</v>
      </c>
      <c r="F33" s="12" t="s">
        <v>20</v>
      </c>
      <c r="G33" s="13">
        <v>20003403</v>
      </c>
      <c r="H33" s="12" t="s">
        <v>34</v>
      </c>
      <c r="I33" s="13">
        <v>2</v>
      </c>
      <c r="J33" s="14">
        <v>198</v>
      </c>
      <c r="K33" s="14">
        <f t="shared" si="0"/>
        <v>396</v>
      </c>
    </row>
    <row r="34" spans="4:11">
      <c r="D34" s="11">
        <v>46065</v>
      </c>
      <c r="E34" s="12">
        <v>1578389</v>
      </c>
      <c r="F34" s="12" t="s">
        <v>20</v>
      </c>
      <c r="G34" s="13">
        <v>20003472</v>
      </c>
      <c r="H34" s="12" t="s">
        <v>45</v>
      </c>
      <c r="I34" s="13">
        <v>1</v>
      </c>
      <c r="J34" s="14">
        <v>165</v>
      </c>
      <c r="K34" s="14">
        <f t="shared" si="0"/>
        <v>165</v>
      </c>
    </row>
    <row r="35" spans="4:11">
      <c r="D35" s="11">
        <v>46065</v>
      </c>
      <c r="E35" s="12">
        <v>1578389</v>
      </c>
      <c r="F35" s="12" t="s">
        <v>18</v>
      </c>
      <c r="G35" s="13">
        <v>20007281</v>
      </c>
      <c r="H35" s="12" t="s">
        <v>46</v>
      </c>
      <c r="I35" s="13">
        <v>1</v>
      </c>
      <c r="J35" s="14">
        <v>16.5</v>
      </c>
      <c r="K35" s="14">
        <f t="shared" si="0"/>
        <v>16.5</v>
      </c>
    </row>
    <row r="36" spans="4:11">
      <c r="D36" s="11">
        <v>46078</v>
      </c>
      <c r="E36" s="12">
        <v>1580018</v>
      </c>
      <c r="F36" s="12" t="s">
        <v>20</v>
      </c>
      <c r="G36" s="13">
        <v>20013468</v>
      </c>
      <c r="H36" s="12" t="s">
        <v>36</v>
      </c>
      <c r="I36" s="13">
        <v>2</v>
      </c>
      <c r="J36" s="14">
        <v>225.5</v>
      </c>
      <c r="K36" s="14">
        <f t="shared" si="0"/>
        <v>451</v>
      </c>
    </row>
    <row r="37" spans="4:11">
      <c r="D37" s="11">
        <v>46078</v>
      </c>
      <c r="E37" s="12">
        <v>1580018</v>
      </c>
      <c r="F37" s="12" t="s">
        <v>18</v>
      </c>
      <c r="G37" s="13">
        <v>20003474</v>
      </c>
      <c r="H37" s="12" t="s">
        <v>39</v>
      </c>
      <c r="I37" s="13">
        <v>2</v>
      </c>
      <c r="J37" s="14">
        <v>27.5</v>
      </c>
      <c r="K37" s="14">
        <f t="shared" si="0"/>
        <v>55</v>
      </c>
    </row>
    <row r="38" spans="4:11">
      <c r="D38" s="11">
        <v>46080</v>
      </c>
      <c r="E38" s="12">
        <v>1580724</v>
      </c>
      <c r="F38" s="12" t="s">
        <v>20</v>
      </c>
      <c r="G38" s="13">
        <v>20003267</v>
      </c>
      <c r="H38" s="12" t="s">
        <v>40</v>
      </c>
      <c r="I38" s="13">
        <v>2</v>
      </c>
      <c r="J38" s="14">
        <v>148.5</v>
      </c>
      <c r="K38" s="14">
        <f t="shared" si="0"/>
        <v>297</v>
      </c>
    </row>
    <row r="39" spans="4:11">
      <c r="D39" s="11">
        <v>46080</v>
      </c>
      <c r="E39" s="12">
        <v>1580724</v>
      </c>
      <c r="F39" s="12" t="s">
        <v>20</v>
      </c>
      <c r="G39" s="13">
        <v>20013468</v>
      </c>
      <c r="H39" s="12" t="s">
        <v>36</v>
      </c>
      <c r="I39" s="13">
        <v>1</v>
      </c>
      <c r="J39" s="14">
        <v>225.5</v>
      </c>
      <c r="K39" s="14">
        <f t="shared" si="0"/>
        <v>225.5</v>
      </c>
    </row>
    <row r="40" spans="4:11">
      <c r="D40" s="11">
        <v>46080</v>
      </c>
      <c r="E40" s="12">
        <v>1580724</v>
      </c>
      <c r="F40" s="12" t="s">
        <v>13</v>
      </c>
      <c r="G40" s="13">
        <v>20007979</v>
      </c>
      <c r="H40" s="12" t="s">
        <v>37</v>
      </c>
      <c r="I40" s="13">
        <v>1</v>
      </c>
      <c r="J40" s="14">
        <v>16.5</v>
      </c>
      <c r="K40" s="14">
        <f t="shared" si="0"/>
        <v>16.5</v>
      </c>
    </row>
    <row r="41" spans="4:11">
      <c r="D41" s="11">
        <v>46080</v>
      </c>
      <c r="E41" s="12">
        <v>1580724</v>
      </c>
      <c r="F41" s="12" t="s">
        <v>18</v>
      </c>
      <c r="G41" s="13">
        <v>20003474</v>
      </c>
      <c r="H41" s="12" t="s">
        <v>39</v>
      </c>
      <c r="I41" s="13">
        <v>2</v>
      </c>
      <c r="J41" s="14">
        <v>27.5</v>
      </c>
      <c r="K41" s="14">
        <f t="shared" si="0"/>
        <v>55</v>
      </c>
    </row>
    <row r="42" ht="0.05" customHeight="1"/>
  </sheetData>
  <autoFilter xmlns:etc="http://www.wps.cn/officeDocument/2017/etCustomData" ref="A7:K41" etc:filterBottomFollowUsedRange="0">
    <extLst/>
  </autoFilter>
  <mergeCells count="5">
    <mergeCell ref="D8:H8"/>
    <mergeCell ref="C7:C41"/>
    <mergeCell ref="B4:H5"/>
    <mergeCell ref="A7:B4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16:18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分娩室</vt:lpstr>
      <vt:lpstr>门诊手术室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2026-03-02T08:23:00Z</dcterms:created>
  <dcterms:modified xsi:type="dcterms:W3CDTF">2026-03-04T01:57:40Z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01600A50673E4CA7A27A99382F9896AA_13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