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Sheet1!$H$1:$H$225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<sst xmlns="http://schemas.openxmlformats.org/spreadsheetml/2006/main" count="688" uniqueCount="78">
  <si>
    <t>发货单汇总表</t>
  </si>
  <si>
    <r>
      <rPr>
        <sz val="9"/>
        <color rgb="FF000000"/>
        <rFont val="宋体"/>
        <charset val="134"/>
      </rPr>
      <t>从</t>
    </r>
    <r>
      <rPr>
        <sz val="9"/>
        <color rgb="FF000000"/>
        <rFont val="Droid Sans Fallback"/>
        <charset val="134"/>
      </rPr>
      <t xml:space="preserve">:2026/4/1 </t>
    </r>
    <r>
      <rPr>
        <sz val="9"/>
        <color rgb="FF000000"/>
        <rFont val="宋体"/>
        <charset val="134"/>
      </rPr>
      <t>至</t>
    </r>
    <r>
      <rPr>
        <sz val="9"/>
        <color rgb="FF000000"/>
        <rFont val="Droid Sans Fallback"/>
        <charset val="134"/>
      </rPr>
      <t>: 2026/4/30</t>
    </r>
  </si>
  <si>
    <t>发货日期</t>
  </si>
  <si>
    <t>发货单号</t>
  </si>
  <si>
    <t>基本类型</t>
  </si>
  <si>
    <t>类型</t>
  </si>
  <si>
    <t>包编号</t>
  </si>
  <si>
    <t>包名</t>
  </si>
  <si>
    <t>数量</t>
  </si>
  <si>
    <t/>
  </si>
  <si>
    <t>黑龙江省远东心脑血管医院</t>
  </si>
  <si>
    <t>ICU</t>
  </si>
  <si>
    <t>额外包</t>
  </si>
  <si>
    <t>额外包(纸塑袋)</t>
  </si>
  <si>
    <t>ICU-开口器-1/z1026</t>
  </si>
  <si>
    <t>ICU-舌钳子-1/z1530</t>
  </si>
  <si>
    <t>手术室</t>
  </si>
  <si>
    <t>器械包</t>
  </si>
  <si>
    <t>下肢包</t>
  </si>
  <si>
    <t>敷料包</t>
  </si>
  <si>
    <t>刷手服</t>
  </si>
  <si>
    <t>敷料包(无纺布包)</t>
  </si>
  <si>
    <t>刷手巾----w7050</t>
  </si>
  <si>
    <t>额外包(无纺布)</t>
  </si>
  <si>
    <t>弯盘-2/Z2032</t>
  </si>
  <si>
    <t>骨科租赁器械包</t>
  </si>
  <si>
    <t>骨科租赁器械包-不带植入物</t>
  </si>
  <si>
    <t>李淑珍-腰椎间盘突出1/3</t>
  </si>
  <si>
    <t>骨科租赁器械包-带植入物</t>
  </si>
  <si>
    <t>李淑珍-腰椎间盘突出3/3</t>
  </si>
  <si>
    <t>李淑珍-腰椎间盘突出2/3</t>
  </si>
  <si>
    <t>导管室（DSA）</t>
  </si>
  <si>
    <t>切开包-11</t>
  </si>
  <si>
    <t>切开包-42件</t>
  </si>
  <si>
    <t>3楼</t>
  </si>
  <si>
    <t>剪刀-1/Z1026</t>
  </si>
  <si>
    <t>椎管加件（30）</t>
  </si>
  <si>
    <t>电钻头-2/z1020</t>
  </si>
  <si>
    <t>蛇牌椎板钳-1/Z1530</t>
  </si>
  <si>
    <t>脑包</t>
  </si>
  <si>
    <t>脑棉板-1/W6050</t>
  </si>
  <si>
    <t>小乳突撑开器-1/Z1026</t>
  </si>
  <si>
    <t>电钻-1/w705060</t>
  </si>
  <si>
    <t>持针器-1/z1029</t>
  </si>
  <si>
    <t>麻杯-1/Z1526</t>
  </si>
  <si>
    <t>钻孔包</t>
  </si>
  <si>
    <t>气钻头-2/z1020</t>
  </si>
  <si>
    <t>羊角钩-1/W6050</t>
  </si>
  <si>
    <t>盆-1/扣放双信封w7050</t>
  </si>
  <si>
    <t>气钻-1/W9050</t>
  </si>
  <si>
    <t>5楼</t>
  </si>
  <si>
    <t>导管室-切开包</t>
  </si>
  <si>
    <t>气管切开包（二）</t>
  </si>
  <si>
    <t>指甲刀-1/Z1026</t>
  </si>
  <si>
    <t>神经剥离子-1/z7526</t>
  </si>
  <si>
    <t>取瘤钳/Z1530</t>
  </si>
  <si>
    <t>吻合器械</t>
  </si>
  <si>
    <t>吸引器-1/Z7534</t>
  </si>
  <si>
    <t>止血钳-1/Z1029</t>
  </si>
  <si>
    <t>剪刀-1/z1029</t>
  </si>
  <si>
    <t>头钉-4/Z1526</t>
  </si>
  <si>
    <t>A夹持器-1/z1035</t>
  </si>
  <si>
    <t>钛板剪-1/z1526</t>
  </si>
  <si>
    <t>螺丝刀-1/Z1029</t>
  </si>
  <si>
    <t>钛板束型钳-1/W6050</t>
  </si>
  <si>
    <t>枪钳-1/z1526</t>
  </si>
  <si>
    <t>急诊</t>
  </si>
  <si>
    <t>舌钳子-1/z1530</t>
  </si>
  <si>
    <t>麻醉服</t>
  </si>
  <si>
    <t>椎板咬骨钳-1/z2032</t>
  </si>
  <si>
    <t>乳突拉钩-1/z1530</t>
  </si>
  <si>
    <t>器械包(ZSD)</t>
  </si>
  <si>
    <t>搭桥显微器械</t>
  </si>
  <si>
    <t>开口器-1/z1026</t>
  </si>
  <si>
    <t>头皮拉钩-3件（架1）/w6050</t>
  </si>
  <si>
    <t>电钻头-1/z7526</t>
  </si>
  <si>
    <t>铣刀头-2件/Z1026</t>
  </si>
  <si>
    <t>麻醉科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</si>
</sst>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宋体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Droid Sans Fallback"/>
      <charset val="134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5" borderId="6">
      <alignment vertical="center"/>
    </xf>
    <xf numFmtId="0" fontId="18" fillId="6" borderId="7">
      <alignment vertical="center"/>
    </xf>
    <xf numFmtId="0" fontId="19" fillId="6" borderId="6">
      <alignment vertical="center"/>
    </xf>
    <xf numFmtId="0" fontId="20" fillId="7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Fill="1" applyBorder="1" applyAlignment="1"/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5" fillId="2" borderId="1" xfId="0" applyNumberFormat="1" applyFont="1" applyFill="1" applyBorder="1" applyAlignment="1">
      <alignment vertical="top" wrapText="1" readingOrder="1"/>
    </xf>
    <xf numFmtId="0" fontId="6" fillId="2" borderId="1" xfId="0" applyNumberFormat="1" applyFont="1" applyFill="1" applyBorder="1" applyAlignment="1">
      <alignment horizontal="center" vertical="top" wrapText="1" readingOrder="1"/>
    </xf>
    <xf numFmtId="0" fontId="7" fillId="3" borderId="1" xfId="0" applyNumberFormat="1" applyFont="1" applyFill="1" applyBorder="1" applyAlignment="1">
      <alignment vertical="top" wrapText="1" readingOrder="1"/>
    </xf>
    <xf numFmtId="0" fontId="8" fillId="3" borderId="1" xfId="0" applyNumberFormat="1" applyFont="1" applyFill="1" applyBorder="1" applyAlignment="1">
      <alignment horizontal="center" vertical="top" wrapText="1" readingOrder="1"/>
    </xf>
    <xf numFmtId="176" fontId="4" fillId="0" borderId="2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0" fontId="8" fillId="0" borderId="2" xfId="0" applyNumberFormat="1" applyFont="1" applyFill="1" applyBorder="1" applyAlignment="1">
      <alignment horizontal="center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799AF"/>
      <rgbColor rgb="00FFFFFF"/>
      <rgbColor rgb="00BCC3CC"/>
      <rgbColor rgb="00D3D3D3"/>
      <rgbColor rgb="00808080"/>
      <rgbColor rgb="00DFE3E8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603885</xdr:colOff>
      <xdr:row>0</xdr:row>
      <xdr:rowOff>381000</xdr:rowOff>
    </xdr:from>
    <xdr:to>
      <xdr:col>7</xdr:col>
      <xdr:colOff>1107687</xdr:colOff>
      <xdr:row>1</xdr:row>
      <xdr:rowOff>330835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1660" y="381000"/>
          <a:ext cx="50355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5"/>
  <sheetViews>
    <sheetView tabSelected="1" view="pageBreakPreview" zoomScaleNormal="100" workbookViewId="0">
      <selection activeCell="H5" sqref="H5:H219"/>
    </sheetView>
  </sheetViews>
  <sheetFormatPr defaultColWidth="9" defaultRowHeight="13.5" outlineLevelCol="7"/>
  <cols>
    <col min="1" max="1" width="0.791666666666667" style="1" customWidth="1"/>
    <col min="2" max="2" width="10.5" style="1" customWidth="1"/>
    <col min="3" max="3" width="8.875" style="1" customWidth="1"/>
    <col min="4" max="4" width="9" style="1" customWidth="1"/>
    <col min="5" max="5" width="17.25" style="1" customWidth="1"/>
    <col min="6" max="6" width="10.5" style="1" customWidth="1"/>
    <col min="7" max="7" width="26.125" style="1" customWidth="1"/>
    <col min="8" max="8" width="17.5" style="1" customWidth="1"/>
    <col min="9" max="16366" width="9" style="1"/>
  </cols>
  <sheetData>
    <row r="1" s="1" customFormat="1" ht="44" customHeight="1" spans="1:8">
      <c r="A1" s="2" t="s">
        <v>0</v>
      </c>
    </row>
    <row r="2" s="1" customFormat="1" ht="36" customHeight="1" spans="1:8">
      <c r="A2" s="3" t="s">
        <v>1</v>
      </c>
    </row>
    <row r="3" s="1" customFormat="1" ht="15" customHeight="1" spans="1:8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</row>
    <row r="4" s="1" customFormat="1" ht="15" spans="1:8">
      <c r="A4" s="6" t="s">
        <v>9</v>
      </c>
      <c r="B4" s="7" t="s">
        <v>10</v>
      </c>
      <c r="C4" s="6" t="s">
        <v>9</v>
      </c>
      <c r="D4" s="6" t="s">
        <v>9</v>
      </c>
      <c r="E4" s="6" t="s">
        <v>9</v>
      </c>
      <c r="F4" s="6" t="s">
        <v>9</v>
      </c>
      <c r="G4" s="7" t="s">
        <v>9</v>
      </c>
      <c r="H4" s="8">
        <f>H5+H18+H26+H49+H62+H68+H81+H95+H114+H121+H141+H158+H169+H176+H187+H199+H214</f>
        <v>21365.78</v>
      </c>
    </row>
    <row r="5" s="1" customFormat="1" ht="14.25" spans="1:8">
      <c r="B5" s="9" t="s">
        <v>11</v>
      </c>
      <c r="C5" s="6" t="s">
        <v>9</v>
      </c>
      <c r="D5" s="6" t="s">
        <v>9</v>
      </c>
      <c r="E5" s="6" t="s">
        <v>9</v>
      </c>
      <c r="F5" s="6" t="s">
        <v>9</v>
      </c>
      <c r="G5" s="9" t="s">
        <v>9</v>
      </c>
      <c r="H5" s="10">
        <f>1035+2399.38-150</f>
        <v>3284.38</v>
      </c>
    </row>
    <row r="6" s="1" customFormat="1" spans="1:8">
      <c r="B6" s="11">
        <v>46113</v>
      </c>
      <c r="C6" s="12">
        <v>1591152</v>
      </c>
      <c r="D6" s="12" t="s">
        <v>12</v>
      </c>
      <c r="E6" s="13" t="s">
        <v>13</v>
      </c>
      <c r="F6" s="12">
        <v>20014878</v>
      </c>
      <c r="G6" s="13" t="s">
        <v>14</v>
      </c>
      <c r="H6" s="14">
        <v>1</v>
      </c>
    </row>
    <row r="7" s="1" customFormat="1" spans="1:8">
      <c r="B7" s="11">
        <v>46113</v>
      </c>
      <c r="C7" s="12">
        <v>1591152</v>
      </c>
      <c r="D7" s="12" t="s">
        <v>12</v>
      </c>
      <c r="E7" s="13" t="s">
        <v>13</v>
      </c>
      <c r="F7" s="12">
        <v>20014877</v>
      </c>
      <c r="G7" s="13" t="s">
        <v>15</v>
      </c>
      <c r="H7" s="14">
        <v>1</v>
      </c>
    </row>
    <row r="8" s="1" customFormat="1" ht="14.25" spans="1:8">
      <c r="B8" s="9" t="s">
        <v>16</v>
      </c>
      <c r="C8" s="6" t="s">
        <v>9</v>
      </c>
      <c r="D8" s="6" t="s">
        <v>9</v>
      </c>
      <c r="E8" s="6" t="s">
        <v>9</v>
      </c>
      <c r="F8" s="6" t="s">
        <v>9</v>
      </c>
      <c r="G8" s="9" t="s">
        <v>9</v>
      </c>
      <c r="H8" s="10"/>
    </row>
    <row r="9" s="1" customFormat="1" spans="1:8">
      <c r="B9" s="11">
        <v>46113</v>
      </c>
      <c r="C9" s="12">
        <v>1591153</v>
      </c>
      <c r="D9" s="12" t="s">
        <v>17</v>
      </c>
      <c r="E9" s="13" t="s">
        <v>17</v>
      </c>
      <c r="F9" s="12">
        <v>20015014</v>
      </c>
      <c r="G9" s="13" t="s">
        <v>18</v>
      </c>
      <c r="H9" s="14">
        <v>2</v>
      </c>
    </row>
    <row r="10" s="1" customFormat="1" spans="1:8">
      <c r="B10" s="11">
        <v>46113</v>
      </c>
      <c r="C10" s="12">
        <v>1591153</v>
      </c>
      <c r="D10" s="12" t="s">
        <v>19</v>
      </c>
      <c r="E10" s="13" t="s">
        <v>19</v>
      </c>
      <c r="F10" s="12">
        <v>20014883</v>
      </c>
      <c r="G10" s="13" t="s">
        <v>20</v>
      </c>
      <c r="H10" s="14">
        <v>9</v>
      </c>
    </row>
    <row r="11" s="1" customFormat="1" spans="1:8">
      <c r="B11" s="11">
        <v>46113</v>
      </c>
      <c r="C11" s="12">
        <v>1591153</v>
      </c>
      <c r="D11" s="12" t="s">
        <v>19</v>
      </c>
      <c r="E11" s="13" t="s">
        <v>21</v>
      </c>
      <c r="F11" s="12">
        <v>20014898</v>
      </c>
      <c r="G11" s="13" t="s">
        <v>22</v>
      </c>
      <c r="H11" s="14">
        <v>2</v>
      </c>
    </row>
    <row r="12" s="1" customFormat="1" customHeight="1" spans="1:8">
      <c r="B12" s="11">
        <v>46113</v>
      </c>
      <c r="C12" s="12">
        <v>1591153</v>
      </c>
      <c r="D12" s="12" t="s">
        <v>12</v>
      </c>
      <c r="E12" s="13" t="s">
        <v>23</v>
      </c>
      <c r="F12" s="12">
        <v>20389125</v>
      </c>
      <c r="G12" s="13" t="s">
        <v>24</v>
      </c>
      <c r="H12" s="14">
        <v>2</v>
      </c>
    </row>
    <row r="13" s="1" customFormat="1" customHeight="1" spans="1:8">
      <c r="B13" s="11">
        <v>46113</v>
      </c>
      <c r="C13" s="12">
        <v>1591281</v>
      </c>
      <c r="D13" s="12" t="s">
        <v>25</v>
      </c>
      <c r="E13" s="13" t="s">
        <v>26</v>
      </c>
      <c r="F13" s="12">
        <v>20419769</v>
      </c>
      <c r="G13" s="13" t="s">
        <v>27</v>
      </c>
      <c r="H13" s="14">
        <v>1</v>
      </c>
    </row>
    <row r="14" s="1" customFormat="1" customHeight="1" spans="1:8">
      <c r="B14" s="11">
        <v>46113</v>
      </c>
      <c r="C14" s="12">
        <v>1591281</v>
      </c>
      <c r="D14" s="12" t="s">
        <v>25</v>
      </c>
      <c r="E14" s="13" t="s">
        <v>28</v>
      </c>
      <c r="F14" s="12">
        <v>20419771</v>
      </c>
      <c r="G14" s="13" t="s">
        <v>29</v>
      </c>
      <c r="H14" s="14">
        <v>1</v>
      </c>
    </row>
    <row r="15" customHeight="1" spans="1:8">
      <c r="B15" s="11">
        <v>46113</v>
      </c>
      <c r="C15" s="12">
        <v>1591281</v>
      </c>
      <c r="D15" s="12" t="s">
        <v>25</v>
      </c>
      <c r="E15" s="13" t="s">
        <v>28</v>
      </c>
      <c r="F15" s="12">
        <v>20419770</v>
      </c>
      <c r="G15" s="13" t="s">
        <v>30</v>
      </c>
      <c r="H15" s="14">
        <v>1</v>
      </c>
    </row>
    <row r="18" ht="14.25" spans="2:8">
      <c r="B18" s="9" t="s">
        <v>31</v>
      </c>
      <c r="C18" s="6" t="s">
        <v>9</v>
      </c>
      <c r="D18" s="6" t="s">
        <v>9</v>
      </c>
      <c r="E18" s="6" t="s">
        <v>9</v>
      </c>
      <c r="F18" s="6" t="s">
        <v>9</v>
      </c>
      <c r="G18" s="9" t="s">
        <v>9</v>
      </c>
      <c r="H18" s="10">
        <v>135</v>
      </c>
    </row>
    <row r="19" spans="2:8">
      <c r="B19" s="11">
        <v>46114</v>
      </c>
      <c r="C19" s="12">
        <v>1591467</v>
      </c>
      <c r="D19" s="12" t="s">
        <v>17</v>
      </c>
      <c r="E19" s="13" t="s">
        <v>17</v>
      </c>
      <c r="F19" s="12">
        <v>20015008</v>
      </c>
      <c r="G19" s="13" t="s">
        <v>32</v>
      </c>
      <c r="H19" s="14">
        <v>2</v>
      </c>
    </row>
    <row r="20" spans="2:8">
      <c r="B20" s="11">
        <v>46114</v>
      </c>
      <c r="C20" s="12">
        <v>1591521</v>
      </c>
      <c r="D20" s="12" t="s">
        <v>17</v>
      </c>
      <c r="E20" s="13" t="s">
        <v>17</v>
      </c>
      <c r="F20" s="12">
        <v>20367138</v>
      </c>
      <c r="G20" s="13" t="s">
        <v>33</v>
      </c>
      <c r="H20" s="14">
        <v>1</v>
      </c>
    </row>
    <row r="21" ht="14.25" spans="2:8">
      <c r="B21" s="9" t="s">
        <v>16</v>
      </c>
      <c r="C21" s="6" t="s">
        <v>9</v>
      </c>
      <c r="D21" s="6" t="s">
        <v>9</v>
      </c>
      <c r="E21" s="6" t="s">
        <v>9</v>
      </c>
      <c r="F21" s="6" t="s">
        <v>9</v>
      </c>
      <c r="G21" s="9" t="s">
        <v>9</v>
      </c>
      <c r="H21" s="10"/>
    </row>
    <row r="22" spans="2:8">
      <c r="B22" s="11">
        <v>46114</v>
      </c>
      <c r="C22" s="12">
        <v>1591468</v>
      </c>
      <c r="D22" s="12" t="s">
        <v>12</v>
      </c>
      <c r="E22" s="13" t="s">
        <v>23</v>
      </c>
      <c r="F22" s="12">
        <v>20389125</v>
      </c>
      <c r="G22" s="13" t="s">
        <v>24</v>
      </c>
      <c r="H22" s="14">
        <v>1</v>
      </c>
    </row>
    <row r="23" spans="2:8">
      <c r="B23" s="11">
        <v>46114</v>
      </c>
      <c r="C23" s="12">
        <v>1591522</v>
      </c>
      <c r="D23" s="12" t="s">
        <v>17</v>
      </c>
      <c r="E23" s="13" t="s">
        <v>17</v>
      </c>
      <c r="F23" s="12">
        <v>20015014</v>
      </c>
      <c r="G23" s="13" t="s">
        <v>18</v>
      </c>
      <c r="H23" s="14">
        <v>1</v>
      </c>
    </row>
    <row r="26" ht="14.25" spans="2:8">
      <c r="B26" s="9" t="s">
        <v>34</v>
      </c>
      <c r="C26" s="6" t="s">
        <v>9</v>
      </c>
      <c r="D26" s="6" t="s">
        <v>9</v>
      </c>
      <c r="E26" s="6" t="s">
        <v>9</v>
      </c>
      <c r="F26" s="6" t="s">
        <v>9</v>
      </c>
      <c r="G26" s="9" t="s">
        <v>9</v>
      </c>
      <c r="H26" s="10">
        <v>1384.2</v>
      </c>
    </row>
    <row r="27" spans="2:8">
      <c r="B27" s="11">
        <v>46115</v>
      </c>
      <c r="C27" s="12">
        <v>1591912</v>
      </c>
      <c r="D27" s="12" t="s">
        <v>12</v>
      </c>
      <c r="E27" s="13" t="s">
        <v>13</v>
      </c>
      <c r="F27" s="12">
        <v>20389030</v>
      </c>
      <c r="G27" s="13" t="s">
        <v>35</v>
      </c>
      <c r="H27" s="14">
        <v>1</v>
      </c>
    </row>
    <row r="28" ht="14.25" spans="2:8">
      <c r="B28" s="9" t="s">
        <v>16</v>
      </c>
      <c r="C28" s="6" t="s">
        <v>9</v>
      </c>
      <c r="D28" s="6" t="s">
        <v>9</v>
      </c>
      <c r="E28" s="6" t="s">
        <v>9</v>
      </c>
      <c r="F28" s="6" t="s">
        <v>9</v>
      </c>
      <c r="G28" s="9" t="s">
        <v>9</v>
      </c>
      <c r="H28" s="10"/>
    </row>
    <row r="29" spans="2:8">
      <c r="B29" s="11">
        <v>46115</v>
      </c>
      <c r="C29" s="12">
        <v>1591913</v>
      </c>
      <c r="D29" s="12" t="s">
        <v>17</v>
      </c>
      <c r="E29" s="13" t="s">
        <v>17</v>
      </c>
      <c r="F29" s="12">
        <v>20014874</v>
      </c>
      <c r="G29" s="13" t="s">
        <v>36</v>
      </c>
      <c r="H29" s="14">
        <v>1</v>
      </c>
    </row>
    <row r="30" spans="2:8">
      <c r="B30" s="11">
        <v>46115</v>
      </c>
      <c r="C30" s="12">
        <v>1591913</v>
      </c>
      <c r="D30" s="12" t="s">
        <v>19</v>
      </c>
      <c r="E30" s="13" t="s">
        <v>19</v>
      </c>
      <c r="F30" s="12">
        <v>20014883</v>
      </c>
      <c r="G30" s="13" t="s">
        <v>20</v>
      </c>
      <c r="H30" s="14">
        <v>1</v>
      </c>
    </row>
    <row r="31" spans="2:8">
      <c r="B31" s="11">
        <v>46115</v>
      </c>
      <c r="C31" s="12">
        <v>1591913</v>
      </c>
      <c r="D31" s="12" t="s">
        <v>12</v>
      </c>
      <c r="E31" s="13" t="s">
        <v>23</v>
      </c>
      <c r="F31" s="12">
        <v>20389125</v>
      </c>
      <c r="G31" s="13" t="s">
        <v>24</v>
      </c>
      <c r="H31" s="14">
        <v>4</v>
      </c>
    </row>
    <row r="32" spans="2:8">
      <c r="B32" s="11">
        <v>46115</v>
      </c>
      <c r="C32" s="12">
        <v>1591913</v>
      </c>
      <c r="D32" s="12" t="s">
        <v>12</v>
      </c>
      <c r="E32" s="13" t="s">
        <v>13</v>
      </c>
      <c r="F32" s="12">
        <v>20389707</v>
      </c>
      <c r="G32" s="13" t="s">
        <v>37</v>
      </c>
      <c r="H32" s="14">
        <v>1</v>
      </c>
    </row>
    <row r="33" spans="2:8">
      <c r="B33" s="11">
        <v>46115</v>
      </c>
      <c r="C33" s="12">
        <v>1591913</v>
      </c>
      <c r="D33" s="12" t="s">
        <v>12</v>
      </c>
      <c r="E33" s="13" t="s">
        <v>13</v>
      </c>
      <c r="F33" s="12">
        <v>20398275</v>
      </c>
      <c r="G33" s="13" t="s">
        <v>38</v>
      </c>
      <c r="H33" s="14">
        <v>2</v>
      </c>
    </row>
    <row r="34" spans="2:8">
      <c r="B34" s="11">
        <v>46115</v>
      </c>
      <c r="C34" s="12">
        <v>1591913</v>
      </c>
      <c r="D34" s="12" t="s">
        <v>19</v>
      </c>
      <c r="E34" s="13" t="s">
        <v>21</v>
      </c>
      <c r="F34" s="12">
        <v>20014898</v>
      </c>
      <c r="G34" s="13" t="s">
        <v>22</v>
      </c>
      <c r="H34" s="14">
        <v>4</v>
      </c>
    </row>
    <row r="35" spans="2:8">
      <c r="B35" s="11">
        <v>46115</v>
      </c>
      <c r="C35" s="12">
        <v>1591913</v>
      </c>
      <c r="D35" s="12" t="s">
        <v>17</v>
      </c>
      <c r="E35" s="13" t="s">
        <v>17</v>
      </c>
      <c r="F35" s="12">
        <v>20015012</v>
      </c>
      <c r="G35" s="13" t="s">
        <v>39</v>
      </c>
      <c r="H35" s="14">
        <v>1</v>
      </c>
    </row>
    <row r="36" spans="2:8">
      <c r="B36" s="11">
        <v>46115</v>
      </c>
      <c r="C36" s="12">
        <v>1591913</v>
      </c>
      <c r="D36" s="12" t="s">
        <v>12</v>
      </c>
      <c r="E36" s="13" t="s">
        <v>13</v>
      </c>
      <c r="F36" s="12">
        <v>20389152</v>
      </c>
      <c r="G36" s="13" t="s">
        <v>40</v>
      </c>
      <c r="H36" s="14">
        <v>1</v>
      </c>
    </row>
    <row r="37" spans="2:8">
      <c r="B37" s="11">
        <v>46115</v>
      </c>
      <c r="C37" s="12">
        <v>1591913</v>
      </c>
      <c r="D37" s="12" t="s">
        <v>12</v>
      </c>
      <c r="E37" s="13" t="s">
        <v>13</v>
      </c>
      <c r="F37" s="12">
        <v>20406861</v>
      </c>
      <c r="G37" s="13" t="s">
        <v>41</v>
      </c>
      <c r="H37" s="14">
        <v>1</v>
      </c>
    </row>
    <row r="38" spans="2:8">
      <c r="B38" s="11">
        <v>46115</v>
      </c>
      <c r="C38" s="12">
        <v>1591913</v>
      </c>
      <c r="D38" s="12" t="s">
        <v>12</v>
      </c>
      <c r="E38" s="13" t="s">
        <v>23</v>
      </c>
      <c r="F38" s="12">
        <v>20389705</v>
      </c>
      <c r="G38" s="13" t="s">
        <v>42</v>
      </c>
      <c r="H38" s="14">
        <v>1</v>
      </c>
    </row>
    <row r="39" spans="2:8">
      <c r="B39" s="11">
        <v>46115</v>
      </c>
      <c r="C39" s="12">
        <v>1591913</v>
      </c>
      <c r="D39" s="12" t="s">
        <v>12</v>
      </c>
      <c r="E39" s="13" t="s">
        <v>13</v>
      </c>
      <c r="F39" s="12">
        <v>20388912</v>
      </c>
      <c r="G39" s="13" t="s">
        <v>43</v>
      </c>
      <c r="H39" s="14">
        <v>1</v>
      </c>
    </row>
    <row r="40" spans="2:8">
      <c r="B40" s="11">
        <v>46115</v>
      </c>
      <c r="C40" s="12">
        <v>1591913</v>
      </c>
      <c r="D40" s="12" t="s">
        <v>17</v>
      </c>
      <c r="E40" s="13" t="s">
        <v>17</v>
      </c>
      <c r="F40" s="12">
        <v>20015014</v>
      </c>
      <c r="G40" s="13" t="s">
        <v>18</v>
      </c>
      <c r="H40" s="14">
        <v>1</v>
      </c>
    </row>
    <row r="41" spans="2:8">
      <c r="B41" s="11">
        <v>46115</v>
      </c>
      <c r="C41" s="12">
        <v>1591913</v>
      </c>
      <c r="D41" s="12" t="s">
        <v>12</v>
      </c>
      <c r="E41" s="13" t="s">
        <v>13</v>
      </c>
      <c r="F41" s="12">
        <v>20388901</v>
      </c>
      <c r="G41" s="13" t="s">
        <v>44</v>
      </c>
      <c r="H41" s="14">
        <v>1</v>
      </c>
    </row>
    <row r="42" spans="2:8">
      <c r="B42" s="11">
        <v>46115</v>
      </c>
      <c r="C42" s="12">
        <v>1591913</v>
      </c>
      <c r="D42" s="12" t="s">
        <v>17</v>
      </c>
      <c r="E42" s="13" t="s">
        <v>17</v>
      </c>
      <c r="F42" s="12">
        <v>20014995</v>
      </c>
      <c r="G42" s="13" t="s">
        <v>45</v>
      </c>
      <c r="H42" s="14">
        <v>1</v>
      </c>
    </row>
    <row r="43" spans="2:8">
      <c r="B43" s="11">
        <v>46115</v>
      </c>
      <c r="C43" s="12">
        <v>1591913</v>
      </c>
      <c r="D43" s="12" t="s">
        <v>12</v>
      </c>
      <c r="E43" s="13" t="s">
        <v>13</v>
      </c>
      <c r="F43" s="12">
        <v>20389708</v>
      </c>
      <c r="G43" s="13" t="s">
        <v>46</v>
      </c>
      <c r="H43" s="14">
        <v>1</v>
      </c>
    </row>
    <row r="44" spans="2:8">
      <c r="B44" s="11">
        <v>46115</v>
      </c>
      <c r="C44" s="12">
        <v>1591913</v>
      </c>
      <c r="D44" s="12" t="s">
        <v>12</v>
      </c>
      <c r="E44" s="13" t="s">
        <v>23</v>
      </c>
      <c r="F44" s="12">
        <v>20390024</v>
      </c>
      <c r="G44" s="13" t="s">
        <v>47</v>
      </c>
      <c r="H44" s="14">
        <v>1</v>
      </c>
    </row>
    <row r="45" spans="2:8">
      <c r="B45" s="11">
        <v>46115</v>
      </c>
      <c r="C45" s="12">
        <v>1591913</v>
      </c>
      <c r="D45" s="12" t="s">
        <v>12</v>
      </c>
      <c r="E45" s="13" t="s">
        <v>23</v>
      </c>
      <c r="F45" s="12">
        <v>20015005</v>
      </c>
      <c r="G45" s="13" t="s">
        <v>48</v>
      </c>
      <c r="H45" s="14">
        <v>3</v>
      </c>
    </row>
    <row r="46" spans="2:8">
      <c r="B46" s="11">
        <v>46115</v>
      </c>
      <c r="C46" s="12">
        <v>1592013</v>
      </c>
      <c r="D46" s="12" t="s">
        <v>12</v>
      </c>
      <c r="E46" s="13" t="s">
        <v>23</v>
      </c>
      <c r="F46" s="12">
        <v>20390044</v>
      </c>
      <c r="G46" s="13" t="s">
        <v>49</v>
      </c>
      <c r="H46" s="14">
        <v>1</v>
      </c>
    </row>
    <row r="49" ht="14.25" spans="2:8">
      <c r="B49" s="9" t="s">
        <v>50</v>
      </c>
      <c r="C49" s="6" t="s">
        <v>9</v>
      </c>
      <c r="D49" s="6" t="s">
        <v>9</v>
      </c>
      <c r="E49" s="6" t="s">
        <v>9</v>
      </c>
      <c r="F49" s="6" t="s">
        <v>9</v>
      </c>
      <c r="G49" s="9" t="s">
        <v>9</v>
      </c>
      <c r="H49" s="10">
        <v>1553.4</v>
      </c>
    </row>
    <row r="50" spans="2:8">
      <c r="B50" s="11">
        <v>46120</v>
      </c>
      <c r="C50" s="12">
        <v>1592915</v>
      </c>
      <c r="D50" s="12" t="s">
        <v>12</v>
      </c>
      <c r="E50" s="13" t="s">
        <v>13</v>
      </c>
      <c r="F50" s="12">
        <v>20388912</v>
      </c>
      <c r="G50" s="13" t="s">
        <v>43</v>
      </c>
      <c r="H50" s="14">
        <v>1</v>
      </c>
    </row>
    <row r="51" spans="2:8">
      <c r="B51" s="11">
        <v>46120</v>
      </c>
      <c r="C51" s="12">
        <v>1592915</v>
      </c>
      <c r="D51" s="12" t="s">
        <v>12</v>
      </c>
      <c r="E51" s="13" t="s">
        <v>13</v>
      </c>
      <c r="F51" s="12">
        <v>20389030</v>
      </c>
      <c r="G51" s="13" t="s">
        <v>35</v>
      </c>
      <c r="H51" s="14">
        <v>1</v>
      </c>
    </row>
    <row r="52" ht="14.25" spans="2:8">
      <c r="B52" s="9" t="s">
        <v>31</v>
      </c>
      <c r="C52" s="6" t="s">
        <v>9</v>
      </c>
      <c r="D52" s="6" t="s">
        <v>9</v>
      </c>
      <c r="E52" s="6" t="s">
        <v>9</v>
      </c>
      <c r="F52" s="6" t="s">
        <v>9</v>
      </c>
      <c r="G52" s="9" t="s">
        <v>9</v>
      </c>
      <c r="H52" s="10"/>
    </row>
    <row r="53" spans="2:8">
      <c r="B53" s="11">
        <v>46120</v>
      </c>
      <c r="C53" s="12">
        <v>1592916</v>
      </c>
      <c r="D53" s="12" t="s">
        <v>17</v>
      </c>
      <c r="E53" s="13" t="s">
        <v>17</v>
      </c>
      <c r="F53" s="12">
        <v>20015008</v>
      </c>
      <c r="G53" s="13" t="s">
        <v>32</v>
      </c>
      <c r="H53" s="14">
        <v>2</v>
      </c>
    </row>
    <row r="54" spans="2:8">
      <c r="B54" s="11">
        <v>46120</v>
      </c>
      <c r="C54" s="12">
        <v>1592916</v>
      </c>
      <c r="D54" s="12" t="s">
        <v>17</v>
      </c>
      <c r="E54" s="13" t="s">
        <v>17</v>
      </c>
      <c r="F54" s="12">
        <v>20015016</v>
      </c>
      <c r="G54" s="13" t="s">
        <v>51</v>
      </c>
      <c r="H54" s="14">
        <v>1</v>
      </c>
    </row>
    <row r="55" ht="14.25" spans="2:8">
      <c r="B55" s="9" t="s">
        <v>16</v>
      </c>
      <c r="C55" s="6" t="s">
        <v>9</v>
      </c>
      <c r="D55" s="6" t="s">
        <v>9</v>
      </c>
      <c r="E55" s="6" t="s">
        <v>9</v>
      </c>
      <c r="F55" s="6" t="s">
        <v>9</v>
      </c>
      <c r="G55" s="9" t="s">
        <v>9</v>
      </c>
      <c r="H55" s="10"/>
    </row>
    <row r="56" spans="2:8">
      <c r="B56" s="11">
        <v>46120</v>
      </c>
      <c r="C56" s="12">
        <v>1592917</v>
      </c>
      <c r="D56" s="12" t="s">
        <v>12</v>
      </c>
      <c r="E56" s="13" t="s">
        <v>23</v>
      </c>
      <c r="F56" s="12">
        <v>20389125</v>
      </c>
      <c r="G56" s="13" t="s">
        <v>24</v>
      </c>
      <c r="H56" s="14">
        <v>10</v>
      </c>
    </row>
    <row r="57" spans="2:8">
      <c r="B57" s="11">
        <v>46120</v>
      </c>
      <c r="C57" s="12">
        <v>1592917</v>
      </c>
      <c r="D57" s="12" t="s">
        <v>17</v>
      </c>
      <c r="E57" s="13" t="s">
        <v>17</v>
      </c>
      <c r="F57" s="12">
        <v>20015014</v>
      </c>
      <c r="G57" s="13" t="s">
        <v>18</v>
      </c>
      <c r="H57" s="14">
        <v>10</v>
      </c>
    </row>
    <row r="58" spans="2:8">
      <c r="B58" s="11">
        <v>46120</v>
      </c>
      <c r="C58" s="12">
        <v>1592917</v>
      </c>
      <c r="D58" s="12" t="s">
        <v>19</v>
      </c>
      <c r="E58" s="13" t="s">
        <v>19</v>
      </c>
      <c r="F58" s="12">
        <v>20014883</v>
      </c>
      <c r="G58" s="13" t="s">
        <v>20</v>
      </c>
      <c r="H58" s="14">
        <v>10</v>
      </c>
    </row>
    <row r="59" spans="2:8">
      <c r="B59" s="11">
        <v>46120</v>
      </c>
      <c r="C59" s="12">
        <v>1592917</v>
      </c>
      <c r="D59" s="12" t="s">
        <v>19</v>
      </c>
      <c r="E59" s="13" t="s">
        <v>21</v>
      </c>
      <c r="F59" s="12">
        <v>20014898</v>
      </c>
      <c r="G59" s="13" t="s">
        <v>22</v>
      </c>
      <c r="H59" s="14">
        <v>4</v>
      </c>
    </row>
    <row r="62" ht="14.25" spans="2:8">
      <c r="B62" s="9" t="s">
        <v>16</v>
      </c>
      <c r="C62" s="6" t="s">
        <v>9</v>
      </c>
      <c r="D62" s="6" t="s">
        <v>9</v>
      </c>
      <c r="E62" s="6" t="s">
        <v>9</v>
      </c>
      <c r="F62" s="6" t="s">
        <v>9</v>
      </c>
      <c r="G62" s="9" t="s">
        <v>9</v>
      </c>
      <c r="H62" s="10">
        <v>108</v>
      </c>
    </row>
    <row r="63" spans="2:8">
      <c r="B63" s="11">
        <v>46121</v>
      </c>
      <c r="C63" s="12">
        <v>1593349</v>
      </c>
      <c r="D63" s="12" t="s">
        <v>12</v>
      </c>
      <c r="E63" s="13" t="s">
        <v>23</v>
      </c>
      <c r="F63" s="12">
        <v>20389125</v>
      </c>
      <c r="G63" s="13" t="s">
        <v>24</v>
      </c>
      <c r="H63" s="14">
        <v>2</v>
      </c>
    </row>
    <row r="64" spans="2:8">
      <c r="B64" s="11">
        <v>46121</v>
      </c>
      <c r="C64" s="12">
        <v>1593349</v>
      </c>
      <c r="D64" s="12" t="s">
        <v>17</v>
      </c>
      <c r="E64" s="13" t="s">
        <v>17</v>
      </c>
      <c r="F64" s="12">
        <v>20014982</v>
      </c>
      <c r="G64" s="13" t="s">
        <v>52</v>
      </c>
      <c r="H64" s="14">
        <v>1</v>
      </c>
    </row>
    <row r="65" spans="2:8">
      <c r="B65" s="11">
        <v>46121</v>
      </c>
      <c r="C65" s="12">
        <v>1593349</v>
      </c>
      <c r="D65" s="12" t="s">
        <v>17</v>
      </c>
      <c r="E65" s="13" t="s">
        <v>17</v>
      </c>
      <c r="F65" s="12">
        <v>20015014</v>
      </c>
      <c r="G65" s="13" t="s">
        <v>18</v>
      </c>
      <c r="H65" s="14">
        <v>1</v>
      </c>
    </row>
    <row r="68" ht="14.25" spans="2:8">
      <c r="B68" s="9" t="s">
        <v>34</v>
      </c>
      <c r="C68" s="6" t="s">
        <v>9</v>
      </c>
      <c r="D68" s="6" t="s">
        <v>9</v>
      </c>
      <c r="E68" s="6" t="s">
        <v>9</v>
      </c>
      <c r="F68" s="6" t="s">
        <v>9</v>
      </c>
      <c r="G68" s="9" t="s">
        <v>9</v>
      </c>
      <c r="H68" s="10">
        <v>1303.2</v>
      </c>
    </row>
    <row r="69" spans="2:8">
      <c r="B69" s="11">
        <v>46122</v>
      </c>
      <c r="C69" s="12">
        <v>1593756</v>
      </c>
      <c r="D69" s="12" t="s">
        <v>12</v>
      </c>
      <c r="E69" s="13" t="s">
        <v>13</v>
      </c>
      <c r="F69" s="12">
        <v>20400370</v>
      </c>
      <c r="G69" s="13" t="s">
        <v>53</v>
      </c>
      <c r="H69" s="14">
        <v>1</v>
      </c>
    </row>
    <row r="70" ht="14.25" spans="2:8">
      <c r="B70" s="9" t="s">
        <v>16</v>
      </c>
      <c r="C70" s="6" t="s">
        <v>9</v>
      </c>
      <c r="D70" s="6" t="s">
        <v>9</v>
      </c>
      <c r="E70" s="6" t="s">
        <v>9</v>
      </c>
      <c r="F70" s="6" t="s">
        <v>9</v>
      </c>
      <c r="G70" s="9" t="s">
        <v>9</v>
      </c>
      <c r="H70" s="10"/>
    </row>
    <row r="71" spans="2:8">
      <c r="B71" s="11">
        <v>46122</v>
      </c>
      <c r="C71" s="12">
        <v>1593757</v>
      </c>
      <c r="D71" s="12" t="s">
        <v>12</v>
      </c>
      <c r="E71" s="13" t="s">
        <v>23</v>
      </c>
      <c r="F71" s="12">
        <v>20015005</v>
      </c>
      <c r="G71" s="13" t="s">
        <v>48</v>
      </c>
      <c r="H71" s="14">
        <v>2</v>
      </c>
    </row>
    <row r="72" spans="2:8">
      <c r="B72" s="11">
        <v>46122</v>
      </c>
      <c r="C72" s="12">
        <v>1593757</v>
      </c>
      <c r="D72" s="12" t="s">
        <v>12</v>
      </c>
      <c r="E72" s="13" t="s">
        <v>13</v>
      </c>
      <c r="F72" s="12">
        <v>20388902</v>
      </c>
      <c r="G72" s="13" t="s">
        <v>54</v>
      </c>
      <c r="H72" s="14">
        <v>1</v>
      </c>
    </row>
    <row r="73" spans="2:8">
      <c r="B73" s="11">
        <v>46122</v>
      </c>
      <c r="C73" s="12">
        <v>1593757</v>
      </c>
      <c r="D73" s="12" t="s">
        <v>17</v>
      </c>
      <c r="E73" s="13" t="s">
        <v>17</v>
      </c>
      <c r="F73" s="12">
        <v>20015014</v>
      </c>
      <c r="G73" s="13" t="s">
        <v>18</v>
      </c>
      <c r="H73" s="14">
        <v>5</v>
      </c>
    </row>
    <row r="74" spans="2:8">
      <c r="B74" s="11">
        <v>46122</v>
      </c>
      <c r="C74" s="12">
        <v>1593757</v>
      </c>
      <c r="D74" s="12" t="s">
        <v>12</v>
      </c>
      <c r="E74" s="13" t="s">
        <v>13</v>
      </c>
      <c r="F74" s="12">
        <v>20407860</v>
      </c>
      <c r="G74" s="13" t="s">
        <v>55</v>
      </c>
      <c r="H74" s="14">
        <v>1</v>
      </c>
    </row>
    <row r="75" spans="2:8">
      <c r="B75" s="11">
        <v>46122</v>
      </c>
      <c r="C75" s="12">
        <v>1593757</v>
      </c>
      <c r="D75" s="12" t="s">
        <v>17</v>
      </c>
      <c r="E75" s="13" t="s">
        <v>17</v>
      </c>
      <c r="F75" s="12">
        <v>20313973</v>
      </c>
      <c r="G75" s="13" t="s">
        <v>56</v>
      </c>
      <c r="H75" s="14">
        <v>1</v>
      </c>
    </row>
    <row r="76" spans="2:8">
      <c r="B76" s="11">
        <v>46122</v>
      </c>
      <c r="C76" s="12">
        <v>1593757</v>
      </c>
      <c r="D76" s="12" t="s">
        <v>12</v>
      </c>
      <c r="E76" s="13" t="s">
        <v>23</v>
      </c>
      <c r="F76" s="12">
        <v>20389125</v>
      </c>
      <c r="G76" s="13" t="s">
        <v>24</v>
      </c>
      <c r="H76" s="14">
        <v>6</v>
      </c>
    </row>
    <row r="77" spans="2:8">
      <c r="B77" s="11">
        <v>46122</v>
      </c>
      <c r="C77" s="12">
        <v>1593757</v>
      </c>
      <c r="D77" s="12" t="s">
        <v>12</v>
      </c>
      <c r="E77" s="13" t="s">
        <v>13</v>
      </c>
      <c r="F77" s="12">
        <v>20389198</v>
      </c>
      <c r="G77" s="13" t="s">
        <v>57</v>
      </c>
      <c r="H77" s="14">
        <v>1</v>
      </c>
    </row>
    <row r="78" spans="2:8">
      <c r="B78" s="11">
        <v>46122</v>
      </c>
      <c r="C78" s="12">
        <v>1593757</v>
      </c>
      <c r="D78" s="12" t="s">
        <v>17</v>
      </c>
      <c r="E78" s="13" t="s">
        <v>17</v>
      </c>
      <c r="F78" s="12">
        <v>20015012</v>
      </c>
      <c r="G78" s="13" t="s">
        <v>39</v>
      </c>
      <c r="H78" s="14">
        <v>1</v>
      </c>
    </row>
    <row r="81" ht="14.25" spans="2:8">
      <c r="B81" s="9" t="s">
        <v>34</v>
      </c>
      <c r="C81" s="6" t="s">
        <v>9</v>
      </c>
      <c r="D81" s="6" t="s">
        <v>9</v>
      </c>
      <c r="E81" s="6" t="s">
        <v>9</v>
      </c>
      <c r="F81" s="6" t="s">
        <v>9</v>
      </c>
      <c r="G81" s="9" t="s">
        <v>9</v>
      </c>
      <c r="H81" s="10">
        <v>1357.2</v>
      </c>
    </row>
    <row r="82" spans="2:8">
      <c r="B82" s="11">
        <v>46125</v>
      </c>
      <c r="C82" s="12">
        <v>1594451</v>
      </c>
      <c r="D82" s="12" t="s">
        <v>12</v>
      </c>
      <c r="E82" s="13" t="s">
        <v>13</v>
      </c>
      <c r="F82" s="12">
        <v>20393833</v>
      </c>
      <c r="G82" s="13" t="s">
        <v>58</v>
      </c>
      <c r="H82" s="14">
        <v>1</v>
      </c>
    </row>
    <row r="83" ht="14.25" spans="2:8">
      <c r="B83" s="9" t="s">
        <v>31</v>
      </c>
      <c r="C83" s="6" t="s">
        <v>9</v>
      </c>
      <c r="D83" s="6" t="s">
        <v>9</v>
      </c>
      <c r="E83" s="6" t="s">
        <v>9</v>
      </c>
      <c r="F83" s="6" t="s">
        <v>9</v>
      </c>
      <c r="G83" s="9" t="s">
        <v>9</v>
      </c>
      <c r="H83" s="10"/>
    </row>
    <row r="84" spans="2:8">
      <c r="B84" s="11">
        <v>46125</v>
      </c>
      <c r="C84" s="12">
        <v>1594323</v>
      </c>
      <c r="D84" s="12" t="s">
        <v>17</v>
      </c>
      <c r="E84" s="13" t="s">
        <v>17</v>
      </c>
      <c r="F84" s="12">
        <v>20015008</v>
      </c>
      <c r="G84" s="13" t="s">
        <v>32</v>
      </c>
      <c r="H84" s="14">
        <v>1</v>
      </c>
    </row>
    <row r="85" spans="2:8">
      <c r="B85" s="11">
        <v>46125</v>
      </c>
      <c r="C85" s="12">
        <v>1594323</v>
      </c>
      <c r="D85" s="12" t="s">
        <v>12</v>
      </c>
      <c r="E85" s="13" t="s">
        <v>13</v>
      </c>
      <c r="F85" s="12">
        <v>20388911</v>
      </c>
      <c r="G85" s="13" t="s">
        <v>59</v>
      </c>
      <c r="H85" s="14">
        <v>6</v>
      </c>
    </row>
    <row r="86" spans="2:8">
      <c r="B86" s="11">
        <v>46125</v>
      </c>
      <c r="C86" s="12">
        <v>1594323</v>
      </c>
      <c r="D86" s="12" t="s">
        <v>12</v>
      </c>
      <c r="E86" s="13" t="s">
        <v>13</v>
      </c>
      <c r="F86" s="12">
        <v>20393833</v>
      </c>
      <c r="G86" s="13" t="s">
        <v>58</v>
      </c>
      <c r="H86" s="14">
        <v>4</v>
      </c>
    </row>
    <row r="87" ht="14.25" spans="2:8">
      <c r="B87" s="9" t="s">
        <v>16</v>
      </c>
      <c r="C87" s="6" t="s">
        <v>9</v>
      </c>
      <c r="D87" s="6" t="s">
        <v>9</v>
      </c>
      <c r="E87" s="6" t="s">
        <v>9</v>
      </c>
      <c r="F87" s="6" t="s">
        <v>9</v>
      </c>
      <c r="G87" s="9" t="s">
        <v>9</v>
      </c>
      <c r="H87" s="10"/>
    </row>
    <row r="88" spans="2:8">
      <c r="B88" s="11">
        <v>46125</v>
      </c>
      <c r="C88" s="12">
        <v>1594324</v>
      </c>
      <c r="D88" s="12" t="s">
        <v>19</v>
      </c>
      <c r="E88" s="13" t="s">
        <v>21</v>
      </c>
      <c r="F88" s="12">
        <v>20014898</v>
      </c>
      <c r="G88" s="13" t="s">
        <v>22</v>
      </c>
      <c r="H88" s="14">
        <v>7</v>
      </c>
    </row>
    <row r="89" spans="2:8">
      <c r="B89" s="11">
        <v>46125</v>
      </c>
      <c r="C89" s="12">
        <v>1594324</v>
      </c>
      <c r="D89" s="12" t="s">
        <v>17</v>
      </c>
      <c r="E89" s="13" t="s">
        <v>17</v>
      </c>
      <c r="F89" s="12">
        <v>20015014</v>
      </c>
      <c r="G89" s="13" t="s">
        <v>18</v>
      </c>
      <c r="H89" s="14">
        <v>3</v>
      </c>
    </row>
    <row r="90" spans="2:8">
      <c r="B90" s="11">
        <v>46125</v>
      </c>
      <c r="C90" s="12">
        <v>1594452</v>
      </c>
      <c r="D90" s="12" t="s">
        <v>12</v>
      </c>
      <c r="E90" s="13" t="s">
        <v>13</v>
      </c>
      <c r="F90" s="12">
        <v>20389203</v>
      </c>
      <c r="G90" s="13" t="s">
        <v>60</v>
      </c>
      <c r="H90" s="14">
        <v>1</v>
      </c>
    </row>
    <row r="91" spans="2:8">
      <c r="B91" s="11">
        <v>46125</v>
      </c>
      <c r="C91" s="12">
        <v>1594452</v>
      </c>
      <c r="D91" s="12" t="s">
        <v>12</v>
      </c>
      <c r="E91" s="13" t="s">
        <v>23</v>
      </c>
      <c r="F91" s="12">
        <v>20389125</v>
      </c>
      <c r="G91" s="13" t="s">
        <v>24</v>
      </c>
      <c r="H91" s="14">
        <v>3</v>
      </c>
    </row>
    <row r="92" spans="2:8">
      <c r="B92" s="11">
        <v>46125</v>
      </c>
      <c r="C92" s="12">
        <v>1594452</v>
      </c>
      <c r="D92" s="12" t="s">
        <v>12</v>
      </c>
      <c r="E92" s="13" t="s">
        <v>13</v>
      </c>
      <c r="F92" s="12">
        <v>20390926</v>
      </c>
      <c r="G92" s="13" t="s">
        <v>61</v>
      </c>
      <c r="H92" s="14">
        <v>1</v>
      </c>
    </row>
    <row r="95" ht="14.25" spans="2:8">
      <c r="B95" s="9" t="s">
        <v>16</v>
      </c>
      <c r="C95" s="6" t="s">
        <v>9</v>
      </c>
      <c r="D95" s="6" t="s">
        <v>9</v>
      </c>
      <c r="E95" s="6" t="s">
        <v>9</v>
      </c>
      <c r="F95" s="6" t="s">
        <v>9</v>
      </c>
      <c r="G95" s="9" t="s">
        <v>9</v>
      </c>
      <c r="H95" s="10">
        <v>1395</v>
      </c>
    </row>
    <row r="96" spans="2:8">
      <c r="B96" s="11">
        <v>46126</v>
      </c>
      <c r="C96" s="12">
        <v>1594748</v>
      </c>
      <c r="D96" s="12" t="s">
        <v>12</v>
      </c>
      <c r="E96" s="13" t="s">
        <v>13</v>
      </c>
      <c r="F96" s="12">
        <v>20389198</v>
      </c>
      <c r="G96" s="13" t="s">
        <v>57</v>
      </c>
      <c r="H96" s="14">
        <v>2</v>
      </c>
    </row>
    <row r="97" spans="2:8">
      <c r="B97" s="11">
        <v>46126</v>
      </c>
      <c r="C97" s="12">
        <v>1594748</v>
      </c>
      <c r="D97" s="12" t="s">
        <v>12</v>
      </c>
      <c r="E97" s="13" t="s">
        <v>23</v>
      </c>
      <c r="F97" s="12">
        <v>20015005</v>
      </c>
      <c r="G97" s="13" t="s">
        <v>48</v>
      </c>
      <c r="H97" s="14">
        <v>3</v>
      </c>
    </row>
    <row r="98" spans="2:8">
      <c r="B98" s="11">
        <v>46126</v>
      </c>
      <c r="C98" s="12">
        <v>1594748</v>
      </c>
      <c r="D98" s="12" t="s">
        <v>17</v>
      </c>
      <c r="E98" s="13" t="s">
        <v>17</v>
      </c>
      <c r="F98" s="12">
        <v>20014995</v>
      </c>
      <c r="G98" s="13" t="s">
        <v>45</v>
      </c>
      <c r="H98" s="14">
        <v>1</v>
      </c>
    </row>
    <row r="99" spans="2:8">
      <c r="B99" s="11">
        <v>46126</v>
      </c>
      <c r="C99" s="12">
        <v>1594748</v>
      </c>
      <c r="D99" s="12" t="s">
        <v>12</v>
      </c>
      <c r="E99" s="13" t="s">
        <v>13</v>
      </c>
      <c r="F99" s="12">
        <v>20388912</v>
      </c>
      <c r="G99" s="13" t="s">
        <v>43</v>
      </c>
      <c r="H99" s="14">
        <v>1</v>
      </c>
    </row>
    <row r="100" spans="2:8">
      <c r="B100" s="11">
        <v>46126</v>
      </c>
      <c r="C100" s="12">
        <v>1594748</v>
      </c>
      <c r="D100" s="12" t="s">
        <v>12</v>
      </c>
      <c r="E100" s="13" t="s">
        <v>23</v>
      </c>
      <c r="F100" s="12">
        <v>20389125</v>
      </c>
      <c r="G100" s="13" t="s">
        <v>24</v>
      </c>
      <c r="H100" s="14">
        <v>6</v>
      </c>
    </row>
    <row r="101" spans="2:8">
      <c r="B101" s="11">
        <v>46126</v>
      </c>
      <c r="C101" s="12">
        <v>1594748</v>
      </c>
      <c r="D101" s="12" t="s">
        <v>17</v>
      </c>
      <c r="E101" s="13" t="s">
        <v>17</v>
      </c>
      <c r="F101" s="12">
        <v>20015014</v>
      </c>
      <c r="G101" s="13" t="s">
        <v>18</v>
      </c>
      <c r="H101" s="14">
        <v>3</v>
      </c>
    </row>
    <row r="102" spans="2:8">
      <c r="B102" s="11">
        <v>46126</v>
      </c>
      <c r="C102" s="12">
        <v>1594748</v>
      </c>
      <c r="D102" s="12" t="s">
        <v>12</v>
      </c>
      <c r="E102" s="13" t="s">
        <v>13</v>
      </c>
      <c r="F102" s="12">
        <v>20406861</v>
      </c>
      <c r="G102" s="13" t="s">
        <v>41</v>
      </c>
      <c r="H102" s="14">
        <v>1</v>
      </c>
    </row>
    <row r="103" spans="2:8">
      <c r="B103" s="11">
        <v>46126</v>
      </c>
      <c r="C103" s="12">
        <v>1594748</v>
      </c>
      <c r="D103" s="12" t="s">
        <v>12</v>
      </c>
      <c r="E103" s="13" t="s">
        <v>13</v>
      </c>
      <c r="F103" s="12">
        <v>20421447</v>
      </c>
      <c r="G103" s="13" t="s">
        <v>62</v>
      </c>
      <c r="H103" s="14">
        <v>1</v>
      </c>
    </row>
    <row r="104" spans="2:8">
      <c r="B104" s="11">
        <v>46126</v>
      </c>
      <c r="C104" s="12">
        <v>1594748</v>
      </c>
      <c r="D104" s="12" t="s">
        <v>12</v>
      </c>
      <c r="E104" s="13" t="s">
        <v>13</v>
      </c>
      <c r="F104" s="12">
        <v>20389151</v>
      </c>
      <c r="G104" s="13" t="s">
        <v>63</v>
      </c>
      <c r="H104" s="14">
        <v>1</v>
      </c>
    </row>
    <row r="105" spans="2:8">
      <c r="B105" s="11">
        <v>46126</v>
      </c>
      <c r="C105" s="12">
        <v>1594748</v>
      </c>
      <c r="D105" s="12" t="s">
        <v>12</v>
      </c>
      <c r="E105" s="13" t="s">
        <v>13</v>
      </c>
      <c r="F105" s="12">
        <v>20389708</v>
      </c>
      <c r="G105" s="13" t="s">
        <v>46</v>
      </c>
      <c r="H105" s="14">
        <v>1</v>
      </c>
    </row>
    <row r="106" spans="2:8">
      <c r="B106" s="11">
        <v>46126</v>
      </c>
      <c r="C106" s="12">
        <v>1594748</v>
      </c>
      <c r="D106" s="12" t="s">
        <v>12</v>
      </c>
      <c r="E106" s="13" t="s">
        <v>13</v>
      </c>
      <c r="F106" s="12">
        <v>20389707</v>
      </c>
      <c r="G106" s="13" t="s">
        <v>37</v>
      </c>
      <c r="H106" s="14">
        <v>1</v>
      </c>
    </row>
    <row r="107" spans="2:8">
      <c r="B107" s="11">
        <v>46126</v>
      </c>
      <c r="C107" s="12">
        <v>1594748</v>
      </c>
      <c r="D107" s="12" t="s">
        <v>12</v>
      </c>
      <c r="E107" s="13" t="s">
        <v>13</v>
      </c>
      <c r="F107" s="12">
        <v>20389152</v>
      </c>
      <c r="G107" s="13" t="s">
        <v>40</v>
      </c>
      <c r="H107" s="14">
        <v>1</v>
      </c>
    </row>
    <row r="108" spans="2:8">
      <c r="B108" s="11">
        <v>46126</v>
      </c>
      <c r="C108" s="12">
        <v>1594748</v>
      </c>
      <c r="D108" s="12" t="s">
        <v>12</v>
      </c>
      <c r="E108" s="13" t="s">
        <v>23</v>
      </c>
      <c r="F108" s="12">
        <v>20014896</v>
      </c>
      <c r="G108" s="13" t="s">
        <v>64</v>
      </c>
      <c r="H108" s="14">
        <v>1</v>
      </c>
    </row>
    <row r="109" spans="2:8">
      <c r="B109" s="11">
        <v>46126</v>
      </c>
      <c r="C109" s="12">
        <v>1594748</v>
      </c>
      <c r="D109" s="12" t="s">
        <v>17</v>
      </c>
      <c r="E109" s="13" t="s">
        <v>17</v>
      </c>
      <c r="F109" s="12">
        <v>20015012</v>
      </c>
      <c r="G109" s="13" t="s">
        <v>39</v>
      </c>
      <c r="H109" s="14">
        <v>1</v>
      </c>
    </row>
    <row r="110" spans="2:8">
      <c r="B110" s="11">
        <v>46126</v>
      </c>
      <c r="C110" s="12">
        <v>1594770</v>
      </c>
      <c r="D110" s="12" t="s">
        <v>12</v>
      </c>
      <c r="E110" s="13" t="s">
        <v>23</v>
      </c>
      <c r="F110" s="12">
        <v>20389705</v>
      </c>
      <c r="G110" s="13" t="s">
        <v>42</v>
      </c>
      <c r="H110" s="14">
        <v>1</v>
      </c>
    </row>
    <row r="111" spans="2:8">
      <c r="B111" s="11">
        <v>46126</v>
      </c>
      <c r="C111" s="12">
        <v>1594770</v>
      </c>
      <c r="D111" s="12" t="s">
        <v>12</v>
      </c>
      <c r="E111" s="13" t="s">
        <v>23</v>
      </c>
      <c r="F111" s="12">
        <v>20390044</v>
      </c>
      <c r="G111" s="13" t="s">
        <v>49</v>
      </c>
      <c r="H111" s="14">
        <v>1</v>
      </c>
    </row>
    <row r="114" ht="14.25" spans="2:8">
      <c r="B114" s="9" t="s">
        <v>16</v>
      </c>
      <c r="C114" s="6" t="s">
        <v>9</v>
      </c>
      <c r="D114" s="6" t="s">
        <v>9</v>
      </c>
      <c r="E114" s="6" t="s">
        <v>9</v>
      </c>
      <c r="F114" s="6" t="s">
        <v>9</v>
      </c>
      <c r="G114" s="9" t="s">
        <v>9</v>
      </c>
      <c r="H114" s="10">
        <v>1245.6</v>
      </c>
    </row>
    <row r="115" spans="2:8">
      <c r="B115" s="11">
        <v>46127</v>
      </c>
      <c r="C115" s="12">
        <v>1595084</v>
      </c>
      <c r="D115" s="12" t="s">
        <v>12</v>
      </c>
      <c r="E115" s="13" t="s">
        <v>13</v>
      </c>
      <c r="F115" s="12">
        <v>20389784</v>
      </c>
      <c r="G115" s="13" t="s">
        <v>65</v>
      </c>
      <c r="H115" s="14">
        <v>2</v>
      </c>
    </row>
    <row r="116" spans="2:8">
      <c r="B116" s="11">
        <v>46127</v>
      </c>
      <c r="C116" s="12">
        <v>1595084</v>
      </c>
      <c r="D116" s="12" t="s">
        <v>19</v>
      </c>
      <c r="E116" s="13" t="s">
        <v>21</v>
      </c>
      <c r="F116" s="12">
        <v>20014898</v>
      </c>
      <c r="G116" s="13" t="s">
        <v>22</v>
      </c>
      <c r="H116" s="14">
        <v>4</v>
      </c>
    </row>
    <row r="117" spans="2:8">
      <c r="B117" s="11">
        <v>46127</v>
      </c>
      <c r="C117" s="12">
        <v>1595084</v>
      </c>
      <c r="D117" s="12" t="s">
        <v>12</v>
      </c>
      <c r="E117" s="13" t="s">
        <v>23</v>
      </c>
      <c r="F117" s="12">
        <v>20389125</v>
      </c>
      <c r="G117" s="13" t="s">
        <v>24</v>
      </c>
      <c r="H117" s="14">
        <v>6</v>
      </c>
    </row>
    <row r="118" spans="2:8">
      <c r="B118" s="11">
        <v>46127</v>
      </c>
      <c r="C118" s="12">
        <v>1595084</v>
      </c>
      <c r="D118" s="12" t="s">
        <v>17</v>
      </c>
      <c r="E118" s="13" t="s">
        <v>17</v>
      </c>
      <c r="F118" s="12">
        <v>20015014</v>
      </c>
      <c r="G118" s="13" t="s">
        <v>18</v>
      </c>
      <c r="H118" s="14">
        <v>6</v>
      </c>
    </row>
    <row r="121" ht="14.25" spans="2:8">
      <c r="B121" s="9" t="s">
        <v>31</v>
      </c>
      <c r="C121" s="6" t="s">
        <v>9</v>
      </c>
      <c r="D121" s="6" t="s">
        <v>9</v>
      </c>
      <c r="E121" s="6" t="s">
        <v>9</v>
      </c>
      <c r="F121" s="6" t="s">
        <v>9</v>
      </c>
      <c r="G121" s="9" t="s">
        <v>9</v>
      </c>
      <c r="H121" s="10">
        <v>1633.7</v>
      </c>
    </row>
    <row r="122" spans="2:8">
      <c r="B122" s="11">
        <v>46129</v>
      </c>
      <c r="C122" s="12">
        <v>1595891</v>
      </c>
      <c r="D122" s="12" t="s">
        <v>17</v>
      </c>
      <c r="E122" s="13" t="s">
        <v>17</v>
      </c>
      <c r="F122" s="12">
        <v>20015016</v>
      </c>
      <c r="G122" s="13" t="s">
        <v>51</v>
      </c>
      <c r="H122" s="14">
        <v>1</v>
      </c>
    </row>
    <row r="123" ht="14.25" spans="2:8">
      <c r="B123" s="9" t="s">
        <v>66</v>
      </c>
      <c r="C123" s="6" t="s">
        <v>9</v>
      </c>
      <c r="D123" s="6" t="s">
        <v>9</v>
      </c>
      <c r="E123" s="6" t="s">
        <v>9</v>
      </c>
      <c r="F123" s="6" t="s">
        <v>9</v>
      </c>
      <c r="G123" s="9" t="s">
        <v>9</v>
      </c>
      <c r="H123" s="10"/>
    </row>
    <row r="124" spans="2:8">
      <c r="B124" s="11">
        <v>46129</v>
      </c>
      <c r="C124" s="12">
        <v>1595892</v>
      </c>
      <c r="D124" s="12" t="s">
        <v>12</v>
      </c>
      <c r="E124" s="13" t="s">
        <v>13</v>
      </c>
      <c r="F124" s="12">
        <v>20014860</v>
      </c>
      <c r="G124" s="13" t="s">
        <v>67</v>
      </c>
      <c r="H124" s="14">
        <v>1</v>
      </c>
    </row>
    <row r="125" ht="14.25" spans="2:8">
      <c r="B125" s="9" t="s">
        <v>16</v>
      </c>
      <c r="C125" s="6" t="s">
        <v>9</v>
      </c>
      <c r="D125" s="6" t="s">
        <v>9</v>
      </c>
      <c r="E125" s="6" t="s">
        <v>9</v>
      </c>
      <c r="F125" s="6" t="s">
        <v>9</v>
      </c>
      <c r="G125" s="9" t="s">
        <v>9</v>
      </c>
      <c r="H125" s="10"/>
    </row>
    <row r="126" spans="2:8">
      <c r="B126" s="11">
        <v>46129</v>
      </c>
      <c r="C126" s="12">
        <v>1595893</v>
      </c>
      <c r="D126" s="12" t="s">
        <v>19</v>
      </c>
      <c r="E126" s="13" t="s">
        <v>19</v>
      </c>
      <c r="F126" s="12">
        <v>20014883</v>
      </c>
      <c r="G126" s="13" t="s">
        <v>20</v>
      </c>
      <c r="H126" s="14">
        <v>7</v>
      </c>
    </row>
    <row r="127" spans="2:8">
      <c r="B127" s="11">
        <v>46129</v>
      </c>
      <c r="C127" s="12">
        <v>1595893</v>
      </c>
      <c r="D127" s="12" t="s">
        <v>19</v>
      </c>
      <c r="E127" s="13" t="s">
        <v>19</v>
      </c>
      <c r="F127" s="12">
        <v>20014882</v>
      </c>
      <c r="G127" s="13" t="s">
        <v>68</v>
      </c>
      <c r="H127" s="14">
        <v>2</v>
      </c>
    </row>
    <row r="128" spans="2:8">
      <c r="B128" s="11">
        <v>46129</v>
      </c>
      <c r="C128" s="12">
        <v>1595893</v>
      </c>
      <c r="D128" s="12" t="s">
        <v>17</v>
      </c>
      <c r="E128" s="13" t="s">
        <v>17</v>
      </c>
      <c r="F128" s="12">
        <v>20014874</v>
      </c>
      <c r="G128" s="13" t="s">
        <v>36</v>
      </c>
      <c r="H128" s="14">
        <v>1</v>
      </c>
    </row>
    <row r="129" spans="2:8">
      <c r="B129" s="11">
        <v>46129</v>
      </c>
      <c r="C129" s="12">
        <v>1595893</v>
      </c>
      <c r="D129" s="12" t="s">
        <v>12</v>
      </c>
      <c r="E129" s="13" t="s">
        <v>13</v>
      </c>
      <c r="F129" s="12">
        <v>20389198</v>
      </c>
      <c r="G129" s="13" t="s">
        <v>57</v>
      </c>
      <c r="H129" s="14">
        <v>1</v>
      </c>
    </row>
    <row r="130" spans="2:8">
      <c r="B130" s="11">
        <v>46129</v>
      </c>
      <c r="C130" s="12">
        <v>1595893</v>
      </c>
      <c r="D130" s="12" t="s">
        <v>12</v>
      </c>
      <c r="E130" s="13" t="s">
        <v>23</v>
      </c>
      <c r="F130" s="12">
        <v>20389125</v>
      </c>
      <c r="G130" s="13" t="s">
        <v>24</v>
      </c>
      <c r="H130" s="14">
        <v>8</v>
      </c>
    </row>
    <row r="131" spans="2:8">
      <c r="B131" s="11">
        <v>46129</v>
      </c>
      <c r="C131" s="12">
        <v>1595893</v>
      </c>
      <c r="D131" s="12" t="s">
        <v>12</v>
      </c>
      <c r="E131" s="13" t="s">
        <v>13</v>
      </c>
      <c r="F131" s="12">
        <v>20390025</v>
      </c>
      <c r="G131" s="13" t="s">
        <v>69</v>
      </c>
      <c r="H131" s="14">
        <v>2</v>
      </c>
    </row>
    <row r="132" spans="2:8">
      <c r="B132" s="11">
        <v>46129</v>
      </c>
      <c r="C132" s="12">
        <v>1595893</v>
      </c>
      <c r="D132" s="12" t="s">
        <v>12</v>
      </c>
      <c r="E132" s="13" t="s">
        <v>23</v>
      </c>
      <c r="F132" s="12">
        <v>20015005</v>
      </c>
      <c r="G132" s="13" t="s">
        <v>48</v>
      </c>
      <c r="H132" s="14">
        <v>2</v>
      </c>
    </row>
    <row r="133" spans="2:8">
      <c r="B133" s="11">
        <v>46129</v>
      </c>
      <c r="C133" s="12">
        <v>1595893</v>
      </c>
      <c r="D133" s="12" t="s">
        <v>12</v>
      </c>
      <c r="E133" s="13" t="s">
        <v>13</v>
      </c>
      <c r="F133" s="12">
        <v>20399927</v>
      </c>
      <c r="G133" s="13" t="s">
        <v>70</v>
      </c>
      <c r="H133" s="14">
        <v>1</v>
      </c>
    </row>
    <row r="134" spans="2:8">
      <c r="B134" s="11">
        <v>46129</v>
      </c>
      <c r="C134" s="12">
        <v>1595893</v>
      </c>
      <c r="D134" s="12" t="s">
        <v>12</v>
      </c>
      <c r="E134" s="13" t="s">
        <v>13</v>
      </c>
      <c r="F134" s="12">
        <v>20389708</v>
      </c>
      <c r="G134" s="13" t="s">
        <v>46</v>
      </c>
      <c r="H134" s="14">
        <v>1</v>
      </c>
    </row>
    <row r="135" spans="2:8">
      <c r="B135" s="11">
        <v>46129</v>
      </c>
      <c r="C135" s="12">
        <v>1595893</v>
      </c>
      <c r="D135" s="12" t="s">
        <v>17</v>
      </c>
      <c r="E135" s="13" t="s">
        <v>17</v>
      </c>
      <c r="F135" s="12">
        <v>20015012</v>
      </c>
      <c r="G135" s="13" t="s">
        <v>39</v>
      </c>
      <c r="H135" s="14">
        <v>1</v>
      </c>
    </row>
    <row r="136" spans="2:8">
      <c r="B136" s="11">
        <v>46129</v>
      </c>
      <c r="C136" s="12">
        <v>1595893</v>
      </c>
      <c r="D136" s="12" t="s">
        <v>12</v>
      </c>
      <c r="E136" s="13" t="s">
        <v>23</v>
      </c>
      <c r="F136" s="12">
        <v>20390044</v>
      </c>
      <c r="G136" s="13" t="s">
        <v>49</v>
      </c>
      <c r="H136" s="14">
        <v>1</v>
      </c>
    </row>
    <row r="137" spans="2:8">
      <c r="B137" s="11">
        <v>46129</v>
      </c>
      <c r="C137" s="12">
        <v>1595893</v>
      </c>
      <c r="D137" s="12" t="s">
        <v>17</v>
      </c>
      <c r="E137" s="13" t="s">
        <v>17</v>
      </c>
      <c r="F137" s="12">
        <v>20015014</v>
      </c>
      <c r="G137" s="13" t="s">
        <v>18</v>
      </c>
      <c r="H137" s="14">
        <v>6</v>
      </c>
    </row>
    <row r="138" spans="2:8">
      <c r="B138" s="11">
        <v>46129</v>
      </c>
      <c r="C138" s="12">
        <v>1595893</v>
      </c>
      <c r="D138" s="12" t="s">
        <v>17</v>
      </c>
      <c r="E138" s="13" t="s">
        <v>71</v>
      </c>
      <c r="F138" s="12">
        <v>20397187</v>
      </c>
      <c r="G138" s="13" t="s">
        <v>72</v>
      </c>
      <c r="H138" s="14">
        <v>1</v>
      </c>
    </row>
    <row r="141" ht="14.25" spans="2:8">
      <c r="B141" s="9" t="s">
        <v>34</v>
      </c>
      <c r="C141" s="6" t="s">
        <v>9</v>
      </c>
      <c r="D141" s="6" t="s">
        <v>9</v>
      </c>
      <c r="E141" s="6" t="s">
        <v>9</v>
      </c>
      <c r="F141" s="6" t="s">
        <v>9</v>
      </c>
      <c r="G141" s="9" t="s">
        <v>9</v>
      </c>
      <c r="H141" s="10">
        <v>1540.8</v>
      </c>
    </row>
    <row r="142" spans="2:8">
      <c r="B142" s="11">
        <v>46132</v>
      </c>
      <c r="C142" s="12">
        <v>1596438</v>
      </c>
      <c r="D142" s="12" t="s">
        <v>12</v>
      </c>
      <c r="E142" s="13" t="s">
        <v>13</v>
      </c>
      <c r="F142" s="12">
        <v>20014860</v>
      </c>
      <c r="G142" s="13" t="s">
        <v>67</v>
      </c>
      <c r="H142" s="14">
        <v>1</v>
      </c>
    </row>
    <row r="143" spans="2:8">
      <c r="B143" s="11">
        <v>46132</v>
      </c>
      <c r="C143" s="12">
        <v>1596438</v>
      </c>
      <c r="D143" s="12" t="s">
        <v>12</v>
      </c>
      <c r="E143" s="13" t="s">
        <v>13</v>
      </c>
      <c r="F143" s="12">
        <v>20014861</v>
      </c>
      <c r="G143" s="13" t="s">
        <v>73</v>
      </c>
      <c r="H143" s="14">
        <v>1</v>
      </c>
    </row>
    <row r="144" ht="14.25" spans="2:8">
      <c r="B144" s="9" t="s">
        <v>50</v>
      </c>
      <c r="C144" s="6" t="s">
        <v>9</v>
      </c>
      <c r="D144" s="6" t="s">
        <v>9</v>
      </c>
      <c r="E144" s="6" t="s">
        <v>9</v>
      </c>
      <c r="F144" s="6" t="s">
        <v>9</v>
      </c>
      <c r="G144" s="9" t="s">
        <v>9</v>
      </c>
      <c r="H144" s="10"/>
    </row>
    <row r="145" spans="2:8">
      <c r="B145" s="11">
        <v>46132</v>
      </c>
      <c r="C145" s="12">
        <v>1596440</v>
      </c>
      <c r="D145" s="12" t="s">
        <v>12</v>
      </c>
      <c r="E145" s="13" t="s">
        <v>13</v>
      </c>
      <c r="F145" s="12">
        <v>20388912</v>
      </c>
      <c r="G145" s="13" t="s">
        <v>43</v>
      </c>
      <c r="H145" s="14">
        <v>1</v>
      </c>
    </row>
    <row r="146" ht="14.25" spans="2:8">
      <c r="B146" s="9" t="s">
        <v>16</v>
      </c>
      <c r="C146" s="6" t="s">
        <v>9</v>
      </c>
      <c r="D146" s="6" t="s">
        <v>9</v>
      </c>
      <c r="E146" s="6" t="s">
        <v>9</v>
      </c>
      <c r="F146" s="6" t="s">
        <v>9</v>
      </c>
      <c r="G146" s="9" t="s">
        <v>9</v>
      </c>
      <c r="H146" s="10"/>
    </row>
    <row r="147" spans="2:8">
      <c r="B147" s="11">
        <v>46132</v>
      </c>
      <c r="C147" s="12">
        <v>1596441</v>
      </c>
      <c r="D147" s="12" t="s">
        <v>12</v>
      </c>
      <c r="E147" s="13" t="s">
        <v>13</v>
      </c>
      <c r="F147" s="12">
        <v>20388912</v>
      </c>
      <c r="G147" s="13" t="s">
        <v>43</v>
      </c>
      <c r="H147" s="14">
        <v>1</v>
      </c>
    </row>
    <row r="148" spans="2:8">
      <c r="B148" s="11">
        <v>46132</v>
      </c>
      <c r="C148" s="12">
        <v>1596441</v>
      </c>
      <c r="D148" s="12" t="s">
        <v>19</v>
      </c>
      <c r="E148" s="13" t="s">
        <v>19</v>
      </c>
      <c r="F148" s="12">
        <v>20014883</v>
      </c>
      <c r="G148" s="13" t="s">
        <v>20</v>
      </c>
      <c r="H148" s="14">
        <v>3</v>
      </c>
    </row>
    <row r="149" spans="2:8">
      <c r="B149" s="11">
        <v>46132</v>
      </c>
      <c r="C149" s="12">
        <v>1596441</v>
      </c>
      <c r="D149" s="12" t="s">
        <v>19</v>
      </c>
      <c r="E149" s="13" t="s">
        <v>21</v>
      </c>
      <c r="F149" s="12">
        <v>20014898</v>
      </c>
      <c r="G149" s="13" t="s">
        <v>22</v>
      </c>
      <c r="H149" s="14">
        <v>2</v>
      </c>
    </row>
    <row r="150" spans="2:8">
      <c r="B150" s="11">
        <v>46132</v>
      </c>
      <c r="C150" s="12">
        <v>1596441</v>
      </c>
      <c r="D150" s="12" t="s">
        <v>12</v>
      </c>
      <c r="E150" s="13" t="s">
        <v>23</v>
      </c>
      <c r="F150" s="12">
        <v>20389125</v>
      </c>
      <c r="G150" s="13" t="s">
        <v>24</v>
      </c>
      <c r="H150" s="14">
        <v>9</v>
      </c>
    </row>
    <row r="151" spans="2:8">
      <c r="B151" s="11">
        <v>46132</v>
      </c>
      <c r="C151" s="12">
        <v>1596441</v>
      </c>
      <c r="D151" s="12" t="s">
        <v>12</v>
      </c>
      <c r="E151" s="13" t="s">
        <v>23</v>
      </c>
      <c r="F151" s="12">
        <v>20015005</v>
      </c>
      <c r="G151" s="13" t="s">
        <v>48</v>
      </c>
      <c r="H151" s="14">
        <v>2</v>
      </c>
    </row>
    <row r="152" spans="2:8">
      <c r="B152" s="11">
        <v>46132</v>
      </c>
      <c r="C152" s="12">
        <v>1596441</v>
      </c>
      <c r="D152" s="12" t="s">
        <v>12</v>
      </c>
      <c r="E152" s="13" t="s">
        <v>13</v>
      </c>
      <c r="F152" s="12">
        <v>20389707</v>
      </c>
      <c r="G152" s="13" t="s">
        <v>37</v>
      </c>
      <c r="H152" s="14">
        <v>1</v>
      </c>
    </row>
    <row r="153" spans="2:8">
      <c r="B153" s="11">
        <v>46132</v>
      </c>
      <c r="C153" s="12">
        <v>1596441</v>
      </c>
      <c r="D153" s="12" t="s">
        <v>17</v>
      </c>
      <c r="E153" s="13" t="s">
        <v>17</v>
      </c>
      <c r="F153" s="12">
        <v>20015012</v>
      </c>
      <c r="G153" s="13" t="s">
        <v>39</v>
      </c>
      <c r="H153" s="14">
        <v>1</v>
      </c>
    </row>
    <row r="154" spans="2:8">
      <c r="B154" s="11">
        <v>46132</v>
      </c>
      <c r="C154" s="12">
        <v>1596441</v>
      </c>
      <c r="D154" s="12" t="s">
        <v>17</v>
      </c>
      <c r="E154" s="13" t="s">
        <v>17</v>
      </c>
      <c r="F154" s="12">
        <v>20015014</v>
      </c>
      <c r="G154" s="13" t="s">
        <v>18</v>
      </c>
      <c r="H154" s="14">
        <v>9</v>
      </c>
    </row>
    <row r="155" spans="2:8">
      <c r="B155" s="11">
        <v>46132</v>
      </c>
      <c r="C155" s="12">
        <v>1596441</v>
      </c>
      <c r="D155" s="12" t="s">
        <v>12</v>
      </c>
      <c r="E155" s="13" t="s">
        <v>23</v>
      </c>
      <c r="F155" s="12">
        <v>20389706</v>
      </c>
      <c r="G155" s="13" t="s">
        <v>74</v>
      </c>
      <c r="H155" s="14">
        <v>1</v>
      </c>
    </row>
    <row r="158" ht="14.25" spans="2:8">
      <c r="B158" s="9" t="s">
        <v>31</v>
      </c>
      <c r="C158" s="6" t="s">
        <v>9</v>
      </c>
      <c r="D158" s="6" t="s">
        <v>9</v>
      </c>
      <c r="E158" s="6" t="s">
        <v>9</v>
      </c>
      <c r="F158" s="6" t="s">
        <v>9</v>
      </c>
      <c r="G158" s="9" t="s">
        <v>9</v>
      </c>
      <c r="H158" s="10">
        <v>1194.3</v>
      </c>
    </row>
    <row r="159" spans="2:8">
      <c r="B159" s="11">
        <v>46133</v>
      </c>
      <c r="C159" s="12">
        <v>1596803</v>
      </c>
      <c r="D159" s="12" t="s">
        <v>17</v>
      </c>
      <c r="E159" s="13" t="s">
        <v>17</v>
      </c>
      <c r="F159" s="12">
        <v>20015008</v>
      </c>
      <c r="G159" s="13" t="s">
        <v>32</v>
      </c>
      <c r="H159" s="14">
        <v>1</v>
      </c>
    </row>
    <row r="160" spans="2:8">
      <c r="B160" s="11">
        <v>46133</v>
      </c>
      <c r="C160" s="12">
        <v>1596803</v>
      </c>
      <c r="D160" s="12" t="s">
        <v>12</v>
      </c>
      <c r="E160" s="13" t="s">
        <v>13</v>
      </c>
      <c r="F160" s="12">
        <v>20388911</v>
      </c>
      <c r="G160" s="13" t="s">
        <v>59</v>
      </c>
      <c r="H160" s="14">
        <v>5</v>
      </c>
    </row>
    <row r="161" ht="14.25" spans="2:8">
      <c r="B161" s="9" t="s">
        <v>16</v>
      </c>
      <c r="C161" s="6" t="s">
        <v>9</v>
      </c>
      <c r="D161" s="6" t="s">
        <v>9</v>
      </c>
      <c r="E161" s="6" t="s">
        <v>9</v>
      </c>
      <c r="F161" s="6" t="s">
        <v>9</v>
      </c>
      <c r="G161" s="9" t="s">
        <v>9</v>
      </c>
      <c r="H161" s="10"/>
    </row>
    <row r="162" spans="2:8">
      <c r="B162" s="11">
        <v>46133</v>
      </c>
      <c r="C162" s="12">
        <v>1596544</v>
      </c>
      <c r="D162" s="12" t="s">
        <v>12</v>
      </c>
      <c r="E162" s="13" t="s">
        <v>23</v>
      </c>
      <c r="F162" s="12">
        <v>20389705</v>
      </c>
      <c r="G162" s="13" t="s">
        <v>42</v>
      </c>
      <c r="H162" s="14">
        <v>1</v>
      </c>
    </row>
    <row r="163" spans="2:8">
      <c r="B163" s="11">
        <v>46133</v>
      </c>
      <c r="C163" s="12">
        <v>1596804</v>
      </c>
      <c r="D163" s="12" t="s">
        <v>12</v>
      </c>
      <c r="E163" s="13" t="s">
        <v>23</v>
      </c>
      <c r="F163" s="12">
        <v>20389125</v>
      </c>
      <c r="G163" s="13" t="s">
        <v>24</v>
      </c>
      <c r="H163" s="14">
        <v>3</v>
      </c>
    </row>
    <row r="164" spans="2:8">
      <c r="B164" s="11">
        <v>46133</v>
      </c>
      <c r="C164" s="12">
        <v>1596804</v>
      </c>
      <c r="D164" s="12" t="s">
        <v>17</v>
      </c>
      <c r="E164" s="13" t="s">
        <v>17</v>
      </c>
      <c r="F164" s="12">
        <v>20015014</v>
      </c>
      <c r="G164" s="13" t="s">
        <v>18</v>
      </c>
      <c r="H164" s="14">
        <v>3</v>
      </c>
    </row>
    <row r="165" spans="2:8">
      <c r="B165" s="11">
        <v>46133</v>
      </c>
      <c r="C165" s="12">
        <v>1596804</v>
      </c>
      <c r="D165" s="12" t="s">
        <v>19</v>
      </c>
      <c r="E165" s="13" t="s">
        <v>19</v>
      </c>
      <c r="F165" s="12">
        <v>20014883</v>
      </c>
      <c r="G165" s="13" t="s">
        <v>20</v>
      </c>
      <c r="H165" s="14">
        <v>1</v>
      </c>
    </row>
    <row r="166" spans="2:8">
      <c r="B166" s="11">
        <v>46133</v>
      </c>
      <c r="C166" s="12">
        <v>1596804</v>
      </c>
      <c r="D166" s="12" t="s">
        <v>19</v>
      </c>
      <c r="E166" s="13" t="s">
        <v>21</v>
      </c>
      <c r="F166" s="12">
        <v>20014898</v>
      </c>
      <c r="G166" s="13" t="s">
        <v>22</v>
      </c>
      <c r="H166" s="14">
        <v>4</v>
      </c>
    </row>
    <row r="169" ht="14.25" spans="2:8">
      <c r="B169" s="9" t="s">
        <v>16</v>
      </c>
      <c r="C169" s="6" t="s">
        <v>9</v>
      </c>
      <c r="D169" s="6" t="s">
        <v>9</v>
      </c>
      <c r="E169" s="6" t="s">
        <v>9</v>
      </c>
      <c r="F169" s="6" t="s">
        <v>9</v>
      </c>
      <c r="G169" s="9" t="s">
        <v>9</v>
      </c>
      <c r="H169" s="10">
        <v>1028.7</v>
      </c>
    </row>
    <row r="170" spans="2:8">
      <c r="B170" s="11">
        <v>46135</v>
      </c>
      <c r="C170" s="12">
        <v>1597591</v>
      </c>
      <c r="D170" s="12" t="s">
        <v>17</v>
      </c>
      <c r="E170" s="13" t="s">
        <v>17</v>
      </c>
      <c r="F170" s="12">
        <v>20015014</v>
      </c>
      <c r="G170" s="13" t="s">
        <v>18</v>
      </c>
      <c r="H170" s="14">
        <v>3</v>
      </c>
    </row>
    <row r="171" spans="2:8">
      <c r="B171" s="11">
        <v>46135</v>
      </c>
      <c r="C171" s="12">
        <v>1597591</v>
      </c>
      <c r="D171" s="12" t="s">
        <v>19</v>
      </c>
      <c r="E171" s="13" t="s">
        <v>21</v>
      </c>
      <c r="F171" s="12">
        <v>20014898</v>
      </c>
      <c r="G171" s="13" t="s">
        <v>22</v>
      </c>
      <c r="H171" s="14">
        <v>2</v>
      </c>
    </row>
    <row r="172" spans="2:8">
      <c r="B172" s="11">
        <v>46135</v>
      </c>
      <c r="C172" s="12">
        <v>1597591</v>
      </c>
      <c r="D172" s="12" t="s">
        <v>19</v>
      </c>
      <c r="E172" s="13" t="s">
        <v>19</v>
      </c>
      <c r="F172" s="12">
        <v>20014883</v>
      </c>
      <c r="G172" s="13" t="s">
        <v>20</v>
      </c>
      <c r="H172" s="14">
        <v>7</v>
      </c>
    </row>
    <row r="173" spans="2:8">
      <c r="B173" s="11">
        <v>46135</v>
      </c>
      <c r="C173" s="12">
        <v>1597591</v>
      </c>
      <c r="D173" s="12" t="s">
        <v>12</v>
      </c>
      <c r="E173" s="13" t="s">
        <v>23</v>
      </c>
      <c r="F173" s="12">
        <v>20389125</v>
      </c>
      <c r="G173" s="13" t="s">
        <v>24</v>
      </c>
      <c r="H173" s="14">
        <v>3</v>
      </c>
    </row>
    <row r="176" ht="14.25" spans="2:8">
      <c r="B176" s="9" t="s">
        <v>31</v>
      </c>
      <c r="C176" s="6" t="s">
        <v>9</v>
      </c>
      <c r="D176" s="6" t="s">
        <v>9</v>
      </c>
      <c r="E176" s="6" t="s">
        <v>9</v>
      </c>
      <c r="F176" s="6" t="s">
        <v>9</v>
      </c>
      <c r="G176" s="9" t="s">
        <v>9</v>
      </c>
      <c r="H176" s="10">
        <v>1487.7</v>
      </c>
    </row>
    <row r="177" spans="2:8">
      <c r="B177" s="11">
        <v>46139</v>
      </c>
      <c r="C177" s="12">
        <v>1598517</v>
      </c>
      <c r="D177" s="12" t="s">
        <v>12</v>
      </c>
      <c r="E177" s="13" t="s">
        <v>13</v>
      </c>
      <c r="F177" s="12">
        <v>20388911</v>
      </c>
      <c r="G177" s="13" t="s">
        <v>59</v>
      </c>
      <c r="H177" s="14">
        <v>2</v>
      </c>
    </row>
    <row r="178" spans="2:8">
      <c r="B178" s="11">
        <v>46139</v>
      </c>
      <c r="C178" s="12">
        <v>1598517</v>
      </c>
      <c r="D178" s="12" t="s">
        <v>17</v>
      </c>
      <c r="E178" s="13" t="s">
        <v>17</v>
      </c>
      <c r="F178" s="12">
        <v>20015016</v>
      </c>
      <c r="G178" s="13" t="s">
        <v>51</v>
      </c>
      <c r="H178" s="14">
        <v>1</v>
      </c>
    </row>
    <row r="179" spans="2:8">
      <c r="B179" s="11">
        <v>46139</v>
      </c>
      <c r="C179" s="12">
        <v>1598517</v>
      </c>
      <c r="D179" s="12" t="s">
        <v>12</v>
      </c>
      <c r="E179" s="13" t="s">
        <v>13</v>
      </c>
      <c r="F179" s="12">
        <v>20393833</v>
      </c>
      <c r="G179" s="13" t="s">
        <v>58</v>
      </c>
      <c r="H179" s="14">
        <v>1</v>
      </c>
    </row>
    <row r="180" ht="14.25" spans="2:8">
      <c r="B180" s="9" t="s">
        <v>16</v>
      </c>
      <c r="C180" s="6" t="s">
        <v>9</v>
      </c>
      <c r="D180" s="6" t="s">
        <v>9</v>
      </c>
      <c r="E180" s="6" t="s">
        <v>9</v>
      </c>
      <c r="F180" s="6" t="s">
        <v>9</v>
      </c>
      <c r="G180" s="9" t="s">
        <v>9</v>
      </c>
      <c r="H180" s="10"/>
    </row>
    <row r="181" spans="2:8">
      <c r="B181" s="11">
        <v>46139</v>
      </c>
      <c r="C181" s="12">
        <v>1598518</v>
      </c>
      <c r="D181" s="12" t="s">
        <v>19</v>
      </c>
      <c r="E181" s="13" t="s">
        <v>19</v>
      </c>
      <c r="F181" s="12">
        <v>20014883</v>
      </c>
      <c r="G181" s="13" t="s">
        <v>20</v>
      </c>
      <c r="H181" s="14">
        <v>6</v>
      </c>
    </row>
    <row r="182" spans="2:8">
      <c r="B182" s="11">
        <v>46139</v>
      </c>
      <c r="C182" s="12">
        <v>1598518</v>
      </c>
      <c r="D182" s="12" t="s">
        <v>19</v>
      </c>
      <c r="E182" s="13" t="s">
        <v>21</v>
      </c>
      <c r="F182" s="12">
        <v>20014898</v>
      </c>
      <c r="G182" s="13" t="s">
        <v>22</v>
      </c>
      <c r="H182" s="14">
        <v>3</v>
      </c>
    </row>
    <row r="183" spans="2:8">
      <c r="B183" s="11">
        <v>46139</v>
      </c>
      <c r="C183" s="12">
        <v>1598518</v>
      </c>
      <c r="D183" s="12" t="s">
        <v>12</v>
      </c>
      <c r="E183" s="13" t="s">
        <v>23</v>
      </c>
      <c r="F183" s="12">
        <v>20389125</v>
      </c>
      <c r="G183" s="13" t="s">
        <v>24</v>
      </c>
      <c r="H183" s="14">
        <v>10</v>
      </c>
    </row>
    <row r="184" spans="2:8">
      <c r="B184" s="11">
        <v>46139</v>
      </c>
      <c r="C184" s="12">
        <v>1598518</v>
      </c>
      <c r="D184" s="12" t="s">
        <v>17</v>
      </c>
      <c r="E184" s="13" t="s">
        <v>17</v>
      </c>
      <c r="F184" s="12">
        <v>20015014</v>
      </c>
      <c r="G184" s="13" t="s">
        <v>18</v>
      </c>
      <c r="H184" s="14">
        <v>10</v>
      </c>
    </row>
    <row r="187" ht="14.25" spans="2:8">
      <c r="B187" s="9" t="s">
        <v>34</v>
      </c>
      <c r="C187" s="6" t="s">
        <v>9</v>
      </c>
      <c r="D187" s="6" t="s">
        <v>9</v>
      </c>
      <c r="E187" s="6" t="s">
        <v>9</v>
      </c>
      <c r="F187" s="6" t="s">
        <v>9</v>
      </c>
      <c r="G187" s="9" t="s">
        <v>9</v>
      </c>
      <c r="H187" s="10">
        <f>9*27</f>
        <v>243</v>
      </c>
    </row>
    <row r="188" spans="2:8">
      <c r="B188" s="11">
        <v>46140</v>
      </c>
      <c r="C188" s="12">
        <v>1598870</v>
      </c>
      <c r="D188" s="12" t="s">
        <v>12</v>
      </c>
      <c r="E188" s="13" t="s">
        <v>13</v>
      </c>
      <c r="F188" s="12">
        <v>20393833</v>
      </c>
      <c r="G188" s="13" t="s">
        <v>58</v>
      </c>
      <c r="H188" s="14">
        <v>1</v>
      </c>
    </row>
    <row r="189" ht="14.25" spans="2:8">
      <c r="B189" s="9" t="s">
        <v>31</v>
      </c>
      <c r="C189" s="6" t="s">
        <v>9</v>
      </c>
      <c r="D189" s="6" t="s">
        <v>9</v>
      </c>
      <c r="E189" s="6" t="s">
        <v>9</v>
      </c>
      <c r="F189" s="6" t="s">
        <v>9</v>
      </c>
      <c r="G189" s="9" t="s">
        <v>9</v>
      </c>
      <c r="H189" s="10"/>
    </row>
    <row r="190" spans="2:8">
      <c r="B190" s="11">
        <v>46140</v>
      </c>
      <c r="C190" s="12">
        <v>1598871</v>
      </c>
      <c r="D190" s="12" t="s">
        <v>12</v>
      </c>
      <c r="E190" s="13" t="s">
        <v>13</v>
      </c>
      <c r="F190" s="12">
        <v>20388911</v>
      </c>
      <c r="G190" s="13" t="s">
        <v>59</v>
      </c>
      <c r="H190" s="14">
        <v>2</v>
      </c>
    </row>
    <row r="191" spans="2:8">
      <c r="B191" s="11">
        <v>46140</v>
      </c>
      <c r="C191" s="12">
        <v>1598871</v>
      </c>
      <c r="D191" s="12" t="s">
        <v>12</v>
      </c>
      <c r="E191" s="13" t="s">
        <v>13</v>
      </c>
      <c r="F191" s="12">
        <v>20388912</v>
      </c>
      <c r="G191" s="13" t="s">
        <v>43</v>
      </c>
      <c r="H191" s="14">
        <v>1</v>
      </c>
    </row>
    <row r="192" spans="2:8">
      <c r="B192" s="11">
        <v>46140</v>
      </c>
      <c r="C192" s="12">
        <v>1598871</v>
      </c>
      <c r="D192" s="12" t="s">
        <v>17</v>
      </c>
      <c r="E192" s="13" t="s">
        <v>17</v>
      </c>
      <c r="F192" s="12">
        <v>20015016</v>
      </c>
      <c r="G192" s="13" t="s">
        <v>51</v>
      </c>
      <c r="H192" s="14">
        <v>1</v>
      </c>
    </row>
    <row r="193" spans="2:8">
      <c r="B193" s="11">
        <v>46140</v>
      </c>
      <c r="C193" s="12">
        <v>1598871</v>
      </c>
      <c r="D193" s="12" t="s">
        <v>12</v>
      </c>
      <c r="E193" s="13" t="s">
        <v>13</v>
      </c>
      <c r="F193" s="12">
        <v>20393833</v>
      </c>
      <c r="G193" s="13" t="s">
        <v>58</v>
      </c>
      <c r="H193" s="14">
        <v>2</v>
      </c>
    </row>
    <row r="194" ht="14.25" spans="2:8">
      <c r="B194" s="9" t="s">
        <v>16</v>
      </c>
      <c r="C194" s="6" t="s">
        <v>9</v>
      </c>
      <c r="D194" s="6" t="s">
        <v>9</v>
      </c>
      <c r="E194" s="6" t="s">
        <v>9</v>
      </c>
      <c r="F194" s="6" t="s">
        <v>9</v>
      </c>
      <c r="G194" s="9" t="s">
        <v>9</v>
      </c>
      <c r="H194" s="10"/>
    </row>
    <row r="195" spans="2:8">
      <c r="B195" s="11">
        <v>46140</v>
      </c>
      <c r="C195" s="12">
        <v>1598872</v>
      </c>
      <c r="D195" s="12" t="s">
        <v>12</v>
      </c>
      <c r="E195" s="13" t="s">
        <v>23</v>
      </c>
      <c r="F195" s="12">
        <v>20389125</v>
      </c>
      <c r="G195" s="13" t="s">
        <v>24</v>
      </c>
      <c r="H195" s="14">
        <v>1</v>
      </c>
    </row>
    <row r="196" spans="2:8">
      <c r="B196" s="11">
        <v>46140</v>
      </c>
      <c r="C196" s="12">
        <v>1598872</v>
      </c>
      <c r="D196" s="12" t="s">
        <v>17</v>
      </c>
      <c r="E196" s="13" t="s">
        <v>17</v>
      </c>
      <c r="F196" s="12">
        <v>20015014</v>
      </c>
      <c r="G196" s="13" t="s">
        <v>18</v>
      </c>
      <c r="H196" s="14">
        <v>1</v>
      </c>
    </row>
    <row r="199" ht="14.25" spans="2:8">
      <c r="B199" s="9" t="s">
        <v>16</v>
      </c>
      <c r="C199" s="6" t="s">
        <v>9</v>
      </c>
      <c r="D199" s="6" t="s">
        <v>9</v>
      </c>
      <c r="E199" s="6" t="s">
        <v>9</v>
      </c>
      <c r="F199" s="6" t="s">
        <v>9</v>
      </c>
      <c r="G199" s="9" t="s">
        <v>9</v>
      </c>
      <c r="H199" s="10">
        <v>1462.7</v>
      </c>
    </row>
    <row r="200" spans="2:8">
      <c r="B200" s="11">
        <v>46141</v>
      </c>
      <c r="C200" s="12">
        <v>1599318</v>
      </c>
      <c r="D200" s="12" t="s">
        <v>12</v>
      </c>
      <c r="E200" s="13" t="s">
        <v>13</v>
      </c>
      <c r="F200" s="12">
        <v>20388912</v>
      </c>
      <c r="G200" s="13" t="s">
        <v>43</v>
      </c>
      <c r="H200" s="14">
        <v>1</v>
      </c>
    </row>
    <row r="201" spans="2:8">
      <c r="B201" s="11">
        <v>46141</v>
      </c>
      <c r="C201" s="12">
        <v>1599318</v>
      </c>
      <c r="D201" s="12" t="s">
        <v>12</v>
      </c>
      <c r="E201" s="13" t="s">
        <v>13</v>
      </c>
      <c r="F201" s="12">
        <v>20389198</v>
      </c>
      <c r="G201" s="13" t="s">
        <v>57</v>
      </c>
      <c r="H201" s="14">
        <v>1</v>
      </c>
    </row>
    <row r="202" spans="2:8">
      <c r="B202" s="11">
        <v>46141</v>
      </c>
      <c r="C202" s="12">
        <v>1599318</v>
      </c>
      <c r="D202" s="12" t="s">
        <v>12</v>
      </c>
      <c r="E202" s="13" t="s">
        <v>13</v>
      </c>
      <c r="F202" s="12">
        <v>20389151</v>
      </c>
      <c r="G202" s="13" t="s">
        <v>63</v>
      </c>
      <c r="H202" s="14">
        <v>1</v>
      </c>
    </row>
    <row r="203" spans="2:8">
      <c r="B203" s="11">
        <v>46141</v>
      </c>
      <c r="C203" s="12">
        <v>1599318</v>
      </c>
      <c r="D203" s="12" t="s">
        <v>12</v>
      </c>
      <c r="E203" s="13" t="s">
        <v>13</v>
      </c>
      <c r="F203" s="12">
        <v>20390964</v>
      </c>
      <c r="G203" s="13" t="s">
        <v>75</v>
      </c>
      <c r="H203" s="14">
        <v>1</v>
      </c>
    </row>
    <row r="204" spans="2:8">
      <c r="B204" s="11">
        <v>46141</v>
      </c>
      <c r="C204" s="12">
        <v>1599318</v>
      </c>
      <c r="D204" s="12" t="s">
        <v>12</v>
      </c>
      <c r="E204" s="13" t="s">
        <v>23</v>
      </c>
      <c r="F204" s="12">
        <v>20389125</v>
      </c>
      <c r="G204" s="13" t="s">
        <v>24</v>
      </c>
      <c r="H204" s="14">
        <v>6</v>
      </c>
    </row>
    <row r="205" spans="2:8">
      <c r="B205" s="11">
        <v>46141</v>
      </c>
      <c r="C205" s="12">
        <v>1599318</v>
      </c>
      <c r="D205" s="12" t="s">
        <v>12</v>
      </c>
      <c r="E205" s="13" t="s">
        <v>23</v>
      </c>
      <c r="F205" s="12">
        <v>20015005</v>
      </c>
      <c r="G205" s="13" t="s">
        <v>48</v>
      </c>
      <c r="H205" s="14">
        <v>2</v>
      </c>
    </row>
    <row r="206" spans="2:8">
      <c r="B206" s="11">
        <v>46141</v>
      </c>
      <c r="C206" s="12">
        <v>1599318</v>
      </c>
      <c r="D206" s="12" t="s">
        <v>12</v>
      </c>
      <c r="E206" s="13" t="s">
        <v>13</v>
      </c>
      <c r="F206" s="12">
        <v>20390926</v>
      </c>
      <c r="G206" s="13" t="s">
        <v>61</v>
      </c>
      <c r="H206" s="14">
        <v>2</v>
      </c>
    </row>
    <row r="207" spans="2:8">
      <c r="B207" s="11">
        <v>46141</v>
      </c>
      <c r="C207" s="12">
        <v>1599318</v>
      </c>
      <c r="D207" s="12" t="s">
        <v>17</v>
      </c>
      <c r="E207" s="13" t="s">
        <v>17</v>
      </c>
      <c r="F207" s="12">
        <v>20015012</v>
      </c>
      <c r="G207" s="13" t="s">
        <v>39</v>
      </c>
      <c r="H207" s="14">
        <v>1</v>
      </c>
    </row>
    <row r="208" spans="2:8">
      <c r="B208" s="11">
        <v>46141</v>
      </c>
      <c r="C208" s="12">
        <v>1599318</v>
      </c>
      <c r="D208" s="12" t="s">
        <v>12</v>
      </c>
      <c r="E208" s="13" t="s">
        <v>13</v>
      </c>
      <c r="F208" s="12">
        <v>20389152</v>
      </c>
      <c r="G208" s="13" t="s">
        <v>40</v>
      </c>
      <c r="H208" s="14">
        <v>1</v>
      </c>
    </row>
    <row r="209" spans="2:8">
      <c r="B209" s="11">
        <v>46141</v>
      </c>
      <c r="C209" s="12">
        <v>1599318</v>
      </c>
      <c r="D209" s="12" t="s">
        <v>17</v>
      </c>
      <c r="E209" s="13" t="s">
        <v>17</v>
      </c>
      <c r="F209" s="12">
        <v>20015014</v>
      </c>
      <c r="G209" s="13" t="s">
        <v>18</v>
      </c>
      <c r="H209" s="14">
        <v>4</v>
      </c>
    </row>
    <row r="210" spans="2:8">
      <c r="B210" s="11">
        <v>46141</v>
      </c>
      <c r="C210" s="12">
        <v>1599318</v>
      </c>
      <c r="D210" s="12" t="s">
        <v>17</v>
      </c>
      <c r="E210" s="13" t="s">
        <v>71</v>
      </c>
      <c r="F210" s="12">
        <v>20397187</v>
      </c>
      <c r="G210" s="13" t="s">
        <v>72</v>
      </c>
      <c r="H210" s="14">
        <v>1</v>
      </c>
    </row>
    <row r="211" spans="2:8">
      <c r="B211" s="11">
        <v>46141</v>
      </c>
      <c r="C211" s="12">
        <v>1599318</v>
      </c>
      <c r="D211" s="12" t="s">
        <v>12</v>
      </c>
      <c r="E211" s="13" t="s">
        <v>13</v>
      </c>
      <c r="F211" s="12">
        <v>20423571</v>
      </c>
      <c r="G211" s="13" t="s">
        <v>76</v>
      </c>
      <c r="H211" s="14">
        <v>1</v>
      </c>
    </row>
    <row r="214" ht="14.25" spans="2:8">
      <c r="B214" s="9" t="s">
        <v>50</v>
      </c>
      <c r="C214" s="6" t="s">
        <v>9</v>
      </c>
      <c r="D214" s="6" t="s">
        <v>9</v>
      </c>
      <c r="E214" s="6" t="s">
        <v>9</v>
      </c>
      <c r="F214" s="6" t="s">
        <v>9</v>
      </c>
      <c r="G214" s="9" t="s">
        <v>9</v>
      </c>
      <c r="H214" s="10">
        <v>1008.9</v>
      </c>
    </row>
    <row r="215" spans="2:8">
      <c r="B215" s="11">
        <v>46142</v>
      </c>
      <c r="C215" s="12">
        <v>1599755</v>
      </c>
      <c r="D215" s="12" t="s">
        <v>12</v>
      </c>
      <c r="E215" s="13" t="s">
        <v>13</v>
      </c>
      <c r="F215" s="12">
        <v>20388912</v>
      </c>
      <c r="G215" s="13" t="s">
        <v>43</v>
      </c>
      <c r="H215" s="14">
        <v>1</v>
      </c>
    </row>
    <row r="216" spans="2:8">
      <c r="B216" s="11">
        <v>46142</v>
      </c>
      <c r="C216" s="12">
        <v>1599755</v>
      </c>
      <c r="D216" s="12" t="s">
        <v>12</v>
      </c>
      <c r="E216" s="13" t="s">
        <v>13</v>
      </c>
      <c r="F216" s="12">
        <v>20389030</v>
      </c>
      <c r="G216" s="13" t="s">
        <v>35</v>
      </c>
      <c r="H216" s="14">
        <v>1</v>
      </c>
    </row>
    <row r="217" ht="14.25" spans="2:8">
      <c r="B217" s="9" t="s">
        <v>77</v>
      </c>
      <c r="C217" s="6" t="s">
        <v>9</v>
      </c>
      <c r="D217" s="6" t="s">
        <v>9</v>
      </c>
      <c r="E217" s="6" t="s">
        <v>9</v>
      </c>
      <c r="F217" s="6" t="s">
        <v>9</v>
      </c>
      <c r="G217" s="9" t="s">
        <v>9</v>
      </c>
      <c r="H217" s="10"/>
    </row>
    <row r="218" spans="2:8">
      <c r="B218" s="11">
        <v>46142</v>
      </c>
      <c r="C218" s="12">
        <v>1599439</v>
      </c>
      <c r="D218" s="12" t="s">
        <v>19</v>
      </c>
      <c r="E218" s="13" t="s">
        <v>19</v>
      </c>
      <c r="F218" s="12">
        <v>20014882</v>
      </c>
      <c r="G218" s="13" t="s">
        <v>68</v>
      </c>
      <c r="H218" s="14">
        <v>1</v>
      </c>
    </row>
    <row r="219" ht="14.25" spans="2:8">
      <c r="B219" s="9" t="s">
        <v>16</v>
      </c>
      <c r="C219" s="6" t="s">
        <v>9</v>
      </c>
      <c r="D219" s="6" t="s">
        <v>9</v>
      </c>
      <c r="E219" s="6" t="s">
        <v>9</v>
      </c>
      <c r="F219" s="6" t="s">
        <v>9</v>
      </c>
      <c r="G219" s="9" t="s">
        <v>9</v>
      </c>
      <c r="H219" s="10"/>
    </row>
    <row r="220" spans="2:8">
      <c r="B220" s="11">
        <v>46142</v>
      </c>
      <c r="C220" s="12">
        <v>1599440</v>
      </c>
      <c r="D220" s="12" t="s">
        <v>19</v>
      </c>
      <c r="E220" s="13" t="s">
        <v>19</v>
      </c>
      <c r="F220" s="12">
        <v>20014883</v>
      </c>
      <c r="G220" s="13" t="s">
        <v>20</v>
      </c>
      <c r="H220" s="14">
        <v>5</v>
      </c>
    </row>
    <row r="221" spans="2:8">
      <c r="B221" s="11">
        <v>46142</v>
      </c>
      <c r="C221" s="12">
        <v>1599440</v>
      </c>
      <c r="D221" s="12" t="s">
        <v>19</v>
      </c>
      <c r="E221" s="13" t="s">
        <v>21</v>
      </c>
      <c r="F221" s="12">
        <v>20014898</v>
      </c>
      <c r="G221" s="13" t="s">
        <v>22</v>
      </c>
      <c r="H221" s="14">
        <v>3</v>
      </c>
    </row>
    <row r="222" spans="2:8">
      <c r="B222" s="11">
        <v>46142</v>
      </c>
      <c r="C222" s="12">
        <v>1599440</v>
      </c>
      <c r="D222" s="12" t="s">
        <v>12</v>
      </c>
      <c r="E222" s="13" t="s">
        <v>23</v>
      </c>
      <c r="F222" s="12">
        <v>20389705</v>
      </c>
      <c r="G222" s="13" t="s">
        <v>42</v>
      </c>
      <c r="H222" s="14">
        <v>1</v>
      </c>
    </row>
    <row r="223" spans="2:8">
      <c r="B223" s="11">
        <v>46142</v>
      </c>
      <c r="C223" s="12">
        <v>1599440</v>
      </c>
      <c r="D223" s="12" t="s">
        <v>12</v>
      </c>
      <c r="E223" s="13" t="s">
        <v>23</v>
      </c>
      <c r="F223" s="12">
        <v>20390044</v>
      </c>
      <c r="G223" s="13" t="s">
        <v>49</v>
      </c>
      <c r="H223" s="14">
        <v>1</v>
      </c>
    </row>
    <row r="224" spans="2:8">
      <c r="B224" s="11">
        <v>46142</v>
      </c>
      <c r="C224" s="12">
        <v>1599756</v>
      </c>
      <c r="D224" s="12" t="s">
        <v>12</v>
      </c>
      <c r="E224" s="13" t="s">
        <v>23</v>
      </c>
      <c r="F224" s="12">
        <v>20389125</v>
      </c>
      <c r="G224" s="13" t="s">
        <v>24</v>
      </c>
      <c r="H224" s="14">
        <v>1</v>
      </c>
    </row>
    <row r="225" spans="2:8">
      <c r="B225" s="11">
        <v>46142</v>
      </c>
      <c r="C225" s="12">
        <v>1599756</v>
      </c>
      <c r="D225" s="12" t="s">
        <v>17</v>
      </c>
      <c r="E225" s="13" t="s">
        <v>17</v>
      </c>
      <c r="F225" s="12">
        <v>20015014</v>
      </c>
      <c r="G225" s="13" t="s">
        <v>18</v>
      </c>
      <c r="H225" s="14">
        <v>1</v>
      </c>
    </row>
  </sheetData>
  <autoFilter xmlns:etc="http://www.wps.cn/officeDocument/2017/etCustomData" ref="H1:H225" etc:filterBottomFollowUsedRange="0">
    <extLst/>
  </autoFilter>
  <mergeCells count="39">
    <mergeCell ref="A1:G1"/>
    <mergeCell ref="A2:G2"/>
    <mergeCell ref="B4:F4"/>
    <mergeCell ref="B5:F5"/>
    <mergeCell ref="B8:F8"/>
    <mergeCell ref="B18:F18"/>
    <mergeCell ref="B21:F21"/>
    <mergeCell ref="B26:F26"/>
    <mergeCell ref="B28:F28"/>
    <mergeCell ref="B49:F49"/>
    <mergeCell ref="B52:F52"/>
    <mergeCell ref="B55:F55"/>
    <mergeCell ref="B62:F62"/>
    <mergeCell ref="B68:F68"/>
    <mergeCell ref="B70:F70"/>
    <mergeCell ref="B81:F81"/>
    <mergeCell ref="B83:F83"/>
    <mergeCell ref="B87:F87"/>
    <mergeCell ref="B95:F95"/>
    <mergeCell ref="B114:F114"/>
    <mergeCell ref="B121:F121"/>
    <mergeCell ref="B123:F123"/>
    <mergeCell ref="B125:F125"/>
    <mergeCell ref="B141:F141"/>
    <mergeCell ref="B144:F144"/>
    <mergeCell ref="B146:F146"/>
    <mergeCell ref="B158:F158"/>
    <mergeCell ref="B161:F161"/>
    <mergeCell ref="B169:F169"/>
    <mergeCell ref="B176:F176"/>
    <mergeCell ref="B180:F180"/>
    <mergeCell ref="B187:F187"/>
    <mergeCell ref="B189:F189"/>
    <mergeCell ref="B194:F194"/>
    <mergeCell ref="B199:F199"/>
    <mergeCell ref="B214:F214"/>
    <mergeCell ref="B217:F217"/>
    <mergeCell ref="B219:F219"/>
    <mergeCell ref="A5:A12"/>
  </mergeCells>
  <pageMargins left="0.25" right="0.25" top="0.75" bottom="0.75" header="0.298611111111111" footer="0.298611111111111"/>
  <pageSetup paperSize="9" scale="97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2023-05-12T11:15:00Z</dcterms:created>
  <dcterms:modified xsi:type="dcterms:W3CDTF">2026-05-12T01:14:55Z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2CFCCE226DEA495C8AA716139371C11A_13</vt:lpwstr>
  </property>
  <property fmtid="{D5CDD505-2E9C-101B-9397-08002B2CF9AE}" pid="4" name="CalculationRule">
    <vt:i4>0</vt:i4>
  </property>
</Properties>
</file>