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5"/>
  </bookViews>
  <sheets>
    <sheet name="Sheet2" sheetId="6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<sst xmlns="http://schemas.openxmlformats.org/spreadsheetml/2006/main" count="61" uniqueCount="61">
  <si>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哈尔滨市第五医院2026年2月9日-2026年3月8日科室灭菌价格汇总</t>
  </si>
  <si>
    <t>科室</t>
  </si>
  <si>
    <t>基础器械</t>
  </si>
  <si>
    <t>低温器械</t>
  </si>
  <si>
    <t>外来器械</t>
  </si>
  <si>
    <t>物流费用</t>
  </si>
  <si>
    <t>价格</t>
  </si>
  <si>
    <t>确认签字</t>
  </si>
  <si>
    <t>总灭菌费</t>
  </si>
  <si>
    <t>各科室占比</t>
  </si>
  <si>
    <t>总物流费</t>
  </si>
  <si>
    <t>合计费用</t>
  </si>
  <si>
    <t>（一）手术室</t>
  </si>
  <si>
    <t>（二）手术室</t>
  </si>
  <si>
    <t>骨一(一病区)</t>
  </si>
  <si>
    <t>骨一(二病区)</t>
  </si>
  <si>
    <t>骨二</t>
  </si>
  <si>
    <t>骨三</t>
  </si>
  <si>
    <t>骨四</t>
  </si>
  <si>
    <t>骨四（二）</t>
  </si>
  <si>
    <t>骨五</t>
  </si>
  <si>
    <t>骨六</t>
  </si>
  <si>
    <t>骨七</t>
  </si>
  <si>
    <t>骨八</t>
  </si>
  <si>
    <t>骨九</t>
  </si>
  <si>
    <t>骨十</t>
  </si>
  <si>
    <t>骨十一</t>
  </si>
  <si>
    <t>胸外科</t>
  </si>
  <si>
    <t>创伤外科</t>
  </si>
  <si>
    <t>普外二</t>
  </si>
  <si>
    <t>普外三</t>
  </si>
  <si>
    <t>神外病区</t>
  </si>
  <si>
    <t>偏瘫科</t>
  </si>
  <si>
    <t>烧伤一科</t>
  </si>
  <si>
    <t>烧伤二科</t>
  </si>
  <si>
    <t>烧伤三科</t>
  </si>
  <si>
    <t>慢创</t>
  </si>
  <si>
    <t>ICU</t>
  </si>
  <si>
    <t>妇产科</t>
  </si>
  <si>
    <t>产科分娩室</t>
  </si>
  <si>
    <t>呼吸</t>
  </si>
  <si>
    <t>肾内科</t>
  </si>
  <si>
    <t>急诊科</t>
  </si>
  <si>
    <t>耳鼻喉手术室</t>
  </si>
  <si>
    <t>耳鼻喉门诊</t>
  </si>
  <si>
    <t>眼科门诊</t>
  </si>
  <si>
    <t>口内</t>
  </si>
  <si>
    <t>口外</t>
  </si>
  <si>
    <t>妇科门诊</t>
  </si>
  <si>
    <t>美容科</t>
  </si>
  <si>
    <t>门诊换药室</t>
  </si>
  <si>
    <t>疼痛门诊</t>
  </si>
  <si>
    <t>腔镜室</t>
  </si>
  <si>
    <t>肛肠门诊</t>
  </si>
  <si>
    <t>冲击波门诊</t>
  </si>
  <si>
    <t>内分泌</t>
  </si>
  <si>
    <t>全科</t>
  </si>
  <si>
    <t>二门诊口腔科</t>
  </si>
  <si>
    <t>二门诊美容科</t>
  </si>
  <si>
    <t>二门诊手术室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</si>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</sst>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000000000_ "/>
    <numFmt numFmtId="179" formatCode="[$-10804]0.00;\(0.00\)"/>
    <numFmt numFmtId="180" formatCode="0.00_);\(0.00\)"/>
  </numFmts>
  <fonts count="30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32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left" vertical="center" wrapText="1" readingOrder="1"/>
    </xf>
    <xf numFmtId="179" fontId="7" fillId="0" borderId="1" xfId="0" applyNumberFormat="1" applyFont="1" applyFill="1" applyBorder="1" applyAlignment="1">
      <alignment horizontal="center" vertical="center" wrapText="1" readingOrder="1"/>
    </xf>
    <xf numFmtId="180" fontId="2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center" wrapText="1" readingOrder="1"/>
    </xf>
    <xf numFmtId="179" fontId="8" fillId="0" borderId="1" xfId="0" applyNumberFormat="1" applyFont="1" applyFill="1" applyBorder="1" applyAlignment="1">
      <alignment horizontal="center" vertical="center" wrapText="1" readingOrder="1"/>
    </xf>
    <xf numFmtId="176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view="pageBreakPreview" zoomScaleNormal="100" workbookViewId="0">
      <pane xSplit="7" ySplit="3" topLeftCell="H15" activePane="bottomRight" state="frozen"/>
      <selection/>
      <selection pane="topRight"/>
      <selection pane="bottomLeft"/>
      <selection pane="bottomRight" activeCell="V25" sqref="V25"/>
    </sheetView>
  </sheetViews>
  <sheetFormatPr defaultColWidth="9" defaultRowHeight="17.25"/>
  <cols>
    <col min="1" max="1" width="11" style="1" hidden="1" customWidth="1"/>
    <col min="2" max="2" width="17.5" style="4" hidden="1" customWidth="1"/>
    <col min="3" max="3" width="21.5" style="1" hidden="1" customWidth="1"/>
    <col min="4" max="4" width="17.7583333333333" style="1" hidden="1" customWidth="1"/>
    <col min="5" max="5" width="9.63333333333333" style="1" hidden="1" customWidth="1"/>
    <col min="6" max="6" width="10" style="1" hidden="1" customWidth="1"/>
    <col min="7" max="7" width="9.68333333333333" style="1" hidden="1" customWidth="1"/>
    <col min="8" max="8" width="22.2583333333333" style="5" customWidth="1"/>
    <col min="9" max="9" width="13.625" style="6" customWidth="1"/>
    <col min="10" max="11" width="12.875" style="7" customWidth="1"/>
    <col min="12" max="12" width="11.2583333333333" style="8" customWidth="1"/>
    <col min="13" max="13" width="14.5" style="9" customWidth="1"/>
    <col min="14" max="14" width="11.2583333333333" style="10" customWidth="1"/>
    <col min="15" max="16231" width="11" style="1"/>
    <col min="16232" max="16384" width="9" style="1"/>
  </cols>
  <sheetData>
    <row r="1" s="1" customFormat="1" ht="22" customHeight="1" spans="1:14">
      <c r="B1" s="4"/>
      <c r="H1" s="11" t="s">
        <v>0</v>
      </c>
      <c r="I1" s="12"/>
      <c r="J1" s="13"/>
      <c r="K1" s="13"/>
      <c r="L1" s="14"/>
      <c r="M1" s="15"/>
      <c r="N1" s="11"/>
    </row>
    <row r="2" s="2" customFormat="1" ht="22" customHeight="1" spans="1:14">
      <c r="A2" s="16"/>
      <c r="B2" s="16"/>
      <c r="C2" s="16"/>
      <c r="D2" s="16"/>
      <c r="H2" s="17" t="s">
        <v>1</v>
      </c>
      <c r="I2" s="18" t="s">
        <v>2</v>
      </c>
      <c r="J2" s="19" t="s">
        <v>3</v>
      </c>
      <c r="K2" s="20" t="s">
        <v>4</v>
      </c>
      <c r="L2" s="21" t="s">
        <v>5</v>
      </c>
      <c r="M2" s="20" t="s">
        <v>6</v>
      </c>
      <c r="N2" s="17" t="s">
        <v>7</v>
      </c>
    </row>
    <row r="3" s="2" customFormat="1" ht="22" customHeight="1" spans="1:14">
      <c r="A3" s="16"/>
      <c r="B3" s="16" t="s">
        <v>8</v>
      </c>
      <c r="C3" s="16" t="s">
        <v>9</v>
      </c>
      <c r="D3" s="16" t="s">
        <v>10</v>
      </c>
      <c r="H3" s="17"/>
      <c r="I3" s="18"/>
      <c r="J3" s="19"/>
      <c r="K3" s="20"/>
      <c r="L3" s="21"/>
      <c r="M3" s="20" t="s">
        <v>11</v>
      </c>
      <c r="N3" s="17"/>
    </row>
    <row r="4" s="3" customFormat="1" ht="22" customHeight="1" spans="1:14">
      <c r="A4" s="22"/>
      <c r="B4" s="23">
        <v>494233</v>
      </c>
      <c r="C4" s="24">
        <f>(I4+J4+K4)/B4</f>
        <v>0.3410972153</v>
      </c>
      <c r="D4" s="22">
        <v>700</v>
      </c>
      <c r="E4" s="3">
        <f>C4*D4</f>
        <v>238.76805071</v>
      </c>
      <c r="H4" s="25" t="s">
        <v>12</v>
      </c>
      <c r="I4" s="26">
        <v>167936.5</v>
      </c>
      <c r="J4" s="19">
        <v>231</v>
      </c>
      <c r="K4" s="19">
        <v>414</v>
      </c>
      <c r="L4" s="21">
        <v>238.77</v>
      </c>
      <c r="M4" s="27">
        <f>I4+J4+K4+L4</f>
        <v>168820.27</v>
      </c>
      <c r="N4" s="17"/>
    </row>
    <row r="5" s="3" customFormat="1" ht="22" customHeight="1" spans="1:14">
      <c r="A5" s="22"/>
      <c r="B5" s="23">
        <v>494233</v>
      </c>
      <c r="C5" s="24">
        <f t="shared" ref="C5:C51" si="0">(I5+J5+K5)/B5</f>
        <v>0.0872685555</v>
      </c>
      <c r="D5" s="22">
        <v>700</v>
      </c>
      <c r="E5" s="3">
        <f t="shared" ref="E5:E51" si="1">C5*D5</f>
        <v>61.08798885</v>
      </c>
      <c r="H5" s="25" t="s">
        <v>13</v>
      </c>
      <c r="I5" s="26">
        <v>43131</v>
      </c>
      <c r="J5" s="19"/>
      <c r="K5" s="19"/>
      <c r="L5" s="21">
        <v>61.09</v>
      </c>
      <c r="M5" s="27">
        <f t="shared" ref="M5:M52" si="2">I5+J5+K5+L5</f>
        <v>43192.09</v>
      </c>
      <c r="N5" s="17"/>
    </row>
    <row r="6" s="3" customFormat="1" ht="22" customHeight="1" spans="1:14">
      <c r="A6" s="22"/>
      <c r="B6" s="23">
        <v>494233</v>
      </c>
      <c r="C6" s="24">
        <f t="shared" si="0"/>
        <v>0.0208474545</v>
      </c>
      <c r="D6" s="22">
        <v>700</v>
      </c>
      <c r="E6" s="3">
        <f t="shared" si="1"/>
        <v>14.59321815</v>
      </c>
      <c r="H6" s="25" t="s">
        <v>14</v>
      </c>
      <c r="I6" s="26">
        <f>88+44</f>
        <v>132</v>
      </c>
      <c r="J6" s="19">
        <v>88</v>
      </c>
      <c r="K6" s="19">
        <f>786.5+215+16.5+1079.5+7986</f>
        <v>10083.5</v>
      </c>
      <c r="L6" s="21">
        <v>14.59</v>
      </c>
      <c r="M6" s="27">
        <f t="shared" si="2"/>
        <v>10318.09</v>
      </c>
      <c r="N6" s="17"/>
    </row>
    <row r="7" s="3" customFormat="1" ht="22" customHeight="1" spans="1:14">
      <c r="A7" s="22"/>
      <c r="B7" s="23">
        <v>494233</v>
      </c>
      <c r="C7" s="24">
        <f t="shared" si="0"/>
        <v>0.0160784488</v>
      </c>
      <c r="D7" s="22">
        <v>700</v>
      </c>
      <c r="E7" s="3">
        <f t="shared" si="1"/>
        <v>11.25491416</v>
      </c>
      <c r="H7" s="25" t="s">
        <v>15</v>
      </c>
      <c r="I7" s="26">
        <v>55</v>
      </c>
      <c r="J7" s="19">
        <v>264</v>
      </c>
      <c r="K7" s="19">
        <f>572+33+726+6296.5</f>
        <v>7627.5</v>
      </c>
      <c r="L7" s="21">
        <v>11.25</v>
      </c>
      <c r="M7" s="27">
        <f t="shared" si="2"/>
        <v>7957.75</v>
      </c>
      <c r="N7" s="17"/>
    </row>
    <row r="8" s="3" customFormat="1" ht="22" customHeight="1" spans="1:14">
      <c r="A8" s="22"/>
      <c r="B8" s="23">
        <v>494233</v>
      </c>
      <c r="C8" s="24">
        <f t="shared" si="0"/>
        <v>0.0772965383</v>
      </c>
      <c r="D8" s="22">
        <v>700</v>
      </c>
      <c r="E8" s="3">
        <f t="shared" si="1"/>
        <v>54.10757681</v>
      </c>
      <c r="H8" s="25" t="s">
        <v>16</v>
      </c>
      <c r="I8" s="26">
        <v>44</v>
      </c>
      <c r="J8" s="19">
        <v>844</v>
      </c>
      <c r="K8" s="19">
        <f>22+1298+35994.5</f>
        <v>37314.5</v>
      </c>
      <c r="L8" s="21">
        <v>54.11</v>
      </c>
      <c r="M8" s="27">
        <f t="shared" si="2"/>
        <v>38256.61</v>
      </c>
      <c r="N8" s="17"/>
    </row>
    <row r="9" s="3" customFormat="1" ht="22" customHeight="1" spans="1:14">
      <c r="B9" s="23">
        <v>494233</v>
      </c>
      <c r="C9" s="24">
        <f t="shared" si="0"/>
        <v>0.017225681</v>
      </c>
      <c r="D9" s="22">
        <v>700</v>
      </c>
      <c r="E9" s="3">
        <f t="shared" si="1"/>
        <v>12.0579767</v>
      </c>
      <c r="H9" s="25" t="s">
        <v>17</v>
      </c>
      <c r="I9" s="26">
        <v>88</v>
      </c>
      <c r="J9" s="2"/>
      <c r="K9" s="19">
        <v>8425.5</v>
      </c>
      <c r="L9" s="21">
        <v>12.06</v>
      </c>
      <c r="M9" s="27">
        <f t="shared" si="2"/>
        <v>8525.56</v>
      </c>
      <c r="N9" s="17"/>
    </row>
    <row r="10" s="3" customFormat="1" ht="22" customHeight="1" spans="1:14">
      <c r="B10" s="23">
        <v>494233</v>
      </c>
      <c r="C10" s="24">
        <f t="shared" si="0"/>
        <v>0.045165944</v>
      </c>
      <c r="D10" s="22">
        <v>700</v>
      </c>
      <c r="E10" s="3">
        <f t="shared" si="1"/>
        <v>31.6161608</v>
      </c>
      <c r="H10" s="25" t="s">
        <v>18</v>
      </c>
      <c r="I10" s="26">
        <f>192.5</f>
        <v>192.5</v>
      </c>
      <c r="J10" s="19">
        <f>6401+616</f>
        <v>7017</v>
      </c>
      <c r="K10" s="19">
        <f>181.5+2361+12570.5</f>
        <v>15113</v>
      </c>
      <c r="L10" s="21">
        <v>31.62</v>
      </c>
      <c r="M10" s="27">
        <f t="shared" si="2"/>
        <v>22354.12</v>
      </c>
      <c r="N10" s="17"/>
    </row>
    <row r="11" s="3" customFormat="1" ht="22" customHeight="1" spans="1:14">
      <c r="B11" s="23">
        <v>494233</v>
      </c>
      <c r="C11" s="24">
        <f t="shared" si="0"/>
        <v>0.0165225713</v>
      </c>
      <c r="D11" s="22">
        <v>700</v>
      </c>
      <c r="E11" s="3">
        <f t="shared" si="1"/>
        <v>11.56579991</v>
      </c>
      <c r="H11" s="25" t="s">
        <v>19</v>
      </c>
      <c r="I11" s="26">
        <v>44</v>
      </c>
      <c r="J11" s="19">
        <v>2464</v>
      </c>
      <c r="K11" s="19">
        <v>5658</v>
      </c>
      <c r="L11" s="21">
        <v>11.57</v>
      </c>
      <c r="M11" s="27">
        <f t="shared" si="2"/>
        <v>8177.57</v>
      </c>
      <c r="N11" s="17"/>
    </row>
    <row r="12" s="3" customFormat="1" ht="22" customHeight="1" spans="1:14">
      <c r="B12" s="23">
        <v>494233</v>
      </c>
      <c r="C12" s="24">
        <f t="shared" si="0"/>
        <v>0.0323501264</v>
      </c>
      <c r="D12" s="22">
        <v>700</v>
      </c>
      <c r="E12" s="3">
        <f t="shared" si="1"/>
        <v>22.64508848</v>
      </c>
      <c r="H12" s="25" t="s">
        <v>20</v>
      </c>
      <c r="I12" s="26">
        <v>88</v>
      </c>
      <c r="J12" s="19">
        <v>817</v>
      </c>
      <c r="K12" s="19">
        <f>44+291.5+14748</f>
        <v>15083.5</v>
      </c>
      <c r="L12" s="21">
        <v>22.65</v>
      </c>
      <c r="M12" s="27">
        <f t="shared" si="2"/>
        <v>16011.15</v>
      </c>
      <c r="N12" s="17"/>
    </row>
    <row r="13" s="3" customFormat="1" ht="22" customHeight="1" spans="1:14">
      <c r="B13" s="23">
        <v>494233</v>
      </c>
      <c r="C13" s="24">
        <f t="shared" si="0"/>
        <v>0.0563711853</v>
      </c>
      <c r="D13" s="22">
        <v>700</v>
      </c>
      <c r="E13" s="3">
        <f t="shared" si="1"/>
        <v>39.45982971</v>
      </c>
      <c r="H13" s="25" t="s">
        <v>21</v>
      </c>
      <c r="I13" s="26">
        <v>88</v>
      </c>
      <c r="J13" s="19">
        <v>2889</v>
      </c>
      <c r="K13" s="19">
        <f>280.5+55+24548</f>
        <v>24883.5</v>
      </c>
      <c r="L13" s="21">
        <v>39.46</v>
      </c>
      <c r="M13" s="27">
        <f t="shared" si="2"/>
        <v>27899.96</v>
      </c>
      <c r="N13" s="17"/>
    </row>
    <row r="14" s="3" customFormat="1" ht="22" customHeight="1" spans="1:14">
      <c r="B14" s="23">
        <v>494233</v>
      </c>
      <c r="C14" s="24">
        <f t="shared" si="0"/>
        <v>0.0142665504</v>
      </c>
      <c r="D14" s="22">
        <v>700</v>
      </c>
      <c r="E14" s="3">
        <f t="shared" si="1"/>
        <v>9.98658528</v>
      </c>
      <c r="H14" s="25" t="s">
        <v>22</v>
      </c>
      <c r="I14" s="26"/>
      <c r="J14" s="19">
        <v>264</v>
      </c>
      <c r="K14" s="19">
        <v>6787</v>
      </c>
      <c r="L14" s="21">
        <v>9.99</v>
      </c>
      <c r="M14" s="27">
        <f t="shared" si="2"/>
        <v>7060.99</v>
      </c>
      <c r="N14" s="17"/>
    </row>
    <row r="15" s="3" customFormat="1" ht="22" customHeight="1" spans="1:14">
      <c r="B15" s="23">
        <v>494233</v>
      </c>
      <c r="C15" s="24">
        <f t="shared" si="0"/>
        <v>0.0668025</v>
      </c>
      <c r="D15" s="22">
        <v>700</v>
      </c>
      <c r="E15" s="3">
        <f t="shared" si="1"/>
        <v>46.76175</v>
      </c>
      <c r="H15" s="25" t="s">
        <v>23</v>
      </c>
      <c r="I15" s="26">
        <v>44</v>
      </c>
      <c r="J15" s="19">
        <v>1320</v>
      </c>
      <c r="K15" s="19">
        <f>16.5+31635.5</f>
        <v>31652</v>
      </c>
      <c r="L15" s="21">
        <v>46.76</v>
      </c>
      <c r="M15" s="27">
        <f t="shared" si="2"/>
        <v>33062.76</v>
      </c>
      <c r="N15" s="17"/>
    </row>
    <row r="16" s="3" customFormat="1" ht="22" customHeight="1" spans="1:14">
      <c r="B16" s="23">
        <v>494233</v>
      </c>
      <c r="C16" s="24">
        <f t="shared" si="0"/>
        <v>0.0776233072</v>
      </c>
      <c r="D16" s="22">
        <v>700</v>
      </c>
      <c r="E16" s="3">
        <f t="shared" si="1"/>
        <v>54.33631504</v>
      </c>
      <c r="H16" s="25" t="s">
        <v>24</v>
      </c>
      <c r="I16" s="26">
        <v>44</v>
      </c>
      <c r="J16" s="19">
        <v>3292</v>
      </c>
      <c r="K16" s="19">
        <f>121+583+34324</f>
        <v>35028</v>
      </c>
      <c r="L16" s="21">
        <v>54.34</v>
      </c>
      <c r="M16" s="27">
        <f t="shared" si="2"/>
        <v>38418.34</v>
      </c>
      <c r="N16" s="17"/>
    </row>
    <row r="17" s="3" customFormat="1" ht="22" customHeight="1" spans="2:14">
      <c r="B17" s="23">
        <v>494233</v>
      </c>
      <c r="C17" s="24">
        <f t="shared" si="0"/>
        <v>0.0234454195</v>
      </c>
      <c r="D17" s="22">
        <v>700</v>
      </c>
      <c r="E17" s="3">
        <f t="shared" si="1"/>
        <v>16.41179365</v>
      </c>
      <c r="H17" s="25" t="s">
        <v>25</v>
      </c>
      <c r="I17" s="26"/>
      <c r="J17" s="19">
        <v>22</v>
      </c>
      <c r="K17" s="19">
        <f>357.5+11208</f>
        <v>11565.5</v>
      </c>
      <c r="L17" s="21">
        <v>16.41</v>
      </c>
      <c r="M17" s="27">
        <f t="shared" si="2"/>
        <v>11603.91</v>
      </c>
      <c r="N17" s="17"/>
    </row>
    <row r="18" s="3" customFormat="1" ht="22" customHeight="1" spans="2:14">
      <c r="B18" s="23">
        <v>494233</v>
      </c>
      <c r="C18" s="24">
        <f t="shared" si="0"/>
        <v>0.0295882711</v>
      </c>
      <c r="D18" s="22">
        <v>700</v>
      </c>
      <c r="E18" s="3">
        <f t="shared" si="1"/>
        <v>20.71178977</v>
      </c>
      <c r="H18" s="25" t="s">
        <v>26</v>
      </c>
      <c r="I18" s="26"/>
      <c r="J18" s="26">
        <v>1012</v>
      </c>
      <c r="K18" s="19">
        <f>335.5+583+12693</f>
        <v>13611.5</v>
      </c>
      <c r="L18" s="21">
        <v>20.71</v>
      </c>
      <c r="M18" s="27">
        <f t="shared" si="2"/>
        <v>14644.21</v>
      </c>
      <c r="N18" s="17"/>
    </row>
    <row r="19" s="3" customFormat="1" ht="22" customHeight="1" spans="2:14">
      <c r="B19" s="23">
        <v>494233</v>
      </c>
      <c r="C19" s="24">
        <f t="shared" si="0"/>
        <v>0.0088925669</v>
      </c>
      <c r="D19" s="22">
        <v>700</v>
      </c>
      <c r="E19" s="3">
        <f t="shared" si="1"/>
        <v>6.22479683</v>
      </c>
      <c r="H19" s="25" t="s">
        <v>27</v>
      </c>
      <c r="I19" s="26">
        <v>88</v>
      </c>
      <c r="J19" s="19">
        <v>1030</v>
      </c>
      <c r="K19" s="19">
        <v>3277</v>
      </c>
      <c r="L19" s="21">
        <v>6.22</v>
      </c>
      <c r="M19" s="27">
        <f t="shared" si="2"/>
        <v>4401.22</v>
      </c>
      <c r="N19" s="17"/>
    </row>
    <row r="20" s="3" customFormat="1" ht="22" customHeight="1" spans="2:14">
      <c r="B20" s="23">
        <v>494233</v>
      </c>
      <c r="C20" s="24">
        <f t="shared" si="0"/>
        <v>0.0037462088</v>
      </c>
      <c r="D20" s="22">
        <v>700</v>
      </c>
      <c r="E20" s="3">
        <f t="shared" si="1"/>
        <v>2.62234616</v>
      </c>
      <c r="H20" s="25" t="s">
        <v>28</v>
      </c>
      <c r="I20" s="26"/>
      <c r="J20" s="19">
        <v>132</v>
      </c>
      <c r="K20" s="19">
        <v>1719.5</v>
      </c>
      <c r="L20" s="21">
        <v>2.62</v>
      </c>
      <c r="M20" s="27">
        <f t="shared" si="2"/>
        <v>1854.12</v>
      </c>
      <c r="N20" s="17"/>
    </row>
    <row r="21" s="3" customFormat="1" ht="22" customHeight="1" spans="2:14">
      <c r="B21" s="23">
        <v>494233</v>
      </c>
      <c r="C21" s="24">
        <f t="shared" si="0"/>
        <v>0.0041893196</v>
      </c>
      <c r="D21" s="22">
        <v>700</v>
      </c>
      <c r="E21" s="3">
        <f t="shared" si="1"/>
        <v>2.93252372</v>
      </c>
      <c r="H21" s="25" t="s">
        <v>29</v>
      </c>
      <c r="I21" s="26">
        <v>88</v>
      </c>
      <c r="J21" s="19"/>
      <c r="K21" s="19">
        <v>1982.5</v>
      </c>
      <c r="L21" s="21">
        <v>2.93</v>
      </c>
      <c r="M21" s="27">
        <f t="shared" si="2"/>
        <v>2073.43</v>
      </c>
      <c r="N21" s="17"/>
    </row>
    <row r="22" s="3" customFormat="1" ht="22" customHeight="1" spans="2:14">
      <c r="B22" s="23">
        <v>494233</v>
      </c>
      <c r="C22" s="24">
        <f t="shared" si="0"/>
        <v>8.90268e-5</v>
      </c>
      <c r="D22" s="22">
        <v>700</v>
      </c>
      <c r="E22" s="3">
        <f t="shared" si="1"/>
        <v>0.06231876</v>
      </c>
      <c r="H22" s="25" t="s">
        <v>30</v>
      </c>
      <c r="I22" s="26">
        <v>44</v>
      </c>
      <c r="J22" s="19"/>
      <c r="K22" s="19"/>
      <c r="L22" s="21">
        <v>0.06</v>
      </c>
      <c r="M22" s="27">
        <f t="shared" si="2"/>
        <v>44.06</v>
      </c>
      <c r="N22" s="17"/>
    </row>
    <row r="23" s="3" customFormat="1" ht="22" customHeight="1" spans="2:14">
      <c r="B23" s="23">
        <v>494233</v>
      </c>
      <c r="C23" s="24">
        <f t="shared" si="0"/>
        <v>0.0007476231</v>
      </c>
      <c r="D23" s="22">
        <v>700</v>
      </c>
      <c r="E23" s="3">
        <f t="shared" si="1"/>
        <v>0.52333617</v>
      </c>
      <c r="H23" s="25" t="s">
        <v>31</v>
      </c>
      <c r="I23" s="19"/>
      <c r="J23" s="19"/>
      <c r="K23" s="19">
        <v>369.5</v>
      </c>
      <c r="L23" s="21">
        <v>0.52</v>
      </c>
      <c r="M23" s="27">
        <f t="shared" si="2"/>
        <v>370.02</v>
      </c>
      <c r="N23" s="17"/>
    </row>
    <row r="24" s="3" customFormat="1" ht="22" customHeight="1" spans="2:14">
      <c r="B24" s="23">
        <v>494233</v>
      </c>
      <c r="C24" s="24">
        <f t="shared" si="0"/>
        <v>0.0008234982</v>
      </c>
      <c r="D24" s="22">
        <v>700</v>
      </c>
      <c r="E24" s="3">
        <f t="shared" si="1"/>
        <v>0.57644874</v>
      </c>
      <c r="H24" s="25" t="s">
        <v>32</v>
      </c>
      <c r="I24" s="26">
        <v>143</v>
      </c>
      <c r="J24" s="19"/>
      <c r="K24" s="19">
        <v>264</v>
      </c>
      <c r="L24" s="21">
        <v>0.58</v>
      </c>
      <c r="M24" s="27">
        <f t="shared" si="2"/>
        <v>407.58</v>
      </c>
      <c r="N24" s="17"/>
    </row>
    <row r="25" s="3" customFormat="1" ht="22" customHeight="1" spans="2:14">
      <c r="B25" s="23">
        <v>494233</v>
      </c>
      <c r="C25" s="24">
        <f t="shared" si="0"/>
        <v>0.0029712706</v>
      </c>
      <c r="D25" s="22">
        <v>700</v>
      </c>
      <c r="E25" s="3">
        <f t="shared" si="1"/>
        <v>2.07988942</v>
      </c>
      <c r="H25" s="25" t="s">
        <v>33</v>
      </c>
      <c r="I25" s="26">
        <v>1430</v>
      </c>
      <c r="J25" s="19"/>
      <c r="K25" s="19">
        <v>38.5</v>
      </c>
      <c r="L25" s="21">
        <v>2.08</v>
      </c>
      <c r="M25" s="27">
        <f t="shared" si="2"/>
        <v>1470.58</v>
      </c>
      <c r="N25" s="17"/>
    </row>
    <row r="26" s="3" customFormat="1" ht="22" customHeight="1" spans="2:14">
      <c r="B26" s="23">
        <v>494233</v>
      </c>
      <c r="C26" s="24">
        <f t="shared" si="0"/>
        <v>0.0022034142</v>
      </c>
      <c r="D26" s="22">
        <v>700</v>
      </c>
      <c r="E26" s="3">
        <f t="shared" si="1"/>
        <v>1.54238994</v>
      </c>
      <c r="H26" s="25" t="s">
        <v>34</v>
      </c>
      <c r="I26" s="26">
        <f>16.5+874.5</f>
        <v>891</v>
      </c>
      <c r="J26" s="19">
        <v>176</v>
      </c>
      <c r="K26" s="19">
        <v>22</v>
      </c>
      <c r="L26" s="21">
        <v>1.54</v>
      </c>
      <c r="M26" s="27">
        <f t="shared" si="2"/>
        <v>1090.54</v>
      </c>
      <c r="N26" s="17"/>
    </row>
    <row r="27" s="3" customFormat="1" ht="22" customHeight="1" spans="2:14">
      <c r="B27" s="23">
        <v>494233</v>
      </c>
      <c r="C27" s="24">
        <f t="shared" si="0"/>
        <v>0.0002984422</v>
      </c>
      <c r="D27" s="22">
        <v>700</v>
      </c>
      <c r="E27" s="3">
        <f t="shared" si="1"/>
        <v>0.20890954</v>
      </c>
      <c r="H27" s="25" t="s">
        <v>35</v>
      </c>
      <c r="I27" s="26">
        <f>44+11+55</f>
        <v>110</v>
      </c>
      <c r="J27" s="19"/>
      <c r="K27" s="19">
        <v>37.5</v>
      </c>
      <c r="L27" s="21">
        <v>0.21</v>
      </c>
      <c r="M27" s="27">
        <f t="shared" si="2"/>
        <v>147.71</v>
      </c>
      <c r="N27" s="17"/>
    </row>
    <row r="28" s="3" customFormat="1" ht="22" customHeight="1" spans="2:14">
      <c r="B28" s="23">
        <v>494233</v>
      </c>
      <c r="C28" s="24">
        <f t="shared" si="0"/>
        <v>0.0006282462</v>
      </c>
      <c r="D28" s="22">
        <v>700</v>
      </c>
      <c r="E28" s="3">
        <f t="shared" si="1"/>
        <v>0.43977234</v>
      </c>
      <c r="H28" s="25" t="s">
        <v>36</v>
      </c>
      <c r="I28" s="26">
        <v>294</v>
      </c>
      <c r="J28" s="19"/>
      <c r="K28" s="19">
        <v>16.5</v>
      </c>
      <c r="L28" s="21">
        <v>0.44</v>
      </c>
      <c r="M28" s="27">
        <f t="shared" si="2"/>
        <v>310.94</v>
      </c>
      <c r="N28" s="17"/>
    </row>
    <row r="29" s="3" customFormat="1" ht="22" customHeight="1" spans="2:14">
      <c r="B29" s="23">
        <v>494233</v>
      </c>
      <c r="C29" s="24">
        <f t="shared" si="0"/>
        <v>0.0006616313</v>
      </c>
      <c r="D29" s="22">
        <v>700</v>
      </c>
      <c r="E29" s="3">
        <f t="shared" si="1"/>
        <v>0.46314191</v>
      </c>
      <c r="H29" s="25" t="s">
        <v>37</v>
      </c>
      <c r="I29" s="26">
        <f>16.5+273+2.5</f>
        <v>292</v>
      </c>
      <c r="J29" s="19">
        <v>35</v>
      </c>
      <c r="K29" s="19"/>
      <c r="L29" s="21">
        <v>0.46</v>
      </c>
      <c r="M29" s="27">
        <f t="shared" si="2"/>
        <v>327.46</v>
      </c>
      <c r="N29" s="17"/>
    </row>
    <row r="30" s="3" customFormat="1" ht="22" customHeight="1" spans="2:14">
      <c r="B30" s="23">
        <v>494233</v>
      </c>
      <c r="C30" s="24">
        <f t="shared" si="0"/>
        <v>0</v>
      </c>
      <c r="D30" s="22">
        <v>700</v>
      </c>
      <c r="E30" s="3">
        <f t="shared" si="1"/>
        <v>0</v>
      </c>
      <c r="H30" s="25" t="s">
        <v>38</v>
      </c>
      <c r="I30" s="26"/>
      <c r="J30" s="19"/>
      <c r="K30" s="19"/>
      <c r="L30" s="21">
        <v>0</v>
      </c>
      <c r="M30" s="27">
        <f t="shared" si="2"/>
        <v>0</v>
      </c>
      <c r="N30" s="17"/>
    </row>
    <row r="31" s="3" customFormat="1" ht="22" customHeight="1" spans="2:14">
      <c r="B31" s="23">
        <v>494233</v>
      </c>
      <c r="C31" s="24">
        <f t="shared" si="0"/>
        <v>0.0003004656</v>
      </c>
      <c r="D31" s="22">
        <v>700</v>
      </c>
      <c r="E31" s="3">
        <f t="shared" si="1"/>
        <v>0.21032592</v>
      </c>
      <c r="H31" s="25" t="s">
        <v>39</v>
      </c>
      <c r="I31" s="26">
        <v>148.5</v>
      </c>
      <c r="J31" s="19"/>
      <c r="K31" s="19"/>
      <c r="L31" s="21">
        <v>0.21</v>
      </c>
      <c r="M31" s="27">
        <f t="shared" si="2"/>
        <v>148.71</v>
      </c>
      <c r="N31" s="17"/>
    </row>
    <row r="32" s="3" customFormat="1" ht="22" customHeight="1" spans="2:14">
      <c r="B32" s="23">
        <v>494233</v>
      </c>
      <c r="C32" s="24">
        <f t="shared" si="0"/>
        <v>0</v>
      </c>
      <c r="D32" s="22">
        <v>700</v>
      </c>
      <c r="E32" s="3">
        <f t="shared" si="1"/>
        <v>0</v>
      </c>
      <c r="H32" s="25" t="s">
        <v>40</v>
      </c>
      <c r="I32" s="26"/>
      <c r="J32" s="19"/>
      <c r="K32" s="19"/>
      <c r="L32" s="21">
        <v>0</v>
      </c>
      <c r="M32" s="27">
        <f t="shared" si="2"/>
        <v>0</v>
      </c>
      <c r="N32" s="17"/>
    </row>
    <row r="33" s="3" customFormat="1" ht="22" customHeight="1" spans="2:14">
      <c r="B33" s="23">
        <v>494233</v>
      </c>
      <c r="C33" s="24">
        <f t="shared" si="0"/>
        <v>0.0001780537</v>
      </c>
      <c r="D33" s="22">
        <v>700</v>
      </c>
      <c r="E33" s="3">
        <f t="shared" si="1"/>
        <v>0.12463759</v>
      </c>
      <c r="H33" s="25" t="s">
        <v>41</v>
      </c>
      <c r="I33" s="26">
        <v>88</v>
      </c>
      <c r="J33" s="19"/>
      <c r="K33" s="19"/>
      <c r="L33" s="21">
        <v>0.12</v>
      </c>
      <c r="M33" s="27">
        <f t="shared" si="2"/>
        <v>88.12</v>
      </c>
      <c r="N33" s="17"/>
    </row>
    <row r="34" s="3" customFormat="1" ht="22" customHeight="1" spans="2:14">
      <c r="B34" s="23">
        <v>494233</v>
      </c>
      <c r="C34" s="24">
        <f t="shared" si="0"/>
        <v>0.008770155</v>
      </c>
      <c r="D34" s="22">
        <v>700</v>
      </c>
      <c r="E34" s="3">
        <f t="shared" si="1"/>
        <v>6.1391085</v>
      </c>
      <c r="H34" s="25" t="s">
        <v>42</v>
      </c>
      <c r="I34" s="26">
        <f>110+3696+500.5</f>
        <v>4306.5</v>
      </c>
      <c r="J34" s="19">
        <v>28</v>
      </c>
      <c r="K34" s="19"/>
      <c r="L34" s="21">
        <v>6.14</v>
      </c>
      <c r="M34" s="27">
        <f t="shared" si="2"/>
        <v>4340.64</v>
      </c>
      <c r="N34" s="17"/>
    </row>
    <row r="35" s="3" customFormat="1" ht="22" customHeight="1" spans="2:14">
      <c r="B35" s="23">
        <v>494233</v>
      </c>
      <c r="C35" s="24">
        <f t="shared" si="0"/>
        <v>0.003180686</v>
      </c>
      <c r="D35" s="22">
        <v>700</v>
      </c>
      <c r="E35" s="3">
        <f t="shared" si="1"/>
        <v>2.2264802</v>
      </c>
      <c r="H35" s="28" t="s">
        <v>43</v>
      </c>
      <c r="I35" s="29">
        <f>706</f>
        <v>706</v>
      </c>
      <c r="J35" s="30">
        <v>866</v>
      </c>
      <c r="K35" s="19"/>
      <c r="L35" s="21">
        <v>2.23</v>
      </c>
      <c r="M35" s="27">
        <f t="shared" si="2"/>
        <v>1574.23</v>
      </c>
      <c r="N35" s="17"/>
    </row>
    <row r="36" s="3" customFormat="1" ht="22" customHeight="1" spans="2:14">
      <c r="B36" s="23">
        <v>494233</v>
      </c>
      <c r="C36" s="24">
        <f t="shared" si="0"/>
        <v>0.0019494854</v>
      </c>
      <c r="D36" s="22">
        <v>700</v>
      </c>
      <c r="E36" s="3">
        <f t="shared" si="1"/>
        <v>1.36463978</v>
      </c>
      <c r="H36" s="25" t="s">
        <v>44</v>
      </c>
      <c r="I36" s="29">
        <f>913.5+50</f>
        <v>963.5</v>
      </c>
      <c r="J36" s="30"/>
      <c r="K36" s="19"/>
      <c r="L36" s="21">
        <v>1.36</v>
      </c>
      <c r="M36" s="27">
        <f t="shared" si="2"/>
        <v>964.86</v>
      </c>
      <c r="N36" s="17"/>
    </row>
    <row r="37" s="3" customFormat="1" ht="22" customHeight="1" spans="2:14">
      <c r="B37" s="23">
        <v>494233</v>
      </c>
      <c r="C37" s="24">
        <f t="shared" si="0"/>
        <v>0.0008336149</v>
      </c>
      <c r="D37" s="22">
        <v>700</v>
      </c>
      <c r="E37" s="3">
        <f t="shared" si="1"/>
        <v>0.58353043</v>
      </c>
      <c r="H37" s="25" t="s">
        <v>45</v>
      </c>
      <c r="I37" s="29">
        <v>412</v>
      </c>
      <c r="J37" s="30"/>
      <c r="K37" s="19"/>
      <c r="L37" s="21">
        <v>0.58</v>
      </c>
      <c r="M37" s="27">
        <f t="shared" si="2"/>
        <v>412.58</v>
      </c>
      <c r="N37" s="17"/>
    </row>
    <row r="38" s="3" customFormat="1" ht="22" customHeight="1" spans="2:14">
      <c r="B38" s="23">
        <v>494233</v>
      </c>
      <c r="C38" s="24">
        <f t="shared" si="0"/>
        <v>0.0145467826</v>
      </c>
      <c r="D38" s="22">
        <v>700</v>
      </c>
      <c r="E38" s="3">
        <f t="shared" si="1"/>
        <v>10.18274782</v>
      </c>
      <c r="H38" s="25" t="s">
        <v>46</v>
      </c>
      <c r="I38" s="29">
        <f>25+7164.5</f>
        <v>7189.5</v>
      </c>
      <c r="J38" s="30"/>
      <c r="K38" s="19"/>
      <c r="L38" s="21">
        <v>10.18</v>
      </c>
      <c r="M38" s="27">
        <f t="shared" si="2"/>
        <v>7199.68</v>
      </c>
      <c r="N38" s="17"/>
    </row>
    <row r="39" s="3" customFormat="1" ht="22" customHeight="1" spans="2:14">
      <c r="B39" s="23">
        <v>494233</v>
      </c>
      <c r="C39" s="24">
        <f t="shared" si="0"/>
        <v>0.0116948888</v>
      </c>
      <c r="D39" s="22">
        <v>700</v>
      </c>
      <c r="E39" s="3">
        <f t="shared" si="1"/>
        <v>8.18642216</v>
      </c>
      <c r="H39" s="25" t="s">
        <v>47</v>
      </c>
      <c r="I39" s="29">
        <f>25+5755</f>
        <v>5780</v>
      </c>
      <c r="J39" s="30"/>
      <c r="K39" s="19"/>
      <c r="L39" s="21">
        <v>8.19</v>
      </c>
      <c r="M39" s="27">
        <f t="shared" si="2"/>
        <v>5788.19</v>
      </c>
      <c r="N39" s="17"/>
    </row>
    <row r="40" s="3" customFormat="1" ht="22" customHeight="1" spans="2:14">
      <c r="B40" s="23">
        <v>494233</v>
      </c>
      <c r="C40" s="24">
        <f t="shared" si="0"/>
        <v>0.0070584117</v>
      </c>
      <c r="D40" s="22">
        <v>700</v>
      </c>
      <c r="E40" s="3">
        <f t="shared" si="1"/>
        <v>4.94088819</v>
      </c>
      <c r="H40" s="25" t="s">
        <v>48</v>
      </c>
      <c r="I40" s="29">
        <v>1816.5</v>
      </c>
      <c r="J40" s="30">
        <v>1672</v>
      </c>
      <c r="K40" s="19"/>
      <c r="L40" s="21">
        <v>4.94</v>
      </c>
      <c r="M40" s="27">
        <f t="shared" si="2"/>
        <v>3493.44</v>
      </c>
      <c r="N40" s="17"/>
    </row>
    <row r="41" s="3" customFormat="1" ht="22" customHeight="1" spans="2:14">
      <c r="B41" s="23">
        <v>494233</v>
      </c>
      <c r="C41" s="24">
        <f t="shared" si="0"/>
        <v>0.0020961773</v>
      </c>
      <c r="D41" s="22">
        <v>700</v>
      </c>
      <c r="E41" s="3">
        <f t="shared" si="1"/>
        <v>1.46732411</v>
      </c>
      <c r="H41" s="25" t="s">
        <v>49</v>
      </c>
      <c r="I41" s="29">
        <v>1036</v>
      </c>
      <c r="J41" s="30"/>
      <c r="K41" s="19"/>
      <c r="L41" s="21">
        <v>1.47</v>
      </c>
      <c r="M41" s="27">
        <f t="shared" si="2"/>
        <v>1037.47</v>
      </c>
      <c r="N41" s="17"/>
    </row>
    <row r="42" s="3" customFormat="1" ht="22" customHeight="1" spans="2:14">
      <c r="B42" s="23">
        <v>494233</v>
      </c>
      <c r="C42" s="24">
        <f t="shared" si="0"/>
        <v>0.0001102719</v>
      </c>
      <c r="D42" s="22">
        <v>700</v>
      </c>
      <c r="E42" s="3">
        <f t="shared" si="1"/>
        <v>0.07719033</v>
      </c>
      <c r="H42" s="25" t="s">
        <v>50</v>
      </c>
      <c r="I42" s="29">
        <v>54.5</v>
      </c>
      <c r="J42" s="30"/>
      <c r="K42" s="19"/>
      <c r="L42" s="21">
        <v>0.08</v>
      </c>
      <c r="M42" s="27">
        <f t="shared" si="2"/>
        <v>54.58</v>
      </c>
      <c r="N42" s="17"/>
    </row>
    <row r="43" s="3" customFormat="1" ht="22" customHeight="1" spans="2:14">
      <c r="B43" s="23">
        <v>494233</v>
      </c>
      <c r="C43" s="24">
        <f t="shared" si="0"/>
        <v>0</v>
      </c>
      <c r="D43" s="22">
        <v>700</v>
      </c>
      <c r="E43" s="3">
        <f t="shared" si="1"/>
        <v>0</v>
      </c>
      <c r="H43" s="25" t="s">
        <v>51</v>
      </c>
      <c r="I43" s="26"/>
      <c r="J43" s="19"/>
      <c r="K43" s="19"/>
      <c r="L43" s="21">
        <v>0</v>
      </c>
      <c r="M43" s="27">
        <f t="shared" si="2"/>
        <v>0</v>
      </c>
      <c r="N43" s="17"/>
    </row>
    <row r="44" s="3" customFormat="1" ht="22" customHeight="1" spans="2:14">
      <c r="B44" s="23">
        <v>494233</v>
      </c>
      <c r="C44" s="24">
        <f t="shared" si="0"/>
        <v>0</v>
      </c>
      <c r="D44" s="22">
        <v>700</v>
      </c>
      <c r="E44" s="3">
        <f t="shared" si="1"/>
        <v>0</v>
      </c>
      <c r="H44" s="25" t="s">
        <v>52</v>
      </c>
      <c r="I44" s="26"/>
      <c r="J44" s="19"/>
      <c r="K44" s="19"/>
      <c r="L44" s="21">
        <v>0</v>
      </c>
      <c r="M44" s="27">
        <f t="shared" si="2"/>
        <v>0</v>
      </c>
      <c r="N44" s="17"/>
    </row>
    <row r="45" s="3" customFormat="1" ht="22" customHeight="1" spans="2:14">
      <c r="B45" s="23">
        <v>494233</v>
      </c>
      <c r="C45" s="24">
        <f t="shared" si="0"/>
        <v>0</v>
      </c>
      <c r="D45" s="22">
        <v>700</v>
      </c>
      <c r="E45" s="3">
        <f t="shared" si="1"/>
        <v>0</v>
      </c>
      <c r="H45" s="25" t="s">
        <v>53</v>
      </c>
      <c r="I45" s="26"/>
      <c r="J45" s="19"/>
      <c r="K45" s="19"/>
      <c r="L45" s="21">
        <v>0</v>
      </c>
      <c r="M45" s="27">
        <f t="shared" si="2"/>
        <v>0</v>
      </c>
      <c r="N45" s="17"/>
    </row>
    <row r="46" s="3" customFormat="1" ht="22" customHeight="1" spans="2:14">
      <c r="B46" s="23">
        <v>494233</v>
      </c>
      <c r="C46" s="24">
        <f t="shared" si="0"/>
        <v>0.0017805367</v>
      </c>
      <c r="D46" s="22">
        <v>700</v>
      </c>
      <c r="E46" s="3">
        <f t="shared" si="1"/>
        <v>1.24637569</v>
      </c>
      <c r="H46" s="25" t="s">
        <v>54</v>
      </c>
      <c r="I46" s="26">
        <v>880</v>
      </c>
      <c r="J46" s="19"/>
      <c r="K46" s="19"/>
      <c r="L46" s="21">
        <v>1.25</v>
      </c>
      <c r="M46" s="27">
        <f t="shared" si="2"/>
        <v>881.25</v>
      </c>
      <c r="N46" s="17"/>
    </row>
    <row r="47" s="3" customFormat="1" ht="22" customHeight="1" spans="2:14">
      <c r="B47" s="23">
        <v>494233</v>
      </c>
      <c r="C47" s="24">
        <f t="shared" si="0"/>
        <v>0</v>
      </c>
      <c r="D47" s="22">
        <v>700</v>
      </c>
      <c r="E47" s="3">
        <f t="shared" si="1"/>
        <v>0</v>
      </c>
      <c r="H47" s="25" t="s">
        <v>55</v>
      </c>
      <c r="I47" s="26"/>
      <c r="J47" s="19"/>
      <c r="K47" s="19"/>
      <c r="L47" s="21">
        <v>0</v>
      </c>
      <c r="M47" s="27">
        <f t="shared" si="2"/>
        <v>0</v>
      </c>
      <c r="N47" s="17"/>
    </row>
    <row r="48" s="3" customFormat="1" ht="22" customHeight="1" spans="2:14">
      <c r="B48" s="23">
        <v>494233</v>
      </c>
      <c r="C48" s="24">
        <f t="shared" si="0"/>
        <v>0</v>
      </c>
      <c r="D48" s="22">
        <v>700</v>
      </c>
      <c r="E48" s="3">
        <f t="shared" si="1"/>
        <v>0</v>
      </c>
      <c r="H48" s="25" t="s">
        <v>56</v>
      </c>
      <c r="I48" s="26"/>
      <c r="J48" s="19"/>
      <c r="K48" s="19"/>
      <c r="L48" s="21">
        <v>0</v>
      </c>
      <c r="M48" s="27">
        <f t="shared" si="2"/>
        <v>0</v>
      </c>
      <c r="N48" s="17"/>
    </row>
    <row r="49" s="3" customFormat="1" ht="22" customHeight="1" spans="2:14">
      <c r="B49" s="23">
        <v>494233</v>
      </c>
      <c r="C49" s="24">
        <f t="shared" si="0"/>
        <v>0</v>
      </c>
      <c r="D49" s="22">
        <v>700</v>
      </c>
      <c r="E49" s="3">
        <f t="shared" si="1"/>
        <v>0</v>
      </c>
      <c r="H49" s="25" t="s">
        <v>57</v>
      </c>
      <c r="I49" s="26"/>
      <c r="J49" s="19"/>
      <c r="K49" s="19"/>
      <c r="L49" s="21">
        <v>0</v>
      </c>
      <c r="M49" s="27">
        <f t="shared" si="2"/>
        <v>0</v>
      </c>
      <c r="N49" s="17"/>
    </row>
    <row r="50" s="3" customFormat="1" ht="22" customHeight="1" spans="2:14">
      <c r="B50" s="23">
        <v>494233</v>
      </c>
      <c r="C50" s="24">
        <f t="shared" si="0"/>
        <v>0</v>
      </c>
      <c r="D50" s="22">
        <v>700</v>
      </c>
      <c r="E50" s="3">
        <f t="shared" si="1"/>
        <v>0</v>
      </c>
      <c r="H50" s="25" t="s">
        <v>58</v>
      </c>
      <c r="I50" s="26"/>
      <c r="J50" s="19"/>
      <c r="K50" s="19"/>
      <c r="L50" s="21">
        <v>0</v>
      </c>
      <c r="M50" s="27">
        <f t="shared" si="2"/>
        <v>0</v>
      </c>
      <c r="N50" s="17"/>
    </row>
    <row r="51" s="3" customFormat="1" ht="22" customHeight="1" spans="2:14">
      <c r="B51" s="23">
        <v>494233</v>
      </c>
      <c r="C51" s="24">
        <f t="shared" si="0"/>
        <v>0.0002994539</v>
      </c>
      <c r="D51" s="22">
        <v>700</v>
      </c>
      <c r="E51" s="3">
        <f t="shared" si="1"/>
        <v>0.20961773</v>
      </c>
      <c r="H51" s="25" t="s">
        <v>59</v>
      </c>
      <c r="I51" s="26">
        <v>148</v>
      </c>
      <c r="J51" s="19"/>
      <c r="K51" s="19"/>
      <c r="L51" s="21">
        <v>0.21</v>
      </c>
      <c r="M51" s="27">
        <f t="shared" si="2"/>
        <v>148.21</v>
      </c>
      <c r="N51" s="17"/>
    </row>
    <row r="52" s="3" customFormat="1" ht="22" customHeight="1" spans="2:14">
      <c r="B52" s="23"/>
      <c r="C52" s="24"/>
      <c r="D52" s="22"/>
      <c r="H52" s="31" t="s">
        <v>60</v>
      </c>
      <c r="I52" s="18">
        <f>SUM(I4:I51)</f>
        <v>238796</v>
      </c>
      <c r="J52" s="18">
        <f>SUM(J4:J51)</f>
        <v>24463</v>
      </c>
      <c r="K52" s="18">
        <f>SUM(K4:K51)</f>
        <v>230974</v>
      </c>
      <c r="L52" s="18">
        <f>50*14</f>
        <v>700</v>
      </c>
      <c r="M52" s="27">
        <f t="shared" si="2"/>
        <v>494933</v>
      </c>
      <c r="N52" s="18"/>
    </row>
  </sheetData>
  <mergeCells count="7">
    <mergeCell ref="H1:N1"/>
    <mergeCell ref="H2:H3"/>
    <mergeCell ref="I2:I3"/>
    <mergeCell ref="J2:J3"/>
    <mergeCell ref="K2:K3"/>
    <mergeCell ref="L2:L3"/>
    <mergeCell ref="N2:N3"/>
  </mergeCells>
  <printOptions gridLines="1"/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2026-03-26T03:25:00Z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8628ACD47D17420EB043DFEB7552D1A9_13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