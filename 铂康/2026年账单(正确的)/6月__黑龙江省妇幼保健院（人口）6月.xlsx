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660" firstSheet="4" activeTab="7"/>
  </bookViews>
  <sheets>
    <sheet name="住院处手术室" sheetId="1" r:id="rId1"/>
    <sheet name="口腔科（公共器械）" sheetId="3" r:id="rId2"/>
    <sheet name="口腔科（刘医生）" sheetId="4" r:id="rId3"/>
    <sheet name="口腔科（李医生）" sheetId="5" r:id="rId4"/>
    <sheet name="口腔科（樊医生）" sheetId="6" r:id="rId5"/>
    <sheet name="妇科住院处" sheetId="7" r:id="rId6"/>
    <sheet name="手术室" sheetId="8" r:id="rId7"/>
    <sheet name="门诊手术室" sheetId="9" r:id="rId8"/>
  </sheets>
  <definedNames>
    <definedName name="_xlnm._FilterDatabase" localSheetId="0" hidden="1">住院处手术室!$A$9:$K$56</definedName>
    <definedName name="_xlnm._FilterDatabase" localSheetId="1" hidden="1">'口腔科（公共器械）'!$A$9:$K$14</definedName>
    <definedName name="_xlnm._FilterDatabase" localSheetId="2" hidden="1">'口腔科（刘医生）'!$A$9:$K$32</definedName>
    <definedName name="_xlnm._FilterDatabase" localSheetId="3" hidden="1">'口腔科（李医生）'!$A$9:$K$12</definedName>
    <definedName name="_xlnm._FilterDatabase" localSheetId="4" hidden="1">'口腔科（樊医生）'!$A$9:$K$76</definedName>
    <definedName name="_xlnm._FilterDatabase" localSheetId="5" hidden="1">妇科住院处!$A$9:$K$19</definedName>
    <definedName name="_xlnm._FilterDatabase" localSheetId="6" hidden="1">手术室!$A$9:$K$59</definedName>
    <definedName name="_xlnm._FilterDatabase" localSheetId="7" hidden="1">门诊手术室!$A$9:$K$133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<sst xmlns="http://schemas.openxmlformats.org/spreadsheetml/2006/main" count="1781" uniqueCount="320">
  <si>
    <t>发货单汇总表-显示包装材料</t>
  </si>
  <si>
    <t>从:2026/6/1 00:00:00 至: 2026/6/30 23:59:59.999</t>
  </si>
  <si>
    <t/>
  </si>
  <si>
    <t>黑龙江省妇幼保健院（人口）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</si>
  <si>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</si>
  <si>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</si>
  <si>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</si>
  <si>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</si>
  <si>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</si>
  <si>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</si>
  <si>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</si>
  <si>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</si>
  <si>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住院处手术室</t>
  </si>
  <si>
    <t>2026/06/05</t>
  </si>
  <si>
    <t>1609773</t>
  </si>
  <si>
    <t>器械包</t>
  </si>
  <si>
    <t>20312117</t>
  </si>
  <si>
    <t>阴式包</t>
  </si>
  <si>
    <t>额外包(纸塑袋)</t>
  </si>
  <si>
    <t>20300166</t>
  </si>
  <si>
    <t>持物钳罐-2/z2044</t>
  </si>
  <si>
    <t>20301291</t>
  </si>
  <si>
    <t>带盖方盘-1/Z3044</t>
  </si>
  <si>
    <t>20005905</t>
  </si>
  <si>
    <t>宫颈钳-1/Z1535</t>
  </si>
  <si>
    <t>20393931</t>
  </si>
  <si>
    <t>宫颈压板-1/Z1530</t>
  </si>
  <si>
    <t>20005267</t>
  </si>
  <si>
    <t>刮匙-1/Z7537</t>
  </si>
  <si>
    <t>20314559</t>
  </si>
  <si>
    <t>剪刀-1/Z1029</t>
  </si>
  <si>
    <t>20015170</t>
  </si>
  <si>
    <t>阑尾拉钩-2/z1526</t>
  </si>
  <si>
    <t>20300137</t>
  </si>
  <si>
    <t>卵圆钳-1/Z1535</t>
  </si>
  <si>
    <t>20009031</t>
  </si>
  <si>
    <t>镊子-1/Z7534</t>
  </si>
  <si>
    <t>20383644</t>
  </si>
  <si>
    <t>镊子缸包-2/z2044</t>
  </si>
  <si>
    <t>20396941</t>
  </si>
  <si>
    <t>弯持针器-1/Z1535</t>
  </si>
  <si>
    <t>20396940</t>
  </si>
  <si>
    <t>阴道环切剪-1/Z1029</t>
  </si>
  <si>
    <t>20393930</t>
  </si>
  <si>
    <t>阴道压板-1/Z1530</t>
  </si>
  <si>
    <t>20310217</t>
  </si>
  <si>
    <t>子宫夹持钳-1/Z1535</t>
  </si>
  <si>
    <t>器械包(ZSD)</t>
  </si>
  <si>
    <t>20015099</t>
  </si>
  <si>
    <t>宫腔镜包</t>
  </si>
  <si>
    <t>额外包(无纺布)</t>
  </si>
  <si>
    <t>20393926</t>
  </si>
  <si>
    <t>阴道拉钩-1/W6050</t>
  </si>
  <si>
    <t>1609775</t>
  </si>
  <si>
    <t>20015158</t>
  </si>
  <si>
    <t>鞍钩-2/W6050</t>
  </si>
  <si>
    <t>1609786</t>
  </si>
  <si>
    <t>20011057</t>
  </si>
  <si>
    <t>弯盘-1/Z2032</t>
  </si>
  <si>
    <t>20015159</t>
  </si>
  <si>
    <t>S拉钩-1/W6050</t>
  </si>
  <si>
    <t>20385203</t>
  </si>
  <si>
    <t>S拉钩-2/W6050</t>
  </si>
  <si>
    <t>2026/06/06</t>
  </si>
  <si>
    <t>1609831</t>
  </si>
  <si>
    <t>20314968</t>
  </si>
  <si>
    <t>妇科肌瘤钻-1/Z1526</t>
  </si>
  <si>
    <t>20316008</t>
  </si>
  <si>
    <t>探针-1/Z7537</t>
  </si>
  <si>
    <t>20315771</t>
  </si>
  <si>
    <t>铁格尺-1/Z7530</t>
  </si>
  <si>
    <t>20015177</t>
  </si>
  <si>
    <t>无菌缸-1/Z2530</t>
  </si>
  <si>
    <t>20005309</t>
  </si>
  <si>
    <t>吸头5.6.7号-3/Z7534</t>
  </si>
  <si>
    <t>20345062</t>
  </si>
  <si>
    <t>治疗碗-1/Z2530</t>
  </si>
  <si>
    <t>2026/06/09</t>
  </si>
  <si>
    <t>1610370</t>
  </si>
  <si>
    <t>敷料包(无纺布包)</t>
  </si>
  <si>
    <t>20015179</t>
  </si>
  <si>
    <t>手术衣/W12050</t>
  </si>
  <si>
    <t>敷料包(纸塑袋)</t>
  </si>
  <si>
    <t>20359291</t>
  </si>
  <si>
    <t>棉球/Z1526</t>
  </si>
  <si>
    <t>20007833</t>
  </si>
  <si>
    <t>纱布/Z1526</t>
  </si>
  <si>
    <t>1610468</t>
  </si>
  <si>
    <t>器械包(低温等离子)</t>
  </si>
  <si>
    <t>20015167</t>
  </si>
  <si>
    <t>单极电切镜</t>
  </si>
  <si>
    <t>20015166</t>
  </si>
  <si>
    <t>双极电切镜</t>
  </si>
  <si>
    <t>2026/06/10</t>
  </si>
  <si>
    <t>1611129</t>
  </si>
  <si>
    <t>20300138</t>
  </si>
  <si>
    <t>组织钳-1/Z1029</t>
  </si>
  <si>
    <t>2026/06/19</t>
  </si>
  <si>
    <t>1613566</t>
  </si>
  <si>
    <t>1613621</t>
  </si>
  <si>
    <t>额外包(低温等离子)</t>
  </si>
  <si>
    <t>20015155</t>
  </si>
  <si>
    <t>闭孔器-2/Z1026</t>
  </si>
  <si>
    <t>单包装包(老肯低温)</t>
  </si>
  <si>
    <t>20367694</t>
  </si>
  <si>
    <t>30°膀胱镜-1/z2060</t>
  </si>
  <si>
    <t>2026/06/29</t>
  </si>
  <si>
    <t>1616097</t>
  </si>
  <si>
    <t>20314213</t>
  </si>
  <si>
    <t>刷手服/W12050</t>
  </si>
  <si>
    <t>口腔科（公共器械）</t>
  </si>
  <si>
    <t>1610806</t>
  </si>
  <si>
    <t>20005301</t>
  </si>
  <si>
    <t>拔牙挺-1/Z7526</t>
  </si>
  <si>
    <t>2026/06/24</t>
  </si>
  <si>
    <t>1614536</t>
  </si>
  <si>
    <t>20005300</t>
  </si>
  <si>
    <t>拔牙钳-1/Z1029</t>
  </si>
  <si>
    <t>20005302</t>
  </si>
  <si>
    <t>持针器-1/Z1029</t>
  </si>
  <si>
    <t>口腔科（刘医生）</t>
  </si>
  <si>
    <t>2026/06/02</t>
  </si>
  <si>
    <t>1608646</t>
  </si>
  <si>
    <t>20309694</t>
  </si>
  <si>
    <t>车针-3/Z7520</t>
  </si>
  <si>
    <t>20311497</t>
  </si>
  <si>
    <t>三枪头-1/Z7520</t>
  </si>
  <si>
    <t>20005911</t>
  </si>
  <si>
    <t>手机-1/Z7526</t>
  </si>
  <si>
    <t>1610807</t>
  </si>
  <si>
    <t>20314566</t>
  </si>
  <si>
    <t>车针-4/Z7520</t>
  </si>
  <si>
    <t>20005912</t>
  </si>
  <si>
    <t>车针-5/Z7520</t>
  </si>
  <si>
    <t>20005294</t>
  </si>
  <si>
    <t>成型片-1/Z7520</t>
  </si>
  <si>
    <t>20005296</t>
  </si>
  <si>
    <t>充填器-1/Z7534</t>
  </si>
  <si>
    <t>20329040</t>
  </si>
  <si>
    <t>唇钩-1/Z7520</t>
  </si>
  <si>
    <t>20345728</t>
  </si>
  <si>
    <t>根管锉-2/Z7520</t>
  </si>
  <si>
    <t>20356069</t>
  </si>
  <si>
    <t>机扩针-2/Z7520</t>
  </si>
  <si>
    <t>20012123</t>
  </si>
  <si>
    <t>开口器-1/Z1026</t>
  </si>
  <si>
    <t>20313547</t>
  </si>
  <si>
    <t>抛光头-1/Z7520</t>
  </si>
  <si>
    <t>20361515</t>
  </si>
  <si>
    <t>剔挖器-1/Z7526</t>
  </si>
  <si>
    <t>1614537</t>
  </si>
  <si>
    <t>20325740</t>
  </si>
  <si>
    <t>车针-2/Z7520</t>
  </si>
  <si>
    <t>口腔科（李医生）</t>
  </si>
  <si>
    <t>1608645</t>
  </si>
  <si>
    <t>口腔科（樊医生）</t>
  </si>
  <si>
    <t>1608644</t>
  </si>
  <si>
    <t>20309692</t>
  </si>
  <si>
    <t>拔髓针-1/Z7520</t>
  </si>
  <si>
    <t>20351067</t>
  </si>
  <si>
    <t>车针-6/z7520</t>
  </si>
  <si>
    <t>20325742</t>
  </si>
  <si>
    <t>冲洗针头-1/保Z7526</t>
  </si>
  <si>
    <t>20314290</t>
  </si>
  <si>
    <t>根管锉-4/Z7520</t>
  </si>
  <si>
    <t>20316650</t>
  </si>
  <si>
    <t>光敏刀-1/Z7526</t>
  </si>
  <si>
    <t>20314291</t>
  </si>
  <si>
    <t>洁牙机头-1/Z7520</t>
  </si>
  <si>
    <t>20361511</t>
  </si>
  <si>
    <t>抛光棒-1/z7520</t>
  </si>
  <si>
    <t>20324935</t>
  </si>
  <si>
    <t>去冠器-1/Z7534</t>
  </si>
  <si>
    <t>20012779</t>
  </si>
  <si>
    <t>托盘-1/Z1526</t>
  </si>
  <si>
    <t>20005298</t>
  </si>
  <si>
    <t>针柄-1/Z7520</t>
  </si>
  <si>
    <t>20005295</t>
  </si>
  <si>
    <t>注射器-1/Z1029</t>
  </si>
  <si>
    <t>1610805</t>
  </si>
  <si>
    <t>1614535</t>
  </si>
  <si>
    <t>1614556</t>
  </si>
  <si>
    <t>20358634</t>
  </si>
  <si>
    <t>测量尺-1/Z7520</t>
  </si>
  <si>
    <t>20013926</t>
  </si>
  <si>
    <t>根管锉-5/Z7520</t>
  </si>
  <si>
    <t>20400588</t>
  </si>
  <si>
    <t>根管锉-6/Z7520</t>
  </si>
  <si>
    <t>20323359</t>
  </si>
  <si>
    <t>挖勺-1/Z7537</t>
  </si>
  <si>
    <t>2026/06/25</t>
  </si>
  <si>
    <t>1615282</t>
  </si>
  <si>
    <t>20315152</t>
  </si>
  <si>
    <t>根管锉-3/Z1020</t>
  </si>
  <si>
    <t>20424440</t>
  </si>
  <si>
    <t>加长根管锉-6/Z7520</t>
  </si>
  <si>
    <t>20367982</t>
  </si>
  <si>
    <t>喷砂套盒-4件/z1526</t>
  </si>
  <si>
    <t>20367984</t>
  </si>
  <si>
    <t>龈下洁牙套盒-7 盒1/Z1526</t>
  </si>
  <si>
    <t>妇科住院处</t>
  </si>
  <si>
    <t>1613563</t>
  </si>
  <si>
    <t>单包装包</t>
  </si>
  <si>
    <t>20015250</t>
  </si>
  <si>
    <t>持物钳缸-2/Z2044</t>
  </si>
  <si>
    <t>20005283</t>
  </si>
  <si>
    <t>20430366</t>
  </si>
  <si>
    <t>手术室</t>
  </si>
  <si>
    <t>1608304</t>
  </si>
  <si>
    <t>20012766</t>
  </si>
  <si>
    <t>20013644</t>
  </si>
  <si>
    <t>计划生育包</t>
  </si>
  <si>
    <t>1608362</t>
  </si>
  <si>
    <t>20011862</t>
  </si>
  <si>
    <t>活检镜30度-1/z2060</t>
  </si>
  <si>
    <t>20011863</t>
  </si>
  <si>
    <t>活检镜鞘-2件/z2060</t>
  </si>
  <si>
    <t>1608648</t>
  </si>
  <si>
    <t>1609403</t>
  </si>
  <si>
    <t>20015176</t>
  </si>
  <si>
    <t>20006889</t>
  </si>
  <si>
    <t>外伤包</t>
  </si>
  <si>
    <t>1609772</t>
  </si>
  <si>
    <t>20006888</t>
  </si>
  <si>
    <t>上取皮埋包</t>
  </si>
  <si>
    <t>1609785</t>
  </si>
  <si>
    <t>1610809</t>
  </si>
  <si>
    <t>2026/06/11</t>
  </si>
  <si>
    <t>1611566</t>
  </si>
  <si>
    <t>20013815</t>
  </si>
  <si>
    <t>20005268</t>
  </si>
  <si>
    <t>窥器-1/Z1526</t>
  </si>
  <si>
    <t>20009033</t>
  </si>
  <si>
    <t>取环钳-1/Z1535</t>
  </si>
  <si>
    <t>20013931</t>
  </si>
  <si>
    <t>止血钳(弯)-1/Z1029</t>
  </si>
  <si>
    <t>20352210</t>
  </si>
  <si>
    <t>止血钳（直）-1/z1029</t>
  </si>
  <si>
    <t>2026/06/16</t>
  </si>
  <si>
    <t>1612362</t>
  </si>
  <si>
    <t>20005278</t>
  </si>
  <si>
    <t>包皮包</t>
  </si>
  <si>
    <t>1612382</t>
  </si>
  <si>
    <t>1613565</t>
  </si>
  <si>
    <t>2026/06/22</t>
  </si>
  <si>
    <t>1614145</t>
  </si>
  <si>
    <t>1615284</t>
  </si>
  <si>
    <t>20006911</t>
  </si>
  <si>
    <t>活检包</t>
  </si>
  <si>
    <t>2026/06/26</t>
  </si>
  <si>
    <t>1615558</t>
  </si>
  <si>
    <t>门诊手术室</t>
  </si>
  <si>
    <t>1608303</t>
  </si>
  <si>
    <t>20005269</t>
  </si>
  <si>
    <t>病理钳-1/Z2032</t>
  </si>
  <si>
    <t>20009034</t>
  </si>
  <si>
    <t>吸头（5.6.7号）-3件/Z7530</t>
  </si>
  <si>
    <t>1608361</t>
  </si>
  <si>
    <t>20012172</t>
  </si>
  <si>
    <t>低温组件-1/Z1030</t>
  </si>
  <si>
    <t>20370119</t>
  </si>
  <si>
    <t>低温组件-3/Z7520</t>
  </si>
  <si>
    <t>20315711</t>
  </si>
  <si>
    <t>水管-1/z3040</t>
  </si>
  <si>
    <t>20015143</t>
  </si>
  <si>
    <t>弯钳-1/z2060</t>
  </si>
  <si>
    <t>20015142</t>
  </si>
  <si>
    <t>无损伤钳-1/Z2060</t>
  </si>
  <si>
    <t>20314112</t>
  </si>
  <si>
    <t>转换帽-1/Z7520</t>
  </si>
  <si>
    <t>20383300</t>
  </si>
  <si>
    <t>宫腔镜-2件盒1/W12050</t>
  </si>
  <si>
    <t>20011422</t>
  </si>
  <si>
    <t>通液镜-3/z2060</t>
  </si>
  <si>
    <t>1608647</t>
  </si>
  <si>
    <t>20005273</t>
  </si>
  <si>
    <t>取环钩 -1/Z7537</t>
  </si>
  <si>
    <t>2026/06/03</t>
  </si>
  <si>
    <t>1608744</t>
  </si>
  <si>
    <t>20015139</t>
  </si>
  <si>
    <t>剪刀（低温）-1/z2060</t>
  </si>
  <si>
    <t>20378021</t>
  </si>
  <si>
    <t>孔钳-1/z2060</t>
  </si>
  <si>
    <t>20015136</t>
  </si>
  <si>
    <t>抓钳-1/z2060</t>
  </si>
  <si>
    <t>1609402</t>
  </si>
  <si>
    <t>1609501</t>
  </si>
  <si>
    <t>1609784</t>
  </si>
  <si>
    <t>1609822</t>
  </si>
  <si>
    <t>20005307</t>
  </si>
  <si>
    <t>宫颈射频刀-1/Z1026</t>
  </si>
  <si>
    <t>1609833</t>
  </si>
  <si>
    <t>1610808</t>
  </si>
  <si>
    <t>20011898</t>
  </si>
  <si>
    <t>皮埋敷料/Z2032</t>
  </si>
  <si>
    <t>1611565</t>
  </si>
  <si>
    <t>1612361</t>
  </si>
  <si>
    <t>1612464</t>
  </si>
  <si>
    <t>1613564</t>
  </si>
  <si>
    <t>20430372</t>
  </si>
  <si>
    <t>7.5扩棒-1/Z7526</t>
  </si>
  <si>
    <t>20320477</t>
  </si>
  <si>
    <t>7号扩棒-1/Z7526</t>
  </si>
  <si>
    <t>20005279</t>
  </si>
  <si>
    <t>钩镊-1/Z7530</t>
  </si>
  <si>
    <t>20005390</t>
  </si>
  <si>
    <t>棉球-10/Z1020</t>
  </si>
  <si>
    <t>1613620</t>
  </si>
  <si>
    <t>20311036</t>
  </si>
  <si>
    <t>锐扶刀-1/Z1026</t>
  </si>
  <si>
    <t>1614144</t>
  </si>
  <si>
    <t>2026/06/23</t>
  </si>
  <si>
    <t>1614225</t>
  </si>
  <si>
    <t>1615283</t>
  </si>
  <si>
    <t>1615346</t>
  </si>
  <si>
    <t>1615557</t>
  </si>
  <si>
    <t>20411294</t>
  </si>
  <si>
    <t>棉签/Z1535</t>
  </si>
  <si>
    <t>2026/06/27</t>
  </si>
  <si>
    <t>1615635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</si>
</sst>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8"/>
      <name val="宋体"/>
      <charset val="134"/>
    </font>
    <font>
      <sz val="12"/>
      <color indexed="9"/>
      <name val="宋体"/>
      <charset val="134"/>
    </font>
    <font>
      <b/>
      <sz val="10"/>
      <color indexed="8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0" fillId="0" borderId="0" xfId="0" applyFont="1" applyBorder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top" wrapText="1"/>
    </xf>
    <xf numFmtId="0" fontId="0" fillId="0" borderId="1" xfId="0" applyFont="1" applyBorder="1" applyAlignment="1"/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/>
    <xf numFmtId="2" fontId="5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3810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44005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48780" y="355600"/>
          <a:ext cx="795655" cy="50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01180" y="355600"/>
          <a:ext cx="781050" cy="508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2435" y="355600"/>
          <a:ext cx="800100" cy="482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5930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1485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56375" y="355600"/>
          <a:ext cx="8001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showGridLines="0" view="pageBreakPreview" zoomScaleNormal="100" topLeftCell="D26" workbookViewId="0">
      <selection activeCell="K11" sqref="K11:K58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2.7916666666667" customWidth="1"/>
    <col min="7" max="7" width="12.0833333333333" customWidth="1"/>
    <col min="8" max="8" width="17.5416666666667" customWidth="1"/>
    <col min="9" max="9" width="6.91666666666667" customWidth="1"/>
    <col min="10" max="10" width="9.81666666666667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12</v>
      </c>
      <c r="E10" s="8"/>
      <c r="F10" s="8"/>
      <c r="G10" s="8"/>
      <c r="H10" s="8"/>
      <c r="I10" s="9">
        <v>96</v>
      </c>
      <c r="J10" s="10"/>
      <c r="K10" s="11">
        <f>SUM(K11:K56)</f>
        <v>2781.5</v>
      </c>
      <c r="L10" s="3"/>
    </row>
    <row r="11" ht="18" customHeight="1" spans="1:12">
      <c r="A11" s="7"/>
      <c r="B11" s="7"/>
      <c r="C11" s="7"/>
      <c r="D11" s="12" t="s">
        <v>13</v>
      </c>
      <c r="E11" s="12" t="s">
        <v>14</v>
      </c>
      <c r="F11" s="12" t="s">
        <v>15</v>
      </c>
      <c r="G11" s="12" t="s">
        <v>16</v>
      </c>
      <c r="H11" s="12" t="s">
        <v>17</v>
      </c>
      <c r="I11" s="12">
        <v>1</v>
      </c>
      <c r="J11" s="13">
        <v>242</v>
      </c>
      <c r="K11" s="13">
        <f>J11*I11</f>
        <v>242</v>
      </c>
      <c r="L11" s="3"/>
    </row>
    <row r="12" ht="18" customHeight="1" spans="1:12">
      <c r="A12" s="7"/>
      <c r="B12" s="7"/>
      <c r="C12" s="7"/>
      <c r="D12" s="12" t="s">
        <v>13</v>
      </c>
      <c r="E12" s="12" t="s">
        <v>14</v>
      </c>
      <c r="F12" s="12" t="s">
        <v>18</v>
      </c>
      <c r="G12" s="12" t="s">
        <v>19</v>
      </c>
      <c r="H12" s="12" t="s">
        <v>20</v>
      </c>
      <c r="I12" s="12">
        <v>3</v>
      </c>
      <c r="J12" s="13">
        <v>16.5</v>
      </c>
      <c r="K12" s="13">
        <f t="shared" ref="K12:K56" si="0">J12*I12</f>
        <v>49.5</v>
      </c>
      <c r="L12" s="3"/>
    </row>
    <row r="13" ht="18" customHeight="1" spans="1:12">
      <c r="A13" s="7"/>
      <c r="B13" s="7"/>
      <c r="C13" s="7"/>
      <c r="D13" s="12" t="s">
        <v>13</v>
      </c>
      <c r="E13" s="12" t="s">
        <v>14</v>
      </c>
      <c r="F13" s="12" t="s">
        <v>18</v>
      </c>
      <c r="G13" s="12" t="s">
        <v>21</v>
      </c>
      <c r="H13" s="12" t="s">
        <v>22</v>
      </c>
      <c r="I13" s="12">
        <v>1</v>
      </c>
      <c r="J13" s="13">
        <v>16</v>
      </c>
      <c r="K13" s="13">
        <f t="shared" si="0"/>
        <v>16</v>
      </c>
      <c r="L13" s="3"/>
    </row>
    <row r="14" ht="18" customHeight="1" spans="1:12">
      <c r="A14" s="7"/>
      <c r="B14" s="7"/>
      <c r="C14" s="7"/>
      <c r="D14" s="12" t="s">
        <v>13</v>
      </c>
      <c r="E14" s="12" t="s">
        <v>14</v>
      </c>
      <c r="F14" s="12" t="s">
        <v>18</v>
      </c>
      <c r="G14" s="12" t="s">
        <v>23</v>
      </c>
      <c r="H14" s="12" t="s">
        <v>24</v>
      </c>
      <c r="I14" s="12">
        <v>1</v>
      </c>
      <c r="J14" s="13">
        <v>11</v>
      </c>
      <c r="K14" s="13">
        <f t="shared" si="0"/>
        <v>11</v>
      </c>
      <c r="L14" s="3"/>
    </row>
    <row r="15" ht="18" customHeight="1" spans="1:12">
      <c r="A15" s="7"/>
      <c r="B15" s="7"/>
      <c r="C15" s="7"/>
      <c r="D15" s="12" t="s">
        <v>13</v>
      </c>
      <c r="E15" s="12" t="s">
        <v>14</v>
      </c>
      <c r="F15" s="12" t="s">
        <v>18</v>
      </c>
      <c r="G15" s="12" t="s">
        <v>25</v>
      </c>
      <c r="H15" s="12" t="s">
        <v>26</v>
      </c>
      <c r="I15" s="12">
        <v>2</v>
      </c>
      <c r="J15" s="13">
        <v>11</v>
      </c>
      <c r="K15" s="13">
        <f t="shared" si="0"/>
        <v>22</v>
      </c>
      <c r="L15" s="3"/>
    </row>
    <row r="16" ht="18" customHeight="1" spans="1:12">
      <c r="A16" s="7"/>
      <c r="B16" s="7"/>
      <c r="C16" s="7"/>
      <c r="D16" s="12" t="s">
        <v>13</v>
      </c>
      <c r="E16" s="12" t="s">
        <v>14</v>
      </c>
      <c r="F16" s="12" t="s">
        <v>18</v>
      </c>
      <c r="G16" s="12" t="s">
        <v>27</v>
      </c>
      <c r="H16" s="12" t="s">
        <v>28</v>
      </c>
      <c r="I16" s="12">
        <v>1</v>
      </c>
      <c r="J16" s="13">
        <v>8</v>
      </c>
      <c r="K16" s="13">
        <f t="shared" si="0"/>
        <v>8</v>
      </c>
      <c r="L16" s="3"/>
    </row>
    <row r="17" ht="18" customHeight="1" spans="1:12">
      <c r="A17" s="7"/>
      <c r="B17" s="7"/>
      <c r="C17" s="7"/>
      <c r="D17" s="12" t="s">
        <v>13</v>
      </c>
      <c r="E17" s="12" t="s">
        <v>14</v>
      </c>
      <c r="F17" s="12" t="s">
        <v>18</v>
      </c>
      <c r="G17" s="12" t="s">
        <v>29</v>
      </c>
      <c r="H17" s="12" t="s">
        <v>30</v>
      </c>
      <c r="I17" s="12">
        <v>2</v>
      </c>
      <c r="J17" s="13">
        <v>8</v>
      </c>
      <c r="K17" s="13">
        <f t="shared" si="0"/>
        <v>16</v>
      </c>
      <c r="L17" s="3"/>
    </row>
    <row r="18" ht="18" customHeight="1" spans="1:12">
      <c r="A18" s="7"/>
      <c r="B18" s="7"/>
      <c r="C18" s="7"/>
      <c r="D18" s="12" t="s">
        <v>13</v>
      </c>
      <c r="E18" s="12" t="s">
        <v>14</v>
      </c>
      <c r="F18" s="12" t="s">
        <v>18</v>
      </c>
      <c r="G18" s="12" t="s">
        <v>31</v>
      </c>
      <c r="H18" s="12" t="s">
        <v>32</v>
      </c>
      <c r="I18" s="12">
        <v>1</v>
      </c>
      <c r="J18" s="13">
        <v>16.5</v>
      </c>
      <c r="K18" s="13">
        <f t="shared" si="0"/>
        <v>16.5</v>
      </c>
      <c r="L18" s="3"/>
    </row>
    <row r="19" ht="18" customHeight="1" spans="1:12">
      <c r="A19" s="7"/>
      <c r="B19" s="7"/>
      <c r="C19" s="7"/>
      <c r="D19" s="12" t="s">
        <v>13</v>
      </c>
      <c r="E19" s="12" t="s">
        <v>14</v>
      </c>
      <c r="F19" s="12" t="s">
        <v>18</v>
      </c>
      <c r="G19" s="12" t="s">
        <v>33</v>
      </c>
      <c r="H19" s="12" t="s">
        <v>34</v>
      </c>
      <c r="I19" s="12">
        <v>3</v>
      </c>
      <c r="J19" s="13">
        <v>11</v>
      </c>
      <c r="K19" s="13">
        <f t="shared" si="0"/>
        <v>33</v>
      </c>
      <c r="L19" s="3"/>
    </row>
    <row r="20" ht="18" customHeight="1" spans="1:12">
      <c r="A20" s="7"/>
      <c r="B20" s="7"/>
      <c r="C20" s="7"/>
      <c r="D20" s="12" t="s">
        <v>13</v>
      </c>
      <c r="E20" s="12" t="s">
        <v>14</v>
      </c>
      <c r="F20" s="12" t="s">
        <v>18</v>
      </c>
      <c r="G20" s="12" t="s">
        <v>35</v>
      </c>
      <c r="H20" s="12" t="s">
        <v>36</v>
      </c>
      <c r="I20" s="12">
        <v>3</v>
      </c>
      <c r="J20" s="13">
        <v>8</v>
      </c>
      <c r="K20" s="13">
        <f t="shared" si="0"/>
        <v>24</v>
      </c>
      <c r="L20" s="3"/>
    </row>
    <row r="21" ht="18" customHeight="1" spans="1:12">
      <c r="A21" s="7"/>
      <c r="B21" s="7"/>
      <c r="C21" s="7"/>
      <c r="D21" s="12" t="s">
        <v>13</v>
      </c>
      <c r="E21" s="12" t="s">
        <v>14</v>
      </c>
      <c r="F21" s="12" t="s">
        <v>18</v>
      </c>
      <c r="G21" s="12" t="s">
        <v>37</v>
      </c>
      <c r="H21" s="12" t="s">
        <v>38</v>
      </c>
      <c r="I21" s="12">
        <v>4</v>
      </c>
      <c r="J21" s="13">
        <v>16.5</v>
      </c>
      <c r="K21" s="13">
        <f t="shared" si="0"/>
        <v>66</v>
      </c>
      <c r="L21" s="3"/>
    </row>
    <row r="22" ht="18" customHeight="1" spans="1:12">
      <c r="A22" s="7"/>
      <c r="B22" s="7"/>
      <c r="C22" s="7"/>
      <c r="D22" s="12" t="s">
        <v>13</v>
      </c>
      <c r="E22" s="12" t="s">
        <v>14</v>
      </c>
      <c r="F22" s="12" t="s">
        <v>18</v>
      </c>
      <c r="G22" s="12" t="s">
        <v>39</v>
      </c>
      <c r="H22" s="12" t="s">
        <v>40</v>
      </c>
      <c r="I22" s="12">
        <v>6</v>
      </c>
      <c r="J22" s="13">
        <v>11</v>
      </c>
      <c r="K22" s="13">
        <f t="shared" si="0"/>
        <v>66</v>
      </c>
      <c r="L22" s="3"/>
    </row>
    <row r="23" ht="18" customHeight="1" spans="1:12">
      <c r="A23" s="7"/>
      <c r="B23" s="7"/>
      <c r="C23" s="7"/>
      <c r="D23" s="12" t="s">
        <v>13</v>
      </c>
      <c r="E23" s="12" t="s">
        <v>14</v>
      </c>
      <c r="F23" s="12" t="s">
        <v>18</v>
      </c>
      <c r="G23" s="12" t="s">
        <v>41</v>
      </c>
      <c r="H23" s="12" t="s">
        <v>42</v>
      </c>
      <c r="I23" s="12">
        <v>3</v>
      </c>
      <c r="J23" s="13">
        <v>8</v>
      </c>
      <c r="K23" s="13">
        <f t="shared" si="0"/>
        <v>24</v>
      </c>
      <c r="L23" s="3"/>
    </row>
    <row r="24" ht="18" customHeight="1" spans="1:12">
      <c r="A24" s="7"/>
      <c r="B24" s="7"/>
      <c r="C24" s="7"/>
      <c r="D24" s="12" t="s">
        <v>13</v>
      </c>
      <c r="E24" s="12" t="s">
        <v>14</v>
      </c>
      <c r="F24" s="12" t="s">
        <v>18</v>
      </c>
      <c r="G24" s="12" t="s">
        <v>43</v>
      </c>
      <c r="H24" s="12" t="s">
        <v>44</v>
      </c>
      <c r="I24" s="12">
        <v>4</v>
      </c>
      <c r="J24" s="13">
        <v>11</v>
      </c>
      <c r="K24" s="13">
        <f t="shared" si="0"/>
        <v>44</v>
      </c>
      <c r="L24" s="3"/>
    </row>
    <row r="25" ht="18" customHeight="1" spans="1:12">
      <c r="A25" s="7"/>
      <c r="B25" s="7"/>
      <c r="C25" s="7"/>
      <c r="D25" s="12" t="s">
        <v>13</v>
      </c>
      <c r="E25" s="12" t="s">
        <v>14</v>
      </c>
      <c r="F25" s="12" t="s">
        <v>18</v>
      </c>
      <c r="G25" s="12" t="s">
        <v>45</v>
      </c>
      <c r="H25" s="12" t="s">
        <v>46</v>
      </c>
      <c r="I25" s="12">
        <v>1</v>
      </c>
      <c r="J25" s="13">
        <v>11</v>
      </c>
      <c r="K25" s="13">
        <f t="shared" si="0"/>
        <v>11</v>
      </c>
      <c r="L25" s="3"/>
    </row>
    <row r="26" ht="18" customHeight="1" spans="1:12">
      <c r="A26" s="7"/>
      <c r="B26" s="7"/>
      <c r="C26" s="7"/>
      <c r="D26" s="12" t="s">
        <v>13</v>
      </c>
      <c r="E26" s="12" t="s">
        <v>14</v>
      </c>
      <c r="F26" s="12" t="s">
        <v>47</v>
      </c>
      <c r="G26" s="12" t="s">
        <v>48</v>
      </c>
      <c r="H26" s="12" t="s">
        <v>49</v>
      </c>
      <c r="I26" s="12">
        <v>3</v>
      </c>
      <c r="J26" s="13">
        <v>121</v>
      </c>
      <c r="K26" s="13">
        <f t="shared" si="0"/>
        <v>363</v>
      </c>
      <c r="L26" s="3"/>
    </row>
    <row r="27" ht="18" customHeight="1" spans="1:12">
      <c r="A27" s="7"/>
      <c r="B27" s="7"/>
      <c r="C27" s="7"/>
      <c r="D27" s="12" t="s">
        <v>13</v>
      </c>
      <c r="E27" s="12" t="s">
        <v>14</v>
      </c>
      <c r="F27" s="12" t="s">
        <v>50</v>
      </c>
      <c r="G27" s="12" t="s">
        <v>51</v>
      </c>
      <c r="H27" s="12" t="s">
        <v>52</v>
      </c>
      <c r="I27" s="12">
        <v>4</v>
      </c>
      <c r="J27" s="13">
        <v>16.5</v>
      </c>
      <c r="K27" s="13">
        <f t="shared" si="0"/>
        <v>66</v>
      </c>
      <c r="L27" s="3"/>
    </row>
    <row r="28" ht="18" customHeight="1" spans="1:12">
      <c r="A28" s="7"/>
      <c r="B28" s="7"/>
      <c r="C28" s="7"/>
      <c r="D28" s="12" t="s">
        <v>13</v>
      </c>
      <c r="E28" s="12" t="s">
        <v>53</v>
      </c>
      <c r="F28" s="12" t="s">
        <v>50</v>
      </c>
      <c r="G28" s="12" t="s">
        <v>54</v>
      </c>
      <c r="H28" s="12" t="s">
        <v>55</v>
      </c>
      <c r="I28" s="12">
        <v>1</v>
      </c>
      <c r="J28" s="13">
        <v>16.5</v>
      </c>
      <c r="K28" s="13">
        <f t="shared" si="0"/>
        <v>16.5</v>
      </c>
      <c r="L28" s="3"/>
    </row>
    <row r="29" ht="18" customHeight="1" spans="1:12">
      <c r="A29" s="7"/>
      <c r="B29" s="7"/>
      <c r="C29" s="7"/>
      <c r="D29" s="12" t="s">
        <v>13</v>
      </c>
      <c r="E29" s="12" t="s">
        <v>53</v>
      </c>
      <c r="F29" s="12" t="s">
        <v>50</v>
      </c>
      <c r="G29" s="12" t="s">
        <v>51</v>
      </c>
      <c r="H29" s="12" t="s">
        <v>52</v>
      </c>
      <c r="I29" s="12">
        <v>1</v>
      </c>
      <c r="J29" s="13">
        <v>16.5</v>
      </c>
      <c r="K29" s="13">
        <f t="shared" si="0"/>
        <v>16.5</v>
      </c>
      <c r="L29" s="3"/>
    </row>
    <row r="30" ht="18" customHeight="1" spans="1:12">
      <c r="A30" s="7"/>
      <c r="B30" s="7"/>
      <c r="C30" s="7"/>
      <c r="D30" s="12" t="s">
        <v>13</v>
      </c>
      <c r="E30" s="12" t="s">
        <v>56</v>
      </c>
      <c r="F30" s="12" t="s">
        <v>18</v>
      </c>
      <c r="G30" s="12" t="s">
        <v>21</v>
      </c>
      <c r="H30" s="12" t="s">
        <v>22</v>
      </c>
      <c r="I30" s="12">
        <v>3</v>
      </c>
      <c r="J30" s="13">
        <v>16</v>
      </c>
      <c r="K30" s="13">
        <f t="shared" si="0"/>
        <v>48</v>
      </c>
      <c r="L30" s="3"/>
    </row>
    <row r="31" ht="18" customHeight="1" spans="1:12">
      <c r="A31" s="7"/>
      <c r="B31" s="7"/>
      <c r="C31" s="7"/>
      <c r="D31" s="12" t="s">
        <v>13</v>
      </c>
      <c r="E31" s="12" t="s">
        <v>56</v>
      </c>
      <c r="F31" s="12" t="s">
        <v>18</v>
      </c>
      <c r="G31" s="12" t="s">
        <v>57</v>
      </c>
      <c r="H31" s="12" t="s">
        <v>58</v>
      </c>
      <c r="I31" s="12">
        <v>6</v>
      </c>
      <c r="J31" s="13">
        <v>13</v>
      </c>
      <c r="K31" s="13">
        <f t="shared" si="0"/>
        <v>78</v>
      </c>
      <c r="L31" s="3"/>
    </row>
    <row r="32" ht="18" customHeight="1" spans="1:12">
      <c r="A32" s="7"/>
      <c r="B32" s="7"/>
      <c r="C32" s="7"/>
      <c r="D32" s="12" t="s">
        <v>13</v>
      </c>
      <c r="E32" s="12" t="s">
        <v>56</v>
      </c>
      <c r="F32" s="12" t="s">
        <v>50</v>
      </c>
      <c r="G32" s="12" t="s">
        <v>59</v>
      </c>
      <c r="H32" s="12" t="s">
        <v>60</v>
      </c>
      <c r="I32" s="12">
        <v>4</v>
      </c>
      <c r="J32" s="13">
        <v>16.5</v>
      </c>
      <c r="K32" s="13">
        <f t="shared" si="0"/>
        <v>66</v>
      </c>
      <c r="L32" s="3"/>
    </row>
    <row r="33" ht="18" customHeight="1" spans="1:12">
      <c r="A33" s="7"/>
      <c r="B33" s="7"/>
      <c r="C33" s="7"/>
      <c r="D33" s="12" t="s">
        <v>13</v>
      </c>
      <c r="E33" s="12" t="s">
        <v>56</v>
      </c>
      <c r="F33" s="12" t="s">
        <v>50</v>
      </c>
      <c r="G33" s="12" t="s">
        <v>61</v>
      </c>
      <c r="H33" s="12" t="s">
        <v>62</v>
      </c>
      <c r="I33" s="12">
        <v>3</v>
      </c>
      <c r="J33" s="13">
        <v>16.5</v>
      </c>
      <c r="K33" s="13">
        <f t="shared" si="0"/>
        <v>49.5</v>
      </c>
      <c r="L33" s="3"/>
    </row>
    <row r="34" ht="18" customHeight="1" spans="1:12">
      <c r="A34" s="7"/>
      <c r="B34" s="7"/>
      <c r="C34" s="7"/>
      <c r="D34" s="12" t="s">
        <v>63</v>
      </c>
      <c r="E34" s="12" t="s">
        <v>64</v>
      </c>
      <c r="F34" s="12" t="s">
        <v>18</v>
      </c>
      <c r="G34" s="12" t="s">
        <v>65</v>
      </c>
      <c r="H34" s="12" t="s">
        <v>66</v>
      </c>
      <c r="I34" s="12">
        <v>1</v>
      </c>
      <c r="J34" s="13">
        <v>11</v>
      </c>
      <c r="K34" s="13">
        <f t="shared" si="0"/>
        <v>11</v>
      </c>
      <c r="L34" s="3"/>
    </row>
    <row r="35" ht="18" customHeight="1" spans="1:12">
      <c r="A35" s="7"/>
      <c r="B35" s="7"/>
      <c r="C35" s="7"/>
      <c r="D35" s="12" t="s">
        <v>63</v>
      </c>
      <c r="E35" s="12" t="s">
        <v>64</v>
      </c>
      <c r="F35" s="12" t="s">
        <v>18</v>
      </c>
      <c r="G35" s="12" t="s">
        <v>67</v>
      </c>
      <c r="H35" s="12" t="s">
        <v>68</v>
      </c>
      <c r="I35" s="12">
        <v>1</v>
      </c>
      <c r="J35" s="13">
        <v>8</v>
      </c>
      <c r="K35" s="13">
        <f t="shared" si="0"/>
        <v>8</v>
      </c>
      <c r="L35" s="3"/>
    </row>
    <row r="36" ht="18" customHeight="1" spans="1:12">
      <c r="A36" s="7"/>
      <c r="B36" s="7"/>
      <c r="C36" s="7"/>
      <c r="D36" s="12" t="s">
        <v>63</v>
      </c>
      <c r="E36" s="12" t="s">
        <v>64</v>
      </c>
      <c r="F36" s="12" t="s">
        <v>18</v>
      </c>
      <c r="G36" s="12" t="s">
        <v>69</v>
      </c>
      <c r="H36" s="12" t="s">
        <v>70</v>
      </c>
      <c r="I36" s="12">
        <v>1</v>
      </c>
      <c r="J36" s="13">
        <v>8</v>
      </c>
      <c r="K36" s="13">
        <f t="shared" si="0"/>
        <v>8</v>
      </c>
      <c r="L36" s="3"/>
    </row>
    <row r="37" ht="18" customHeight="1" spans="1:12">
      <c r="A37" s="7"/>
      <c r="B37" s="7"/>
      <c r="C37" s="7"/>
      <c r="D37" s="12" t="s">
        <v>63</v>
      </c>
      <c r="E37" s="12" t="s">
        <v>64</v>
      </c>
      <c r="F37" s="12" t="s">
        <v>18</v>
      </c>
      <c r="G37" s="12" t="s">
        <v>71</v>
      </c>
      <c r="H37" s="12" t="s">
        <v>72</v>
      </c>
      <c r="I37" s="12">
        <v>3</v>
      </c>
      <c r="J37" s="13">
        <v>16</v>
      </c>
      <c r="K37" s="13">
        <f t="shared" si="0"/>
        <v>48</v>
      </c>
      <c r="L37" s="3"/>
    </row>
    <row r="38" ht="18" customHeight="1" spans="1:12">
      <c r="A38" s="7"/>
      <c r="B38" s="7"/>
      <c r="C38" s="7"/>
      <c r="D38" s="12" t="s">
        <v>63</v>
      </c>
      <c r="E38" s="12" t="s">
        <v>64</v>
      </c>
      <c r="F38" s="12" t="s">
        <v>18</v>
      </c>
      <c r="G38" s="12" t="s">
        <v>73</v>
      </c>
      <c r="H38" s="12" t="s">
        <v>74</v>
      </c>
      <c r="I38" s="12">
        <v>1</v>
      </c>
      <c r="J38" s="13">
        <v>16.5</v>
      </c>
      <c r="K38" s="13">
        <f t="shared" si="0"/>
        <v>16.5</v>
      </c>
      <c r="L38" s="3"/>
    </row>
    <row r="39" ht="18" customHeight="1" spans="1:12">
      <c r="A39" s="7"/>
      <c r="B39" s="7"/>
      <c r="C39" s="7"/>
      <c r="D39" s="12" t="s">
        <v>63</v>
      </c>
      <c r="E39" s="12" t="s">
        <v>64</v>
      </c>
      <c r="F39" s="12" t="s">
        <v>18</v>
      </c>
      <c r="G39" s="12" t="s">
        <v>75</v>
      </c>
      <c r="H39" s="12" t="s">
        <v>76</v>
      </c>
      <c r="I39" s="12">
        <v>3</v>
      </c>
      <c r="J39" s="13">
        <v>16</v>
      </c>
      <c r="K39" s="13">
        <f t="shared" si="0"/>
        <v>48</v>
      </c>
      <c r="L39" s="3"/>
    </row>
    <row r="40" ht="18" customHeight="1" spans="1:12">
      <c r="A40" s="7"/>
      <c r="B40" s="7"/>
      <c r="C40" s="7"/>
      <c r="D40" s="12" t="s">
        <v>77</v>
      </c>
      <c r="E40" s="12" t="s">
        <v>78</v>
      </c>
      <c r="F40" s="12" t="s">
        <v>79</v>
      </c>
      <c r="G40" s="12" t="s">
        <v>80</v>
      </c>
      <c r="H40" s="12" t="s">
        <v>81</v>
      </c>
      <c r="I40" s="12">
        <v>3</v>
      </c>
      <c r="J40" s="13">
        <v>35</v>
      </c>
      <c r="K40" s="13">
        <f t="shared" si="0"/>
        <v>105</v>
      </c>
      <c r="L40" s="3"/>
    </row>
    <row r="41" ht="18" customHeight="1" spans="1:12">
      <c r="A41" s="7"/>
      <c r="B41" s="7"/>
      <c r="C41" s="7"/>
      <c r="D41" s="12" t="s">
        <v>77</v>
      </c>
      <c r="E41" s="12" t="s">
        <v>78</v>
      </c>
      <c r="F41" s="12" t="s">
        <v>82</v>
      </c>
      <c r="G41" s="12" t="s">
        <v>83</v>
      </c>
      <c r="H41" s="12" t="s">
        <v>84</v>
      </c>
      <c r="I41" s="12">
        <v>1</v>
      </c>
      <c r="J41" s="13">
        <v>2.5</v>
      </c>
      <c r="K41" s="13">
        <f t="shared" si="0"/>
        <v>2.5</v>
      </c>
      <c r="L41" s="3"/>
    </row>
    <row r="42" ht="18" customHeight="1" spans="1:12">
      <c r="A42" s="7"/>
      <c r="B42" s="7"/>
      <c r="C42" s="7"/>
      <c r="D42" s="12" t="s">
        <v>77</v>
      </c>
      <c r="E42" s="12" t="s">
        <v>78</v>
      </c>
      <c r="F42" s="12" t="s">
        <v>82</v>
      </c>
      <c r="G42" s="12" t="s">
        <v>85</v>
      </c>
      <c r="H42" s="12" t="s">
        <v>86</v>
      </c>
      <c r="I42" s="12">
        <v>5</v>
      </c>
      <c r="J42" s="13">
        <v>2.5</v>
      </c>
      <c r="K42" s="13">
        <f t="shared" si="0"/>
        <v>12.5</v>
      </c>
      <c r="L42" s="3"/>
    </row>
    <row r="43" ht="18" customHeight="1" spans="1:12">
      <c r="A43" s="7"/>
      <c r="B43" s="7"/>
      <c r="C43" s="7"/>
      <c r="D43" s="12" t="s">
        <v>77</v>
      </c>
      <c r="E43" s="12" t="s">
        <v>87</v>
      </c>
      <c r="F43" s="12" t="s">
        <v>88</v>
      </c>
      <c r="G43" s="12" t="s">
        <v>89</v>
      </c>
      <c r="H43" s="12" t="s">
        <v>90</v>
      </c>
      <c r="I43" s="12">
        <v>1</v>
      </c>
      <c r="J43" s="13">
        <f>88</f>
        <v>88</v>
      </c>
      <c r="K43" s="13">
        <f t="shared" si="0"/>
        <v>88</v>
      </c>
      <c r="L43" s="3"/>
    </row>
    <row r="44" ht="18" customHeight="1" spans="1:12">
      <c r="A44" s="7"/>
      <c r="B44" s="7"/>
      <c r="C44" s="7"/>
      <c r="D44" s="12" t="s">
        <v>77</v>
      </c>
      <c r="E44" s="12" t="s">
        <v>87</v>
      </c>
      <c r="F44" s="12" t="s">
        <v>88</v>
      </c>
      <c r="G44" s="12" t="s">
        <v>91</v>
      </c>
      <c r="H44" s="12" t="s">
        <v>92</v>
      </c>
      <c r="I44" s="12">
        <v>1</v>
      </c>
      <c r="J44" s="13">
        <f>88+66</f>
        <v>154</v>
      </c>
      <c r="K44" s="13">
        <f t="shared" si="0"/>
        <v>154</v>
      </c>
      <c r="L44" s="3"/>
    </row>
    <row r="45" ht="18" customHeight="1" spans="1:12">
      <c r="A45" s="7"/>
      <c r="B45" s="7"/>
      <c r="C45" s="7"/>
      <c r="D45" s="12" t="s">
        <v>93</v>
      </c>
      <c r="E45" s="12" t="s">
        <v>94</v>
      </c>
      <c r="F45" s="12" t="s">
        <v>15</v>
      </c>
      <c r="G45" s="12" t="s">
        <v>16</v>
      </c>
      <c r="H45" s="12" t="s">
        <v>17</v>
      </c>
      <c r="I45" s="12">
        <v>1</v>
      </c>
      <c r="J45" s="13">
        <v>242</v>
      </c>
      <c r="K45" s="13">
        <f t="shared" si="0"/>
        <v>242</v>
      </c>
      <c r="L45" s="3"/>
    </row>
    <row r="46" ht="18" customHeight="1" spans="1:12">
      <c r="A46" s="7"/>
      <c r="B46" s="7"/>
      <c r="C46" s="7"/>
      <c r="D46" s="12" t="s">
        <v>93</v>
      </c>
      <c r="E46" s="12" t="s">
        <v>94</v>
      </c>
      <c r="F46" s="12" t="s">
        <v>18</v>
      </c>
      <c r="G46" s="12" t="s">
        <v>19</v>
      </c>
      <c r="H46" s="12" t="s">
        <v>20</v>
      </c>
      <c r="I46" s="12">
        <v>1</v>
      </c>
      <c r="J46" s="13">
        <v>16.5</v>
      </c>
      <c r="K46" s="13">
        <f t="shared" si="0"/>
        <v>16.5</v>
      </c>
      <c r="L46" s="3"/>
    </row>
    <row r="47" ht="18" customHeight="1" spans="1:12">
      <c r="A47" s="7"/>
      <c r="B47" s="7"/>
      <c r="C47" s="7"/>
      <c r="D47" s="12" t="s">
        <v>93</v>
      </c>
      <c r="E47" s="12" t="s">
        <v>94</v>
      </c>
      <c r="F47" s="12" t="s">
        <v>18</v>
      </c>
      <c r="G47" s="12" t="s">
        <v>21</v>
      </c>
      <c r="H47" s="12" t="s">
        <v>22</v>
      </c>
      <c r="I47" s="12">
        <v>1</v>
      </c>
      <c r="J47" s="13">
        <v>16</v>
      </c>
      <c r="K47" s="13">
        <f t="shared" si="0"/>
        <v>16</v>
      </c>
      <c r="L47" s="3"/>
    </row>
    <row r="48" ht="18" customHeight="1" spans="1:12">
      <c r="A48" s="7"/>
      <c r="B48" s="7"/>
      <c r="C48" s="7"/>
      <c r="D48" s="12" t="s">
        <v>93</v>
      </c>
      <c r="E48" s="12" t="s">
        <v>94</v>
      </c>
      <c r="F48" s="12" t="s">
        <v>18</v>
      </c>
      <c r="G48" s="12" t="s">
        <v>23</v>
      </c>
      <c r="H48" s="12" t="s">
        <v>24</v>
      </c>
      <c r="I48" s="12">
        <v>1</v>
      </c>
      <c r="J48" s="13">
        <v>11</v>
      </c>
      <c r="K48" s="13">
        <f t="shared" si="0"/>
        <v>11</v>
      </c>
      <c r="L48" s="3"/>
    </row>
    <row r="49" ht="18" customHeight="1" spans="1:12">
      <c r="A49" s="7"/>
      <c r="B49" s="7"/>
      <c r="C49" s="7"/>
      <c r="D49" s="12" t="s">
        <v>93</v>
      </c>
      <c r="E49" s="12" t="s">
        <v>94</v>
      </c>
      <c r="F49" s="12" t="s">
        <v>18</v>
      </c>
      <c r="G49" s="12" t="s">
        <v>27</v>
      </c>
      <c r="H49" s="12" t="s">
        <v>28</v>
      </c>
      <c r="I49" s="12">
        <v>1</v>
      </c>
      <c r="J49" s="13">
        <v>8</v>
      </c>
      <c r="K49" s="13">
        <f t="shared" si="0"/>
        <v>8</v>
      </c>
      <c r="L49" s="3"/>
    </row>
    <row r="50" ht="18" customHeight="1" spans="1:12">
      <c r="A50" s="7"/>
      <c r="B50" s="7"/>
      <c r="C50" s="7"/>
      <c r="D50" s="12" t="s">
        <v>93</v>
      </c>
      <c r="E50" s="12" t="s">
        <v>94</v>
      </c>
      <c r="F50" s="12" t="s">
        <v>18</v>
      </c>
      <c r="G50" s="12" t="s">
        <v>39</v>
      </c>
      <c r="H50" s="12" t="s">
        <v>40</v>
      </c>
      <c r="I50" s="12">
        <v>1</v>
      </c>
      <c r="J50" s="13">
        <v>11</v>
      </c>
      <c r="K50" s="13">
        <f t="shared" si="0"/>
        <v>11</v>
      </c>
      <c r="L50" s="3"/>
    </row>
    <row r="51" ht="18" customHeight="1" spans="1:12">
      <c r="A51" s="7"/>
      <c r="B51" s="7"/>
      <c r="C51" s="7"/>
      <c r="D51" s="12" t="s">
        <v>93</v>
      </c>
      <c r="E51" s="12" t="s">
        <v>94</v>
      </c>
      <c r="F51" s="12" t="s">
        <v>18</v>
      </c>
      <c r="G51" s="12" t="s">
        <v>75</v>
      </c>
      <c r="H51" s="12" t="s">
        <v>76</v>
      </c>
      <c r="I51" s="12">
        <v>1</v>
      </c>
      <c r="J51" s="13">
        <v>16</v>
      </c>
      <c r="K51" s="13">
        <f t="shared" si="0"/>
        <v>16</v>
      </c>
      <c r="L51" s="3"/>
    </row>
    <row r="52" ht="18" customHeight="1" spans="1:12">
      <c r="A52" s="7"/>
      <c r="B52" s="7"/>
      <c r="C52" s="7"/>
      <c r="D52" s="12" t="s">
        <v>93</v>
      </c>
      <c r="E52" s="12" t="s">
        <v>94</v>
      </c>
      <c r="F52" s="12" t="s">
        <v>18</v>
      </c>
      <c r="G52" s="12" t="s">
        <v>95</v>
      </c>
      <c r="H52" s="12" t="s">
        <v>96</v>
      </c>
      <c r="I52" s="12">
        <v>2</v>
      </c>
      <c r="J52" s="13">
        <v>8</v>
      </c>
      <c r="K52" s="13">
        <f t="shared" si="0"/>
        <v>16</v>
      </c>
      <c r="L52" s="3"/>
    </row>
    <row r="53" ht="18" customHeight="1" spans="1:12">
      <c r="A53" s="7"/>
      <c r="B53" s="7"/>
      <c r="C53" s="7"/>
      <c r="D53" s="12" t="s">
        <v>97</v>
      </c>
      <c r="E53" s="12" t="s">
        <v>98</v>
      </c>
      <c r="F53" s="12" t="s">
        <v>15</v>
      </c>
      <c r="G53" s="12" t="s">
        <v>16</v>
      </c>
      <c r="H53" s="12" t="s">
        <v>17</v>
      </c>
      <c r="I53" s="12">
        <v>2</v>
      </c>
      <c r="J53" s="13">
        <v>242</v>
      </c>
      <c r="K53" s="13">
        <f t="shared" si="0"/>
        <v>484</v>
      </c>
      <c r="L53" s="3"/>
    </row>
    <row r="54" ht="18" customHeight="1" spans="1:12">
      <c r="A54" s="7"/>
      <c r="B54" s="7"/>
      <c r="C54" s="7"/>
      <c r="D54" s="12" t="s">
        <v>97</v>
      </c>
      <c r="E54" s="12" t="s">
        <v>99</v>
      </c>
      <c r="F54" s="12" t="s">
        <v>100</v>
      </c>
      <c r="G54" s="12" t="s">
        <v>101</v>
      </c>
      <c r="H54" s="12" t="s">
        <v>102</v>
      </c>
      <c r="I54" s="12">
        <v>1</v>
      </c>
      <c r="J54" s="13">
        <v>44</v>
      </c>
      <c r="K54" s="13">
        <f t="shared" si="0"/>
        <v>44</v>
      </c>
      <c r="L54" s="3"/>
    </row>
    <row r="55" ht="18" customHeight="1" spans="1:12">
      <c r="A55" s="7"/>
      <c r="B55" s="7"/>
      <c r="C55" s="7"/>
      <c r="D55" s="12" t="s">
        <v>97</v>
      </c>
      <c r="E55" s="12" t="s">
        <v>99</v>
      </c>
      <c r="F55" s="12" t="s">
        <v>103</v>
      </c>
      <c r="G55" s="12" t="s">
        <v>104</v>
      </c>
      <c r="H55" s="12" t="s">
        <v>105</v>
      </c>
      <c r="I55" s="12">
        <v>1</v>
      </c>
      <c r="J55" s="13">
        <v>28</v>
      </c>
      <c r="K55" s="13">
        <f t="shared" si="0"/>
        <v>28</v>
      </c>
      <c r="L55" s="3"/>
    </row>
    <row r="56" ht="18" customHeight="1" spans="1:12">
      <c r="A56" s="7"/>
      <c r="B56" s="7"/>
      <c r="C56" s="7"/>
      <c r="D56" s="12" t="s">
        <v>106</v>
      </c>
      <c r="E56" s="12" t="s">
        <v>107</v>
      </c>
      <c r="F56" s="12" t="s">
        <v>79</v>
      </c>
      <c r="G56" s="12" t="s">
        <v>108</v>
      </c>
      <c r="H56" s="12" t="s">
        <v>109</v>
      </c>
      <c r="I56" s="12">
        <v>1</v>
      </c>
      <c r="J56" s="13">
        <v>35</v>
      </c>
      <c r="K56" s="13">
        <f t="shared" si="0"/>
        <v>35</v>
      </c>
      <c r="L56" s="3"/>
    </row>
  </sheetData>
  <autoFilter xmlns:etc="http://www.wps.cn/officeDocument/2017/etCustomData" ref="A9:K56" etc:filterBottomFollowUsedRange="0">
    <extLst/>
  </autoFilter>
  <mergeCells count="6">
    <mergeCell ref="D8:K8"/>
    <mergeCell ref="D10:H10"/>
    <mergeCell ref="C9:C56"/>
    <mergeCell ref="C1:K2"/>
    <mergeCell ref="B4:K5"/>
    <mergeCell ref="A8:B56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showGridLines="0" view="pageBreakPreview" zoomScaleNormal="100" topLeftCell="D1" workbookViewId="0">
      <selection activeCell="K11" sqref="K11:K14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3.5" customWidth="1"/>
    <col min="7" max="7" width="12.0833333333333" customWidth="1"/>
    <col min="8" max="8" width="19.125" customWidth="1"/>
    <col min="9" max="9" width="8.375" customWidth="1"/>
    <col min="10" max="10" width="9.875" customWidth="1"/>
    <col min="11" max="11" width="11.75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110</v>
      </c>
      <c r="E10" s="8"/>
      <c r="F10" s="8"/>
      <c r="G10" s="8"/>
      <c r="H10" s="8"/>
      <c r="I10" s="9">
        <v>6</v>
      </c>
      <c r="J10" s="10"/>
      <c r="K10" s="11">
        <v>48</v>
      </c>
      <c r="L10" s="3"/>
    </row>
    <row r="11" ht="18" customHeight="1" spans="1:12">
      <c r="A11" s="7"/>
      <c r="B11" s="7"/>
      <c r="C11" s="7"/>
      <c r="D11" s="12" t="s">
        <v>93</v>
      </c>
      <c r="E11" s="12" t="s">
        <v>111</v>
      </c>
      <c r="F11" s="12" t="s">
        <v>18</v>
      </c>
      <c r="G11" s="12" t="s">
        <v>112</v>
      </c>
      <c r="H11" s="12" t="s">
        <v>113</v>
      </c>
      <c r="I11" s="12">
        <v>2</v>
      </c>
      <c r="J11" s="13">
        <v>8</v>
      </c>
      <c r="K11" s="13">
        <v>16</v>
      </c>
      <c r="L11" s="3"/>
    </row>
    <row r="12" ht="18" customHeight="1" spans="1:12">
      <c r="A12" s="7"/>
      <c r="B12" s="7"/>
      <c r="C12" s="7"/>
      <c r="D12" s="12" t="s">
        <v>114</v>
      </c>
      <c r="E12" s="12" t="s">
        <v>115</v>
      </c>
      <c r="F12" s="12" t="s">
        <v>18</v>
      </c>
      <c r="G12" s="12" t="s">
        <v>116</v>
      </c>
      <c r="H12" s="12" t="s">
        <v>117</v>
      </c>
      <c r="I12" s="12">
        <v>1</v>
      </c>
      <c r="J12" s="13">
        <v>8</v>
      </c>
      <c r="K12" s="13">
        <v>8</v>
      </c>
      <c r="L12" s="3"/>
    </row>
    <row r="13" ht="18" customHeight="1" spans="1:12">
      <c r="A13" s="7"/>
      <c r="B13" s="7"/>
      <c r="C13" s="7"/>
      <c r="D13" s="12" t="s">
        <v>114</v>
      </c>
      <c r="E13" s="12" t="s">
        <v>115</v>
      </c>
      <c r="F13" s="12" t="s">
        <v>18</v>
      </c>
      <c r="G13" s="12" t="s">
        <v>112</v>
      </c>
      <c r="H13" s="12" t="s">
        <v>113</v>
      </c>
      <c r="I13" s="12">
        <v>2</v>
      </c>
      <c r="J13" s="13">
        <v>8</v>
      </c>
      <c r="K13" s="13">
        <v>16</v>
      </c>
      <c r="L13" s="3"/>
    </row>
    <row r="14" ht="18" customHeight="1" spans="1:12">
      <c r="A14" s="7"/>
      <c r="B14" s="7"/>
      <c r="C14" s="7"/>
      <c r="D14" s="12" t="s">
        <v>114</v>
      </c>
      <c r="E14" s="12" t="s">
        <v>115</v>
      </c>
      <c r="F14" s="12" t="s">
        <v>18</v>
      </c>
      <c r="G14" s="12" t="s">
        <v>118</v>
      </c>
      <c r="H14" s="12" t="s">
        <v>119</v>
      </c>
      <c r="I14" s="12">
        <v>1</v>
      </c>
      <c r="J14" s="13">
        <v>8</v>
      </c>
      <c r="K14" s="13">
        <v>8</v>
      </c>
      <c r="L14" s="3"/>
    </row>
  </sheetData>
  <autoFilter xmlns:etc="http://www.wps.cn/officeDocument/2017/etCustomData" ref="A9:K14" etc:filterBottomFollowUsedRange="0">
    <extLst/>
  </autoFilter>
  <mergeCells count="6">
    <mergeCell ref="D8:K8"/>
    <mergeCell ref="D10:H10"/>
    <mergeCell ref="C9:C14"/>
    <mergeCell ref="C1:K2"/>
    <mergeCell ref="B4:K5"/>
    <mergeCell ref="A8:B1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showGridLines="0" view="pageBreakPreview" zoomScaleNormal="100" topLeftCell="D1" workbookViewId="0">
      <selection activeCell="K11" sqref="K11:K32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3" customWidth="1"/>
    <col min="7" max="7" width="12.0833333333333" customWidth="1"/>
    <col min="8" max="8" width="20.125" customWidth="1"/>
    <col min="9" max="9" width="8.125" customWidth="1"/>
    <col min="10" max="10" width="11" customWidth="1"/>
    <col min="11" max="11" width="10.4416666666667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120</v>
      </c>
      <c r="E10" s="8"/>
      <c r="F10" s="8"/>
      <c r="G10" s="8"/>
      <c r="H10" s="8"/>
      <c r="I10" s="9">
        <v>57</v>
      </c>
      <c r="J10" s="10"/>
      <c r="K10" s="11">
        <f>SUM(K11:K32)</f>
        <v>456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122</v>
      </c>
      <c r="F11" s="12" t="s">
        <v>18</v>
      </c>
      <c r="G11" s="12" t="s">
        <v>123</v>
      </c>
      <c r="H11" s="12" t="s">
        <v>124</v>
      </c>
      <c r="I11" s="12">
        <v>1</v>
      </c>
      <c r="J11" s="13">
        <v>8</v>
      </c>
      <c r="K11" s="13">
        <f>J11*I11</f>
        <v>8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122</v>
      </c>
      <c r="F12" s="12" t="s">
        <v>18</v>
      </c>
      <c r="G12" s="12" t="s">
        <v>125</v>
      </c>
      <c r="H12" s="12" t="s">
        <v>126</v>
      </c>
      <c r="I12" s="12">
        <v>3</v>
      </c>
      <c r="J12" s="13">
        <v>8</v>
      </c>
      <c r="K12" s="13">
        <f t="shared" ref="K12:K32" si="0">J12*I12</f>
        <v>24</v>
      </c>
      <c r="L12" s="3"/>
    </row>
    <row r="13" ht="18" customHeight="1" spans="1:12">
      <c r="A13" s="7"/>
      <c r="B13" s="7"/>
      <c r="C13" s="7"/>
      <c r="D13" s="12" t="s">
        <v>121</v>
      </c>
      <c r="E13" s="12" t="s">
        <v>122</v>
      </c>
      <c r="F13" s="12" t="s">
        <v>18</v>
      </c>
      <c r="G13" s="12" t="s">
        <v>127</v>
      </c>
      <c r="H13" s="12" t="s">
        <v>128</v>
      </c>
      <c r="I13" s="12">
        <v>2</v>
      </c>
      <c r="J13" s="13">
        <v>8</v>
      </c>
      <c r="K13" s="13">
        <f t="shared" si="0"/>
        <v>16</v>
      </c>
      <c r="L13" s="3"/>
    </row>
    <row r="14" ht="18" customHeight="1" spans="1:12">
      <c r="A14" s="7"/>
      <c r="B14" s="7"/>
      <c r="C14" s="7"/>
      <c r="D14" s="12" t="s">
        <v>93</v>
      </c>
      <c r="E14" s="12" t="s">
        <v>129</v>
      </c>
      <c r="F14" s="12" t="s">
        <v>18</v>
      </c>
      <c r="G14" s="12" t="s">
        <v>130</v>
      </c>
      <c r="H14" s="12" t="s">
        <v>131</v>
      </c>
      <c r="I14" s="12">
        <v>1</v>
      </c>
      <c r="J14" s="13">
        <v>8</v>
      </c>
      <c r="K14" s="13">
        <f t="shared" si="0"/>
        <v>8</v>
      </c>
      <c r="L14" s="3"/>
    </row>
    <row r="15" ht="18" customHeight="1" spans="1:12">
      <c r="A15" s="7"/>
      <c r="B15" s="7"/>
      <c r="C15" s="7"/>
      <c r="D15" s="12" t="s">
        <v>93</v>
      </c>
      <c r="E15" s="12" t="s">
        <v>129</v>
      </c>
      <c r="F15" s="12" t="s">
        <v>18</v>
      </c>
      <c r="G15" s="12" t="s">
        <v>132</v>
      </c>
      <c r="H15" s="12" t="s">
        <v>133</v>
      </c>
      <c r="I15" s="12">
        <v>3</v>
      </c>
      <c r="J15" s="13">
        <v>8</v>
      </c>
      <c r="K15" s="13">
        <f t="shared" si="0"/>
        <v>24</v>
      </c>
      <c r="L15" s="3"/>
    </row>
    <row r="16" ht="18" customHeight="1" spans="1:12">
      <c r="A16" s="7"/>
      <c r="B16" s="7"/>
      <c r="C16" s="7"/>
      <c r="D16" s="12" t="s">
        <v>93</v>
      </c>
      <c r="E16" s="12" t="s">
        <v>129</v>
      </c>
      <c r="F16" s="12" t="s">
        <v>18</v>
      </c>
      <c r="G16" s="12" t="s">
        <v>134</v>
      </c>
      <c r="H16" s="12" t="s">
        <v>135</v>
      </c>
      <c r="I16" s="12">
        <v>3</v>
      </c>
      <c r="J16" s="13">
        <v>8</v>
      </c>
      <c r="K16" s="13">
        <f t="shared" si="0"/>
        <v>24</v>
      </c>
      <c r="L16" s="3"/>
    </row>
    <row r="17" ht="18" customHeight="1" spans="1:12">
      <c r="A17" s="7"/>
      <c r="B17" s="7"/>
      <c r="C17" s="7"/>
      <c r="D17" s="12" t="s">
        <v>93</v>
      </c>
      <c r="E17" s="12" t="s">
        <v>129</v>
      </c>
      <c r="F17" s="12" t="s">
        <v>18</v>
      </c>
      <c r="G17" s="12" t="s">
        <v>136</v>
      </c>
      <c r="H17" s="12" t="s">
        <v>137</v>
      </c>
      <c r="I17" s="12">
        <v>3</v>
      </c>
      <c r="J17" s="13">
        <v>8</v>
      </c>
      <c r="K17" s="13">
        <f t="shared" si="0"/>
        <v>24</v>
      </c>
      <c r="L17" s="3"/>
    </row>
    <row r="18" ht="18" customHeight="1" spans="1:12">
      <c r="A18" s="7"/>
      <c r="B18" s="7"/>
      <c r="C18" s="7"/>
      <c r="D18" s="12" t="s">
        <v>93</v>
      </c>
      <c r="E18" s="12" t="s">
        <v>129</v>
      </c>
      <c r="F18" s="12" t="s">
        <v>18</v>
      </c>
      <c r="G18" s="12" t="s">
        <v>138</v>
      </c>
      <c r="H18" s="12" t="s">
        <v>139</v>
      </c>
      <c r="I18" s="12">
        <v>1</v>
      </c>
      <c r="J18" s="13">
        <v>8</v>
      </c>
      <c r="K18" s="13">
        <f t="shared" si="0"/>
        <v>8</v>
      </c>
      <c r="L18" s="3"/>
    </row>
    <row r="19" ht="18" customHeight="1" spans="1:12">
      <c r="A19" s="7"/>
      <c r="B19" s="7"/>
      <c r="C19" s="7"/>
      <c r="D19" s="12" t="s">
        <v>93</v>
      </c>
      <c r="E19" s="12" t="s">
        <v>129</v>
      </c>
      <c r="F19" s="12" t="s">
        <v>18</v>
      </c>
      <c r="G19" s="12" t="s">
        <v>140</v>
      </c>
      <c r="H19" s="12" t="s">
        <v>141</v>
      </c>
      <c r="I19" s="12">
        <v>1</v>
      </c>
      <c r="J19" s="13">
        <v>8</v>
      </c>
      <c r="K19" s="13">
        <f t="shared" si="0"/>
        <v>8</v>
      </c>
      <c r="L19" s="3"/>
    </row>
    <row r="20" ht="18" customHeight="1" spans="1:12">
      <c r="A20" s="7"/>
      <c r="B20" s="7"/>
      <c r="C20" s="7"/>
      <c r="D20" s="12" t="s">
        <v>93</v>
      </c>
      <c r="E20" s="12" t="s">
        <v>129</v>
      </c>
      <c r="F20" s="12" t="s">
        <v>18</v>
      </c>
      <c r="G20" s="12" t="s">
        <v>142</v>
      </c>
      <c r="H20" s="12" t="s">
        <v>143</v>
      </c>
      <c r="I20" s="12">
        <v>1</v>
      </c>
      <c r="J20" s="13">
        <v>8</v>
      </c>
      <c r="K20" s="13">
        <f t="shared" si="0"/>
        <v>8</v>
      </c>
      <c r="L20" s="3"/>
    </row>
    <row r="21" ht="18" customHeight="1" spans="1:12">
      <c r="A21" s="7"/>
      <c r="B21" s="7"/>
      <c r="C21" s="7"/>
      <c r="D21" s="12" t="s">
        <v>93</v>
      </c>
      <c r="E21" s="12" t="s">
        <v>129</v>
      </c>
      <c r="F21" s="12" t="s">
        <v>18</v>
      </c>
      <c r="G21" s="12" t="s">
        <v>144</v>
      </c>
      <c r="H21" s="12" t="s">
        <v>145</v>
      </c>
      <c r="I21" s="12">
        <v>1</v>
      </c>
      <c r="J21" s="13">
        <v>8</v>
      </c>
      <c r="K21" s="13">
        <f t="shared" si="0"/>
        <v>8</v>
      </c>
      <c r="L21" s="3"/>
    </row>
    <row r="22" ht="18" customHeight="1" spans="1:12">
      <c r="A22" s="7"/>
      <c r="B22" s="7"/>
      <c r="C22" s="7"/>
      <c r="D22" s="12" t="s">
        <v>93</v>
      </c>
      <c r="E22" s="12" t="s">
        <v>129</v>
      </c>
      <c r="F22" s="12" t="s">
        <v>18</v>
      </c>
      <c r="G22" s="12" t="s">
        <v>146</v>
      </c>
      <c r="H22" s="12" t="s">
        <v>147</v>
      </c>
      <c r="I22" s="12">
        <v>1</v>
      </c>
      <c r="J22" s="13">
        <v>8</v>
      </c>
      <c r="K22" s="13">
        <f t="shared" si="0"/>
        <v>8</v>
      </c>
      <c r="L22" s="3"/>
    </row>
    <row r="23" ht="18" customHeight="1" spans="1:12">
      <c r="A23" s="7"/>
      <c r="B23" s="7"/>
      <c r="C23" s="7"/>
      <c r="D23" s="12" t="s">
        <v>93</v>
      </c>
      <c r="E23" s="12" t="s">
        <v>129</v>
      </c>
      <c r="F23" s="12" t="s">
        <v>18</v>
      </c>
      <c r="G23" s="12" t="s">
        <v>125</v>
      </c>
      <c r="H23" s="12" t="s">
        <v>126</v>
      </c>
      <c r="I23" s="12">
        <v>8</v>
      </c>
      <c r="J23" s="13">
        <v>8</v>
      </c>
      <c r="K23" s="13">
        <f t="shared" si="0"/>
        <v>64</v>
      </c>
      <c r="L23" s="3"/>
    </row>
    <row r="24" ht="18" customHeight="1" spans="1:12">
      <c r="A24" s="7"/>
      <c r="B24" s="7"/>
      <c r="C24" s="7"/>
      <c r="D24" s="12" t="s">
        <v>93</v>
      </c>
      <c r="E24" s="12" t="s">
        <v>129</v>
      </c>
      <c r="F24" s="12" t="s">
        <v>18</v>
      </c>
      <c r="G24" s="12" t="s">
        <v>127</v>
      </c>
      <c r="H24" s="12" t="s">
        <v>128</v>
      </c>
      <c r="I24" s="12">
        <v>10</v>
      </c>
      <c r="J24" s="13">
        <v>8</v>
      </c>
      <c r="K24" s="13">
        <f t="shared" si="0"/>
        <v>80</v>
      </c>
      <c r="L24" s="3"/>
    </row>
    <row r="25" ht="18" customHeight="1" spans="1:12">
      <c r="A25" s="7"/>
      <c r="B25" s="7"/>
      <c r="C25" s="7"/>
      <c r="D25" s="12" t="s">
        <v>93</v>
      </c>
      <c r="E25" s="12" t="s">
        <v>129</v>
      </c>
      <c r="F25" s="12" t="s">
        <v>18</v>
      </c>
      <c r="G25" s="12" t="s">
        <v>148</v>
      </c>
      <c r="H25" s="12" t="s">
        <v>149</v>
      </c>
      <c r="I25" s="12">
        <v>2</v>
      </c>
      <c r="J25" s="13">
        <v>8</v>
      </c>
      <c r="K25" s="13">
        <f t="shared" si="0"/>
        <v>16</v>
      </c>
      <c r="L25" s="3"/>
    </row>
    <row r="26" ht="18" customHeight="1" spans="1:12">
      <c r="A26" s="7"/>
      <c r="B26" s="7"/>
      <c r="C26" s="7"/>
      <c r="D26" s="12" t="s">
        <v>114</v>
      </c>
      <c r="E26" s="12" t="s">
        <v>150</v>
      </c>
      <c r="F26" s="12" t="s">
        <v>18</v>
      </c>
      <c r="G26" s="12" t="s">
        <v>151</v>
      </c>
      <c r="H26" s="12" t="s">
        <v>152</v>
      </c>
      <c r="I26" s="12">
        <v>1</v>
      </c>
      <c r="J26" s="13">
        <v>8</v>
      </c>
      <c r="K26" s="13">
        <f t="shared" si="0"/>
        <v>8</v>
      </c>
      <c r="L26" s="3"/>
    </row>
    <row r="27" ht="18" customHeight="1" spans="1:12">
      <c r="A27" s="7"/>
      <c r="B27" s="7"/>
      <c r="C27" s="7"/>
      <c r="D27" s="12" t="s">
        <v>114</v>
      </c>
      <c r="E27" s="12" t="s">
        <v>150</v>
      </c>
      <c r="F27" s="12" t="s">
        <v>18</v>
      </c>
      <c r="G27" s="12" t="s">
        <v>136</v>
      </c>
      <c r="H27" s="12" t="s">
        <v>137</v>
      </c>
      <c r="I27" s="12">
        <v>1</v>
      </c>
      <c r="J27" s="13">
        <v>8</v>
      </c>
      <c r="K27" s="13">
        <f t="shared" si="0"/>
        <v>8</v>
      </c>
      <c r="L27" s="3"/>
    </row>
    <row r="28" ht="18" customHeight="1" spans="1:12">
      <c r="A28" s="7"/>
      <c r="B28" s="7"/>
      <c r="C28" s="7"/>
      <c r="D28" s="12" t="s">
        <v>114</v>
      </c>
      <c r="E28" s="12" t="s">
        <v>150</v>
      </c>
      <c r="F28" s="12" t="s">
        <v>18</v>
      </c>
      <c r="G28" s="12" t="s">
        <v>138</v>
      </c>
      <c r="H28" s="12" t="s">
        <v>139</v>
      </c>
      <c r="I28" s="12">
        <v>1</v>
      </c>
      <c r="J28" s="13">
        <v>8</v>
      </c>
      <c r="K28" s="13">
        <f t="shared" si="0"/>
        <v>8</v>
      </c>
      <c r="L28" s="3"/>
    </row>
    <row r="29" ht="18" customHeight="1" spans="1:12">
      <c r="A29" s="7"/>
      <c r="B29" s="7"/>
      <c r="C29" s="7"/>
      <c r="D29" s="12" t="s">
        <v>114</v>
      </c>
      <c r="E29" s="12" t="s">
        <v>150</v>
      </c>
      <c r="F29" s="12" t="s">
        <v>18</v>
      </c>
      <c r="G29" s="12" t="s">
        <v>140</v>
      </c>
      <c r="H29" s="12" t="s">
        <v>141</v>
      </c>
      <c r="I29" s="12">
        <v>1</v>
      </c>
      <c r="J29" s="13">
        <v>8</v>
      </c>
      <c r="K29" s="13">
        <f t="shared" si="0"/>
        <v>8</v>
      </c>
      <c r="L29" s="3"/>
    </row>
    <row r="30" ht="18" customHeight="1" spans="1:12">
      <c r="A30" s="7"/>
      <c r="B30" s="7"/>
      <c r="C30" s="7"/>
      <c r="D30" s="12" t="s">
        <v>114</v>
      </c>
      <c r="E30" s="12" t="s">
        <v>150</v>
      </c>
      <c r="F30" s="12" t="s">
        <v>18</v>
      </c>
      <c r="G30" s="12" t="s">
        <v>146</v>
      </c>
      <c r="H30" s="12" t="s">
        <v>147</v>
      </c>
      <c r="I30" s="12">
        <v>2</v>
      </c>
      <c r="J30" s="13">
        <v>8</v>
      </c>
      <c r="K30" s="13">
        <f t="shared" si="0"/>
        <v>16</v>
      </c>
      <c r="L30" s="3"/>
    </row>
    <row r="31" ht="18" customHeight="1" spans="1:12">
      <c r="A31" s="7"/>
      <c r="B31" s="7"/>
      <c r="C31" s="7"/>
      <c r="D31" s="12" t="s">
        <v>114</v>
      </c>
      <c r="E31" s="12" t="s">
        <v>150</v>
      </c>
      <c r="F31" s="12" t="s">
        <v>18</v>
      </c>
      <c r="G31" s="12" t="s">
        <v>125</v>
      </c>
      <c r="H31" s="12" t="s">
        <v>126</v>
      </c>
      <c r="I31" s="12">
        <v>7</v>
      </c>
      <c r="J31" s="13">
        <v>8</v>
      </c>
      <c r="K31" s="13">
        <f t="shared" si="0"/>
        <v>56</v>
      </c>
      <c r="L31" s="3"/>
    </row>
    <row r="32" ht="18" customHeight="1" spans="1:12">
      <c r="A32" s="7"/>
      <c r="B32" s="7"/>
      <c r="C32" s="7"/>
      <c r="D32" s="12" t="s">
        <v>114</v>
      </c>
      <c r="E32" s="12" t="s">
        <v>150</v>
      </c>
      <c r="F32" s="12" t="s">
        <v>18</v>
      </c>
      <c r="G32" s="12" t="s">
        <v>127</v>
      </c>
      <c r="H32" s="12" t="s">
        <v>128</v>
      </c>
      <c r="I32" s="12">
        <v>3</v>
      </c>
      <c r="J32" s="13">
        <v>8</v>
      </c>
      <c r="K32" s="13">
        <f t="shared" si="0"/>
        <v>24</v>
      </c>
      <c r="L32" s="3"/>
    </row>
  </sheetData>
  <autoFilter xmlns:etc="http://www.wps.cn/officeDocument/2017/etCustomData" ref="A9:K32" etc:filterBottomFollowUsedRange="0">
    <extLst/>
  </autoFilter>
  <mergeCells count="6">
    <mergeCell ref="D8:K8"/>
    <mergeCell ref="D10:H10"/>
    <mergeCell ref="C9:C32"/>
    <mergeCell ref="C1:K2"/>
    <mergeCell ref="B4:K5"/>
    <mergeCell ref="A8:B32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view="pageBreakPreview" zoomScaleNormal="100" topLeftCell="D1" workbookViewId="0">
      <selection activeCell="K11" sqref="K11:K12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4.125" customWidth="1"/>
    <col min="7" max="7" width="12.0833333333333" customWidth="1"/>
    <col min="8" max="8" width="21" customWidth="1"/>
    <col min="9" max="9" width="9" customWidth="1"/>
    <col min="10" max="10" width="10.125" customWidth="1"/>
    <col min="11" max="11" width="10.25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153</v>
      </c>
      <c r="E10" s="8"/>
      <c r="F10" s="8"/>
      <c r="G10" s="8"/>
      <c r="H10" s="8"/>
      <c r="I10" s="9">
        <v>4</v>
      </c>
      <c r="J10" s="10"/>
      <c r="K10" s="11">
        <v>32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154</v>
      </c>
      <c r="F11" s="12" t="s">
        <v>18</v>
      </c>
      <c r="G11" s="12" t="s">
        <v>138</v>
      </c>
      <c r="H11" s="12" t="s">
        <v>139</v>
      </c>
      <c r="I11" s="12">
        <v>1</v>
      </c>
      <c r="J11" s="13">
        <v>8</v>
      </c>
      <c r="K11" s="13">
        <v>8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154</v>
      </c>
      <c r="F12" s="12" t="s">
        <v>18</v>
      </c>
      <c r="G12" s="12" t="s">
        <v>125</v>
      </c>
      <c r="H12" s="12" t="s">
        <v>126</v>
      </c>
      <c r="I12" s="12">
        <v>3</v>
      </c>
      <c r="J12" s="13">
        <v>8</v>
      </c>
      <c r="K12" s="13">
        <v>24</v>
      </c>
      <c r="L12" s="3"/>
    </row>
  </sheetData>
  <autoFilter xmlns:etc="http://www.wps.cn/officeDocument/2017/etCustomData" ref="A9:K12" etc:filterBottomFollowUsedRange="0">
    <extLst/>
  </autoFilter>
  <mergeCells count="6">
    <mergeCell ref="D8:K8"/>
    <mergeCell ref="D10:H10"/>
    <mergeCell ref="C9:C12"/>
    <mergeCell ref="C1:K2"/>
    <mergeCell ref="B4:K5"/>
    <mergeCell ref="A8:B12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showGridLines="0" view="pageBreakPreview" zoomScaleNormal="100" topLeftCell="D46" workbookViewId="0">
      <selection activeCell="K11" sqref="K11:K78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4.5" customWidth="1"/>
    <col min="7" max="7" width="12.0833333333333" customWidth="1"/>
    <col min="8" max="8" width="21.375" customWidth="1"/>
    <col min="9" max="9" width="7.90833333333333" customWidth="1"/>
    <col min="10" max="10" width="8.90833333333333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1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155</v>
      </c>
      <c r="E10" s="8"/>
      <c r="F10" s="8"/>
      <c r="G10" s="8"/>
      <c r="H10" s="8"/>
      <c r="I10" s="9">
        <v>176</v>
      </c>
      <c r="J10" s="10"/>
      <c r="K10" s="11">
        <f>SUM(K11:K76)</f>
        <v>1524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156</v>
      </c>
      <c r="F11" s="12" t="s">
        <v>18</v>
      </c>
      <c r="G11" s="12" t="s">
        <v>157</v>
      </c>
      <c r="H11" s="12" t="s">
        <v>158</v>
      </c>
      <c r="I11" s="12">
        <v>1</v>
      </c>
      <c r="J11" s="13">
        <v>8</v>
      </c>
      <c r="K11" s="13">
        <f>J11*I11</f>
        <v>8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156</v>
      </c>
      <c r="F12" s="12" t="s">
        <v>18</v>
      </c>
      <c r="G12" s="12" t="s">
        <v>132</v>
      </c>
      <c r="H12" s="12" t="s">
        <v>133</v>
      </c>
      <c r="I12" s="12">
        <v>3</v>
      </c>
      <c r="J12" s="13">
        <v>8</v>
      </c>
      <c r="K12" s="13">
        <f t="shared" ref="K12:K43" si="0">J12*I12</f>
        <v>24</v>
      </c>
      <c r="L12" s="3"/>
    </row>
    <row r="13" ht="18" customHeight="1" spans="1:12">
      <c r="A13" s="7"/>
      <c r="B13" s="7"/>
      <c r="C13" s="7"/>
      <c r="D13" s="12" t="s">
        <v>121</v>
      </c>
      <c r="E13" s="12" t="s">
        <v>156</v>
      </c>
      <c r="F13" s="12" t="s">
        <v>18</v>
      </c>
      <c r="G13" s="12" t="s">
        <v>159</v>
      </c>
      <c r="H13" s="12" t="s">
        <v>160</v>
      </c>
      <c r="I13" s="12">
        <v>1</v>
      </c>
      <c r="J13" s="13">
        <v>13.5</v>
      </c>
      <c r="K13" s="13">
        <f t="shared" si="0"/>
        <v>13.5</v>
      </c>
      <c r="L13" s="3"/>
    </row>
    <row r="14" ht="18" customHeight="1" spans="1:12">
      <c r="A14" s="7"/>
      <c r="B14" s="7"/>
      <c r="C14" s="7"/>
      <c r="D14" s="12" t="s">
        <v>121</v>
      </c>
      <c r="E14" s="12" t="s">
        <v>156</v>
      </c>
      <c r="F14" s="12" t="s">
        <v>18</v>
      </c>
      <c r="G14" s="12" t="s">
        <v>136</v>
      </c>
      <c r="H14" s="12" t="s">
        <v>137</v>
      </c>
      <c r="I14" s="12">
        <v>2</v>
      </c>
      <c r="J14" s="13">
        <v>8</v>
      </c>
      <c r="K14" s="13">
        <f t="shared" si="0"/>
        <v>16</v>
      </c>
      <c r="L14" s="3"/>
    </row>
    <row r="15" ht="18" customHeight="1" spans="1:12">
      <c r="A15" s="7"/>
      <c r="B15" s="7"/>
      <c r="C15" s="7"/>
      <c r="D15" s="12" t="s">
        <v>121</v>
      </c>
      <c r="E15" s="12" t="s">
        <v>156</v>
      </c>
      <c r="F15" s="12" t="s">
        <v>18</v>
      </c>
      <c r="G15" s="12" t="s">
        <v>161</v>
      </c>
      <c r="H15" s="12" t="s">
        <v>162</v>
      </c>
      <c r="I15" s="12">
        <v>1</v>
      </c>
      <c r="J15" s="13">
        <v>8</v>
      </c>
      <c r="K15" s="13">
        <f t="shared" si="0"/>
        <v>8</v>
      </c>
      <c r="L15" s="3"/>
    </row>
    <row r="16" ht="18" customHeight="1" spans="1:12">
      <c r="A16" s="7"/>
      <c r="B16" s="7"/>
      <c r="C16" s="7"/>
      <c r="D16" s="12" t="s">
        <v>121</v>
      </c>
      <c r="E16" s="12" t="s">
        <v>156</v>
      </c>
      <c r="F16" s="12" t="s">
        <v>18</v>
      </c>
      <c r="G16" s="12" t="s">
        <v>138</v>
      </c>
      <c r="H16" s="12" t="s">
        <v>139</v>
      </c>
      <c r="I16" s="12">
        <v>2</v>
      </c>
      <c r="J16" s="13">
        <v>8</v>
      </c>
      <c r="K16" s="13">
        <f t="shared" si="0"/>
        <v>16</v>
      </c>
      <c r="L16" s="3"/>
    </row>
    <row r="17" ht="18" customHeight="1" spans="1:12">
      <c r="A17" s="7"/>
      <c r="B17" s="7"/>
      <c r="C17" s="7"/>
      <c r="D17" s="12" t="s">
        <v>121</v>
      </c>
      <c r="E17" s="12" t="s">
        <v>156</v>
      </c>
      <c r="F17" s="12" t="s">
        <v>18</v>
      </c>
      <c r="G17" s="12" t="s">
        <v>163</v>
      </c>
      <c r="H17" s="12" t="s">
        <v>164</v>
      </c>
      <c r="I17" s="12">
        <v>3</v>
      </c>
      <c r="J17" s="13">
        <v>8</v>
      </c>
      <c r="K17" s="13">
        <f t="shared" si="0"/>
        <v>24</v>
      </c>
      <c r="L17" s="3"/>
    </row>
    <row r="18" ht="18" customHeight="1" spans="1:12">
      <c r="A18" s="7"/>
      <c r="B18" s="7"/>
      <c r="C18" s="7"/>
      <c r="D18" s="12" t="s">
        <v>121</v>
      </c>
      <c r="E18" s="12" t="s">
        <v>156</v>
      </c>
      <c r="F18" s="12" t="s">
        <v>18</v>
      </c>
      <c r="G18" s="12" t="s">
        <v>165</v>
      </c>
      <c r="H18" s="12" t="s">
        <v>166</v>
      </c>
      <c r="I18" s="12">
        <v>3</v>
      </c>
      <c r="J18" s="13">
        <v>8</v>
      </c>
      <c r="K18" s="13">
        <f t="shared" si="0"/>
        <v>24</v>
      </c>
      <c r="L18" s="3"/>
    </row>
    <row r="19" ht="18" customHeight="1" spans="1:12">
      <c r="A19" s="7"/>
      <c r="B19" s="7"/>
      <c r="C19" s="7"/>
      <c r="D19" s="12" t="s">
        <v>121</v>
      </c>
      <c r="E19" s="12" t="s">
        <v>156</v>
      </c>
      <c r="F19" s="12" t="s">
        <v>18</v>
      </c>
      <c r="G19" s="12" t="s">
        <v>167</v>
      </c>
      <c r="H19" s="12" t="s">
        <v>168</v>
      </c>
      <c r="I19" s="12">
        <v>1</v>
      </c>
      <c r="J19" s="13">
        <v>8</v>
      </c>
      <c r="K19" s="13">
        <f t="shared" si="0"/>
        <v>8</v>
      </c>
      <c r="L19" s="3"/>
    </row>
    <row r="20" ht="18" customHeight="1" spans="1:12">
      <c r="A20" s="7"/>
      <c r="B20" s="7"/>
      <c r="C20" s="7"/>
      <c r="D20" s="12" t="s">
        <v>121</v>
      </c>
      <c r="E20" s="12" t="s">
        <v>156</v>
      </c>
      <c r="F20" s="12" t="s">
        <v>18</v>
      </c>
      <c r="G20" s="12" t="s">
        <v>35</v>
      </c>
      <c r="H20" s="12" t="s">
        <v>36</v>
      </c>
      <c r="I20" s="12">
        <v>1</v>
      </c>
      <c r="J20" s="13">
        <v>8</v>
      </c>
      <c r="K20" s="13">
        <f t="shared" si="0"/>
        <v>8</v>
      </c>
      <c r="L20" s="3"/>
    </row>
    <row r="21" ht="18" customHeight="1" spans="1:12">
      <c r="A21" s="7"/>
      <c r="B21" s="7"/>
      <c r="C21" s="7"/>
      <c r="D21" s="12" t="s">
        <v>121</v>
      </c>
      <c r="E21" s="12" t="s">
        <v>156</v>
      </c>
      <c r="F21" s="12" t="s">
        <v>18</v>
      </c>
      <c r="G21" s="12" t="s">
        <v>169</v>
      </c>
      <c r="H21" s="12" t="s">
        <v>170</v>
      </c>
      <c r="I21" s="12">
        <v>4</v>
      </c>
      <c r="J21" s="13">
        <v>8</v>
      </c>
      <c r="K21" s="13">
        <f t="shared" si="0"/>
        <v>32</v>
      </c>
      <c r="L21" s="3"/>
    </row>
    <row r="22" ht="18" customHeight="1" spans="1:12">
      <c r="A22" s="7"/>
      <c r="B22" s="7"/>
      <c r="C22" s="7"/>
      <c r="D22" s="12" t="s">
        <v>121</v>
      </c>
      <c r="E22" s="12" t="s">
        <v>156</v>
      </c>
      <c r="F22" s="12" t="s">
        <v>18</v>
      </c>
      <c r="G22" s="12" t="s">
        <v>171</v>
      </c>
      <c r="H22" s="12" t="s">
        <v>172</v>
      </c>
      <c r="I22" s="12">
        <v>1</v>
      </c>
      <c r="J22" s="13">
        <v>8</v>
      </c>
      <c r="K22" s="13">
        <f t="shared" si="0"/>
        <v>8</v>
      </c>
      <c r="L22" s="3"/>
    </row>
    <row r="23" ht="18" customHeight="1" spans="1:12">
      <c r="A23" s="7"/>
      <c r="B23" s="7"/>
      <c r="C23" s="7"/>
      <c r="D23" s="12" t="s">
        <v>121</v>
      </c>
      <c r="E23" s="12" t="s">
        <v>156</v>
      </c>
      <c r="F23" s="12" t="s">
        <v>18</v>
      </c>
      <c r="G23" s="12" t="s">
        <v>125</v>
      </c>
      <c r="H23" s="12" t="s">
        <v>126</v>
      </c>
      <c r="I23" s="12">
        <v>8</v>
      </c>
      <c r="J23" s="13">
        <v>8</v>
      </c>
      <c r="K23" s="13">
        <f t="shared" si="0"/>
        <v>64</v>
      </c>
      <c r="L23" s="3"/>
    </row>
    <row r="24" ht="18" customHeight="1" spans="1:12">
      <c r="A24" s="7"/>
      <c r="B24" s="7"/>
      <c r="C24" s="7"/>
      <c r="D24" s="12" t="s">
        <v>121</v>
      </c>
      <c r="E24" s="12" t="s">
        <v>156</v>
      </c>
      <c r="F24" s="12" t="s">
        <v>18</v>
      </c>
      <c r="G24" s="12" t="s">
        <v>127</v>
      </c>
      <c r="H24" s="12" t="s">
        <v>128</v>
      </c>
      <c r="I24" s="12">
        <v>12</v>
      </c>
      <c r="J24" s="13">
        <v>8</v>
      </c>
      <c r="K24" s="13">
        <f t="shared" si="0"/>
        <v>96</v>
      </c>
      <c r="L24" s="3"/>
    </row>
    <row r="25" ht="18" customHeight="1" spans="1:12">
      <c r="A25" s="7"/>
      <c r="B25" s="7"/>
      <c r="C25" s="7"/>
      <c r="D25" s="12" t="s">
        <v>121</v>
      </c>
      <c r="E25" s="12" t="s">
        <v>156</v>
      </c>
      <c r="F25" s="12" t="s">
        <v>18</v>
      </c>
      <c r="G25" s="12" t="s">
        <v>148</v>
      </c>
      <c r="H25" s="12" t="s">
        <v>149</v>
      </c>
      <c r="I25" s="12">
        <v>2</v>
      </c>
      <c r="J25" s="13">
        <v>8</v>
      </c>
      <c r="K25" s="13">
        <f t="shared" si="0"/>
        <v>16</v>
      </c>
      <c r="L25" s="3"/>
    </row>
    <row r="26" ht="18" customHeight="1" spans="1:12">
      <c r="A26" s="7"/>
      <c r="B26" s="7"/>
      <c r="C26" s="7"/>
      <c r="D26" s="12" t="s">
        <v>121</v>
      </c>
      <c r="E26" s="12" t="s">
        <v>156</v>
      </c>
      <c r="F26" s="12" t="s">
        <v>18</v>
      </c>
      <c r="G26" s="12" t="s">
        <v>173</v>
      </c>
      <c r="H26" s="12" t="s">
        <v>174</v>
      </c>
      <c r="I26" s="12">
        <v>2</v>
      </c>
      <c r="J26" s="13">
        <v>11</v>
      </c>
      <c r="K26" s="13">
        <f t="shared" si="0"/>
        <v>22</v>
      </c>
      <c r="L26" s="3"/>
    </row>
    <row r="27" ht="18" customHeight="1" spans="1:12">
      <c r="A27" s="7"/>
      <c r="B27" s="7"/>
      <c r="C27" s="7"/>
      <c r="D27" s="12" t="s">
        <v>121</v>
      </c>
      <c r="E27" s="12" t="s">
        <v>156</v>
      </c>
      <c r="F27" s="12" t="s">
        <v>18</v>
      </c>
      <c r="G27" s="12" t="s">
        <v>175</v>
      </c>
      <c r="H27" s="12" t="s">
        <v>176</v>
      </c>
      <c r="I27" s="12">
        <v>2</v>
      </c>
      <c r="J27" s="13">
        <v>8</v>
      </c>
      <c r="K27" s="13">
        <f t="shared" si="0"/>
        <v>16</v>
      </c>
      <c r="L27" s="3"/>
    </row>
    <row r="28" ht="18" customHeight="1" spans="1:12">
      <c r="A28" s="7"/>
      <c r="B28" s="7"/>
      <c r="C28" s="7"/>
      <c r="D28" s="12" t="s">
        <v>121</v>
      </c>
      <c r="E28" s="12" t="s">
        <v>156</v>
      </c>
      <c r="F28" s="12" t="s">
        <v>18</v>
      </c>
      <c r="G28" s="12" t="s">
        <v>177</v>
      </c>
      <c r="H28" s="12" t="s">
        <v>178</v>
      </c>
      <c r="I28" s="12">
        <v>3</v>
      </c>
      <c r="J28" s="13">
        <v>8</v>
      </c>
      <c r="K28" s="13">
        <f t="shared" si="0"/>
        <v>24</v>
      </c>
      <c r="L28" s="3"/>
    </row>
    <row r="29" ht="18" customHeight="1" spans="1:12">
      <c r="A29" s="7"/>
      <c r="B29" s="7"/>
      <c r="C29" s="7"/>
      <c r="D29" s="12" t="s">
        <v>93</v>
      </c>
      <c r="E29" s="12" t="s">
        <v>179</v>
      </c>
      <c r="F29" s="12" t="s">
        <v>18</v>
      </c>
      <c r="G29" s="12" t="s">
        <v>132</v>
      </c>
      <c r="H29" s="12" t="s">
        <v>133</v>
      </c>
      <c r="I29" s="12">
        <v>1</v>
      </c>
      <c r="J29" s="13">
        <v>8</v>
      </c>
      <c r="K29" s="13">
        <f t="shared" si="0"/>
        <v>8</v>
      </c>
      <c r="L29" s="3"/>
    </row>
    <row r="30" ht="18" customHeight="1" spans="1:12">
      <c r="A30" s="7"/>
      <c r="B30" s="7"/>
      <c r="C30" s="7"/>
      <c r="D30" s="12" t="s">
        <v>93</v>
      </c>
      <c r="E30" s="12" t="s">
        <v>179</v>
      </c>
      <c r="F30" s="12" t="s">
        <v>18</v>
      </c>
      <c r="G30" s="12" t="s">
        <v>134</v>
      </c>
      <c r="H30" s="12" t="s">
        <v>135</v>
      </c>
      <c r="I30" s="12">
        <v>1</v>
      </c>
      <c r="J30" s="13">
        <v>8</v>
      </c>
      <c r="K30" s="13">
        <f t="shared" si="0"/>
        <v>8</v>
      </c>
      <c r="L30" s="3"/>
    </row>
    <row r="31" ht="18" customHeight="1" spans="1:12">
      <c r="A31" s="7"/>
      <c r="B31" s="7"/>
      <c r="C31" s="7"/>
      <c r="D31" s="12" t="s">
        <v>93</v>
      </c>
      <c r="E31" s="12" t="s">
        <v>179</v>
      </c>
      <c r="F31" s="12" t="s">
        <v>18</v>
      </c>
      <c r="G31" s="12" t="s">
        <v>136</v>
      </c>
      <c r="H31" s="12" t="s">
        <v>137</v>
      </c>
      <c r="I31" s="12">
        <v>1</v>
      </c>
      <c r="J31" s="13">
        <v>8</v>
      </c>
      <c r="K31" s="13">
        <f t="shared" si="0"/>
        <v>8</v>
      </c>
      <c r="L31" s="3"/>
    </row>
    <row r="32" ht="18" customHeight="1" spans="1:12">
      <c r="A32" s="7"/>
      <c r="B32" s="7"/>
      <c r="C32" s="7"/>
      <c r="D32" s="12" t="s">
        <v>93</v>
      </c>
      <c r="E32" s="12" t="s">
        <v>179</v>
      </c>
      <c r="F32" s="12" t="s">
        <v>18</v>
      </c>
      <c r="G32" s="12" t="s">
        <v>140</v>
      </c>
      <c r="H32" s="12" t="s">
        <v>141</v>
      </c>
      <c r="I32" s="12">
        <v>1</v>
      </c>
      <c r="J32" s="13">
        <v>8</v>
      </c>
      <c r="K32" s="13">
        <f t="shared" si="0"/>
        <v>8</v>
      </c>
      <c r="L32" s="3"/>
    </row>
    <row r="33" ht="18" customHeight="1" spans="1:12">
      <c r="A33" s="7"/>
      <c r="B33" s="7"/>
      <c r="C33" s="7"/>
      <c r="D33" s="12" t="s">
        <v>93</v>
      </c>
      <c r="E33" s="12" t="s">
        <v>179</v>
      </c>
      <c r="F33" s="12" t="s">
        <v>18</v>
      </c>
      <c r="G33" s="12" t="s">
        <v>165</v>
      </c>
      <c r="H33" s="12" t="s">
        <v>166</v>
      </c>
      <c r="I33" s="12">
        <v>1</v>
      </c>
      <c r="J33" s="13">
        <v>8</v>
      </c>
      <c r="K33" s="13">
        <f t="shared" si="0"/>
        <v>8</v>
      </c>
      <c r="L33" s="3"/>
    </row>
    <row r="34" ht="18" customHeight="1" spans="1:12">
      <c r="A34" s="7"/>
      <c r="B34" s="7"/>
      <c r="C34" s="7"/>
      <c r="D34" s="12" t="s">
        <v>93</v>
      </c>
      <c r="E34" s="12" t="s">
        <v>179</v>
      </c>
      <c r="F34" s="12" t="s">
        <v>18</v>
      </c>
      <c r="G34" s="12" t="s">
        <v>169</v>
      </c>
      <c r="H34" s="12" t="s">
        <v>170</v>
      </c>
      <c r="I34" s="12">
        <v>2</v>
      </c>
      <c r="J34" s="13">
        <v>8</v>
      </c>
      <c r="K34" s="13">
        <f t="shared" si="0"/>
        <v>16</v>
      </c>
      <c r="L34" s="3"/>
    </row>
    <row r="35" ht="18" customHeight="1" spans="1:12">
      <c r="A35" s="7"/>
      <c r="B35" s="7"/>
      <c r="C35" s="7"/>
      <c r="D35" s="12" t="s">
        <v>93</v>
      </c>
      <c r="E35" s="12" t="s">
        <v>179</v>
      </c>
      <c r="F35" s="12" t="s">
        <v>18</v>
      </c>
      <c r="G35" s="12" t="s">
        <v>171</v>
      </c>
      <c r="H35" s="12" t="s">
        <v>172</v>
      </c>
      <c r="I35" s="12">
        <v>1</v>
      </c>
      <c r="J35" s="13">
        <v>8</v>
      </c>
      <c r="K35" s="13">
        <f t="shared" si="0"/>
        <v>8</v>
      </c>
      <c r="L35" s="3"/>
    </row>
    <row r="36" ht="18" customHeight="1" spans="1:12">
      <c r="A36" s="7"/>
      <c r="B36" s="7"/>
      <c r="C36" s="7"/>
      <c r="D36" s="12" t="s">
        <v>93</v>
      </c>
      <c r="E36" s="12" t="s">
        <v>179</v>
      </c>
      <c r="F36" s="12" t="s">
        <v>18</v>
      </c>
      <c r="G36" s="12" t="s">
        <v>125</v>
      </c>
      <c r="H36" s="12" t="s">
        <v>126</v>
      </c>
      <c r="I36" s="12">
        <v>7</v>
      </c>
      <c r="J36" s="13">
        <v>8</v>
      </c>
      <c r="K36" s="13">
        <f t="shared" si="0"/>
        <v>56</v>
      </c>
      <c r="L36" s="3"/>
    </row>
    <row r="37" ht="18" customHeight="1" spans="1:12">
      <c r="A37" s="7"/>
      <c r="B37" s="7"/>
      <c r="C37" s="7"/>
      <c r="D37" s="12" t="s">
        <v>93</v>
      </c>
      <c r="E37" s="12" t="s">
        <v>179</v>
      </c>
      <c r="F37" s="12" t="s">
        <v>18</v>
      </c>
      <c r="G37" s="12" t="s">
        <v>127</v>
      </c>
      <c r="H37" s="12" t="s">
        <v>128</v>
      </c>
      <c r="I37" s="12">
        <v>7</v>
      </c>
      <c r="J37" s="13">
        <v>8</v>
      </c>
      <c r="K37" s="13">
        <f t="shared" si="0"/>
        <v>56</v>
      </c>
      <c r="L37" s="3"/>
    </row>
    <row r="38" ht="18" customHeight="1" spans="1:12">
      <c r="A38" s="7"/>
      <c r="B38" s="7"/>
      <c r="C38" s="7"/>
      <c r="D38" s="12" t="s">
        <v>93</v>
      </c>
      <c r="E38" s="12" t="s">
        <v>179</v>
      </c>
      <c r="F38" s="12" t="s">
        <v>18</v>
      </c>
      <c r="G38" s="12" t="s">
        <v>173</v>
      </c>
      <c r="H38" s="12" t="s">
        <v>174</v>
      </c>
      <c r="I38" s="12">
        <v>5</v>
      </c>
      <c r="J38" s="13">
        <v>11</v>
      </c>
      <c r="K38" s="13">
        <f t="shared" si="0"/>
        <v>55</v>
      </c>
      <c r="L38" s="3"/>
    </row>
    <row r="39" ht="18" customHeight="1" spans="1:12">
      <c r="A39" s="7"/>
      <c r="B39" s="7"/>
      <c r="C39" s="7"/>
      <c r="D39" s="12" t="s">
        <v>93</v>
      </c>
      <c r="E39" s="12" t="s">
        <v>179</v>
      </c>
      <c r="F39" s="12" t="s">
        <v>18</v>
      </c>
      <c r="G39" s="12" t="s">
        <v>177</v>
      </c>
      <c r="H39" s="12" t="s">
        <v>178</v>
      </c>
      <c r="I39" s="12">
        <v>1</v>
      </c>
      <c r="J39" s="13">
        <v>8</v>
      </c>
      <c r="K39" s="13">
        <f t="shared" si="0"/>
        <v>8</v>
      </c>
      <c r="L39" s="3"/>
    </row>
    <row r="40" ht="18" customHeight="1" spans="1:12">
      <c r="A40" s="7"/>
      <c r="B40" s="7"/>
      <c r="C40" s="7"/>
      <c r="D40" s="12" t="s">
        <v>114</v>
      </c>
      <c r="E40" s="12" t="s">
        <v>180</v>
      </c>
      <c r="F40" s="12" t="s">
        <v>18</v>
      </c>
      <c r="G40" s="12" t="s">
        <v>125</v>
      </c>
      <c r="H40" s="12" t="s">
        <v>126</v>
      </c>
      <c r="I40" s="12">
        <v>7</v>
      </c>
      <c r="J40" s="13">
        <v>8</v>
      </c>
      <c r="K40" s="13">
        <f t="shared" si="0"/>
        <v>56</v>
      </c>
      <c r="L40" s="3"/>
    </row>
    <row r="41" ht="18" customHeight="1" spans="1:12">
      <c r="A41" s="7"/>
      <c r="B41" s="7"/>
      <c r="C41" s="7"/>
      <c r="D41" s="12" t="s">
        <v>114</v>
      </c>
      <c r="E41" s="12" t="s">
        <v>180</v>
      </c>
      <c r="F41" s="12" t="s">
        <v>18</v>
      </c>
      <c r="G41" s="12" t="s">
        <v>127</v>
      </c>
      <c r="H41" s="12" t="s">
        <v>128</v>
      </c>
      <c r="I41" s="12">
        <v>9</v>
      </c>
      <c r="J41" s="13">
        <v>8</v>
      </c>
      <c r="K41" s="13">
        <f t="shared" si="0"/>
        <v>72</v>
      </c>
      <c r="L41" s="3"/>
    </row>
    <row r="42" ht="18" customHeight="1" spans="1:12">
      <c r="A42" s="7"/>
      <c r="B42" s="7"/>
      <c r="C42" s="7"/>
      <c r="D42" s="12" t="s">
        <v>114</v>
      </c>
      <c r="E42" s="12" t="s">
        <v>180</v>
      </c>
      <c r="F42" s="12" t="s">
        <v>18</v>
      </c>
      <c r="G42" s="12" t="s">
        <v>173</v>
      </c>
      <c r="H42" s="12" t="s">
        <v>174</v>
      </c>
      <c r="I42" s="12">
        <v>2</v>
      </c>
      <c r="J42" s="13">
        <v>11</v>
      </c>
      <c r="K42" s="13">
        <f t="shared" si="0"/>
        <v>22</v>
      </c>
      <c r="L42" s="3"/>
    </row>
    <row r="43" ht="18" customHeight="1" spans="1:12">
      <c r="A43" s="7"/>
      <c r="B43" s="7"/>
      <c r="C43" s="7"/>
      <c r="D43" s="12" t="s">
        <v>114</v>
      </c>
      <c r="E43" s="12" t="s">
        <v>180</v>
      </c>
      <c r="F43" s="12" t="s">
        <v>18</v>
      </c>
      <c r="G43" s="12" t="s">
        <v>175</v>
      </c>
      <c r="H43" s="12" t="s">
        <v>176</v>
      </c>
      <c r="I43" s="12">
        <v>4</v>
      </c>
      <c r="J43" s="13">
        <v>8</v>
      </c>
      <c r="K43" s="13">
        <f t="shared" si="0"/>
        <v>32</v>
      </c>
      <c r="L43" s="3"/>
    </row>
    <row r="44" ht="18" customHeight="1" spans="1:12">
      <c r="A44" s="7"/>
      <c r="B44" s="7"/>
      <c r="C44" s="7"/>
      <c r="D44" s="12" t="s">
        <v>114</v>
      </c>
      <c r="E44" s="12" t="s">
        <v>180</v>
      </c>
      <c r="F44" s="12" t="s">
        <v>18</v>
      </c>
      <c r="G44" s="12" t="s">
        <v>177</v>
      </c>
      <c r="H44" s="12" t="s">
        <v>178</v>
      </c>
      <c r="I44" s="12">
        <v>3</v>
      </c>
      <c r="J44" s="13">
        <v>8</v>
      </c>
      <c r="K44" s="13">
        <f t="shared" ref="K44:K76" si="1">J44*I44</f>
        <v>24</v>
      </c>
      <c r="L44" s="3"/>
    </row>
    <row r="45" ht="18" customHeight="1" spans="1:12">
      <c r="A45" s="7"/>
      <c r="B45" s="7"/>
      <c r="C45" s="7"/>
      <c r="D45" s="12" t="s">
        <v>114</v>
      </c>
      <c r="E45" s="12" t="s">
        <v>181</v>
      </c>
      <c r="F45" s="12" t="s">
        <v>18</v>
      </c>
      <c r="G45" s="12" t="s">
        <v>157</v>
      </c>
      <c r="H45" s="12" t="s">
        <v>158</v>
      </c>
      <c r="I45" s="12">
        <v>2</v>
      </c>
      <c r="J45" s="13">
        <v>8</v>
      </c>
      <c r="K45" s="13">
        <f t="shared" si="1"/>
        <v>16</v>
      </c>
      <c r="L45" s="3"/>
    </row>
    <row r="46" ht="18" customHeight="1" spans="1:12">
      <c r="A46" s="7"/>
      <c r="B46" s="7"/>
      <c r="C46" s="7"/>
      <c r="D46" s="12" t="s">
        <v>114</v>
      </c>
      <c r="E46" s="12" t="s">
        <v>181</v>
      </c>
      <c r="F46" s="12" t="s">
        <v>18</v>
      </c>
      <c r="G46" s="12" t="s">
        <v>182</v>
      </c>
      <c r="H46" s="12" t="s">
        <v>183</v>
      </c>
      <c r="I46" s="12">
        <v>1</v>
      </c>
      <c r="J46" s="13">
        <v>8</v>
      </c>
      <c r="K46" s="13">
        <f t="shared" si="1"/>
        <v>8</v>
      </c>
      <c r="L46" s="3"/>
    </row>
    <row r="47" ht="18" customHeight="1" spans="1:12">
      <c r="A47" s="7"/>
      <c r="B47" s="7"/>
      <c r="C47" s="7"/>
      <c r="D47" s="12" t="s">
        <v>114</v>
      </c>
      <c r="E47" s="12" t="s">
        <v>181</v>
      </c>
      <c r="F47" s="12" t="s">
        <v>18</v>
      </c>
      <c r="G47" s="12" t="s">
        <v>130</v>
      </c>
      <c r="H47" s="12" t="s">
        <v>131</v>
      </c>
      <c r="I47" s="12">
        <v>3</v>
      </c>
      <c r="J47" s="13">
        <v>8</v>
      </c>
      <c r="K47" s="13">
        <f t="shared" si="1"/>
        <v>24</v>
      </c>
      <c r="L47" s="3"/>
    </row>
    <row r="48" ht="18" customHeight="1" spans="1:12">
      <c r="A48" s="7"/>
      <c r="B48" s="7"/>
      <c r="C48" s="7"/>
      <c r="D48" s="12" t="s">
        <v>114</v>
      </c>
      <c r="E48" s="12" t="s">
        <v>181</v>
      </c>
      <c r="F48" s="12" t="s">
        <v>18</v>
      </c>
      <c r="G48" s="12" t="s">
        <v>134</v>
      </c>
      <c r="H48" s="12" t="s">
        <v>135</v>
      </c>
      <c r="I48" s="12">
        <v>1</v>
      </c>
      <c r="J48" s="13">
        <v>8</v>
      </c>
      <c r="K48" s="13">
        <f t="shared" si="1"/>
        <v>8</v>
      </c>
      <c r="L48" s="3"/>
    </row>
    <row r="49" ht="18" customHeight="1" spans="1:12">
      <c r="A49" s="7"/>
      <c r="B49" s="7"/>
      <c r="C49" s="7"/>
      <c r="D49" s="12" t="s">
        <v>114</v>
      </c>
      <c r="E49" s="12" t="s">
        <v>181</v>
      </c>
      <c r="F49" s="12" t="s">
        <v>18</v>
      </c>
      <c r="G49" s="12" t="s">
        <v>136</v>
      </c>
      <c r="H49" s="12" t="s">
        <v>137</v>
      </c>
      <c r="I49" s="12">
        <v>1</v>
      </c>
      <c r="J49" s="13">
        <v>8</v>
      </c>
      <c r="K49" s="13">
        <f t="shared" si="1"/>
        <v>8</v>
      </c>
      <c r="L49" s="3"/>
    </row>
    <row r="50" ht="18" customHeight="1" spans="1:12">
      <c r="A50" s="7"/>
      <c r="B50" s="7"/>
      <c r="C50" s="7"/>
      <c r="D50" s="12" t="s">
        <v>114</v>
      </c>
      <c r="E50" s="12" t="s">
        <v>181</v>
      </c>
      <c r="F50" s="12" t="s">
        <v>18</v>
      </c>
      <c r="G50" s="12" t="s">
        <v>161</v>
      </c>
      <c r="H50" s="12" t="s">
        <v>162</v>
      </c>
      <c r="I50" s="12">
        <v>2</v>
      </c>
      <c r="J50" s="13">
        <v>8</v>
      </c>
      <c r="K50" s="13">
        <f t="shared" si="1"/>
        <v>16</v>
      </c>
      <c r="L50" s="3"/>
    </row>
    <row r="51" ht="18" customHeight="1" spans="1:12">
      <c r="A51" s="7"/>
      <c r="B51" s="7"/>
      <c r="C51" s="7"/>
      <c r="D51" s="12" t="s">
        <v>114</v>
      </c>
      <c r="E51" s="12" t="s">
        <v>181</v>
      </c>
      <c r="F51" s="12" t="s">
        <v>18</v>
      </c>
      <c r="G51" s="12" t="s">
        <v>138</v>
      </c>
      <c r="H51" s="12" t="s">
        <v>139</v>
      </c>
      <c r="I51" s="12">
        <v>3</v>
      </c>
      <c r="J51" s="13">
        <v>8</v>
      </c>
      <c r="K51" s="13">
        <f t="shared" si="1"/>
        <v>24</v>
      </c>
      <c r="L51" s="3"/>
    </row>
    <row r="52" ht="18" customHeight="1" spans="1:12">
      <c r="A52" s="7"/>
      <c r="B52" s="7"/>
      <c r="C52" s="7"/>
      <c r="D52" s="12" t="s">
        <v>114</v>
      </c>
      <c r="E52" s="12" t="s">
        <v>181</v>
      </c>
      <c r="F52" s="12" t="s">
        <v>18</v>
      </c>
      <c r="G52" s="12" t="s">
        <v>184</v>
      </c>
      <c r="H52" s="12" t="s">
        <v>185</v>
      </c>
      <c r="I52" s="12">
        <v>4</v>
      </c>
      <c r="J52" s="13">
        <v>8</v>
      </c>
      <c r="K52" s="13">
        <f t="shared" si="1"/>
        <v>32</v>
      </c>
      <c r="L52" s="3"/>
    </row>
    <row r="53" ht="18" customHeight="1" spans="1:12">
      <c r="A53" s="7"/>
      <c r="B53" s="7"/>
      <c r="C53" s="7"/>
      <c r="D53" s="12" t="s">
        <v>114</v>
      </c>
      <c r="E53" s="12" t="s">
        <v>181</v>
      </c>
      <c r="F53" s="12" t="s">
        <v>18</v>
      </c>
      <c r="G53" s="12" t="s">
        <v>186</v>
      </c>
      <c r="H53" s="12" t="s">
        <v>187</v>
      </c>
      <c r="I53" s="12">
        <v>1</v>
      </c>
      <c r="J53" s="13">
        <v>13.5</v>
      </c>
      <c r="K53" s="13">
        <f t="shared" si="1"/>
        <v>13.5</v>
      </c>
      <c r="L53" s="3"/>
    </row>
    <row r="54" ht="18" customHeight="1" spans="1:12">
      <c r="A54" s="7"/>
      <c r="B54" s="7"/>
      <c r="C54" s="7"/>
      <c r="D54" s="12" t="s">
        <v>114</v>
      </c>
      <c r="E54" s="12" t="s">
        <v>181</v>
      </c>
      <c r="F54" s="12" t="s">
        <v>18</v>
      </c>
      <c r="G54" s="12" t="s">
        <v>165</v>
      </c>
      <c r="H54" s="12" t="s">
        <v>166</v>
      </c>
      <c r="I54" s="12">
        <v>2</v>
      </c>
      <c r="J54" s="13">
        <v>8</v>
      </c>
      <c r="K54" s="13">
        <f t="shared" si="1"/>
        <v>16</v>
      </c>
      <c r="L54" s="3"/>
    </row>
    <row r="55" ht="18" customHeight="1" spans="1:12">
      <c r="A55" s="7"/>
      <c r="B55" s="7"/>
      <c r="C55" s="7"/>
      <c r="D55" s="12" t="s">
        <v>114</v>
      </c>
      <c r="E55" s="12" t="s">
        <v>181</v>
      </c>
      <c r="F55" s="12" t="s">
        <v>18</v>
      </c>
      <c r="G55" s="12" t="s">
        <v>169</v>
      </c>
      <c r="H55" s="12" t="s">
        <v>170</v>
      </c>
      <c r="I55" s="12">
        <v>3</v>
      </c>
      <c r="J55" s="13">
        <v>8</v>
      </c>
      <c r="K55" s="13">
        <f t="shared" si="1"/>
        <v>24</v>
      </c>
      <c r="L55" s="3"/>
    </row>
    <row r="56" ht="18" customHeight="1" spans="1:12">
      <c r="A56" s="7"/>
      <c r="B56" s="7"/>
      <c r="C56" s="7"/>
      <c r="D56" s="12" t="s">
        <v>114</v>
      </c>
      <c r="E56" s="12" t="s">
        <v>181</v>
      </c>
      <c r="F56" s="12" t="s">
        <v>18</v>
      </c>
      <c r="G56" s="12" t="s">
        <v>148</v>
      </c>
      <c r="H56" s="12" t="s">
        <v>149</v>
      </c>
      <c r="I56" s="12">
        <v>1</v>
      </c>
      <c r="J56" s="13">
        <v>8</v>
      </c>
      <c r="K56" s="13">
        <f t="shared" si="1"/>
        <v>8</v>
      </c>
      <c r="L56" s="3"/>
    </row>
    <row r="57" ht="18" customHeight="1" spans="1:12">
      <c r="A57" s="7"/>
      <c r="B57" s="7"/>
      <c r="C57" s="7"/>
      <c r="D57" s="12" t="s">
        <v>114</v>
      </c>
      <c r="E57" s="12" t="s">
        <v>181</v>
      </c>
      <c r="F57" s="12" t="s">
        <v>18</v>
      </c>
      <c r="G57" s="12" t="s">
        <v>188</v>
      </c>
      <c r="H57" s="12" t="s">
        <v>189</v>
      </c>
      <c r="I57" s="12">
        <v>1</v>
      </c>
      <c r="J57" s="13">
        <v>8</v>
      </c>
      <c r="K57" s="13">
        <f t="shared" si="1"/>
        <v>8</v>
      </c>
      <c r="L57" s="3"/>
    </row>
    <row r="58" ht="18" customHeight="1" spans="1:12">
      <c r="A58" s="7"/>
      <c r="B58" s="7"/>
      <c r="C58" s="7"/>
      <c r="D58" s="12" t="s">
        <v>190</v>
      </c>
      <c r="E58" s="12" t="s">
        <v>191</v>
      </c>
      <c r="F58" s="12" t="s">
        <v>18</v>
      </c>
      <c r="G58" s="12" t="s">
        <v>157</v>
      </c>
      <c r="H58" s="12" t="s">
        <v>158</v>
      </c>
      <c r="I58" s="12">
        <v>1</v>
      </c>
      <c r="J58" s="13">
        <v>8</v>
      </c>
      <c r="K58" s="13">
        <f t="shared" si="1"/>
        <v>8</v>
      </c>
      <c r="L58" s="3"/>
    </row>
    <row r="59" ht="18" customHeight="1" spans="1:12">
      <c r="A59" s="7"/>
      <c r="B59" s="7"/>
      <c r="C59" s="7"/>
      <c r="D59" s="12" t="s">
        <v>190</v>
      </c>
      <c r="E59" s="12" t="s">
        <v>191</v>
      </c>
      <c r="F59" s="12" t="s">
        <v>18</v>
      </c>
      <c r="G59" s="12" t="s">
        <v>132</v>
      </c>
      <c r="H59" s="12" t="s">
        <v>133</v>
      </c>
      <c r="I59" s="12">
        <v>1</v>
      </c>
      <c r="J59" s="13">
        <v>8</v>
      </c>
      <c r="K59" s="13">
        <f t="shared" si="1"/>
        <v>8</v>
      </c>
      <c r="L59" s="3"/>
    </row>
    <row r="60" ht="18" customHeight="1" spans="1:12">
      <c r="A60" s="7"/>
      <c r="B60" s="7"/>
      <c r="C60" s="7"/>
      <c r="D60" s="12" t="s">
        <v>190</v>
      </c>
      <c r="E60" s="12" t="s">
        <v>191</v>
      </c>
      <c r="F60" s="12" t="s">
        <v>18</v>
      </c>
      <c r="G60" s="12" t="s">
        <v>136</v>
      </c>
      <c r="H60" s="12" t="s">
        <v>137</v>
      </c>
      <c r="I60" s="12">
        <v>2</v>
      </c>
      <c r="J60" s="13">
        <v>8</v>
      </c>
      <c r="K60" s="13">
        <f t="shared" si="1"/>
        <v>16</v>
      </c>
      <c r="L60" s="3"/>
    </row>
    <row r="61" ht="18" customHeight="1" spans="1:12">
      <c r="A61" s="7"/>
      <c r="B61" s="7"/>
      <c r="C61" s="7"/>
      <c r="D61" s="12" t="s">
        <v>190</v>
      </c>
      <c r="E61" s="12" t="s">
        <v>191</v>
      </c>
      <c r="F61" s="12" t="s">
        <v>18</v>
      </c>
      <c r="G61" s="12" t="s">
        <v>161</v>
      </c>
      <c r="H61" s="12" t="s">
        <v>162</v>
      </c>
      <c r="I61" s="12">
        <v>3</v>
      </c>
      <c r="J61" s="13">
        <v>8</v>
      </c>
      <c r="K61" s="13">
        <f t="shared" si="1"/>
        <v>24</v>
      </c>
      <c r="L61" s="3"/>
    </row>
    <row r="62" ht="18" customHeight="1" spans="1:12">
      <c r="A62" s="7"/>
      <c r="B62" s="7"/>
      <c r="C62" s="7"/>
      <c r="D62" s="12" t="s">
        <v>190</v>
      </c>
      <c r="E62" s="12" t="s">
        <v>191</v>
      </c>
      <c r="F62" s="12" t="s">
        <v>18</v>
      </c>
      <c r="G62" s="12" t="s">
        <v>138</v>
      </c>
      <c r="H62" s="12" t="s">
        <v>139</v>
      </c>
      <c r="I62" s="12">
        <v>3</v>
      </c>
      <c r="J62" s="13">
        <v>8</v>
      </c>
      <c r="K62" s="13">
        <f t="shared" si="1"/>
        <v>24</v>
      </c>
      <c r="L62" s="3"/>
    </row>
    <row r="63" ht="18" customHeight="1" spans="1:12">
      <c r="A63" s="7"/>
      <c r="B63" s="7"/>
      <c r="C63" s="7"/>
      <c r="D63" s="12" t="s">
        <v>190</v>
      </c>
      <c r="E63" s="12" t="s">
        <v>191</v>
      </c>
      <c r="F63" s="12" t="s">
        <v>18</v>
      </c>
      <c r="G63" s="12" t="s">
        <v>192</v>
      </c>
      <c r="H63" s="12" t="s">
        <v>193</v>
      </c>
      <c r="I63" s="12">
        <v>1</v>
      </c>
      <c r="J63" s="13">
        <v>8</v>
      </c>
      <c r="K63" s="13">
        <f t="shared" si="1"/>
        <v>8</v>
      </c>
      <c r="L63" s="3"/>
    </row>
    <row r="64" ht="18" customHeight="1" spans="1:12">
      <c r="A64" s="7"/>
      <c r="B64" s="7"/>
      <c r="C64" s="7"/>
      <c r="D64" s="12" t="s">
        <v>190</v>
      </c>
      <c r="E64" s="12" t="s">
        <v>191</v>
      </c>
      <c r="F64" s="12" t="s">
        <v>18</v>
      </c>
      <c r="G64" s="12" t="s">
        <v>184</v>
      </c>
      <c r="H64" s="12" t="s">
        <v>185</v>
      </c>
      <c r="I64" s="12">
        <v>7</v>
      </c>
      <c r="J64" s="13">
        <v>8</v>
      </c>
      <c r="K64" s="13">
        <f t="shared" si="1"/>
        <v>56</v>
      </c>
      <c r="L64" s="3"/>
    </row>
    <row r="65" ht="18" customHeight="1" spans="1:12">
      <c r="A65" s="7"/>
      <c r="B65" s="7"/>
      <c r="C65" s="7"/>
      <c r="D65" s="12" t="s">
        <v>190</v>
      </c>
      <c r="E65" s="12" t="s">
        <v>191</v>
      </c>
      <c r="F65" s="12" t="s">
        <v>18</v>
      </c>
      <c r="G65" s="12" t="s">
        <v>165</v>
      </c>
      <c r="H65" s="12" t="s">
        <v>166</v>
      </c>
      <c r="I65" s="12">
        <v>1</v>
      </c>
      <c r="J65" s="13">
        <v>8</v>
      </c>
      <c r="K65" s="13">
        <f t="shared" si="1"/>
        <v>8</v>
      </c>
      <c r="L65" s="3"/>
    </row>
    <row r="66" ht="18" customHeight="1" spans="1:12">
      <c r="A66" s="7"/>
      <c r="B66" s="7"/>
      <c r="C66" s="7"/>
      <c r="D66" s="12" t="s">
        <v>190</v>
      </c>
      <c r="E66" s="12" t="s">
        <v>191</v>
      </c>
      <c r="F66" s="12" t="s">
        <v>18</v>
      </c>
      <c r="G66" s="12" t="s">
        <v>194</v>
      </c>
      <c r="H66" s="12" t="s">
        <v>195</v>
      </c>
      <c r="I66" s="12">
        <v>1</v>
      </c>
      <c r="J66" s="13">
        <f>6*5.5</f>
        <v>33</v>
      </c>
      <c r="K66" s="13">
        <f t="shared" si="1"/>
        <v>33</v>
      </c>
      <c r="L66" s="3"/>
    </row>
    <row r="67" ht="18" customHeight="1" spans="1:12">
      <c r="A67" s="7"/>
      <c r="B67" s="7"/>
      <c r="C67" s="7"/>
      <c r="D67" s="12" t="s">
        <v>190</v>
      </c>
      <c r="E67" s="12" t="s">
        <v>191</v>
      </c>
      <c r="F67" s="12" t="s">
        <v>18</v>
      </c>
      <c r="G67" s="12" t="s">
        <v>167</v>
      </c>
      <c r="H67" s="12" t="s">
        <v>168</v>
      </c>
      <c r="I67" s="12">
        <v>1</v>
      </c>
      <c r="J67" s="13">
        <v>8</v>
      </c>
      <c r="K67" s="13">
        <f t="shared" si="1"/>
        <v>8</v>
      </c>
      <c r="L67" s="3"/>
    </row>
    <row r="68" ht="18" customHeight="1" spans="1:12">
      <c r="A68" s="7"/>
      <c r="B68" s="7"/>
      <c r="C68" s="7"/>
      <c r="D68" s="12" t="s">
        <v>190</v>
      </c>
      <c r="E68" s="12" t="s">
        <v>191</v>
      </c>
      <c r="F68" s="12" t="s">
        <v>18</v>
      </c>
      <c r="G68" s="12" t="s">
        <v>169</v>
      </c>
      <c r="H68" s="12" t="s">
        <v>170</v>
      </c>
      <c r="I68" s="12">
        <v>3</v>
      </c>
      <c r="J68" s="13">
        <v>8</v>
      </c>
      <c r="K68" s="13">
        <f t="shared" si="1"/>
        <v>24</v>
      </c>
      <c r="L68" s="3"/>
    </row>
    <row r="69" ht="18" customHeight="1" spans="1:12">
      <c r="A69" s="7"/>
      <c r="B69" s="7"/>
      <c r="C69" s="7"/>
      <c r="D69" s="12" t="s">
        <v>190</v>
      </c>
      <c r="E69" s="12" t="s">
        <v>191</v>
      </c>
      <c r="F69" s="12" t="s">
        <v>18</v>
      </c>
      <c r="G69" s="12" t="s">
        <v>196</v>
      </c>
      <c r="H69" s="12" t="s">
        <v>197</v>
      </c>
      <c r="I69" s="12">
        <v>1</v>
      </c>
      <c r="J69" s="13">
        <v>22</v>
      </c>
      <c r="K69" s="13">
        <f t="shared" si="1"/>
        <v>22</v>
      </c>
      <c r="L69" s="3"/>
    </row>
    <row r="70" ht="18" customHeight="1" spans="1:12">
      <c r="A70" s="7"/>
      <c r="B70" s="7"/>
      <c r="C70" s="7"/>
      <c r="D70" s="12" t="s">
        <v>190</v>
      </c>
      <c r="E70" s="12" t="s">
        <v>191</v>
      </c>
      <c r="F70" s="12" t="s">
        <v>18</v>
      </c>
      <c r="G70" s="12" t="s">
        <v>125</v>
      </c>
      <c r="H70" s="12" t="s">
        <v>126</v>
      </c>
      <c r="I70" s="12">
        <v>6</v>
      </c>
      <c r="J70" s="13">
        <v>8</v>
      </c>
      <c r="K70" s="13">
        <f t="shared" si="1"/>
        <v>48</v>
      </c>
      <c r="L70" s="3"/>
    </row>
    <row r="71" ht="18" customHeight="1" spans="1:12">
      <c r="A71" s="7"/>
      <c r="B71" s="7"/>
      <c r="C71" s="7"/>
      <c r="D71" s="12" t="s">
        <v>190</v>
      </c>
      <c r="E71" s="12" t="s">
        <v>191</v>
      </c>
      <c r="F71" s="12" t="s">
        <v>18</v>
      </c>
      <c r="G71" s="12" t="s">
        <v>127</v>
      </c>
      <c r="H71" s="12" t="s">
        <v>128</v>
      </c>
      <c r="I71" s="12">
        <v>7</v>
      </c>
      <c r="J71" s="13">
        <v>8</v>
      </c>
      <c r="K71" s="13">
        <f t="shared" si="1"/>
        <v>56</v>
      </c>
      <c r="L71" s="3"/>
    </row>
    <row r="72" ht="18" customHeight="1" spans="1:12">
      <c r="A72" s="7"/>
      <c r="B72" s="7"/>
      <c r="C72" s="7"/>
      <c r="D72" s="12" t="s">
        <v>190</v>
      </c>
      <c r="E72" s="12" t="s">
        <v>191</v>
      </c>
      <c r="F72" s="12" t="s">
        <v>18</v>
      </c>
      <c r="G72" s="12" t="s">
        <v>148</v>
      </c>
      <c r="H72" s="12" t="s">
        <v>149</v>
      </c>
      <c r="I72" s="12">
        <v>2</v>
      </c>
      <c r="J72" s="13">
        <v>8</v>
      </c>
      <c r="K72" s="13">
        <f t="shared" si="1"/>
        <v>16</v>
      </c>
      <c r="L72" s="3"/>
    </row>
    <row r="73" ht="18" customHeight="1" spans="1:12">
      <c r="A73" s="7"/>
      <c r="B73" s="7"/>
      <c r="C73" s="7"/>
      <c r="D73" s="12" t="s">
        <v>190</v>
      </c>
      <c r="E73" s="12" t="s">
        <v>191</v>
      </c>
      <c r="F73" s="12" t="s">
        <v>18</v>
      </c>
      <c r="G73" s="12" t="s">
        <v>173</v>
      </c>
      <c r="H73" s="12" t="s">
        <v>174</v>
      </c>
      <c r="I73" s="12">
        <v>1</v>
      </c>
      <c r="J73" s="13">
        <v>11</v>
      </c>
      <c r="K73" s="13">
        <f t="shared" si="1"/>
        <v>11</v>
      </c>
      <c r="L73" s="3"/>
    </row>
    <row r="74" ht="18" customHeight="1" spans="1:12">
      <c r="A74" s="7"/>
      <c r="B74" s="7"/>
      <c r="C74" s="7"/>
      <c r="D74" s="12" t="s">
        <v>190</v>
      </c>
      <c r="E74" s="12" t="s">
        <v>191</v>
      </c>
      <c r="F74" s="12" t="s">
        <v>18</v>
      </c>
      <c r="G74" s="12" t="s">
        <v>198</v>
      </c>
      <c r="H74" s="12" t="s">
        <v>199</v>
      </c>
      <c r="I74" s="12">
        <v>1</v>
      </c>
      <c r="J74" s="13">
        <v>44</v>
      </c>
      <c r="K74" s="13">
        <f t="shared" si="1"/>
        <v>44</v>
      </c>
      <c r="L74" s="3"/>
    </row>
    <row r="75" ht="18" customHeight="1" spans="1:12">
      <c r="A75" s="7"/>
      <c r="B75" s="7"/>
      <c r="C75" s="7"/>
      <c r="D75" s="12" t="s">
        <v>190</v>
      </c>
      <c r="E75" s="12" t="s">
        <v>191</v>
      </c>
      <c r="F75" s="12" t="s">
        <v>18</v>
      </c>
      <c r="G75" s="12" t="s">
        <v>175</v>
      </c>
      <c r="H75" s="12" t="s">
        <v>176</v>
      </c>
      <c r="I75" s="12">
        <v>1</v>
      </c>
      <c r="J75" s="13">
        <v>8</v>
      </c>
      <c r="K75" s="13">
        <f t="shared" si="1"/>
        <v>8</v>
      </c>
      <c r="L75" s="3"/>
    </row>
    <row r="76" ht="18" customHeight="1" spans="1:12">
      <c r="A76" s="7"/>
      <c r="B76" s="7"/>
      <c r="C76" s="7"/>
      <c r="D76" s="12" t="s">
        <v>190</v>
      </c>
      <c r="E76" s="12" t="s">
        <v>191</v>
      </c>
      <c r="F76" s="12" t="s">
        <v>18</v>
      </c>
      <c r="G76" s="12" t="s">
        <v>177</v>
      </c>
      <c r="H76" s="12" t="s">
        <v>178</v>
      </c>
      <c r="I76" s="12">
        <v>3</v>
      </c>
      <c r="J76" s="13">
        <v>8</v>
      </c>
      <c r="K76" s="13">
        <f t="shared" si="1"/>
        <v>24</v>
      </c>
      <c r="L76" s="3"/>
    </row>
  </sheetData>
  <autoFilter xmlns:etc="http://www.wps.cn/officeDocument/2017/etCustomData" ref="A9:K76" etc:filterBottomFollowUsedRange="0">
    <extLst/>
  </autoFilter>
  <mergeCells count="6">
    <mergeCell ref="D8:K8"/>
    <mergeCell ref="D10:H10"/>
    <mergeCell ref="C9:C76"/>
    <mergeCell ref="C1:K2"/>
    <mergeCell ref="B4:K5"/>
    <mergeCell ref="A8:B76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view="pageBreakPreview" zoomScaleNormal="100" topLeftCell="D1" workbookViewId="0">
      <selection activeCell="K19" sqref="K11:K19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4" customWidth="1"/>
    <col min="7" max="7" width="12.0833333333333" customWidth="1"/>
    <col min="8" max="8" width="20" customWidth="1"/>
    <col min="9" max="9" width="7.75" customWidth="1"/>
    <col min="10" max="10" width="11.25" customWidth="1"/>
    <col min="11" max="11" width="11.5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200</v>
      </c>
      <c r="E10" s="8"/>
      <c r="F10" s="8"/>
      <c r="G10" s="8"/>
      <c r="H10" s="8"/>
      <c r="I10" s="9">
        <v>18</v>
      </c>
      <c r="J10" s="10"/>
      <c r="K10" s="11">
        <v>236.5</v>
      </c>
      <c r="L10" s="3"/>
    </row>
    <row r="11" ht="18" customHeight="1" spans="1:12">
      <c r="A11" s="7"/>
      <c r="B11" s="7"/>
      <c r="C11" s="7"/>
      <c r="D11" s="12" t="s">
        <v>97</v>
      </c>
      <c r="E11" s="12" t="s">
        <v>201</v>
      </c>
      <c r="F11" s="12" t="s">
        <v>202</v>
      </c>
      <c r="G11" s="12" t="s">
        <v>203</v>
      </c>
      <c r="H11" s="12" t="s">
        <v>204</v>
      </c>
      <c r="I11" s="12">
        <v>2</v>
      </c>
      <c r="J11" s="13">
        <v>16.5</v>
      </c>
      <c r="K11" s="13">
        <v>33</v>
      </c>
      <c r="L11" s="3"/>
    </row>
    <row r="12" ht="18" customHeight="1" spans="1:12">
      <c r="A12" s="7"/>
      <c r="B12" s="7"/>
      <c r="C12" s="7"/>
      <c r="D12" s="12" t="s">
        <v>97</v>
      </c>
      <c r="E12" s="12" t="s">
        <v>201</v>
      </c>
      <c r="F12" s="12" t="s">
        <v>18</v>
      </c>
      <c r="G12" s="12" t="s">
        <v>205</v>
      </c>
      <c r="H12" s="12" t="s">
        <v>119</v>
      </c>
      <c r="I12" s="12">
        <v>1</v>
      </c>
      <c r="J12" s="13">
        <v>8</v>
      </c>
      <c r="K12" s="13">
        <v>8</v>
      </c>
      <c r="L12" s="3"/>
    </row>
    <row r="13" ht="18" customHeight="1" spans="1:12">
      <c r="A13" s="7"/>
      <c r="B13" s="7"/>
      <c r="C13" s="7"/>
      <c r="D13" s="12" t="s">
        <v>97</v>
      </c>
      <c r="E13" s="12" t="s">
        <v>201</v>
      </c>
      <c r="F13" s="12" t="s">
        <v>18</v>
      </c>
      <c r="G13" s="12" t="s">
        <v>23</v>
      </c>
      <c r="H13" s="12" t="s">
        <v>24</v>
      </c>
      <c r="I13" s="12">
        <v>1</v>
      </c>
      <c r="J13" s="13">
        <v>11</v>
      </c>
      <c r="K13" s="13">
        <v>11</v>
      </c>
      <c r="L13" s="3"/>
    </row>
    <row r="14" ht="18" customHeight="1" spans="1:12">
      <c r="A14" s="7"/>
      <c r="B14" s="7"/>
      <c r="C14" s="7"/>
      <c r="D14" s="12" t="s">
        <v>97</v>
      </c>
      <c r="E14" s="12" t="s">
        <v>201</v>
      </c>
      <c r="F14" s="12" t="s">
        <v>18</v>
      </c>
      <c r="G14" s="12" t="s">
        <v>31</v>
      </c>
      <c r="H14" s="12" t="s">
        <v>32</v>
      </c>
      <c r="I14" s="12">
        <v>1</v>
      </c>
      <c r="J14" s="13">
        <v>16.5</v>
      </c>
      <c r="K14" s="13">
        <v>16.5</v>
      </c>
      <c r="L14" s="3"/>
    </row>
    <row r="15" ht="18" customHeight="1" spans="1:12">
      <c r="A15" s="7"/>
      <c r="B15" s="7"/>
      <c r="C15" s="7"/>
      <c r="D15" s="12" t="s">
        <v>97</v>
      </c>
      <c r="E15" s="12" t="s">
        <v>201</v>
      </c>
      <c r="F15" s="12" t="s">
        <v>18</v>
      </c>
      <c r="G15" s="12" t="s">
        <v>37</v>
      </c>
      <c r="H15" s="12" t="s">
        <v>38</v>
      </c>
      <c r="I15" s="12">
        <v>2</v>
      </c>
      <c r="J15" s="13">
        <v>16.5</v>
      </c>
      <c r="K15" s="13">
        <v>33</v>
      </c>
      <c r="L15" s="3"/>
    </row>
    <row r="16" ht="18" customHeight="1" spans="1:12">
      <c r="A16" s="7"/>
      <c r="B16" s="7"/>
      <c r="C16" s="7"/>
      <c r="D16" s="12" t="s">
        <v>97</v>
      </c>
      <c r="E16" s="12" t="s">
        <v>201</v>
      </c>
      <c r="F16" s="12" t="s">
        <v>18</v>
      </c>
      <c r="G16" s="12" t="s">
        <v>57</v>
      </c>
      <c r="H16" s="12" t="s">
        <v>58</v>
      </c>
      <c r="I16" s="12">
        <v>3</v>
      </c>
      <c r="J16" s="13">
        <v>13</v>
      </c>
      <c r="K16" s="13">
        <v>39</v>
      </c>
      <c r="L16" s="3"/>
    </row>
    <row r="17" ht="18" customHeight="1" spans="1:12">
      <c r="A17" s="7"/>
      <c r="B17" s="7"/>
      <c r="C17" s="7"/>
      <c r="D17" s="12" t="s">
        <v>97</v>
      </c>
      <c r="E17" s="12" t="s">
        <v>201</v>
      </c>
      <c r="F17" s="12" t="s">
        <v>18</v>
      </c>
      <c r="G17" s="12" t="s">
        <v>206</v>
      </c>
      <c r="H17" s="12" t="s">
        <v>72</v>
      </c>
      <c r="I17" s="12">
        <v>1</v>
      </c>
      <c r="J17" s="13">
        <v>16</v>
      </c>
      <c r="K17" s="13">
        <v>16</v>
      </c>
      <c r="L17" s="3"/>
    </row>
    <row r="18" ht="18" customHeight="1" spans="1:12">
      <c r="A18" s="7"/>
      <c r="B18" s="7"/>
      <c r="C18" s="7"/>
      <c r="D18" s="12" t="s">
        <v>97</v>
      </c>
      <c r="E18" s="12" t="s">
        <v>201</v>
      </c>
      <c r="F18" s="12" t="s">
        <v>18</v>
      </c>
      <c r="G18" s="12" t="s">
        <v>75</v>
      </c>
      <c r="H18" s="12" t="s">
        <v>76</v>
      </c>
      <c r="I18" s="12">
        <v>3</v>
      </c>
      <c r="J18" s="13">
        <v>16</v>
      </c>
      <c r="K18" s="13">
        <v>48</v>
      </c>
      <c r="L18" s="3"/>
    </row>
    <row r="19" ht="18" customHeight="1" spans="1:12">
      <c r="A19" s="7"/>
      <c r="B19" s="7"/>
      <c r="C19" s="7"/>
      <c r="D19" s="12" t="s">
        <v>97</v>
      </c>
      <c r="E19" s="12" t="s">
        <v>201</v>
      </c>
      <c r="F19" s="12" t="s">
        <v>18</v>
      </c>
      <c r="G19" s="12" t="s">
        <v>95</v>
      </c>
      <c r="H19" s="12" t="s">
        <v>96</v>
      </c>
      <c r="I19" s="12">
        <v>4</v>
      </c>
      <c r="J19" s="13">
        <v>8</v>
      </c>
      <c r="K19" s="13">
        <v>32</v>
      </c>
      <c r="L19" s="3"/>
    </row>
  </sheetData>
  <autoFilter xmlns:etc="http://www.wps.cn/officeDocument/2017/etCustomData" ref="A9:K19" etc:filterBottomFollowUsedRange="0">
    <extLst/>
  </autoFilter>
  <mergeCells count="6">
    <mergeCell ref="D8:K8"/>
    <mergeCell ref="D10:H10"/>
    <mergeCell ref="C9:C19"/>
    <mergeCell ref="C1:K2"/>
    <mergeCell ref="B4:K5"/>
    <mergeCell ref="A8:B1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showGridLines="0" view="pageBreakPreview" zoomScaleNormal="100" topLeftCell="D29" workbookViewId="0">
      <selection activeCell="K11" sqref="K11:K60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0" customWidth="1"/>
    <col min="6" max="6" width="14.375" customWidth="1"/>
    <col min="7" max="7" width="12.0833333333333" customWidth="1"/>
    <col min="8" max="8" width="20.625" customWidth="1"/>
    <col min="9" max="9" width="8.625" customWidth="1"/>
    <col min="10" max="10" width="10.5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207</v>
      </c>
      <c r="E10" s="8"/>
      <c r="F10" s="8"/>
      <c r="G10" s="8"/>
      <c r="H10" s="8"/>
      <c r="I10" s="9">
        <v>102</v>
      </c>
      <c r="J10" s="10"/>
      <c r="K10" s="11">
        <v>6316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208</v>
      </c>
      <c r="F11" s="12" t="s">
        <v>202</v>
      </c>
      <c r="G11" s="12" t="s">
        <v>203</v>
      </c>
      <c r="H11" s="12" t="s">
        <v>204</v>
      </c>
      <c r="I11" s="12">
        <v>1</v>
      </c>
      <c r="J11" s="13">
        <v>16.5</v>
      </c>
      <c r="K11" s="13">
        <v>16.5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208</v>
      </c>
      <c r="F12" s="12" t="s">
        <v>202</v>
      </c>
      <c r="G12" s="12" t="s">
        <v>209</v>
      </c>
      <c r="H12" s="12" t="s">
        <v>38</v>
      </c>
      <c r="I12" s="12">
        <v>2</v>
      </c>
      <c r="J12" s="13">
        <v>16.5</v>
      </c>
      <c r="K12" s="13">
        <v>33</v>
      </c>
      <c r="L12" s="3"/>
    </row>
    <row r="13" ht="18" customHeight="1" spans="1:12">
      <c r="A13" s="7"/>
      <c r="B13" s="7"/>
      <c r="C13" s="7"/>
      <c r="D13" s="12" t="s">
        <v>121</v>
      </c>
      <c r="E13" s="12" t="s">
        <v>208</v>
      </c>
      <c r="F13" s="12" t="s">
        <v>47</v>
      </c>
      <c r="G13" s="12" t="s">
        <v>210</v>
      </c>
      <c r="H13" s="12" t="s">
        <v>211</v>
      </c>
      <c r="I13" s="12">
        <v>6</v>
      </c>
      <c r="J13" s="13">
        <v>93.5</v>
      </c>
      <c r="K13" s="13">
        <v>561</v>
      </c>
      <c r="L13" s="3"/>
    </row>
    <row r="14" ht="18" customHeight="1" spans="1:12">
      <c r="A14" s="7"/>
      <c r="B14" s="7"/>
      <c r="C14" s="7"/>
      <c r="D14" s="12" t="s">
        <v>121</v>
      </c>
      <c r="E14" s="12" t="s">
        <v>212</v>
      </c>
      <c r="F14" s="12" t="s">
        <v>103</v>
      </c>
      <c r="G14" s="12" t="s">
        <v>213</v>
      </c>
      <c r="H14" s="12" t="s">
        <v>214</v>
      </c>
      <c r="I14" s="12">
        <v>1</v>
      </c>
      <c r="J14" s="13">
        <v>28</v>
      </c>
      <c r="K14" s="13">
        <v>28</v>
      </c>
      <c r="L14" s="3"/>
    </row>
    <row r="15" ht="18" customHeight="1" spans="1:12">
      <c r="A15" s="7"/>
      <c r="B15" s="7"/>
      <c r="C15" s="7"/>
      <c r="D15" s="12" t="s">
        <v>121</v>
      </c>
      <c r="E15" s="12" t="s">
        <v>212</v>
      </c>
      <c r="F15" s="12" t="s">
        <v>103</v>
      </c>
      <c r="G15" s="12" t="s">
        <v>215</v>
      </c>
      <c r="H15" s="12" t="s">
        <v>216</v>
      </c>
      <c r="I15" s="12">
        <v>1</v>
      </c>
      <c r="J15" s="13">
        <v>44</v>
      </c>
      <c r="K15" s="13">
        <v>44</v>
      </c>
      <c r="L15" s="3"/>
    </row>
    <row r="16" ht="18" customHeight="1" spans="1:12">
      <c r="A16" s="7"/>
      <c r="B16" s="7"/>
      <c r="C16" s="7"/>
      <c r="D16" s="12" t="s">
        <v>121</v>
      </c>
      <c r="E16" s="12" t="s">
        <v>217</v>
      </c>
      <c r="F16" s="12" t="s">
        <v>202</v>
      </c>
      <c r="G16" s="12" t="s">
        <v>209</v>
      </c>
      <c r="H16" s="12" t="s">
        <v>38</v>
      </c>
      <c r="I16" s="12">
        <v>1</v>
      </c>
      <c r="J16" s="13">
        <v>16.5</v>
      </c>
      <c r="K16" s="13">
        <v>16.5</v>
      </c>
      <c r="L16" s="3"/>
    </row>
    <row r="17" ht="18" customHeight="1" spans="1:12">
      <c r="A17" s="7"/>
      <c r="B17" s="7"/>
      <c r="C17" s="7"/>
      <c r="D17" s="12" t="s">
        <v>121</v>
      </c>
      <c r="E17" s="12" t="s">
        <v>217</v>
      </c>
      <c r="F17" s="12" t="s">
        <v>47</v>
      </c>
      <c r="G17" s="12" t="s">
        <v>210</v>
      </c>
      <c r="H17" s="12" t="s">
        <v>211</v>
      </c>
      <c r="I17" s="12">
        <v>2</v>
      </c>
      <c r="J17" s="13">
        <v>93.5</v>
      </c>
      <c r="K17" s="13">
        <v>187</v>
      </c>
      <c r="L17" s="3"/>
    </row>
    <row r="18" ht="18" customHeight="1" spans="1:12">
      <c r="A18" s="7"/>
      <c r="B18" s="7"/>
      <c r="C18" s="7"/>
      <c r="D18" s="12" t="s">
        <v>13</v>
      </c>
      <c r="E18" s="12" t="s">
        <v>218</v>
      </c>
      <c r="F18" s="12" t="s">
        <v>202</v>
      </c>
      <c r="G18" s="12" t="s">
        <v>203</v>
      </c>
      <c r="H18" s="12" t="s">
        <v>204</v>
      </c>
      <c r="I18" s="12">
        <v>1</v>
      </c>
      <c r="J18" s="13">
        <v>16.5</v>
      </c>
      <c r="K18" s="13">
        <v>16.5</v>
      </c>
      <c r="L18" s="3"/>
    </row>
    <row r="19" ht="18" customHeight="1" spans="1:12">
      <c r="A19" s="7"/>
      <c r="B19" s="7"/>
      <c r="C19" s="7"/>
      <c r="D19" s="12" t="s">
        <v>13</v>
      </c>
      <c r="E19" s="12" t="s">
        <v>218</v>
      </c>
      <c r="F19" s="12" t="s">
        <v>202</v>
      </c>
      <c r="G19" s="12" t="s">
        <v>209</v>
      </c>
      <c r="H19" s="12" t="s">
        <v>38</v>
      </c>
      <c r="I19" s="12">
        <v>1</v>
      </c>
      <c r="J19" s="13">
        <v>16.5</v>
      </c>
      <c r="K19" s="13">
        <v>16.5</v>
      </c>
      <c r="L19" s="3"/>
    </row>
    <row r="20" ht="18" customHeight="1" spans="1:12">
      <c r="A20" s="7"/>
      <c r="B20" s="7"/>
      <c r="C20" s="7"/>
      <c r="D20" s="12" t="s">
        <v>13</v>
      </c>
      <c r="E20" s="12" t="s">
        <v>218</v>
      </c>
      <c r="F20" s="12" t="s">
        <v>202</v>
      </c>
      <c r="G20" s="12" t="s">
        <v>219</v>
      </c>
      <c r="H20" s="12" t="s">
        <v>38</v>
      </c>
      <c r="I20" s="12">
        <v>2</v>
      </c>
      <c r="J20" s="13">
        <v>16.5</v>
      </c>
      <c r="K20" s="13">
        <v>33</v>
      </c>
      <c r="L20" s="3"/>
    </row>
    <row r="21" ht="18" customHeight="1" spans="1:12">
      <c r="A21" s="7"/>
      <c r="B21" s="7"/>
      <c r="C21" s="7"/>
      <c r="D21" s="12" t="s">
        <v>13</v>
      </c>
      <c r="E21" s="12" t="s">
        <v>218</v>
      </c>
      <c r="F21" s="12" t="s">
        <v>47</v>
      </c>
      <c r="G21" s="12" t="s">
        <v>210</v>
      </c>
      <c r="H21" s="12" t="s">
        <v>211</v>
      </c>
      <c r="I21" s="12">
        <v>6</v>
      </c>
      <c r="J21" s="13">
        <v>93.5</v>
      </c>
      <c r="K21" s="13">
        <v>561</v>
      </c>
      <c r="L21" s="3"/>
    </row>
    <row r="22" ht="18" customHeight="1" spans="1:12">
      <c r="A22" s="7"/>
      <c r="B22" s="7"/>
      <c r="C22" s="7"/>
      <c r="D22" s="12" t="s">
        <v>13</v>
      </c>
      <c r="E22" s="12" t="s">
        <v>218</v>
      </c>
      <c r="F22" s="12" t="s">
        <v>47</v>
      </c>
      <c r="G22" s="12" t="s">
        <v>220</v>
      </c>
      <c r="H22" s="12" t="s">
        <v>221</v>
      </c>
      <c r="I22" s="12">
        <v>1</v>
      </c>
      <c r="J22" s="13">
        <v>66</v>
      </c>
      <c r="K22" s="13">
        <v>66</v>
      </c>
      <c r="L22" s="3"/>
    </row>
    <row r="23" ht="18" customHeight="1" spans="1:12">
      <c r="A23" s="7"/>
      <c r="B23" s="7"/>
      <c r="C23" s="7"/>
      <c r="D23" s="12" t="s">
        <v>13</v>
      </c>
      <c r="E23" s="12" t="s">
        <v>222</v>
      </c>
      <c r="F23" s="12" t="s">
        <v>47</v>
      </c>
      <c r="G23" s="12" t="s">
        <v>210</v>
      </c>
      <c r="H23" s="12" t="s">
        <v>211</v>
      </c>
      <c r="I23" s="12">
        <v>4</v>
      </c>
      <c r="J23" s="13">
        <v>93.5</v>
      </c>
      <c r="K23" s="13">
        <v>374</v>
      </c>
      <c r="L23" s="3"/>
    </row>
    <row r="24" ht="18" customHeight="1" spans="1:12">
      <c r="A24" s="7"/>
      <c r="B24" s="7"/>
      <c r="C24" s="7"/>
      <c r="D24" s="12" t="s">
        <v>13</v>
      </c>
      <c r="E24" s="12" t="s">
        <v>222</v>
      </c>
      <c r="F24" s="12" t="s">
        <v>47</v>
      </c>
      <c r="G24" s="12" t="s">
        <v>223</v>
      </c>
      <c r="H24" s="12" t="s">
        <v>224</v>
      </c>
      <c r="I24" s="12">
        <v>1</v>
      </c>
      <c r="J24" s="13">
        <v>33</v>
      </c>
      <c r="K24" s="13">
        <v>33</v>
      </c>
      <c r="L24" s="3"/>
    </row>
    <row r="25" ht="18" customHeight="1" spans="1:12">
      <c r="A25" s="7"/>
      <c r="B25" s="7"/>
      <c r="C25" s="7"/>
      <c r="D25" s="12" t="s">
        <v>13</v>
      </c>
      <c r="E25" s="12" t="s">
        <v>225</v>
      </c>
      <c r="F25" s="12" t="s">
        <v>202</v>
      </c>
      <c r="G25" s="12" t="s">
        <v>203</v>
      </c>
      <c r="H25" s="12" t="s">
        <v>204</v>
      </c>
      <c r="I25" s="12">
        <v>1</v>
      </c>
      <c r="J25" s="13">
        <v>16.5</v>
      </c>
      <c r="K25" s="13">
        <v>16.5</v>
      </c>
      <c r="L25" s="3"/>
    </row>
    <row r="26" ht="18" customHeight="1" spans="1:12">
      <c r="A26" s="7"/>
      <c r="B26" s="7"/>
      <c r="C26" s="7"/>
      <c r="D26" s="12" t="s">
        <v>93</v>
      </c>
      <c r="E26" s="12" t="s">
        <v>226</v>
      </c>
      <c r="F26" s="12" t="s">
        <v>202</v>
      </c>
      <c r="G26" s="12" t="s">
        <v>209</v>
      </c>
      <c r="H26" s="12" t="s">
        <v>38</v>
      </c>
      <c r="I26" s="12">
        <v>2</v>
      </c>
      <c r="J26" s="13">
        <v>16.5</v>
      </c>
      <c r="K26" s="13">
        <v>33</v>
      </c>
      <c r="L26" s="3"/>
    </row>
    <row r="27" ht="18" customHeight="1" spans="1:12">
      <c r="A27" s="7"/>
      <c r="B27" s="7"/>
      <c r="C27" s="7"/>
      <c r="D27" s="12" t="s">
        <v>93</v>
      </c>
      <c r="E27" s="12" t="s">
        <v>226</v>
      </c>
      <c r="F27" s="12" t="s">
        <v>202</v>
      </c>
      <c r="G27" s="12" t="s">
        <v>219</v>
      </c>
      <c r="H27" s="12" t="s">
        <v>38</v>
      </c>
      <c r="I27" s="12">
        <v>1</v>
      </c>
      <c r="J27" s="13">
        <v>16.5</v>
      </c>
      <c r="K27" s="13">
        <v>16.5</v>
      </c>
      <c r="L27" s="3"/>
    </row>
    <row r="28" ht="18" customHeight="1" spans="1:12">
      <c r="A28" s="7"/>
      <c r="B28" s="7"/>
      <c r="C28" s="7"/>
      <c r="D28" s="12" t="s">
        <v>93</v>
      </c>
      <c r="E28" s="12" t="s">
        <v>226</v>
      </c>
      <c r="F28" s="12" t="s">
        <v>47</v>
      </c>
      <c r="G28" s="12" t="s">
        <v>210</v>
      </c>
      <c r="H28" s="12" t="s">
        <v>211</v>
      </c>
      <c r="I28" s="12">
        <v>6</v>
      </c>
      <c r="J28" s="13">
        <v>93.5</v>
      </c>
      <c r="K28" s="13">
        <v>561</v>
      </c>
      <c r="L28" s="3"/>
    </row>
    <row r="29" ht="18" customHeight="1" spans="1:12">
      <c r="A29" s="7"/>
      <c r="B29" s="7"/>
      <c r="C29" s="7"/>
      <c r="D29" s="12" t="s">
        <v>93</v>
      </c>
      <c r="E29" s="12" t="s">
        <v>226</v>
      </c>
      <c r="F29" s="12" t="s">
        <v>47</v>
      </c>
      <c r="G29" s="12" t="s">
        <v>223</v>
      </c>
      <c r="H29" s="12" t="s">
        <v>224</v>
      </c>
      <c r="I29" s="12">
        <v>1</v>
      </c>
      <c r="J29" s="13">
        <v>33</v>
      </c>
      <c r="K29" s="13">
        <v>33</v>
      </c>
      <c r="L29" s="3"/>
    </row>
    <row r="30" ht="18" customHeight="1" spans="1:12">
      <c r="A30" s="7"/>
      <c r="B30" s="7"/>
      <c r="C30" s="7"/>
      <c r="D30" s="12" t="s">
        <v>227</v>
      </c>
      <c r="E30" s="12" t="s">
        <v>228</v>
      </c>
      <c r="F30" s="12" t="s">
        <v>202</v>
      </c>
      <c r="G30" s="12" t="s">
        <v>203</v>
      </c>
      <c r="H30" s="12" t="s">
        <v>204</v>
      </c>
      <c r="I30" s="12">
        <v>1</v>
      </c>
      <c r="J30" s="13">
        <v>16.5</v>
      </c>
      <c r="K30" s="13">
        <v>16.5</v>
      </c>
      <c r="L30" s="3"/>
    </row>
    <row r="31" ht="18" customHeight="1" spans="1:12">
      <c r="A31" s="7"/>
      <c r="B31" s="7"/>
      <c r="C31" s="7"/>
      <c r="D31" s="12" t="s">
        <v>227</v>
      </c>
      <c r="E31" s="12" t="s">
        <v>228</v>
      </c>
      <c r="F31" s="12" t="s">
        <v>202</v>
      </c>
      <c r="G31" s="12" t="s">
        <v>219</v>
      </c>
      <c r="H31" s="12" t="s">
        <v>38</v>
      </c>
      <c r="I31" s="12">
        <v>1</v>
      </c>
      <c r="J31" s="13">
        <v>16.5</v>
      </c>
      <c r="K31" s="13">
        <v>16.5</v>
      </c>
      <c r="L31" s="3"/>
    </row>
    <row r="32" ht="18" customHeight="1" spans="1:12">
      <c r="A32" s="7"/>
      <c r="B32" s="7"/>
      <c r="C32" s="7"/>
      <c r="D32" s="12" t="s">
        <v>227</v>
      </c>
      <c r="E32" s="12" t="s">
        <v>228</v>
      </c>
      <c r="F32" s="12" t="s">
        <v>18</v>
      </c>
      <c r="G32" s="12" t="s">
        <v>27</v>
      </c>
      <c r="H32" s="12" t="s">
        <v>28</v>
      </c>
      <c r="I32" s="12">
        <v>1</v>
      </c>
      <c r="J32" s="13">
        <v>8</v>
      </c>
      <c r="K32" s="13">
        <v>8</v>
      </c>
      <c r="L32" s="3"/>
    </row>
    <row r="33" ht="18" customHeight="1" spans="1:12">
      <c r="A33" s="7"/>
      <c r="B33" s="7"/>
      <c r="C33" s="7"/>
      <c r="D33" s="12" t="s">
        <v>227</v>
      </c>
      <c r="E33" s="12" t="s">
        <v>228</v>
      </c>
      <c r="F33" s="12" t="s">
        <v>18</v>
      </c>
      <c r="G33" s="12" t="s">
        <v>229</v>
      </c>
      <c r="H33" s="12" t="s">
        <v>30</v>
      </c>
      <c r="I33" s="12">
        <v>1</v>
      </c>
      <c r="J33" s="13">
        <v>8</v>
      </c>
      <c r="K33" s="13">
        <v>8</v>
      </c>
      <c r="L33" s="3"/>
    </row>
    <row r="34" ht="18" customHeight="1" spans="1:12">
      <c r="A34" s="7"/>
      <c r="B34" s="7"/>
      <c r="C34" s="7"/>
      <c r="D34" s="12" t="s">
        <v>227</v>
      </c>
      <c r="E34" s="12" t="s">
        <v>228</v>
      </c>
      <c r="F34" s="12" t="s">
        <v>18</v>
      </c>
      <c r="G34" s="12" t="s">
        <v>230</v>
      </c>
      <c r="H34" s="12" t="s">
        <v>231</v>
      </c>
      <c r="I34" s="12">
        <v>1</v>
      </c>
      <c r="J34" s="13">
        <v>11</v>
      </c>
      <c r="K34" s="13">
        <v>11</v>
      </c>
      <c r="L34" s="3"/>
    </row>
    <row r="35" ht="18" customHeight="1" spans="1:12">
      <c r="A35" s="7"/>
      <c r="B35" s="7"/>
      <c r="C35" s="7"/>
      <c r="D35" s="12" t="s">
        <v>227</v>
      </c>
      <c r="E35" s="12" t="s">
        <v>228</v>
      </c>
      <c r="F35" s="12" t="s">
        <v>18</v>
      </c>
      <c r="G35" s="12" t="s">
        <v>232</v>
      </c>
      <c r="H35" s="12" t="s">
        <v>233</v>
      </c>
      <c r="I35" s="12">
        <v>1</v>
      </c>
      <c r="J35" s="13">
        <v>11</v>
      </c>
      <c r="K35" s="13">
        <v>11</v>
      </c>
      <c r="L35" s="3"/>
    </row>
    <row r="36" ht="18" customHeight="1" spans="1:12">
      <c r="A36" s="7"/>
      <c r="B36" s="7"/>
      <c r="C36" s="7"/>
      <c r="D36" s="12" t="s">
        <v>227</v>
      </c>
      <c r="E36" s="12" t="s">
        <v>228</v>
      </c>
      <c r="F36" s="12" t="s">
        <v>18</v>
      </c>
      <c r="G36" s="12" t="s">
        <v>73</v>
      </c>
      <c r="H36" s="12" t="s">
        <v>74</v>
      </c>
      <c r="I36" s="12">
        <v>2</v>
      </c>
      <c r="J36" s="13">
        <v>16.5</v>
      </c>
      <c r="K36" s="13">
        <v>33</v>
      </c>
      <c r="L36" s="3"/>
    </row>
    <row r="37" ht="18" customHeight="1" spans="1:12">
      <c r="A37" s="7"/>
      <c r="B37" s="7"/>
      <c r="C37" s="7"/>
      <c r="D37" s="12" t="s">
        <v>227</v>
      </c>
      <c r="E37" s="12" t="s">
        <v>228</v>
      </c>
      <c r="F37" s="12" t="s">
        <v>18</v>
      </c>
      <c r="G37" s="12" t="s">
        <v>234</v>
      </c>
      <c r="H37" s="12" t="s">
        <v>235</v>
      </c>
      <c r="I37" s="12">
        <v>2</v>
      </c>
      <c r="J37" s="13">
        <v>8</v>
      </c>
      <c r="K37" s="13">
        <v>16</v>
      </c>
      <c r="L37" s="3"/>
    </row>
    <row r="38" ht="18" customHeight="1" spans="1:12">
      <c r="A38" s="7"/>
      <c r="B38" s="7"/>
      <c r="C38" s="7"/>
      <c r="D38" s="12" t="s">
        <v>227</v>
      </c>
      <c r="E38" s="12" t="s">
        <v>228</v>
      </c>
      <c r="F38" s="12" t="s">
        <v>18</v>
      </c>
      <c r="G38" s="12" t="s">
        <v>236</v>
      </c>
      <c r="H38" s="12" t="s">
        <v>237</v>
      </c>
      <c r="I38" s="12">
        <v>1</v>
      </c>
      <c r="J38" s="13">
        <v>8</v>
      </c>
      <c r="K38" s="13">
        <v>8</v>
      </c>
      <c r="L38" s="3"/>
    </row>
    <row r="39" ht="18" customHeight="1" spans="1:12">
      <c r="A39" s="7"/>
      <c r="B39" s="7"/>
      <c r="C39" s="7"/>
      <c r="D39" s="12" t="s">
        <v>227</v>
      </c>
      <c r="E39" s="12" t="s">
        <v>228</v>
      </c>
      <c r="F39" s="12" t="s">
        <v>47</v>
      </c>
      <c r="G39" s="12" t="s">
        <v>210</v>
      </c>
      <c r="H39" s="12" t="s">
        <v>211</v>
      </c>
      <c r="I39" s="12">
        <v>4</v>
      </c>
      <c r="J39" s="13">
        <v>93.5</v>
      </c>
      <c r="K39" s="13">
        <v>374</v>
      </c>
      <c r="L39" s="3"/>
    </row>
    <row r="40" ht="18" customHeight="1" spans="1:12">
      <c r="A40" s="7"/>
      <c r="B40" s="7"/>
      <c r="C40" s="7"/>
      <c r="D40" s="12" t="s">
        <v>227</v>
      </c>
      <c r="E40" s="12" t="s">
        <v>228</v>
      </c>
      <c r="F40" s="12" t="s">
        <v>47</v>
      </c>
      <c r="G40" s="12" t="s">
        <v>223</v>
      </c>
      <c r="H40" s="12" t="s">
        <v>224</v>
      </c>
      <c r="I40" s="12">
        <v>2</v>
      </c>
      <c r="J40" s="13">
        <v>33</v>
      </c>
      <c r="K40" s="13">
        <v>66</v>
      </c>
      <c r="L40" s="3"/>
    </row>
    <row r="41" ht="18" customHeight="1" spans="1:12">
      <c r="A41" s="7"/>
      <c r="B41" s="7"/>
      <c r="C41" s="7"/>
      <c r="D41" s="12" t="s">
        <v>238</v>
      </c>
      <c r="E41" s="12" t="s">
        <v>239</v>
      </c>
      <c r="F41" s="12" t="s">
        <v>202</v>
      </c>
      <c r="G41" s="12" t="s">
        <v>203</v>
      </c>
      <c r="H41" s="12" t="s">
        <v>204</v>
      </c>
      <c r="I41" s="12">
        <v>1</v>
      </c>
      <c r="J41" s="13">
        <v>16.5</v>
      </c>
      <c r="K41" s="13">
        <v>16.5</v>
      </c>
      <c r="L41" s="3"/>
    </row>
    <row r="42" ht="18" customHeight="1" spans="1:12">
      <c r="A42" s="7"/>
      <c r="B42" s="7"/>
      <c r="C42" s="7"/>
      <c r="D42" s="12" t="s">
        <v>238</v>
      </c>
      <c r="E42" s="12" t="s">
        <v>239</v>
      </c>
      <c r="F42" s="12" t="s">
        <v>202</v>
      </c>
      <c r="G42" s="12" t="s">
        <v>209</v>
      </c>
      <c r="H42" s="12" t="s">
        <v>38</v>
      </c>
      <c r="I42" s="12">
        <v>1</v>
      </c>
      <c r="J42" s="13">
        <v>16.5</v>
      </c>
      <c r="K42" s="13">
        <v>16.5</v>
      </c>
      <c r="L42" s="3"/>
    </row>
    <row r="43" ht="18" customHeight="1" spans="1:12">
      <c r="A43" s="7"/>
      <c r="B43" s="7"/>
      <c r="C43" s="7"/>
      <c r="D43" s="12" t="s">
        <v>238</v>
      </c>
      <c r="E43" s="12" t="s">
        <v>239</v>
      </c>
      <c r="F43" s="12" t="s">
        <v>47</v>
      </c>
      <c r="G43" s="12" t="s">
        <v>240</v>
      </c>
      <c r="H43" s="12" t="s">
        <v>241</v>
      </c>
      <c r="I43" s="12">
        <v>1</v>
      </c>
      <c r="J43" s="13">
        <v>77</v>
      </c>
      <c r="K43" s="13">
        <v>77</v>
      </c>
      <c r="L43" s="3"/>
    </row>
    <row r="44" ht="18" customHeight="1" spans="1:12">
      <c r="A44" s="7"/>
      <c r="B44" s="7"/>
      <c r="C44" s="7"/>
      <c r="D44" s="12" t="s">
        <v>238</v>
      </c>
      <c r="E44" s="12" t="s">
        <v>239</v>
      </c>
      <c r="F44" s="12" t="s">
        <v>47</v>
      </c>
      <c r="G44" s="12" t="s">
        <v>210</v>
      </c>
      <c r="H44" s="12" t="s">
        <v>211</v>
      </c>
      <c r="I44" s="12">
        <v>4</v>
      </c>
      <c r="J44" s="13">
        <v>93.5</v>
      </c>
      <c r="K44" s="13">
        <v>374</v>
      </c>
      <c r="L44" s="3"/>
    </row>
    <row r="45" ht="18" customHeight="1" spans="1:12">
      <c r="A45" s="7"/>
      <c r="B45" s="7"/>
      <c r="C45" s="7"/>
      <c r="D45" s="12" t="s">
        <v>238</v>
      </c>
      <c r="E45" s="12" t="s">
        <v>242</v>
      </c>
      <c r="F45" s="12" t="s">
        <v>202</v>
      </c>
      <c r="G45" s="12" t="s">
        <v>219</v>
      </c>
      <c r="H45" s="12" t="s">
        <v>38</v>
      </c>
      <c r="I45" s="12">
        <v>1</v>
      </c>
      <c r="J45" s="13">
        <v>16.5</v>
      </c>
      <c r="K45" s="13">
        <v>16.5</v>
      </c>
      <c r="L45" s="3"/>
    </row>
    <row r="46" ht="18" customHeight="1" spans="1:12">
      <c r="A46" s="7"/>
      <c r="B46" s="7"/>
      <c r="C46" s="7"/>
      <c r="D46" s="12" t="s">
        <v>97</v>
      </c>
      <c r="E46" s="12" t="s">
        <v>243</v>
      </c>
      <c r="F46" s="12" t="s">
        <v>202</v>
      </c>
      <c r="G46" s="12" t="s">
        <v>209</v>
      </c>
      <c r="H46" s="12" t="s">
        <v>38</v>
      </c>
      <c r="I46" s="12">
        <v>1</v>
      </c>
      <c r="J46" s="13">
        <v>16.5</v>
      </c>
      <c r="K46" s="13">
        <v>16.5</v>
      </c>
      <c r="L46" s="3"/>
    </row>
    <row r="47" ht="18" customHeight="1" spans="1:12">
      <c r="A47" s="7"/>
      <c r="B47" s="7"/>
      <c r="C47" s="7"/>
      <c r="D47" s="12" t="s">
        <v>97</v>
      </c>
      <c r="E47" s="12" t="s">
        <v>243</v>
      </c>
      <c r="F47" s="12" t="s">
        <v>202</v>
      </c>
      <c r="G47" s="12" t="s">
        <v>219</v>
      </c>
      <c r="H47" s="12" t="s">
        <v>38</v>
      </c>
      <c r="I47" s="12">
        <v>1</v>
      </c>
      <c r="J47" s="13">
        <v>16.5</v>
      </c>
      <c r="K47" s="13">
        <v>16.5</v>
      </c>
      <c r="L47" s="3"/>
    </row>
    <row r="48" ht="18" customHeight="1" spans="1:12">
      <c r="A48" s="7"/>
      <c r="B48" s="7"/>
      <c r="C48" s="7"/>
      <c r="D48" s="12" t="s">
        <v>97</v>
      </c>
      <c r="E48" s="12" t="s">
        <v>243</v>
      </c>
      <c r="F48" s="12" t="s">
        <v>47</v>
      </c>
      <c r="G48" s="12" t="s">
        <v>210</v>
      </c>
      <c r="H48" s="12" t="s">
        <v>211</v>
      </c>
      <c r="I48" s="12">
        <v>10</v>
      </c>
      <c r="J48" s="13">
        <v>93.5</v>
      </c>
      <c r="K48" s="13">
        <v>935</v>
      </c>
      <c r="L48" s="3"/>
    </row>
    <row r="49" ht="18" customHeight="1" spans="1:12">
      <c r="A49" s="7"/>
      <c r="B49" s="7"/>
      <c r="C49" s="7"/>
      <c r="D49" s="12" t="s">
        <v>244</v>
      </c>
      <c r="E49" s="12" t="s">
        <v>245</v>
      </c>
      <c r="F49" s="12" t="s">
        <v>202</v>
      </c>
      <c r="G49" s="12" t="s">
        <v>219</v>
      </c>
      <c r="H49" s="12" t="s">
        <v>38</v>
      </c>
      <c r="I49" s="12">
        <v>1</v>
      </c>
      <c r="J49" s="13">
        <v>16.5</v>
      </c>
      <c r="K49" s="13">
        <v>16.5</v>
      </c>
      <c r="L49" s="3"/>
    </row>
    <row r="50" ht="18" customHeight="1" spans="1:12">
      <c r="A50" s="7"/>
      <c r="B50" s="7"/>
      <c r="C50" s="7"/>
      <c r="D50" s="12" t="s">
        <v>244</v>
      </c>
      <c r="E50" s="12" t="s">
        <v>245</v>
      </c>
      <c r="F50" s="12" t="s">
        <v>47</v>
      </c>
      <c r="G50" s="12" t="s">
        <v>210</v>
      </c>
      <c r="H50" s="12" t="s">
        <v>211</v>
      </c>
      <c r="I50" s="12">
        <v>5</v>
      </c>
      <c r="J50" s="13">
        <v>93.5</v>
      </c>
      <c r="K50" s="13">
        <v>467.5</v>
      </c>
      <c r="L50" s="3"/>
    </row>
    <row r="51" ht="18" customHeight="1" spans="1:12">
      <c r="A51" s="7"/>
      <c r="B51" s="7"/>
      <c r="C51" s="7"/>
      <c r="D51" s="12" t="s">
        <v>190</v>
      </c>
      <c r="E51" s="12" t="s">
        <v>246</v>
      </c>
      <c r="F51" s="12" t="s">
        <v>202</v>
      </c>
      <c r="G51" s="12" t="s">
        <v>203</v>
      </c>
      <c r="H51" s="12" t="s">
        <v>204</v>
      </c>
      <c r="I51" s="12">
        <v>1</v>
      </c>
      <c r="J51" s="13">
        <v>16.5</v>
      </c>
      <c r="K51" s="13">
        <v>16.5</v>
      </c>
      <c r="L51" s="3"/>
    </row>
    <row r="52" ht="18" customHeight="1" spans="1:12">
      <c r="A52" s="7"/>
      <c r="B52" s="7"/>
      <c r="C52" s="7"/>
      <c r="D52" s="12" t="s">
        <v>190</v>
      </c>
      <c r="E52" s="12" t="s">
        <v>246</v>
      </c>
      <c r="F52" s="12" t="s">
        <v>202</v>
      </c>
      <c r="G52" s="12" t="s">
        <v>209</v>
      </c>
      <c r="H52" s="12" t="s">
        <v>38</v>
      </c>
      <c r="I52" s="12">
        <v>1</v>
      </c>
      <c r="J52" s="13">
        <v>16.5</v>
      </c>
      <c r="K52" s="13">
        <v>16.5</v>
      </c>
      <c r="L52" s="3"/>
    </row>
    <row r="53" ht="18" customHeight="1" spans="1:12">
      <c r="A53" s="7"/>
      <c r="B53" s="7"/>
      <c r="C53" s="7"/>
      <c r="D53" s="12" t="s">
        <v>190</v>
      </c>
      <c r="E53" s="12" t="s">
        <v>246</v>
      </c>
      <c r="F53" s="12" t="s">
        <v>202</v>
      </c>
      <c r="G53" s="12" t="s">
        <v>219</v>
      </c>
      <c r="H53" s="12" t="s">
        <v>38</v>
      </c>
      <c r="I53" s="12">
        <v>2</v>
      </c>
      <c r="J53" s="13">
        <v>16.5</v>
      </c>
      <c r="K53" s="13">
        <v>33</v>
      </c>
      <c r="L53" s="3"/>
    </row>
    <row r="54" ht="18" customHeight="1" spans="1:12">
      <c r="A54" s="7"/>
      <c r="B54" s="7"/>
      <c r="C54" s="7"/>
      <c r="D54" s="12" t="s">
        <v>190</v>
      </c>
      <c r="E54" s="12" t="s">
        <v>246</v>
      </c>
      <c r="F54" s="12" t="s">
        <v>47</v>
      </c>
      <c r="G54" s="12" t="s">
        <v>247</v>
      </c>
      <c r="H54" s="12" t="s">
        <v>248</v>
      </c>
      <c r="I54" s="12">
        <v>1</v>
      </c>
      <c r="J54" s="13">
        <v>33</v>
      </c>
      <c r="K54" s="13">
        <v>33</v>
      </c>
      <c r="L54" s="3"/>
    </row>
    <row r="55" ht="18" customHeight="1" spans="1:12">
      <c r="A55" s="7"/>
      <c r="B55" s="7"/>
      <c r="C55" s="7"/>
      <c r="D55" s="12" t="s">
        <v>190</v>
      </c>
      <c r="E55" s="12" t="s">
        <v>246</v>
      </c>
      <c r="F55" s="12" t="s">
        <v>47</v>
      </c>
      <c r="G55" s="12" t="s">
        <v>210</v>
      </c>
      <c r="H55" s="12" t="s">
        <v>211</v>
      </c>
      <c r="I55" s="12">
        <v>5</v>
      </c>
      <c r="J55" s="13">
        <v>93.5</v>
      </c>
      <c r="K55" s="13">
        <v>467.5</v>
      </c>
      <c r="L55" s="3"/>
    </row>
    <row r="56" ht="18" customHeight="1" spans="1:12">
      <c r="A56" s="7"/>
      <c r="B56" s="7"/>
      <c r="C56" s="7"/>
      <c r="D56" s="12" t="s">
        <v>190</v>
      </c>
      <c r="E56" s="12" t="s">
        <v>246</v>
      </c>
      <c r="F56" s="12" t="s">
        <v>47</v>
      </c>
      <c r="G56" s="12" t="s">
        <v>220</v>
      </c>
      <c r="H56" s="12" t="s">
        <v>221</v>
      </c>
      <c r="I56" s="12">
        <v>1</v>
      </c>
      <c r="J56" s="13">
        <v>66</v>
      </c>
      <c r="K56" s="13">
        <v>66</v>
      </c>
      <c r="L56" s="3"/>
    </row>
    <row r="57" ht="18" customHeight="1" spans="1:12">
      <c r="A57" s="7"/>
      <c r="B57" s="7"/>
      <c r="C57" s="7"/>
      <c r="D57" s="12" t="s">
        <v>249</v>
      </c>
      <c r="E57" s="12" t="s">
        <v>250</v>
      </c>
      <c r="F57" s="12" t="s">
        <v>202</v>
      </c>
      <c r="G57" s="12" t="s">
        <v>209</v>
      </c>
      <c r="H57" s="12" t="s">
        <v>38</v>
      </c>
      <c r="I57" s="12">
        <v>1</v>
      </c>
      <c r="J57" s="13">
        <v>16.5</v>
      </c>
      <c r="K57" s="13">
        <v>16.5</v>
      </c>
      <c r="L57" s="3"/>
    </row>
    <row r="58" ht="18" customHeight="1" spans="1:12">
      <c r="A58" s="7"/>
      <c r="B58" s="7"/>
      <c r="C58" s="7"/>
      <c r="D58" s="12" t="s">
        <v>249</v>
      </c>
      <c r="E58" s="12" t="s">
        <v>250</v>
      </c>
      <c r="F58" s="12" t="s">
        <v>47</v>
      </c>
      <c r="G58" s="12" t="s">
        <v>210</v>
      </c>
      <c r="H58" s="12" t="s">
        <v>211</v>
      </c>
      <c r="I58" s="12">
        <v>5</v>
      </c>
      <c r="J58" s="13">
        <v>93.5</v>
      </c>
      <c r="K58" s="13">
        <v>467.5</v>
      </c>
      <c r="L58" s="3"/>
    </row>
    <row r="59" ht="18" customHeight="1" spans="1:12">
      <c r="A59" s="7"/>
      <c r="B59" s="7"/>
      <c r="C59" s="7"/>
      <c r="D59" s="12" t="s">
        <v>249</v>
      </c>
      <c r="E59" s="12" t="s">
        <v>250</v>
      </c>
      <c r="F59" s="12" t="s">
        <v>47</v>
      </c>
      <c r="G59" s="12" t="s">
        <v>223</v>
      </c>
      <c r="H59" s="12" t="s">
        <v>224</v>
      </c>
      <c r="I59" s="12">
        <v>1</v>
      </c>
      <c r="J59" s="13">
        <v>33</v>
      </c>
      <c r="K59" s="13">
        <v>33</v>
      </c>
      <c r="L59" s="3"/>
    </row>
  </sheetData>
  <autoFilter xmlns:etc="http://www.wps.cn/officeDocument/2017/etCustomData" ref="A9:K59" etc:filterBottomFollowUsedRange="0">
    <extLst/>
  </autoFilter>
  <mergeCells count="6">
    <mergeCell ref="D8:K8"/>
    <mergeCell ref="D10:H10"/>
    <mergeCell ref="C9:C59"/>
    <mergeCell ref="C1:K2"/>
    <mergeCell ref="B4:K5"/>
    <mergeCell ref="A8:B5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3"/>
  <sheetViews>
    <sheetView showGridLines="0" tabSelected="1" view="pageBreakPreview" zoomScaleNormal="100" topLeftCell="D103" workbookViewId="0">
      <selection activeCell="N121" sqref="N12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2.7916666666667" customWidth="1"/>
    <col min="7" max="7" width="12.0833333333333" customWidth="1"/>
    <col min="8" max="8" width="20.1166666666667" customWidth="1"/>
    <col min="9" max="9" width="7.90833333333333" customWidth="1"/>
    <col min="10" max="10" width="8.90833333333333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251</v>
      </c>
      <c r="E10" s="8"/>
      <c r="F10" s="8"/>
      <c r="G10" s="8"/>
      <c r="H10" s="8"/>
      <c r="I10" s="9">
        <v>332</v>
      </c>
      <c r="J10" s="10"/>
      <c r="K10" s="11">
        <f>SUM(K11:K133)</f>
        <v>4281.5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252</v>
      </c>
      <c r="F11" s="12" t="s">
        <v>18</v>
      </c>
      <c r="G11" s="12" t="s">
        <v>253</v>
      </c>
      <c r="H11" s="12" t="s">
        <v>254</v>
      </c>
      <c r="I11" s="12">
        <v>2</v>
      </c>
      <c r="J11" s="13">
        <v>13</v>
      </c>
      <c r="K11" s="13">
        <f>J11*I11</f>
        <v>26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252</v>
      </c>
      <c r="F12" s="12" t="s">
        <v>18</v>
      </c>
      <c r="G12" s="12" t="s">
        <v>27</v>
      </c>
      <c r="H12" s="12" t="s">
        <v>28</v>
      </c>
      <c r="I12" s="12">
        <v>2</v>
      </c>
      <c r="J12" s="13">
        <v>8</v>
      </c>
      <c r="K12" s="13">
        <f t="shared" ref="K12:K43" si="0">J12*I12</f>
        <v>16</v>
      </c>
      <c r="L12" s="3"/>
    </row>
    <row r="13" ht="18" customHeight="1" spans="1:12">
      <c r="A13" s="7"/>
      <c r="B13" s="7"/>
      <c r="C13" s="7"/>
      <c r="D13" s="12" t="s">
        <v>121</v>
      </c>
      <c r="E13" s="12" t="s">
        <v>252</v>
      </c>
      <c r="F13" s="12" t="s">
        <v>18</v>
      </c>
      <c r="G13" s="12" t="s">
        <v>229</v>
      </c>
      <c r="H13" s="12" t="s">
        <v>30</v>
      </c>
      <c r="I13" s="12">
        <v>1</v>
      </c>
      <c r="J13" s="13">
        <v>8</v>
      </c>
      <c r="K13" s="13">
        <f t="shared" si="0"/>
        <v>8</v>
      </c>
      <c r="L13" s="3"/>
    </row>
    <row r="14" ht="18" customHeight="1" spans="1:12">
      <c r="A14" s="7"/>
      <c r="B14" s="7"/>
      <c r="C14" s="7"/>
      <c r="D14" s="12" t="s">
        <v>121</v>
      </c>
      <c r="E14" s="12" t="s">
        <v>252</v>
      </c>
      <c r="F14" s="12" t="s">
        <v>18</v>
      </c>
      <c r="G14" s="12" t="s">
        <v>35</v>
      </c>
      <c r="H14" s="12" t="s">
        <v>36</v>
      </c>
      <c r="I14" s="12">
        <v>1</v>
      </c>
      <c r="J14" s="13">
        <v>8</v>
      </c>
      <c r="K14" s="13">
        <f t="shared" si="0"/>
        <v>8</v>
      </c>
      <c r="L14" s="3"/>
    </row>
    <row r="15" ht="18" customHeight="1" spans="1:12">
      <c r="A15" s="7"/>
      <c r="B15" s="7"/>
      <c r="C15" s="7"/>
      <c r="D15" s="12" t="s">
        <v>121</v>
      </c>
      <c r="E15" s="12" t="s">
        <v>252</v>
      </c>
      <c r="F15" s="12" t="s">
        <v>18</v>
      </c>
      <c r="G15" s="12" t="s">
        <v>232</v>
      </c>
      <c r="H15" s="12" t="s">
        <v>233</v>
      </c>
      <c r="I15" s="12">
        <v>3</v>
      </c>
      <c r="J15" s="13">
        <v>11</v>
      </c>
      <c r="K15" s="13">
        <f t="shared" si="0"/>
        <v>33</v>
      </c>
      <c r="L15" s="3"/>
    </row>
    <row r="16" ht="18" customHeight="1" spans="1:12">
      <c r="A16" s="7"/>
      <c r="B16" s="7"/>
      <c r="C16" s="7"/>
      <c r="D16" s="12" t="s">
        <v>121</v>
      </c>
      <c r="E16" s="12" t="s">
        <v>252</v>
      </c>
      <c r="F16" s="12" t="s">
        <v>18</v>
      </c>
      <c r="G16" s="12" t="s">
        <v>255</v>
      </c>
      <c r="H16" s="12" t="s">
        <v>256</v>
      </c>
      <c r="I16" s="12">
        <v>2</v>
      </c>
      <c r="J16" s="13">
        <v>16.5</v>
      </c>
      <c r="K16" s="13">
        <f t="shared" si="0"/>
        <v>33</v>
      </c>
      <c r="L16" s="3"/>
    </row>
    <row r="17" ht="18" customHeight="1" spans="1:12">
      <c r="A17" s="7"/>
      <c r="B17" s="7"/>
      <c r="C17" s="7"/>
      <c r="D17" s="12" t="s">
        <v>121</v>
      </c>
      <c r="E17" s="12" t="s">
        <v>252</v>
      </c>
      <c r="F17" s="12" t="s">
        <v>18</v>
      </c>
      <c r="G17" s="12" t="s">
        <v>234</v>
      </c>
      <c r="H17" s="12" t="s">
        <v>235</v>
      </c>
      <c r="I17" s="12">
        <v>5</v>
      </c>
      <c r="J17" s="13">
        <v>8</v>
      </c>
      <c r="K17" s="13">
        <f t="shared" si="0"/>
        <v>40</v>
      </c>
      <c r="L17" s="3"/>
    </row>
    <row r="18" ht="18" customHeight="1" spans="1:12">
      <c r="A18" s="7"/>
      <c r="B18" s="7"/>
      <c r="C18" s="7"/>
      <c r="D18" s="12" t="s">
        <v>121</v>
      </c>
      <c r="E18" s="12" t="s">
        <v>252</v>
      </c>
      <c r="F18" s="12" t="s">
        <v>47</v>
      </c>
      <c r="G18" s="12" t="s">
        <v>247</v>
      </c>
      <c r="H18" s="12" t="s">
        <v>248</v>
      </c>
      <c r="I18" s="12">
        <v>1</v>
      </c>
      <c r="J18" s="13">
        <v>33</v>
      </c>
      <c r="K18" s="13">
        <f t="shared" si="0"/>
        <v>33</v>
      </c>
      <c r="L18" s="3"/>
    </row>
    <row r="19" ht="18" customHeight="1" spans="1:12">
      <c r="A19" s="7"/>
      <c r="B19" s="7"/>
      <c r="C19" s="7"/>
      <c r="D19" s="12" t="s">
        <v>121</v>
      </c>
      <c r="E19" s="12" t="s">
        <v>257</v>
      </c>
      <c r="F19" s="12" t="s">
        <v>100</v>
      </c>
      <c r="G19" s="12" t="s">
        <v>258</v>
      </c>
      <c r="H19" s="12" t="s">
        <v>259</v>
      </c>
      <c r="I19" s="12">
        <v>1</v>
      </c>
      <c r="J19" s="13">
        <v>22</v>
      </c>
      <c r="K19" s="13">
        <f t="shared" si="0"/>
        <v>22</v>
      </c>
      <c r="L19" s="3"/>
    </row>
    <row r="20" ht="18" customHeight="1" spans="1:12">
      <c r="A20" s="7"/>
      <c r="B20" s="7"/>
      <c r="C20" s="7"/>
      <c r="D20" s="12" t="s">
        <v>121</v>
      </c>
      <c r="E20" s="12" t="s">
        <v>257</v>
      </c>
      <c r="F20" s="12" t="s">
        <v>100</v>
      </c>
      <c r="G20" s="12" t="s">
        <v>260</v>
      </c>
      <c r="H20" s="12" t="s">
        <v>261</v>
      </c>
      <c r="I20" s="12">
        <v>1</v>
      </c>
      <c r="J20" s="13">
        <v>66</v>
      </c>
      <c r="K20" s="13">
        <f t="shared" si="0"/>
        <v>66</v>
      </c>
      <c r="L20" s="3"/>
    </row>
    <row r="21" ht="18" customHeight="1" spans="1:12">
      <c r="A21" s="7"/>
      <c r="B21" s="7"/>
      <c r="C21" s="7"/>
      <c r="D21" s="12" t="s">
        <v>121</v>
      </c>
      <c r="E21" s="12" t="s">
        <v>257</v>
      </c>
      <c r="F21" s="12" t="s">
        <v>100</v>
      </c>
      <c r="G21" s="12" t="s">
        <v>262</v>
      </c>
      <c r="H21" s="12" t="s">
        <v>263</v>
      </c>
      <c r="I21" s="12">
        <v>3</v>
      </c>
      <c r="J21" s="13">
        <v>35</v>
      </c>
      <c r="K21" s="13">
        <f t="shared" si="0"/>
        <v>105</v>
      </c>
      <c r="L21" s="3"/>
    </row>
    <row r="22" ht="18" customHeight="1" spans="1:12">
      <c r="A22" s="7"/>
      <c r="B22" s="7"/>
      <c r="C22" s="7"/>
      <c r="D22" s="12" t="s">
        <v>121</v>
      </c>
      <c r="E22" s="12" t="s">
        <v>257</v>
      </c>
      <c r="F22" s="12" t="s">
        <v>100</v>
      </c>
      <c r="G22" s="12" t="s">
        <v>264</v>
      </c>
      <c r="H22" s="12" t="s">
        <v>265</v>
      </c>
      <c r="I22" s="12">
        <v>1</v>
      </c>
      <c r="J22" s="13">
        <v>28</v>
      </c>
      <c r="K22" s="13">
        <f t="shared" si="0"/>
        <v>28</v>
      </c>
      <c r="L22" s="3"/>
    </row>
    <row r="23" ht="18" customHeight="1" spans="1:12">
      <c r="A23" s="7"/>
      <c r="B23" s="7"/>
      <c r="C23" s="7"/>
      <c r="D23" s="12" t="s">
        <v>121</v>
      </c>
      <c r="E23" s="12" t="s">
        <v>257</v>
      </c>
      <c r="F23" s="12" t="s">
        <v>100</v>
      </c>
      <c r="G23" s="12" t="s">
        <v>266</v>
      </c>
      <c r="H23" s="12" t="s">
        <v>267</v>
      </c>
      <c r="I23" s="12">
        <v>1</v>
      </c>
      <c r="J23" s="13">
        <v>28</v>
      </c>
      <c r="K23" s="13">
        <f t="shared" si="0"/>
        <v>28</v>
      </c>
      <c r="L23" s="3"/>
    </row>
    <row r="24" ht="18" customHeight="1" spans="1:12">
      <c r="A24" s="7"/>
      <c r="B24" s="7"/>
      <c r="C24" s="7"/>
      <c r="D24" s="12" t="s">
        <v>121</v>
      </c>
      <c r="E24" s="12" t="s">
        <v>257</v>
      </c>
      <c r="F24" s="12" t="s">
        <v>100</v>
      </c>
      <c r="G24" s="12" t="s">
        <v>268</v>
      </c>
      <c r="H24" s="12" t="s">
        <v>269</v>
      </c>
      <c r="I24" s="12">
        <v>4</v>
      </c>
      <c r="J24" s="13">
        <v>22</v>
      </c>
      <c r="K24" s="13">
        <f t="shared" si="0"/>
        <v>88</v>
      </c>
      <c r="L24" s="3"/>
    </row>
    <row r="25" ht="18" customHeight="1" spans="1:12">
      <c r="A25" s="7"/>
      <c r="B25" s="7"/>
      <c r="C25" s="7"/>
      <c r="D25" s="12" t="s">
        <v>121</v>
      </c>
      <c r="E25" s="12" t="s">
        <v>257</v>
      </c>
      <c r="F25" s="12" t="s">
        <v>103</v>
      </c>
      <c r="G25" s="12" t="s">
        <v>270</v>
      </c>
      <c r="H25" s="12" t="s">
        <v>271</v>
      </c>
      <c r="I25" s="12">
        <v>1</v>
      </c>
      <c r="J25" s="13">
        <v>44</v>
      </c>
      <c r="K25" s="13">
        <f t="shared" si="0"/>
        <v>44</v>
      </c>
      <c r="L25" s="3"/>
    </row>
    <row r="26" ht="18" customHeight="1" spans="1:12">
      <c r="A26" s="7"/>
      <c r="B26" s="7"/>
      <c r="C26" s="7"/>
      <c r="D26" s="12" t="s">
        <v>121</v>
      </c>
      <c r="E26" s="12" t="s">
        <v>257</v>
      </c>
      <c r="F26" s="12" t="s">
        <v>103</v>
      </c>
      <c r="G26" s="12" t="s">
        <v>272</v>
      </c>
      <c r="H26" s="12" t="s">
        <v>273</v>
      </c>
      <c r="I26" s="12">
        <v>2</v>
      </c>
      <c r="J26" s="13">
        <v>66</v>
      </c>
      <c r="K26" s="13">
        <f t="shared" si="0"/>
        <v>132</v>
      </c>
      <c r="L26" s="3"/>
    </row>
    <row r="27" ht="18" customHeight="1" spans="1:12">
      <c r="A27" s="7"/>
      <c r="B27" s="7"/>
      <c r="C27" s="7"/>
      <c r="D27" s="12" t="s">
        <v>121</v>
      </c>
      <c r="E27" s="12" t="s">
        <v>274</v>
      </c>
      <c r="F27" s="12" t="s">
        <v>18</v>
      </c>
      <c r="G27" s="12" t="s">
        <v>27</v>
      </c>
      <c r="H27" s="12" t="s">
        <v>28</v>
      </c>
      <c r="I27" s="12">
        <v>2</v>
      </c>
      <c r="J27" s="13">
        <v>8</v>
      </c>
      <c r="K27" s="13">
        <f t="shared" si="0"/>
        <v>16</v>
      </c>
      <c r="L27" s="3"/>
    </row>
    <row r="28" ht="18" customHeight="1" spans="1:12">
      <c r="A28" s="7"/>
      <c r="B28" s="7"/>
      <c r="C28" s="7"/>
      <c r="D28" s="12" t="s">
        <v>121</v>
      </c>
      <c r="E28" s="12" t="s">
        <v>274</v>
      </c>
      <c r="F28" s="12" t="s">
        <v>18</v>
      </c>
      <c r="G28" s="12" t="s">
        <v>35</v>
      </c>
      <c r="H28" s="12" t="s">
        <v>36</v>
      </c>
      <c r="I28" s="12">
        <v>3</v>
      </c>
      <c r="J28" s="13">
        <v>8</v>
      </c>
      <c r="K28" s="13">
        <f t="shared" si="0"/>
        <v>24</v>
      </c>
      <c r="L28" s="3"/>
    </row>
    <row r="29" ht="18" customHeight="1" spans="1:12">
      <c r="A29" s="7"/>
      <c r="B29" s="7"/>
      <c r="C29" s="7"/>
      <c r="D29" s="12" t="s">
        <v>121</v>
      </c>
      <c r="E29" s="12" t="s">
        <v>274</v>
      </c>
      <c r="F29" s="12" t="s">
        <v>18</v>
      </c>
      <c r="G29" s="12" t="s">
        <v>275</v>
      </c>
      <c r="H29" s="12" t="s">
        <v>276</v>
      </c>
      <c r="I29" s="12">
        <v>1</v>
      </c>
      <c r="J29" s="13">
        <v>8</v>
      </c>
      <c r="K29" s="13">
        <f t="shared" si="0"/>
        <v>8</v>
      </c>
      <c r="L29" s="3"/>
    </row>
    <row r="30" ht="18" customHeight="1" spans="1:12">
      <c r="A30" s="7"/>
      <c r="B30" s="7"/>
      <c r="C30" s="7"/>
      <c r="D30" s="12" t="s">
        <v>121</v>
      </c>
      <c r="E30" s="12" t="s">
        <v>274</v>
      </c>
      <c r="F30" s="12" t="s">
        <v>18</v>
      </c>
      <c r="G30" s="12" t="s">
        <v>232</v>
      </c>
      <c r="H30" s="12" t="s">
        <v>233</v>
      </c>
      <c r="I30" s="12">
        <v>1</v>
      </c>
      <c r="J30" s="13">
        <v>11</v>
      </c>
      <c r="K30" s="13">
        <f t="shared" si="0"/>
        <v>11</v>
      </c>
      <c r="L30" s="3"/>
    </row>
    <row r="31" ht="18" customHeight="1" spans="1:12">
      <c r="A31" s="7"/>
      <c r="B31" s="7"/>
      <c r="C31" s="7"/>
      <c r="D31" s="12" t="s">
        <v>121</v>
      </c>
      <c r="E31" s="12" t="s">
        <v>274</v>
      </c>
      <c r="F31" s="12" t="s">
        <v>18</v>
      </c>
      <c r="G31" s="12" t="s">
        <v>255</v>
      </c>
      <c r="H31" s="12" t="s">
        <v>256</v>
      </c>
      <c r="I31" s="12">
        <v>1</v>
      </c>
      <c r="J31" s="13">
        <v>16.5</v>
      </c>
      <c r="K31" s="13">
        <f t="shared" si="0"/>
        <v>16.5</v>
      </c>
      <c r="L31" s="3"/>
    </row>
    <row r="32" ht="18" customHeight="1" spans="1:12">
      <c r="A32" s="7"/>
      <c r="B32" s="7"/>
      <c r="C32" s="7"/>
      <c r="D32" s="12" t="s">
        <v>121</v>
      </c>
      <c r="E32" s="12" t="s">
        <v>274</v>
      </c>
      <c r="F32" s="12" t="s">
        <v>18</v>
      </c>
      <c r="G32" s="12" t="s">
        <v>234</v>
      </c>
      <c r="H32" s="12" t="s">
        <v>235</v>
      </c>
      <c r="I32" s="12">
        <v>1</v>
      </c>
      <c r="J32" s="13">
        <v>8</v>
      </c>
      <c r="K32" s="13">
        <f t="shared" si="0"/>
        <v>8</v>
      </c>
      <c r="L32" s="3"/>
    </row>
    <row r="33" ht="18" customHeight="1" spans="1:12">
      <c r="A33" s="7"/>
      <c r="B33" s="7"/>
      <c r="C33" s="7"/>
      <c r="D33" s="12" t="s">
        <v>277</v>
      </c>
      <c r="E33" s="12" t="s">
        <v>278</v>
      </c>
      <c r="F33" s="12" t="s">
        <v>100</v>
      </c>
      <c r="G33" s="12" t="s">
        <v>260</v>
      </c>
      <c r="H33" s="12" t="s">
        <v>261</v>
      </c>
      <c r="I33" s="12">
        <v>1</v>
      </c>
      <c r="J33" s="13">
        <v>66</v>
      </c>
      <c r="K33" s="13">
        <f t="shared" si="0"/>
        <v>66</v>
      </c>
      <c r="L33" s="3"/>
    </row>
    <row r="34" ht="18" customHeight="1" spans="1:12">
      <c r="A34" s="7"/>
      <c r="B34" s="7"/>
      <c r="C34" s="7"/>
      <c r="D34" s="12" t="s">
        <v>277</v>
      </c>
      <c r="E34" s="12" t="s">
        <v>278</v>
      </c>
      <c r="F34" s="12" t="s">
        <v>100</v>
      </c>
      <c r="G34" s="12" t="s">
        <v>279</v>
      </c>
      <c r="H34" s="12" t="s">
        <v>280</v>
      </c>
      <c r="I34" s="12">
        <v>1</v>
      </c>
      <c r="J34" s="13">
        <v>28</v>
      </c>
      <c r="K34" s="13">
        <f t="shared" si="0"/>
        <v>28</v>
      </c>
      <c r="L34" s="3"/>
    </row>
    <row r="35" ht="18" customHeight="1" spans="1:12">
      <c r="A35" s="7"/>
      <c r="B35" s="7"/>
      <c r="C35" s="7"/>
      <c r="D35" s="12" t="s">
        <v>277</v>
      </c>
      <c r="E35" s="12" t="s">
        <v>278</v>
      </c>
      <c r="F35" s="12" t="s">
        <v>100</v>
      </c>
      <c r="G35" s="12" t="s">
        <v>281</v>
      </c>
      <c r="H35" s="12" t="s">
        <v>282</v>
      </c>
      <c r="I35" s="12">
        <v>1</v>
      </c>
      <c r="J35" s="13">
        <v>28</v>
      </c>
      <c r="K35" s="13">
        <f t="shared" si="0"/>
        <v>28</v>
      </c>
      <c r="L35" s="3"/>
    </row>
    <row r="36" ht="18" customHeight="1" spans="1:12">
      <c r="A36" s="7"/>
      <c r="B36" s="7"/>
      <c r="C36" s="7"/>
      <c r="D36" s="12" t="s">
        <v>277</v>
      </c>
      <c r="E36" s="12" t="s">
        <v>278</v>
      </c>
      <c r="F36" s="12" t="s">
        <v>100</v>
      </c>
      <c r="G36" s="12" t="s">
        <v>262</v>
      </c>
      <c r="H36" s="12" t="s">
        <v>263</v>
      </c>
      <c r="I36" s="12">
        <v>1</v>
      </c>
      <c r="J36" s="13">
        <v>35</v>
      </c>
      <c r="K36" s="13">
        <f t="shared" si="0"/>
        <v>35</v>
      </c>
      <c r="L36" s="3"/>
    </row>
    <row r="37" ht="18" customHeight="1" spans="1:12">
      <c r="A37" s="7"/>
      <c r="B37" s="7"/>
      <c r="C37" s="7"/>
      <c r="D37" s="12" t="s">
        <v>277</v>
      </c>
      <c r="E37" s="12" t="s">
        <v>278</v>
      </c>
      <c r="F37" s="12" t="s">
        <v>100</v>
      </c>
      <c r="G37" s="12" t="s">
        <v>266</v>
      </c>
      <c r="H37" s="12" t="s">
        <v>267</v>
      </c>
      <c r="I37" s="12">
        <v>1</v>
      </c>
      <c r="J37" s="13">
        <v>28</v>
      </c>
      <c r="K37" s="13">
        <f t="shared" si="0"/>
        <v>28</v>
      </c>
      <c r="L37" s="3"/>
    </row>
    <row r="38" ht="18" customHeight="1" spans="1:12">
      <c r="A38" s="7"/>
      <c r="B38" s="7"/>
      <c r="C38" s="7"/>
      <c r="D38" s="12" t="s">
        <v>277</v>
      </c>
      <c r="E38" s="12" t="s">
        <v>278</v>
      </c>
      <c r="F38" s="12" t="s">
        <v>100</v>
      </c>
      <c r="G38" s="12" t="s">
        <v>283</v>
      </c>
      <c r="H38" s="12" t="s">
        <v>284</v>
      </c>
      <c r="I38" s="12">
        <v>1</v>
      </c>
      <c r="J38" s="13">
        <v>28</v>
      </c>
      <c r="K38" s="13">
        <f t="shared" si="0"/>
        <v>28</v>
      </c>
      <c r="L38" s="3"/>
    </row>
    <row r="39" ht="18" customHeight="1" spans="1:12">
      <c r="A39" s="7"/>
      <c r="B39" s="7"/>
      <c r="C39" s="7"/>
      <c r="D39" s="12" t="s">
        <v>277</v>
      </c>
      <c r="E39" s="12" t="s">
        <v>278</v>
      </c>
      <c r="F39" s="12" t="s">
        <v>100</v>
      </c>
      <c r="G39" s="12" t="s">
        <v>268</v>
      </c>
      <c r="H39" s="12" t="s">
        <v>269</v>
      </c>
      <c r="I39" s="12">
        <v>1</v>
      </c>
      <c r="J39" s="13">
        <v>22</v>
      </c>
      <c r="K39" s="13">
        <f t="shared" si="0"/>
        <v>22</v>
      </c>
      <c r="L39" s="3"/>
    </row>
    <row r="40" ht="18" customHeight="1" spans="1:12">
      <c r="A40" s="7"/>
      <c r="B40" s="7"/>
      <c r="C40" s="7"/>
      <c r="D40" s="12" t="s">
        <v>277</v>
      </c>
      <c r="E40" s="12" t="s">
        <v>278</v>
      </c>
      <c r="F40" s="12" t="s">
        <v>103</v>
      </c>
      <c r="G40" s="12" t="s">
        <v>270</v>
      </c>
      <c r="H40" s="12" t="s">
        <v>271</v>
      </c>
      <c r="I40" s="12">
        <v>1</v>
      </c>
      <c r="J40" s="13">
        <v>44</v>
      </c>
      <c r="K40" s="13">
        <f t="shared" si="0"/>
        <v>44</v>
      </c>
      <c r="L40" s="3"/>
    </row>
    <row r="41" ht="18" customHeight="1" spans="1:12">
      <c r="A41" s="7"/>
      <c r="B41" s="7"/>
      <c r="C41" s="7"/>
      <c r="D41" s="12" t="s">
        <v>13</v>
      </c>
      <c r="E41" s="12" t="s">
        <v>285</v>
      </c>
      <c r="F41" s="12" t="s">
        <v>18</v>
      </c>
      <c r="G41" s="12" t="s">
        <v>23</v>
      </c>
      <c r="H41" s="12" t="s">
        <v>24</v>
      </c>
      <c r="I41" s="12">
        <v>1</v>
      </c>
      <c r="J41" s="13">
        <v>11</v>
      </c>
      <c r="K41" s="13">
        <f t="shared" si="0"/>
        <v>11</v>
      </c>
      <c r="L41" s="3"/>
    </row>
    <row r="42" ht="18" customHeight="1" spans="1:12">
      <c r="A42" s="7"/>
      <c r="B42" s="7"/>
      <c r="C42" s="7"/>
      <c r="D42" s="12" t="s">
        <v>13</v>
      </c>
      <c r="E42" s="12" t="s">
        <v>285</v>
      </c>
      <c r="F42" s="12" t="s">
        <v>18</v>
      </c>
      <c r="G42" s="12" t="s">
        <v>27</v>
      </c>
      <c r="H42" s="12" t="s">
        <v>28</v>
      </c>
      <c r="I42" s="12">
        <v>1</v>
      </c>
      <c r="J42" s="13">
        <v>8</v>
      </c>
      <c r="K42" s="13">
        <f t="shared" si="0"/>
        <v>8</v>
      </c>
      <c r="L42" s="3"/>
    </row>
    <row r="43" ht="18" customHeight="1" spans="1:12">
      <c r="A43" s="7"/>
      <c r="B43" s="7"/>
      <c r="C43" s="7"/>
      <c r="D43" s="12" t="s">
        <v>13</v>
      </c>
      <c r="E43" s="12" t="s">
        <v>285</v>
      </c>
      <c r="F43" s="12" t="s">
        <v>18</v>
      </c>
      <c r="G43" s="12" t="s">
        <v>230</v>
      </c>
      <c r="H43" s="12" t="s">
        <v>231</v>
      </c>
      <c r="I43" s="12">
        <v>1</v>
      </c>
      <c r="J43" s="13">
        <v>11</v>
      </c>
      <c r="K43" s="13">
        <f t="shared" si="0"/>
        <v>11</v>
      </c>
      <c r="L43" s="3"/>
    </row>
    <row r="44" ht="18" customHeight="1" spans="1:12">
      <c r="A44" s="7"/>
      <c r="B44" s="7"/>
      <c r="C44" s="7"/>
      <c r="D44" s="12" t="s">
        <v>13</v>
      </c>
      <c r="E44" s="12" t="s">
        <v>285</v>
      </c>
      <c r="F44" s="12" t="s">
        <v>18</v>
      </c>
      <c r="G44" s="12" t="s">
        <v>232</v>
      </c>
      <c r="H44" s="12" t="s">
        <v>233</v>
      </c>
      <c r="I44" s="12">
        <v>3</v>
      </c>
      <c r="J44" s="13">
        <v>11</v>
      </c>
      <c r="K44" s="13">
        <f t="shared" ref="K44:K75" si="1">J44*I44</f>
        <v>33</v>
      </c>
      <c r="L44" s="3"/>
    </row>
    <row r="45" ht="18" customHeight="1" spans="1:12">
      <c r="A45" s="7"/>
      <c r="B45" s="7"/>
      <c r="C45" s="7"/>
      <c r="D45" s="12" t="s">
        <v>13</v>
      </c>
      <c r="E45" s="12" t="s">
        <v>285</v>
      </c>
      <c r="F45" s="12" t="s">
        <v>18</v>
      </c>
      <c r="G45" s="12" t="s">
        <v>234</v>
      </c>
      <c r="H45" s="12" t="s">
        <v>235</v>
      </c>
      <c r="I45" s="12">
        <v>5</v>
      </c>
      <c r="J45" s="13">
        <v>8</v>
      </c>
      <c r="K45" s="13">
        <f t="shared" si="1"/>
        <v>40</v>
      </c>
      <c r="L45" s="3"/>
    </row>
    <row r="46" ht="18" customHeight="1" spans="1:12">
      <c r="A46" s="7"/>
      <c r="B46" s="7"/>
      <c r="C46" s="7"/>
      <c r="D46" s="12" t="s">
        <v>13</v>
      </c>
      <c r="E46" s="12" t="s">
        <v>285</v>
      </c>
      <c r="F46" s="12" t="s">
        <v>47</v>
      </c>
      <c r="G46" s="12" t="s">
        <v>247</v>
      </c>
      <c r="H46" s="12" t="s">
        <v>248</v>
      </c>
      <c r="I46" s="12">
        <v>1</v>
      </c>
      <c r="J46" s="13">
        <v>33</v>
      </c>
      <c r="K46" s="13">
        <f t="shared" si="1"/>
        <v>33</v>
      </c>
      <c r="L46" s="3"/>
    </row>
    <row r="47" ht="18" customHeight="1" spans="1:12">
      <c r="A47" s="7"/>
      <c r="B47" s="7"/>
      <c r="C47" s="7"/>
      <c r="D47" s="12" t="s">
        <v>13</v>
      </c>
      <c r="E47" s="12" t="s">
        <v>286</v>
      </c>
      <c r="F47" s="12" t="s">
        <v>100</v>
      </c>
      <c r="G47" s="12" t="s">
        <v>260</v>
      </c>
      <c r="H47" s="12" t="s">
        <v>261</v>
      </c>
      <c r="I47" s="12">
        <v>1</v>
      </c>
      <c r="J47" s="13">
        <v>66</v>
      </c>
      <c r="K47" s="13">
        <f t="shared" si="1"/>
        <v>66</v>
      </c>
      <c r="L47" s="3"/>
    </row>
    <row r="48" ht="18" customHeight="1" spans="1:12">
      <c r="A48" s="7"/>
      <c r="B48" s="7"/>
      <c r="C48" s="7"/>
      <c r="D48" s="12" t="s">
        <v>13</v>
      </c>
      <c r="E48" s="12" t="s">
        <v>286</v>
      </c>
      <c r="F48" s="12" t="s">
        <v>100</v>
      </c>
      <c r="G48" s="12" t="s">
        <v>262</v>
      </c>
      <c r="H48" s="12" t="s">
        <v>263</v>
      </c>
      <c r="I48" s="12">
        <v>2</v>
      </c>
      <c r="J48" s="13">
        <v>35</v>
      </c>
      <c r="K48" s="13">
        <f t="shared" si="1"/>
        <v>70</v>
      </c>
      <c r="L48" s="3"/>
    </row>
    <row r="49" ht="18" customHeight="1" spans="1:12">
      <c r="A49" s="7"/>
      <c r="B49" s="7"/>
      <c r="C49" s="7"/>
      <c r="D49" s="12" t="s">
        <v>13</v>
      </c>
      <c r="E49" s="12" t="s">
        <v>286</v>
      </c>
      <c r="F49" s="12" t="s">
        <v>100</v>
      </c>
      <c r="G49" s="12" t="s">
        <v>264</v>
      </c>
      <c r="H49" s="12" t="s">
        <v>265</v>
      </c>
      <c r="I49" s="12">
        <v>1</v>
      </c>
      <c r="J49" s="13">
        <v>28</v>
      </c>
      <c r="K49" s="13">
        <f t="shared" si="1"/>
        <v>28</v>
      </c>
      <c r="L49" s="3"/>
    </row>
    <row r="50" ht="18" customHeight="1" spans="1:12">
      <c r="A50" s="7"/>
      <c r="B50" s="7"/>
      <c r="C50" s="7"/>
      <c r="D50" s="12" t="s">
        <v>13</v>
      </c>
      <c r="E50" s="12" t="s">
        <v>286</v>
      </c>
      <c r="F50" s="12" t="s">
        <v>100</v>
      </c>
      <c r="G50" s="12" t="s">
        <v>268</v>
      </c>
      <c r="H50" s="12" t="s">
        <v>269</v>
      </c>
      <c r="I50" s="12">
        <v>2</v>
      </c>
      <c r="J50" s="13">
        <v>22</v>
      </c>
      <c r="K50" s="13">
        <f t="shared" si="1"/>
        <v>44</v>
      </c>
      <c r="L50" s="3"/>
    </row>
    <row r="51" ht="18" customHeight="1" spans="1:12">
      <c r="A51" s="7"/>
      <c r="B51" s="7"/>
      <c r="C51" s="7"/>
      <c r="D51" s="12" t="s">
        <v>13</v>
      </c>
      <c r="E51" s="12" t="s">
        <v>286</v>
      </c>
      <c r="F51" s="12" t="s">
        <v>103</v>
      </c>
      <c r="G51" s="12" t="s">
        <v>270</v>
      </c>
      <c r="H51" s="12" t="s">
        <v>271</v>
      </c>
      <c r="I51" s="12">
        <v>1</v>
      </c>
      <c r="J51" s="13">
        <v>44</v>
      </c>
      <c r="K51" s="13">
        <f t="shared" si="1"/>
        <v>44</v>
      </c>
      <c r="L51" s="3"/>
    </row>
    <row r="52" ht="18" customHeight="1" spans="1:12">
      <c r="A52" s="7"/>
      <c r="B52" s="7"/>
      <c r="C52" s="7"/>
      <c r="D52" s="12" t="s">
        <v>13</v>
      </c>
      <c r="E52" s="12" t="s">
        <v>286</v>
      </c>
      <c r="F52" s="12" t="s">
        <v>103</v>
      </c>
      <c r="G52" s="12" t="s">
        <v>272</v>
      </c>
      <c r="H52" s="12" t="s">
        <v>273</v>
      </c>
      <c r="I52" s="12">
        <v>1</v>
      </c>
      <c r="J52" s="13">
        <v>66</v>
      </c>
      <c r="K52" s="13">
        <f t="shared" si="1"/>
        <v>66</v>
      </c>
      <c r="L52" s="3"/>
    </row>
    <row r="53" ht="18" customHeight="1" spans="1:12">
      <c r="A53" s="7"/>
      <c r="B53" s="7"/>
      <c r="C53" s="7"/>
      <c r="D53" s="12" t="s">
        <v>13</v>
      </c>
      <c r="E53" s="12" t="s">
        <v>287</v>
      </c>
      <c r="F53" s="12" t="s">
        <v>18</v>
      </c>
      <c r="G53" s="12" t="s">
        <v>27</v>
      </c>
      <c r="H53" s="12" t="s">
        <v>28</v>
      </c>
      <c r="I53" s="12">
        <v>2</v>
      </c>
      <c r="J53" s="13">
        <v>8</v>
      </c>
      <c r="K53" s="13">
        <f t="shared" si="1"/>
        <v>16</v>
      </c>
      <c r="L53" s="3"/>
    </row>
    <row r="54" ht="18" customHeight="1" spans="1:12">
      <c r="A54" s="7"/>
      <c r="B54" s="7"/>
      <c r="C54" s="7"/>
      <c r="D54" s="12" t="s">
        <v>13</v>
      </c>
      <c r="E54" s="12" t="s">
        <v>287</v>
      </c>
      <c r="F54" s="12" t="s">
        <v>18</v>
      </c>
      <c r="G54" s="12" t="s">
        <v>229</v>
      </c>
      <c r="H54" s="12" t="s">
        <v>30</v>
      </c>
      <c r="I54" s="12">
        <v>1</v>
      </c>
      <c r="J54" s="13">
        <v>8</v>
      </c>
      <c r="K54" s="13">
        <f t="shared" si="1"/>
        <v>8</v>
      </c>
      <c r="L54" s="3"/>
    </row>
    <row r="55" ht="18" customHeight="1" spans="1:12">
      <c r="A55" s="7"/>
      <c r="B55" s="7"/>
      <c r="C55" s="7"/>
      <c r="D55" s="12" t="s">
        <v>13</v>
      </c>
      <c r="E55" s="12" t="s">
        <v>287</v>
      </c>
      <c r="F55" s="12" t="s">
        <v>18</v>
      </c>
      <c r="G55" s="12" t="s">
        <v>230</v>
      </c>
      <c r="H55" s="12" t="s">
        <v>231</v>
      </c>
      <c r="I55" s="12">
        <v>1</v>
      </c>
      <c r="J55" s="13">
        <v>11</v>
      </c>
      <c r="K55" s="13">
        <f t="shared" si="1"/>
        <v>11</v>
      </c>
      <c r="L55" s="3"/>
    </row>
    <row r="56" ht="18" customHeight="1" spans="1:12">
      <c r="A56" s="7"/>
      <c r="B56" s="7"/>
      <c r="C56" s="7"/>
      <c r="D56" s="12" t="s">
        <v>13</v>
      </c>
      <c r="E56" s="12" t="s">
        <v>287</v>
      </c>
      <c r="F56" s="12" t="s">
        <v>18</v>
      </c>
      <c r="G56" s="12" t="s">
        <v>255</v>
      </c>
      <c r="H56" s="12" t="s">
        <v>256</v>
      </c>
      <c r="I56" s="12">
        <v>1</v>
      </c>
      <c r="J56" s="13">
        <v>16.5</v>
      </c>
      <c r="K56" s="13">
        <f t="shared" si="1"/>
        <v>16.5</v>
      </c>
      <c r="L56" s="3"/>
    </row>
    <row r="57" ht="18" customHeight="1" spans="1:12">
      <c r="A57" s="7"/>
      <c r="B57" s="7"/>
      <c r="C57" s="7"/>
      <c r="D57" s="12" t="s">
        <v>13</v>
      </c>
      <c r="E57" s="12" t="s">
        <v>287</v>
      </c>
      <c r="F57" s="12" t="s">
        <v>18</v>
      </c>
      <c r="G57" s="12" t="s">
        <v>234</v>
      </c>
      <c r="H57" s="12" t="s">
        <v>235</v>
      </c>
      <c r="I57" s="12">
        <v>2</v>
      </c>
      <c r="J57" s="13">
        <v>8</v>
      </c>
      <c r="K57" s="13">
        <f t="shared" si="1"/>
        <v>16</v>
      </c>
      <c r="L57" s="3"/>
    </row>
    <row r="58" ht="18" customHeight="1" spans="1:12">
      <c r="A58" s="7"/>
      <c r="B58" s="7"/>
      <c r="C58" s="7"/>
      <c r="D58" s="12" t="s">
        <v>63</v>
      </c>
      <c r="E58" s="12" t="s">
        <v>288</v>
      </c>
      <c r="F58" s="12" t="s">
        <v>100</v>
      </c>
      <c r="G58" s="12" t="s">
        <v>260</v>
      </c>
      <c r="H58" s="12" t="s">
        <v>261</v>
      </c>
      <c r="I58" s="12">
        <v>1</v>
      </c>
      <c r="J58" s="13">
        <v>66</v>
      </c>
      <c r="K58" s="13">
        <f t="shared" si="1"/>
        <v>66</v>
      </c>
      <c r="L58" s="3"/>
    </row>
    <row r="59" ht="18" customHeight="1" spans="1:12">
      <c r="A59" s="7"/>
      <c r="B59" s="7"/>
      <c r="C59" s="7"/>
      <c r="D59" s="12" t="s">
        <v>63</v>
      </c>
      <c r="E59" s="12" t="s">
        <v>288</v>
      </c>
      <c r="F59" s="12" t="s">
        <v>100</v>
      </c>
      <c r="G59" s="12" t="s">
        <v>289</v>
      </c>
      <c r="H59" s="12" t="s">
        <v>290</v>
      </c>
      <c r="I59" s="12">
        <v>1</v>
      </c>
      <c r="J59" s="13">
        <v>22</v>
      </c>
      <c r="K59" s="13">
        <f t="shared" si="1"/>
        <v>22</v>
      </c>
      <c r="L59" s="3"/>
    </row>
    <row r="60" ht="18" customHeight="1" spans="1:12">
      <c r="A60" s="7"/>
      <c r="B60" s="7"/>
      <c r="C60" s="7"/>
      <c r="D60" s="12" t="s">
        <v>63</v>
      </c>
      <c r="E60" s="12" t="s">
        <v>288</v>
      </c>
      <c r="F60" s="12" t="s">
        <v>100</v>
      </c>
      <c r="G60" s="12" t="s">
        <v>281</v>
      </c>
      <c r="H60" s="12" t="s">
        <v>282</v>
      </c>
      <c r="I60" s="12">
        <v>1</v>
      </c>
      <c r="J60" s="13">
        <v>28</v>
      </c>
      <c r="K60" s="13">
        <f t="shared" si="1"/>
        <v>28</v>
      </c>
      <c r="L60" s="3"/>
    </row>
    <row r="61" ht="18" customHeight="1" spans="1:12">
      <c r="A61" s="7"/>
      <c r="B61" s="7"/>
      <c r="C61" s="7"/>
      <c r="D61" s="12" t="s">
        <v>63</v>
      </c>
      <c r="E61" s="12" t="s">
        <v>288</v>
      </c>
      <c r="F61" s="12" t="s">
        <v>100</v>
      </c>
      <c r="G61" s="12" t="s">
        <v>262</v>
      </c>
      <c r="H61" s="12" t="s">
        <v>263</v>
      </c>
      <c r="I61" s="12">
        <v>1</v>
      </c>
      <c r="J61" s="13">
        <v>35</v>
      </c>
      <c r="K61" s="13">
        <f t="shared" si="1"/>
        <v>35</v>
      </c>
      <c r="L61" s="3"/>
    </row>
    <row r="62" ht="18" customHeight="1" spans="1:12">
      <c r="A62" s="7"/>
      <c r="B62" s="7"/>
      <c r="C62" s="7"/>
      <c r="D62" s="12" t="s">
        <v>63</v>
      </c>
      <c r="E62" s="12" t="s">
        <v>288</v>
      </c>
      <c r="F62" s="12" t="s">
        <v>103</v>
      </c>
      <c r="G62" s="12" t="s">
        <v>270</v>
      </c>
      <c r="H62" s="12" t="s">
        <v>271</v>
      </c>
      <c r="I62" s="12">
        <v>1</v>
      </c>
      <c r="J62" s="13">
        <v>44</v>
      </c>
      <c r="K62" s="13">
        <f t="shared" si="1"/>
        <v>44</v>
      </c>
      <c r="L62" s="3"/>
    </row>
    <row r="63" ht="18" customHeight="1" spans="1:12">
      <c r="A63" s="7"/>
      <c r="B63" s="7"/>
      <c r="C63" s="7"/>
      <c r="D63" s="12" t="s">
        <v>63</v>
      </c>
      <c r="E63" s="12" t="s">
        <v>291</v>
      </c>
      <c r="F63" s="12" t="s">
        <v>100</v>
      </c>
      <c r="G63" s="12" t="s">
        <v>268</v>
      </c>
      <c r="H63" s="12" t="s">
        <v>269</v>
      </c>
      <c r="I63" s="12">
        <v>1</v>
      </c>
      <c r="J63" s="13">
        <v>22</v>
      </c>
      <c r="K63" s="13">
        <f t="shared" si="1"/>
        <v>22</v>
      </c>
      <c r="L63" s="3"/>
    </row>
    <row r="64" ht="18" customHeight="1" spans="1:12">
      <c r="A64" s="7"/>
      <c r="B64" s="7"/>
      <c r="C64" s="7"/>
      <c r="D64" s="12" t="s">
        <v>93</v>
      </c>
      <c r="E64" s="12" t="s">
        <v>292</v>
      </c>
      <c r="F64" s="12" t="s">
        <v>18</v>
      </c>
      <c r="G64" s="12" t="s">
        <v>229</v>
      </c>
      <c r="H64" s="12" t="s">
        <v>30</v>
      </c>
      <c r="I64" s="12">
        <v>2</v>
      </c>
      <c r="J64" s="13">
        <v>8</v>
      </c>
      <c r="K64" s="13">
        <f t="shared" si="1"/>
        <v>16</v>
      </c>
      <c r="L64" s="3"/>
    </row>
    <row r="65" ht="18" customHeight="1" spans="1:12">
      <c r="A65" s="7"/>
      <c r="B65" s="7"/>
      <c r="C65" s="7"/>
      <c r="D65" s="12" t="s">
        <v>93</v>
      </c>
      <c r="E65" s="12" t="s">
        <v>292</v>
      </c>
      <c r="F65" s="12" t="s">
        <v>18</v>
      </c>
      <c r="G65" s="12" t="s">
        <v>275</v>
      </c>
      <c r="H65" s="12" t="s">
        <v>276</v>
      </c>
      <c r="I65" s="12">
        <v>1</v>
      </c>
      <c r="J65" s="13">
        <v>8</v>
      </c>
      <c r="K65" s="13">
        <f t="shared" si="1"/>
        <v>8</v>
      </c>
      <c r="L65" s="3"/>
    </row>
    <row r="66" ht="18" customHeight="1" spans="1:12">
      <c r="A66" s="7"/>
      <c r="B66" s="7"/>
      <c r="C66" s="7"/>
      <c r="D66" s="12" t="s">
        <v>93</v>
      </c>
      <c r="E66" s="12" t="s">
        <v>292</v>
      </c>
      <c r="F66" s="12" t="s">
        <v>18</v>
      </c>
      <c r="G66" s="12" t="s">
        <v>232</v>
      </c>
      <c r="H66" s="12" t="s">
        <v>233</v>
      </c>
      <c r="I66" s="12">
        <v>2</v>
      </c>
      <c r="J66" s="13">
        <v>11</v>
      </c>
      <c r="K66" s="13">
        <f t="shared" si="1"/>
        <v>22</v>
      </c>
      <c r="L66" s="3"/>
    </row>
    <row r="67" ht="18" customHeight="1" spans="1:12">
      <c r="A67" s="7"/>
      <c r="B67" s="7"/>
      <c r="C67" s="7"/>
      <c r="D67" s="12" t="s">
        <v>93</v>
      </c>
      <c r="E67" s="12" t="s">
        <v>292</v>
      </c>
      <c r="F67" s="12" t="s">
        <v>18</v>
      </c>
      <c r="G67" s="12" t="s">
        <v>73</v>
      </c>
      <c r="H67" s="12" t="s">
        <v>74</v>
      </c>
      <c r="I67" s="12">
        <v>2</v>
      </c>
      <c r="J67" s="13">
        <v>16.5</v>
      </c>
      <c r="K67" s="13">
        <f t="shared" si="1"/>
        <v>33</v>
      </c>
      <c r="L67" s="3"/>
    </row>
    <row r="68" ht="18" customHeight="1" spans="1:12">
      <c r="A68" s="7"/>
      <c r="B68" s="7"/>
      <c r="C68" s="7"/>
      <c r="D68" s="12" t="s">
        <v>93</v>
      </c>
      <c r="E68" s="12" t="s">
        <v>292</v>
      </c>
      <c r="F68" s="12" t="s">
        <v>18</v>
      </c>
      <c r="G68" s="12" t="s">
        <v>234</v>
      </c>
      <c r="H68" s="12" t="s">
        <v>235</v>
      </c>
      <c r="I68" s="12">
        <v>2</v>
      </c>
      <c r="J68" s="13">
        <v>8</v>
      </c>
      <c r="K68" s="13">
        <f t="shared" si="1"/>
        <v>16</v>
      </c>
      <c r="L68" s="3"/>
    </row>
    <row r="69" ht="18" customHeight="1" spans="1:12">
      <c r="A69" s="7"/>
      <c r="B69" s="7"/>
      <c r="C69" s="7"/>
      <c r="D69" s="12" t="s">
        <v>93</v>
      </c>
      <c r="E69" s="12" t="s">
        <v>292</v>
      </c>
      <c r="F69" s="12" t="s">
        <v>82</v>
      </c>
      <c r="G69" s="12" t="s">
        <v>293</v>
      </c>
      <c r="H69" s="12" t="s">
        <v>294</v>
      </c>
      <c r="I69" s="12">
        <v>1</v>
      </c>
      <c r="J69" s="13">
        <v>4</v>
      </c>
      <c r="K69" s="13">
        <f t="shared" si="1"/>
        <v>4</v>
      </c>
      <c r="L69" s="3"/>
    </row>
    <row r="70" ht="18" customHeight="1" spans="1:12">
      <c r="A70" s="7"/>
      <c r="B70" s="7"/>
      <c r="C70" s="7"/>
      <c r="D70" s="12" t="s">
        <v>227</v>
      </c>
      <c r="E70" s="12" t="s">
        <v>295</v>
      </c>
      <c r="F70" s="12" t="s">
        <v>82</v>
      </c>
      <c r="G70" s="12" t="s">
        <v>293</v>
      </c>
      <c r="H70" s="12" t="s">
        <v>294</v>
      </c>
      <c r="I70" s="12">
        <v>3</v>
      </c>
      <c r="J70" s="13">
        <v>4</v>
      </c>
      <c r="K70" s="13">
        <f t="shared" si="1"/>
        <v>12</v>
      </c>
      <c r="L70" s="3"/>
    </row>
    <row r="71" ht="18" customHeight="1" spans="1:12">
      <c r="A71" s="7"/>
      <c r="B71" s="7"/>
      <c r="C71" s="7"/>
      <c r="D71" s="12" t="s">
        <v>238</v>
      </c>
      <c r="E71" s="12" t="s">
        <v>296</v>
      </c>
      <c r="F71" s="12" t="s">
        <v>18</v>
      </c>
      <c r="G71" s="12" t="s">
        <v>27</v>
      </c>
      <c r="H71" s="12" t="s">
        <v>28</v>
      </c>
      <c r="I71" s="12">
        <v>2</v>
      </c>
      <c r="J71" s="13">
        <v>8</v>
      </c>
      <c r="K71" s="13">
        <f t="shared" si="1"/>
        <v>16</v>
      </c>
      <c r="L71" s="3"/>
    </row>
    <row r="72" ht="18" customHeight="1" spans="1:12">
      <c r="A72" s="7"/>
      <c r="B72" s="7"/>
      <c r="C72" s="7"/>
      <c r="D72" s="12" t="s">
        <v>238</v>
      </c>
      <c r="E72" s="12" t="s">
        <v>296</v>
      </c>
      <c r="F72" s="12" t="s">
        <v>18</v>
      </c>
      <c r="G72" s="12" t="s">
        <v>230</v>
      </c>
      <c r="H72" s="12" t="s">
        <v>231</v>
      </c>
      <c r="I72" s="12">
        <v>1</v>
      </c>
      <c r="J72" s="13">
        <v>11</v>
      </c>
      <c r="K72" s="13">
        <f t="shared" si="1"/>
        <v>11</v>
      </c>
      <c r="L72" s="3"/>
    </row>
    <row r="73" ht="18" customHeight="1" spans="1:12">
      <c r="A73" s="7"/>
      <c r="B73" s="7"/>
      <c r="C73" s="7"/>
      <c r="D73" s="12" t="s">
        <v>238</v>
      </c>
      <c r="E73" s="12" t="s">
        <v>296</v>
      </c>
      <c r="F73" s="12" t="s">
        <v>18</v>
      </c>
      <c r="G73" s="12" t="s">
        <v>73</v>
      </c>
      <c r="H73" s="12" t="s">
        <v>74</v>
      </c>
      <c r="I73" s="12">
        <v>2</v>
      </c>
      <c r="J73" s="13">
        <v>16.5</v>
      </c>
      <c r="K73" s="13">
        <f t="shared" si="1"/>
        <v>33</v>
      </c>
      <c r="L73" s="3"/>
    </row>
    <row r="74" ht="18" customHeight="1" spans="1:12">
      <c r="A74" s="7"/>
      <c r="B74" s="7"/>
      <c r="C74" s="7"/>
      <c r="D74" s="12" t="s">
        <v>238</v>
      </c>
      <c r="E74" s="12" t="s">
        <v>296</v>
      </c>
      <c r="F74" s="12" t="s">
        <v>18</v>
      </c>
      <c r="G74" s="12" t="s">
        <v>234</v>
      </c>
      <c r="H74" s="12" t="s">
        <v>235</v>
      </c>
      <c r="I74" s="12">
        <v>2</v>
      </c>
      <c r="J74" s="13">
        <v>8</v>
      </c>
      <c r="K74" s="13">
        <f t="shared" si="1"/>
        <v>16</v>
      </c>
      <c r="L74" s="3"/>
    </row>
    <row r="75" ht="18" customHeight="1" spans="1:12">
      <c r="A75" s="7"/>
      <c r="B75" s="7"/>
      <c r="C75" s="7"/>
      <c r="D75" s="12" t="s">
        <v>238</v>
      </c>
      <c r="E75" s="12" t="s">
        <v>297</v>
      </c>
      <c r="F75" s="12" t="s">
        <v>100</v>
      </c>
      <c r="G75" s="12" t="s">
        <v>262</v>
      </c>
      <c r="H75" s="12" t="s">
        <v>263</v>
      </c>
      <c r="I75" s="12">
        <v>1</v>
      </c>
      <c r="J75" s="13">
        <v>35</v>
      </c>
      <c r="K75" s="13">
        <f t="shared" si="1"/>
        <v>35</v>
      </c>
      <c r="L75" s="3"/>
    </row>
    <row r="76" ht="18" customHeight="1" spans="1:12">
      <c r="A76" s="7"/>
      <c r="B76" s="7"/>
      <c r="C76" s="7"/>
      <c r="D76" s="12" t="s">
        <v>238</v>
      </c>
      <c r="E76" s="12" t="s">
        <v>297</v>
      </c>
      <c r="F76" s="12" t="s">
        <v>100</v>
      </c>
      <c r="G76" s="12" t="s">
        <v>268</v>
      </c>
      <c r="H76" s="12" t="s">
        <v>269</v>
      </c>
      <c r="I76" s="12">
        <v>1</v>
      </c>
      <c r="J76" s="13">
        <v>22</v>
      </c>
      <c r="K76" s="13">
        <f t="shared" ref="K76:K107" si="2">J76*I76</f>
        <v>22</v>
      </c>
      <c r="L76" s="3"/>
    </row>
    <row r="77" ht="18" customHeight="1" spans="1:12">
      <c r="A77" s="7"/>
      <c r="B77" s="7"/>
      <c r="C77" s="7"/>
      <c r="D77" s="12" t="s">
        <v>238</v>
      </c>
      <c r="E77" s="12" t="s">
        <v>297</v>
      </c>
      <c r="F77" s="12" t="s">
        <v>103</v>
      </c>
      <c r="G77" s="12" t="s">
        <v>272</v>
      </c>
      <c r="H77" s="12" t="s">
        <v>273</v>
      </c>
      <c r="I77" s="12">
        <v>1</v>
      </c>
      <c r="J77" s="13">
        <v>66</v>
      </c>
      <c r="K77" s="13">
        <f t="shared" si="2"/>
        <v>66</v>
      </c>
      <c r="L77" s="3"/>
    </row>
    <row r="78" ht="18" customHeight="1" spans="1:12">
      <c r="A78" s="7"/>
      <c r="B78" s="7"/>
      <c r="C78" s="7"/>
      <c r="D78" s="12" t="s">
        <v>97</v>
      </c>
      <c r="E78" s="12" t="s">
        <v>298</v>
      </c>
      <c r="F78" s="12" t="s">
        <v>18</v>
      </c>
      <c r="G78" s="12" t="s">
        <v>299</v>
      </c>
      <c r="H78" s="12" t="s">
        <v>300</v>
      </c>
      <c r="I78" s="12">
        <v>5</v>
      </c>
      <c r="J78" s="13">
        <v>8</v>
      </c>
      <c r="K78" s="13">
        <f t="shared" si="2"/>
        <v>40</v>
      </c>
      <c r="L78" s="3"/>
    </row>
    <row r="79" ht="18" customHeight="1" spans="1:12">
      <c r="A79" s="7"/>
      <c r="B79" s="7"/>
      <c r="C79" s="7"/>
      <c r="D79" s="12" t="s">
        <v>97</v>
      </c>
      <c r="E79" s="12" t="s">
        <v>298</v>
      </c>
      <c r="F79" s="12" t="s">
        <v>18</v>
      </c>
      <c r="G79" s="12" t="s">
        <v>301</v>
      </c>
      <c r="H79" s="12" t="s">
        <v>302</v>
      </c>
      <c r="I79" s="12">
        <v>5</v>
      </c>
      <c r="J79" s="13">
        <v>8</v>
      </c>
      <c r="K79" s="13">
        <f t="shared" si="2"/>
        <v>40</v>
      </c>
      <c r="L79" s="3"/>
    </row>
    <row r="80" ht="18" customHeight="1" spans="1:12">
      <c r="A80" s="7"/>
      <c r="B80" s="7"/>
      <c r="C80" s="7"/>
      <c r="D80" s="12" t="s">
        <v>97</v>
      </c>
      <c r="E80" s="12" t="s">
        <v>298</v>
      </c>
      <c r="F80" s="12" t="s">
        <v>18</v>
      </c>
      <c r="G80" s="12" t="s">
        <v>303</v>
      </c>
      <c r="H80" s="12" t="s">
        <v>304</v>
      </c>
      <c r="I80" s="12">
        <v>1</v>
      </c>
      <c r="J80" s="13">
        <v>8</v>
      </c>
      <c r="K80" s="13">
        <f t="shared" si="2"/>
        <v>8</v>
      </c>
      <c r="L80" s="3"/>
    </row>
    <row r="81" ht="18" customHeight="1" spans="1:12">
      <c r="A81" s="7"/>
      <c r="B81" s="7"/>
      <c r="C81" s="7"/>
      <c r="D81" s="12" t="s">
        <v>97</v>
      </c>
      <c r="E81" s="12" t="s">
        <v>298</v>
      </c>
      <c r="F81" s="12" t="s">
        <v>18</v>
      </c>
      <c r="G81" s="12" t="s">
        <v>27</v>
      </c>
      <c r="H81" s="12" t="s">
        <v>28</v>
      </c>
      <c r="I81" s="12">
        <v>3</v>
      </c>
      <c r="J81" s="13">
        <v>8</v>
      </c>
      <c r="K81" s="13">
        <f t="shared" si="2"/>
        <v>24</v>
      </c>
      <c r="L81" s="3"/>
    </row>
    <row r="82" ht="18" customHeight="1" spans="1:12">
      <c r="A82" s="7"/>
      <c r="B82" s="7"/>
      <c r="C82" s="7"/>
      <c r="D82" s="12" t="s">
        <v>97</v>
      </c>
      <c r="E82" s="12" t="s">
        <v>298</v>
      </c>
      <c r="F82" s="12" t="s">
        <v>18</v>
      </c>
      <c r="G82" s="12" t="s">
        <v>229</v>
      </c>
      <c r="H82" s="12" t="s">
        <v>30</v>
      </c>
      <c r="I82" s="12">
        <v>2</v>
      </c>
      <c r="J82" s="13">
        <v>8</v>
      </c>
      <c r="K82" s="13">
        <f t="shared" si="2"/>
        <v>16</v>
      </c>
      <c r="L82" s="3"/>
    </row>
    <row r="83" ht="18" customHeight="1" spans="1:12">
      <c r="A83" s="7"/>
      <c r="B83" s="7"/>
      <c r="C83" s="7"/>
      <c r="D83" s="12" t="s">
        <v>97</v>
      </c>
      <c r="E83" s="12" t="s">
        <v>298</v>
      </c>
      <c r="F83" s="12" t="s">
        <v>18</v>
      </c>
      <c r="G83" s="12" t="s">
        <v>35</v>
      </c>
      <c r="H83" s="12" t="s">
        <v>36</v>
      </c>
      <c r="I83" s="12">
        <v>1</v>
      </c>
      <c r="J83" s="13">
        <v>8</v>
      </c>
      <c r="K83" s="13">
        <f t="shared" si="2"/>
        <v>8</v>
      </c>
      <c r="L83" s="3"/>
    </row>
    <row r="84" ht="18" customHeight="1" spans="1:12">
      <c r="A84" s="7"/>
      <c r="B84" s="7"/>
      <c r="C84" s="7"/>
      <c r="D84" s="12" t="s">
        <v>97</v>
      </c>
      <c r="E84" s="12" t="s">
        <v>298</v>
      </c>
      <c r="F84" s="12" t="s">
        <v>18</v>
      </c>
      <c r="G84" s="12" t="s">
        <v>275</v>
      </c>
      <c r="H84" s="12" t="s">
        <v>276</v>
      </c>
      <c r="I84" s="12">
        <v>6</v>
      </c>
      <c r="J84" s="13">
        <v>8</v>
      </c>
      <c r="K84" s="13">
        <f t="shared" si="2"/>
        <v>48</v>
      </c>
      <c r="L84" s="3"/>
    </row>
    <row r="85" ht="18" customHeight="1" spans="1:12">
      <c r="A85" s="7"/>
      <c r="B85" s="7"/>
      <c r="C85" s="7"/>
      <c r="D85" s="12" t="s">
        <v>97</v>
      </c>
      <c r="E85" s="12" t="s">
        <v>298</v>
      </c>
      <c r="F85" s="12" t="s">
        <v>18</v>
      </c>
      <c r="G85" s="12" t="s">
        <v>232</v>
      </c>
      <c r="H85" s="12" t="s">
        <v>233</v>
      </c>
      <c r="I85" s="12">
        <v>2</v>
      </c>
      <c r="J85" s="13">
        <v>11</v>
      </c>
      <c r="K85" s="13">
        <f t="shared" si="2"/>
        <v>22</v>
      </c>
      <c r="L85" s="3"/>
    </row>
    <row r="86" ht="18" customHeight="1" spans="1:12">
      <c r="A86" s="7"/>
      <c r="B86" s="7"/>
      <c r="C86" s="7"/>
      <c r="D86" s="12" t="s">
        <v>97</v>
      </c>
      <c r="E86" s="12" t="s">
        <v>298</v>
      </c>
      <c r="F86" s="12" t="s">
        <v>18</v>
      </c>
      <c r="G86" s="12" t="s">
        <v>73</v>
      </c>
      <c r="H86" s="12" t="s">
        <v>74</v>
      </c>
      <c r="I86" s="12">
        <v>4</v>
      </c>
      <c r="J86" s="13">
        <v>16.5</v>
      </c>
      <c r="K86" s="13">
        <f t="shared" si="2"/>
        <v>66</v>
      </c>
      <c r="L86" s="3"/>
    </row>
    <row r="87" ht="18" customHeight="1" spans="1:12">
      <c r="A87" s="7"/>
      <c r="B87" s="7"/>
      <c r="C87" s="7"/>
      <c r="D87" s="12" t="s">
        <v>97</v>
      </c>
      <c r="E87" s="12" t="s">
        <v>298</v>
      </c>
      <c r="F87" s="12" t="s">
        <v>18</v>
      </c>
      <c r="G87" s="12" t="s">
        <v>234</v>
      </c>
      <c r="H87" s="12" t="s">
        <v>235</v>
      </c>
      <c r="I87" s="12">
        <v>8</v>
      </c>
      <c r="J87" s="13">
        <v>8</v>
      </c>
      <c r="K87" s="13">
        <f t="shared" si="2"/>
        <v>64</v>
      </c>
      <c r="L87" s="3"/>
    </row>
    <row r="88" ht="18" customHeight="1" spans="1:12">
      <c r="A88" s="7"/>
      <c r="B88" s="7"/>
      <c r="C88" s="7"/>
      <c r="D88" s="12" t="s">
        <v>97</v>
      </c>
      <c r="E88" s="12" t="s">
        <v>298</v>
      </c>
      <c r="F88" s="12" t="s">
        <v>47</v>
      </c>
      <c r="G88" s="12" t="s">
        <v>247</v>
      </c>
      <c r="H88" s="12" t="s">
        <v>248</v>
      </c>
      <c r="I88" s="12">
        <v>1</v>
      </c>
      <c r="J88" s="13">
        <v>33</v>
      </c>
      <c r="K88" s="13">
        <f t="shared" si="2"/>
        <v>33</v>
      </c>
      <c r="L88" s="3"/>
    </row>
    <row r="89" ht="18" customHeight="1" spans="1:12">
      <c r="A89" s="7"/>
      <c r="B89" s="7"/>
      <c r="C89" s="7"/>
      <c r="D89" s="12" t="s">
        <v>97</v>
      </c>
      <c r="E89" s="12" t="s">
        <v>298</v>
      </c>
      <c r="F89" s="12" t="s">
        <v>82</v>
      </c>
      <c r="G89" s="12" t="s">
        <v>305</v>
      </c>
      <c r="H89" s="12" t="s">
        <v>306</v>
      </c>
      <c r="I89" s="12">
        <v>98</v>
      </c>
      <c r="J89" s="13">
        <v>2.5</v>
      </c>
      <c r="K89" s="13">
        <f t="shared" si="2"/>
        <v>245</v>
      </c>
      <c r="L89" s="3"/>
    </row>
    <row r="90" ht="18" customHeight="1" spans="1:12">
      <c r="A90" s="7"/>
      <c r="B90" s="7"/>
      <c r="C90" s="7"/>
      <c r="D90" s="12" t="s">
        <v>97</v>
      </c>
      <c r="E90" s="12" t="s">
        <v>307</v>
      </c>
      <c r="F90" s="12" t="s">
        <v>100</v>
      </c>
      <c r="G90" s="12" t="s">
        <v>260</v>
      </c>
      <c r="H90" s="12" t="s">
        <v>261</v>
      </c>
      <c r="I90" s="12">
        <v>1</v>
      </c>
      <c r="J90" s="13">
        <v>66</v>
      </c>
      <c r="K90" s="13">
        <f t="shared" si="2"/>
        <v>66</v>
      </c>
      <c r="L90" s="3"/>
    </row>
    <row r="91" ht="18" customHeight="1" spans="1:12">
      <c r="A91" s="7"/>
      <c r="B91" s="7"/>
      <c r="C91" s="7"/>
      <c r="D91" s="12" t="s">
        <v>97</v>
      </c>
      <c r="E91" s="12" t="s">
        <v>307</v>
      </c>
      <c r="F91" s="12" t="s">
        <v>100</v>
      </c>
      <c r="G91" s="12" t="s">
        <v>308</v>
      </c>
      <c r="H91" s="12" t="s">
        <v>309</v>
      </c>
      <c r="I91" s="12">
        <v>1</v>
      </c>
      <c r="J91" s="13">
        <v>22</v>
      </c>
      <c r="K91" s="13">
        <f t="shared" si="2"/>
        <v>22</v>
      </c>
      <c r="L91" s="3"/>
    </row>
    <row r="92" ht="18" customHeight="1" spans="1:12">
      <c r="A92" s="7"/>
      <c r="B92" s="7"/>
      <c r="C92" s="7"/>
      <c r="D92" s="12" t="s">
        <v>97</v>
      </c>
      <c r="E92" s="12" t="s">
        <v>307</v>
      </c>
      <c r="F92" s="12" t="s">
        <v>100</v>
      </c>
      <c r="G92" s="12" t="s">
        <v>262</v>
      </c>
      <c r="H92" s="12" t="s">
        <v>263</v>
      </c>
      <c r="I92" s="12">
        <v>3</v>
      </c>
      <c r="J92" s="13">
        <v>35</v>
      </c>
      <c r="K92" s="13">
        <f t="shared" si="2"/>
        <v>105</v>
      </c>
      <c r="L92" s="3"/>
    </row>
    <row r="93" ht="18" customHeight="1" spans="1:12">
      <c r="A93" s="7"/>
      <c r="B93" s="7"/>
      <c r="C93" s="7"/>
      <c r="D93" s="12" t="s">
        <v>97</v>
      </c>
      <c r="E93" s="12" t="s">
        <v>307</v>
      </c>
      <c r="F93" s="12" t="s">
        <v>100</v>
      </c>
      <c r="G93" s="12" t="s">
        <v>264</v>
      </c>
      <c r="H93" s="12" t="s">
        <v>265</v>
      </c>
      <c r="I93" s="12">
        <v>1</v>
      </c>
      <c r="J93" s="13">
        <v>28</v>
      </c>
      <c r="K93" s="13">
        <f t="shared" si="2"/>
        <v>28</v>
      </c>
      <c r="L93" s="3"/>
    </row>
    <row r="94" ht="18" customHeight="1" spans="1:12">
      <c r="A94" s="7"/>
      <c r="B94" s="7"/>
      <c r="C94" s="7"/>
      <c r="D94" s="12" t="s">
        <v>97</v>
      </c>
      <c r="E94" s="12" t="s">
        <v>307</v>
      </c>
      <c r="F94" s="12" t="s">
        <v>100</v>
      </c>
      <c r="G94" s="12" t="s">
        <v>266</v>
      </c>
      <c r="H94" s="12" t="s">
        <v>267</v>
      </c>
      <c r="I94" s="12">
        <v>1</v>
      </c>
      <c r="J94" s="13">
        <v>28</v>
      </c>
      <c r="K94" s="13">
        <f t="shared" si="2"/>
        <v>28</v>
      </c>
      <c r="L94" s="3"/>
    </row>
    <row r="95" ht="18" customHeight="1" spans="1:12">
      <c r="A95" s="7"/>
      <c r="B95" s="7"/>
      <c r="C95" s="7"/>
      <c r="D95" s="12" t="s">
        <v>97</v>
      </c>
      <c r="E95" s="12" t="s">
        <v>307</v>
      </c>
      <c r="F95" s="12" t="s">
        <v>100</v>
      </c>
      <c r="G95" s="12" t="s">
        <v>268</v>
      </c>
      <c r="H95" s="12" t="s">
        <v>269</v>
      </c>
      <c r="I95" s="12">
        <v>2</v>
      </c>
      <c r="J95" s="13">
        <v>22</v>
      </c>
      <c r="K95" s="13">
        <f t="shared" si="2"/>
        <v>44</v>
      </c>
      <c r="L95" s="3"/>
    </row>
    <row r="96" ht="18" customHeight="1" spans="1:12">
      <c r="A96" s="7"/>
      <c r="B96" s="7"/>
      <c r="C96" s="7"/>
      <c r="D96" s="12" t="s">
        <v>97</v>
      </c>
      <c r="E96" s="12" t="s">
        <v>307</v>
      </c>
      <c r="F96" s="12" t="s">
        <v>103</v>
      </c>
      <c r="G96" s="12" t="s">
        <v>270</v>
      </c>
      <c r="H96" s="12" t="s">
        <v>271</v>
      </c>
      <c r="I96" s="12">
        <v>1</v>
      </c>
      <c r="J96" s="13">
        <v>44</v>
      </c>
      <c r="K96" s="13">
        <f t="shared" si="2"/>
        <v>44</v>
      </c>
      <c r="L96" s="3"/>
    </row>
    <row r="97" ht="18" customHeight="1" spans="1:12">
      <c r="A97" s="7"/>
      <c r="B97" s="7"/>
      <c r="C97" s="7"/>
      <c r="D97" s="12" t="s">
        <v>97</v>
      </c>
      <c r="E97" s="12" t="s">
        <v>307</v>
      </c>
      <c r="F97" s="12" t="s">
        <v>103</v>
      </c>
      <c r="G97" s="12" t="s">
        <v>272</v>
      </c>
      <c r="H97" s="12" t="s">
        <v>273</v>
      </c>
      <c r="I97" s="12">
        <v>1</v>
      </c>
      <c r="J97" s="13">
        <v>66</v>
      </c>
      <c r="K97" s="13">
        <f t="shared" si="2"/>
        <v>66</v>
      </c>
      <c r="L97" s="3"/>
    </row>
    <row r="98" ht="18" customHeight="1" spans="1:12">
      <c r="A98" s="7"/>
      <c r="B98" s="7"/>
      <c r="C98" s="7"/>
      <c r="D98" s="12" t="s">
        <v>244</v>
      </c>
      <c r="E98" s="12" t="s">
        <v>310</v>
      </c>
      <c r="F98" s="12" t="s">
        <v>18</v>
      </c>
      <c r="G98" s="12" t="s">
        <v>27</v>
      </c>
      <c r="H98" s="12" t="s">
        <v>28</v>
      </c>
      <c r="I98" s="12">
        <v>2</v>
      </c>
      <c r="J98" s="13">
        <v>8</v>
      </c>
      <c r="K98" s="13">
        <f t="shared" si="2"/>
        <v>16</v>
      </c>
      <c r="L98" s="3"/>
    </row>
    <row r="99" ht="18" customHeight="1" spans="1:12">
      <c r="A99" s="7"/>
      <c r="B99" s="7"/>
      <c r="C99" s="7"/>
      <c r="D99" s="12" t="s">
        <v>244</v>
      </c>
      <c r="E99" s="12" t="s">
        <v>310</v>
      </c>
      <c r="F99" s="12" t="s">
        <v>18</v>
      </c>
      <c r="G99" s="12" t="s">
        <v>229</v>
      </c>
      <c r="H99" s="12" t="s">
        <v>30</v>
      </c>
      <c r="I99" s="12">
        <v>1</v>
      </c>
      <c r="J99" s="13">
        <v>8</v>
      </c>
      <c r="K99" s="13">
        <f t="shared" si="2"/>
        <v>8</v>
      </c>
      <c r="L99" s="3"/>
    </row>
    <row r="100" ht="18" customHeight="1" spans="1:12">
      <c r="A100" s="7"/>
      <c r="B100" s="7"/>
      <c r="C100" s="7"/>
      <c r="D100" s="12" t="s">
        <v>244</v>
      </c>
      <c r="E100" s="12" t="s">
        <v>310</v>
      </c>
      <c r="F100" s="12" t="s">
        <v>18</v>
      </c>
      <c r="G100" s="12" t="s">
        <v>230</v>
      </c>
      <c r="H100" s="12" t="s">
        <v>231</v>
      </c>
      <c r="I100" s="12">
        <v>1</v>
      </c>
      <c r="J100" s="13">
        <v>11</v>
      </c>
      <c r="K100" s="13">
        <f t="shared" si="2"/>
        <v>11</v>
      </c>
      <c r="L100" s="3"/>
    </row>
    <row r="101" ht="18" customHeight="1" spans="1:12">
      <c r="A101" s="7"/>
      <c r="B101" s="7"/>
      <c r="C101" s="7"/>
      <c r="D101" s="12" t="s">
        <v>244</v>
      </c>
      <c r="E101" s="12" t="s">
        <v>310</v>
      </c>
      <c r="F101" s="12" t="s">
        <v>18</v>
      </c>
      <c r="G101" s="12" t="s">
        <v>35</v>
      </c>
      <c r="H101" s="12" t="s">
        <v>36</v>
      </c>
      <c r="I101" s="12">
        <v>2</v>
      </c>
      <c r="J101" s="13">
        <v>8</v>
      </c>
      <c r="K101" s="13">
        <f t="shared" si="2"/>
        <v>16</v>
      </c>
      <c r="L101" s="3"/>
    </row>
    <row r="102" ht="18" customHeight="1" spans="1:12">
      <c r="A102" s="7"/>
      <c r="B102" s="7"/>
      <c r="C102" s="7"/>
      <c r="D102" s="12" t="s">
        <v>244</v>
      </c>
      <c r="E102" s="12" t="s">
        <v>310</v>
      </c>
      <c r="F102" s="12" t="s">
        <v>18</v>
      </c>
      <c r="G102" s="12" t="s">
        <v>232</v>
      </c>
      <c r="H102" s="12" t="s">
        <v>233</v>
      </c>
      <c r="I102" s="12">
        <v>1</v>
      </c>
      <c r="J102" s="13">
        <v>11</v>
      </c>
      <c r="K102" s="13">
        <f t="shared" si="2"/>
        <v>11</v>
      </c>
      <c r="L102" s="3"/>
    </row>
    <row r="103" ht="18" customHeight="1" spans="1:12">
      <c r="A103" s="7"/>
      <c r="B103" s="7"/>
      <c r="C103" s="7"/>
      <c r="D103" s="12" t="s">
        <v>244</v>
      </c>
      <c r="E103" s="12" t="s">
        <v>310</v>
      </c>
      <c r="F103" s="12" t="s">
        <v>18</v>
      </c>
      <c r="G103" s="12" t="s">
        <v>234</v>
      </c>
      <c r="H103" s="12" t="s">
        <v>235</v>
      </c>
      <c r="I103" s="12">
        <v>3</v>
      </c>
      <c r="J103" s="13">
        <v>8</v>
      </c>
      <c r="K103" s="13">
        <f t="shared" si="2"/>
        <v>24</v>
      </c>
      <c r="L103" s="3"/>
    </row>
    <row r="104" ht="18" customHeight="1" spans="1:12">
      <c r="A104" s="7"/>
      <c r="B104" s="7"/>
      <c r="C104" s="7"/>
      <c r="D104" s="12" t="s">
        <v>244</v>
      </c>
      <c r="E104" s="12" t="s">
        <v>310</v>
      </c>
      <c r="F104" s="12" t="s">
        <v>47</v>
      </c>
      <c r="G104" s="12" t="s">
        <v>247</v>
      </c>
      <c r="H104" s="12" t="s">
        <v>248</v>
      </c>
      <c r="I104" s="12">
        <v>1</v>
      </c>
      <c r="J104" s="13">
        <v>33</v>
      </c>
      <c r="K104" s="13">
        <f t="shared" si="2"/>
        <v>33</v>
      </c>
      <c r="L104" s="3"/>
    </row>
    <row r="105" ht="18" customHeight="1" spans="1:12">
      <c r="A105" s="7"/>
      <c r="B105" s="7"/>
      <c r="C105" s="7"/>
      <c r="D105" s="12" t="s">
        <v>311</v>
      </c>
      <c r="E105" s="12" t="s">
        <v>312</v>
      </c>
      <c r="F105" s="12" t="s">
        <v>100</v>
      </c>
      <c r="G105" s="12" t="s">
        <v>260</v>
      </c>
      <c r="H105" s="12" t="s">
        <v>261</v>
      </c>
      <c r="I105" s="12">
        <v>1</v>
      </c>
      <c r="J105" s="13">
        <v>66</v>
      </c>
      <c r="K105" s="13">
        <f t="shared" si="2"/>
        <v>66</v>
      </c>
      <c r="L105" s="3"/>
    </row>
    <row r="106" ht="18" customHeight="1" spans="1:12">
      <c r="A106" s="7"/>
      <c r="B106" s="7"/>
      <c r="C106" s="7"/>
      <c r="D106" s="12" t="s">
        <v>311</v>
      </c>
      <c r="E106" s="12" t="s">
        <v>312</v>
      </c>
      <c r="F106" s="12" t="s">
        <v>100</v>
      </c>
      <c r="G106" s="12" t="s">
        <v>262</v>
      </c>
      <c r="H106" s="12" t="s">
        <v>263</v>
      </c>
      <c r="I106" s="12">
        <v>1</v>
      </c>
      <c r="J106" s="13">
        <v>35</v>
      </c>
      <c r="K106" s="13">
        <f t="shared" si="2"/>
        <v>35</v>
      </c>
      <c r="L106" s="3"/>
    </row>
    <row r="107" ht="18" customHeight="1" spans="1:12">
      <c r="A107" s="7"/>
      <c r="B107" s="7"/>
      <c r="C107" s="7"/>
      <c r="D107" s="12" t="s">
        <v>311</v>
      </c>
      <c r="E107" s="12" t="s">
        <v>312</v>
      </c>
      <c r="F107" s="12" t="s">
        <v>100</v>
      </c>
      <c r="G107" s="12" t="s">
        <v>283</v>
      </c>
      <c r="H107" s="12" t="s">
        <v>284</v>
      </c>
      <c r="I107" s="12">
        <v>1</v>
      </c>
      <c r="J107" s="13">
        <v>28</v>
      </c>
      <c r="K107" s="13">
        <f t="shared" si="2"/>
        <v>28</v>
      </c>
      <c r="L107" s="3"/>
    </row>
    <row r="108" ht="18" customHeight="1" spans="1:12">
      <c r="A108" s="7"/>
      <c r="B108" s="7"/>
      <c r="C108" s="7"/>
      <c r="D108" s="12" t="s">
        <v>311</v>
      </c>
      <c r="E108" s="12" t="s">
        <v>312</v>
      </c>
      <c r="F108" s="12" t="s">
        <v>100</v>
      </c>
      <c r="G108" s="12" t="s">
        <v>268</v>
      </c>
      <c r="H108" s="12" t="s">
        <v>269</v>
      </c>
      <c r="I108" s="12">
        <v>1</v>
      </c>
      <c r="J108" s="13">
        <v>22</v>
      </c>
      <c r="K108" s="13">
        <f t="shared" ref="K108:K133" si="3">J108*I108</f>
        <v>22</v>
      </c>
      <c r="L108" s="3"/>
    </row>
    <row r="109" ht="18" customHeight="1" spans="1:12">
      <c r="A109" s="7"/>
      <c r="B109" s="7"/>
      <c r="C109" s="7"/>
      <c r="D109" s="12" t="s">
        <v>311</v>
      </c>
      <c r="E109" s="12" t="s">
        <v>312</v>
      </c>
      <c r="F109" s="12" t="s">
        <v>103</v>
      </c>
      <c r="G109" s="12" t="s">
        <v>270</v>
      </c>
      <c r="H109" s="12" t="s">
        <v>271</v>
      </c>
      <c r="I109" s="12">
        <v>1</v>
      </c>
      <c r="J109" s="13">
        <v>44</v>
      </c>
      <c r="K109" s="13">
        <f t="shared" si="3"/>
        <v>44</v>
      </c>
      <c r="L109" s="3"/>
    </row>
    <row r="110" ht="18" customHeight="1" spans="1:12">
      <c r="A110" s="7"/>
      <c r="B110" s="7"/>
      <c r="C110" s="7"/>
      <c r="D110" s="12" t="s">
        <v>190</v>
      </c>
      <c r="E110" s="12" t="s">
        <v>313</v>
      </c>
      <c r="F110" s="12" t="s">
        <v>18</v>
      </c>
      <c r="G110" s="12" t="s">
        <v>27</v>
      </c>
      <c r="H110" s="12" t="s">
        <v>28</v>
      </c>
      <c r="I110" s="12">
        <v>1</v>
      </c>
      <c r="J110" s="13">
        <v>8</v>
      </c>
      <c r="K110" s="13">
        <f t="shared" si="3"/>
        <v>8</v>
      </c>
      <c r="L110" s="3"/>
    </row>
    <row r="111" ht="18" customHeight="1" spans="1:12">
      <c r="A111" s="7"/>
      <c r="B111" s="7"/>
      <c r="C111" s="7"/>
      <c r="D111" s="12" t="s">
        <v>190</v>
      </c>
      <c r="E111" s="12" t="s">
        <v>313</v>
      </c>
      <c r="F111" s="12" t="s">
        <v>18</v>
      </c>
      <c r="G111" s="12" t="s">
        <v>229</v>
      </c>
      <c r="H111" s="12" t="s">
        <v>30</v>
      </c>
      <c r="I111" s="12">
        <v>1</v>
      </c>
      <c r="J111" s="13">
        <v>8</v>
      </c>
      <c r="K111" s="13">
        <f t="shared" si="3"/>
        <v>8</v>
      </c>
      <c r="L111" s="3"/>
    </row>
    <row r="112" ht="18" customHeight="1" spans="1:12">
      <c r="A112" s="7"/>
      <c r="B112" s="7"/>
      <c r="C112" s="7"/>
      <c r="D112" s="12" t="s">
        <v>190</v>
      </c>
      <c r="E112" s="12" t="s">
        <v>313</v>
      </c>
      <c r="F112" s="12" t="s">
        <v>18</v>
      </c>
      <c r="G112" s="12" t="s">
        <v>232</v>
      </c>
      <c r="H112" s="12" t="s">
        <v>233</v>
      </c>
      <c r="I112" s="12">
        <v>2</v>
      </c>
      <c r="J112" s="13">
        <v>11</v>
      </c>
      <c r="K112" s="13">
        <f t="shared" si="3"/>
        <v>22</v>
      </c>
      <c r="L112" s="3"/>
    </row>
    <row r="113" ht="18" customHeight="1" spans="1:12">
      <c r="A113" s="7"/>
      <c r="B113" s="7"/>
      <c r="C113" s="7"/>
      <c r="D113" s="12" t="s">
        <v>190</v>
      </c>
      <c r="E113" s="12" t="s">
        <v>313</v>
      </c>
      <c r="F113" s="12" t="s">
        <v>18</v>
      </c>
      <c r="G113" s="12" t="s">
        <v>234</v>
      </c>
      <c r="H113" s="12" t="s">
        <v>235</v>
      </c>
      <c r="I113" s="12">
        <v>2</v>
      </c>
      <c r="J113" s="13">
        <v>8</v>
      </c>
      <c r="K113" s="13">
        <f t="shared" si="3"/>
        <v>16</v>
      </c>
      <c r="L113" s="3"/>
    </row>
    <row r="114" ht="18" customHeight="1" spans="1:12">
      <c r="A114" s="7"/>
      <c r="B114" s="7"/>
      <c r="C114" s="7"/>
      <c r="D114" s="12" t="s">
        <v>190</v>
      </c>
      <c r="E114" s="12" t="s">
        <v>313</v>
      </c>
      <c r="F114" s="12" t="s">
        <v>18</v>
      </c>
      <c r="G114" s="12" t="s">
        <v>236</v>
      </c>
      <c r="H114" s="12" t="s">
        <v>237</v>
      </c>
      <c r="I114" s="12">
        <v>2</v>
      </c>
      <c r="J114" s="13">
        <v>8</v>
      </c>
      <c r="K114" s="13">
        <f t="shared" si="3"/>
        <v>16</v>
      </c>
      <c r="L114" s="3"/>
    </row>
    <row r="115" ht="18" customHeight="1" spans="1:12">
      <c r="A115" s="7"/>
      <c r="B115" s="7"/>
      <c r="C115" s="7"/>
      <c r="D115" s="12" t="s">
        <v>190</v>
      </c>
      <c r="E115" s="12" t="s">
        <v>313</v>
      </c>
      <c r="F115" s="12" t="s">
        <v>18</v>
      </c>
      <c r="G115" s="12" t="s">
        <v>95</v>
      </c>
      <c r="H115" s="12" t="s">
        <v>96</v>
      </c>
      <c r="I115" s="12">
        <v>1</v>
      </c>
      <c r="J115" s="13">
        <v>8</v>
      </c>
      <c r="K115" s="13">
        <f t="shared" si="3"/>
        <v>8</v>
      </c>
      <c r="L115" s="3"/>
    </row>
    <row r="116" ht="18" customHeight="1" spans="1:12">
      <c r="A116" s="7"/>
      <c r="B116" s="7"/>
      <c r="C116" s="7"/>
      <c r="D116" s="12" t="s">
        <v>249</v>
      </c>
      <c r="E116" s="12" t="s">
        <v>314</v>
      </c>
      <c r="F116" s="12" t="s">
        <v>100</v>
      </c>
      <c r="G116" s="12" t="s">
        <v>260</v>
      </c>
      <c r="H116" s="12" t="s">
        <v>261</v>
      </c>
      <c r="I116" s="12">
        <v>1</v>
      </c>
      <c r="J116" s="13">
        <v>66</v>
      </c>
      <c r="K116" s="13">
        <f t="shared" si="3"/>
        <v>66</v>
      </c>
      <c r="L116" s="3"/>
    </row>
    <row r="117" ht="18" customHeight="1" spans="1:12">
      <c r="A117" s="7"/>
      <c r="B117" s="7"/>
      <c r="C117" s="7"/>
      <c r="D117" s="12" t="s">
        <v>249</v>
      </c>
      <c r="E117" s="12" t="s">
        <v>314</v>
      </c>
      <c r="F117" s="12" t="s">
        <v>100</v>
      </c>
      <c r="G117" s="12" t="s">
        <v>308</v>
      </c>
      <c r="H117" s="12" t="s">
        <v>309</v>
      </c>
      <c r="I117" s="12">
        <v>1</v>
      </c>
      <c r="J117" s="13">
        <v>22</v>
      </c>
      <c r="K117" s="13">
        <f t="shared" si="3"/>
        <v>22</v>
      </c>
      <c r="L117" s="3"/>
    </row>
    <row r="118" ht="18" customHeight="1" spans="1:12">
      <c r="A118" s="7"/>
      <c r="B118" s="7"/>
      <c r="C118" s="7"/>
      <c r="D118" s="12" t="s">
        <v>249</v>
      </c>
      <c r="E118" s="12" t="s">
        <v>314</v>
      </c>
      <c r="F118" s="12" t="s">
        <v>100</v>
      </c>
      <c r="G118" s="12" t="s">
        <v>262</v>
      </c>
      <c r="H118" s="12" t="s">
        <v>263</v>
      </c>
      <c r="I118" s="12">
        <v>3</v>
      </c>
      <c r="J118" s="13">
        <v>35</v>
      </c>
      <c r="K118" s="13">
        <f t="shared" si="3"/>
        <v>105</v>
      </c>
      <c r="L118" s="3"/>
    </row>
    <row r="119" ht="18" customHeight="1" spans="1:12">
      <c r="A119" s="7"/>
      <c r="B119" s="7"/>
      <c r="C119" s="7"/>
      <c r="D119" s="12" t="s">
        <v>249</v>
      </c>
      <c r="E119" s="12" t="s">
        <v>314</v>
      </c>
      <c r="F119" s="12" t="s">
        <v>100</v>
      </c>
      <c r="G119" s="12" t="s">
        <v>266</v>
      </c>
      <c r="H119" s="12" t="s">
        <v>267</v>
      </c>
      <c r="I119" s="12">
        <v>1</v>
      </c>
      <c r="J119" s="13">
        <v>28</v>
      </c>
      <c r="K119" s="13">
        <f t="shared" si="3"/>
        <v>28</v>
      </c>
      <c r="L119" s="3"/>
    </row>
    <row r="120" ht="18" customHeight="1" spans="1:12">
      <c r="A120" s="7"/>
      <c r="B120" s="7"/>
      <c r="C120" s="7"/>
      <c r="D120" s="12" t="s">
        <v>249</v>
      </c>
      <c r="E120" s="12" t="s">
        <v>314</v>
      </c>
      <c r="F120" s="12" t="s">
        <v>100</v>
      </c>
      <c r="G120" s="12" t="s">
        <v>268</v>
      </c>
      <c r="H120" s="12" t="s">
        <v>269</v>
      </c>
      <c r="I120" s="12">
        <v>3</v>
      </c>
      <c r="J120" s="13">
        <v>22</v>
      </c>
      <c r="K120" s="13">
        <f t="shared" si="3"/>
        <v>66</v>
      </c>
      <c r="L120" s="3"/>
    </row>
    <row r="121" ht="18" customHeight="1" spans="1:12">
      <c r="A121" s="7"/>
      <c r="B121" s="7"/>
      <c r="C121" s="7"/>
      <c r="D121" s="12" t="s">
        <v>249</v>
      </c>
      <c r="E121" s="12" t="s">
        <v>314</v>
      </c>
      <c r="F121" s="12" t="s">
        <v>103</v>
      </c>
      <c r="G121" s="12" t="s">
        <v>270</v>
      </c>
      <c r="H121" s="12" t="s">
        <v>271</v>
      </c>
      <c r="I121" s="12">
        <v>1</v>
      </c>
      <c r="J121" s="13">
        <v>44</v>
      </c>
      <c r="K121" s="13">
        <f t="shared" si="3"/>
        <v>44</v>
      </c>
      <c r="L121" s="3"/>
    </row>
    <row r="122" ht="18" customHeight="1" spans="1:12">
      <c r="A122" s="7"/>
      <c r="B122" s="7"/>
      <c r="C122" s="7"/>
      <c r="D122" s="12" t="s">
        <v>249</v>
      </c>
      <c r="E122" s="12" t="s">
        <v>314</v>
      </c>
      <c r="F122" s="12" t="s">
        <v>103</v>
      </c>
      <c r="G122" s="12" t="s">
        <v>272</v>
      </c>
      <c r="H122" s="12" t="s">
        <v>273</v>
      </c>
      <c r="I122" s="12">
        <v>2</v>
      </c>
      <c r="J122" s="13">
        <v>66</v>
      </c>
      <c r="K122" s="13">
        <f t="shared" si="3"/>
        <v>132</v>
      </c>
      <c r="L122" s="3"/>
    </row>
    <row r="123" ht="18" customHeight="1" spans="1:12">
      <c r="A123" s="7"/>
      <c r="B123" s="7"/>
      <c r="C123" s="7"/>
      <c r="D123" s="12" t="s">
        <v>249</v>
      </c>
      <c r="E123" s="12" t="s">
        <v>315</v>
      </c>
      <c r="F123" s="12" t="s">
        <v>18</v>
      </c>
      <c r="G123" s="12" t="s">
        <v>27</v>
      </c>
      <c r="H123" s="12" t="s">
        <v>28</v>
      </c>
      <c r="I123" s="12">
        <v>1</v>
      </c>
      <c r="J123" s="13">
        <v>8</v>
      </c>
      <c r="K123" s="13">
        <f t="shared" si="3"/>
        <v>8</v>
      </c>
      <c r="L123" s="3"/>
    </row>
    <row r="124" ht="18" customHeight="1" spans="1:12">
      <c r="A124" s="7"/>
      <c r="B124" s="7"/>
      <c r="C124" s="7"/>
      <c r="D124" s="12" t="s">
        <v>249</v>
      </c>
      <c r="E124" s="12" t="s">
        <v>315</v>
      </c>
      <c r="F124" s="12" t="s">
        <v>18</v>
      </c>
      <c r="G124" s="12" t="s">
        <v>229</v>
      </c>
      <c r="H124" s="12" t="s">
        <v>30</v>
      </c>
      <c r="I124" s="12">
        <v>1</v>
      </c>
      <c r="J124" s="13">
        <v>8</v>
      </c>
      <c r="K124" s="13">
        <f t="shared" si="3"/>
        <v>8</v>
      </c>
      <c r="L124" s="3"/>
    </row>
    <row r="125" ht="18" customHeight="1" spans="1:12">
      <c r="A125" s="7"/>
      <c r="B125" s="7"/>
      <c r="C125" s="7"/>
      <c r="D125" s="12" t="s">
        <v>249</v>
      </c>
      <c r="E125" s="12" t="s">
        <v>315</v>
      </c>
      <c r="F125" s="12" t="s">
        <v>18</v>
      </c>
      <c r="G125" s="12" t="s">
        <v>230</v>
      </c>
      <c r="H125" s="12" t="s">
        <v>231</v>
      </c>
      <c r="I125" s="12">
        <v>1</v>
      </c>
      <c r="J125" s="13">
        <v>11</v>
      </c>
      <c r="K125" s="13">
        <f t="shared" si="3"/>
        <v>11</v>
      </c>
      <c r="L125" s="3"/>
    </row>
    <row r="126" ht="18" customHeight="1" spans="1:12">
      <c r="A126" s="7"/>
      <c r="B126" s="7"/>
      <c r="C126" s="7"/>
      <c r="D126" s="12" t="s">
        <v>249</v>
      </c>
      <c r="E126" s="12" t="s">
        <v>315</v>
      </c>
      <c r="F126" s="12" t="s">
        <v>18</v>
      </c>
      <c r="G126" s="12" t="s">
        <v>232</v>
      </c>
      <c r="H126" s="12" t="s">
        <v>233</v>
      </c>
      <c r="I126" s="12">
        <v>2</v>
      </c>
      <c r="J126" s="13">
        <v>11</v>
      </c>
      <c r="K126" s="13">
        <f t="shared" si="3"/>
        <v>22</v>
      </c>
      <c r="L126" s="3"/>
    </row>
    <row r="127" ht="18" customHeight="1" spans="1:12">
      <c r="A127" s="7"/>
      <c r="B127" s="7"/>
      <c r="C127" s="7"/>
      <c r="D127" s="12" t="s">
        <v>249</v>
      </c>
      <c r="E127" s="12" t="s">
        <v>315</v>
      </c>
      <c r="F127" s="12" t="s">
        <v>18</v>
      </c>
      <c r="G127" s="12" t="s">
        <v>255</v>
      </c>
      <c r="H127" s="12" t="s">
        <v>256</v>
      </c>
      <c r="I127" s="12">
        <v>1</v>
      </c>
      <c r="J127" s="13">
        <v>16.5</v>
      </c>
      <c r="K127" s="13">
        <f t="shared" si="3"/>
        <v>16.5</v>
      </c>
      <c r="L127" s="3"/>
    </row>
    <row r="128" ht="18" customHeight="1" spans="1:12">
      <c r="A128" s="7"/>
      <c r="B128" s="7"/>
      <c r="C128" s="7"/>
      <c r="D128" s="12" t="s">
        <v>249</v>
      </c>
      <c r="E128" s="12" t="s">
        <v>315</v>
      </c>
      <c r="F128" s="12" t="s">
        <v>18</v>
      </c>
      <c r="G128" s="12" t="s">
        <v>234</v>
      </c>
      <c r="H128" s="12" t="s">
        <v>235</v>
      </c>
      <c r="I128" s="12">
        <v>2</v>
      </c>
      <c r="J128" s="13">
        <v>8</v>
      </c>
      <c r="K128" s="13">
        <f t="shared" si="3"/>
        <v>16</v>
      </c>
      <c r="L128" s="3"/>
    </row>
    <row r="129" ht="18" customHeight="1" spans="1:12">
      <c r="A129" s="7"/>
      <c r="B129" s="7"/>
      <c r="C129" s="7"/>
      <c r="D129" s="12" t="s">
        <v>249</v>
      </c>
      <c r="E129" s="12" t="s">
        <v>315</v>
      </c>
      <c r="F129" s="12" t="s">
        <v>82</v>
      </c>
      <c r="G129" s="12" t="s">
        <v>316</v>
      </c>
      <c r="H129" s="12" t="s">
        <v>317</v>
      </c>
      <c r="I129" s="12">
        <v>32</v>
      </c>
      <c r="J129" s="13">
        <v>2.5</v>
      </c>
      <c r="K129" s="13">
        <f t="shared" si="3"/>
        <v>80</v>
      </c>
      <c r="L129" s="3"/>
    </row>
    <row r="130" ht="18" customHeight="1" spans="1:12">
      <c r="A130" s="7"/>
      <c r="B130" s="7"/>
      <c r="C130" s="7"/>
      <c r="D130" s="12" t="s">
        <v>249</v>
      </c>
      <c r="E130" s="12" t="s">
        <v>315</v>
      </c>
      <c r="F130" s="12" t="s">
        <v>82</v>
      </c>
      <c r="G130" s="12" t="s">
        <v>293</v>
      </c>
      <c r="H130" s="12" t="s">
        <v>294</v>
      </c>
      <c r="I130" s="12">
        <v>1</v>
      </c>
      <c r="J130" s="13">
        <v>4</v>
      </c>
      <c r="K130" s="13">
        <f t="shared" si="3"/>
        <v>4</v>
      </c>
      <c r="L130" s="3"/>
    </row>
    <row r="131" ht="18" customHeight="1" spans="1:12">
      <c r="A131" s="7"/>
      <c r="B131" s="7"/>
      <c r="C131" s="7"/>
      <c r="D131" s="12" t="s">
        <v>318</v>
      </c>
      <c r="E131" s="12" t="s">
        <v>319</v>
      </c>
      <c r="F131" s="12" t="s">
        <v>100</v>
      </c>
      <c r="G131" s="12" t="s">
        <v>262</v>
      </c>
      <c r="H131" s="12" t="s">
        <v>263</v>
      </c>
      <c r="I131" s="12">
        <v>1</v>
      </c>
      <c r="J131" s="13">
        <v>35</v>
      </c>
      <c r="K131" s="13">
        <f t="shared" si="3"/>
        <v>35</v>
      </c>
      <c r="L131" s="3"/>
    </row>
    <row r="132" ht="18" customHeight="1" spans="1:12">
      <c r="A132" s="7"/>
      <c r="B132" s="7"/>
      <c r="C132" s="7"/>
      <c r="D132" s="12" t="s">
        <v>318</v>
      </c>
      <c r="E132" s="12" t="s">
        <v>319</v>
      </c>
      <c r="F132" s="12" t="s">
        <v>100</v>
      </c>
      <c r="G132" s="12" t="s">
        <v>268</v>
      </c>
      <c r="H132" s="12" t="s">
        <v>269</v>
      </c>
      <c r="I132" s="12">
        <v>1</v>
      </c>
      <c r="J132" s="13">
        <v>22</v>
      </c>
      <c r="K132" s="13">
        <f t="shared" si="3"/>
        <v>22</v>
      </c>
      <c r="L132" s="3"/>
    </row>
    <row r="133" ht="18" customHeight="1" spans="1:12">
      <c r="A133" s="7"/>
      <c r="B133" s="7"/>
      <c r="C133" s="7"/>
      <c r="D133" s="12" t="s">
        <v>318</v>
      </c>
      <c r="E133" s="12" t="s">
        <v>319</v>
      </c>
      <c r="F133" s="12" t="s">
        <v>103</v>
      </c>
      <c r="G133" s="12" t="s">
        <v>272</v>
      </c>
      <c r="H133" s="12" t="s">
        <v>273</v>
      </c>
      <c r="I133" s="12">
        <v>1</v>
      </c>
      <c r="J133" s="13">
        <v>66</v>
      </c>
      <c r="K133" s="13">
        <f t="shared" si="3"/>
        <v>66</v>
      </c>
      <c r="L133" s="3"/>
    </row>
  </sheetData>
  <autoFilter xmlns:etc="http://www.wps.cn/officeDocument/2017/etCustomData" ref="A9:K133" etc:filterBottomFollowUsedRange="0">
    <extLst/>
  </autoFilter>
  <mergeCells count="6">
    <mergeCell ref="D8:K8"/>
    <mergeCell ref="D10:H10"/>
    <mergeCell ref="C9:C133"/>
    <mergeCell ref="C1:K2"/>
    <mergeCell ref="B4:K5"/>
    <mergeCell ref="A8:B133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住院处手术室</vt:lpstr>
      <vt:lpstr>口腔科（公共器械）</vt:lpstr>
      <vt:lpstr>口腔科（刘医生）</vt:lpstr>
      <vt:lpstr>口腔科（李医生）</vt:lpstr>
      <vt:lpstr>口腔科（樊医生）</vt:lpstr>
      <vt:lpstr>妇科住院处</vt:lpstr>
      <vt:lpstr>手术室</vt:lpstr>
      <vt:lpstr>门诊手术室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街道无人</cp:lastModifiedBy>
  <dcterms:created xsi:type="dcterms:W3CDTF">2026-07-07T00:51:00Z</dcterms:created>
  <dcterms:modified xsi:type="dcterms:W3CDTF">2026-07-13T07:19:16Z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01506FC2012B4F48B0F4EFACAD76B359_13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