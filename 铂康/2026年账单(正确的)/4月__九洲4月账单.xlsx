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手术室!$A$9:$K$33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<sst xmlns="http://schemas.openxmlformats.org/spreadsheetml/2006/main" count="78" uniqueCount="39">
  <si>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</si>
  <si>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</si>
  <si>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</si>
  <si>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</si>
  <si>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</si>
  <si>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</si>
  <si>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</si>
  <si>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</si>
  <si>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</si>
  <si>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</si>
  <si>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</si>
  <si>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</si>
  <si>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</si>
  <si>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</si>
  <si>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换药碗-2/z2530</t>
  </si>
  <si>
    <t>额外包(无纺布)</t>
  </si>
  <si>
    <t>利普包-7/w9050</t>
  </si>
  <si>
    <t>人流包-22件/w9050</t>
  </si>
  <si>
    <t>整形包-26件/w9050</t>
  </si>
  <si>
    <t>器械包</t>
  </si>
  <si>
    <t>阴式包-32</t>
  </si>
  <si>
    <t>单包装包</t>
  </si>
  <si>
    <t>棉球缸/Z2530</t>
  </si>
  <si>
    <t>开口器舌钳压舌板（3件）/z1526</t>
  </si>
  <si>
    <t>压舌板-1/z7526</t>
  </si>
  <si>
    <t>敷料包(无纺布包)</t>
  </si>
  <si>
    <t>手术衣/W12050</t>
  </si>
  <si>
    <t>器械包(ZSD)</t>
  </si>
  <si>
    <t>利普包</t>
  </si>
  <si>
    <t>杯1碗1盘1/w6050</t>
  </si>
  <si>
    <t>持物钳罐-2/w6050</t>
  </si>
  <si>
    <t>方盘-1（带架）/w9050</t>
  </si>
  <si>
    <t>方盘-1/w9050</t>
  </si>
  <si>
    <t>腹腔镜-44件/W12050</t>
  </si>
  <si>
    <t>开腹包33件/W12050</t>
  </si>
  <si>
    <t>碗2盘2杯1/W9050</t>
  </si>
  <si>
    <t>敷料包(纸塑袋)</t>
  </si>
  <si>
    <t>毛巾手刷/Z2530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</si>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</sst>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151765</xdr:colOff>
      <xdr:row>1</xdr:row>
      <xdr:rowOff>9525</xdr:rowOff>
    </xdr:from>
    <xdr:to>
      <xdr:col>9</xdr:col>
      <xdr:colOff>661753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4454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1" sqref="J11:J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61</v>
      </c>
      <c r="J10" s="12"/>
      <c r="K10" s="12">
        <f>SUM(K11:K33)</f>
        <v>4835</v>
      </c>
    </row>
    <row r="11" spans="2:11">
      <c r="D11" s="13">
        <v>46122</v>
      </c>
      <c r="E11" s="14">
        <v>1593861</v>
      </c>
      <c r="F11" s="14" t="s">
        <v>13</v>
      </c>
      <c r="G11" s="9">
        <v>20325014</v>
      </c>
      <c r="H11" s="14" t="s">
        <v>14</v>
      </c>
      <c r="I11" s="9">
        <v>1</v>
      </c>
      <c r="J11" s="15">
        <v>16.5</v>
      </c>
      <c r="K11" s="15">
        <f>J11*I11</f>
        <v>16.5</v>
      </c>
    </row>
    <row r="12" spans="2:11">
      <c r="D12" s="13">
        <v>46122</v>
      </c>
      <c r="E12" s="14">
        <v>1593861</v>
      </c>
      <c r="F12" s="14" t="s">
        <v>15</v>
      </c>
      <c r="G12" s="9">
        <v>20009674</v>
      </c>
      <c r="H12" s="14" t="s">
        <v>16</v>
      </c>
      <c r="I12" s="9">
        <v>2</v>
      </c>
      <c r="J12" s="15">
        <v>38.5</v>
      </c>
      <c r="K12" s="15">
        <f t="shared" ref="K12:K33" si="0">J12*I12</f>
        <v>77</v>
      </c>
    </row>
    <row r="13" spans="2:11">
      <c r="D13" s="13">
        <v>46122</v>
      </c>
      <c r="E13" s="14">
        <v>1593861</v>
      </c>
      <c r="F13" s="14" t="s">
        <v>15</v>
      </c>
      <c r="G13" s="9">
        <v>20013197</v>
      </c>
      <c r="H13" s="14" t="s">
        <v>17</v>
      </c>
      <c r="I13" s="9">
        <v>9</v>
      </c>
      <c r="J13" s="15">
        <v>121</v>
      </c>
      <c r="K13" s="15">
        <f t="shared" si="0"/>
        <v>1089</v>
      </c>
    </row>
    <row r="14" spans="2:11">
      <c r="D14" s="13">
        <v>46122</v>
      </c>
      <c r="E14" s="14">
        <v>1593861</v>
      </c>
      <c r="F14" s="14" t="s">
        <v>15</v>
      </c>
      <c r="G14" s="9">
        <v>20322705</v>
      </c>
      <c r="H14" s="14" t="s">
        <v>18</v>
      </c>
      <c r="I14" s="9">
        <v>1</v>
      </c>
      <c r="J14" s="15">
        <v>143</v>
      </c>
      <c r="K14" s="15">
        <f t="shared" si="0"/>
        <v>143</v>
      </c>
    </row>
    <row r="15" spans="2:11">
      <c r="D15" s="13">
        <v>46132</v>
      </c>
      <c r="E15" s="14">
        <v>1596497</v>
      </c>
      <c r="F15" s="14" t="s">
        <v>15</v>
      </c>
      <c r="G15" s="9">
        <v>20013197</v>
      </c>
      <c r="H15" s="14" t="s">
        <v>17</v>
      </c>
      <c r="I15" s="9">
        <v>7</v>
      </c>
      <c r="J15" s="15">
        <v>121</v>
      </c>
      <c r="K15" s="15">
        <f t="shared" si="0"/>
        <v>847</v>
      </c>
    </row>
    <row r="16" spans="2:11">
      <c r="D16" s="13">
        <v>46140</v>
      </c>
      <c r="E16" s="14">
        <v>1598582</v>
      </c>
      <c r="F16" s="14" t="s">
        <v>15</v>
      </c>
      <c r="G16" s="9">
        <v>20009674</v>
      </c>
      <c r="H16" s="14" t="s">
        <v>16</v>
      </c>
      <c r="I16" s="9">
        <v>2</v>
      </c>
      <c r="J16" s="15">
        <v>38.5</v>
      </c>
      <c r="K16" s="15">
        <f t="shared" si="0"/>
        <v>77</v>
      </c>
    </row>
    <row r="17" spans="4:11">
      <c r="D17" s="13">
        <v>46140</v>
      </c>
      <c r="E17" s="14">
        <v>1598582</v>
      </c>
      <c r="F17" s="14" t="s">
        <v>15</v>
      </c>
      <c r="G17" s="9">
        <v>20013197</v>
      </c>
      <c r="H17" s="14" t="s">
        <v>17</v>
      </c>
      <c r="I17" s="9">
        <v>10</v>
      </c>
      <c r="J17" s="15">
        <v>121</v>
      </c>
      <c r="K17" s="15">
        <f t="shared" si="0"/>
        <v>1210</v>
      </c>
    </row>
    <row r="18" spans="4:11">
      <c r="D18" s="13">
        <v>46141</v>
      </c>
      <c r="E18" s="14">
        <v>1599386</v>
      </c>
      <c r="F18" s="14" t="s">
        <v>19</v>
      </c>
      <c r="G18" s="9">
        <v>20003025</v>
      </c>
      <c r="H18" s="14" t="s">
        <v>20</v>
      </c>
      <c r="I18" s="9">
        <v>1</v>
      </c>
      <c r="J18" s="15">
        <v>176</v>
      </c>
      <c r="K18" s="15">
        <f t="shared" si="0"/>
        <v>176</v>
      </c>
    </row>
    <row r="19" spans="4:11">
      <c r="D19" s="13">
        <v>46141</v>
      </c>
      <c r="E19" s="14">
        <v>1599386</v>
      </c>
      <c r="F19" s="14" t="s">
        <v>21</v>
      </c>
      <c r="G19" s="9">
        <v>20003024</v>
      </c>
      <c r="H19" s="14" t="s">
        <v>22</v>
      </c>
      <c r="I19" s="9">
        <v>3</v>
      </c>
      <c r="J19" s="15">
        <v>16</v>
      </c>
      <c r="K19" s="15">
        <f t="shared" si="0"/>
        <v>48</v>
      </c>
    </row>
    <row r="20" spans="4:11">
      <c r="D20" s="13">
        <v>46141</v>
      </c>
      <c r="E20" s="14">
        <v>1599386</v>
      </c>
      <c r="F20" s="14" t="s">
        <v>13</v>
      </c>
      <c r="G20" s="9">
        <v>20007962</v>
      </c>
      <c r="H20" s="14" t="s">
        <v>23</v>
      </c>
      <c r="I20" s="9">
        <v>2</v>
      </c>
      <c r="J20" s="15">
        <v>16.5</v>
      </c>
      <c r="K20" s="15">
        <f t="shared" si="0"/>
        <v>33</v>
      </c>
    </row>
    <row r="21" spans="4:11">
      <c r="D21" s="13">
        <v>46141</v>
      </c>
      <c r="E21" s="14">
        <v>1599386</v>
      </c>
      <c r="F21" s="14" t="s">
        <v>13</v>
      </c>
      <c r="G21" s="9">
        <v>20348847</v>
      </c>
      <c r="H21" s="14" t="s">
        <v>24</v>
      </c>
      <c r="I21" s="9">
        <v>1</v>
      </c>
      <c r="J21" s="15">
        <v>8</v>
      </c>
      <c r="K21" s="15">
        <f t="shared" si="0"/>
        <v>8</v>
      </c>
    </row>
    <row r="22" spans="4:11">
      <c r="D22" s="13">
        <v>46141</v>
      </c>
      <c r="E22" s="14">
        <v>1599386</v>
      </c>
      <c r="F22" s="14" t="s">
        <v>25</v>
      </c>
      <c r="G22" s="9">
        <v>20003050</v>
      </c>
      <c r="H22" s="14" t="s">
        <v>26</v>
      </c>
      <c r="I22" s="9">
        <v>1</v>
      </c>
      <c r="J22" s="15">
        <v>35</v>
      </c>
      <c r="K22" s="15">
        <f t="shared" si="0"/>
        <v>35</v>
      </c>
    </row>
    <row r="23" spans="4:11">
      <c r="D23" s="13">
        <v>46141</v>
      </c>
      <c r="E23" s="14">
        <v>1599386</v>
      </c>
      <c r="F23" s="14" t="s">
        <v>27</v>
      </c>
      <c r="G23" s="9">
        <v>20005903</v>
      </c>
      <c r="H23" s="14" t="s">
        <v>28</v>
      </c>
      <c r="I23" s="9">
        <v>1</v>
      </c>
      <c r="J23" s="15">
        <v>38.5</v>
      </c>
      <c r="K23" s="15">
        <f t="shared" si="0"/>
        <v>38.5</v>
      </c>
    </row>
    <row r="24" spans="4:11">
      <c r="D24" s="13">
        <v>46141</v>
      </c>
      <c r="E24" s="14">
        <v>1599386</v>
      </c>
      <c r="F24" s="14" t="s">
        <v>15</v>
      </c>
      <c r="G24" s="9">
        <v>20347342</v>
      </c>
      <c r="H24" s="14" t="s">
        <v>29</v>
      </c>
      <c r="I24" s="9">
        <v>1</v>
      </c>
      <c r="J24" s="15">
        <v>16.5</v>
      </c>
      <c r="K24" s="15">
        <f t="shared" si="0"/>
        <v>16.5</v>
      </c>
    </row>
    <row r="25" spans="4:11">
      <c r="D25" s="13">
        <v>46141</v>
      </c>
      <c r="E25" s="14">
        <v>1599386</v>
      </c>
      <c r="F25" s="14" t="s">
        <v>15</v>
      </c>
      <c r="G25" s="9">
        <v>20007965</v>
      </c>
      <c r="H25" s="14" t="s">
        <v>30</v>
      </c>
      <c r="I25" s="9">
        <v>1</v>
      </c>
      <c r="J25" s="15">
        <v>16.5</v>
      </c>
      <c r="K25" s="15">
        <f t="shared" si="0"/>
        <v>16.5</v>
      </c>
    </row>
    <row r="26" spans="4:11">
      <c r="D26" s="13">
        <v>46141</v>
      </c>
      <c r="E26" s="14">
        <v>1599386</v>
      </c>
      <c r="F26" s="14" t="s">
        <v>15</v>
      </c>
      <c r="G26" s="9">
        <v>20004840</v>
      </c>
      <c r="H26" s="14" t="s">
        <v>31</v>
      </c>
      <c r="I26" s="9">
        <v>1</v>
      </c>
      <c r="J26" s="15">
        <v>5.5</v>
      </c>
      <c r="K26" s="15">
        <f t="shared" si="0"/>
        <v>5.5</v>
      </c>
    </row>
    <row r="27" spans="4:11">
      <c r="D27" s="13">
        <v>46141</v>
      </c>
      <c r="E27" s="14">
        <v>1599386</v>
      </c>
      <c r="F27" s="14" t="s">
        <v>15</v>
      </c>
      <c r="G27" s="9">
        <v>20003907</v>
      </c>
      <c r="H27" s="14" t="s">
        <v>32</v>
      </c>
      <c r="I27" s="9">
        <v>3</v>
      </c>
      <c r="J27" s="15">
        <v>5.5</v>
      </c>
      <c r="K27" s="15">
        <f t="shared" si="0"/>
        <v>16.5</v>
      </c>
    </row>
    <row r="28" spans="4:11">
      <c r="D28" s="13">
        <v>46141</v>
      </c>
      <c r="E28" s="14">
        <v>1599386</v>
      </c>
      <c r="F28" s="14" t="s">
        <v>15</v>
      </c>
      <c r="G28" s="9">
        <v>20382008</v>
      </c>
      <c r="H28" s="14" t="s">
        <v>33</v>
      </c>
      <c r="I28" s="9">
        <v>1</v>
      </c>
      <c r="J28" s="15">
        <v>242</v>
      </c>
      <c r="K28" s="15">
        <f t="shared" si="0"/>
        <v>242</v>
      </c>
    </row>
    <row r="29" spans="4:11">
      <c r="D29" s="13">
        <v>46141</v>
      </c>
      <c r="E29" s="14">
        <v>1599386</v>
      </c>
      <c r="F29" s="14" t="s">
        <v>15</v>
      </c>
      <c r="G29" s="9">
        <v>20389854</v>
      </c>
      <c r="H29" s="14" t="s">
        <v>34</v>
      </c>
      <c r="I29" s="9">
        <v>1</v>
      </c>
      <c r="J29" s="15">
        <v>181.5</v>
      </c>
      <c r="K29" s="15">
        <f t="shared" si="0"/>
        <v>181.5</v>
      </c>
    </row>
    <row r="30" spans="4:11">
      <c r="D30" s="13">
        <v>46141</v>
      </c>
      <c r="E30" s="14">
        <v>1599386</v>
      </c>
      <c r="F30" s="14" t="s">
        <v>15</v>
      </c>
      <c r="G30" s="9">
        <v>20013197</v>
      </c>
      <c r="H30" s="14" t="s">
        <v>17</v>
      </c>
      <c r="I30" s="9">
        <v>4</v>
      </c>
      <c r="J30" s="15">
        <v>121</v>
      </c>
      <c r="K30" s="15">
        <f t="shared" si="0"/>
        <v>484</v>
      </c>
    </row>
    <row r="31" spans="4:11">
      <c r="D31" s="13">
        <v>46141</v>
      </c>
      <c r="E31" s="14">
        <v>1599386</v>
      </c>
      <c r="F31" s="14" t="s">
        <v>15</v>
      </c>
      <c r="G31" s="9">
        <v>20313441</v>
      </c>
      <c r="H31" s="14" t="s">
        <v>35</v>
      </c>
      <c r="I31" s="9">
        <v>2</v>
      </c>
      <c r="J31" s="15">
        <v>27.5</v>
      </c>
      <c r="K31" s="15">
        <f t="shared" si="0"/>
        <v>55</v>
      </c>
    </row>
    <row r="32" spans="4:11">
      <c r="D32" s="13">
        <v>46141</v>
      </c>
      <c r="E32" s="14">
        <v>1599386</v>
      </c>
      <c r="F32" s="14" t="s">
        <v>36</v>
      </c>
      <c r="G32" s="9">
        <v>20005928</v>
      </c>
      <c r="H32" s="14" t="s">
        <v>37</v>
      </c>
      <c r="I32" s="9">
        <v>3</v>
      </c>
      <c r="J32" s="15">
        <v>4</v>
      </c>
      <c r="K32" s="15">
        <f t="shared" si="0"/>
        <v>12</v>
      </c>
    </row>
    <row r="33" spans="4:11">
      <c r="D33" s="13">
        <v>46141</v>
      </c>
      <c r="E33" s="14">
        <v>1599386</v>
      </c>
      <c r="F33" s="14" t="s">
        <v>36</v>
      </c>
      <c r="G33" s="9">
        <v>20003027</v>
      </c>
      <c r="H33" s="14" t="s">
        <v>38</v>
      </c>
      <c r="I33" s="9">
        <v>3</v>
      </c>
      <c r="J33" s="15">
        <v>2.5</v>
      </c>
      <c r="K33" s="15">
        <f t="shared" si="0"/>
        <v>7.5</v>
      </c>
    </row>
  </sheetData>
  <autoFilter xmlns:etc="http://www.wps.cn/officeDocument/2017/etCustomData" ref="A9:K33" etc:filterBottomFollowUsedRange="0">
    <extLst/>
  </autoFilter>
  <mergeCells count="6">
    <mergeCell ref="D8:H8"/>
    <mergeCell ref="D10:H10"/>
    <mergeCell ref="C9:C33"/>
    <mergeCell ref="B4:H5"/>
    <mergeCell ref="A8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2026-05-07T00:54:53Z</dcterms:created>
  <dcterms:modified xsi:type="dcterms:W3CDTF">2026-05-07T00:59:41Z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6E09D65BA8274D279C46FCBBAD53D05F_13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