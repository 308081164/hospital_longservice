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<sst xmlns="http://schemas.openxmlformats.org/spreadsheetml/2006/main" count="321" uniqueCount="52">
  <si>
    <t>客户名称</t>
  </si>
  <si>
    <t>运送点名称</t>
  </si>
  <si>
    <t>包名</t>
  </si>
  <si>
    <t>带量器械名称</t>
  </si>
  <si>
    <t>发货日期</t>
  </si>
  <si>
    <t>组件类型</t>
  </si>
  <si>
    <t>组件名</t>
  </si>
  <si>
    <t>组件数量</t>
  </si>
  <si>
    <t>单价</t>
  </si>
  <si>
    <t>金额</t>
  </si>
  <si>
    <t>省医院集采数量</t>
  </si>
  <si>
    <t>省医院集采金额</t>
  </si>
  <si>
    <t>厂家自付数量</t>
  </si>
  <si>
    <t>厂家自付金额</t>
  </si>
  <si>
    <t>科室</t>
  </si>
  <si>
    <t>医生</t>
  </si>
  <si>
    <t>国药器械黑龙江科学器材有限公司</t>
  </si>
  <si>
    <t>黑龙江省医院（南岗分院）</t>
  </si>
  <si>
    <t>马书明-股骨颈骨折   1/3</t>
  </si>
  <si>
    <t>半髋</t>
  </si>
  <si>
    <t>器械-器皿</t>
  </si>
  <si>
    <t>自带篮筐</t>
  </si>
  <si>
    <t>南岗骨科</t>
  </si>
  <si>
    <t>曲建波</t>
  </si>
  <si>
    <t>器械</t>
  </si>
  <si>
    <t>外来器械组件</t>
  </si>
  <si>
    <t>马书明-股骨颈骨折   2/3</t>
  </si>
  <si>
    <t>马书明-股骨颈骨折   3/3</t>
  </si>
  <si>
    <t>王晓彦-桡骨骨折  1/1</t>
  </si>
  <si>
    <t>2.4器械</t>
  </si>
  <si>
    <t xml:space="preserve">植入物-钉 </t>
  </si>
  <si>
    <t xml:space="preserve">植入物-板 </t>
  </si>
  <si>
    <t>李凤兰-右股骨粗隆间骨折  1/5</t>
  </si>
  <si>
    <t>股骨髓内钉</t>
  </si>
  <si>
    <t>刘喜庆</t>
  </si>
  <si>
    <t xml:space="preserve">植入物 </t>
  </si>
  <si>
    <t>李凤兰-右股骨粗隆间骨折  2/5</t>
  </si>
  <si>
    <t>李凤兰-右股骨粗隆间骨折  3/5</t>
  </si>
  <si>
    <t>李凤兰-右股骨粗隆间骨折  4/5</t>
  </si>
  <si>
    <t xml:space="preserve">封帽 </t>
  </si>
  <si>
    <t>李凤兰-右股骨粗隆间骨折  5/5</t>
  </si>
  <si>
    <t>王国栋-胫骨闭合性骨折1/1</t>
  </si>
  <si>
    <t>上肢</t>
  </si>
  <si>
    <t xml:space="preserve">组件-1 </t>
  </si>
  <si>
    <t>潘智-股骨颈骨折1/4</t>
  </si>
  <si>
    <t>全髋</t>
  </si>
  <si>
    <t>潘智-股骨颈骨折2/4</t>
  </si>
  <si>
    <t>潘智-股骨颈骨折3/4</t>
  </si>
  <si>
    <t>潘智-股骨颈骨折4/4</t>
  </si>
  <si>
    <t>黄学浦-股骨颈骨折  1/2</t>
  </si>
  <si>
    <t>黄学浦-股骨颈骨折  2/2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</si>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</sst>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yyyy/m/d;@"/>
    <numFmt numFmtId="178" formatCode="#,##0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5" fillId="0" borderId="0"/>
  </cellStyleXfs>
  <cellXfs count="11">
    <xf numFmtId="0" fontId="0" fillId="0" borderId="0" xfId="0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177" fontId="3" fillId="0" borderId="1" xfId="49" applyNumberFormat="1" applyFont="1" applyFill="1" applyBorder="1" applyAlignment="1">
      <alignment horizontal="center" vertical="center" wrapText="1" readingOrder="1"/>
    </xf>
    <xf numFmtId="178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view="pageBreakPreview" zoomScaleNormal="100" topLeftCell="B16" workbookViewId="0">
      <selection activeCell="D61" sqref="D60:D61"/>
    </sheetView>
  </sheetViews>
  <sheetFormatPr defaultColWidth="9" defaultRowHeight="13.5"/>
  <cols>
    <col min="1" max="1" width="30.0083333333333" customWidth="1"/>
    <col min="2" max="2" width="27.0083333333333" customWidth="1"/>
    <col min="3" max="3" width="27.675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0.0083333333333" customWidth="1"/>
    <col min="10" max="10" width="12.0083333333333" hidden="1" customWidth="1"/>
    <col min="11" max="12" width="17.8416666666667" customWidth="1"/>
    <col min="13" max="14" width="16.0083333333333" hidden="1" customWidth="1"/>
    <col min="15" max="15" width="11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2.5" customHeight="1" spans="1:16">
      <c r="A2" s="3" t="s">
        <v>16</v>
      </c>
      <c r="B2" s="3" t="s">
        <v>17</v>
      </c>
      <c r="C2" s="3" t="s">
        <v>18</v>
      </c>
      <c r="D2" s="4" t="s">
        <v>19</v>
      </c>
      <c r="E2" s="5">
        <v>46043.7744228009</v>
      </c>
      <c r="F2" s="3" t="s">
        <v>20</v>
      </c>
      <c r="G2" s="3" t="s">
        <v>21</v>
      </c>
      <c r="H2" s="6">
        <v>1</v>
      </c>
      <c r="I2" s="7">
        <v>3.3</v>
      </c>
      <c r="J2" s="7">
        <f t="shared" ref="J2:J8" si="0">H2*I2</f>
        <v>3.3</v>
      </c>
      <c r="K2" s="7">
        <v>1</v>
      </c>
      <c r="L2" s="7">
        <v>3.3</v>
      </c>
      <c r="M2" s="7"/>
      <c r="N2" s="7"/>
      <c r="O2" s="8" t="s">
        <v>22</v>
      </c>
      <c r="P2" s="8" t="s">
        <v>23</v>
      </c>
    </row>
    <row r="3" ht="22.5" customHeight="1" spans="1:16">
      <c r="A3" s="3" t="s">
        <v>16</v>
      </c>
      <c r="B3" s="3" t="s">
        <v>17</v>
      </c>
      <c r="C3" s="3" t="s">
        <v>18</v>
      </c>
      <c r="D3" s="4" t="s">
        <v>19</v>
      </c>
      <c r="E3" s="5">
        <v>46043.7744228009</v>
      </c>
      <c r="F3" s="3" t="s">
        <v>24</v>
      </c>
      <c r="G3" s="3" t="s">
        <v>25</v>
      </c>
      <c r="H3" s="6">
        <v>8</v>
      </c>
      <c r="I3" s="7">
        <v>3.3</v>
      </c>
      <c r="J3" s="7">
        <f t="shared" si="0"/>
        <v>26.4</v>
      </c>
      <c r="K3" s="7">
        <v>8</v>
      </c>
      <c r="L3" s="7">
        <v>26.4</v>
      </c>
      <c r="M3" s="7"/>
      <c r="N3" s="7"/>
      <c r="O3" s="8" t="s">
        <v>22</v>
      </c>
      <c r="P3" s="8" t="s">
        <v>23</v>
      </c>
    </row>
    <row r="4" ht="22.5" customHeight="1" spans="1:16">
      <c r="A4" s="3" t="s">
        <v>16</v>
      </c>
      <c r="B4" s="3" t="s">
        <v>17</v>
      </c>
      <c r="C4" s="3" t="s">
        <v>26</v>
      </c>
      <c r="D4" s="4" t="s">
        <v>19</v>
      </c>
      <c r="E4" s="5">
        <v>46043.7744279745</v>
      </c>
      <c r="F4" s="3" t="s">
        <v>20</v>
      </c>
      <c r="G4" s="3" t="s">
        <v>21</v>
      </c>
      <c r="H4" s="6">
        <v>1</v>
      </c>
      <c r="I4" s="7">
        <v>3.3</v>
      </c>
      <c r="J4" s="7">
        <f t="shared" si="0"/>
        <v>3.3</v>
      </c>
      <c r="K4" s="7">
        <v>1</v>
      </c>
      <c r="L4" s="7">
        <v>3.3</v>
      </c>
      <c r="M4" s="7"/>
      <c r="N4" s="7"/>
      <c r="O4" s="8" t="s">
        <v>22</v>
      </c>
      <c r="P4" s="8" t="s">
        <v>23</v>
      </c>
    </row>
    <row r="5" ht="22.5" customHeight="1" spans="1:16">
      <c r="A5" s="3" t="s">
        <v>16</v>
      </c>
      <c r="B5" s="3" t="s">
        <v>17</v>
      </c>
      <c r="C5" s="3" t="s">
        <v>26</v>
      </c>
      <c r="D5" s="4" t="s">
        <v>19</v>
      </c>
      <c r="E5" s="5">
        <v>46043.7744279745</v>
      </c>
      <c r="F5" s="3" t="s">
        <v>24</v>
      </c>
      <c r="G5" s="3" t="s">
        <v>25</v>
      </c>
      <c r="H5" s="6">
        <v>34</v>
      </c>
      <c r="I5" s="7">
        <v>3.3</v>
      </c>
      <c r="J5" s="7">
        <f t="shared" si="0"/>
        <v>112.2</v>
      </c>
      <c r="K5" s="7">
        <v>25</v>
      </c>
      <c r="L5" s="7">
        <f>K5*3.3</f>
        <v>82.5</v>
      </c>
      <c r="M5" s="7">
        <v>9</v>
      </c>
      <c r="N5" s="7">
        <f>M5*3.3</f>
        <v>29.7</v>
      </c>
      <c r="O5" s="8" t="s">
        <v>22</v>
      </c>
      <c r="P5" s="8" t="s">
        <v>23</v>
      </c>
    </row>
    <row r="6" ht="22.5" customHeight="1" spans="1:16">
      <c r="A6" s="3" t="s">
        <v>16</v>
      </c>
      <c r="B6" s="3" t="s">
        <v>17</v>
      </c>
      <c r="C6" s="3" t="s">
        <v>27</v>
      </c>
      <c r="D6" s="4" t="s">
        <v>19</v>
      </c>
      <c r="E6" s="5">
        <v>46043.7744295949</v>
      </c>
      <c r="F6" s="3" t="s">
        <v>20</v>
      </c>
      <c r="G6" s="3" t="s">
        <v>21</v>
      </c>
      <c r="H6" s="6">
        <v>1</v>
      </c>
      <c r="I6" s="7">
        <v>3.3</v>
      </c>
      <c r="J6" s="7">
        <f t="shared" si="0"/>
        <v>3.3</v>
      </c>
      <c r="K6" s="7">
        <v>1</v>
      </c>
      <c r="L6" s="7">
        <v>3.3</v>
      </c>
      <c r="M6" s="7"/>
      <c r="N6" s="7"/>
      <c r="O6" s="8" t="s">
        <v>22</v>
      </c>
      <c r="P6" s="8" t="s">
        <v>23</v>
      </c>
    </row>
    <row r="7" ht="22.5" customHeight="1" spans="1:16">
      <c r="A7" s="3" t="s">
        <v>16</v>
      </c>
      <c r="B7" s="3" t="s">
        <v>17</v>
      </c>
      <c r="C7" s="3" t="s">
        <v>27</v>
      </c>
      <c r="D7" s="4" t="s">
        <v>19</v>
      </c>
      <c r="E7" s="5">
        <v>46043.7744295949</v>
      </c>
      <c r="F7" s="3" t="s">
        <v>24</v>
      </c>
      <c r="G7" s="3" t="s">
        <v>25</v>
      </c>
      <c r="H7" s="6">
        <v>19</v>
      </c>
      <c r="I7" s="7">
        <v>3.3</v>
      </c>
      <c r="J7" s="7">
        <f t="shared" si="0"/>
        <v>62.7</v>
      </c>
      <c r="K7" s="7">
        <v>19</v>
      </c>
      <c r="L7" s="7">
        <v>62.7</v>
      </c>
      <c r="M7" s="7"/>
      <c r="N7" s="7"/>
      <c r="O7" s="8" t="s">
        <v>22</v>
      </c>
      <c r="P7" s="8" t="s">
        <v>23</v>
      </c>
    </row>
    <row r="8" ht="22.5" customHeight="1" spans="1:16">
      <c r="A8" s="3" t="s">
        <v>16</v>
      </c>
      <c r="B8" s="3" t="s">
        <v>17</v>
      </c>
      <c r="C8" s="3" t="s">
        <v>28</v>
      </c>
      <c r="D8" s="4" t="s">
        <v>29</v>
      </c>
      <c r="E8" s="5">
        <v>46049.8357986111</v>
      </c>
      <c r="F8" s="3" t="s">
        <v>24</v>
      </c>
      <c r="G8" s="3" t="s">
        <v>30</v>
      </c>
      <c r="H8" s="3">
        <v>120</v>
      </c>
      <c r="I8" s="9">
        <v>120</v>
      </c>
      <c r="J8" s="9">
        <v>120</v>
      </c>
      <c r="K8" s="9">
        <v>120</v>
      </c>
      <c r="L8" s="9">
        <v>120</v>
      </c>
      <c r="M8" s="9"/>
      <c r="N8" s="9"/>
      <c r="O8" s="10" t="s">
        <v>22</v>
      </c>
      <c r="P8" s="10" t="s">
        <v>23</v>
      </c>
    </row>
    <row r="9" ht="22.5" customHeight="1" spans="1:16">
      <c r="A9" s="3" t="s">
        <v>16</v>
      </c>
      <c r="B9" s="3" t="s">
        <v>17</v>
      </c>
      <c r="C9" s="3" t="s">
        <v>28</v>
      </c>
      <c r="D9" s="4" t="s">
        <v>29</v>
      </c>
      <c r="E9" s="5">
        <v>46049.8357986111</v>
      </c>
      <c r="F9" s="3" t="s">
        <v>24</v>
      </c>
      <c r="G9" s="3" t="s">
        <v>31</v>
      </c>
      <c r="H9" s="6">
        <v>5</v>
      </c>
      <c r="I9" s="9">
        <v>3.3</v>
      </c>
      <c r="J9" s="9">
        <f t="shared" ref="J9:J19" si="1">H9*I9</f>
        <v>16.5</v>
      </c>
      <c r="K9" s="9">
        <v>5</v>
      </c>
      <c r="L9" s="9">
        <v>16.5</v>
      </c>
      <c r="M9" s="9"/>
      <c r="N9" s="9"/>
      <c r="O9" s="10" t="s">
        <v>22</v>
      </c>
      <c r="P9" s="10" t="s">
        <v>23</v>
      </c>
    </row>
    <row r="10" ht="22.5" customHeight="1" spans="1:16">
      <c r="A10" s="3" t="s">
        <v>16</v>
      </c>
      <c r="B10" s="3" t="s">
        <v>17</v>
      </c>
      <c r="C10" s="3" t="s">
        <v>28</v>
      </c>
      <c r="D10" s="4" t="s">
        <v>29</v>
      </c>
      <c r="E10" s="5">
        <v>46049.8357986111</v>
      </c>
      <c r="F10" s="3" t="s">
        <v>24</v>
      </c>
      <c r="G10" s="3" t="s">
        <v>25</v>
      </c>
      <c r="H10" s="6">
        <v>14</v>
      </c>
      <c r="I10" s="9">
        <v>3.3</v>
      </c>
      <c r="J10" s="9">
        <f t="shared" si="1"/>
        <v>46.2</v>
      </c>
      <c r="K10" s="9">
        <v>14</v>
      </c>
      <c r="L10" s="9">
        <v>46.2</v>
      </c>
      <c r="M10" s="9"/>
      <c r="N10" s="9"/>
      <c r="O10" s="10" t="s">
        <v>22</v>
      </c>
      <c r="P10" s="10" t="s">
        <v>23</v>
      </c>
    </row>
    <row r="11" ht="22.5" customHeight="1" spans="1:16">
      <c r="A11" s="3" t="s">
        <v>16</v>
      </c>
      <c r="B11" s="3" t="s">
        <v>17</v>
      </c>
      <c r="C11" s="3" t="s">
        <v>28</v>
      </c>
      <c r="D11" s="4" t="s">
        <v>29</v>
      </c>
      <c r="E11" s="5">
        <v>46049.8357986111</v>
      </c>
      <c r="F11" s="3" t="s">
        <v>20</v>
      </c>
      <c r="G11" s="3" t="s">
        <v>21</v>
      </c>
      <c r="H11" s="6">
        <v>1</v>
      </c>
      <c r="I11" s="9">
        <v>3.3</v>
      </c>
      <c r="J11" s="9">
        <f t="shared" si="1"/>
        <v>3.3</v>
      </c>
      <c r="K11" s="9">
        <v>1</v>
      </c>
      <c r="L11" s="9">
        <v>3.3</v>
      </c>
      <c r="M11" s="9"/>
      <c r="N11" s="9"/>
      <c r="O11" s="10" t="s">
        <v>22</v>
      </c>
      <c r="P11" s="10" t="s">
        <v>23</v>
      </c>
    </row>
    <row r="12" ht="22.5" customHeight="1" spans="1:16">
      <c r="A12" s="3" t="s">
        <v>16</v>
      </c>
      <c r="B12" s="3" t="s">
        <v>17</v>
      </c>
      <c r="C12" s="3" t="s">
        <v>32</v>
      </c>
      <c r="D12" s="4" t="s">
        <v>33</v>
      </c>
      <c r="E12" s="5">
        <v>46050.8900209144</v>
      </c>
      <c r="F12" s="3" t="s">
        <v>24</v>
      </c>
      <c r="G12" s="3" t="s">
        <v>25</v>
      </c>
      <c r="H12" s="6">
        <v>11</v>
      </c>
      <c r="I12" s="9">
        <v>3.3</v>
      </c>
      <c r="J12" s="9">
        <f t="shared" si="1"/>
        <v>36.3</v>
      </c>
      <c r="K12" s="9">
        <v>11</v>
      </c>
      <c r="L12" s="9">
        <v>36.3</v>
      </c>
      <c r="M12" s="9"/>
      <c r="N12" s="9"/>
      <c r="O12" s="10" t="s">
        <v>22</v>
      </c>
      <c r="P12" s="10" t="s">
        <v>34</v>
      </c>
    </row>
    <row r="13" ht="22.5" customHeight="1" spans="1:16">
      <c r="A13" s="3" t="s">
        <v>16</v>
      </c>
      <c r="B13" s="3" t="s">
        <v>17</v>
      </c>
      <c r="C13" s="3" t="s">
        <v>32</v>
      </c>
      <c r="D13" s="4" t="s">
        <v>33</v>
      </c>
      <c r="E13" s="5">
        <v>46050.8900209144</v>
      </c>
      <c r="F13" s="3" t="s">
        <v>24</v>
      </c>
      <c r="G13" s="3" t="s">
        <v>35</v>
      </c>
      <c r="H13" s="6">
        <v>8</v>
      </c>
      <c r="I13" s="9">
        <v>3.3</v>
      </c>
      <c r="J13" s="9">
        <f t="shared" si="1"/>
        <v>26.4</v>
      </c>
      <c r="K13" s="9">
        <v>8</v>
      </c>
      <c r="L13" s="9">
        <v>26.4</v>
      </c>
      <c r="M13" s="9"/>
      <c r="N13" s="9"/>
      <c r="O13" s="10" t="s">
        <v>22</v>
      </c>
      <c r="P13" s="10" t="s">
        <v>34</v>
      </c>
    </row>
    <row r="14" ht="22.5" customHeight="1" spans="1:16">
      <c r="A14" s="3" t="s">
        <v>16</v>
      </c>
      <c r="B14" s="3" t="s">
        <v>17</v>
      </c>
      <c r="C14" s="3" t="s">
        <v>32</v>
      </c>
      <c r="D14" s="4" t="s">
        <v>33</v>
      </c>
      <c r="E14" s="5">
        <v>46050.8900209144</v>
      </c>
      <c r="F14" s="3" t="s">
        <v>20</v>
      </c>
      <c r="G14" s="3" t="s">
        <v>21</v>
      </c>
      <c r="H14" s="6">
        <v>1</v>
      </c>
      <c r="I14" s="9">
        <v>3.3</v>
      </c>
      <c r="J14" s="9">
        <f t="shared" si="1"/>
        <v>3.3</v>
      </c>
      <c r="K14" s="9">
        <v>1</v>
      </c>
      <c r="L14" s="9">
        <v>3.3</v>
      </c>
      <c r="M14" s="9"/>
      <c r="N14" s="9"/>
      <c r="O14" s="10" t="s">
        <v>22</v>
      </c>
      <c r="P14" s="10" t="s">
        <v>34</v>
      </c>
    </row>
    <row r="15" ht="22.5" customHeight="1" spans="1:16">
      <c r="A15" s="3" t="s">
        <v>16</v>
      </c>
      <c r="B15" s="3" t="s">
        <v>17</v>
      </c>
      <c r="C15" s="3" t="s">
        <v>36</v>
      </c>
      <c r="D15" s="4" t="s">
        <v>33</v>
      </c>
      <c r="E15" s="5">
        <v>46050.8900055208</v>
      </c>
      <c r="F15" s="3" t="s">
        <v>20</v>
      </c>
      <c r="G15" s="3" t="s">
        <v>21</v>
      </c>
      <c r="H15" s="6">
        <v>1</v>
      </c>
      <c r="I15" s="9">
        <v>3.3</v>
      </c>
      <c r="J15" s="9">
        <f t="shared" si="1"/>
        <v>3.3</v>
      </c>
      <c r="K15" s="9">
        <v>1</v>
      </c>
      <c r="L15" s="9">
        <v>3.3</v>
      </c>
      <c r="M15" s="9"/>
      <c r="N15" s="9"/>
      <c r="O15" s="10" t="s">
        <v>22</v>
      </c>
      <c r="P15" s="10" t="s">
        <v>34</v>
      </c>
    </row>
    <row r="16" ht="22.5" customHeight="1" spans="1:16">
      <c r="A16" s="3" t="s">
        <v>16</v>
      </c>
      <c r="B16" s="3" t="s">
        <v>17</v>
      </c>
      <c r="C16" s="3" t="s">
        <v>36</v>
      </c>
      <c r="D16" s="4" t="s">
        <v>33</v>
      </c>
      <c r="E16" s="5">
        <v>46050.8900055208</v>
      </c>
      <c r="F16" s="3" t="s">
        <v>24</v>
      </c>
      <c r="G16" s="3" t="s">
        <v>25</v>
      </c>
      <c r="H16" s="6">
        <v>12</v>
      </c>
      <c r="I16" s="9">
        <v>3.3</v>
      </c>
      <c r="J16" s="9">
        <f t="shared" si="1"/>
        <v>39.6</v>
      </c>
      <c r="K16" s="9">
        <v>12</v>
      </c>
      <c r="L16" s="9">
        <v>39.6</v>
      </c>
      <c r="M16" s="9"/>
      <c r="N16" s="9"/>
      <c r="O16" s="10" t="s">
        <v>22</v>
      </c>
      <c r="P16" s="10" t="s">
        <v>34</v>
      </c>
    </row>
    <row r="17" ht="22.5" customHeight="1" spans="1:16">
      <c r="A17" s="3" t="s">
        <v>16</v>
      </c>
      <c r="B17" s="3" t="s">
        <v>17</v>
      </c>
      <c r="C17" s="3" t="s">
        <v>37</v>
      </c>
      <c r="D17" s="4" t="s">
        <v>33</v>
      </c>
      <c r="E17" s="5">
        <v>46050.8900107639</v>
      </c>
      <c r="F17" s="3" t="s">
        <v>24</v>
      </c>
      <c r="G17" s="3" t="s">
        <v>25</v>
      </c>
      <c r="H17" s="6">
        <v>13</v>
      </c>
      <c r="I17" s="9">
        <v>3.3</v>
      </c>
      <c r="J17" s="9">
        <f t="shared" si="1"/>
        <v>42.9</v>
      </c>
      <c r="K17" s="9">
        <v>13</v>
      </c>
      <c r="L17" s="9">
        <v>42.9</v>
      </c>
      <c r="M17" s="9"/>
      <c r="N17" s="9"/>
      <c r="O17" s="10" t="s">
        <v>22</v>
      </c>
      <c r="P17" s="10" t="s">
        <v>34</v>
      </c>
    </row>
    <row r="18" ht="22.5" customHeight="1" spans="1:16">
      <c r="A18" s="3" t="s">
        <v>16</v>
      </c>
      <c r="B18" s="3" t="s">
        <v>17</v>
      </c>
      <c r="C18" s="3" t="s">
        <v>37</v>
      </c>
      <c r="D18" s="4" t="s">
        <v>33</v>
      </c>
      <c r="E18" s="5">
        <v>46050.8900107639</v>
      </c>
      <c r="F18" s="3" t="s">
        <v>20</v>
      </c>
      <c r="G18" s="3" t="s">
        <v>21</v>
      </c>
      <c r="H18" s="6">
        <v>1</v>
      </c>
      <c r="I18" s="9">
        <v>3.3</v>
      </c>
      <c r="J18" s="9">
        <f t="shared" si="1"/>
        <v>3.3</v>
      </c>
      <c r="K18" s="9">
        <v>1</v>
      </c>
      <c r="L18" s="9">
        <v>3.3</v>
      </c>
      <c r="M18" s="9"/>
      <c r="N18" s="9"/>
      <c r="O18" s="10" t="s">
        <v>22</v>
      </c>
      <c r="P18" s="10" t="s">
        <v>34</v>
      </c>
    </row>
    <row r="19" ht="22.5" customHeight="1" spans="1:16">
      <c r="A19" s="3" t="s">
        <v>16</v>
      </c>
      <c r="B19" s="3" t="s">
        <v>17</v>
      </c>
      <c r="C19" s="3" t="s">
        <v>38</v>
      </c>
      <c r="D19" s="4" t="s">
        <v>33</v>
      </c>
      <c r="E19" s="5">
        <v>46050.8900260069</v>
      </c>
      <c r="F19" s="3" t="s">
        <v>20</v>
      </c>
      <c r="G19" s="3" t="s">
        <v>21</v>
      </c>
      <c r="H19" s="6">
        <v>1</v>
      </c>
      <c r="I19" s="9">
        <v>3.3</v>
      </c>
      <c r="J19" s="9">
        <f t="shared" si="1"/>
        <v>3.3</v>
      </c>
      <c r="K19" s="9">
        <v>1</v>
      </c>
      <c r="L19" s="9">
        <v>3.3</v>
      </c>
      <c r="M19" s="9"/>
      <c r="N19" s="9"/>
      <c r="O19" s="10" t="s">
        <v>22</v>
      </c>
      <c r="P19" s="10" t="s">
        <v>34</v>
      </c>
    </row>
    <row r="20" ht="22.5" customHeight="1" spans="1:16">
      <c r="A20" s="3" t="s">
        <v>16</v>
      </c>
      <c r="B20" s="3" t="s">
        <v>17</v>
      </c>
      <c r="C20" s="3" t="s">
        <v>38</v>
      </c>
      <c r="D20" s="4" t="s">
        <v>33</v>
      </c>
      <c r="E20" s="5">
        <v>46050.8900260069</v>
      </c>
      <c r="F20" s="3" t="s">
        <v>24</v>
      </c>
      <c r="G20" s="3" t="s">
        <v>30</v>
      </c>
      <c r="H20" s="3">
        <v>37</v>
      </c>
      <c r="I20" s="9">
        <v>120</v>
      </c>
      <c r="J20" s="9">
        <v>120</v>
      </c>
      <c r="K20" s="9">
        <v>37</v>
      </c>
      <c r="L20" s="9">
        <v>120</v>
      </c>
      <c r="M20" s="9"/>
      <c r="N20" s="9"/>
      <c r="O20" s="10" t="s">
        <v>22</v>
      </c>
      <c r="P20" s="10" t="s">
        <v>34</v>
      </c>
    </row>
    <row r="21" ht="22.5" customHeight="1" spans="1:16">
      <c r="A21" s="3" t="s">
        <v>16</v>
      </c>
      <c r="B21" s="3" t="s">
        <v>17</v>
      </c>
      <c r="C21" s="3" t="s">
        <v>38</v>
      </c>
      <c r="D21" s="4" t="s">
        <v>33</v>
      </c>
      <c r="E21" s="5">
        <v>46050.8900260069</v>
      </c>
      <c r="F21" s="3" t="s">
        <v>24</v>
      </c>
      <c r="G21" s="3" t="s">
        <v>39</v>
      </c>
      <c r="H21" s="6">
        <v>4</v>
      </c>
      <c r="I21" s="9">
        <v>3.3</v>
      </c>
      <c r="J21" s="9">
        <f t="shared" ref="J21:J24" si="2">H21*I21</f>
        <v>13.2</v>
      </c>
      <c r="K21" s="9">
        <v>4</v>
      </c>
      <c r="L21" s="9">
        <v>13.2</v>
      </c>
      <c r="M21" s="9"/>
      <c r="N21" s="9"/>
      <c r="O21" s="10" t="s">
        <v>22</v>
      </c>
      <c r="P21" s="10" t="s">
        <v>34</v>
      </c>
    </row>
    <row r="22" ht="22.5" customHeight="1" spans="1:16">
      <c r="A22" s="3" t="s">
        <v>16</v>
      </c>
      <c r="B22" s="3" t="s">
        <v>17</v>
      </c>
      <c r="C22" s="3" t="s">
        <v>40</v>
      </c>
      <c r="D22" s="4" t="s">
        <v>33</v>
      </c>
      <c r="E22" s="5">
        <v>46050.8900159722</v>
      </c>
      <c r="F22" s="3" t="s">
        <v>20</v>
      </c>
      <c r="G22" s="3" t="s">
        <v>21</v>
      </c>
      <c r="H22" s="6">
        <v>1</v>
      </c>
      <c r="I22" s="9">
        <v>3.3</v>
      </c>
      <c r="J22" s="9">
        <f t="shared" si="2"/>
        <v>3.3</v>
      </c>
      <c r="K22" s="9">
        <v>1</v>
      </c>
      <c r="L22" s="9">
        <v>3.3</v>
      </c>
      <c r="M22" s="9"/>
      <c r="N22" s="9"/>
      <c r="O22" s="10" t="s">
        <v>22</v>
      </c>
      <c r="P22" s="10" t="s">
        <v>34</v>
      </c>
    </row>
    <row r="23" ht="22.5" customHeight="1" spans="1:16">
      <c r="A23" s="3" t="s">
        <v>16</v>
      </c>
      <c r="B23" s="3" t="s">
        <v>17</v>
      </c>
      <c r="C23" s="3" t="s">
        <v>40</v>
      </c>
      <c r="D23" s="4" t="s">
        <v>33</v>
      </c>
      <c r="E23" s="5">
        <v>46050.8900159722</v>
      </c>
      <c r="F23" s="3" t="s">
        <v>24</v>
      </c>
      <c r="G23" s="3" t="s">
        <v>25</v>
      </c>
      <c r="H23" s="6">
        <v>15</v>
      </c>
      <c r="I23" s="9">
        <v>3.3</v>
      </c>
      <c r="J23" s="9">
        <f t="shared" si="2"/>
        <v>49.5</v>
      </c>
      <c r="K23" s="9">
        <v>15</v>
      </c>
      <c r="L23" s="9">
        <v>49.5</v>
      </c>
      <c r="M23" s="9"/>
      <c r="N23" s="9"/>
      <c r="O23" s="10" t="s">
        <v>22</v>
      </c>
      <c r="P23" s="10" t="s">
        <v>34</v>
      </c>
    </row>
    <row r="24" ht="22.5" customHeight="1" spans="1:16">
      <c r="A24" s="3" t="s">
        <v>16</v>
      </c>
      <c r="B24" s="3" t="s">
        <v>17</v>
      </c>
      <c r="C24" s="3" t="s">
        <v>41</v>
      </c>
      <c r="D24" s="4" t="s">
        <v>42</v>
      </c>
      <c r="E24" s="4">
        <v>46055.4518799768</v>
      </c>
      <c r="F24" s="3" t="s">
        <v>24</v>
      </c>
      <c r="G24" s="3" t="s">
        <v>43</v>
      </c>
      <c r="H24" s="3">
        <v>16</v>
      </c>
      <c r="I24" s="9">
        <v>3.3</v>
      </c>
      <c r="J24" s="9">
        <f t="shared" si="2"/>
        <v>52.8</v>
      </c>
      <c r="K24" s="9">
        <v>16</v>
      </c>
      <c r="L24" s="9">
        <v>52.8</v>
      </c>
      <c r="M24" s="9"/>
      <c r="N24" s="9"/>
      <c r="O24" s="10" t="s">
        <v>22</v>
      </c>
      <c r="P24" s="10" t="s">
        <v>23</v>
      </c>
    </row>
    <row r="25" ht="22.5" customHeight="1" spans="1:16">
      <c r="A25" s="3" t="s">
        <v>16</v>
      </c>
      <c r="B25" s="3" t="s">
        <v>17</v>
      </c>
      <c r="C25" s="3" t="s">
        <v>41</v>
      </c>
      <c r="D25" s="4" t="s">
        <v>42</v>
      </c>
      <c r="E25" s="4">
        <v>46055.4518799768</v>
      </c>
      <c r="F25" s="3" t="s">
        <v>24</v>
      </c>
      <c r="G25" s="3" t="s">
        <v>30</v>
      </c>
      <c r="H25" s="3">
        <v>178</v>
      </c>
      <c r="I25" s="9">
        <v>120</v>
      </c>
      <c r="J25" s="9">
        <v>120</v>
      </c>
      <c r="K25" s="9">
        <v>178</v>
      </c>
      <c r="L25" s="9">
        <v>120</v>
      </c>
      <c r="M25" s="9"/>
      <c r="N25" s="9"/>
      <c r="O25" s="10" t="s">
        <v>22</v>
      </c>
      <c r="P25" s="10" t="s">
        <v>23</v>
      </c>
    </row>
    <row r="26" ht="22.5" customHeight="1" spans="1:16">
      <c r="A26" s="3" t="s">
        <v>16</v>
      </c>
      <c r="B26" s="3" t="s">
        <v>17</v>
      </c>
      <c r="C26" s="3" t="s">
        <v>41</v>
      </c>
      <c r="D26" s="4" t="s">
        <v>42</v>
      </c>
      <c r="E26" s="4">
        <v>46055.4518799768</v>
      </c>
      <c r="F26" s="3" t="s">
        <v>24</v>
      </c>
      <c r="G26" s="3" t="s">
        <v>31</v>
      </c>
      <c r="H26" s="3">
        <v>12</v>
      </c>
      <c r="I26" s="9">
        <v>3.3</v>
      </c>
      <c r="J26" s="9">
        <f t="shared" ref="J26:J35" si="3">H26*I26</f>
        <v>39.6</v>
      </c>
      <c r="K26" s="9">
        <v>12</v>
      </c>
      <c r="L26" s="9">
        <v>39.6</v>
      </c>
      <c r="M26" s="9"/>
      <c r="N26" s="9"/>
      <c r="O26" s="10" t="s">
        <v>22</v>
      </c>
      <c r="P26" s="10" t="s">
        <v>23</v>
      </c>
    </row>
    <row r="27" ht="22.5" customHeight="1" spans="1:16">
      <c r="A27" s="3" t="s">
        <v>16</v>
      </c>
      <c r="B27" s="3" t="s">
        <v>17</v>
      </c>
      <c r="C27" s="3" t="s">
        <v>41</v>
      </c>
      <c r="D27" s="4" t="s">
        <v>42</v>
      </c>
      <c r="E27" s="4">
        <v>46055.4518799768</v>
      </c>
      <c r="F27" s="3" t="s">
        <v>20</v>
      </c>
      <c r="G27" s="3" t="s">
        <v>21</v>
      </c>
      <c r="H27" s="3">
        <v>1</v>
      </c>
      <c r="I27" s="9">
        <v>3.3</v>
      </c>
      <c r="J27" s="9">
        <f t="shared" si="3"/>
        <v>3.3</v>
      </c>
      <c r="K27" s="9">
        <v>1</v>
      </c>
      <c r="L27" s="9">
        <v>3.3</v>
      </c>
      <c r="M27" s="9"/>
      <c r="N27" s="9"/>
      <c r="O27" s="10" t="s">
        <v>22</v>
      </c>
      <c r="P27" s="10" t="s">
        <v>23</v>
      </c>
    </row>
    <row r="28" ht="22.5" customHeight="1" spans="1:16">
      <c r="A28" s="3" t="s">
        <v>16</v>
      </c>
      <c r="B28" s="3" t="s">
        <v>17</v>
      </c>
      <c r="C28" s="3" t="s">
        <v>44</v>
      </c>
      <c r="D28" s="4" t="s">
        <v>45</v>
      </c>
      <c r="E28" s="5">
        <v>46058.6675743403</v>
      </c>
      <c r="F28" s="3" t="s">
        <v>20</v>
      </c>
      <c r="G28" s="3" t="s">
        <v>21</v>
      </c>
      <c r="H28" s="6">
        <v>1</v>
      </c>
      <c r="I28" s="9">
        <v>3.3</v>
      </c>
      <c r="J28" s="9">
        <f t="shared" si="3"/>
        <v>3.3</v>
      </c>
      <c r="K28" s="9">
        <v>1</v>
      </c>
      <c r="L28" s="9">
        <v>3.3</v>
      </c>
      <c r="M28" s="9"/>
      <c r="N28" s="9"/>
      <c r="O28" s="9" t="s">
        <v>22</v>
      </c>
      <c r="P28" s="10" t="s">
        <v>23</v>
      </c>
    </row>
    <row r="29" ht="22.5" customHeight="1" spans="1:16">
      <c r="A29" s="3" t="s">
        <v>16</v>
      </c>
      <c r="B29" s="3" t="s">
        <v>17</v>
      </c>
      <c r="C29" s="3" t="s">
        <v>44</v>
      </c>
      <c r="D29" s="4" t="s">
        <v>45</v>
      </c>
      <c r="E29" s="5">
        <v>46058.6675743403</v>
      </c>
      <c r="F29" s="3" t="s">
        <v>24</v>
      </c>
      <c r="G29" s="3" t="s">
        <v>25</v>
      </c>
      <c r="H29" s="6">
        <v>16</v>
      </c>
      <c r="I29" s="9">
        <v>3.3</v>
      </c>
      <c r="J29" s="9">
        <f t="shared" si="3"/>
        <v>52.8</v>
      </c>
      <c r="K29" s="9">
        <v>16</v>
      </c>
      <c r="L29" s="9">
        <v>52.8</v>
      </c>
      <c r="M29" s="9"/>
      <c r="N29" s="9"/>
      <c r="O29" s="9" t="s">
        <v>22</v>
      </c>
      <c r="P29" s="10" t="s">
        <v>23</v>
      </c>
    </row>
    <row r="30" ht="22.5" customHeight="1" spans="1:16">
      <c r="A30" s="3" t="s">
        <v>16</v>
      </c>
      <c r="B30" s="3" t="s">
        <v>17</v>
      </c>
      <c r="C30" s="3" t="s">
        <v>46</v>
      </c>
      <c r="D30" s="4" t="s">
        <v>45</v>
      </c>
      <c r="E30" s="5">
        <v>46058.6675767361</v>
      </c>
      <c r="F30" s="3" t="s">
        <v>24</v>
      </c>
      <c r="G30" s="3" t="s">
        <v>25</v>
      </c>
      <c r="H30" s="6">
        <v>21</v>
      </c>
      <c r="I30" s="9">
        <v>3.3</v>
      </c>
      <c r="J30" s="9">
        <f t="shared" si="3"/>
        <v>69.3</v>
      </c>
      <c r="K30" s="9">
        <v>21</v>
      </c>
      <c r="L30" s="9">
        <v>69.3</v>
      </c>
      <c r="M30" s="9"/>
      <c r="N30" s="9"/>
      <c r="O30" s="9" t="s">
        <v>22</v>
      </c>
      <c r="P30" s="10" t="s">
        <v>23</v>
      </c>
    </row>
    <row r="31" ht="22.5" customHeight="1" spans="1:16">
      <c r="A31" s="3" t="s">
        <v>16</v>
      </c>
      <c r="B31" s="3" t="s">
        <v>17</v>
      </c>
      <c r="C31" s="3" t="s">
        <v>46</v>
      </c>
      <c r="D31" s="4" t="s">
        <v>45</v>
      </c>
      <c r="E31" s="5">
        <v>46058.6675767361</v>
      </c>
      <c r="F31" s="3" t="s">
        <v>20</v>
      </c>
      <c r="G31" s="3" t="s">
        <v>21</v>
      </c>
      <c r="H31" s="6">
        <v>1</v>
      </c>
      <c r="I31" s="9">
        <v>3.3</v>
      </c>
      <c r="J31" s="9">
        <f t="shared" si="3"/>
        <v>3.3</v>
      </c>
      <c r="K31" s="9">
        <v>1</v>
      </c>
      <c r="L31" s="9">
        <v>3.3</v>
      </c>
      <c r="M31" s="9"/>
      <c r="N31" s="9"/>
      <c r="O31" s="9" t="s">
        <v>22</v>
      </c>
      <c r="P31" s="10" t="s">
        <v>23</v>
      </c>
    </row>
    <row r="32" ht="22.5" customHeight="1" spans="1:16">
      <c r="A32" s="3" t="s">
        <v>16</v>
      </c>
      <c r="B32" s="3" t="s">
        <v>17</v>
      </c>
      <c r="C32" s="3" t="s">
        <v>47</v>
      </c>
      <c r="D32" s="4" t="s">
        <v>45</v>
      </c>
      <c r="E32" s="5">
        <v>46058.6675790162</v>
      </c>
      <c r="F32" s="3" t="s">
        <v>20</v>
      </c>
      <c r="G32" s="3" t="s">
        <v>21</v>
      </c>
      <c r="H32" s="6">
        <v>1</v>
      </c>
      <c r="I32" s="9">
        <v>3.3</v>
      </c>
      <c r="J32" s="9">
        <f t="shared" si="3"/>
        <v>3.3</v>
      </c>
      <c r="K32" s="9">
        <v>1</v>
      </c>
      <c r="L32" s="9">
        <v>3.3</v>
      </c>
      <c r="M32" s="9"/>
      <c r="N32" s="9"/>
      <c r="O32" s="9" t="s">
        <v>22</v>
      </c>
      <c r="P32" s="10" t="s">
        <v>23</v>
      </c>
    </row>
    <row r="33" ht="22.5" customHeight="1" spans="1:16">
      <c r="A33" s="3" t="s">
        <v>16</v>
      </c>
      <c r="B33" s="3" t="s">
        <v>17</v>
      </c>
      <c r="C33" s="3" t="s">
        <v>47</v>
      </c>
      <c r="D33" s="4" t="s">
        <v>45</v>
      </c>
      <c r="E33" s="5">
        <v>46058.6675790162</v>
      </c>
      <c r="F33" s="3" t="s">
        <v>24</v>
      </c>
      <c r="G33" s="3" t="s">
        <v>25</v>
      </c>
      <c r="H33" s="6">
        <v>18</v>
      </c>
      <c r="I33" s="9">
        <v>3.3</v>
      </c>
      <c r="J33" s="9">
        <f t="shared" si="3"/>
        <v>59.4</v>
      </c>
      <c r="K33" s="9">
        <v>18</v>
      </c>
      <c r="L33" s="9">
        <v>59.4</v>
      </c>
      <c r="M33" s="9"/>
      <c r="N33" s="9"/>
      <c r="O33" s="9" t="s">
        <v>22</v>
      </c>
      <c r="P33" s="10" t="s">
        <v>23</v>
      </c>
    </row>
    <row r="34" ht="22.5" customHeight="1" spans="1:16">
      <c r="A34" s="3" t="s">
        <v>16</v>
      </c>
      <c r="B34" s="3" t="s">
        <v>17</v>
      </c>
      <c r="C34" s="3" t="s">
        <v>48</v>
      </c>
      <c r="D34" s="4" t="s">
        <v>45</v>
      </c>
      <c r="E34" s="5">
        <v>46058.66758125</v>
      </c>
      <c r="F34" s="3" t="s">
        <v>24</v>
      </c>
      <c r="G34" s="3" t="s">
        <v>25</v>
      </c>
      <c r="H34" s="6">
        <v>25</v>
      </c>
      <c r="I34" s="9">
        <v>3.3</v>
      </c>
      <c r="J34" s="9">
        <f t="shared" si="3"/>
        <v>82.5</v>
      </c>
      <c r="K34" s="9">
        <v>25</v>
      </c>
      <c r="L34" s="9">
        <v>82.5</v>
      </c>
      <c r="M34" s="9"/>
      <c r="N34" s="9"/>
      <c r="O34" s="9" t="s">
        <v>22</v>
      </c>
      <c r="P34" s="10" t="s">
        <v>23</v>
      </c>
    </row>
    <row r="35" ht="22.5" customHeight="1" spans="1:16">
      <c r="A35" s="3" t="s">
        <v>16</v>
      </c>
      <c r="B35" s="3" t="s">
        <v>17</v>
      </c>
      <c r="C35" s="3" t="s">
        <v>48</v>
      </c>
      <c r="D35" s="4" t="s">
        <v>45</v>
      </c>
      <c r="E35" s="5">
        <v>46058.66758125</v>
      </c>
      <c r="F35" s="3" t="s">
        <v>20</v>
      </c>
      <c r="G35" s="3" t="s">
        <v>21</v>
      </c>
      <c r="H35" s="6">
        <v>1</v>
      </c>
      <c r="I35" s="9">
        <v>3.3</v>
      </c>
      <c r="J35" s="9">
        <f t="shared" si="3"/>
        <v>3.3</v>
      </c>
      <c r="K35" s="9">
        <v>1</v>
      </c>
      <c r="L35" s="9">
        <v>3.3</v>
      </c>
      <c r="M35" s="9"/>
      <c r="N35" s="9"/>
      <c r="O35" s="9" t="s">
        <v>22</v>
      </c>
      <c r="P35" s="10" t="s">
        <v>23</v>
      </c>
    </row>
    <row r="36" ht="22.5" customHeight="1" spans="1:16">
      <c r="A36" s="3" t="s">
        <v>16</v>
      </c>
      <c r="B36" s="3" t="s">
        <v>17</v>
      </c>
      <c r="C36" s="3" t="s">
        <v>49</v>
      </c>
      <c r="D36" s="4" t="s">
        <v>19</v>
      </c>
      <c r="E36" s="5">
        <v>46066.5922386921</v>
      </c>
      <c r="F36" s="3" t="s">
        <v>24</v>
      </c>
      <c r="G36" s="3" t="s">
        <v>25</v>
      </c>
      <c r="H36" s="3">
        <v>25</v>
      </c>
      <c r="I36" s="9">
        <v>3.3</v>
      </c>
      <c r="J36" s="9">
        <f t="shared" ref="J36:J39" si="4">I36*H36</f>
        <v>82.5</v>
      </c>
      <c r="K36" s="9">
        <v>16</v>
      </c>
      <c r="L36" s="9">
        <f t="shared" ref="L36:L39" si="5">K36*3.3</f>
        <v>52.8</v>
      </c>
      <c r="M36" s="9">
        <v>9</v>
      </c>
      <c r="N36" s="9">
        <f>M36*3.3</f>
        <v>29.7</v>
      </c>
      <c r="O36" s="10" t="s">
        <v>22</v>
      </c>
      <c r="P36" s="10" t="s">
        <v>23</v>
      </c>
    </row>
    <row r="37" ht="22.5" customHeight="1" spans="1:16">
      <c r="A37" s="3" t="s">
        <v>16</v>
      </c>
      <c r="B37" s="3" t="s">
        <v>17</v>
      </c>
      <c r="C37" s="3" t="s">
        <v>49</v>
      </c>
      <c r="D37" s="4" t="s">
        <v>19</v>
      </c>
      <c r="E37" s="5">
        <v>46066.5922386921</v>
      </c>
      <c r="F37" s="3" t="s">
        <v>20</v>
      </c>
      <c r="G37" s="3" t="s">
        <v>21</v>
      </c>
      <c r="H37" s="3">
        <v>1</v>
      </c>
      <c r="I37" s="9">
        <v>3.3</v>
      </c>
      <c r="J37" s="9">
        <f t="shared" si="4"/>
        <v>3.3</v>
      </c>
      <c r="K37" s="9">
        <v>1</v>
      </c>
      <c r="L37" s="9">
        <f t="shared" si="5"/>
        <v>3.3</v>
      </c>
      <c r="M37" s="9"/>
      <c r="N37" s="9"/>
      <c r="O37" s="10" t="s">
        <v>22</v>
      </c>
      <c r="P37" s="10" t="s">
        <v>23</v>
      </c>
    </row>
    <row r="38" ht="22.5" customHeight="1" spans="1:16">
      <c r="A38" s="3" t="s">
        <v>16</v>
      </c>
      <c r="B38" s="3" t="s">
        <v>17</v>
      </c>
      <c r="C38" s="3" t="s">
        <v>50</v>
      </c>
      <c r="D38" s="4" t="s">
        <v>19</v>
      </c>
      <c r="E38" s="5">
        <v>46066.5922461806</v>
      </c>
      <c r="F38" s="3" t="s">
        <v>24</v>
      </c>
      <c r="G38" s="3" t="s">
        <v>25</v>
      </c>
      <c r="H38" s="3">
        <v>21</v>
      </c>
      <c r="I38" s="9">
        <v>3.3</v>
      </c>
      <c r="J38" s="9">
        <f t="shared" si="4"/>
        <v>69.3</v>
      </c>
      <c r="K38" s="9">
        <v>21</v>
      </c>
      <c r="L38" s="9">
        <f t="shared" si="5"/>
        <v>69.3</v>
      </c>
      <c r="M38" s="9"/>
      <c r="N38" s="9"/>
      <c r="O38" s="10" t="s">
        <v>22</v>
      </c>
      <c r="P38" s="10" t="s">
        <v>23</v>
      </c>
    </row>
    <row r="39" ht="22.5" customHeight="1" spans="1:16">
      <c r="A39" s="3" t="s">
        <v>16</v>
      </c>
      <c r="B39" s="3" t="s">
        <v>17</v>
      </c>
      <c r="C39" s="3" t="s">
        <v>50</v>
      </c>
      <c r="D39" s="4" t="s">
        <v>19</v>
      </c>
      <c r="E39" s="5">
        <v>46066.5922461806</v>
      </c>
      <c r="F39" s="3" t="s">
        <v>20</v>
      </c>
      <c r="G39" s="3" t="s">
        <v>21</v>
      </c>
      <c r="H39" s="3">
        <v>1</v>
      </c>
      <c r="I39" s="9">
        <v>3.3</v>
      </c>
      <c r="J39" s="9">
        <f t="shared" si="4"/>
        <v>3.3</v>
      </c>
      <c r="K39" s="9">
        <v>1</v>
      </c>
      <c r="L39" s="9">
        <f t="shared" si="5"/>
        <v>3.3</v>
      </c>
      <c r="M39" s="9"/>
      <c r="N39" s="9"/>
      <c r="O39" s="10" t="s">
        <v>22</v>
      </c>
      <c r="P39" s="10" t="s">
        <v>23</v>
      </c>
    </row>
    <row r="40" ht="22.5" customHeight="1" spans="1:16">
      <c r="A40" s="10"/>
      <c r="B40" s="10"/>
      <c r="C40" s="10" t="s">
        <v>51</v>
      </c>
      <c r="D40" s="10"/>
      <c r="E40" s="10"/>
      <c r="F40" s="10"/>
      <c r="G40" s="10"/>
      <c r="H40" s="10"/>
      <c r="I40" s="9"/>
      <c r="J40" s="9">
        <f t="shared" ref="H40:N40" si="6">SUM(J2:J39)</f>
        <v>1392.9</v>
      </c>
      <c r="K40" s="9"/>
      <c r="L40" s="9">
        <f t="shared" si="6"/>
        <v>1333.5</v>
      </c>
      <c r="M40" s="9">
        <f t="shared" si="6"/>
        <v>18</v>
      </c>
      <c r="N40" s="9">
        <f t="shared" si="6"/>
        <v>59.4</v>
      </c>
      <c r="O40" s="10"/>
      <c r="P40" s="10"/>
    </row>
  </sheetData>
  <pageMargins left="0.25" right="0.25" top="0.75" bottom="0.75" header="0.298611111111111" footer="0.298611111111111"/>
  <pageSetup paperSize="9" scale="6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2026-03-26T05:58:01Z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DB07596BCBE7431C89E88EA5DF8D4183_12</vt:lpwstr>
  </property>
  <property fmtid="{D5CDD505-2E9C-101B-9397-08002B2CF9AE}" pid="4" name="CalculationRule">
    <vt:i4>0</vt:i4>
  </property>
</Properties>
</file>