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妇科门诊" sheetId="1" r:id="rId1"/>
    <sheet name="美容科" sheetId="2" r:id="rId2"/>
    <sheet name="手术室" sheetId="3" r:id="rId3"/>
    <sheet name="外科" sheetId="4" r:id="rId4"/>
  </sheets>
  <definedNames>
    <definedName name="_xlnm._FilterDatabase" localSheetId="0" hidden="1">妇科门诊!$A$9:$K$20</definedName>
    <definedName name="_xlnm._FilterDatabase" localSheetId="1" hidden="1">美容科!$A$7:$K$17</definedName>
    <definedName name="_xlnm._FilterDatabase" localSheetId="2" hidden="1">手术室!$A$7:$K$14</definedName>
    <definedName name="_xlnm._FilterDatabase" localSheetId="3" hidden="1">外科!$A$7:$K$17</definedName>
    <definedName name="_xlnm.Print_Titles" localSheetId="0">妇科门诊!$1:$6</definedName>
    <definedName name="_xlnm.Print_Titles" localSheetId="1">美容科!$1:$6</definedName>
    <definedName name="_xlnm.Print_Titles" localSheetId="2">手术室!$1:$6</definedName>
    <definedName name="_xlnm.Print_Titles" localSheetId="3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<sst xmlns="http://schemas.openxmlformats.org/spreadsheetml/2006/main" count="154" uniqueCount="40">
  <si>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</si>
  <si>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</si>
  <si>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</si>
  <si>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道外区人民医院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</si>
  <si>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</si>
  <si>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</si>
  <si>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</si>
  <si>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</si>
  <si>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</si>
  <si>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</si>
  <si>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</si>
  <si>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</si>
  <si>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</si>
  <si>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额外包(纸塑袋)</t>
  </si>
  <si>
    <t>剪刀-1/Z1029</t>
  </si>
  <si>
    <t>额外包(无纺布)</t>
  </si>
  <si>
    <t>取环包-10件/W6050</t>
  </si>
  <si>
    <t>取环包-11件/W6050</t>
  </si>
  <si>
    <t>敷料包(纸塑袋)</t>
  </si>
  <si>
    <t>棉球/z1526</t>
  </si>
  <si>
    <t>长弯-1/z1029</t>
  </si>
  <si>
    <t>卵圆钳-1/Z1029</t>
  </si>
  <si>
    <t>美容科</t>
  </si>
  <si>
    <t>持针器-1/z1029</t>
  </si>
  <si>
    <t>剪刀小-1/Z1026</t>
  </si>
  <si>
    <t>美容包-3件/Z1526</t>
  </si>
  <si>
    <t>止血钳-1/Z1026</t>
  </si>
  <si>
    <t>美容包-6件/W6050</t>
  </si>
  <si>
    <t>美容小包-3件/Z1526</t>
  </si>
  <si>
    <t>止血钳-4件/Z1526</t>
  </si>
  <si>
    <t>手术室</t>
  </si>
  <si>
    <t>弯盘-1/z2032</t>
  </si>
  <si>
    <t>敷料包</t>
  </si>
  <si>
    <t>持物钳罐-2/持物钳放外面W6050</t>
  </si>
  <si>
    <t>阑尾器械-41件（筐1）/W12050</t>
  </si>
  <si>
    <t>盆-1 /W6050</t>
  </si>
  <si>
    <t>外伤包-10件/W7050</t>
  </si>
  <si>
    <t>外科</t>
  </si>
  <si>
    <t>敷料</t>
  </si>
  <si>
    <t>镊子-1/Z7530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</si>
</sst>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28575</xdr:rowOff>
    </xdr:from>
    <xdr:to>
      <xdr:col>10</xdr:col>
      <xdr:colOff>690963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040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95250</xdr:rowOff>
    </xdr:from>
    <xdr:to>
      <xdr:col>10</xdr:col>
      <xdr:colOff>738588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104775</xdr:colOff>
      <xdr:row>1</xdr:row>
      <xdr:rowOff>76200</xdr:rowOff>
    </xdr:from>
    <xdr:to>
      <xdr:col>10</xdr:col>
      <xdr:colOff>614763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704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19050</xdr:rowOff>
    </xdr:from>
    <xdr:to>
      <xdr:col>10</xdr:col>
      <xdr:colOff>748113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905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2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2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2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27</v>
      </c>
      <c r="J10" s="10"/>
      <c r="K10" s="10">
        <f>SUM(K11:K20)</f>
        <v>296</v>
      </c>
      <c r="L10">
        <f>K10+美容科!K8+手术室!K8+外科!K8</f>
        <v>821</v>
      </c>
    </row>
    <row r="11" spans="2:12">
      <c r="D11" s="11">
        <v>46178</v>
      </c>
      <c r="E11" s="12">
        <v>1609430</v>
      </c>
      <c r="F11" s="12" t="s">
        <v>13</v>
      </c>
      <c r="G11" s="13">
        <v>20009655</v>
      </c>
      <c r="H11" s="12" t="s">
        <v>14</v>
      </c>
      <c r="I11" s="13">
        <v>1</v>
      </c>
      <c r="J11" s="14">
        <v>3</v>
      </c>
      <c r="K11" s="14">
        <f>J11*I11</f>
        <v>3</v>
      </c>
    </row>
    <row r="12" spans="2:12">
      <c r="D12" s="11">
        <v>46178</v>
      </c>
      <c r="E12" s="12">
        <v>1609430</v>
      </c>
      <c r="F12" s="12" t="s">
        <v>15</v>
      </c>
      <c r="G12" s="13">
        <v>20378353</v>
      </c>
      <c r="H12" s="12" t="s">
        <v>16</v>
      </c>
      <c r="I12" s="13">
        <v>1</v>
      </c>
      <c r="J12" s="14">
        <f>10*3</f>
        <v>30</v>
      </c>
      <c r="K12" s="14">
        <f t="shared" ref="K12:K20" si="0">J12*I12</f>
        <v>30</v>
      </c>
    </row>
    <row r="13" spans="2:12">
      <c r="D13" s="11">
        <v>46178</v>
      </c>
      <c r="E13" s="12">
        <v>1609430</v>
      </c>
      <c r="F13" s="12" t="s">
        <v>15</v>
      </c>
      <c r="G13" s="13">
        <v>20377247</v>
      </c>
      <c r="H13" s="12" t="s">
        <v>17</v>
      </c>
      <c r="I13" s="13">
        <v>1</v>
      </c>
      <c r="J13" s="14">
        <f>11*3</f>
        <v>33</v>
      </c>
      <c r="K13" s="14">
        <f t="shared" si="0"/>
        <v>33</v>
      </c>
    </row>
    <row r="14" spans="2:12">
      <c r="D14" s="11">
        <v>46182</v>
      </c>
      <c r="E14" s="12">
        <v>1610360</v>
      </c>
      <c r="F14" s="12" t="s">
        <v>15</v>
      </c>
      <c r="G14" s="13">
        <v>20377247</v>
      </c>
      <c r="H14" s="12" t="s">
        <v>17</v>
      </c>
      <c r="I14" s="13">
        <v>1</v>
      </c>
      <c r="J14" s="14">
        <f>11*3</f>
        <v>33</v>
      </c>
      <c r="K14" s="14">
        <f t="shared" si="0"/>
        <v>33</v>
      </c>
    </row>
    <row r="15" spans="2:12">
      <c r="D15" s="11">
        <v>46190</v>
      </c>
      <c r="E15" s="12">
        <v>1612761</v>
      </c>
      <c r="F15" s="12" t="s">
        <v>15</v>
      </c>
      <c r="G15" s="13">
        <v>20378353</v>
      </c>
      <c r="H15" s="12" t="s">
        <v>16</v>
      </c>
      <c r="I15" s="13">
        <v>1</v>
      </c>
      <c r="J15" s="14">
        <f>10*3</f>
        <v>30</v>
      </c>
      <c r="K15" s="14">
        <f t="shared" si="0"/>
        <v>30</v>
      </c>
    </row>
    <row r="16" spans="2:12">
      <c r="D16" s="11">
        <v>46190</v>
      </c>
      <c r="E16" s="12">
        <v>1612761</v>
      </c>
      <c r="F16" s="12" t="s">
        <v>18</v>
      </c>
      <c r="G16" s="13">
        <v>20389048</v>
      </c>
      <c r="H16" s="12" t="s">
        <v>19</v>
      </c>
      <c r="I16" s="13">
        <v>16</v>
      </c>
      <c r="J16" s="14">
        <v>2</v>
      </c>
      <c r="K16" s="14">
        <f t="shared" si="0"/>
        <v>32</v>
      </c>
    </row>
    <row r="17" spans="4:11">
      <c r="D17" s="11">
        <v>46200</v>
      </c>
      <c r="E17" s="12">
        <v>1615725</v>
      </c>
      <c r="F17" s="12" t="s">
        <v>13</v>
      </c>
      <c r="G17" s="13">
        <v>20375410</v>
      </c>
      <c r="H17" s="12" t="s">
        <v>20</v>
      </c>
      <c r="I17" s="13">
        <v>1</v>
      </c>
      <c r="J17" s="14">
        <v>3</v>
      </c>
      <c r="K17" s="14">
        <f t="shared" si="0"/>
        <v>3</v>
      </c>
    </row>
    <row r="18" spans="4:11">
      <c r="D18" s="11">
        <v>46200</v>
      </c>
      <c r="E18" s="12">
        <v>1615725</v>
      </c>
      <c r="F18" s="12" t="s">
        <v>13</v>
      </c>
      <c r="G18" s="13">
        <v>20376318</v>
      </c>
      <c r="H18" s="12" t="s">
        <v>21</v>
      </c>
      <c r="I18" s="13">
        <v>1</v>
      </c>
      <c r="J18" s="14">
        <v>3</v>
      </c>
      <c r="K18" s="14">
        <f t="shared" si="0"/>
        <v>3</v>
      </c>
    </row>
    <row r="19" spans="4:11">
      <c r="D19" s="11">
        <v>46200</v>
      </c>
      <c r="E19" s="12">
        <v>1615725</v>
      </c>
      <c r="F19" s="12" t="s">
        <v>15</v>
      </c>
      <c r="G19" s="13">
        <v>20378353</v>
      </c>
      <c r="H19" s="12" t="s">
        <v>16</v>
      </c>
      <c r="I19" s="13">
        <v>1</v>
      </c>
      <c r="J19" s="14">
        <f>10*3</f>
        <v>30</v>
      </c>
      <c r="K19" s="14">
        <f t="shared" si="0"/>
        <v>30</v>
      </c>
    </row>
    <row r="20" spans="4:11">
      <c r="D20" s="11">
        <v>46200</v>
      </c>
      <c r="E20" s="12">
        <v>1615725</v>
      </c>
      <c r="F20" s="12" t="s">
        <v>15</v>
      </c>
      <c r="G20" s="13">
        <v>20377247</v>
      </c>
      <c r="H20" s="12" t="s">
        <v>17</v>
      </c>
      <c r="I20" s="13">
        <v>3</v>
      </c>
      <c r="J20" s="14">
        <f>11*3</f>
        <v>33</v>
      </c>
      <c r="K20" s="14">
        <f t="shared" si="0"/>
        <v>99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A8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14:44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17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40</v>
      </c>
      <c r="J8" s="10"/>
      <c r="K8" s="10">
        <f>SUM(K9:K17)</f>
        <v>203</v>
      </c>
    </row>
    <row r="9" spans="1:11">
      <c r="D9" s="11">
        <v>46176</v>
      </c>
      <c r="E9" s="12">
        <v>1608668</v>
      </c>
      <c r="F9" s="12" t="s">
        <v>13</v>
      </c>
      <c r="G9" s="13">
        <v>20380019</v>
      </c>
      <c r="H9" s="12" t="s">
        <v>23</v>
      </c>
      <c r="I9" s="13">
        <v>8</v>
      </c>
      <c r="J9" s="14">
        <v>3</v>
      </c>
      <c r="K9" s="14">
        <f>J9*I9</f>
        <v>24</v>
      </c>
    </row>
    <row r="10" spans="1:11">
      <c r="D10" s="11">
        <v>46176</v>
      </c>
      <c r="E10" s="12">
        <v>1608668</v>
      </c>
      <c r="F10" s="12" t="s">
        <v>13</v>
      </c>
      <c r="G10" s="13">
        <v>20009570</v>
      </c>
      <c r="H10" s="12" t="s">
        <v>24</v>
      </c>
      <c r="I10" s="13">
        <v>9</v>
      </c>
      <c r="J10" s="14">
        <v>3</v>
      </c>
      <c r="K10" s="14">
        <f t="shared" ref="K10:K17" si="0">J10*I10</f>
        <v>27</v>
      </c>
    </row>
    <row r="11" spans="1:11">
      <c r="D11" s="11">
        <v>46176</v>
      </c>
      <c r="E11" s="12">
        <v>1608668</v>
      </c>
      <c r="F11" s="12" t="s">
        <v>13</v>
      </c>
      <c r="G11" s="13">
        <v>20380021</v>
      </c>
      <c r="H11" s="12" t="s">
        <v>25</v>
      </c>
      <c r="I11" s="13">
        <v>3</v>
      </c>
      <c r="J11" s="14">
        <f>3*3</f>
        <v>9</v>
      </c>
      <c r="K11" s="14">
        <f t="shared" si="0"/>
        <v>27</v>
      </c>
    </row>
    <row r="12" spans="1:11">
      <c r="D12" s="11">
        <v>46176</v>
      </c>
      <c r="E12" s="12">
        <v>1608668</v>
      </c>
      <c r="F12" s="12" t="s">
        <v>13</v>
      </c>
      <c r="G12" s="13">
        <v>20376328</v>
      </c>
      <c r="H12" s="12" t="s">
        <v>26</v>
      </c>
      <c r="I12" s="13">
        <v>3</v>
      </c>
      <c r="J12" s="14">
        <v>3</v>
      </c>
      <c r="K12" s="14">
        <f t="shared" si="0"/>
        <v>9</v>
      </c>
    </row>
    <row r="13" spans="1:11">
      <c r="D13" s="11">
        <v>46176</v>
      </c>
      <c r="E13" s="12">
        <v>1608668</v>
      </c>
      <c r="F13" s="12" t="s">
        <v>15</v>
      </c>
      <c r="G13" s="13">
        <v>20380020</v>
      </c>
      <c r="H13" s="12" t="s">
        <v>27</v>
      </c>
      <c r="I13" s="13">
        <v>1</v>
      </c>
      <c r="J13" s="14">
        <f>6*3</f>
        <v>18</v>
      </c>
      <c r="K13" s="14">
        <f t="shared" si="0"/>
        <v>18</v>
      </c>
    </row>
    <row r="14" spans="1:11">
      <c r="D14" s="11">
        <v>46176</v>
      </c>
      <c r="E14" s="12">
        <v>1608711</v>
      </c>
      <c r="F14" s="12" t="s">
        <v>13</v>
      </c>
      <c r="G14" s="13">
        <v>20380021</v>
      </c>
      <c r="H14" s="12" t="s">
        <v>25</v>
      </c>
      <c r="I14" s="13">
        <v>4</v>
      </c>
      <c r="J14" s="14">
        <f>3*3</f>
        <v>9</v>
      </c>
      <c r="K14" s="14">
        <f t="shared" si="0"/>
        <v>36</v>
      </c>
    </row>
    <row r="15" spans="1:11">
      <c r="D15" s="11">
        <v>46190</v>
      </c>
      <c r="E15" s="12">
        <v>1612760</v>
      </c>
      <c r="F15" s="12" t="s">
        <v>13</v>
      </c>
      <c r="G15" s="13">
        <v>20388283</v>
      </c>
      <c r="H15" s="12" t="s">
        <v>28</v>
      </c>
      <c r="I15" s="13">
        <v>4</v>
      </c>
      <c r="J15" s="14">
        <f>3*3</f>
        <v>9</v>
      </c>
      <c r="K15" s="14">
        <f t="shared" si="0"/>
        <v>36</v>
      </c>
    </row>
    <row r="16" spans="1:11">
      <c r="D16" s="11">
        <v>46190</v>
      </c>
      <c r="E16" s="12">
        <v>1612760</v>
      </c>
      <c r="F16" s="12" t="s">
        <v>13</v>
      </c>
      <c r="G16" s="13">
        <v>20388282</v>
      </c>
      <c r="H16" s="12" t="s">
        <v>29</v>
      </c>
      <c r="I16" s="13">
        <v>1</v>
      </c>
      <c r="J16" s="14">
        <f>4*3</f>
        <v>12</v>
      </c>
      <c r="K16" s="14">
        <f t="shared" si="0"/>
        <v>12</v>
      </c>
    </row>
    <row r="17" spans="4:11">
      <c r="D17" s="11">
        <v>46190</v>
      </c>
      <c r="E17" s="12">
        <v>1612760</v>
      </c>
      <c r="F17" s="12" t="s">
        <v>18</v>
      </c>
      <c r="G17" s="13">
        <v>20389048</v>
      </c>
      <c r="H17" s="12" t="s">
        <v>19</v>
      </c>
      <c r="I17" s="13">
        <v>7</v>
      </c>
      <c r="J17" s="14">
        <v>2</v>
      </c>
      <c r="K17" s="14">
        <f t="shared" si="0"/>
        <v>14</v>
      </c>
    </row>
    <row r="18" ht="0.05" customHeight="1"/>
  </sheetData>
  <autoFilter xmlns:etc="http://www.wps.cn/officeDocument/2017/etCustomData" ref="A7:K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14:44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6.2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f>SUM(K9:K14)</f>
        <v>186.5</v>
      </c>
    </row>
    <row r="9" spans="1:11">
      <c r="D9" s="11">
        <v>46182</v>
      </c>
      <c r="E9" s="12">
        <v>1610361</v>
      </c>
      <c r="F9" s="12" t="s">
        <v>13</v>
      </c>
      <c r="G9" s="13">
        <v>20377403</v>
      </c>
      <c r="H9" s="12" t="s">
        <v>31</v>
      </c>
      <c r="I9" s="13">
        <v>4</v>
      </c>
      <c r="J9" s="14">
        <f>3</f>
        <v>3</v>
      </c>
      <c r="K9" s="14">
        <f t="shared" ref="K9:K14" si="0">J9*I9</f>
        <v>12</v>
      </c>
    </row>
    <row r="10" spans="1:11">
      <c r="D10" s="11">
        <v>46182</v>
      </c>
      <c r="E10" s="12">
        <v>1610361</v>
      </c>
      <c r="F10" s="12" t="s">
        <v>32</v>
      </c>
      <c r="G10" s="13">
        <v>20385060</v>
      </c>
      <c r="H10" s="12" t="s">
        <v>32</v>
      </c>
      <c r="I10" s="13">
        <v>1</v>
      </c>
      <c r="J10" s="14">
        <v>6.5</v>
      </c>
      <c r="K10" s="14">
        <f t="shared" si="0"/>
        <v>6.5</v>
      </c>
    </row>
    <row r="11" spans="1:11">
      <c r="D11" s="11">
        <v>46182</v>
      </c>
      <c r="E11" s="12">
        <v>1610361</v>
      </c>
      <c r="F11" s="12" t="s">
        <v>15</v>
      </c>
      <c r="G11" s="13">
        <v>20328393</v>
      </c>
      <c r="H11" s="12" t="s">
        <v>33</v>
      </c>
      <c r="I11" s="13">
        <v>1</v>
      </c>
      <c r="J11" s="14">
        <f>2*3</f>
        <v>6</v>
      </c>
      <c r="K11" s="14">
        <f t="shared" si="0"/>
        <v>6</v>
      </c>
    </row>
    <row r="12" spans="1:11">
      <c r="D12" s="11">
        <v>46182</v>
      </c>
      <c r="E12" s="12">
        <v>1610361</v>
      </c>
      <c r="F12" s="12" t="s">
        <v>15</v>
      </c>
      <c r="G12" s="13">
        <v>20410071</v>
      </c>
      <c r="H12" s="12" t="s">
        <v>34</v>
      </c>
      <c r="I12" s="13">
        <v>1</v>
      </c>
      <c r="J12" s="14">
        <f>42*3</f>
        <v>126</v>
      </c>
      <c r="K12" s="14">
        <f t="shared" si="0"/>
        <v>126</v>
      </c>
    </row>
    <row r="13" spans="1:11">
      <c r="D13" s="11">
        <v>46182</v>
      </c>
      <c r="E13" s="12">
        <v>1610361</v>
      </c>
      <c r="F13" s="12" t="s">
        <v>15</v>
      </c>
      <c r="G13" s="13">
        <v>20407049</v>
      </c>
      <c r="H13" s="12" t="s">
        <v>35</v>
      </c>
      <c r="I13" s="13">
        <v>2</v>
      </c>
      <c r="J13" s="14">
        <f>3</f>
        <v>3</v>
      </c>
      <c r="K13" s="14">
        <f t="shared" si="0"/>
        <v>6</v>
      </c>
    </row>
    <row r="14" spans="1:11">
      <c r="D14" s="11">
        <v>46182</v>
      </c>
      <c r="E14" s="12">
        <v>1610361</v>
      </c>
      <c r="F14" s="12" t="s">
        <v>15</v>
      </c>
      <c r="G14" s="13">
        <v>20352092</v>
      </c>
      <c r="H14" s="12" t="s">
        <v>36</v>
      </c>
      <c r="I14" s="13">
        <v>1</v>
      </c>
      <c r="J14" s="14">
        <f>10*3</f>
        <v>30</v>
      </c>
      <c r="K14" s="14">
        <f t="shared" si="0"/>
        <v>30</v>
      </c>
    </row>
    <row r="15" ht="0.05" customHeight="1"/>
  </sheetData>
  <autoFilter xmlns:etc="http://www.wps.cn/officeDocument/2017/etCustomData" ref="A7:K14" etc:filterBottomFollowUsedRange="0">
    <extLst/>
  </autoFilter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14:44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37</v>
      </c>
      <c r="E8" s="8" t="s">
        <v>2</v>
      </c>
      <c r="F8" s="8" t="s">
        <v>2</v>
      </c>
      <c r="G8" s="8" t="s">
        <v>2</v>
      </c>
      <c r="H8" s="8" t="s">
        <v>2</v>
      </c>
      <c r="I8" s="9">
        <v>44</v>
      </c>
      <c r="J8" s="10"/>
      <c r="K8" s="10">
        <f>SUM(K9:K17)</f>
        <v>135.5</v>
      </c>
    </row>
    <row r="9" spans="1:11">
      <c r="D9" s="11">
        <v>46178</v>
      </c>
      <c r="E9" s="12">
        <v>1609431</v>
      </c>
      <c r="F9" s="12" t="s">
        <v>13</v>
      </c>
      <c r="G9" s="13">
        <v>20380019</v>
      </c>
      <c r="H9" s="12" t="s">
        <v>23</v>
      </c>
      <c r="I9" s="13">
        <v>4</v>
      </c>
      <c r="J9" s="14">
        <f>3</f>
        <v>3</v>
      </c>
      <c r="K9" s="14">
        <f>J9*I9</f>
        <v>12</v>
      </c>
    </row>
    <row r="10" spans="1:11">
      <c r="D10" s="11">
        <v>46178</v>
      </c>
      <c r="E10" s="12">
        <v>1609431</v>
      </c>
      <c r="F10" s="12" t="s">
        <v>13</v>
      </c>
      <c r="G10" s="13">
        <v>20009655</v>
      </c>
      <c r="H10" s="12" t="s">
        <v>14</v>
      </c>
      <c r="I10" s="13">
        <v>7</v>
      </c>
      <c r="J10" s="14">
        <f>3</f>
        <v>3</v>
      </c>
      <c r="K10" s="14">
        <f t="shared" ref="K10:K17" si="0">J10*I10</f>
        <v>21</v>
      </c>
    </row>
    <row r="11" spans="1:11">
      <c r="D11" s="11">
        <v>46178</v>
      </c>
      <c r="E11" s="12">
        <v>1609431</v>
      </c>
      <c r="F11" s="12" t="s">
        <v>13</v>
      </c>
      <c r="G11" s="13">
        <v>20376328</v>
      </c>
      <c r="H11" s="12" t="s">
        <v>26</v>
      </c>
      <c r="I11" s="13">
        <v>13</v>
      </c>
      <c r="J11" s="14">
        <f>3</f>
        <v>3</v>
      </c>
      <c r="K11" s="14">
        <f t="shared" si="0"/>
        <v>39</v>
      </c>
    </row>
    <row r="12" spans="1:11">
      <c r="D12" s="11">
        <v>46178</v>
      </c>
      <c r="E12" s="12">
        <v>1609431</v>
      </c>
      <c r="F12" s="12" t="s">
        <v>32</v>
      </c>
      <c r="G12" s="13">
        <v>20377117</v>
      </c>
      <c r="H12" s="12" t="s">
        <v>38</v>
      </c>
      <c r="I12" s="13">
        <v>1</v>
      </c>
      <c r="J12" s="14">
        <v>6.5</v>
      </c>
      <c r="K12" s="14">
        <f t="shared" si="0"/>
        <v>6.5</v>
      </c>
    </row>
    <row r="13" spans="1:11">
      <c r="D13" s="11">
        <v>46191</v>
      </c>
      <c r="E13" s="12">
        <v>1613196</v>
      </c>
      <c r="F13" s="12" t="s">
        <v>13</v>
      </c>
      <c r="G13" s="13">
        <v>20380019</v>
      </c>
      <c r="H13" s="12" t="s">
        <v>23</v>
      </c>
      <c r="I13" s="13">
        <v>2</v>
      </c>
      <c r="J13" s="14">
        <v>3</v>
      </c>
      <c r="K13" s="14">
        <f t="shared" si="0"/>
        <v>6</v>
      </c>
    </row>
    <row r="14" spans="1:11">
      <c r="D14" s="11">
        <v>46191</v>
      </c>
      <c r="E14" s="12">
        <v>1613196</v>
      </c>
      <c r="F14" s="12" t="s">
        <v>13</v>
      </c>
      <c r="G14" s="13">
        <v>20009655</v>
      </c>
      <c r="H14" s="12" t="s">
        <v>14</v>
      </c>
      <c r="I14" s="13">
        <v>6</v>
      </c>
      <c r="J14" s="14">
        <v>3</v>
      </c>
      <c r="K14" s="14">
        <f t="shared" si="0"/>
        <v>18</v>
      </c>
    </row>
    <row r="15" spans="1:11">
      <c r="D15" s="11">
        <v>46191</v>
      </c>
      <c r="E15" s="12">
        <v>1613196</v>
      </c>
      <c r="F15" s="12" t="s">
        <v>13</v>
      </c>
      <c r="G15" s="13">
        <v>20009656</v>
      </c>
      <c r="H15" s="12" t="s">
        <v>39</v>
      </c>
      <c r="I15" s="13">
        <v>3</v>
      </c>
      <c r="J15" s="14">
        <v>3</v>
      </c>
      <c r="K15" s="14">
        <f t="shared" si="0"/>
        <v>9</v>
      </c>
    </row>
    <row r="16" spans="1:11">
      <c r="D16" s="11">
        <v>46191</v>
      </c>
      <c r="E16" s="12">
        <v>1613196</v>
      </c>
      <c r="F16" s="12" t="s">
        <v>13</v>
      </c>
      <c r="G16" s="13">
        <v>20376328</v>
      </c>
      <c r="H16" s="12" t="s">
        <v>26</v>
      </c>
      <c r="I16" s="13">
        <v>7</v>
      </c>
      <c r="J16" s="14">
        <v>3</v>
      </c>
      <c r="K16" s="14">
        <f t="shared" si="0"/>
        <v>21</v>
      </c>
    </row>
    <row r="17" spans="4:11">
      <c r="D17" s="11">
        <v>46191</v>
      </c>
      <c r="E17" s="12">
        <v>1613203</v>
      </c>
      <c r="F17" s="12" t="s">
        <v>13</v>
      </c>
      <c r="G17" s="13">
        <v>20376328</v>
      </c>
      <c r="H17" s="12" t="s">
        <v>26</v>
      </c>
      <c r="I17" s="13">
        <v>1</v>
      </c>
      <c r="J17" s="14">
        <v>3</v>
      </c>
      <c r="K17" s="14">
        <f t="shared" si="0"/>
        <v>3</v>
      </c>
    </row>
    <row r="18" ht="0.05" customHeight="1"/>
  </sheetData>
  <autoFilter xmlns:etc="http://www.wps.cn/officeDocument/2017/etCustomData" ref="A7:K17" etc:filterBottomFollowUsedRange="0">
    <extLst/>
  </autoFilter>
  <mergeCells count="5">
    <mergeCell ref="D8:H8"/>
    <mergeCell ref="C7:C17"/>
    <mergeCell ref="B4:H5"/>
    <mergeCell ref="A7:B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&amp;"-,Regular"2026年7月6日 14:44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妇科门诊</vt:lpstr>
      <vt:lpstr>美容科</vt:lpstr>
      <vt:lpstr>手术室</vt:lpstr>
      <vt:lpstr>外科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2026-07-06T06:44:00Z</dcterms:created>
  <dcterms:modified xsi:type="dcterms:W3CDTF">2026-07-08T02:41:04Z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2DD3F984FB8F4592B131D944F613C129_13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