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<sst xmlns="http://schemas.openxmlformats.org/spreadsheetml/2006/main" count="40" uniqueCount="21">
  <si>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</si>
  <si>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</si>
  <si>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</si>
  <si>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三精肾病医院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</si>
  <si>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</si>
  <si>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</si>
  <si>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</si>
  <si>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</si>
  <si>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</si>
  <si>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</si>
  <si>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</si>
  <si>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</si>
  <si>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</si>
  <si>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</t>
  </si>
  <si>
    <t>内瘘器械包</t>
  </si>
  <si>
    <t>额外包(纸塑袋)</t>
  </si>
  <si>
    <t>开口器1 舌钳子1 压舌板1/z1530</t>
  </si>
  <si>
    <t>器械包(ZSD)</t>
  </si>
  <si>
    <t>插管包二</t>
  </si>
  <si>
    <t>额外包(无纺布)</t>
  </si>
  <si>
    <t>持物钳罐-3件/w6050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</si>
</sst>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189865</xdr:colOff>
      <xdr:row>1</xdr:row>
      <xdr:rowOff>0</xdr:rowOff>
    </xdr:from>
    <xdr:to>
      <xdr:col>9</xdr:col>
      <xdr:colOff>699853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82640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P18" sqref="P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17</v>
      </c>
      <c r="J10" s="12"/>
      <c r="K10" s="12">
        <f>SUM(K11:K14)</f>
        <v>513</v>
      </c>
    </row>
    <row r="11" spans="2:11">
      <c r="D11" s="13">
        <v>46127</v>
      </c>
      <c r="E11" s="14">
        <v>1595189</v>
      </c>
      <c r="F11" s="14" t="s">
        <v>13</v>
      </c>
      <c r="G11" s="9">
        <v>20316108</v>
      </c>
      <c r="H11" s="14" t="s">
        <v>14</v>
      </c>
      <c r="I11" s="9">
        <v>4</v>
      </c>
      <c r="J11" s="15">
        <v>78</v>
      </c>
      <c r="K11" s="15">
        <f>J11*I11</f>
        <v>312</v>
      </c>
    </row>
    <row r="12" spans="2:11">
      <c r="D12" s="13">
        <v>46127</v>
      </c>
      <c r="E12" s="14">
        <v>1595189</v>
      </c>
      <c r="F12" s="14" t="s">
        <v>15</v>
      </c>
      <c r="G12" s="9">
        <v>20006513</v>
      </c>
      <c r="H12" s="14" t="s">
        <v>16</v>
      </c>
      <c r="I12" s="9">
        <v>1</v>
      </c>
      <c r="J12" s="15">
        <v>9</v>
      </c>
      <c r="K12" s="15">
        <f>J12*I12</f>
        <v>9</v>
      </c>
    </row>
    <row r="13" spans="2:11">
      <c r="D13" s="13">
        <v>46127</v>
      </c>
      <c r="E13" s="14">
        <v>1595189</v>
      </c>
      <c r="F13" s="14" t="s">
        <v>17</v>
      </c>
      <c r="G13" s="9">
        <v>20316107</v>
      </c>
      <c r="H13" s="14" t="s">
        <v>18</v>
      </c>
      <c r="I13" s="9">
        <v>4</v>
      </c>
      <c r="J13" s="15">
        <v>30</v>
      </c>
      <c r="K13" s="15">
        <f>J13*I13</f>
        <v>120</v>
      </c>
    </row>
    <row r="14" spans="2:11">
      <c r="D14" s="13">
        <v>46127</v>
      </c>
      <c r="E14" s="14">
        <v>1595189</v>
      </c>
      <c r="F14" s="14" t="s">
        <v>19</v>
      </c>
      <c r="G14" s="9">
        <v>20006506</v>
      </c>
      <c r="H14" s="14" t="s">
        <v>20</v>
      </c>
      <c r="I14" s="9">
        <v>8</v>
      </c>
      <c r="J14" s="15">
        <v>9</v>
      </c>
      <c r="K14" s="15">
        <f>J14*I14</f>
        <v>72</v>
      </c>
    </row>
    <row r="15" ht="0.05" customHeight="1"/>
  </sheetData>
  <mergeCells count="6">
    <mergeCell ref="D8:H8"/>
    <mergeCell ref="D10:H10"/>
    <mergeCell ref="C9:C14"/>
    <mergeCell ref="B4:H5"/>
    <mergeCell ref="A8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10:37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2026-05-07T02:38:07Z</dcterms:created>
  <dcterms:modified xsi:type="dcterms:W3CDTF">2026-05-07T03:00:33Z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F8EB978163484405AEDF37C404934E61_13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