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eliveryNoteSummaryWithPackingM" sheetId="1" r:id="rId1"/>
  </sheets>
  <definedNames>
    <definedName name="_xlnm._FilterDatabase" localSheetId="0" hidden="1">DeliveryNoteSummaryWithPackingM!$A$12:$J$39</definedName>
    <definedName name="_xlnm.Print_Titles" localSheetId="0">DeliveryNoteSummaryWithPackingM!$1:$6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<sst xmlns="http://schemas.openxmlformats.org/spreadsheetml/2006/main" count="178" uniqueCount="37">
  <si>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</si>
  <si>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2026/5/26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2026/6/25</t>
    </r>
  </si>
  <si>
    <t/>
  </si>
  <si>
    <t>发货日期</t>
  </si>
  <si>
    <t>发货单号</t>
  </si>
  <si>
    <t>基本类型</t>
  </si>
  <si>
    <t>类型</t>
  </si>
  <si>
    <t>包类别号</t>
  </si>
  <si>
    <t>包名</t>
  </si>
  <si>
    <t>包数</t>
  </si>
  <si>
    <t>单价</t>
  </si>
  <si>
    <t>总价</t>
  </si>
  <si>
    <t>哈尔滨锅炉厂医院</t>
  </si>
  <si>
    <t>妇科</t>
  </si>
  <si>
    <t>额外包</t>
  </si>
  <si>
    <t>额外包(纸塑袋)</t>
  </si>
  <si>
    <t>探针-1/Z7537</t>
  </si>
  <si>
    <t>器械包</t>
  </si>
  <si>
    <t>器械包(ZSD)</t>
  </si>
  <si>
    <t>妇科-人流包</t>
  </si>
  <si>
    <t>取环包/(90布)</t>
  </si>
  <si>
    <t>皮肤科</t>
  </si>
  <si>
    <t>额外包(无纺布)</t>
  </si>
  <si>
    <t>处置包-5/W6050</t>
  </si>
  <si>
    <t>外科</t>
  </si>
  <si>
    <t>刀柄-1/Z7526</t>
  </si>
  <si>
    <t>剪刀1持针器1弯钳1/Z1535</t>
  </si>
  <si>
    <t>内热针（长）-15/Z7526</t>
  </si>
  <si>
    <t>内热针(长)-20/Z7534</t>
  </si>
  <si>
    <t>内热针(中)-15/Z7526</t>
  </si>
  <si>
    <t>止血钳-1/Z1029</t>
  </si>
  <si>
    <t>胃肠镜室</t>
  </si>
  <si>
    <t>敷料包</t>
  </si>
  <si>
    <t>敷料包(无纺布包)</t>
  </si>
  <si>
    <t>中单/W9050</t>
  </si>
  <si>
    <t>五官科</t>
  </si>
  <si>
    <t>镊子-6/(袋)Z1029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</si>
</sst>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0" fillId="4" borderId="0" xfId="0" applyFont="1" applyFill="1" applyBorder="1" applyAlignment="1"/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">
    <dxf>
      <fill>
        <patternFill patternType="none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266700</xdr:colOff>
      <xdr:row>1</xdr:row>
      <xdr:rowOff>0</xdr:rowOff>
    </xdr:from>
    <xdr:to>
      <xdr:col>9</xdr:col>
      <xdr:colOff>776660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119620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40"/>
  <sheetViews>
    <sheetView showGridLines="0" tabSelected="1" topLeftCell="D1" workbookViewId="0">
      <pane ySplit="6" topLeftCell="A7" activePane="bottomLeft" state="frozen"/>
      <selection/>
      <selection pane="bottomLeft" activeCell="J16" sqref="J16:J17"/>
    </sheetView>
  </sheetViews>
  <sheetFormatPr defaultColWidth="9" defaultRowHeight="13.5"/>
  <cols>
    <col min="1" max="1" width="0.225" customWidth="1"/>
    <col min="2" max="2" width="9.075" customWidth="1"/>
    <col min="3" max="3" width="8.93333333333333" customWidth="1"/>
    <col min="4" max="4" width="9.625" customWidth="1"/>
    <col min="5" max="5" width="14.95" customWidth="1"/>
    <col min="6" max="6" width="9.36666666666667" customWidth="1"/>
    <col min="7" max="7" width="22.25" customWidth="1"/>
    <col min="8" max="8" width="4.875" customWidth="1"/>
    <col min="9" max="9" width="10.6333333333333" customWidth="1"/>
    <col min="10" max="10" width="12.125" customWidth="1"/>
  </cols>
  <sheetData>
    <row r="1" spans="1:12">
      <c r="B1" s="1" t="s">
        <v>0</v>
      </c>
    </row>
    <row r="2" ht="23.05" customHeight="1" spans="1:12">
      <c r="K2">
        <f>1850-250</f>
        <v>1600</v>
      </c>
    </row>
    <row r="3" ht="2" customHeight="1"/>
    <row r="4" ht="15.2" customHeight="1" spans="1:12">
      <c r="B4" s="2" t="s">
        <v>1</v>
      </c>
    </row>
    <row r="6" ht="2.05" customHeight="1"/>
    <row r="7" ht="4" customHeight="1" spans="1:1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</row>
    <row r="11" ht="3.6" customHeight="1"/>
    <row r="12" spans="1:12">
      <c r="A12" s="4" t="s">
        <v>3</v>
      </c>
      <c r="B12" s="5" t="s">
        <v>2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8</v>
      </c>
      <c r="H12" s="4" t="s">
        <v>9</v>
      </c>
      <c r="I12" s="4" t="s">
        <v>10</v>
      </c>
      <c r="J12" s="4" t="s">
        <v>11</v>
      </c>
    </row>
    <row r="13" ht="15" hidden="1" spans="1:12">
      <c r="A13" s="6" t="s">
        <v>12</v>
      </c>
      <c r="B13" s="7" t="s">
        <v>2</v>
      </c>
      <c r="C13" s="7" t="s">
        <v>2</v>
      </c>
      <c r="D13" s="7" t="s">
        <v>2</v>
      </c>
      <c r="E13" s="7" t="s">
        <v>2</v>
      </c>
      <c r="F13" s="7" t="s">
        <v>2</v>
      </c>
      <c r="G13" s="7" t="s">
        <v>2</v>
      </c>
      <c r="H13" s="8"/>
      <c r="I13" s="9"/>
      <c r="J13" s="9"/>
    </row>
    <row r="14" ht="14.25" hidden="1" spans="1:12">
      <c r="A14" s="10" t="s">
        <v>13</v>
      </c>
      <c r="B14" s="7" t="s">
        <v>2</v>
      </c>
      <c r="C14" s="7" t="s">
        <v>2</v>
      </c>
      <c r="D14" s="7" t="s">
        <v>2</v>
      </c>
      <c r="E14" s="7" t="s">
        <v>2</v>
      </c>
      <c r="F14" s="7" t="s">
        <v>2</v>
      </c>
      <c r="G14" s="7" t="s">
        <v>2</v>
      </c>
      <c r="H14" s="11">
        <v>13</v>
      </c>
      <c r="I14" s="12"/>
      <c r="J14" s="12">
        <v>602</v>
      </c>
    </row>
    <row r="15" hidden="1" spans="1:12">
      <c r="A15" s="13">
        <v>46178</v>
      </c>
      <c r="B15" s="5" t="s">
        <v>2</v>
      </c>
      <c r="C15" s="14">
        <v>1609671</v>
      </c>
      <c r="D15" s="14" t="s">
        <v>14</v>
      </c>
      <c r="E15" s="14" t="s">
        <v>15</v>
      </c>
      <c r="F15" s="4">
        <v>20012203</v>
      </c>
      <c r="G15" s="14" t="s">
        <v>16</v>
      </c>
      <c r="H15" s="4">
        <v>1</v>
      </c>
      <c r="I15" s="15">
        <v>8</v>
      </c>
      <c r="J15" s="15">
        <v>8</v>
      </c>
    </row>
    <row r="16" spans="1:12">
      <c r="A16" s="13">
        <v>46178</v>
      </c>
      <c r="B16" s="5" t="s">
        <v>2</v>
      </c>
      <c r="C16" s="14">
        <v>1609671</v>
      </c>
      <c r="D16" s="14" t="s">
        <v>17</v>
      </c>
      <c r="E16" s="14" t="s">
        <v>18</v>
      </c>
      <c r="F16" s="4">
        <v>20009557</v>
      </c>
      <c r="G16" s="14" t="s">
        <v>19</v>
      </c>
      <c r="H16" s="4">
        <v>2</v>
      </c>
      <c r="I16" s="15">
        <v>49.5</v>
      </c>
      <c r="J16" s="15">
        <v>99</v>
      </c>
      <c r="K16">
        <v>594</v>
      </c>
      <c r="L16">
        <f>105/15</f>
        <v>7</v>
      </c>
    </row>
    <row r="17" spans="1:13">
      <c r="A17" s="13">
        <v>46178</v>
      </c>
      <c r="B17" s="5" t="s">
        <v>2</v>
      </c>
      <c r="C17" s="14">
        <v>1609671</v>
      </c>
      <c r="D17" s="14" t="s">
        <v>17</v>
      </c>
      <c r="E17" s="14" t="s">
        <v>18</v>
      </c>
      <c r="F17" s="4">
        <v>20013262</v>
      </c>
      <c r="G17" s="14" t="s">
        <v>20</v>
      </c>
      <c r="H17" s="4">
        <v>10</v>
      </c>
      <c r="I17" s="15">
        <v>49.5</v>
      </c>
      <c r="J17" s="15">
        <v>495</v>
      </c>
      <c r="K17" s="16">
        <f>K16/5.5</f>
        <v>108</v>
      </c>
      <c r="L17" s="16">
        <f>L16*10+3</f>
        <v>73</v>
      </c>
      <c r="M17" s="16">
        <f>L17*5.5</f>
        <v>401.5</v>
      </c>
    </row>
    <row r="18" hidden="1" spans="1:13">
      <c r="A18" s="17" t="s">
        <v>2</v>
      </c>
      <c r="C18" s="17" t="s">
        <v>2</v>
      </c>
      <c r="D18" s="17" t="s">
        <v>2</v>
      </c>
      <c r="E18" s="17" t="s">
        <v>2</v>
      </c>
      <c r="F18" s="18" t="s">
        <v>2</v>
      </c>
      <c r="G18" s="17" t="s">
        <v>2</v>
      </c>
      <c r="H18" s="17" t="s">
        <v>2</v>
      </c>
      <c r="I18" s="17" t="s">
        <v>2</v>
      </c>
      <c r="J18" s="17" t="s">
        <v>2</v>
      </c>
    </row>
    <row r="19" ht="14.25" hidden="1" spans="1:13">
      <c r="A19" s="10" t="s">
        <v>21</v>
      </c>
      <c r="B19" s="7" t="s">
        <v>2</v>
      </c>
      <c r="C19" s="7" t="s">
        <v>2</v>
      </c>
      <c r="D19" s="7" t="s">
        <v>2</v>
      </c>
      <c r="E19" s="7" t="s">
        <v>2</v>
      </c>
      <c r="F19" s="7" t="s">
        <v>2</v>
      </c>
      <c r="G19" s="7" t="s">
        <v>2</v>
      </c>
      <c r="H19" s="11">
        <v>6</v>
      </c>
      <c r="I19" s="12"/>
      <c r="J19" s="12">
        <v>165</v>
      </c>
    </row>
    <row r="20" hidden="1" spans="1:13">
      <c r="A20" s="13">
        <v>46197</v>
      </c>
      <c r="B20" s="5" t="s">
        <v>2</v>
      </c>
      <c r="C20" s="14">
        <v>1614791</v>
      </c>
      <c r="D20" s="14" t="s">
        <v>14</v>
      </c>
      <c r="E20" s="14" t="s">
        <v>22</v>
      </c>
      <c r="F20" s="4">
        <v>20335781</v>
      </c>
      <c r="G20" s="14" t="s">
        <v>23</v>
      </c>
      <c r="H20" s="4">
        <v>6</v>
      </c>
      <c r="I20" s="15">
        <v>27.5</v>
      </c>
      <c r="J20" s="15">
        <v>165</v>
      </c>
    </row>
    <row r="21" hidden="1" spans="1:13">
      <c r="A21" s="17" t="s">
        <v>2</v>
      </c>
      <c r="C21" s="17" t="s">
        <v>2</v>
      </c>
      <c r="D21" s="17" t="s">
        <v>2</v>
      </c>
      <c r="E21" s="17" t="s">
        <v>2</v>
      </c>
      <c r="F21" s="18" t="s">
        <v>2</v>
      </c>
      <c r="G21" s="17" t="s">
        <v>2</v>
      </c>
      <c r="H21" s="17" t="s">
        <v>2</v>
      </c>
      <c r="I21" s="17" t="s">
        <v>2</v>
      </c>
      <c r="J21" s="17" t="s">
        <v>2</v>
      </c>
    </row>
    <row r="22" ht="14.25" hidden="1" spans="1:13">
      <c r="A22" s="10" t="s">
        <v>24</v>
      </c>
      <c r="B22" s="7" t="s">
        <v>2</v>
      </c>
      <c r="C22" s="7" t="s">
        <v>2</v>
      </c>
      <c r="D22" s="7" t="s">
        <v>2</v>
      </c>
      <c r="E22" s="7" t="s">
        <v>2</v>
      </c>
      <c r="F22" s="7" t="s">
        <v>2</v>
      </c>
      <c r="G22" s="7" t="s">
        <v>2</v>
      </c>
      <c r="H22" s="11">
        <v>43</v>
      </c>
      <c r="I22" s="12"/>
      <c r="J22" s="12">
        <v>627</v>
      </c>
    </row>
    <row r="23" hidden="1" spans="1:13">
      <c r="A23" s="13">
        <v>46171</v>
      </c>
      <c r="B23" s="5" t="s">
        <v>2</v>
      </c>
      <c r="C23" s="14">
        <v>1607614</v>
      </c>
      <c r="D23" s="14" t="s">
        <v>14</v>
      </c>
      <c r="E23" s="14" t="s">
        <v>15</v>
      </c>
      <c r="F23" s="4">
        <v>20012092</v>
      </c>
      <c r="G23" s="14" t="s">
        <v>25</v>
      </c>
      <c r="H23" s="4">
        <v>4</v>
      </c>
      <c r="I23" s="15">
        <v>8</v>
      </c>
      <c r="J23" s="15">
        <v>32</v>
      </c>
    </row>
    <row r="24" hidden="1" spans="1:13">
      <c r="A24" s="13">
        <v>46171</v>
      </c>
      <c r="B24" s="5" t="s">
        <v>2</v>
      </c>
      <c r="C24" s="14">
        <v>1607614</v>
      </c>
      <c r="D24" s="14" t="s">
        <v>14</v>
      </c>
      <c r="E24" s="14" t="s">
        <v>15</v>
      </c>
      <c r="F24" s="4">
        <v>20371398</v>
      </c>
      <c r="G24" s="14" t="s">
        <v>26</v>
      </c>
      <c r="H24" s="4">
        <v>13</v>
      </c>
      <c r="I24" s="15">
        <v>16.5</v>
      </c>
      <c r="J24" s="15">
        <v>214.5</v>
      </c>
    </row>
    <row r="25" hidden="1" spans="1:13">
      <c r="A25" s="13">
        <v>46171</v>
      </c>
      <c r="B25" s="5" t="s">
        <v>2</v>
      </c>
      <c r="C25" s="14">
        <v>1607614</v>
      </c>
      <c r="D25" s="14" t="s">
        <v>14</v>
      </c>
      <c r="E25" s="14" t="s">
        <v>15</v>
      </c>
      <c r="F25" s="4">
        <v>20316641</v>
      </c>
      <c r="G25" s="14" t="s">
        <v>27</v>
      </c>
      <c r="H25" s="4">
        <v>1</v>
      </c>
      <c r="I25" s="15">
        <v>16.5</v>
      </c>
      <c r="J25" s="15">
        <v>16.5</v>
      </c>
    </row>
    <row r="26" hidden="1" spans="1:13">
      <c r="A26" s="13">
        <v>46171</v>
      </c>
      <c r="B26" s="5" t="s">
        <v>2</v>
      </c>
      <c r="C26" s="14">
        <v>1607614</v>
      </c>
      <c r="D26" s="14" t="s">
        <v>14</v>
      </c>
      <c r="E26" s="14" t="s">
        <v>15</v>
      </c>
      <c r="F26" s="4">
        <v>20012005</v>
      </c>
      <c r="G26" s="14" t="s">
        <v>28</v>
      </c>
      <c r="H26" s="4">
        <v>2</v>
      </c>
      <c r="I26" s="15">
        <v>22</v>
      </c>
      <c r="J26" s="15">
        <v>44</v>
      </c>
      <c r="M26">
        <v>401.5</v>
      </c>
    </row>
    <row r="27" hidden="1" spans="1:13">
      <c r="A27" s="13">
        <v>46171</v>
      </c>
      <c r="B27" s="5" t="s">
        <v>2</v>
      </c>
      <c r="C27" s="14">
        <v>1607614</v>
      </c>
      <c r="D27" s="14" t="s">
        <v>14</v>
      </c>
      <c r="E27" s="14" t="s">
        <v>15</v>
      </c>
      <c r="F27" s="4">
        <v>20012007</v>
      </c>
      <c r="G27" s="14" t="s">
        <v>29</v>
      </c>
      <c r="H27" s="4">
        <v>1</v>
      </c>
      <c r="I27" s="15">
        <v>16.5</v>
      </c>
      <c r="J27" s="15">
        <v>16.5</v>
      </c>
      <c r="M27">
        <v>833</v>
      </c>
    </row>
    <row r="28" hidden="1" spans="1:13">
      <c r="A28" s="13">
        <v>46171</v>
      </c>
      <c r="B28" s="5" t="s">
        <v>2</v>
      </c>
      <c r="C28" s="14">
        <v>1607614</v>
      </c>
      <c r="D28" s="14" t="s">
        <v>14</v>
      </c>
      <c r="E28" s="14" t="s">
        <v>15</v>
      </c>
      <c r="F28" s="4">
        <v>20012004</v>
      </c>
      <c r="G28" s="14" t="s">
        <v>30</v>
      </c>
      <c r="H28" s="4">
        <v>6</v>
      </c>
      <c r="I28" s="15">
        <v>8</v>
      </c>
      <c r="J28" s="15">
        <v>48</v>
      </c>
      <c r="M28">
        <v>240</v>
      </c>
    </row>
    <row r="29" hidden="1" spans="1:13">
      <c r="A29" s="13">
        <v>46183</v>
      </c>
      <c r="B29" s="5" t="s">
        <v>2</v>
      </c>
      <c r="C29" s="14">
        <v>1611049</v>
      </c>
      <c r="D29" s="14" t="s">
        <v>14</v>
      </c>
      <c r="E29" s="14" t="s">
        <v>15</v>
      </c>
      <c r="F29" s="4">
        <v>20012092</v>
      </c>
      <c r="G29" s="14" t="s">
        <v>25</v>
      </c>
      <c r="H29" s="4">
        <v>1</v>
      </c>
      <c r="I29" s="15">
        <v>8</v>
      </c>
      <c r="J29" s="15">
        <v>8</v>
      </c>
    </row>
    <row r="30" hidden="1" spans="1:13">
      <c r="A30" s="13">
        <v>46183</v>
      </c>
      <c r="B30" s="5" t="s">
        <v>2</v>
      </c>
      <c r="C30" s="14">
        <v>1611049</v>
      </c>
      <c r="D30" s="14" t="s">
        <v>14</v>
      </c>
      <c r="E30" s="14" t="s">
        <v>15</v>
      </c>
      <c r="F30" s="4">
        <v>20371398</v>
      </c>
      <c r="G30" s="14" t="s">
        <v>26</v>
      </c>
      <c r="H30" s="4">
        <v>15</v>
      </c>
      <c r="I30" s="15">
        <v>16.5</v>
      </c>
      <c r="J30" s="15">
        <v>247.5</v>
      </c>
    </row>
    <row r="31" hidden="1" spans="1:13">
      <c r="A31" s="17" t="s">
        <v>2</v>
      </c>
      <c r="C31" s="17" t="s">
        <v>2</v>
      </c>
      <c r="D31" s="17" t="s">
        <v>2</v>
      </c>
      <c r="E31" s="17" t="s">
        <v>2</v>
      </c>
      <c r="F31" s="18" t="s">
        <v>2</v>
      </c>
      <c r="G31" s="17" t="s">
        <v>2</v>
      </c>
      <c r="H31" s="17" t="s">
        <v>2</v>
      </c>
      <c r="I31" s="17" t="s">
        <v>2</v>
      </c>
      <c r="J31" s="17" t="s">
        <v>2</v>
      </c>
    </row>
    <row r="32" ht="14.25" hidden="1" spans="1:13">
      <c r="A32" s="10" t="s">
        <v>31</v>
      </c>
      <c r="B32" s="7" t="s">
        <v>2</v>
      </c>
      <c r="C32" s="7" t="s">
        <v>2</v>
      </c>
      <c r="D32" s="7" t="s">
        <v>2</v>
      </c>
      <c r="E32" s="7" t="s">
        <v>2</v>
      </c>
      <c r="F32" s="7" t="s">
        <v>2</v>
      </c>
      <c r="G32" s="7" t="s">
        <v>2</v>
      </c>
      <c r="H32" s="11">
        <v>8</v>
      </c>
      <c r="I32" s="12"/>
      <c r="J32" s="12">
        <v>240</v>
      </c>
    </row>
    <row r="33" hidden="1" spans="1:10">
      <c r="A33" s="13">
        <v>46171</v>
      </c>
      <c r="B33" s="5" t="s">
        <v>2</v>
      </c>
      <c r="C33" s="14">
        <v>1607615</v>
      </c>
      <c r="D33" s="14" t="s">
        <v>32</v>
      </c>
      <c r="E33" s="14" t="s">
        <v>33</v>
      </c>
      <c r="F33" s="4">
        <v>20013913</v>
      </c>
      <c r="G33" s="14" t="s">
        <v>34</v>
      </c>
      <c r="H33" s="4">
        <v>3</v>
      </c>
      <c r="I33" s="15">
        <v>30</v>
      </c>
      <c r="J33" s="15">
        <v>90</v>
      </c>
    </row>
    <row r="34" hidden="1" spans="1:10">
      <c r="A34" s="13">
        <v>46185</v>
      </c>
      <c r="B34" s="5" t="s">
        <v>2</v>
      </c>
      <c r="C34" s="14">
        <v>1611791</v>
      </c>
      <c r="D34" s="14" t="s">
        <v>32</v>
      </c>
      <c r="E34" s="14" t="s">
        <v>33</v>
      </c>
      <c r="F34" s="4">
        <v>20013913</v>
      </c>
      <c r="G34" s="14" t="s">
        <v>34</v>
      </c>
      <c r="H34" s="4">
        <v>5</v>
      </c>
      <c r="I34" s="15">
        <v>30</v>
      </c>
      <c r="J34" s="15">
        <v>150</v>
      </c>
    </row>
    <row r="35" hidden="1" spans="1:10">
      <c r="A35" s="17" t="s">
        <v>2</v>
      </c>
      <c r="C35" s="17" t="s">
        <v>2</v>
      </c>
      <c r="D35" s="17" t="s">
        <v>2</v>
      </c>
      <c r="E35" s="17" t="s">
        <v>2</v>
      </c>
      <c r="F35" s="18" t="s">
        <v>2</v>
      </c>
      <c r="G35" s="17" t="s">
        <v>2</v>
      </c>
      <c r="H35" s="17" t="s">
        <v>2</v>
      </c>
      <c r="I35" s="17" t="s">
        <v>2</v>
      </c>
      <c r="J35" s="17" t="s">
        <v>2</v>
      </c>
    </row>
    <row r="36" ht="14.25" hidden="1" spans="1:10">
      <c r="A36" s="10" t="s">
        <v>35</v>
      </c>
      <c r="B36" s="7" t="s">
        <v>2</v>
      </c>
      <c r="C36" s="7" t="s">
        <v>2</v>
      </c>
      <c r="D36" s="7" t="s">
        <v>2</v>
      </c>
      <c r="E36" s="7" t="s">
        <v>2</v>
      </c>
      <c r="F36" s="7" t="s">
        <v>2</v>
      </c>
      <c r="G36" s="7" t="s">
        <v>2</v>
      </c>
      <c r="H36" s="11">
        <v>1</v>
      </c>
      <c r="I36" s="12"/>
      <c r="J36" s="12">
        <v>33</v>
      </c>
    </row>
    <row r="37" hidden="1" spans="1:10">
      <c r="A37" s="13">
        <v>46183</v>
      </c>
      <c r="B37" s="5" t="s">
        <v>2</v>
      </c>
      <c r="C37" s="14">
        <v>1611050</v>
      </c>
      <c r="D37" s="14" t="s">
        <v>14</v>
      </c>
      <c r="E37" s="14" t="s">
        <v>15</v>
      </c>
      <c r="F37" s="4">
        <v>20012796</v>
      </c>
      <c r="G37" s="14" t="s">
        <v>36</v>
      </c>
      <c r="H37" s="4">
        <v>1</v>
      </c>
      <c r="I37" s="15">
        <v>33</v>
      </c>
      <c r="J37" s="15">
        <v>33</v>
      </c>
    </row>
    <row r="38" hidden="1" spans="1:10">
      <c r="A38" s="17" t="s">
        <v>2</v>
      </c>
      <c r="C38" s="17" t="s">
        <v>2</v>
      </c>
      <c r="D38" s="17" t="s">
        <v>2</v>
      </c>
      <c r="E38" s="17" t="s">
        <v>2</v>
      </c>
      <c r="F38" s="18" t="s">
        <v>2</v>
      </c>
      <c r="G38" s="17" t="s">
        <v>2</v>
      </c>
      <c r="H38" s="17" t="s">
        <v>2</v>
      </c>
      <c r="I38" s="17" t="s">
        <v>2</v>
      </c>
      <c r="J38" s="17" t="s">
        <v>2</v>
      </c>
    </row>
    <row r="39" hidden="1" spans="1:10">
      <c r="A39" s="17" t="s">
        <v>2</v>
      </c>
      <c r="C39" s="17" t="s">
        <v>2</v>
      </c>
      <c r="D39" s="17" t="s">
        <v>2</v>
      </c>
      <c r="E39" s="17" t="s">
        <v>2</v>
      </c>
      <c r="F39" s="18" t="s">
        <v>2</v>
      </c>
      <c r="G39" s="17" t="s">
        <v>2</v>
      </c>
      <c r="H39" s="17" t="s">
        <v>2</v>
      </c>
      <c r="I39" s="17" t="s">
        <v>2</v>
      </c>
      <c r="J39" s="17" t="s">
        <v>2</v>
      </c>
    </row>
    <row r="40" ht="0.95" customHeight="1"/>
  </sheetData>
  <autoFilter xmlns:etc="http://www.wps.cn/officeDocument/2017/etCustomData" ref="A12:J39" etc:filterBottomFollowUsedRange="0">
    <filterColumn colId="1">
      <colorFilter dxfId="0"/>
    </filterColumn>
    <filterColumn colId="2">
      <filters>
        <filter val="1611050"/>
        <filter val="1609671"/>
        <filter val="1611791"/>
        <filter val="1614791"/>
        <filter val="1607614"/>
        <filter val="1607615"/>
        <filter val="1611049"/>
      </filters>
    </filterColumn>
    <filterColumn colId="4">
      <filters>
        <filter val="器械包(ZSD)"/>
      </filters>
    </filterColumn>
    <extLst/>
  </autoFilter>
  <mergeCells count="32">
    <mergeCell ref="A12:B12"/>
    <mergeCell ref="A13:G13"/>
    <mergeCell ref="A14:G14"/>
    <mergeCell ref="A15:B15"/>
    <mergeCell ref="A16:B16"/>
    <mergeCell ref="A17:B17"/>
    <mergeCell ref="A18:B18"/>
    <mergeCell ref="A19:G19"/>
    <mergeCell ref="A20:B20"/>
    <mergeCell ref="A21:B21"/>
    <mergeCell ref="A22:G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G32"/>
    <mergeCell ref="A33:B33"/>
    <mergeCell ref="A34:B34"/>
    <mergeCell ref="A35:B35"/>
    <mergeCell ref="A36:G36"/>
    <mergeCell ref="A37:B37"/>
    <mergeCell ref="A38:B38"/>
    <mergeCell ref="A39:B39"/>
    <mergeCell ref="H8:H9"/>
    <mergeCell ref="B1:G2"/>
    <mergeCell ref="B4:G5"/>
    <mergeCell ref="I9:J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RPTGL-0072 
&amp;"-,Regular"执行用户: 
&amp;"-,Regular"销售内勤 &amp;C&amp;"Droid Sans Fallback,Regular"&amp;9 执行时间: 
&amp;"-,Regular"2026年6月26日 15:32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DeliveryNoteSummaryWithPackingM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2026-06-26T07:33:00Z</dcterms:created>
  <dcterms:modified xsi:type="dcterms:W3CDTF">2026-07-01T07:45:55Z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18C09C29C97E4066914A0D43F30EDBD5_13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