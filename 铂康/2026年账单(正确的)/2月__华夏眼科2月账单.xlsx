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05" windowHeight="11655" activeTab="1"/>
  </bookViews>
  <sheets>
    <sheet name="门诊" sheetId="1" r:id="rId1"/>
    <sheet name="手术室" sheetId="2" r:id="rId2"/>
  </sheets>
  <definedNames>
    <definedName name="_xlnm._FilterDatabase" localSheetId="0" hidden="1">门诊!$A$9:$K$20</definedName>
    <definedName name="_xlnm._FilterDatabase" localSheetId="1" hidden="1">手术室!$A$7:$K$35</definedName>
    <definedName name="_xlnm.Print_Titles" localSheetId="0">门诊!$1:$6</definedName>
    <definedName name="_xlnm.Print_Titles" localSheetId="1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<sst xmlns="http://schemas.openxmlformats.org/spreadsheetml/2006/main" count="124" uniqueCount="40">
  <si>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</si>
  <si>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</si>
  <si>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</si>
  <si>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哈尔滨华夏眼科医院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</si>
  <si>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</si>
  <si>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</si>
  <si>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</si>
  <si>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</si>
  <si>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</si>
  <si>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</si>
  <si>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</si>
  <si>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</si>
  <si>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门诊</t>
  </si>
  <si>
    <t>额外包(纸塑袋)</t>
  </si>
  <si>
    <t>钩镊-1/Z7526</t>
  </si>
  <si>
    <t>刮勺-1/Z7526</t>
  </si>
  <si>
    <t>开口器-1/Z1026</t>
  </si>
  <si>
    <t>拉钩-1/Z1026</t>
  </si>
  <si>
    <t>泪点扩张器-1/Z7526</t>
  </si>
  <si>
    <t>镊子-1/Z7526</t>
  </si>
  <si>
    <t>舌钳子-1/z1526</t>
  </si>
  <si>
    <t>显微持针器-1/Z1020</t>
  </si>
  <si>
    <t>显微镊-1/Z7526</t>
  </si>
  <si>
    <t>压舌板-1/z7526</t>
  </si>
  <si>
    <t>手术室</t>
  </si>
  <si>
    <t>持物桶-2/Z2044</t>
  </si>
  <si>
    <t>镊子缸-1/Z1526</t>
  </si>
  <si>
    <t>显微镜套-2/Z1526</t>
  </si>
  <si>
    <t>小碗-1/Z1520</t>
  </si>
  <si>
    <t>小药杯-3件/Z1526</t>
  </si>
  <si>
    <t>额外包(无纺布)</t>
  </si>
  <si>
    <t>ICL器械-8件（盒1）/W6050</t>
  </si>
  <si>
    <t>ICL器械-9件（盒1）/W6050</t>
  </si>
  <si>
    <t>超乳手柄-1/Z3040</t>
  </si>
  <si>
    <t>弯盘-2/Z2032</t>
  </si>
  <si>
    <t>白内障器械-13件（盒1）/W6050</t>
  </si>
  <si>
    <t>屈光交联器械-2件（盒1）/Z1026</t>
  </si>
  <si>
    <t>虹膜恢复器-10件/W6050</t>
  </si>
  <si>
    <t>屈光器械盘（钩镊）-17盒1/W6050</t>
  </si>
  <si>
    <t>屈光器械盘（周）-15盒1/W6050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</si>
</sst>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208915</xdr:colOff>
      <xdr:row>1</xdr:row>
      <xdr:rowOff>85725</xdr:rowOff>
    </xdr:from>
    <xdr:to>
      <xdr:col>10</xdr:col>
      <xdr:colOff>718903</xdr:colOff>
      <xdr:row>4</xdr:row>
      <xdr:rowOff>83185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1965" y="2571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294640</xdr:colOff>
      <xdr:row>1</xdr:row>
      <xdr:rowOff>47625</xdr:rowOff>
    </xdr:from>
    <xdr:to>
      <xdr:col>10</xdr:col>
      <xdr:colOff>804628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17690" y="2190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showGridLines="0" view="pageBreakPreview" zoomScaleNormal="100" workbookViewId="0">
      <pane ySplit="6" topLeftCell="A7" activePane="bottomLeft" state="frozen"/>
      <selection/>
      <selection pane="bottomLeft" activeCell="J11" sqref="J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15</v>
      </c>
      <c r="J10" s="10"/>
      <c r="K10" s="10">
        <v>126</v>
      </c>
    </row>
    <row r="11" spans="2:11">
      <c r="D11" s="11">
        <v>46062</v>
      </c>
      <c r="E11" s="12">
        <v>1577453</v>
      </c>
      <c r="F11" s="12" t="s">
        <v>13</v>
      </c>
      <c r="G11" s="13">
        <v>20412219</v>
      </c>
      <c r="H11" s="12" t="s">
        <v>14</v>
      </c>
      <c r="I11" s="13">
        <v>1</v>
      </c>
      <c r="J11" s="14">
        <v>8</v>
      </c>
      <c r="K11" s="14">
        <v>8</v>
      </c>
    </row>
    <row r="12" spans="2:11">
      <c r="D12" s="11">
        <v>46062</v>
      </c>
      <c r="E12" s="12">
        <v>1577453</v>
      </c>
      <c r="F12" s="12" t="s">
        <v>13</v>
      </c>
      <c r="G12" s="13">
        <v>20412218</v>
      </c>
      <c r="H12" s="12" t="s">
        <v>15</v>
      </c>
      <c r="I12" s="13">
        <v>1</v>
      </c>
      <c r="J12" s="14">
        <v>8</v>
      </c>
      <c r="K12" s="14">
        <v>8</v>
      </c>
    </row>
    <row r="13" spans="2:11">
      <c r="D13" s="11">
        <v>46062</v>
      </c>
      <c r="E13" s="12">
        <v>1577453</v>
      </c>
      <c r="F13" s="12" t="s">
        <v>13</v>
      </c>
      <c r="G13" s="13">
        <v>20391169</v>
      </c>
      <c r="H13" s="12" t="s">
        <v>16</v>
      </c>
      <c r="I13" s="13">
        <v>2</v>
      </c>
      <c r="J13" s="14">
        <v>8</v>
      </c>
      <c r="K13" s="14">
        <v>16</v>
      </c>
    </row>
    <row r="14" spans="2:11">
      <c r="D14" s="11">
        <v>46062</v>
      </c>
      <c r="E14" s="12">
        <v>1577453</v>
      </c>
      <c r="F14" s="12" t="s">
        <v>13</v>
      </c>
      <c r="G14" s="13">
        <v>20412217</v>
      </c>
      <c r="H14" s="12" t="s">
        <v>17</v>
      </c>
      <c r="I14" s="13">
        <v>1</v>
      </c>
      <c r="J14" s="14">
        <v>8</v>
      </c>
      <c r="K14" s="14">
        <v>8</v>
      </c>
    </row>
    <row r="15" spans="2:11">
      <c r="D15" s="11">
        <v>46062</v>
      </c>
      <c r="E15" s="12">
        <v>1577453</v>
      </c>
      <c r="F15" s="12" t="s">
        <v>13</v>
      </c>
      <c r="G15" s="13">
        <v>20389333</v>
      </c>
      <c r="H15" s="12" t="s">
        <v>18</v>
      </c>
      <c r="I15" s="13">
        <v>2</v>
      </c>
      <c r="J15" s="14">
        <v>8</v>
      </c>
      <c r="K15" s="14">
        <v>16</v>
      </c>
    </row>
    <row r="16" spans="2:11">
      <c r="D16" s="11">
        <v>46062</v>
      </c>
      <c r="E16" s="12">
        <v>1577453</v>
      </c>
      <c r="F16" s="12" t="s">
        <v>13</v>
      </c>
      <c r="G16" s="13">
        <v>20389330</v>
      </c>
      <c r="H16" s="12" t="s">
        <v>19</v>
      </c>
      <c r="I16" s="13">
        <v>1</v>
      </c>
      <c r="J16" s="14">
        <v>8</v>
      </c>
      <c r="K16" s="14">
        <v>8</v>
      </c>
    </row>
    <row r="17" spans="4:11">
      <c r="D17" s="11">
        <v>46062</v>
      </c>
      <c r="E17" s="12">
        <v>1577453</v>
      </c>
      <c r="F17" s="12" t="s">
        <v>13</v>
      </c>
      <c r="G17" s="13">
        <v>20391167</v>
      </c>
      <c r="H17" s="12" t="s">
        <v>20</v>
      </c>
      <c r="I17" s="13">
        <v>2</v>
      </c>
      <c r="J17" s="14">
        <v>11</v>
      </c>
      <c r="K17" s="14">
        <v>22</v>
      </c>
    </row>
    <row r="18" spans="4:11">
      <c r="D18" s="11">
        <v>46062</v>
      </c>
      <c r="E18" s="12">
        <v>1577453</v>
      </c>
      <c r="F18" s="12" t="s">
        <v>13</v>
      </c>
      <c r="G18" s="13">
        <v>20412216</v>
      </c>
      <c r="H18" s="12" t="s">
        <v>21</v>
      </c>
      <c r="I18" s="13">
        <v>1</v>
      </c>
      <c r="J18" s="14">
        <v>8</v>
      </c>
      <c r="K18" s="14">
        <v>8</v>
      </c>
    </row>
    <row r="19" spans="4:11">
      <c r="D19" s="11">
        <v>46062</v>
      </c>
      <c r="E19" s="12">
        <v>1577453</v>
      </c>
      <c r="F19" s="12" t="s">
        <v>13</v>
      </c>
      <c r="G19" s="13">
        <v>20389331</v>
      </c>
      <c r="H19" s="12" t="s">
        <v>22</v>
      </c>
      <c r="I19" s="13">
        <v>2</v>
      </c>
      <c r="J19" s="14">
        <v>8</v>
      </c>
      <c r="K19" s="14">
        <v>16</v>
      </c>
    </row>
    <row r="20" spans="4:11">
      <c r="D20" s="11">
        <v>46062</v>
      </c>
      <c r="E20" s="12">
        <v>1577453</v>
      </c>
      <c r="F20" s="12" t="s">
        <v>13</v>
      </c>
      <c r="G20" s="13">
        <v>20361912</v>
      </c>
      <c r="H20" s="12" t="s">
        <v>23</v>
      </c>
      <c r="I20" s="13">
        <v>2</v>
      </c>
      <c r="J20" s="14">
        <v>8</v>
      </c>
      <c r="K20" s="14">
        <v>16</v>
      </c>
    </row>
    <row r="21" ht="0.05" customHeight="1"/>
  </sheetData>
  <autoFilter xmlns:etc="http://www.wps.cn/officeDocument/2017/etCustomData" ref="A9:K20" etc:filterBottomFollowUsedRange="0">
    <extLst/>
  </autoFilter>
  <mergeCells count="6">
    <mergeCell ref="D8:H8"/>
    <mergeCell ref="D10:H10"/>
    <mergeCell ref="C9:C20"/>
    <mergeCell ref="B4:H5"/>
    <mergeCell ref="C1:H2"/>
    <mergeCell ref="A8:B20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8:39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27" sqref="L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24</v>
      </c>
      <c r="E8" s="8" t="s">
        <v>2</v>
      </c>
      <c r="F8" s="8" t="s">
        <v>2</v>
      </c>
      <c r="G8" s="8" t="s">
        <v>2</v>
      </c>
      <c r="H8" s="8" t="s">
        <v>2</v>
      </c>
      <c r="I8" s="9">
        <v>70</v>
      </c>
      <c r="J8" s="10"/>
      <c r="K8" s="10">
        <v>1283.5</v>
      </c>
    </row>
    <row r="9" spans="1:11">
      <c r="D9" s="11">
        <v>46055</v>
      </c>
      <c r="E9" s="12">
        <v>1575610</v>
      </c>
      <c r="F9" s="12" t="s">
        <v>13</v>
      </c>
      <c r="G9" s="13">
        <v>20361908</v>
      </c>
      <c r="H9" s="12" t="s">
        <v>25</v>
      </c>
      <c r="I9" s="13">
        <v>3</v>
      </c>
      <c r="J9" s="14">
        <v>16.5</v>
      </c>
      <c r="K9" s="14">
        <f>J9*I9</f>
        <v>49.5</v>
      </c>
    </row>
    <row r="10" spans="1:11">
      <c r="D10" s="11">
        <v>46055</v>
      </c>
      <c r="E10" s="12">
        <v>1575610</v>
      </c>
      <c r="F10" s="12" t="s">
        <v>13</v>
      </c>
      <c r="G10" s="13">
        <v>20411490</v>
      </c>
      <c r="H10" s="12" t="s">
        <v>26</v>
      </c>
      <c r="I10" s="13">
        <v>1</v>
      </c>
      <c r="J10" s="14">
        <v>11</v>
      </c>
      <c r="K10" s="14">
        <f t="shared" ref="K10:K35" si="0">J10*I10</f>
        <v>11</v>
      </c>
    </row>
    <row r="11" spans="1:11">
      <c r="D11" s="11">
        <v>46055</v>
      </c>
      <c r="E11" s="12">
        <v>1575610</v>
      </c>
      <c r="F11" s="12" t="s">
        <v>13</v>
      </c>
      <c r="G11" s="13">
        <v>20411492</v>
      </c>
      <c r="H11" s="12" t="s">
        <v>27</v>
      </c>
      <c r="I11" s="13">
        <v>2</v>
      </c>
      <c r="J11" s="14">
        <v>16.5</v>
      </c>
      <c r="K11" s="14">
        <f t="shared" si="0"/>
        <v>33</v>
      </c>
    </row>
    <row r="12" spans="1:11">
      <c r="D12" s="11">
        <v>46055</v>
      </c>
      <c r="E12" s="12">
        <v>1575610</v>
      </c>
      <c r="F12" s="12" t="s">
        <v>13</v>
      </c>
      <c r="G12" s="13">
        <v>20411491</v>
      </c>
      <c r="H12" s="12" t="s">
        <v>28</v>
      </c>
      <c r="I12" s="13">
        <v>2</v>
      </c>
      <c r="J12" s="14">
        <v>11</v>
      </c>
      <c r="K12" s="14">
        <f t="shared" si="0"/>
        <v>22</v>
      </c>
    </row>
    <row r="13" spans="1:11">
      <c r="D13" s="11">
        <v>46055</v>
      </c>
      <c r="E13" s="12">
        <v>1575610</v>
      </c>
      <c r="F13" s="12" t="s">
        <v>13</v>
      </c>
      <c r="G13" s="13">
        <v>20389338</v>
      </c>
      <c r="H13" s="12" t="s">
        <v>29</v>
      </c>
      <c r="I13" s="13">
        <v>4</v>
      </c>
      <c r="J13" s="14">
        <f>2.75*3</f>
        <v>8.25</v>
      </c>
      <c r="K13" s="14">
        <f t="shared" si="0"/>
        <v>33</v>
      </c>
    </row>
    <row r="14" spans="1:11">
      <c r="D14" s="11">
        <v>46055</v>
      </c>
      <c r="E14" s="12">
        <v>1575610</v>
      </c>
      <c r="F14" s="12" t="s">
        <v>30</v>
      </c>
      <c r="G14" s="13">
        <v>20389334</v>
      </c>
      <c r="H14" s="12" t="s">
        <v>31</v>
      </c>
      <c r="I14" s="13">
        <v>5</v>
      </c>
      <c r="J14" s="14">
        <v>24.75</v>
      </c>
      <c r="K14" s="14">
        <f t="shared" si="0"/>
        <v>123.75</v>
      </c>
    </row>
    <row r="15" spans="1:11">
      <c r="D15" s="11">
        <v>46055</v>
      </c>
      <c r="E15" s="12">
        <v>1575610</v>
      </c>
      <c r="F15" s="12" t="s">
        <v>30</v>
      </c>
      <c r="G15" s="13">
        <v>20406842</v>
      </c>
      <c r="H15" s="12" t="s">
        <v>32</v>
      </c>
      <c r="I15" s="13">
        <v>1</v>
      </c>
      <c r="J15" s="14">
        <v>27.5</v>
      </c>
      <c r="K15" s="14">
        <f t="shared" si="0"/>
        <v>27.5</v>
      </c>
    </row>
    <row r="16" spans="1:11">
      <c r="D16" s="11">
        <v>46065</v>
      </c>
      <c r="E16" s="12">
        <v>1578442</v>
      </c>
      <c r="F16" s="12" t="s">
        <v>13</v>
      </c>
      <c r="G16" s="13">
        <v>20367010</v>
      </c>
      <c r="H16" s="12" t="s">
        <v>33</v>
      </c>
      <c r="I16" s="13">
        <v>1</v>
      </c>
      <c r="J16" s="14">
        <v>16</v>
      </c>
      <c r="K16" s="14">
        <f t="shared" si="0"/>
        <v>16</v>
      </c>
    </row>
    <row r="17" spans="4:11">
      <c r="D17" s="11">
        <v>46065</v>
      </c>
      <c r="E17" s="12">
        <v>1578442</v>
      </c>
      <c r="F17" s="12" t="s">
        <v>13</v>
      </c>
      <c r="G17" s="13">
        <v>20361908</v>
      </c>
      <c r="H17" s="12" t="s">
        <v>25</v>
      </c>
      <c r="I17" s="13">
        <v>1</v>
      </c>
      <c r="J17" s="14">
        <v>16.5</v>
      </c>
      <c r="K17" s="14">
        <f t="shared" si="0"/>
        <v>16.5</v>
      </c>
    </row>
    <row r="18" spans="4:11">
      <c r="D18" s="11">
        <v>46065</v>
      </c>
      <c r="E18" s="12">
        <v>1578442</v>
      </c>
      <c r="F18" s="12" t="s">
        <v>13</v>
      </c>
      <c r="G18" s="13">
        <v>20411490</v>
      </c>
      <c r="H18" s="12" t="s">
        <v>26</v>
      </c>
      <c r="I18" s="13">
        <v>1</v>
      </c>
      <c r="J18" s="14">
        <v>11</v>
      </c>
      <c r="K18" s="14">
        <f t="shared" si="0"/>
        <v>11</v>
      </c>
    </row>
    <row r="19" spans="4:11">
      <c r="D19" s="11">
        <v>46065</v>
      </c>
      <c r="E19" s="12">
        <v>1578442</v>
      </c>
      <c r="F19" s="12" t="s">
        <v>13</v>
      </c>
      <c r="G19" s="13">
        <v>20410630</v>
      </c>
      <c r="H19" s="12" t="s">
        <v>34</v>
      </c>
      <c r="I19" s="13">
        <v>2</v>
      </c>
      <c r="J19" s="14">
        <v>16.5</v>
      </c>
      <c r="K19" s="14">
        <f t="shared" si="0"/>
        <v>33</v>
      </c>
    </row>
    <row r="20" spans="4:11">
      <c r="D20" s="11">
        <v>46065</v>
      </c>
      <c r="E20" s="12">
        <v>1578442</v>
      </c>
      <c r="F20" s="12" t="s">
        <v>13</v>
      </c>
      <c r="G20" s="13">
        <v>20411492</v>
      </c>
      <c r="H20" s="12" t="s">
        <v>27</v>
      </c>
      <c r="I20" s="13">
        <v>3</v>
      </c>
      <c r="J20" s="14">
        <v>16.5</v>
      </c>
      <c r="K20" s="14">
        <f t="shared" si="0"/>
        <v>49.5</v>
      </c>
    </row>
    <row r="21" spans="4:11">
      <c r="D21" s="11">
        <v>46065</v>
      </c>
      <c r="E21" s="12">
        <v>1578442</v>
      </c>
      <c r="F21" s="12" t="s">
        <v>13</v>
      </c>
      <c r="G21" s="13">
        <v>20389338</v>
      </c>
      <c r="H21" s="12" t="s">
        <v>29</v>
      </c>
      <c r="I21" s="13">
        <v>4</v>
      </c>
      <c r="J21" s="14">
        <f>2.75*3</f>
        <v>8.25</v>
      </c>
      <c r="K21" s="14">
        <f t="shared" si="0"/>
        <v>33</v>
      </c>
    </row>
    <row r="22" spans="4:11">
      <c r="D22" s="11">
        <v>46065</v>
      </c>
      <c r="E22" s="12">
        <v>1578442</v>
      </c>
      <c r="F22" s="12" t="s">
        <v>30</v>
      </c>
      <c r="G22" s="13">
        <v>20389334</v>
      </c>
      <c r="H22" s="12" t="s">
        <v>31</v>
      </c>
      <c r="I22" s="13">
        <v>5</v>
      </c>
      <c r="J22" s="14">
        <v>24.75</v>
      </c>
      <c r="K22" s="14">
        <f t="shared" si="0"/>
        <v>123.75</v>
      </c>
    </row>
    <row r="23" spans="4:11">
      <c r="D23" s="11">
        <v>46065</v>
      </c>
      <c r="E23" s="12">
        <v>1578442</v>
      </c>
      <c r="F23" s="12" t="s">
        <v>30</v>
      </c>
      <c r="G23" s="13">
        <v>20406842</v>
      </c>
      <c r="H23" s="12" t="s">
        <v>32</v>
      </c>
      <c r="I23" s="13">
        <v>1</v>
      </c>
      <c r="J23" s="14">
        <v>27.5</v>
      </c>
      <c r="K23" s="14">
        <f t="shared" si="0"/>
        <v>27.5</v>
      </c>
    </row>
    <row r="24" spans="4:11">
      <c r="D24" s="11">
        <v>46065</v>
      </c>
      <c r="E24" s="12">
        <v>1578442</v>
      </c>
      <c r="F24" s="12" t="s">
        <v>30</v>
      </c>
      <c r="G24" s="13">
        <v>20389344</v>
      </c>
      <c r="H24" s="12" t="s">
        <v>35</v>
      </c>
      <c r="I24" s="13">
        <v>1</v>
      </c>
      <c r="J24" s="14">
        <v>38.5</v>
      </c>
      <c r="K24" s="14">
        <f t="shared" si="0"/>
        <v>38.5</v>
      </c>
    </row>
    <row r="25" spans="4:11">
      <c r="D25" s="11">
        <v>46078</v>
      </c>
      <c r="E25" s="12">
        <v>1580094</v>
      </c>
      <c r="F25" s="12" t="s">
        <v>13</v>
      </c>
      <c r="G25" s="13">
        <v>20361908</v>
      </c>
      <c r="H25" s="12" t="s">
        <v>25</v>
      </c>
      <c r="I25" s="13">
        <v>4</v>
      </c>
      <c r="J25" s="14">
        <v>16.5</v>
      </c>
      <c r="K25" s="14">
        <f t="shared" si="0"/>
        <v>66</v>
      </c>
    </row>
    <row r="26" spans="4:11">
      <c r="D26" s="11">
        <v>46078</v>
      </c>
      <c r="E26" s="12">
        <v>1580094</v>
      </c>
      <c r="F26" s="12" t="s">
        <v>13</v>
      </c>
      <c r="G26" s="13">
        <v>20411490</v>
      </c>
      <c r="H26" s="12" t="s">
        <v>26</v>
      </c>
      <c r="I26" s="13">
        <v>1</v>
      </c>
      <c r="J26" s="14">
        <v>11</v>
      </c>
      <c r="K26" s="14">
        <f t="shared" si="0"/>
        <v>11</v>
      </c>
    </row>
    <row r="27" spans="4:11">
      <c r="D27" s="11">
        <v>46078</v>
      </c>
      <c r="E27" s="12">
        <v>1580094</v>
      </c>
      <c r="F27" s="12" t="s">
        <v>13</v>
      </c>
      <c r="G27" s="13">
        <v>20410628</v>
      </c>
      <c r="H27" s="12" t="s">
        <v>36</v>
      </c>
      <c r="I27" s="13">
        <v>1</v>
      </c>
      <c r="J27" s="14">
        <v>13.5</v>
      </c>
      <c r="K27" s="14">
        <f t="shared" si="0"/>
        <v>13.5</v>
      </c>
    </row>
    <row r="28" spans="4:11">
      <c r="D28" s="11">
        <v>46078</v>
      </c>
      <c r="E28" s="12">
        <v>1580094</v>
      </c>
      <c r="F28" s="12" t="s">
        <v>13</v>
      </c>
      <c r="G28" s="13">
        <v>20410630</v>
      </c>
      <c r="H28" s="12" t="s">
        <v>34</v>
      </c>
      <c r="I28" s="13">
        <v>13</v>
      </c>
      <c r="J28" s="14">
        <v>16.5</v>
      </c>
      <c r="K28" s="14">
        <f t="shared" si="0"/>
        <v>214.5</v>
      </c>
    </row>
    <row r="29" spans="4:11">
      <c r="D29" s="11">
        <v>46078</v>
      </c>
      <c r="E29" s="12">
        <v>1580094</v>
      </c>
      <c r="F29" s="12" t="s">
        <v>13</v>
      </c>
      <c r="G29" s="13">
        <v>20411492</v>
      </c>
      <c r="H29" s="12" t="s">
        <v>27</v>
      </c>
      <c r="I29" s="13">
        <v>2</v>
      </c>
      <c r="J29" s="14">
        <v>16.5</v>
      </c>
      <c r="K29" s="14">
        <f t="shared" si="0"/>
        <v>33</v>
      </c>
    </row>
    <row r="30" spans="4:11">
      <c r="D30" s="11">
        <v>46078</v>
      </c>
      <c r="E30" s="12">
        <v>1580094</v>
      </c>
      <c r="F30" s="12" t="s">
        <v>13</v>
      </c>
      <c r="G30" s="13">
        <v>20389338</v>
      </c>
      <c r="H30" s="12" t="s">
        <v>29</v>
      </c>
      <c r="I30" s="13">
        <v>4</v>
      </c>
      <c r="J30" s="14">
        <f>2.75*3</f>
        <v>8.25</v>
      </c>
      <c r="K30" s="14">
        <f t="shared" si="0"/>
        <v>33</v>
      </c>
    </row>
    <row r="31" spans="4:11">
      <c r="D31" s="11">
        <v>46078</v>
      </c>
      <c r="E31" s="12">
        <v>1580094</v>
      </c>
      <c r="F31" s="12" t="s">
        <v>30</v>
      </c>
      <c r="G31" s="13">
        <v>20389334</v>
      </c>
      <c r="H31" s="12" t="s">
        <v>31</v>
      </c>
      <c r="I31" s="13">
        <v>3</v>
      </c>
      <c r="J31" s="14">
        <v>24.75</v>
      </c>
      <c r="K31" s="14">
        <f t="shared" si="0"/>
        <v>74.25</v>
      </c>
    </row>
    <row r="32" spans="4:11">
      <c r="D32" s="11">
        <v>46078</v>
      </c>
      <c r="E32" s="12">
        <v>1580094</v>
      </c>
      <c r="F32" s="12" t="s">
        <v>30</v>
      </c>
      <c r="G32" s="13">
        <v>20406842</v>
      </c>
      <c r="H32" s="12" t="s">
        <v>32</v>
      </c>
      <c r="I32" s="13">
        <v>1</v>
      </c>
      <c r="J32" s="14">
        <v>27.5</v>
      </c>
      <c r="K32" s="14">
        <f t="shared" si="0"/>
        <v>27.5</v>
      </c>
    </row>
    <row r="33" spans="4:11">
      <c r="D33" s="11">
        <v>46078</v>
      </c>
      <c r="E33" s="12">
        <v>1580094</v>
      </c>
      <c r="F33" s="12" t="s">
        <v>30</v>
      </c>
      <c r="G33" s="13">
        <v>20410629</v>
      </c>
      <c r="H33" s="12" t="s">
        <v>37</v>
      </c>
      <c r="I33" s="13">
        <v>1</v>
      </c>
      <c r="J33" s="14">
        <v>27.5</v>
      </c>
      <c r="K33" s="14">
        <f t="shared" si="0"/>
        <v>27.5</v>
      </c>
    </row>
    <row r="34" ht="25.5" spans="4:11">
      <c r="D34" s="11">
        <v>46078</v>
      </c>
      <c r="E34" s="12">
        <v>1580094</v>
      </c>
      <c r="F34" s="12" t="s">
        <v>30</v>
      </c>
      <c r="G34" s="13">
        <v>20410627</v>
      </c>
      <c r="H34" s="12" t="s">
        <v>38</v>
      </c>
      <c r="I34" s="13">
        <v>1</v>
      </c>
      <c r="J34" s="14">
        <v>46.75</v>
      </c>
      <c r="K34" s="14">
        <f t="shared" si="0"/>
        <v>46.75</v>
      </c>
    </row>
    <row r="35" spans="4:11">
      <c r="D35" s="11">
        <v>46078</v>
      </c>
      <c r="E35" s="12">
        <v>1580094</v>
      </c>
      <c r="F35" s="12" t="s">
        <v>30</v>
      </c>
      <c r="G35" s="13">
        <v>20374346</v>
      </c>
      <c r="H35" s="12" t="s">
        <v>39</v>
      </c>
      <c r="I35" s="13">
        <v>2</v>
      </c>
      <c r="J35" s="14">
        <v>44</v>
      </c>
      <c r="K35" s="14">
        <f t="shared" si="0"/>
        <v>88</v>
      </c>
    </row>
    <row r="36" ht="0.05" customHeight="1"/>
  </sheetData>
  <autoFilter xmlns:etc="http://www.wps.cn/officeDocument/2017/etCustomData" ref="A7:K35" etc:filterBottomFollowUsedRange="0">
    <extLst/>
  </autoFilter>
  <mergeCells count="5">
    <mergeCell ref="D8:H8"/>
    <mergeCell ref="C7:C35"/>
    <mergeCell ref="B4:H5"/>
    <mergeCell ref="A7:B3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8:39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门诊</vt:lpstr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2026-03-03T01:01:00Z</dcterms:created>
  <dcterms:modified xsi:type="dcterms:W3CDTF">2026-03-05T02:36:48Z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7C45647DC0A141808C2AB7E41756F550_13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