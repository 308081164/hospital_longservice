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00" windowHeight="11630"/>
  </bookViews>
  <sheets>
    <sheet name="Sheet1" sheetId="3" r:id="rId1"/>
  </sheets>
  <externalReferences>
    <externalReference r:id="rId2"/>
  </externalReferences>
  <definedNames>
    <definedName name="_xlnm.Print_Area" localSheetId="0">Sheet1!$A$1:$E$16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<sst xmlns="http://schemas.openxmlformats.org/spreadsheetml/2006/main" count="18" uniqueCount="18">
  <si>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黑龙江中医药大学附属第三医院2026年1月分科室处理器械把数汇总</t>
  </si>
  <si>
    <t>序号</t>
  </si>
  <si>
    <t>科室</t>
  </si>
  <si>
    <t>器械数量</t>
  </si>
  <si>
    <t>科室签字</t>
  </si>
  <si>
    <t>耳科</t>
  </si>
  <si>
    <t>妇科病房（一病区）</t>
  </si>
  <si>
    <t>妇科门诊（一病区）</t>
  </si>
  <si>
    <t>急诊</t>
  </si>
  <si>
    <t>口腔科</t>
  </si>
  <si>
    <t>泌外科</t>
  </si>
  <si>
    <t>皮肤科</t>
  </si>
  <si>
    <t>普外科</t>
  </si>
  <si>
    <t>手术室</t>
  </si>
  <si>
    <t>透析科</t>
  </si>
  <si>
    <t>眼科</t>
  </si>
  <si>
    <t>骨二科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</si>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</sst>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19977;1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耳科"/>
      <sheetName val="妇科病房（一病区）"/>
      <sheetName val="妇科门诊（一病区）"/>
      <sheetName val="急诊"/>
      <sheetName val="口腔科"/>
      <sheetName val="泌外科"/>
      <sheetName val="皮肤科"/>
      <sheetName val="普外科"/>
      <sheetName val="手术室"/>
      <sheetName val="透析科"/>
      <sheetName val="眼科"/>
      <sheetName val="外来器械"/>
    </sheetNames>
    <sheetDataSet>
      <sheetData sheetId="0">
        <row r="10">
          <cell r="J10">
            <v>17</v>
          </cell>
        </row>
      </sheetData>
      <sheetData sheetId="1">
        <row r="8">
          <cell r="J8">
            <v>32</v>
          </cell>
        </row>
      </sheetData>
      <sheetData sheetId="2">
        <row r="8">
          <cell r="J8">
            <v>354</v>
          </cell>
        </row>
      </sheetData>
      <sheetData sheetId="3">
        <row r="8">
          <cell r="J8">
            <v>197</v>
          </cell>
        </row>
      </sheetData>
      <sheetData sheetId="4">
        <row r="8">
          <cell r="J8">
            <v>587</v>
          </cell>
        </row>
      </sheetData>
      <sheetData sheetId="5">
        <row r="8">
          <cell r="J8">
            <v>99</v>
          </cell>
        </row>
      </sheetData>
      <sheetData sheetId="6">
        <row r="8">
          <cell r="J8">
            <v>76</v>
          </cell>
        </row>
      </sheetData>
      <sheetData sheetId="7">
        <row r="8">
          <cell r="J8">
            <v>22</v>
          </cell>
        </row>
      </sheetData>
      <sheetData sheetId="8">
        <row r="8">
          <cell r="J8">
            <v>2791</v>
          </cell>
        </row>
      </sheetData>
      <sheetData sheetId="9">
        <row r="8">
          <cell r="J8">
            <v>5</v>
          </cell>
        </row>
      </sheetData>
      <sheetData sheetId="10">
        <row r="8">
          <cell r="J8">
            <v>39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7"/>
  <sheetViews>
    <sheetView tabSelected="1" view="pageBreakPreview" zoomScaleNormal="100" workbookViewId="0">
      <selection activeCell="E14" sqref="E14"/>
    </sheetView>
  </sheetViews>
  <sheetFormatPr defaultColWidth="9" defaultRowHeight="14" outlineLevelCol="4"/>
  <cols>
    <col min="1" max="1" width="3.62727272727273" customWidth="1"/>
    <col min="3" max="3" width="34.8727272727273" customWidth="1"/>
    <col min="4" max="4" width="13.1272727272727" customWidth="1"/>
    <col min="5" max="5" width="37.7545454545455" customWidth="1"/>
  </cols>
  <sheetData>
    <row r="1" s="1" customFormat="1" ht="35" customHeight="1" spans="2:5">
      <c r="B1" s="2" t="s">
        <v>0</v>
      </c>
      <c r="C1" s="2"/>
      <c r="D1" s="2"/>
      <c r="E1" s="2"/>
    </row>
    <row r="2" s="1" customFormat="1" ht="35" customHeight="1" spans="2:5">
      <c r="B2" s="2"/>
      <c r="C2" s="2"/>
      <c r="D2" s="2"/>
      <c r="E2" s="2"/>
    </row>
    <row r="3" ht="30" customHeight="1" spans="2:5">
      <c r="B3" s="3" t="s">
        <v>1</v>
      </c>
      <c r="C3" s="3" t="s">
        <v>2</v>
      </c>
      <c r="D3" s="3" t="s">
        <v>3</v>
      </c>
      <c r="E3" s="3" t="s">
        <v>4</v>
      </c>
    </row>
    <row r="4" ht="30" customHeight="1" spans="2:5">
      <c r="B4" s="3">
        <v>1</v>
      </c>
      <c r="C4" s="4" t="s">
        <v>5</v>
      </c>
      <c r="D4" s="3">
        <f>[1]耳科!$J$10</f>
        <v>17</v>
      </c>
      <c r="E4" s="5"/>
    </row>
    <row r="5" ht="30" customHeight="1" spans="2:5">
      <c r="B5" s="3">
        <v>2</v>
      </c>
      <c r="C5" s="4" t="s">
        <v>6</v>
      </c>
      <c r="D5" s="3">
        <f>'[1]妇科病房（一病区）'!$J$8</f>
        <v>32</v>
      </c>
      <c r="E5" s="5"/>
    </row>
    <row r="6" ht="30" customHeight="1" spans="2:5">
      <c r="B6" s="3">
        <v>3</v>
      </c>
      <c r="C6" s="4" t="s">
        <v>7</v>
      </c>
      <c r="D6" s="3">
        <f>'[1]妇科门诊（一病区）'!$J$8</f>
        <v>354</v>
      </c>
      <c r="E6" s="5"/>
    </row>
    <row r="7" ht="30" customHeight="1" spans="2:5">
      <c r="B7" s="3">
        <v>4</v>
      </c>
      <c r="C7" s="4" t="s">
        <v>8</v>
      </c>
      <c r="D7" s="3">
        <f>[1]急诊!$J$8</f>
        <v>197</v>
      </c>
      <c r="E7" s="5"/>
    </row>
    <row r="8" ht="30" customHeight="1" spans="2:5">
      <c r="B8" s="3">
        <v>5</v>
      </c>
      <c r="C8" s="4" t="s">
        <v>9</v>
      </c>
      <c r="D8" s="3">
        <f>[1]口腔科!$J$8</f>
        <v>587</v>
      </c>
      <c r="E8" s="5"/>
    </row>
    <row r="9" ht="30" customHeight="1" spans="2:5">
      <c r="B9" s="3">
        <v>6</v>
      </c>
      <c r="C9" s="4" t="s">
        <v>10</v>
      </c>
      <c r="D9" s="3">
        <f>[1]泌外科!$J$8</f>
        <v>99</v>
      </c>
      <c r="E9" s="5"/>
    </row>
    <row r="10" ht="30" customHeight="1" spans="2:5">
      <c r="B10" s="3">
        <v>7</v>
      </c>
      <c r="C10" s="4" t="s">
        <v>11</v>
      </c>
      <c r="D10" s="3">
        <f>[1]皮肤科!$J$8</f>
        <v>76</v>
      </c>
      <c r="E10" s="5"/>
    </row>
    <row r="11" ht="30" customHeight="1" spans="2:5">
      <c r="B11" s="3">
        <v>8</v>
      </c>
      <c r="C11" s="4" t="s">
        <v>12</v>
      </c>
      <c r="D11" s="3">
        <f>[1]普外科!$J$8</f>
        <v>22</v>
      </c>
      <c r="E11" s="5"/>
    </row>
    <row r="12" ht="30" customHeight="1" spans="2:5">
      <c r="B12" s="3">
        <v>9</v>
      </c>
      <c r="C12" s="4" t="s">
        <v>13</v>
      </c>
      <c r="D12" s="3">
        <f>[1]手术室!$J$8</f>
        <v>2791</v>
      </c>
      <c r="E12" s="5"/>
    </row>
    <row r="13" ht="30" customHeight="1" spans="2:5">
      <c r="B13" s="3">
        <v>10</v>
      </c>
      <c r="C13" s="4" t="s">
        <v>14</v>
      </c>
      <c r="D13" s="3">
        <f>[1]透析科!$J$8</f>
        <v>5</v>
      </c>
      <c r="E13" s="5"/>
    </row>
    <row r="14" ht="30" customHeight="1" spans="2:5">
      <c r="B14" s="3">
        <v>11</v>
      </c>
      <c r="C14" s="4" t="s">
        <v>15</v>
      </c>
      <c r="D14" s="3">
        <f>[1]眼科!$J$8</f>
        <v>39</v>
      </c>
      <c r="E14" s="5"/>
    </row>
    <row r="15" ht="30" customHeight="1" spans="2:5">
      <c r="B15" s="3">
        <v>12</v>
      </c>
      <c r="C15" s="4" t="s">
        <v>16</v>
      </c>
      <c r="D15" s="3">
        <v>933</v>
      </c>
      <c r="E15" s="5"/>
    </row>
    <row r="16" ht="30" customHeight="1" spans="2:5">
      <c r="B16" s="3" t="s">
        <v>17</v>
      </c>
      <c r="C16" s="3"/>
      <c r="D16" s="3">
        <f>SUM(D4:D15)</f>
        <v>5152</v>
      </c>
      <c r="E16" s="5"/>
    </row>
    <row r="17" ht="30" customHeight="1"/>
  </sheetData>
  <mergeCells count="2">
    <mergeCell ref="B16:C16"/>
    <mergeCell ref="B1:E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2025-05-04T07:31:00Z</dcterms:created>
  <dcterms:modified xsi:type="dcterms:W3CDTF">2026-02-04T05:19:17Z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FDF38C28A1FC417CBD49F8D920248CB5_13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