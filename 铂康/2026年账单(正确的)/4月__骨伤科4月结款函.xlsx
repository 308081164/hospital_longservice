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市骨伤科医院" sheetId="1" r:id="rId1"/>
  </sheets>
  <externalReferences>
    <externalReference r:id="rId2"/>
  </externalReferences>
  <definedNames>
    <definedName name="_xlnm.Print_Titles" localSheetId="0">哈尔滨市骨伤科医院!$1:$4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<sst xmlns="http://schemas.openxmlformats.org/spreadsheetml/2006/main" count="42" uniqueCount="17">
  <si>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/>
  </si>
  <si>
    <r>
      <rPr>
        <b/>
        <sz val="14"/>
        <color rgb="FF000000"/>
        <rFont val="宋体"/>
        <charset val="134"/>
      </rPr>
      <t>哈尔滨市骨伤科医院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</si>
  <si>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哈尔滨市骨伤科医院</t>
    </r>
  </si>
  <si>
    <t>从:2026年4月1日  至: 2026年4月30日 灭菌费用总清单如下：</t>
  </si>
  <si>
    <t>序号</t>
  </si>
  <si>
    <t>条目</t>
  </si>
  <si>
    <t>费用</t>
  </si>
  <si>
    <t>备注</t>
  </si>
  <si>
    <t>灭菌费用</t>
  </si>
  <si>
    <t>费用调整669.2元已减</t>
  </si>
  <si>
    <t>外来器械灭菌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</si>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</sst>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2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176" fontId="4" fillId="0" borderId="6" xfId="49" applyNumberFormat="1" applyFont="1" applyFill="1" applyBorder="1" applyAlignment="1">
      <alignment horizontal="center" vertical="top" wrapText="1" readingOrder="1"/>
    </xf>
    <xf numFmtId="176" fontId="4" fillId="0" borderId="3" xfId="49" applyNumberFormat="1" applyFont="1" applyFill="1" applyBorder="1" applyAlignment="1">
      <alignment horizontal="center" vertical="top" wrapText="1" readingOrder="1"/>
    </xf>
    <xf numFmtId="0" fontId="0" fillId="0" borderId="7" xfId="0" applyFont="1" applyFill="1" applyBorder="1" applyAlignment="1">
      <alignment horizontal="center" vertical="center"/>
    </xf>
    <xf numFmtId="0" fontId="4" fillId="0" borderId="8" xfId="49" applyNumberFormat="1" applyFont="1" applyFill="1" applyBorder="1" applyAlignment="1">
      <alignment horizontal="center" vertical="top" wrapText="1" readingOrder="1"/>
    </xf>
    <xf numFmtId="0" fontId="4" fillId="0" borderId="9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9592;&#20260;&#3118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外来器械"/>
      <sheetName val="费用调整"/>
    </sheetNames>
    <sheetDataSet>
      <sheetData sheetId="0"/>
      <sheetData sheetId="1"/>
      <sheetData sheetId="2">
        <row r="11">
          <cell r="L11">
            <v>6594</v>
          </cell>
        </row>
        <row r="61">
          <cell r="L61">
            <v>1556.5</v>
          </cell>
        </row>
        <row r="75">
          <cell r="L75">
            <v>552</v>
          </cell>
        </row>
        <row r="84">
          <cell r="L84">
            <v>495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Q21" sqref="Q2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4.375" customWidth="1"/>
    <col min="8" max="8" width="24.975" customWidth="1"/>
    <col min="9" max="9" width="1.575" customWidth="1"/>
    <col min="10" max="10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8">
        <v>1</v>
      </c>
      <c r="E12" s="6" t="s">
        <v>8</v>
      </c>
      <c r="F12" s="9">
        <v>136995.1</v>
      </c>
      <c r="G12" s="7"/>
      <c r="H12" s="10" t="s">
        <v>9</v>
      </c>
      <c r="I12" s="11"/>
    </row>
    <row r="13" ht="30" customHeight="1" spans="3:9">
      <c r="D13" s="8">
        <v>2</v>
      </c>
      <c r="E13" s="6" t="s">
        <v>10</v>
      </c>
      <c r="F13" s="12">
        <f>[1]外来器械!$L$11+[1]外来器械!$L$61+[1]外来器械!$L$75+[1]外来器械!$L$84</f>
        <v>9197.5</v>
      </c>
      <c r="G13" s="13"/>
      <c r="H13" s="14"/>
      <c r="I13" s="14"/>
    </row>
    <row r="14" ht="30" customHeight="1" spans="3:9">
      <c r="D14" s="8">
        <v>3</v>
      </c>
      <c r="E14" s="6" t="s">
        <v>11</v>
      </c>
      <c r="F14" s="12">
        <f>30*50</f>
        <v>1500</v>
      </c>
      <c r="G14" s="13"/>
      <c r="H14" s="15"/>
      <c r="I14" s="16"/>
    </row>
    <row r="15" ht="30" customHeight="1" spans="3:9">
      <c r="D15" s="6" t="s">
        <v>12</v>
      </c>
      <c r="E15" s="7" t="s">
        <v>0</v>
      </c>
      <c r="F15" s="9">
        <f>F12+F13+F14</f>
        <v>147692.6</v>
      </c>
      <c r="G15" s="7"/>
      <c r="H15" s="6" t="s">
        <v>0</v>
      </c>
      <c r="I15" s="7" t="s">
        <v>0</v>
      </c>
    </row>
    <row r="16" ht="30" customHeight="1" spans="3:9">
      <c r="D16" s="6" t="s">
        <v>13</v>
      </c>
      <c r="E16" s="7" t="s">
        <v>0</v>
      </c>
      <c r="F16" s="17">
        <f>F15</f>
        <v>147692.6</v>
      </c>
      <c r="G16" s="18"/>
      <c r="H16" s="6" t="s">
        <v>0</v>
      </c>
      <c r="I16" s="7" t="s">
        <v>0</v>
      </c>
    </row>
    <row r="17" ht="12" customHeight="1" spans="4:8">
      <c r="D17" s="4" t="s">
        <v>0</v>
      </c>
    </row>
    <row r="18" ht="227" customHeight="1" spans="4:8">
      <c r="D18" s="5" t="s">
        <v>14</v>
      </c>
    </row>
    <row r="19" ht="35" customHeight="1" spans="4:8">
      <c r="D19" s="19" t="s">
        <v>0</v>
      </c>
      <c r="E19" s="19" t="s">
        <v>0</v>
      </c>
      <c r="F19" s="20" t="s">
        <v>15</v>
      </c>
      <c r="H19" s="19" t="s">
        <v>0</v>
      </c>
    </row>
    <row r="20" ht="36" customHeight="1" spans="4:8">
      <c r="D20" s="21" t="s">
        <v>16</v>
      </c>
    </row>
    <row r="21" ht="67.5" customHeight="1"/>
  </sheetData>
  <mergeCells count="27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哈尔滨市骨伤科医院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2024-12-04T02:45:00Z</dcterms:created>
  <dcterms:modified xsi:type="dcterms:W3CDTF">2026-05-06T02:21:12Z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514584F2D5304F98BDB583F1536E4A05_13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