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6"/>
  </bookViews>
  <sheets>
    <sheet name="汇总" sheetId="7" r:id="rId1"/>
    <sheet name="耳鼻喉科" sheetId="1" r:id="rId2"/>
    <sheet name="骨五科" sheetId="2" r:id="rId3"/>
    <sheet name="脾胃六（小箱）" sheetId="3" r:id="rId4"/>
    <sheet name="脾胃一（小箱）" sheetId="4" r:id="rId5"/>
    <sheet name="心六科" sheetId="5" r:id="rId6"/>
    <sheet name="周围血管（小箱）" sheetId="6" r:id="rId7"/>
  </sheets>
  <definedNames>
    <definedName name="_xlnm.Print_Titles" localSheetId="1">耳鼻喉科!$1:$6</definedName>
    <definedName name="_xlnm.Print_Titles" localSheetId="2">骨五科!$1:$6</definedName>
    <definedName name="_xlnm.Print_Titles" localSheetId="3">'脾胃六（小箱）'!$1:$6</definedName>
    <definedName name="_xlnm.Print_Titles" localSheetId="4">'脾胃一（小箱）'!$1:$6</definedName>
    <definedName name="_xlnm.Print_Titles" localSheetId="5">心六科!$1:$6</definedName>
    <definedName name="_xlnm.Print_Titles" localSheetId="6">'周围血管（小箱）'!$1:$6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<sst xmlns="http://schemas.openxmlformats.org/spreadsheetml/2006/main" count="185" uniqueCount="40">
  <si>
    <r>
      <rPr>
        <b/>
        <sz val="14"/>
        <color rgb="FF000000"/>
        <rFont val="宋体"/>
        <charset val="134"/>
      </rPr>
      <t>祖研-黑龙江省中医医院（香安院区）</t>
    </r>
    <r>
      <rPr>
        <b/>
        <sz val="14"/>
        <color rgb="FF000000"/>
        <rFont val="宋体"/>
        <charset val="134"/>
      </rPr>
      <t>各科室</t>
    </r>
    <r>
      <rPr>
        <b/>
        <sz val="14"/>
        <color rgb="FF000000"/>
        <rFont val="宋体"/>
        <charset val="134"/>
      </rPr>
      <t>2026年4月</t>
    </r>
    <r>
      <rPr>
        <b/>
        <sz val="14"/>
        <color rgb="FF000000"/>
        <rFont val="宋体"/>
        <charset val="134"/>
      </rPr>
      <t>灭菌价格汇总</t>
    </r>
  </si>
  <si>
    <t>科室</t>
  </si>
  <si>
    <t>价格</t>
  </si>
  <si>
    <t>耳鼻喉科</t>
  </si>
  <si>
    <t>供应室</t>
  </si>
  <si>
    <t>骨五科</t>
  </si>
  <si>
    <t>脾胃六（小箱）</t>
  </si>
  <si>
    <t>脾胃一（小箱）</t>
  </si>
  <si>
    <t>心六科</t>
  </si>
  <si>
    <t>周围血管（小箱）</t>
  </si>
  <si>
    <t>物流费</t>
  </si>
  <si>
    <t>合计</t>
  </si>
  <si>
    <t/>
  </si>
  <si>
    <t>制表人：　　　　　　　　　核算人：　　　　　　　　甲方核算人：</t>
  </si>
  <si>
    <t>黑龙江省铂康医疗灭菌有限公司
2026年4月30日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</si>
  <si>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</si>
  <si>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</si>
  <si>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r>
      <rPr>
        <sz val="12"/>
        <color rgb="FFFFFFFF"/>
        <rFont val="宋体"/>
        <charset val="134"/>
      </rPr>
      <t>祖研</t>
    </r>
    <r>
      <rPr>
        <sz val="12"/>
        <color rgb="FFFFFFFF"/>
        <rFont val="Droid Sans Fallback"/>
        <charset val="134"/>
      </rPr>
      <t>-</t>
    </r>
    <r>
      <rPr>
        <sz val="12"/>
        <color rgb="FFFFFFFF"/>
        <rFont val="宋体"/>
        <charset val="134"/>
      </rPr>
      <t>黑龙江省中医医院（香安院区）</t>
    </r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</si>
  <si>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</si>
  <si>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</si>
  <si>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</si>
  <si>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</si>
  <si>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</si>
  <si>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</si>
  <si>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</si>
  <si>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</si>
  <si>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</si>
  <si>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镊子-1/z7526</t>
  </si>
  <si>
    <t>开口器1 舌钳子1 压舌板1/z1530</t>
  </si>
  <si>
    <t>单包装包</t>
  </si>
  <si>
    <t>埋线包（盘1镊子2剪刀1）/W6050</t>
  </si>
  <si>
    <t>器械包(ZSD)</t>
  </si>
  <si>
    <t>埋线包（一）</t>
  </si>
  <si>
    <t>额外包(无纺布)</t>
  </si>
  <si>
    <t>埋线包-4件/w6050</t>
  </si>
  <si>
    <t>开口器1压舌板1/Z1526</t>
  </si>
  <si>
    <t>咬骨钳-2/Z1530</t>
  </si>
  <si>
    <t>止血钳（弯）1探针1/Z1026</t>
  </si>
  <si>
    <t>剪刀2止血钳1探针1/z1526</t>
  </si>
  <si>
    <t>剪刀2止血钳1/z1526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</si>
</sst>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DBNum2][$RMB]General;[Red][DBNum2][$RMB]General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2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center" wrapText="1" readingOrder="1"/>
    </xf>
    <xf numFmtId="0" fontId="8" fillId="0" borderId="5" xfId="0" applyNumberFormat="1" applyFont="1" applyFill="1" applyBorder="1" applyAlignment="1">
      <alignment horizontal="center" vertical="center" wrapText="1" readingOrder="1"/>
    </xf>
    <xf numFmtId="0" fontId="9" fillId="0" borderId="5" xfId="0" applyNumberFormat="1" applyFont="1" applyFill="1" applyBorder="1" applyAlignment="1">
      <alignment horizontal="center" vertical="center" wrapText="1" readingOrder="1"/>
    </xf>
    <xf numFmtId="176" fontId="9" fillId="0" borderId="5" xfId="0" applyNumberFormat="1" applyFont="1" applyFill="1" applyBorder="1" applyAlignment="1">
      <alignment horizontal="center" vertical="center" wrapText="1" readingOrder="1"/>
    </xf>
    <xf numFmtId="178" fontId="9" fillId="0" borderId="5" xfId="0" applyNumberFormat="1" applyFont="1" applyFill="1" applyBorder="1" applyAlignment="1">
      <alignment horizontal="center" vertical="center" wrapText="1" readingOrder="1"/>
    </xf>
    <xf numFmtId="178" fontId="0" fillId="0" borderId="6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horizontal="left" vertical="top" wrapText="1" readingOrder="1"/>
    </xf>
    <xf numFmtId="0" fontId="10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66675</xdr:rowOff>
    </xdr:from>
    <xdr:to>
      <xdr:col>10</xdr:col>
      <xdr:colOff>757638</xdr:colOff>
      <xdr:row>3</xdr:row>
      <xdr:rowOff>85725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666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1</xdr:row>
      <xdr:rowOff>9525</xdr:rowOff>
    </xdr:from>
    <xdr:to>
      <xdr:col>10</xdr:col>
      <xdr:colOff>814788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142875</xdr:colOff>
      <xdr:row>1</xdr:row>
      <xdr:rowOff>57150</xdr:rowOff>
    </xdr:from>
    <xdr:to>
      <xdr:col>10</xdr:col>
      <xdr:colOff>652863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038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0</xdr:rowOff>
    </xdr:from>
    <xdr:to>
      <xdr:col>10</xdr:col>
      <xdr:colOff>690963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656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19050</xdr:rowOff>
    </xdr:from>
    <xdr:to>
      <xdr:col>10</xdr:col>
      <xdr:colOff>776688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57150</xdr:colOff>
      <xdr:row>1</xdr:row>
      <xdr:rowOff>19050</xdr:rowOff>
    </xdr:from>
    <xdr:to>
      <xdr:col>10</xdr:col>
      <xdr:colOff>567138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8020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3"/>
  <sheetViews>
    <sheetView view="pageBreakPreview" zoomScaleNormal="100" workbookViewId="0">
      <selection activeCell="E7" sqref="E7"/>
    </sheetView>
  </sheetViews>
  <sheetFormatPr defaultColWidth="9" defaultRowHeight="13.5" outlineLevelCol="4"/>
  <cols>
    <col min="1" max="1" width="1.69166666666667" customWidth="1"/>
    <col min="2" max="2" width="30.1916666666667" customWidth="1"/>
    <col min="3" max="3" width="12.8333333333333" customWidth="1"/>
    <col min="4" max="4" width="29.6" customWidth="1"/>
    <col min="5" max="5" width="12.5416666666667" customWidth="1"/>
    <col min="6" max="6" width="2" customWidth="1"/>
  </cols>
  <sheetData>
    <row r="1" ht="14.95" customHeight="1"/>
    <row r="2" customFormat="1" ht="25.5" customHeight="1" spans="2:5">
      <c r="B2" s="18" t="s">
        <v>0</v>
      </c>
    </row>
    <row r="3" customFormat="1" ht="30" customHeight="1" spans="2:5">
      <c r="B3" s="19" t="s">
        <v>1</v>
      </c>
      <c r="C3" s="19" t="s">
        <v>2</v>
      </c>
      <c r="D3" s="19" t="s">
        <v>1</v>
      </c>
      <c r="E3" s="19" t="s">
        <v>2</v>
      </c>
    </row>
    <row r="4" customFormat="1" ht="30" customHeight="1" spans="2:5">
      <c r="B4" s="20" t="s">
        <v>3</v>
      </c>
      <c r="C4" s="21">
        <f>耳鼻喉科!K10</f>
        <v>16</v>
      </c>
      <c r="D4" s="20" t="s">
        <v>4</v>
      </c>
      <c r="E4" s="21">
        <v>0</v>
      </c>
    </row>
    <row r="5" customFormat="1" ht="30" customHeight="1" spans="2:5">
      <c r="B5" s="20" t="s">
        <v>5</v>
      </c>
      <c r="C5" s="21">
        <f>骨五科!K8</f>
        <v>16.5</v>
      </c>
      <c r="D5" s="20" t="s">
        <v>6</v>
      </c>
      <c r="E5" s="21">
        <f>'脾胃六（小箱）'!K8</f>
        <v>148.5</v>
      </c>
    </row>
    <row r="6" customFormat="1" ht="30" customHeight="1" spans="2:5">
      <c r="B6" s="20" t="s">
        <v>7</v>
      </c>
      <c r="C6" s="21">
        <f>'脾胃一（小箱）'!K8</f>
        <v>148.5</v>
      </c>
      <c r="D6" s="20" t="s">
        <v>8</v>
      </c>
      <c r="E6" s="21">
        <f>心六科!K8</f>
        <v>16.5</v>
      </c>
    </row>
    <row r="7" customFormat="1" ht="30" customHeight="1" spans="2:5">
      <c r="B7" s="20" t="s">
        <v>9</v>
      </c>
      <c r="C7" s="21">
        <f>'周围血管（小箱）'!K8</f>
        <v>90.5</v>
      </c>
      <c r="D7" s="20" t="s">
        <v>10</v>
      </c>
      <c r="E7" s="20">
        <v>325</v>
      </c>
    </row>
    <row r="8" customFormat="1" ht="30" customHeight="1" spans="2:5">
      <c r="B8" s="19" t="s">
        <v>11</v>
      </c>
      <c r="C8" s="21">
        <f>C4+E4+C5+E5+C6+E6+C7+E7</f>
        <v>761.5</v>
      </c>
      <c r="D8" s="22">
        <f>C8</f>
        <v>761.5</v>
      </c>
      <c r="E8" s="23" t="s">
        <v>12</v>
      </c>
    </row>
    <row r="9" customFormat="1" ht="30" customHeight="1" spans="2:5">
      <c r="B9" s="24" t="s">
        <v>12</v>
      </c>
      <c r="C9" s="24" t="s">
        <v>12</v>
      </c>
      <c r="D9" s="24" t="s">
        <v>12</v>
      </c>
      <c r="E9" s="24" t="s">
        <v>12</v>
      </c>
    </row>
    <row r="10" customFormat="1" ht="30" customHeight="1" spans="2:5">
      <c r="B10" s="24" t="s">
        <v>13</v>
      </c>
    </row>
    <row r="11" customFormat="1" ht="30" customHeight="1" spans="2:5">
      <c r="B11" s="25" t="s">
        <v>14</v>
      </c>
    </row>
    <row r="12" ht="30" customHeight="1"/>
    <row r="13" ht="30" customHeight="1"/>
  </sheetData>
  <mergeCells count="4">
    <mergeCell ref="B2:E2"/>
    <mergeCell ref="D8:E8"/>
    <mergeCell ref="B10:E10"/>
    <mergeCell ref="B11:E11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view="pageBreakPreview" zoomScaleNormal="100" workbookViewId="0">
      <pane ySplit="6" topLeftCell="A7" activePane="bottomLeft" state="frozen"/>
      <selection/>
      <selection pane="bottomLeft" activeCell="J11" sqref="J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15</v>
      </c>
    </row>
    <row r="2" ht="23.05" customHeight="1"/>
    <row r="3" ht="2" customHeight="1"/>
    <row r="4" ht="15.2" customHeight="1" spans="2:11">
      <c r="B4" s="2" t="s">
        <v>16</v>
      </c>
    </row>
    <row r="6" ht="2.95" customHeight="1"/>
    <row r="7" ht="3.95" customHeight="1" spans="2:11"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</row>
    <row r="8" ht="15" spans="2:11">
      <c r="C8" s="3" t="s">
        <v>12</v>
      </c>
      <c r="D8" s="15" t="s">
        <v>17</v>
      </c>
      <c r="E8" s="8" t="s">
        <v>12</v>
      </c>
      <c r="F8" s="8" t="s">
        <v>12</v>
      </c>
      <c r="G8" s="8" t="s">
        <v>12</v>
      </c>
      <c r="H8" s="8" t="s">
        <v>12</v>
      </c>
      <c r="I8" s="16"/>
      <c r="J8" s="17"/>
      <c r="K8" s="17"/>
    </row>
    <row r="9" spans="2:11">
      <c r="C9" s="3" t="s">
        <v>12</v>
      </c>
      <c r="D9" s="13" t="s">
        <v>18</v>
      </c>
      <c r="E9" s="13" t="s">
        <v>19</v>
      </c>
      <c r="F9" s="13" t="s">
        <v>20</v>
      </c>
      <c r="G9" s="13" t="s">
        <v>21</v>
      </c>
      <c r="H9" s="13" t="s">
        <v>22</v>
      </c>
      <c r="I9" s="13" t="s">
        <v>23</v>
      </c>
      <c r="J9" s="13" t="s">
        <v>24</v>
      </c>
      <c r="K9" s="13" t="s">
        <v>25</v>
      </c>
    </row>
    <row r="10" ht="14.25" spans="2:11">
      <c r="D10" s="7" t="s">
        <v>3</v>
      </c>
      <c r="E10" s="8" t="s">
        <v>12</v>
      </c>
      <c r="F10" s="8" t="s">
        <v>12</v>
      </c>
      <c r="G10" s="8" t="s">
        <v>12</v>
      </c>
      <c r="H10" s="8" t="s">
        <v>12</v>
      </c>
      <c r="I10" s="9">
        <v>2</v>
      </c>
      <c r="J10" s="10"/>
      <c r="K10" s="10">
        <v>16</v>
      </c>
    </row>
    <row r="11" spans="2:11">
      <c r="D11" s="11">
        <v>46115</v>
      </c>
      <c r="E11" s="12">
        <v>1591991</v>
      </c>
      <c r="F11" s="12" t="s">
        <v>26</v>
      </c>
      <c r="G11" s="13">
        <v>20420138</v>
      </c>
      <c r="H11" s="12" t="s">
        <v>27</v>
      </c>
      <c r="I11" s="13">
        <v>2</v>
      </c>
      <c r="J11" s="14">
        <v>8</v>
      </c>
      <c r="K11" s="14">
        <v>16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9" sqref="J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15</v>
      </c>
    </row>
    <row r="2" ht="23.05" customHeight="1"/>
    <row r="3" ht="2" customHeight="1"/>
    <row r="4" ht="15.2" customHeight="1" spans="1:11">
      <c r="B4" s="2" t="s">
        <v>16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</row>
    <row r="8" ht="14.25" spans="1:11">
      <c r="D8" s="7" t="s">
        <v>5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</v>
      </c>
      <c r="J8" s="10"/>
      <c r="K8" s="10">
        <v>16.5</v>
      </c>
    </row>
    <row r="9" spans="1:11">
      <c r="D9" s="11">
        <v>46134</v>
      </c>
      <c r="E9" s="12">
        <v>1597252</v>
      </c>
      <c r="F9" s="12" t="s">
        <v>26</v>
      </c>
      <c r="G9" s="13">
        <v>20422624</v>
      </c>
      <c r="H9" s="12" t="s">
        <v>28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G10" sqref="G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3.875" customWidth="1"/>
    <col min="7" max="7" width="9.36666666666667" customWidth="1"/>
    <col min="8" max="8" width="2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15</v>
      </c>
    </row>
    <row r="2" ht="23.05" customHeight="1"/>
    <row r="3" ht="2" customHeight="1"/>
    <row r="4" ht="15.2" customHeight="1" spans="1:11">
      <c r="B4" s="2" t="s">
        <v>16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</row>
    <row r="8" ht="14.25" spans="1:11">
      <c r="D8" s="7" t="s">
        <v>6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8</v>
      </c>
      <c r="J8" s="10"/>
      <c r="K8" s="10">
        <v>148.5</v>
      </c>
    </row>
    <row r="9" spans="1:11">
      <c r="D9" s="11">
        <v>46114</v>
      </c>
      <c r="E9" s="12">
        <v>1591514</v>
      </c>
      <c r="F9" s="12" t="s">
        <v>29</v>
      </c>
      <c r="G9" s="13">
        <v>20417265</v>
      </c>
      <c r="H9" s="12" t="s">
        <v>30</v>
      </c>
      <c r="I9" s="13">
        <v>1</v>
      </c>
      <c r="J9" s="14">
        <v>22</v>
      </c>
      <c r="K9" s="14">
        <v>22</v>
      </c>
    </row>
    <row r="10" spans="1:11">
      <c r="D10" s="11">
        <v>46119</v>
      </c>
      <c r="E10" s="12">
        <v>1592485</v>
      </c>
      <c r="F10" s="12" t="s">
        <v>31</v>
      </c>
      <c r="G10" s="13">
        <v>20410082</v>
      </c>
      <c r="H10" s="12" t="s">
        <v>32</v>
      </c>
      <c r="I10" s="13">
        <v>1</v>
      </c>
      <c r="J10" s="14">
        <v>16.5</v>
      </c>
      <c r="K10" s="14">
        <v>16.5</v>
      </c>
    </row>
    <row r="11" spans="1:11">
      <c r="D11" s="11">
        <v>46121</v>
      </c>
      <c r="E11" s="12">
        <v>1593169</v>
      </c>
      <c r="F11" s="12" t="s">
        <v>31</v>
      </c>
      <c r="G11" s="13">
        <v>20410082</v>
      </c>
      <c r="H11" s="12" t="s">
        <v>32</v>
      </c>
      <c r="I11" s="13">
        <v>1</v>
      </c>
      <c r="J11" s="14">
        <v>16.5</v>
      </c>
      <c r="K11" s="14">
        <v>16.5</v>
      </c>
    </row>
    <row r="12" spans="1:11">
      <c r="D12" s="11">
        <v>46125</v>
      </c>
      <c r="E12" s="12">
        <v>1594365</v>
      </c>
      <c r="F12" s="12" t="s">
        <v>29</v>
      </c>
      <c r="G12" s="13">
        <v>20417265</v>
      </c>
      <c r="H12" s="12" t="s">
        <v>30</v>
      </c>
      <c r="I12" s="13">
        <v>1</v>
      </c>
      <c r="J12" s="14">
        <v>22</v>
      </c>
      <c r="K12" s="14">
        <v>22</v>
      </c>
    </row>
    <row r="13" spans="1:11">
      <c r="D13" s="11">
        <v>46128</v>
      </c>
      <c r="E13" s="12">
        <v>1595388</v>
      </c>
      <c r="F13" s="12" t="s">
        <v>31</v>
      </c>
      <c r="G13" s="13">
        <v>20410082</v>
      </c>
      <c r="H13" s="12" t="s">
        <v>32</v>
      </c>
      <c r="I13" s="13">
        <v>1</v>
      </c>
      <c r="J13" s="14">
        <v>16.5</v>
      </c>
      <c r="K13" s="14">
        <v>16.5</v>
      </c>
    </row>
    <row r="14" spans="1:11">
      <c r="D14" s="11">
        <v>46134</v>
      </c>
      <c r="E14" s="12">
        <v>1597253</v>
      </c>
      <c r="F14" s="12" t="s">
        <v>29</v>
      </c>
      <c r="G14" s="13">
        <v>20417265</v>
      </c>
      <c r="H14" s="12" t="s">
        <v>30</v>
      </c>
      <c r="I14" s="13">
        <v>1</v>
      </c>
      <c r="J14" s="14">
        <v>22</v>
      </c>
      <c r="K14" s="14">
        <v>22</v>
      </c>
    </row>
    <row r="15" spans="1:11">
      <c r="D15" s="11">
        <v>46139</v>
      </c>
      <c r="E15" s="12">
        <v>1598552</v>
      </c>
      <c r="F15" s="12" t="s">
        <v>31</v>
      </c>
      <c r="G15" s="13">
        <v>20410082</v>
      </c>
      <c r="H15" s="12" t="s">
        <v>32</v>
      </c>
      <c r="I15" s="13">
        <v>1</v>
      </c>
      <c r="J15" s="14">
        <v>16.5</v>
      </c>
      <c r="K15" s="14">
        <v>16.5</v>
      </c>
    </row>
    <row r="16" spans="1:11">
      <c r="D16" s="11">
        <v>46141</v>
      </c>
      <c r="E16" s="12">
        <v>1599346</v>
      </c>
      <c r="F16" s="12" t="s">
        <v>31</v>
      </c>
      <c r="G16" s="13">
        <v>20410082</v>
      </c>
      <c r="H16" s="12" t="s">
        <v>32</v>
      </c>
      <c r="I16" s="13">
        <v>1</v>
      </c>
      <c r="J16" s="14">
        <v>16.5</v>
      </c>
      <c r="K16" s="14">
        <v>16.5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M29" sqref="M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8.25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15</v>
      </c>
    </row>
    <row r="2" ht="23.05" customHeight="1"/>
    <row r="3" ht="2" customHeight="1"/>
    <row r="4" ht="15.2" customHeight="1" spans="1:11">
      <c r="B4" s="2" t="s">
        <v>16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</row>
    <row r="8" ht="14.25" spans="1:11">
      <c r="D8" s="7" t="s">
        <v>7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7</v>
      </c>
      <c r="J8" s="10"/>
      <c r="K8" s="10">
        <v>148.5</v>
      </c>
    </row>
    <row r="9" spans="1:11">
      <c r="D9" s="11">
        <v>46115</v>
      </c>
      <c r="E9" s="12">
        <v>1591990</v>
      </c>
      <c r="F9" s="12" t="s">
        <v>29</v>
      </c>
      <c r="G9" s="13">
        <v>20417265</v>
      </c>
      <c r="H9" s="12" t="s">
        <v>30</v>
      </c>
      <c r="I9" s="13">
        <v>2</v>
      </c>
      <c r="J9" s="14">
        <v>22</v>
      </c>
      <c r="K9" s="14">
        <v>44</v>
      </c>
    </row>
    <row r="10" spans="1:11">
      <c r="D10" s="11">
        <v>46119</v>
      </c>
      <c r="E10" s="12">
        <v>1592484</v>
      </c>
      <c r="F10" s="12" t="s">
        <v>29</v>
      </c>
      <c r="G10" s="13">
        <v>20417265</v>
      </c>
      <c r="H10" s="12" t="s">
        <v>30</v>
      </c>
      <c r="I10" s="13">
        <v>1</v>
      </c>
      <c r="J10" s="14">
        <v>22</v>
      </c>
      <c r="K10" s="14">
        <v>22</v>
      </c>
    </row>
    <row r="11" spans="1:11">
      <c r="D11" s="11">
        <v>46122</v>
      </c>
      <c r="E11" s="12">
        <v>1593824</v>
      </c>
      <c r="F11" s="12" t="s">
        <v>29</v>
      </c>
      <c r="G11" s="13">
        <v>20417265</v>
      </c>
      <c r="H11" s="12" t="s">
        <v>30</v>
      </c>
      <c r="I11" s="13">
        <v>2</v>
      </c>
      <c r="J11" s="14">
        <v>22</v>
      </c>
      <c r="K11" s="14">
        <v>44</v>
      </c>
    </row>
    <row r="12" spans="1:11">
      <c r="D12" s="11">
        <v>46134</v>
      </c>
      <c r="E12" s="12">
        <v>1597255</v>
      </c>
      <c r="F12" s="12" t="s">
        <v>26</v>
      </c>
      <c r="G12" s="13">
        <v>20422624</v>
      </c>
      <c r="H12" s="12" t="s">
        <v>28</v>
      </c>
      <c r="I12" s="13">
        <v>1</v>
      </c>
      <c r="J12" s="14">
        <v>16.5</v>
      </c>
      <c r="K12" s="14">
        <v>16.5</v>
      </c>
    </row>
    <row r="13" spans="1:11">
      <c r="D13" s="11">
        <v>46134</v>
      </c>
      <c r="E13" s="12">
        <v>1597255</v>
      </c>
      <c r="F13" s="12" t="s">
        <v>33</v>
      </c>
      <c r="G13" s="13">
        <v>20422625</v>
      </c>
      <c r="H13" s="12" t="s">
        <v>34</v>
      </c>
      <c r="I13" s="13">
        <v>1</v>
      </c>
      <c r="J13" s="14">
        <v>22</v>
      </c>
      <c r="K13" s="14">
        <v>22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E9" sqref="E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15</v>
      </c>
    </row>
    <row r="2" ht="23.05" customHeight="1"/>
    <row r="3" ht="2" customHeight="1"/>
    <row r="4" ht="15.2" customHeight="1" spans="1:11">
      <c r="B4" s="2" t="s">
        <v>16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</row>
    <row r="8" ht="14.25" spans="1:11">
      <c r="D8" s="7" t="s">
        <v>8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</v>
      </c>
      <c r="J8" s="10"/>
      <c r="K8" s="10">
        <v>16.5</v>
      </c>
    </row>
    <row r="9" spans="1:11">
      <c r="D9" s="11">
        <v>46127</v>
      </c>
      <c r="E9" s="12">
        <v>1595154</v>
      </c>
      <c r="F9" s="12" t="s">
        <v>26</v>
      </c>
      <c r="G9" s="13">
        <v>20421667</v>
      </c>
      <c r="H9" s="12" t="s">
        <v>35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16" sqref="O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15</v>
      </c>
    </row>
    <row r="2" ht="23.05" customHeight="1"/>
    <row r="3" ht="2" customHeight="1"/>
    <row r="4" ht="15.2" customHeight="1" spans="1:11">
      <c r="B4" s="2" t="s">
        <v>16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  <c r="K7" s="6" t="s">
        <v>25</v>
      </c>
    </row>
    <row r="8" ht="14.25" spans="1:11">
      <c r="D8" s="7" t="s">
        <v>9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5</v>
      </c>
      <c r="J8" s="10"/>
      <c r="K8" s="10">
        <f>SUM(K9:K13)</f>
        <v>90.5</v>
      </c>
    </row>
    <row r="9" spans="1:11">
      <c r="D9" s="11">
        <v>46125</v>
      </c>
      <c r="E9" s="12">
        <v>1594366</v>
      </c>
      <c r="F9" s="12" t="s">
        <v>26</v>
      </c>
      <c r="G9" s="13">
        <v>20421295</v>
      </c>
      <c r="H9" s="12" t="s">
        <v>36</v>
      </c>
      <c r="I9" s="13">
        <v>1</v>
      </c>
      <c r="J9" s="14">
        <v>16.5</v>
      </c>
      <c r="K9" s="14">
        <f>J9*I9</f>
        <v>16.5</v>
      </c>
    </row>
    <row r="10" spans="1:11">
      <c r="D10" s="11">
        <v>46125</v>
      </c>
      <c r="E10" s="12">
        <v>1594366</v>
      </c>
      <c r="F10" s="12" t="s">
        <v>26</v>
      </c>
      <c r="G10" s="13">
        <v>20421302</v>
      </c>
      <c r="H10" s="12" t="s">
        <v>37</v>
      </c>
      <c r="I10" s="13">
        <v>1</v>
      </c>
      <c r="J10" s="14">
        <v>13.5</v>
      </c>
      <c r="K10" s="14">
        <f>J10*I10</f>
        <v>13.5</v>
      </c>
    </row>
    <row r="11" spans="1:11">
      <c r="D11" s="11">
        <v>46132</v>
      </c>
      <c r="E11" s="12">
        <v>1596453</v>
      </c>
      <c r="F11" s="12" t="s">
        <v>26</v>
      </c>
      <c r="G11" s="13">
        <v>20422206</v>
      </c>
      <c r="H11" s="12" t="s">
        <v>38</v>
      </c>
      <c r="I11" s="13">
        <v>1</v>
      </c>
      <c r="J11" s="14">
        <f>4*5.5</f>
        <v>22</v>
      </c>
      <c r="K11" s="14">
        <f>J11*I11</f>
        <v>22</v>
      </c>
    </row>
    <row r="12" spans="1:11">
      <c r="D12" s="11">
        <v>46136</v>
      </c>
      <c r="E12" s="12">
        <v>1598003</v>
      </c>
      <c r="F12" s="12" t="s">
        <v>26</v>
      </c>
      <c r="G12" s="13">
        <v>20422206</v>
      </c>
      <c r="H12" s="12" t="s">
        <v>38</v>
      </c>
      <c r="I12" s="13">
        <v>1</v>
      </c>
      <c r="J12" s="14">
        <f>4*5.5</f>
        <v>22</v>
      </c>
      <c r="K12" s="14">
        <f>J12*I12</f>
        <v>22</v>
      </c>
    </row>
    <row r="13" spans="1:11">
      <c r="D13" s="11">
        <v>46141</v>
      </c>
      <c r="E13" s="12">
        <v>1599345</v>
      </c>
      <c r="F13" s="12" t="s">
        <v>26</v>
      </c>
      <c r="G13" s="13">
        <v>20422206</v>
      </c>
      <c r="H13" s="12" t="s">
        <v>39</v>
      </c>
      <c r="I13" s="13">
        <v>1</v>
      </c>
      <c r="J13" s="14">
        <f>3*5.5</f>
        <v>16.5</v>
      </c>
      <c r="K13" s="14">
        <f>J13*I13</f>
        <v>16.5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9:20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汇总</vt:lpstr>
      <vt:lpstr>耳鼻喉科</vt:lpstr>
      <vt:lpstr>骨五科</vt:lpstr>
      <vt:lpstr>脾胃六（小箱）</vt:lpstr>
      <vt:lpstr>脾胃一（小箱）</vt:lpstr>
      <vt:lpstr>心六科</vt:lpstr>
      <vt:lpstr>周围血管（小箱）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2026-06-04T01:20:00Z</dcterms:created>
  <dcterms:modified xsi:type="dcterms:W3CDTF">2026-06-11T08:50:30Z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B1B253819A504BA5AB99D282947A542C_13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