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口腔科" sheetId="1" r:id="rId1"/>
  </sheets>
  <definedNames>
    <definedName name="_xlnm._FilterDatabase" localSheetId="0" hidden="1">口腔科!$A$9:$K$26</definedName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<sst xmlns="http://schemas.openxmlformats.org/spreadsheetml/2006/main" count="64" uniqueCount="25">
  <si>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</si>
  <si>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</si>
  <si>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</si>
  <si>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东北农业大学医院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</si>
  <si>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</si>
  <si>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</si>
  <si>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</si>
  <si>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</si>
  <si>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</si>
  <si>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</si>
  <si>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</si>
  <si>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</si>
  <si>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</si>
  <si>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</si>
  <si>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车针-72/z7520</t>
  </si>
  <si>
    <t>充填器--1/Z7530</t>
  </si>
  <si>
    <t>光敏刀-1/Z7526</t>
  </si>
  <si>
    <t>洁牙机尖-4/Z7526</t>
  </si>
  <si>
    <t>洁牙机钥匙-2/Z1020</t>
  </si>
  <si>
    <t>手机-1/z7526</t>
  </si>
  <si>
    <t>挖勺-1/Z7526</t>
  </si>
  <si>
    <t>弯剪刀-1/z7520</t>
  </si>
  <si>
    <t>车针-98/z7520</t>
  </si>
  <si>
    <t>根管锉-11/Z7526</t>
  </si>
  <si>
    <t>洁牙尖-3/z7520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</si>
</sst>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189865</xdr:colOff>
      <xdr:row>1</xdr:row>
      <xdr:rowOff>66675</xdr:rowOff>
    </xdr:from>
    <xdr:to>
      <xdr:col>9</xdr:col>
      <xdr:colOff>699853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82640" y="2381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D22" sqref="D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99</v>
      </c>
      <c r="J10" s="12"/>
      <c r="K10" s="12">
        <f>SUM(K11:K26)</f>
        <v>1005</v>
      </c>
    </row>
    <row r="11" spans="2:11">
      <c r="D11" s="13">
        <v>46151</v>
      </c>
      <c r="E11" s="14">
        <v>1601441</v>
      </c>
      <c r="F11" s="14" t="s">
        <v>13</v>
      </c>
      <c r="G11" s="9">
        <v>20405494</v>
      </c>
      <c r="H11" s="14" t="s">
        <v>14</v>
      </c>
      <c r="I11" s="9">
        <v>1</v>
      </c>
      <c r="J11" s="15">
        <v>82.5</v>
      </c>
      <c r="K11" s="15">
        <f>J11*I11</f>
        <v>82.5</v>
      </c>
    </row>
    <row r="12" spans="2:11">
      <c r="D12" s="13">
        <v>46151</v>
      </c>
      <c r="E12" s="14">
        <v>1601441</v>
      </c>
      <c r="F12" s="14" t="s">
        <v>13</v>
      </c>
      <c r="G12" s="9">
        <v>20405346</v>
      </c>
      <c r="H12" s="14" t="s">
        <v>15</v>
      </c>
      <c r="I12" s="9">
        <v>9</v>
      </c>
      <c r="J12" s="15">
        <v>8</v>
      </c>
      <c r="K12" s="15">
        <f t="shared" ref="K12:K26" si="0">J12*I12</f>
        <v>72</v>
      </c>
    </row>
    <row r="13" spans="2:11">
      <c r="D13" s="13">
        <v>46151</v>
      </c>
      <c r="E13" s="14">
        <v>1601441</v>
      </c>
      <c r="F13" s="14" t="s">
        <v>13</v>
      </c>
      <c r="G13" s="9">
        <v>20405350</v>
      </c>
      <c r="H13" s="14" t="s">
        <v>16</v>
      </c>
      <c r="I13" s="9">
        <v>6</v>
      </c>
      <c r="J13" s="15">
        <v>8</v>
      </c>
      <c r="K13" s="15">
        <f t="shared" si="0"/>
        <v>48</v>
      </c>
    </row>
    <row r="14" spans="2:11">
      <c r="D14" s="13">
        <v>46151</v>
      </c>
      <c r="E14" s="14">
        <v>1601441</v>
      </c>
      <c r="F14" s="14" t="s">
        <v>13</v>
      </c>
      <c r="G14" s="9">
        <v>20416847</v>
      </c>
      <c r="H14" s="14" t="s">
        <v>17</v>
      </c>
      <c r="I14" s="9">
        <v>1</v>
      </c>
      <c r="J14" s="15">
        <v>22</v>
      </c>
      <c r="K14" s="15">
        <f t="shared" si="0"/>
        <v>22</v>
      </c>
    </row>
    <row r="15" spans="2:11">
      <c r="D15" s="13">
        <v>46151</v>
      </c>
      <c r="E15" s="14">
        <v>1601441</v>
      </c>
      <c r="F15" s="14" t="s">
        <v>13</v>
      </c>
      <c r="G15" s="9">
        <v>20409166</v>
      </c>
      <c r="H15" s="14" t="s">
        <v>18</v>
      </c>
      <c r="I15" s="9">
        <v>1</v>
      </c>
      <c r="J15" s="15">
        <v>13.5</v>
      </c>
      <c r="K15" s="15">
        <f t="shared" si="0"/>
        <v>13.5</v>
      </c>
    </row>
    <row r="16" spans="2:11">
      <c r="D16" s="13">
        <v>46151</v>
      </c>
      <c r="E16" s="14">
        <v>1601441</v>
      </c>
      <c r="F16" s="14" t="s">
        <v>13</v>
      </c>
      <c r="G16" s="9">
        <v>20405295</v>
      </c>
      <c r="H16" s="14" t="s">
        <v>19</v>
      </c>
      <c r="I16" s="9">
        <v>33</v>
      </c>
      <c r="J16" s="15">
        <v>8</v>
      </c>
      <c r="K16" s="15">
        <f t="shared" si="0"/>
        <v>264</v>
      </c>
    </row>
    <row r="17" spans="4:11">
      <c r="D17" s="13">
        <v>46151</v>
      </c>
      <c r="E17" s="14">
        <v>1601441</v>
      </c>
      <c r="F17" s="14" t="s">
        <v>13</v>
      </c>
      <c r="G17" s="9">
        <v>20405347</v>
      </c>
      <c r="H17" s="14" t="s">
        <v>20</v>
      </c>
      <c r="I17" s="9">
        <v>3</v>
      </c>
      <c r="J17" s="15">
        <v>8</v>
      </c>
      <c r="K17" s="15">
        <f t="shared" si="0"/>
        <v>24</v>
      </c>
    </row>
    <row r="18" spans="4:11">
      <c r="D18" s="13">
        <v>46151</v>
      </c>
      <c r="E18" s="14">
        <v>1601441</v>
      </c>
      <c r="F18" s="14" t="s">
        <v>13</v>
      </c>
      <c r="G18" s="9">
        <v>20405341</v>
      </c>
      <c r="H18" s="14" t="s">
        <v>21</v>
      </c>
      <c r="I18" s="9">
        <v>2</v>
      </c>
      <c r="J18" s="15">
        <v>8</v>
      </c>
      <c r="K18" s="15">
        <f t="shared" si="0"/>
        <v>16</v>
      </c>
    </row>
    <row r="19" spans="4:11">
      <c r="D19" s="13">
        <v>46162</v>
      </c>
      <c r="E19" s="14">
        <v>1604951</v>
      </c>
      <c r="F19" s="14" t="s">
        <v>13</v>
      </c>
      <c r="G19" s="9">
        <v>20405494</v>
      </c>
      <c r="H19" s="14" t="s">
        <v>22</v>
      </c>
      <c r="I19" s="9">
        <v>1</v>
      </c>
      <c r="J19" s="15">
        <v>110</v>
      </c>
      <c r="K19" s="15">
        <f t="shared" si="0"/>
        <v>110</v>
      </c>
    </row>
    <row r="20" spans="4:11">
      <c r="D20" s="13">
        <v>46162</v>
      </c>
      <c r="E20" s="14">
        <v>1604951</v>
      </c>
      <c r="F20" s="14" t="s">
        <v>13</v>
      </c>
      <c r="G20" s="9">
        <v>20405346</v>
      </c>
      <c r="H20" s="14" t="s">
        <v>15</v>
      </c>
      <c r="I20" s="9">
        <v>3</v>
      </c>
      <c r="J20" s="15">
        <v>8</v>
      </c>
      <c r="K20" s="15">
        <f t="shared" si="0"/>
        <v>24</v>
      </c>
    </row>
    <row r="21" spans="4:11">
      <c r="D21" s="13">
        <v>46162</v>
      </c>
      <c r="E21" s="14">
        <v>1604951</v>
      </c>
      <c r="F21" s="14" t="s">
        <v>13</v>
      </c>
      <c r="G21" s="9">
        <v>20426405</v>
      </c>
      <c r="H21" s="14" t="s">
        <v>23</v>
      </c>
      <c r="I21" s="9">
        <v>1</v>
      </c>
      <c r="J21" s="15">
        <v>16.5</v>
      </c>
      <c r="K21" s="15">
        <f t="shared" si="0"/>
        <v>16.5</v>
      </c>
    </row>
    <row r="22" spans="4:11">
      <c r="D22" s="13">
        <v>46162</v>
      </c>
      <c r="E22" s="14">
        <v>1604951</v>
      </c>
      <c r="F22" s="14" t="s">
        <v>13</v>
      </c>
      <c r="G22" s="9">
        <v>20405350</v>
      </c>
      <c r="H22" s="14" t="s">
        <v>16</v>
      </c>
      <c r="I22" s="9">
        <v>5</v>
      </c>
      <c r="J22" s="15">
        <v>8</v>
      </c>
      <c r="K22" s="15">
        <f t="shared" si="0"/>
        <v>40</v>
      </c>
    </row>
    <row r="23" spans="4:11">
      <c r="D23" s="13">
        <v>46162</v>
      </c>
      <c r="E23" s="14">
        <v>1604951</v>
      </c>
      <c r="F23" s="14" t="s">
        <v>13</v>
      </c>
      <c r="G23" s="9">
        <v>20406383</v>
      </c>
      <c r="H23" s="14" t="s">
        <v>24</v>
      </c>
      <c r="I23" s="9">
        <v>1</v>
      </c>
      <c r="J23" s="15">
        <v>16.5</v>
      </c>
      <c r="K23" s="15">
        <f t="shared" si="0"/>
        <v>16.5</v>
      </c>
    </row>
    <row r="24" spans="4:11">
      <c r="D24" s="13">
        <v>46162</v>
      </c>
      <c r="E24" s="14">
        <v>1604951</v>
      </c>
      <c r="F24" s="14" t="s">
        <v>13</v>
      </c>
      <c r="G24" s="9">
        <v>20405295</v>
      </c>
      <c r="H24" s="14" t="s">
        <v>19</v>
      </c>
      <c r="I24" s="9">
        <v>28</v>
      </c>
      <c r="J24" s="15">
        <v>8</v>
      </c>
      <c r="K24" s="15">
        <f t="shared" si="0"/>
        <v>224</v>
      </c>
    </row>
    <row r="25" spans="4:11">
      <c r="D25" s="13">
        <v>46162</v>
      </c>
      <c r="E25" s="14">
        <v>1604951</v>
      </c>
      <c r="F25" s="14" t="s">
        <v>13</v>
      </c>
      <c r="G25" s="9">
        <v>20405347</v>
      </c>
      <c r="H25" s="14" t="s">
        <v>20</v>
      </c>
      <c r="I25" s="9">
        <v>3</v>
      </c>
      <c r="J25" s="15">
        <v>8</v>
      </c>
      <c r="K25" s="15">
        <f t="shared" si="0"/>
        <v>24</v>
      </c>
    </row>
    <row r="26" spans="4:11">
      <c r="D26" s="13">
        <v>46162</v>
      </c>
      <c r="E26" s="14">
        <v>1604951</v>
      </c>
      <c r="F26" s="14" t="s">
        <v>13</v>
      </c>
      <c r="G26" s="9">
        <v>20405341</v>
      </c>
      <c r="H26" s="14" t="s">
        <v>21</v>
      </c>
      <c r="I26" s="9">
        <v>1</v>
      </c>
      <c r="J26" s="15">
        <v>8</v>
      </c>
      <c r="K26" s="15">
        <f t="shared" si="0"/>
        <v>8</v>
      </c>
    </row>
    <row r="27" ht="0.05" customHeight="1"/>
  </sheetData>
  <autoFilter xmlns:etc="http://www.wps.cn/officeDocument/2017/etCustomData" ref="A9:K26" etc:filterBottomFollowUsedRange="0">
    <extLst/>
  </autoFilter>
  <mergeCells count="6">
    <mergeCell ref="D8:H8"/>
    <mergeCell ref="D10:H10"/>
    <mergeCell ref="C9:C26"/>
    <mergeCell ref="B4:H5"/>
    <mergeCell ref="A8:B2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8:32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2026-06-02T00:34:00Z</dcterms:created>
  <dcterms:modified xsi:type="dcterms:W3CDTF">2026-06-05T05:59:59Z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04ECF4D5D85645CE9E84EAEF8869559E_13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