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哈尔滨红十字妇产医院" sheetId="1" r:id="rId1"/>
  </sheets>
  <externalReferences>
    <externalReference r:id="rId2"/>
  </externalReferences>
  <definedNames>
    <definedName name="_xlnm.Print_Titles" localSheetId="0">哈尔滨红十字妇产医院!$1:$4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<sst xmlns="http://schemas.openxmlformats.org/spreadsheetml/2006/main" count="46" uniqueCount="19">
  <si>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</si>
  <si>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</si>
  <si>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哈尔滨市红十字中心医院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</si>
  <si>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</si>
  <si>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</si>
  <si>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</si>
  <si>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</si>
  <si>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</si>
  <si>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</si>
  <si>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</si>
  <si>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系统账单+外来器械+加急费用+费用调整</t>
  </si>
  <si>
    <t>２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</si>
  <si>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</si>
  <si>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                        </t>
    </r>
    <r>
      <rPr>
        <sz val="14"/>
        <color rgb="FF000000"/>
        <rFont val="宋体"/>
        <charset val="134"/>
      </rPr>
      <t>加急物流费</t>
    </r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</si>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</sst>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7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704;&#23572;&#28392;&#32418;&#21313;&#23383;&#22919;&#20135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  <sheetName val="费用调整"/>
    </sheetNames>
    <sheetDataSet>
      <sheetData sheetId="0">
        <row r="8">
          <cell r="I8">
            <v>159033</v>
          </cell>
        </row>
      </sheetData>
      <sheetData sheetId="1">
        <row r="9">
          <cell r="L9">
            <v>1653.5</v>
          </cell>
        </row>
        <row r="25">
          <cell r="L25">
            <v>16.5</v>
          </cell>
        </row>
        <row r="29">
          <cell r="L29">
            <v>1243</v>
          </cell>
        </row>
        <row r="38">
          <cell r="L38">
            <v>522.5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7.875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9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9" customHeight="1" spans="3:9">
      <c r="D12" s="6" t="s">
        <v>8</v>
      </c>
      <c r="E12" s="6" t="s">
        <v>9</v>
      </c>
      <c r="F12" s="8">
        <f>[1]账单!$I$8+[1]外来器械!$L$9+[1]外来器械!$L$25+[1]外来器械!$L$29+[1]外来器械!$L$38+15675-26</f>
        <v>178117.5</v>
      </c>
      <c r="G12" s="7" t="s">
        <v>0</v>
      </c>
      <c r="H12" s="9" t="s">
        <v>10</v>
      </c>
      <c r="I12" s="10"/>
    </row>
    <row r="13" ht="39" customHeight="1" spans="3:9">
      <c r="D13" s="6" t="s">
        <v>11</v>
      </c>
      <c r="E13" s="6" t="s">
        <v>12</v>
      </c>
      <c r="F13" s="8">
        <f>3000+1050</f>
        <v>4050</v>
      </c>
      <c r="G13" s="7" t="s">
        <v>0</v>
      </c>
      <c r="H13" s="11" t="s">
        <v>13</v>
      </c>
      <c r="I13" s="10"/>
    </row>
    <row r="14" ht="39" customHeight="1" spans="3:9">
      <c r="D14" s="6" t="s">
        <v>14</v>
      </c>
      <c r="E14" s="7" t="s">
        <v>0</v>
      </c>
      <c r="F14" s="8">
        <f>F12+F13</f>
        <v>182167.5</v>
      </c>
      <c r="G14" s="7" t="s">
        <v>0</v>
      </c>
      <c r="H14" s="6" t="s">
        <v>0</v>
      </c>
      <c r="I14" s="7" t="s">
        <v>0</v>
      </c>
    </row>
    <row r="15" ht="39" customHeight="1" spans="3:9">
      <c r="D15" s="6" t="s">
        <v>15</v>
      </c>
      <c r="E15" s="7" t="s">
        <v>0</v>
      </c>
      <c r="F15" s="12">
        <f>F14</f>
        <v>182167.5</v>
      </c>
      <c r="G15" s="13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4" t="s">
        <v>0</v>
      </c>
      <c r="E18" s="14" t="s">
        <v>0</v>
      </c>
      <c r="F18" s="15" t="s">
        <v>17</v>
      </c>
      <c r="H18" s="14" t="s">
        <v>0</v>
      </c>
    </row>
    <row r="19" ht="36" customHeight="1" spans="4:8">
      <c r="D19" s="16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哈尔滨红十字妇产医院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2026-06-01T02:14:00Z</dcterms:created>
  <dcterms:modified xsi:type="dcterms:W3CDTF">2026-07-02T02:10:44Z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C6E3F97D5A324FE199F9C1EC2CBEFF4D_13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